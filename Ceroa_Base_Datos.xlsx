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4bfc75c1d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7038a457adbf4fcb"/>
    <x:sheet xmlns:r="http://schemas.openxmlformats.org/officeDocument/2006/relationships" name="Tarifas" sheetId="2" r:id="R92070777c4784b51"/>
    <x:sheet xmlns:r="http://schemas.openxmlformats.org/officeDocument/2006/relationships" name="Supuestos" sheetId="3" r:id="R0d3605f0b9244ac9"/>
    <x:sheet xmlns:r="http://schemas.openxmlformats.org/officeDocument/2006/relationships" name="Proveedores" sheetId="4" r:id="R0fe230dad5a749ae"/>
    <x:sheet xmlns:r="http://schemas.openxmlformats.org/officeDocument/2006/relationships" name="Insumos" sheetId="5" r:id="R9cd985a1cac04609"/>
    <x:sheet xmlns:r="http://schemas.openxmlformats.org/officeDocument/2006/relationships" name="Usuarios" sheetId="6" r:id="R34b6024d351b4900"/>
    <x:sheet xmlns:r="http://schemas.openxmlformats.org/officeDocument/2006/relationships" name="Suscripciones" sheetId="7" r:id="Ra8c658cae61e406a"/>
    <x:sheet xmlns:r="http://schemas.openxmlformats.org/officeDocument/2006/relationships" name="Usuarios_Mes" sheetId="8" r:id="Re98d5aa910ec47fe"/>
    <x:sheet xmlns:r="http://schemas.openxmlformats.org/officeDocument/2006/relationships" name="Deudas" sheetId="9" r:id="R8a9034fbe48c4517"/>
    <x:sheet xmlns:r="http://schemas.openxmlformats.org/officeDocument/2006/relationships" name="Abonos_Deuda" sheetId="10" r:id="Rcb0b6c8843bf42ba"/>
    <x:sheet xmlns:r="http://schemas.openxmlformats.org/officeDocument/2006/relationships" name="Cobros" sheetId="11" r:id="R4c2082e519ca4203"/>
    <x:sheet xmlns:r="http://schemas.openxmlformats.org/officeDocument/2006/relationships" name="Adquisicion" sheetId="12" r:id="Rf35bf12af1514c00"/>
    <x:sheet xmlns:r="http://schemas.openxmlformats.org/officeDocument/2006/relationships" name="Actividad_Mensual" sheetId="13" r:id="R0410dc12646f441a"/>
    <x:sheet xmlns:r="http://schemas.openxmlformats.org/officeDocument/2006/relationships" name="Finanzas_Mes" sheetId="14" r:id="Rafd9ac4962ca4172"/>
    <x:sheet xmlns:r="http://schemas.openxmlformats.org/officeDocument/2006/relationships" name="Diccionario" sheetId="15" r:id="R602cab8c916a4f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%"/>
    <x:numFmt numFmtId="202" formatCode="0%"/>
    <x:numFmt numFmtId="203" formatCode="0.000"/>
    <x:numFmt numFmtId="204" formatCode="0.00%"/>
  </x:numFmts>
  <x:fonts count="1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sz val="11"/>
      <x:color rgb="FF1D4ED8"/>
      <x:name val="Carlito"/>
    </x:font>
    <x:font>
      <x:b/>
      <x:sz val="11"/>
      <x:color rgb="FF0B1F35"/>
      <x:name val="Carlito"/>
    </x:font>
    <x:font>
      <x:b/>
      <x:sz val="16"/>
      <x:color rgb="FFFFFFFF"/>
      <x:name val="Carlito"/>
    </x:font>
    <x:font>
      <x:b/>
      <x:sz val="11"/>
      <x:color rgb="FF1D4ED8"/>
      <x:name val="Carlito"/>
    </x:font>
    <x:font>
      <x:sz val="11"/>
      <x:color rgb="FF0B1220"/>
      <x:name val="Carlito"/>
    </x:font>
    <x:font>
      <x:sz val="11"/>
      <x:color rgb="FF047857"/>
      <x:name val="Carlito"/>
    </x:font>
    <x:font>
      <x:b/>
      <x:sz val="11"/>
      <x:color rgb="FF0B1220"/>
      <x:name val="Carlito"/>
    </x:font>
    <x:font>
      <x:b/>
      <x:sz val="19"/>
      <x:color rgb="FFFFFFFF"/>
      <x:name val="Carlito"/>
    </x:font>
    <x:font>
      <x:sz val="11"/>
      <x:color rgb="FF0B1F35"/>
      <x:name val="Carlito"/>
    </x:font>
    <x:font>
      <x:b/>
      <x:sz val="11"/>
      <x:color rgb="FF04785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5"/>
      </x:patternFill>
    </x:fill>
    <x:fill>
      <x:patternFill patternType="solid">
        <x:fgColor rgb="FF0E7490"/>
      </x:patternFill>
    </x:fill>
    <x:fill>
      <x:patternFill patternType="solid">
        <x:fgColor rgb="FFE9F2F6"/>
      </x:patternFill>
    </x:fill>
    <x:fill>
      <x:patternFill patternType="solid">
        <x:fgColor rgb="FFFFF2B3"/>
      </x:patternFill>
    </x:fill>
    <x:fill>
      <x:patternFill patternType="solid">
        <x:fgColor rgb="FFECFDF5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201" fontId="6" fillId="5" borderId="0" xfId="0" applyNumberFormat="1" applyFont="1" applyFill="1" applyBorder="1"/>
    <x:xf numFmtId="201" fontId="6" fillId="5" borderId="1" xfId="0" applyNumberFormat="1" applyFont="1" applyFill="1" applyBorder="1"/>
    <x:xf numFmtId="202" fontId="6" fillId="5" borderId="0" xfId="0" applyNumberFormat="1" applyFont="1" applyFill="1" applyBorder="1"/>
    <x:xf numFmtId="202" fontId="6" fillId="5" borderId="1" xfId="0" applyNumberFormat="1" applyFont="1" applyFill="1" applyBorder="1"/>
    <x:xf numFmtId="203" fontId="6" fillId="5" borderId="0" xfId="0" applyNumberFormat="1" applyFont="1" applyFill="1" applyBorder="1"/>
    <x:xf numFmtId="203" fontId="6" fillId="5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1" fillId="4" borderId="0" xfId="0" applyNumberFormat="1" applyFont="1" applyFill="1" applyBorder="1"/>
    <x:xf numFmtId="0" fontId="11" fillId="4" borderId="1" xfId="0" applyNumberFormat="1" applyFont="1" applyFill="1" applyBorder="1"/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0" fillId="6" borderId="1" xfId="0" applyNumberFormat="1" applyFont="1" applyFill="1" applyBorder="1"/>
    <x:xf numFmtId="0" fontId="12" fillId="6" borderId="1" xfId="0" applyNumberFormat="1" applyFont="1" applyFill="1" applyBorder="1"/>
    <x:xf numFmtId="200" fontId="12" fillId="6" borderId="0" xfId="0" applyNumberFormat="1" applyFont="1" applyFill="1" applyBorder="1"/>
    <x:xf numFmtId="200" fontId="12" fillId="6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5f319966d40e7" /><Relationship Type="http://schemas.openxmlformats.org/officeDocument/2006/relationships/theme" Target="/xl/theme/theme1.xml" Id="R5c2e452178bc4537" /><Relationship Type="http://schemas.openxmlformats.org/officeDocument/2006/relationships/sharedStrings" Target="/xl/sharedStrings.xml" Id="R1f8c589c186b4542" /><Relationship Type="http://schemas.openxmlformats.org/officeDocument/2006/relationships/worksheet" Target="/xl/worksheets/sheet1.xml" Id="R7038a457adbf4fcb" /><Relationship Type="http://schemas.openxmlformats.org/officeDocument/2006/relationships/worksheet" Target="/xl/worksheets/sheet2.xml" Id="R92070777c4784b51" /><Relationship Type="http://schemas.openxmlformats.org/officeDocument/2006/relationships/worksheet" Target="/xl/worksheets/sheet3.xml" Id="R0d3605f0b9244ac9" /><Relationship Type="http://schemas.openxmlformats.org/officeDocument/2006/relationships/worksheet" Target="/xl/worksheets/sheet4.xml" Id="R0fe230dad5a749ae" /><Relationship Type="http://schemas.openxmlformats.org/officeDocument/2006/relationships/worksheet" Target="/xl/worksheets/sheet5.xml" Id="R9cd985a1cac04609" /><Relationship Type="http://schemas.openxmlformats.org/officeDocument/2006/relationships/worksheet" Target="/xl/worksheets/sheet6.xml" Id="R34b6024d351b4900" /><Relationship Type="http://schemas.openxmlformats.org/officeDocument/2006/relationships/worksheet" Target="/xl/worksheets/sheet7.xml" Id="Ra8c658cae61e406a" /><Relationship Type="http://schemas.openxmlformats.org/officeDocument/2006/relationships/worksheet" Target="/xl/worksheets/sheet8.xml" Id="Re98d5aa910ec47fe" /><Relationship Type="http://schemas.openxmlformats.org/officeDocument/2006/relationships/worksheet" Target="/xl/worksheets/sheet9.xml" Id="R8a9034fbe48c4517" /><Relationship Type="http://schemas.openxmlformats.org/officeDocument/2006/relationships/worksheet" Target="/xl/worksheets/sheet10.xml" Id="Rcb0b6c8843bf42ba" /><Relationship Type="http://schemas.openxmlformats.org/officeDocument/2006/relationships/worksheet" Target="/xl/worksheets/sheet11.xml" Id="R4c2082e519ca4203" /><Relationship Type="http://schemas.openxmlformats.org/officeDocument/2006/relationships/worksheet" Target="/xl/worksheets/sheet12.xml" Id="Rf35bf12af1514c00" /><Relationship Type="http://schemas.openxmlformats.org/officeDocument/2006/relationships/worksheet" Target="/xl/worksheets/sheet13.xml" Id="R0410dc12646f441a" /><Relationship Type="http://schemas.openxmlformats.org/officeDocument/2006/relationships/worksheet" Target="/xl/worksheets/sheet14.xml" Id="Rafd9ac4962ca4172" /><Relationship Type="http://schemas.openxmlformats.org/officeDocument/2006/relationships/worksheet" Target="/xl/worksheets/sheet15.xml" Id="R602cab8c916a4f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61d82d028745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MRR vs. recaudo (COP)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MRR COP</c:v>
          </c:tx>
          <c:marker>
            <c:symbol val="none"/>
          </c:marker>
          <c:cat>
            <c:strRef>
              <c:f>'INICIO'!$J$6:$J$26</c:f>
              <c:strCache>
                <c:ptCount val="0"/>
              </c:strCache>
            </c:strRef>
          </c:cat>
          <c:val>
            <c:numRef>
              <c:f>'INICIO'!$K$6:$K$26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Ingresos cobrados COP</c:v>
          </c:tx>
          <c:marker>
            <c:symbol val="none"/>
          </c:marker>
          <c:cat>
            <c:strRef>
              <c:f>'INICIO'!$J$6:$J$26</c:f>
              <c:strCache>
                <c:ptCount val="0"/>
              </c:strCache>
            </c:strRef>
          </c:cat>
          <c:val>
            <c:numRef>
              <c:f>'INICIO'!$L$6:$L$26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28</xdr:row>
      <xdr:rowOff>0</xdr:rowOff>
    </xdr:from>
    <xdr:to>
      <xdr:col>20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61d82d0287453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b8fc8b37ec4c61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29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10" max="10" width="15" hidden="0" customWidth="1"/>
    <x:col min="11" max="11" width="23" hidden="0" customWidth="1"/>
    <x:col min="12" max="12" width="23" hidden="0" customWidth="1"/>
  </x:cols>
  <x:sheetData>
    <x:row r="1" ht="30" customHeight="1">
      <x:c r="A1" s="54" t="str">
        <x:v>CEROA  |  BASE ANALÍTICA RECONSTRUIDA</x:v>
      </x:c>
      <x:c r="B1" s="54"/>
      <x:c r="C1" s="54"/>
      <x:c r="D1" s="54"/>
      <x:c r="E1" s="54"/>
      <x:c r="F1" s="54"/>
      <x:c r="G1" s="54"/>
      <x:c r="H1" s="54"/>
    </x:row>
    <x:row r="2" ht="30" customHeight="1">
      <x:c r="A2" s="54"/>
      <x:c r="B2" s="54"/>
      <x:c r="C2" s="54"/>
      <x:c r="D2" s="54"/>
      <x:c r="E2" s="54"/>
      <x:c r="F2" s="54"/>
      <x:c r="G2" s="54"/>
      <x:c r="H2" s="54"/>
    </x:row>
    <x:row r="3" ht="30" customHeight="1">
      <x:c r="A3" s="56" t="str">
        <x:v>Modelo sintético en pesos colombianos · Enero 2025 – Septiembre 2026 · Cifras financieras recalculadas desde nuevos supuestos</x:v>
      </x:c>
      <x:c r="B3" s="56"/>
      <x:c r="C3" s="56"/>
      <x:c r="D3" s="56"/>
      <x:c r="E3" s="56"/>
      <x:c r="F3" s="56"/>
      <x:c r="G3" s="56"/>
      <x:c r="H3" s="56"/>
    </x:row>
    <x:row r="5">
      <x:c r="A5" s="7" t="str">
        <x:v>Indicador</x:v>
      </x:c>
      <x:c r="B5" s="7" t="str">
        <x:v>Valor</x:v>
      </x:c>
      <x:c r="J5" s="7" t="str">
        <x:v>Mes</x:v>
      </x:c>
      <x:c r="K5" s="7" t="str">
        <x:v>MRR COP</x:v>
      </x:c>
      <x:c r="L5" s="7" t="str">
        <x:v>Ingresos cobrados COP</x:v>
      </x:c>
    </x:row>
    <x:row r="6" ht="27" customHeight="1">
      <x:c r="A6" t="str">
        <x:v>Usuarios simulados</x:v>
      </x:c>
      <x:c r="B6" s="59" t="n">
        <x:f>COUNTA(Usuarios!$A$2:$A$1251)</x:f>
        <x:v>1250</x:v>
      </x:c>
      <x:c r="J6" t="str">
        <x:v>2025-01</x:v>
      </x:c>
      <x:c r="K6" t="n">
        <x:f>Finanzas_Mes!F2</x:f>
        <x:v>114616.66666666667</x:v>
      </x:c>
      <x:c r="L6" t="n">
        <x:f>Finanzas_Mes!G2</x:f>
        <x:v>388700</x:v>
      </x:c>
    </x:row>
    <x:row r="7" ht="27" customHeight="1">
      <x:c r="A7" t="str">
        <x:v>Usuarios activos (último mes)</x:v>
      </x:c>
      <x:c r="B7" s="59" t="n">
        <x:f>Actividad_Mensual!C22</x:f>
        <x:v>1194</x:v>
      </x:c>
      <x:c r="J7" t="str">
        <x:v>2025-02</x:v>
      </x:c>
      <x:c r="K7" t="n">
        <x:f>Finanzas_Mes!F3</x:f>
        <x:v>303983.3333333334</x:v>
      </x:c>
      <x:c r="L7" t="n">
        <x:f>Finanzas_Mes!G3</x:f>
        <x:v>1375400</x:v>
      </x:c>
    </x:row>
    <x:row r="8" ht="27" customHeight="1">
      <x:c r="A8" t="str">
        <x:v>Plus activos (último mes)</x:v>
      </x:c>
      <x:c r="B8" s="59" t="n">
        <x:f>Finanzas_Mes!E22</x:f>
        <x:v>475</x:v>
      </x:c>
      <x:c r="J8" t="str">
        <x:v>2025-03</x:v>
      </x:c>
      <x:c r="K8" t="n">
        <x:f>Finanzas_Mes!F4</x:f>
        <x:v>478400</x:v>
      </x:c>
      <x:c r="L8" t="n">
        <x:f>Finanzas_Mes!G4</x:f>
        <x:v>627900</x:v>
      </x:c>
    </x:row>
    <x:row r="9" ht="27" customHeight="1">
      <x:c r="A9" t="str">
        <x:v>MRR (último mes, COP)</x:v>
      </x:c>
      <x:c r="B9" s="62" t="n">
        <x:f>Finanzas_Mes!F22</x:f>
        <x:v>13165966.666666668</x:v>
      </x:c>
      <x:c r="J9" t="str">
        <x:v>2025-04</x:v>
      </x:c>
      <x:c r="K9" t="n">
        <x:f>Finanzas_Mes!F5</x:f>
        <x:v>538200</x:v>
      </x:c>
      <x:c r="L9" t="n">
        <x:f>Finanzas_Mes!G5</x:f>
        <x:v>388700</x:v>
      </x:c>
    </x:row>
    <x:row r="10" ht="27" customHeight="1">
      <x:c r="A10" t="str">
        <x:v>Recaudo acumulado (COP)</x:v>
      </x:c>
      <x:c r="B10" s="62" t="n">
        <x:f>SUM(Finanzas_Mes!G2:G22)</x:f>
        <x:v>134400500</x:v>
      </x:c>
      <x:c r="J10" t="str">
        <x:v>2025-05</x:v>
      </x:c>
      <x:c r="K10" t="n">
        <x:f>Finanzas_Mes!F6</x:f>
        <x:v>682716.6666666667</x:v>
      </x:c>
      <x:c r="L10" t="n">
        <x:f>Finanzas_Mes!G6</x:f>
        <x:v>807300</x:v>
      </x:c>
    </x:row>
    <x:row r="11" ht="27" customHeight="1">
      <x:c r="A11" t="str">
        <x:v>Deudas administradas (último mes, COP)</x:v>
      </x:c>
      <x:c r="B11" s="62" t="n">
        <x:f>Actividad_Mensual!I22</x:f>
        <x:v>22567938836.18</x:v>
      </x:c>
      <x:c r="J11" t="str">
        <x:v>2025-06</x:v>
      </x:c>
      <x:c r="K11" t="n">
        <x:f>Finanzas_Mes!F7</x:f>
        <x:v>1171083.3333333335</x:v>
      </x:c>
      <x:c r="L11" t="n">
        <x:f>Finanzas_Mes!G7</x:f>
        <x:v>2093000</x:v>
      </x:c>
    </x:row>
    <x:row r="12">
      <x:c r="J12" t="str">
        <x:v>2025-07</x:v>
      </x:c>
      <x:c r="K12" t="n">
        <x:f>Finanzas_Mes!F8</x:f>
        <x:v>1684366.6666666667</x:v>
      </x:c>
      <x:c r="L12" t="n">
        <x:f>Finanzas_Mes!G8</x:f>
        <x:v>2780700</x:v>
      </x:c>
    </x:row>
    <x:row r="13">
      <x:c r="J13" t="str">
        <x:v>2025-08</x:v>
      </x:c>
      <x:c r="K13" t="n">
        <x:f>Finanzas_Mes!F9</x:f>
        <x:v>2018250</x:v>
      </x:c>
      <x:c r="L13" t="n">
        <x:f>Finanzas_Mes!G9</x:f>
        <x:v>2990000</x:v>
      </x:c>
    </x:row>
    <x:row r="14" ht="38" customHeight="1">
      <x:c r="A14" s="64" t="str">
        <x:v>FUENTE COMERCIAL</x:v>
      </x:c>
      <x:c r="B14" s="64" t="str">
        <x:v>Gratis</x:v>
      </x:c>
      <x:c r="C14" s="64" t="str">
        <x:v>Plus mensual</x:v>
      </x:c>
      <x:c r="D14" s="64" t="str">
        <x:v>Plus anual</x:v>
      </x:c>
      <x:c r="E14" s="64" t="str">
        <x:v>Costo de proveedores</x:v>
      </x:c>
      <x:c r="F14" s="64" t="str">
        <x:v>Deudas de usuarios</x:v>
      </x:c>
      <x:c r="G14" s="64" t="str">
        <x:v>Resultado</x:v>
      </x:c>
      <x:c r="H14" s="64" t="str">
        <x:v>Transparencia</x:v>
      </x:c>
      <x:c r="J14" t="str">
        <x:v>2025-09</x:v>
      </x:c>
      <x:c r="K14" t="n">
        <x:f>Finanzas_Mes!F10</x:f>
        <x:v>2456783.3333333335</x:v>
      </x:c>
      <x:c r="L14" t="n">
        <x:f>Finanzas_Mes!G10</x:f>
        <x:v>4126200</x:v>
      </x:c>
    </x:row>
    <x:row r="15" ht="28" customHeight="1">
      <x:c r="A15" s="66" t="str">
        <x:v>Airtable: Planes</x:v>
      </x:c>
      <x:c r="B15" s="66" t="n">
        <x:v>0</x:v>
      </x:c>
      <x:c r="C15" s="66" t="n">
        <x:v>29900</x:v>
      </x:c>
      <x:c r="D15" s="66" t="n">
        <x:v>299000</x:v>
      </x:c>
      <x:c r="E15" s="66" t="str">
        <x:v>Reconstruido</x:v>
      </x:c>
      <x:c r="F15" s="66" t="str">
        <x:v>No son ingresos de Ceroa</x:v>
      </x:c>
      <x:c r="G15" s="66" t="str">
        <x:v>Simulado</x:v>
      </x:c>
      <x:c r="H15" s="66" t="str">
        <x:v>CSV completos; Excel muestra grandes tablas</x:v>
      </x:c>
      <x:c r="J15" t="str">
        <x:v>2025-10</x:v>
      </x:c>
      <x:c r="K15" t="n">
        <x:f>Finanzas_Mes!F11</x:f>
        <x:v>2965083.3333333335</x:v>
      </x:c>
      <x:c r="L15" t="n">
        <x:f>Finanzas_Mes!G11</x:f>
        <x:v>3887000</x:v>
      </x:c>
    </x:row>
    <x:row r="16">
      <x:c r="J16" t="str">
        <x:v>2025-11</x:v>
      </x:c>
      <x:c r="K16" t="n">
        <x:f>Finanzas_Mes!F12</x:f>
        <x:v>3328866.666666667</x:v>
      </x:c>
      <x:c r="L16" t="n">
        <x:f>Finanzas_Mes!G12</x:f>
        <x:v>3827200</x:v>
      </x:c>
    </x:row>
    <x:row r="17">
      <x:c r="J17" t="str">
        <x:v>2025-12</x:v>
      </x:c>
      <x:c r="K17" t="n">
        <x:f>Finanzas_Mes!F13</x:f>
        <x:v>3941816.666666667</x:v>
      </x:c>
      <x:c r="L17" t="n">
        <x:f>Finanzas_Mes!G13</x:f>
        <x:v>5411900</x:v>
      </x:c>
    </x:row>
    <x:row r="18" ht="30" customHeight="1">
      <x:c r="A18" s="34" t="str">
        <x:v>Definiciones que evitan errores en el dashboard</x:v>
      </x:c>
      <x:c r="B18" s="34"/>
      <x:c r="C18" s="34"/>
      <x:c r="D18" s="34"/>
      <x:c r="E18" s="34"/>
      <x:c r="F18" s="34"/>
      <x:c r="G18" s="34"/>
      <x:c r="H18" s="34"/>
      <x:c r="J18" t="str">
        <x:v>2026-01</x:v>
      </x:c>
      <x:c r="K18" t="n">
        <x:f>Finanzas_Mes!F14</x:f>
        <x:v>4833833.333333334</x:v>
      </x:c>
      <x:c r="L18" t="n">
        <x:f>Finanzas_Mes!G14</x:f>
        <x:v>7475000</x:v>
      </x:c>
    </x:row>
    <x:row r="19" ht="25" customHeight="1">
      <x:c r="A19" s="68" t="str">
        <x:v>MRR = usuarios Plus mensuales × $29.900 + usuarios Plus anuales × ($299.000 / 12).</x:v>
      </x:c>
      <x:c r="B19" s="68"/>
      <x:c r="C19" s="68"/>
      <x:c r="D19" s="68"/>
      <x:c r="E19" s="68"/>
      <x:c r="F19" s="68"/>
      <x:c r="G19" s="68"/>
      <x:c r="H19" s="68"/>
      <x:c r="J19" t="str">
        <x:v>2026-02</x:v>
      </x:c>
      <x:c r="K19" t="n">
        <x:f>Finanzas_Mes!F15</x:f>
        <x:v>5636150</x:v>
      </x:c>
      <x:c r="L19" t="n">
        <x:f>Finanzas_Mes!G15</x:f>
        <x:v>10494900</x:v>
      </x:c>
    </x:row>
    <x:row r="20" ht="25" customHeight="1">
      <x:c r="A20" s="66" t="str">
        <x:v>Recaudo = SOLO intentos de cobro APROBADOS; el pago anual entra cuando se cobra, no cada mes.</x:v>
      </x:c>
      <x:c r="B20" s="66"/>
      <x:c r="C20" s="66"/>
      <x:c r="D20" s="66"/>
      <x:c r="E20" s="66"/>
      <x:c r="F20" s="66"/>
      <x:c r="G20" s="66"/>
      <x:c r="H20" s="66"/>
      <x:c r="J20" t="str">
        <x:v>2026-03</x:v>
      </x:c>
      <x:c r="K20" t="n">
        <x:f>Finanzas_Mes!F16</x:f>
        <x:v>6478333.333333334</x:v>
      </x:c>
      <x:c r="L20" t="n">
        <x:f>Finanzas_Mes!G16</x:f>
        <x:v>9418500</x:v>
      </x:c>
    </x:row>
    <x:row r="21" ht="25" customHeight="1">
      <x:c r="A21" s="68" t="str">
        <x:v>Ingreso devengado = MRR reconocido mensualmente como supuesto de gestión; no equivale al efectivo.</x:v>
      </x:c>
      <x:c r="B21" s="68"/>
      <x:c r="C21" s="68"/>
      <x:c r="D21" s="68"/>
      <x:c r="E21" s="68"/>
      <x:c r="F21" s="68"/>
      <x:c r="G21" s="68"/>
      <x:c r="H21" s="68"/>
      <x:c r="J21" t="str">
        <x:v>2026-04</x:v>
      </x:c>
      <x:c r="K21" t="n">
        <x:f>Finanzas_Mes!F17</x:f>
        <x:v>7554733.333333334</x:v>
      </x:c>
      <x:c r="L21" t="n">
        <x:f>Finanzas_Mes!G17</x:f>
        <x:v>8401900</x:v>
      </x:c>
    </x:row>
    <x:row r="22" ht="25" customHeight="1">
      <x:c r="A22" s="66" t="str">
        <x:v>Los abonos de deudas se realizan a acreedores externos: NO se suman a ingresos de Ceroa.</x:v>
      </x:c>
      <x:c r="B22" s="66"/>
      <x:c r="C22" s="66"/>
      <x:c r="D22" s="66"/>
      <x:c r="E22" s="66"/>
      <x:c r="F22" s="66"/>
      <x:c r="G22" s="66"/>
      <x:c r="H22" s="66"/>
      <x:c r="J22" t="str">
        <x:v>2026-05</x:v>
      </x:c>
      <x:c r="K22" t="n">
        <x:f>Finanzas_Mes!F18</x:f>
        <x:v>8795583.333333334</x:v>
      </x:c>
      <x:c r="L22" t="n">
        <x:f>Finanzas_Mes!G18</x:f>
        <x:v>12109500</x:v>
      </x:c>
    </x:row>
    <x:row r="23" ht="25" customHeight="1">
      <x:c r="A23" s="68" t="str">
        <x:v>COGS = infraestructura + backup + soporte variable + procesamiento de deudas + alertas + pasarela.</x:v>
      </x:c>
      <x:c r="B23" s="68"/>
      <x:c r="C23" s="68"/>
      <x:c r="D23" s="68"/>
      <x:c r="E23" s="68"/>
      <x:c r="F23" s="68"/>
      <x:c r="G23" s="68"/>
      <x:c r="H23" s="68"/>
      <x:c r="J23" t="str">
        <x:v>2026-06</x:v>
      </x:c>
      <x:c r="K23" t="n">
        <x:f>Finanzas_Mes!F19</x:f>
        <x:v>9697566.666666668</x:v>
      </x:c>
      <x:c r="L23" t="n">
        <x:f>Finanzas_Mes!G19</x:f>
        <x:v>10644400</x:v>
      </x:c>
    </x:row>
    <x:row r="24" ht="25" customHeight="1">
      <x:c r="A24" s="66" t="str">
        <x:v>OPEX = correo empresarial + equipo humano + administración + adquisición de usuarios.</x:v>
      </x:c>
      <x:c r="B24" s="66"/>
      <x:c r="C24" s="66"/>
      <x:c r="D24" s="66"/>
      <x:c r="E24" s="66"/>
      <x:c r="F24" s="66"/>
      <x:c r="G24" s="66"/>
      <x:c r="H24" s="66"/>
      <x:c r="J24" t="str">
        <x:v>2026-07</x:v>
      </x:c>
      <x:c r="K24" t="n">
        <x:f>Finanzas_Mes!F20</x:f>
        <x:v>10903533.333333334</x:v>
      </x:c>
      <x:c r="L24" t="n">
        <x:f>Finanzas_Mes!G20</x:f>
        <x:v>14890200</x:v>
      </x:c>
    </x:row>
    <x:row r="25" ht="25" customHeight="1">
      <x:c r="A25" s="68" t="str">
        <x:v>CAC = inversión de marketing / altas Plus del mes (indicador aproximado, no atribuible causalmente).</x:v>
      </x:c>
      <x:c r="B25" s="68"/>
      <x:c r="C25" s="68"/>
      <x:c r="D25" s="68"/>
      <x:c r="E25" s="68"/>
      <x:c r="F25" s="68"/>
      <x:c r="G25" s="68"/>
      <x:c r="H25" s="68"/>
      <x:c r="J25" t="str">
        <x:v>2026-08</x:v>
      </x:c>
      <x:c r="K25" t="n">
        <x:f>Finanzas_Mes!F21</x:f>
        <x:v>11994883.333333334</x:v>
      </x:c>
      <x:c r="L25" t="n">
        <x:f>Finanzas_Mes!G21</x:f>
        <x:v>16803800</x:v>
      </x:c>
    </x:row>
    <x:row r="26" ht="25" customHeight="1">
      <x:c r="A26" s="66" t="str">
        <x:v>Churn Plus = bajas Plus / usuarios Plus al principio del mes (aproximado sin cohortes de facturación).</x:v>
      </x:c>
      <x:c r="B26" s="66"/>
      <x:c r="C26" s="66"/>
      <x:c r="D26" s="66"/>
      <x:c r="E26" s="66"/>
      <x:c r="F26" s="66"/>
      <x:c r="G26" s="66"/>
      <x:c r="H26" s="66"/>
      <x:c r="J26" t="str">
        <x:v>2026-09</x:v>
      </x:c>
      <x:c r="K26" t="n">
        <x:f>Finanzas_Mes!F22</x:f>
        <x:v>13165966.666666668</x:v>
      </x:c>
      <x:c r="L26" t="n">
        <x:f>Finanzas_Mes!G22</x:f>
        <x:v>15458300</x:v>
      </x:c>
    </x:row>
  </x:sheetData>
  <x:mergeCells>
    <x:mergeCell ref="A1:H2"/>
    <x:mergeCell ref="A3:H3"/>
    <x:mergeCell ref="A18:H18"/>
    <x:mergeCell ref="A19:H19"/>
    <x:mergeCell ref="A20:H20"/>
    <x:mergeCell ref="A21:H21"/>
    <x:mergeCell ref="A22:H22"/>
    <x:mergeCell ref="A23:H23"/>
    <x:mergeCell ref="A24:H24"/>
    <x:mergeCell ref="A25:H25"/>
    <x:mergeCell ref="A26:H26"/>
  </x:mergeCells>
  <x:pageMargins left="0.7" right="0.7" top="0.75" bottom="0.75" header="0.3" footer="0.3"/>
  <x:drawing xmlns:r="http://schemas.openxmlformats.org/officeDocument/2006/relationships" r:id="Rbdb8fc8b37ec4c61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43" hidden="0" customWidth="1"/>
  </x:cols>
  <x:sheetData>
    <x:row r="1" ht="43" customHeight="1">
      <x:c r="A1" s="3" t="str">
        <x:v>CEROA | Tarifas comerciales confirmadas</x:v>
      </x:c>
      <x:c r="B1" s="3"/>
      <x:c r="C1" s="3"/>
      <x:c r="D1" s="3"/>
      <x:c r="E1" s="3"/>
    </x:row>
    <x:row r="3" ht="27" customHeight="1">
      <x:c r="A3" s="7" t="str">
        <x:v>Plan</x:v>
      </x:c>
      <x:c r="B3" s="7" t="str">
        <x:v>Precio mensual (COP)</x:v>
      </x:c>
      <x:c r="C3" s="7" t="str">
        <x:v>Precio anual (COP)</x:v>
      </x:c>
      <x:c r="D3" s="7" t="str">
        <x:v>MRR equivalente (COP)</x:v>
      </x:c>
      <x:c r="E3" s="7" t="str">
        <x:v>Origen</x:v>
      </x:c>
    </x:row>
    <x:row r="4">
      <x:c r="A4" t="str">
        <x:v>Cero</x:v>
      </x:c>
      <x:c r="B4" s="12" t="n">
        <x:v>0</x:v>
      </x:c>
      <x:c r="C4" s="12" t="n">
        <x:v>0</x:v>
      </x:c>
      <x:c r="D4" s="13" t="n">
        <x:v>0</x:v>
      </x:c>
      <x:c r="E4" t="str">
        <x:v>Airtable / Planes</x:v>
      </x:c>
    </x:row>
    <x:row r="5">
      <x:c r="A5" t="str">
        <x:v>Plus mensual</x:v>
      </x:c>
      <x:c r="B5" s="12" t="n">
        <x:v>29900</x:v>
      </x:c>
      <x:c r="C5" s="12" t="n">
        <x:v>0</x:v>
      </x:c>
      <x:c r="D5" s="13" t="n">
        <x:f>B5</x:f>
        <x:v>29900</x:v>
      </x:c>
      <x:c r="E5" t="str">
        <x:v>Airtable / Planes</x:v>
      </x:c>
    </x:row>
    <x:row r="6">
      <x:c r="A6" t="str">
        <x:v>Plus anual</x:v>
      </x:c>
      <x:c r="B6" s="12" t="n">
        <x:v>0</x:v>
      </x:c>
      <x:c r="C6" s="12" t="n">
        <x:v>299000</x:v>
      </x:c>
      <x:c r="D6" s="13" t="n">
        <x:f>C6/Supuestos!$B$5</x:f>
        <x:v>24916.666666666668</x:v>
      </x:c>
      <x:c r="E6" t="str">
        <x:v>Airtable / Planes</x:v>
      </x:c>
    </x:row>
    <x:row r="8" ht="46" customHeight="1">
      <x:c r="A8" s="18" t="str">
        <x:v>ÚNICA INFORMACIÓN COMERCIAL REUTILIZADA</x:v>
      </x:c>
      <x:c r="B8" s="18" t="str">
        <x:v>0 COP gratis</x:v>
      </x:c>
      <x:c r="C8" s="18" t="str">
        <x:v>29.900 COP mensual</x:v>
      </x:c>
      <x:c r="D8" s="18" t="str">
        <x:v>299.000 COP anual</x:v>
      </x:c>
      <x:c r="E8" s="18" t="str">
        <x:v>No se importan COGS ni márgenes de Airtable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21" hidden="0" customWidth="1"/>
    <x:col min="3" max="3" width="26" hidden="0" customWidth="1"/>
    <x:col min="4" max="4" width="55" hidden="0" customWidth="1"/>
  </x:cols>
  <x:sheetData>
    <x:row r="1" ht="44" customHeight="1">
      <x:c r="A1" s="22" t="str">
        <x:v>Supuestos NUEVOS de simulación | Editables, NO extraídos de Airtable</x:v>
      </x:c>
      <x:c r="B1" s="22"/>
      <x:c r="C1" s="22"/>
      <x:c r="D1" s="22"/>
    </x:row>
    <x:row r="4" ht="26" customHeight="1">
      <x:c r="A4" s="7" t="str">
        <x:v>Variable</x:v>
      </x:c>
      <x:c r="B4" s="7" t="str">
        <x:v>Valor editable</x:v>
      </x:c>
      <x:c r="C4" s="7" t="str">
        <x:v>Unidad</x:v>
      </x:c>
      <x:c r="D4" s="7" t="str">
        <x:v>Origen y alcance</x:v>
      </x:c>
    </x:row>
    <x:row r="5">
      <x:c r="A5" t="str">
        <x:v>Meses por año</x:v>
      </x:c>
      <x:c r="B5" s="25" t="n">
        <x:v>12</x:v>
      </x:c>
      <x:c r="C5" t="str">
        <x:v>meses</x:v>
      </x:c>
      <x:c r="D5" t="str">
        <x:v>Conversión anual a mensual</x:v>
      </x:c>
    </x:row>
    <x:row r="6">
      <x:c r="A6" t="str">
        <x:v>TRM usada en el escenario</x:v>
      </x:c>
      <x:c r="B6" s="25" t="n">
        <x:v>4050</x:v>
      </x:c>
      <x:c r="C6" t="str">
        <x:v>COP/USD</x:v>
      </x:c>
      <x:c r="D6" t="str">
        <x:v>SUPUESTO, no TRM histórica ni actual</x:v>
      </x:c>
    </x:row>
    <x:row r="7">
      <x:c r="A7" t="str">
        <x:v>Capacidad por servidor</x:v>
      </x:c>
      <x:c r="B7" s="25" t="n">
        <x:v>1000</x:v>
      </x:c>
      <x:c r="C7" t="str">
        <x:v>usuarios</x:v>
      </x:c>
      <x:c r="D7" t="str">
        <x:v>SUPUESTO de escala operativa</x:v>
      </x:c>
    </x:row>
    <x:row r="8">
      <x:c r="A8" t="str">
        <x:v>Servidor AWS</x:v>
      </x:c>
      <x:c r="B8" s="25" t="n">
        <x:v>25</x:v>
      </x:c>
      <x:c r="C8" t="str">
        <x:v>USD / servidor / mes</x:v>
      </x:c>
      <x:c r="D8" t="str">
        <x:v>SUPUESTO de infraestructura</x:v>
      </x:c>
    </x:row>
    <x:row r="9">
      <x:c r="A9" t="str">
        <x:v>Copia de seguridad inicial</x:v>
      </x:c>
      <x:c r="B9" s="25" t="n">
        <x:v>50</x:v>
      </x:c>
      <x:c r="C9" t="str">
        <x:v>GB</x:v>
      </x:c>
      <x:c r="D9" t="str">
        <x:v>SUPUESTO de almacenamiento base</x:v>
      </x:c>
    </x:row>
    <x:row r="10">
      <x:c r="A10" t="str">
        <x:v>Almacenamiento por usuario</x:v>
      </x:c>
      <x:c r="B10" s="32" t="n">
        <x:v>0.03</x:v>
      </x:c>
      <x:c r="C10" t="str">
        <x:v>GB / usuario / mes</x:v>
      </x:c>
      <x:c r="D10" t="str">
        <x:v>SUPUESTO incremental</x:v>
      </x:c>
    </x:row>
    <x:row r="11">
      <x:c r="A11" t="str">
        <x:v>Costo backup</x:v>
      </x:c>
      <x:c r="B11" s="32" t="n">
        <x:v>0.055</x:v>
      </x:c>
      <x:c r="C11" t="str">
        <x:v>USD / GB / mes</x:v>
      </x:c>
      <x:c r="D11" t="str">
        <x:v>SUPUESTO, no precio oficial AWS</x:v>
      </x:c>
    </x:row>
    <x:row r="12">
      <x:c r="A12" t="str">
        <x:v>Cuentas Workspace</x:v>
      </x:c>
      <x:c r="B12" s="25" t="n">
        <x:v>2</x:v>
      </x:c>
      <x:c r="C12" t="str">
        <x:v>cuentas</x:v>
      </x:c>
      <x:c r="D12" t="str">
        <x:v>SUPUESTO equipo administrativo</x:v>
      </x:c>
    </x:row>
    <x:row r="13">
      <x:c r="A13" t="str">
        <x:v>Costo Workspace</x:v>
      </x:c>
      <x:c r="B13" s="25" t="n">
        <x:v>8.5</x:v>
      </x:c>
      <x:c r="C13" t="str">
        <x:v>USD / cuenta / mes</x:v>
      </x:c>
      <x:c r="D13" t="str">
        <x:v>SUPUESTO, no precio oficial Google</x:v>
      </x:c>
    </x:row>
    <x:row r="14">
      <x:c r="A14" t="str">
        <x:v>Licencia n8n community</x:v>
      </x:c>
      <x:c r="B14" s="25" t="n">
        <x:v>0</x:v>
      </x:c>
      <x:c r="C14" t="str">
        <x:v>COP / mes</x:v>
      </x:c>
      <x:c r="D14" t="str">
        <x:v>SUPUESTO licencia 0, infraestructura cubierta AWS</x:v>
      </x:c>
    </x:row>
    <x:row r="15">
      <x:c r="A15" t="str">
        <x:v>Costo por mensaje Telegram</x:v>
      </x:c>
      <x:c r="B15" s="25" t="n">
        <x:v>0</x:v>
      </x:c>
      <x:c r="C15" t="str">
        <x:v>COP / mensaje</x:v>
      </x:c>
      <x:c r="D15" t="str">
        <x:v>SUPUESTO operativo</x:v>
      </x:c>
    </x:row>
    <x:row r="16">
      <x:c r="A16" t="str">
        <x:v>Comisión porcentual pasarela</x:v>
      </x:c>
      <x:c r="B16" s="28" t="n">
        <x:v>0.029</x:v>
      </x:c>
      <x:c r="C16" t="str">
        <x:v>proporción</x:v>
      </x:c>
      <x:c r="D16" t="str">
        <x:v>SUPUESTO nuevo, NO el de Airtable</x:v>
      </x:c>
    </x:row>
    <x:row r="17">
      <x:c r="A17" t="str">
        <x:v>Comisión fija pasarela</x:v>
      </x:c>
      <x:c r="B17" s="25" t="n">
        <x:v>750</x:v>
      </x:c>
      <x:c r="C17" t="str">
        <x:v>COP / cobro aprobado</x:v>
      </x:c>
      <x:c r="D17" t="str">
        <x:v>SUPUESTO nuevo, NO el de Airtable</x:v>
      </x:c>
    </x:row>
    <x:row r="18">
      <x:c r="A18" t="str">
        <x:v>IVA comisión</x:v>
      </x:c>
      <x:c r="B18" s="30" t="n">
        <x:v>0.19</x:v>
      </x:c>
      <x:c r="C18" t="str">
        <x:v>proporción</x:v>
      </x:c>
      <x:c r="D18" t="str">
        <x:v>SUPUESTO general: aplicado a las comisiones</x:v>
      </x:c>
    </x:row>
    <x:row r="19">
      <x:c r="A19" t="str">
        <x:v>Soporte plataforma usuario gratis</x:v>
      </x:c>
      <x:c r="B19" s="25" t="n">
        <x:v>90</x:v>
      </x:c>
      <x:c r="C19" t="str">
        <x:v>COP / usuario / mes</x:v>
      </x:c>
      <x:c r="D19" t="str">
        <x:v>SUPUESTO costo directo</x:v>
      </x:c>
    </x:row>
    <x:row r="20">
      <x:c r="A20" t="str">
        <x:v>Soporte plataforma usuario Plus</x:v>
      </x:c>
      <x:c r="B20" s="25" t="n">
        <x:v>165</x:v>
      </x:c>
      <x:c r="C20" t="str">
        <x:v>COP / usuario / mes</x:v>
      </x:c>
      <x:c r="D20" t="str">
        <x:v>SUPUESTO costo directo</x:v>
      </x:c>
    </x:row>
    <x:row r="21">
      <x:c r="A21" t="str">
        <x:v>Procesamiento deuda activa</x:v>
      </x:c>
      <x:c r="B21" s="25" t="n">
        <x:v>28</x:v>
      </x:c>
      <x:c r="C21" t="str">
        <x:v>COP / deuda / mes</x:v>
      </x:c>
      <x:c r="D21" t="str">
        <x:v>SUPUESTO costo directo</x:v>
      </x:c>
    </x:row>
    <x:row r="22">
      <x:c r="A22" t="str">
        <x:v>Equipo humano y operación</x:v>
      </x:c>
      <x:c r="B22" s="25" t="n">
        <x:v>2800000</x:v>
      </x:c>
      <x:c r="C22" t="str">
        <x:v>COP / mes</x:v>
      </x:c>
      <x:c r="D22" t="str">
        <x:v>SUPUESTO OPEX</x:v>
      </x:c>
    </x:row>
    <x:row r="23">
      <x:c r="A23" t="str">
        <x:v>Administración y herramientas</x:v>
      </x:c>
      <x:c r="B23" s="25" t="n">
        <x:v>350000</x:v>
      </x:c>
      <x:c r="C23" t="str">
        <x:v>COP / mes</x:v>
      </x:c>
      <x:c r="D23" t="str">
        <x:v>SUPUESTO OPEX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13" hidden="0" customWidth="1"/>
    <x:col min="4" max="4" width="34" hidden="0" customWidth="1"/>
    <x:col min="5" max="5" width="23" hidden="0" customWidth="1"/>
    <x:col min="6" max="6" width="13" hidden="0" customWidth="1"/>
    <x:col min="7" max="7" width="41" hidden="0" customWidth="1"/>
  </x:cols>
  <x:sheetData>
    <x:row r="1" ht="34" customHeight="1">
      <x:c r="A1" s="36" t="str">
        <x:v>proveedor_id</x:v>
      </x:c>
      <x:c r="B1" s="36" t="str">
        <x:v>nombre_proveedor</x:v>
      </x:c>
      <x:c r="C1" s="36" t="str">
        <x:v>categoria</x:v>
      </x:c>
      <x:c r="D1" s="36" t="str">
        <x:v>funcion</x:v>
      </x:c>
      <x:c r="E1" s="36" t="str">
        <x:v>moneda_de_referencia</x:v>
      </x:c>
      <x:c r="F1" s="36" t="str">
        <x:v>origen</x:v>
      </x:c>
      <x:c r="G1" s="36" t="str">
        <x:v>advertencia</x:v>
      </x:c>
    </x:row>
    <x:row r="2">
      <x:c r="A2" t="str">
        <x:v>PRV-01</x:v>
      </x:c>
      <x:c r="B2" t="str">
        <x:v>Amazon Web Services (AWS)</x:v>
      </x:c>
      <x:c r="C2" t="str">
        <x:v>Infraestructura en la nube</x:v>
      </x:c>
      <x:c r="D2" t="str">
        <x:v>Infraestructura / backups</x:v>
      </x:c>
      <x:c r="E2" t="str">
        <x:v>USD</x:v>
      </x:c>
      <x:c r="F2" t="str">
        <x:v>Airtable: Proveedores</x:v>
      </x:c>
      <x:c r="G2" t="str">
        <x:v>Catálogo de proveedor, no sus tarifas</x:v>
      </x:c>
    </x:row>
    <x:row r="3">
      <x:c r="A3" t="str">
        <x:v>PRV-02</x:v>
      </x:c>
      <x:c r="B3" t="str">
        <x:v>Mercado Pago</x:v>
      </x:c>
      <x:c r="C3" t="str">
        <x:v>Pasarela de pagos</x:v>
      </x:c>
      <x:c r="D3" t="str">
        <x:v>Cobro suscripciones Plus</x:v>
      </x:c>
      <x:c r="E3" t="str">
        <x:v>COP</x:v>
      </x:c>
      <x:c r="F3" t="str">
        <x:v>Airtable: Proveedores</x:v>
      </x:c>
      <x:c r="G3" t="str">
        <x:v>Comisión modelada desde cero</x:v>
      </x:c>
    </x:row>
    <x:row r="4">
      <x:c r="A4" t="str">
        <x:v>PRV-03</x:v>
      </x:c>
      <x:c r="B4" t="str">
        <x:v>Google</x:v>
      </x:c>
      <x:c r="C4" t="str">
        <x:v>Correo empresarial</x:v>
      </x:c>
      <x:c r="D4" t="str">
        <x:v>Google Workspace</x:v>
      </x:c>
      <x:c r="E4" t="str">
        <x:v>USD</x:v>
      </x:c>
      <x:c r="F4" t="str">
        <x:v>Airtable: Proveedores</x:v>
      </x:c>
      <x:c r="G4" t="str">
        <x:v>Precio supuesto no tomado de Airtable</x:v>
      </x:c>
    </x:row>
    <x:row r="5">
      <x:c r="A5" t="str">
        <x:v>PRV-04</x:v>
      </x:c>
      <x:c r="B5" t="str">
        <x:v>Telegram</x:v>
      </x:c>
      <x:c r="C5" t="str">
        <x:v>Mensajería</x:v>
      </x:c>
      <x:c r="D5" t="str">
        <x:v>Alertas de pago</x:v>
      </x:c>
      <x:c r="E5" t="str">
        <x:v>COP</x:v>
      </x:c>
      <x:c r="F5" t="str">
        <x:v>Airtable: Proveedores</x:v>
      </x:c>
      <x:c r="G5" t="str">
        <x:v>Uso bot en esquema de costo simulado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2" hidden="0" customWidth="1"/>
    <x:col min="4" max="4" width="13" hidden="0" customWidth="1"/>
    <x:col min="5" max="5" width="15" hidden="0" customWidth="1"/>
    <x:col min="6" max="6" width="19" hidden="0" customWidth="1"/>
    <x:col min="7" max="7" width="28" hidden="0" customWidth="1"/>
    <x:col min="8" max="8" width="16" hidden="0" customWidth="1"/>
    <x:col min="9" max="9" width="48" hidden="0" customWidth="1"/>
  </x:cols>
  <x:sheetData>
    <x:row r="1" ht="34" customHeight="1">
      <x:c r="A1" s="36" t="str">
        <x:v>insumo_id</x:v>
      </x:c>
      <x:c r="B1" s="36" t="str">
        <x:v>proveedor_id</x:v>
      </x:c>
      <x:c r="C1" s="36" t="str">
        <x:v>nombre_insumo</x:v>
      </x:c>
      <x:c r="D1" s="36" t="str">
        <x:v>categoria</x:v>
      </x:c>
      <x:c r="E1" s="36" t="str">
        <x:v>modelo_costo</x:v>
      </x:c>
      <x:c r="F1" s="36" t="str">
        <x:v>unidad</x:v>
      </x:c>
      <x:c r="G1" s="36" t="str">
        <x:v>parametros_de_modelo</x:v>
      </x:c>
      <x:c r="H1" s="36" t="str">
        <x:v>clasificacion</x:v>
      </x:c>
      <x:c r="I1" s="36" t="str">
        <x:v>nota</x:v>
      </x:c>
    </x:row>
    <x:row r="2">
      <x:c r="A2" t="str">
        <x:v>INS-01</x:v>
      </x:c>
      <x:c r="B2" t="str">
        <x:v>PRV-01</x:v>
      </x:c>
      <x:c r="C2" t="str">
        <x:v>Servidor AWS Lightsail de 4 GB</x:v>
      </x:c>
      <x:c r="D2" t="str">
        <x:v>Infraestructura</x:v>
      </x:c>
      <x:c r="E2" t="str">
        <x:v>Fijo escalonado</x:v>
      </x:c>
      <x:c r="F2" t="str">
        <x:v>Usuarios activos</x:v>
      </x:c>
      <x:c r="G2" t="str">
        <x:v>Supuestos B7:B8</x:v>
      </x:c>
      <x:c r="H2" t="str">
        <x:v>COGS</x:v>
      </x:c>
      <x:c r="I2" t="str">
        <x:v>Costeo nuevo a partir de uso</x:v>
      </x:c>
    </x:row>
    <x:row r="3">
      <x:c r="A3" t="str">
        <x:v>INS-02</x:v>
      </x:c>
      <x:c r="B3" t="str">
        <x:v>PRV-01</x:v>
      </x:c>
      <x:c r="C3" t="str">
        <x:v>Copia de seguridad AWS de 80 GB</x:v>
      </x:c>
      <x:c r="D3" t="str">
        <x:v>Copia de seguridad</x:v>
      </x:c>
      <x:c r="E3" t="str">
        <x:v>Fijo más variable</x:v>
      </x:c>
      <x:c r="F3" t="str">
        <x:v>GB/mes</x:v>
      </x:c>
      <x:c r="G3" t="str">
        <x:v>Supuestos B9:B11</x:v>
      </x:c>
      <x:c r="H3" t="str">
        <x:v>COGS</x:v>
      </x:c>
      <x:c r="I3" t="str">
        <x:v>Se estima espacio utilizado, no se hereda COGS</x:v>
      </x:c>
    </x:row>
    <x:row r="4">
      <x:c r="A4" t="str">
        <x:v>INS-03</x:v>
      </x:c>
      <x:c r="B4" t="str">
        <x:v>PRV-01</x:v>
      </x:c>
      <x:c r="C4" t="str">
        <x:v>n8n Community autohospedado</x:v>
      </x:c>
      <x:c r="D4" t="str">
        <x:v>Automatización</x:v>
      </x:c>
      <x:c r="E4" t="str">
        <x:v>Incluido</x:v>
      </x:c>
      <x:c r="F4" t="str">
        <x:v>Mes</x:v>
      </x:c>
      <x:c r="G4" t="str">
        <x:v>Supuestos B14</x:v>
      </x:c>
      <x:c r="H4" t="str">
        <x:v>COGS</x:v>
      </x:c>
      <x:c r="I4" t="str">
        <x:v>Licencia modelada en cero, alojamiento en AWS</x:v>
      </x:c>
    </x:row>
    <x:row r="5">
      <x:c r="A5" t="str">
        <x:v>INS-04</x:v>
      </x:c>
      <x:c r="B5" t="str">
        <x:v>PRV-03</x:v>
      </x:c>
      <x:c r="C5" t="str">
        <x:v>Google Workspace Business Starter (Gmail)</x:v>
      </x:c>
      <x:c r="D5" t="str">
        <x:v>Correo electrónico</x:v>
      </x:c>
      <x:c r="E5" t="str">
        <x:v>Fijo</x:v>
      </x:c>
      <x:c r="F5" t="str">
        <x:v>Cuentas/mes</x:v>
      </x:c>
      <x:c r="G5" t="str">
        <x:v>Supuestos B12:B13</x:v>
      </x:c>
      <x:c r="H5" t="str">
        <x:v>OPEX</x:v>
      </x:c>
      <x:c r="I5" t="str">
        <x:v>Coste supuesto en USD</x:v>
      </x:c>
    </x:row>
    <x:row r="6">
      <x:c r="A6" t="str">
        <x:v>INS-05</x:v>
      </x:c>
      <x:c r="B6" t="str">
        <x:v>PRV-04</x:v>
      </x:c>
      <x:c r="C6" t="str">
        <x:v>API de bots de Telegram</x:v>
      </x:c>
      <x:c r="D6" t="str">
        <x:v>Mensajería</x:v>
      </x:c>
      <x:c r="E6" t="str">
        <x:v>Por mensaje</x:v>
      </x:c>
      <x:c r="F6" t="str">
        <x:v>Mensaje</x:v>
      </x:c>
      <x:c r="G6" t="str">
        <x:v>Supuestos B15</x:v>
      </x:c>
      <x:c r="H6" t="str">
        <x:v>COGS</x:v>
      </x:c>
      <x:c r="I6" t="str">
        <x:v>Costo supuesto por alerta</x:v>
      </x:c>
    </x:row>
    <x:row r="7">
      <x:c r="A7" t="str">
        <x:v>INS-06</x:v>
      </x:c>
      <x:c r="B7" t="str">
        <x:v>PRV-02</x:v>
      </x:c>
      <x:c r="C7" t="str">
        <x:v>Comisión porcentual de Mercado Pago</x:v>
      </x:c>
      <x:c r="D7" t="str">
        <x:v>Procesamiento de pagos</x:v>
      </x:c>
      <x:c r="E7" t="str">
        <x:v>Porcentaje</x:v>
      </x:c>
      <x:c r="F7" t="str">
        <x:v>Recaudo aprobado</x:v>
      </x:c>
      <x:c r="G7" t="str">
        <x:v>Supuestos B16</x:v>
      </x:c>
      <x:c r="H7" t="str">
        <x:v>COGS</x:v>
      </x:c>
      <x:c r="I7" t="str">
        <x:v>Tasa simulada, NO tarifa publicada</x:v>
      </x:c>
    </x:row>
    <x:row r="8">
      <x:c r="A8" t="str">
        <x:v>INS-07</x:v>
      </x:c>
      <x:c r="B8" t="str">
        <x:v>PRV-02</x:v>
      </x:c>
      <x:c r="C8" t="str">
        <x:v>Comisión fija de Mercado Pago</x:v>
      </x:c>
      <x:c r="D8" t="str">
        <x:v>Procesamiento de pagos</x:v>
      </x:c>
      <x:c r="E8" t="str">
        <x:v>Por transacción</x:v>
      </x:c>
      <x:c r="F8" t="str">
        <x:v>Cobro aprobado</x:v>
      </x:c>
      <x:c r="G8" t="str">
        <x:v>Supuestos B17</x:v>
      </x:c>
      <x:c r="H8" t="str">
        <x:v>COGS</x:v>
      </x:c>
      <x:c r="I8" t="str">
        <x:v>Tarifa simulada, NO tarifa publicada</x:v>
      </x:c>
    </x:row>
    <x:row r="9">
      <x:c r="A9" t="str">
        <x:v>INS-08</x:v>
      </x:c>
      <x:c r="B9" t="str">
        <x:v>PRV-02</x:v>
      </x:c>
      <x:c r="C9" t="str">
        <x:v>IVA sobre comisión de Mercado Pago</x:v>
      </x:c>
      <x:c r="D9" t="str">
        <x:v>Impuestos</x:v>
      </x:c>
      <x:c r="E9" t="str">
        <x:v>Porcentaje</x:v>
      </x:c>
      <x:c r="F9" t="str">
        <x:v>Comisiones calculadas</x:v>
      </x:c>
      <x:c r="G9" t="str">
        <x:v>Supuestos B18</x:v>
      </x:c>
      <x:c r="H9" t="str">
        <x:v>COGS</x:v>
      </x:c>
      <x:c r="I9" t="str">
        <x:v>IVA sobre comisión modelada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3" hidden="0" customWidth="1"/>
    <x:col min="4" max="4" width="13" hidden="0" customWidth="1"/>
    <x:col min="5" max="5" width="15" hidden="0" customWidth="1"/>
    <x:col min="6" max="6" width="17" hidden="0" customWidth="1"/>
    <x:col min="7" max="7" width="20" hidden="0" customWidth="1"/>
    <x:col min="8" max="8" width="30" hidden="0" customWidth="1"/>
    <x:col min="9" max="9" width="13" hidden="0" customWidth="1"/>
    <x:col min="10" max="10" width="15" hidden="0" customWidth="1"/>
  </x:cols>
  <x:sheetData>
    <x:row r="1" ht="34" customHeight="1">
      <x:c r="A1" s="36" t="str">
        <x:v>usuario_id</x:v>
      </x:c>
      <x:c r="B1" s="36" t="str">
        <x:v>fecha_registro</x:v>
      </x:c>
      <x:c r="C1" s="36" t="str">
        <x:v>edad</x:v>
      </x:c>
      <x:c r="D1" s="36" t="str">
        <x:v>ciudad</x:v>
      </x:c>
      <x:c r="E1" s="36" t="str">
        <x:v>departamento</x:v>
      </x:c>
      <x:c r="F1" s="36" t="str">
        <x:v>rango_ingresos</x:v>
      </x:c>
      <x:c r="G1" s="36" t="str">
        <x:v>canal_adquisicion</x:v>
      </x:c>
      <x:c r="H1" s="36" t="str">
        <x:v>ingreso_mensual_estimado_cop</x:v>
      </x:c>
      <x:c r="I1" s="36" t="str">
        <x:v>motivacion</x:v>
      </x:c>
      <x:c r="J1" s="36" t="str">
        <x:v>estado_final</x:v>
      </x:c>
    </x:row>
    <x:row r="2">
      <x:c r="A2" t="str">
        <x:v>USR-00001</x:v>
      </x:c>
      <x:c r="B2" t="n">
        <x:v>45668</x:v>
      </x:c>
      <x:c r="C2" t="n">
        <x:v>44</x:v>
      </x:c>
      <x:c r="D2" t="str">
        <x:v>Medellín</x:v>
      </x:c>
      <x:c r="E2" t="str">
        <x:v>Antioquia</x:v>
      </x:c>
      <x:c r="F2" t="str">
        <x:v>Entre $1,5 M y $3 M</x:v>
      </x:c>
      <x:c r="G2" t="str">
        <x:v>Redes sociales</x:v>
      </x:c>
      <x:c r="H2" t="n">
        <x:v>2375000</x:v>
      </x:c>
      <x:c r="I2" t="str">
        <x:v>Salir de deudas</x:v>
      </x:c>
      <x:c r="J2" t="str">
        <x:v>Plus anual</x:v>
      </x:c>
    </x:row>
    <x:row r="3">
      <x:c r="A3" t="str">
        <x:v>USR-00002</x:v>
      </x:c>
      <x:c r="B3" t="n">
        <x:v>45679</x:v>
      </x:c>
      <x:c r="C3" t="n">
        <x:v>54</x:v>
      </x:c>
      <x:c r="D3" t="str">
        <x:v>Bogotá</x:v>
      </x:c>
      <x:c r="E3" t="str">
        <x:v>Bogotá D.C.</x:v>
      </x:c>
      <x:c r="F3" t="str">
        <x:v>Entre $3 M y $5 M</x:v>
      </x:c>
      <x:c r="G3" t="str">
        <x:v>Alianzas</x:v>
      </x:c>
      <x:c r="H3" t="n">
        <x:v>4915000</x:v>
      </x:c>
      <x:c r="I3" t="str">
        <x:v>Reducir intereses</x:v>
      </x:c>
      <x:c r="J3" t="str">
        <x:v>Plus anual</x:v>
      </x:c>
    </x:row>
    <x:row r="4">
      <x:c r="A4" t="str">
        <x:v>USR-00003</x:v>
      </x:c>
      <x:c r="B4" t="n">
        <x:v>45662</x:v>
      </x:c>
      <x:c r="C4" t="n">
        <x:v>63</x:v>
      </x:c>
      <x:c r="D4" t="str">
        <x:v>Bogotá</x:v>
      </x:c>
      <x:c r="E4" t="str">
        <x:v>Bogotá D.C.</x:v>
      </x:c>
      <x:c r="F4" t="str">
        <x:v>Entre $1,5 M y $3 M</x:v>
      </x:c>
      <x:c r="G4" t="str">
        <x:v>Redes sociales</x:v>
      </x:c>
      <x:c r="H4" t="n">
        <x:v>2737000</x:v>
      </x:c>
      <x:c r="I4" t="str">
        <x:v>Organización inicial</x:v>
      </x:c>
      <x:c r="J4" t="str">
        <x:v>Plus anual</x:v>
      </x:c>
    </x:row>
    <x:row r="5">
      <x:c r="A5" t="str">
        <x:v>USR-00004</x:v>
      </x:c>
      <x:c r="B5" t="n">
        <x:v>45668</x:v>
      </x:c>
      <x:c r="C5" t="n">
        <x:v>49</x:v>
      </x:c>
      <x:c r="D5" t="str">
        <x:v>Bogotá</x:v>
      </x:c>
      <x:c r="E5" t="str">
        <x:v>Bogotá D.C.</x:v>
      </x:c>
      <x:c r="F5" t="str">
        <x:v>Menos de $1,5 M</x:v>
      </x:c>
      <x:c r="G5" t="str">
        <x:v>Alianzas</x:v>
      </x:c>
      <x:c r="H5" t="n">
        <x:v>1276000</x:v>
      </x:c>
      <x:c r="I5" t="str">
        <x:v>Reducir intereses</x:v>
      </x:c>
      <x:c r="J5" t="str">
        <x:v>Plus anual</x:v>
      </x:c>
    </x:row>
    <x:row r="6">
      <x:c r="A6" t="str">
        <x:v>USR-00005</x:v>
      </x:c>
      <x:c r="B6" t="n">
        <x:v>45667</x:v>
      </x:c>
      <x:c r="C6" t="n">
        <x:v>45</x:v>
      </x:c>
      <x:c r="D6" t="str">
        <x:v>Bogotá</x:v>
      </x:c>
      <x:c r="E6" t="str">
        <x:v>Bogotá D.C.</x:v>
      </x:c>
      <x:c r="F6" t="str">
        <x:v>Entre $1,5 M y $3 M</x:v>
      </x:c>
      <x:c r="G6" t="str">
        <x:v>Orgánico</x:v>
      </x:c>
      <x:c r="H6" t="n">
        <x:v>2477000</x:v>
      </x:c>
      <x:c r="I6" t="str">
        <x:v>Control de pagos</x:v>
      </x:c>
      <x:c r="J6" t="str">
        <x:v>Plus anual</x:v>
      </x:c>
    </x:row>
    <x:row r="7">
      <x:c r="A7" t="str">
        <x:v>USR-00006</x:v>
      </x:c>
      <x:c r="B7" t="n">
        <x:v>45677</x:v>
      </x:c>
      <x:c r="C7" t="n">
        <x:v>62</x:v>
      </x:c>
      <x:c r="D7" t="str">
        <x:v>Medellín</x:v>
      </x:c>
      <x:c r="E7" t="str">
        <x:v>Antioquia</x:v>
      </x:c>
      <x:c r="F7" t="str">
        <x:v>Entre $3 M y $5 M</x:v>
      </x:c>
      <x:c r="G7" t="str">
        <x:v>Redes sociales</x:v>
      </x:c>
      <x:c r="H7" t="n">
        <x:v>3611000</x:v>
      </x:c>
      <x:c r="I7" t="str">
        <x:v>Salir de deudas</x:v>
      </x:c>
      <x:c r="J7" t="str">
        <x:v>Plus mensual</x:v>
      </x:c>
    </x:row>
    <x:row r="8">
      <x:c r="A8" t="str">
        <x:v>USR-00007</x:v>
      </x:c>
      <x:c r="B8" t="n">
        <x:v>45667</x:v>
      </x:c>
      <x:c r="C8" t="n">
        <x:v>34</x:v>
      </x:c>
      <x:c r="D8" t="str">
        <x:v>Bogotá</x:v>
      </x:c>
      <x:c r="E8" t="str">
        <x:v>Bogotá D.C.</x:v>
      </x:c>
      <x:c r="F8" t="str">
        <x:v>Entre $1,5 M y $3 M</x:v>
      </x:c>
      <x:c r="G8" t="str">
        <x:v>Redes sociales</x:v>
      </x:c>
      <x:c r="H8" t="n">
        <x:v>2820000</x:v>
      </x:c>
      <x:c r="I8" t="str">
        <x:v>Salir de deudas</x:v>
      </x:c>
      <x:c r="J8" t="str">
        <x:v>Plus mensual</x:v>
      </x:c>
    </x:row>
    <x:row r="9">
      <x:c r="A9" t="str">
        <x:v>USR-00008</x:v>
      </x:c>
      <x:c r="B9" t="n">
        <x:v>45671</x:v>
      </x:c>
      <x:c r="C9" t="n">
        <x:v>33</x:v>
      </x:c>
      <x:c r="D9" t="str">
        <x:v>Barranquilla</x:v>
      </x:c>
      <x:c r="E9" t="str">
        <x:v>Atlántico</x:v>
      </x:c>
      <x:c r="F9" t="str">
        <x:v>Más de $5 M</x:v>
      </x:c>
      <x:c r="G9" t="str">
        <x:v>Redes sociales</x:v>
      </x:c>
      <x:c r="H9" t="n">
        <x:v>5410000</x:v>
      </x:c>
      <x:c r="I9" t="str">
        <x:v>Salir de deudas</x:v>
      </x:c>
      <x:c r="J9" t="str">
        <x:v>Cero</x:v>
      </x:c>
    </x:row>
    <x:row r="10">
      <x:c r="A10" t="str">
        <x:v>USR-00009</x:v>
      </x:c>
      <x:c r="B10" t="n">
        <x:v>45679</x:v>
      </x:c>
      <x:c r="C10" t="n">
        <x:v>46</x:v>
      </x:c>
      <x:c r="D10" t="str">
        <x:v>Barranquilla</x:v>
      </x:c>
      <x:c r="E10" t="str">
        <x:v>Atlántico</x:v>
      </x:c>
      <x:c r="F10" t="str">
        <x:v>Entre $1,5 M y $3 M</x:v>
      </x:c>
      <x:c r="G10" t="str">
        <x:v>Orgánico</x:v>
      </x:c>
      <x:c r="H10" t="n">
        <x:v>1879000</x:v>
      </x:c>
      <x:c r="I10" t="str">
        <x:v>Salir de deudas</x:v>
      </x:c>
      <x:c r="J10" t="str">
        <x:v>Plus mensual</x:v>
      </x:c>
    </x:row>
    <x:row r="11">
      <x:c r="A11" t="str">
        <x:v>USR-00010</x:v>
      </x:c>
      <x:c r="B11" t="n">
        <x:v>45659</x:v>
      </x:c>
      <x:c r="C11" t="n">
        <x:v>63</x:v>
      </x:c>
      <x:c r="D11" t="str">
        <x:v>Bogotá</x:v>
      </x:c>
      <x:c r="E11" t="str">
        <x:v>Bogotá D.C.</x:v>
      </x:c>
      <x:c r="F11" t="str">
        <x:v>Entre $3 M y $5 M</x:v>
      </x:c>
      <x:c r="G11" t="str">
        <x:v>Contenido educativo</x:v>
      </x:c>
      <x:c r="H11" t="n">
        <x:v>4483000</x:v>
      </x:c>
      <x:c r="I11" t="str">
        <x:v>Reducir intereses</x:v>
      </x:c>
      <x:c r="J11" t="str">
        <x:v>Cero</x:v>
      </x:c>
    </x:row>
    <x:row r="12">
      <x:c r="A12" t="str">
        <x:v>USR-00011</x:v>
      </x:c>
      <x:c r="B12" t="n">
        <x:v>45679</x:v>
      </x:c>
      <x:c r="C12" t="n">
        <x:v>38</x:v>
      </x:c>
      <x:c r="D12" t="str">
        <x:v>Bogotá</x:v>
      </x:c>
      <x:c r="E12" t="str">
        <x:v>Bogotá D.C.</x:v>
      </x:c>
      <x:c r="F12" t="str">
        <x:v>Entre $1,5 M y $3 M</x:v>
      </x:c>
      <x:c r="G12" t="str">
        <x:v>Contenido educativo</x:v>
      </x:c>
      <x:c r="H12" t="n">
        <x:v>2104000</x:v>
      </x:c>
      <x:c r="I12" t="str">
        <x:v>Reducir intereses</x:v>
      </x:c>
      <x:c r="J12" t="str">
        <x:v>Plus mensual</x:v>
      </x:c>
    </x:row>
    <x:row r="13">
      <x:c r="A13" t="str">
        <x:v>USR-00012</x:v>
      </x:c>
      <x:c r="B13" t="n">
        <x:v>45678</x:v>
      </x:c>
      <x:c r="C13" t="n">
        <x:v>37</x:v>
      </x:c>
      <x:c r="D13" t="str">
        <x:v>Bogotá</x:v>
      </x:c>
      <x:c r="E13" t="str">
        <x:v>Bogotá D.C.</x:v>
      </x:c>
      <x:c r="F13" t="str">
        <x:v>Entre $1,5 M y $3 M</x:v>
      </x:c>
      <x:c r="G13" t="str">
        <x:v>Referidos</x:v>
      </x:c>
      <x:c r="H13" t="n">
        <x:v>2238000</x:v>
      </x:c>
      <x:c r="I13" t="str">
        <x:v>Reducir intereses</x:v>
      </x:c>
      <x:c r="J13" t="str">
        <x:v>Cero</x:v>
      </x:c>
    </x:row>
    <x:row r="14">
      <x:c r="A14" t="str">
        <x:v>USR-00013</x:v>
      </x:c>
      <x:c r="B14" t="n">
        <x:v>45663</x:v>
      </x:c>
      <x:c r="C14" t="n">
        <x:v>48</x:v>
      </x:c>
      <x:c r="D14" t="str">
        <x:v>Barranquilla</x:v>
      </x:c>
      <x:c r="E14" t="str">
        <x:v>Atlántico</x:v>
      </x:c>
      <x:c r="F14" t="str">
        <x:v>Entre $1,5 M y $3 M</x:v>
      </x:c>
      <x:c r="G14" t="str">
        <x:v>Búsqueda paga</x:v>
      </x:c>
      <x:c r="H14" t="n">
        <x:v>2370000</x:v>
      </x:c>
      <x:c r="I14" t="str">
        <x:v>Salir de deudas</x:v>
      </x:c>
      <x:c r="J14" t="str">
        <x:v>Plus anual</x:v>
      </x:c>
    </x:row>
    <x:row r="15">
      <x:c r="A15" t="str">
        <x:v>USR-00014</x:v>
      </x:c>
      <x:c r="B15" t="n">
        <x:v>45662</x:v>
      </x:c>
      <x:c r="C15" t="n">
        <x:v>37</x:v>
      </x:c>
      <x:c r="D15" t="str">
        <x:v>Bucaramanga</x:v>
      </x:c>
      <x:c r="E15" t="str">
        <x:v>Santander</x:v>
      </x:c>
      <x:c r="F15" t="str">
        <x:v>Entre $1,5 M y $3 M</x:v>
      </x:c>
      <x:c r="G15" t="str">
        <x:v>Redes sociales</x:v>
      </x:c>
      <x:c r="H15" t="n">
        <x:v>1824000</x:v>
      </x:c>
      <x:c r="I15" t="str">
        <x:v>Control de pagos</x:v>
      </x:c>
      <x:c r="J15" t="str">
        <x:v>Cero</x:v>
      </x:c>
    </x:row>
    <x:row r="16">
      <x:c r="A16" t="str">
        <x:v>USR-00015</x:v>
      </x:c>
      <x:c r="B16" t="n">
        <x:v>45682</x:v>
      </x:c>
      <x:c r="C16" t="n">
        <x:v>58</x:v>
      </x:c>
      <x:c r="D16" t="str">
        <x:v>Barranquilla</x:v>
      </x:c>
      <x:c r="E16" t="str">
        <x:v>Atlántico</x:v>
      </x:c>
      <x:c r="F16" t="str">
        <x:v>Menos de $1,5 M</x:v>
      </x:c>
      <x:c r="G16" t="str">
        <x:v>Contenido educativo</x:v>
      </x:c>
      <x:c r="H16" t="n">
        <x:v>1019000</x:v>
      </x:c>
      <x:c r="I16" t="str">
        <x:v>Control de pagos</x:v>
      </x:c>
      <x:c r="J16" t="str">
        <x:v>Plus mensual</x:v>
      </x:c>
    </x:row>
    <x:row r="17">
      <x:c r="A17" t="str">
        <x:v>USR-00016</x:v>
      </x:c>
      <x:c r="B17" t="n">
        <x:v>45669</x:v>
      </x:c>
      <x:c r="C17" t="n">
        <x:v>38</x:v>
      </x:c>
      <x:c r="D17" t="str">
        <x:v>Bogotá</x:v>
      </x:c>
      <x:c r="E17" t="str">
        <x:v>Bogotá D.C.</x:v>
      </x:c>
      <x:c r="F17" t="str">
        <x:v>Menos de $1,5 M</x:v>
      </x:c>
      <x:c r="G17" t="str">
        <x:v>Búsqueda paga</x:v>
      </x:c>
      <x:c r="H17" t="n">
        <x:v>1154000</x:v>
      </x:c>
      <x:c r="I17" t="str">
        <x:v>Reducir intereses</x:v>
      </x:c>
      <x:c r="J17" t="str">
        <x:v>Plus anual</x:v>
      </x:c>
    </x:row>
    <x:row r="18">
      <x:c r="A18" t="str">
        <x:v>USR-00017</x:v>
      </x:c>
      <x:c r="B18" t="n">
        <x:v>45667</x:v>
      </x:c>
      <x:c r="C18" t="n">
        <x:v>35</x:v>
      </x:c>
      <x:c r="D18" t="str">
        <x:v>Bogotá</x:v>
      </x:c>
      <x:c r="E18" t="str">
        <x:v>Bogotá D.C.</x:v>
      </x:c>
      <x:c r="F18" t="str">
        <x:v>Entre $1,5 M y $3 M</x:v>
      </x:c>
      <x:c r="G18" t="str">
        <x:v>Orgánico</x:v>
      </x:c>
      <x:c r="H18" t="n">
        <x:v>2884000</x:v>
      </x:c>
      <x:c r="I18" t="str">
        <x:v>Control de pagos</x:v>
      </x:c>
      <x:c r="J18" t="str">
        <x:v>Plus anual</x:v>
      </x:c>
    </x:row>
    <x:row r="19">
      <x:c r="A19" t="str">
        <x:v>USR-00018</x:v>
      </x:c>
      <x:c r="B19" t="n">
        <x:v>45682</x:v>
      </x:c>
      <x:c r="C19" t="n">
        <x:v>44</x:v>
      </x:c>
      <x:c r="D19" t="str">
        <x:v>Bogotá</x:v>
      </x:c>
      <x:c r="E19" t="str">
        <x:v>Bogotá D.C.</x:v>
      </x:c>
      <x:c r="F19" t="str">
        <x:v>Entre $1,5 M y $3 M</x:v>
      </x:c>
      <x:c r="G19" t="str">
        <x:v>Referidos</x:v>
      </x:c>
      <x:c r="H19" t="n">
        <x:v>1701000</x:v>
      </x:c>
      <x:c r="I19" t="str">
        <x:v>Reducir intereses</x:v>
      </x:c>
      <x:c r="J19" t="str">
        <x:v>Plus mensual</x:v>
      </x:c>
    </x:row>
    <x:row r="20">
      <x:c r="A20" t="str">
        <x:v>USR-00019</x:v>
      </x:c>
      <x:c r="B20" t="n">
        <x:v>45660</x:v>
      </x:c>
      <x:c r="C20" t="n">
        <x:v>60</x:v>
      </x:c>
      <x:c r="D20" t="str">
        <x:v>Bogotá</x:v>
      </x:c>
      <x:c r="E20" t="str">
        <x:v>Bogotá D.C.</x:v>
      </x:c>
      <x:c r="F20" t="str">
        <x:v>Entre $3 M y $5 M</x:v>
      </x:c>
      <x:c r="G20" t="str">
        <x:v>Redes sociales</x:v>
      </x:c>
      <x:c r="H20" t="n">
        <x:v>4404000</x:v>
      </x:c>
      <x:c r="I20" t="str">
        <x:v>Reducir intereses</x:v>
      </x:c>
      <x:c r="J20" t="str">
        <x:v>Plus mensual</x:v>
      </x:c>
    </x:row>
    <x:row r="21">
      <x:c r="A21" t="str">
        <x:v>USR-00020</x:v>
      </x:c>
      <x:c r="B21" t="n">
        <x:v>45672</x:v>
      </x:c>
      <x:c r="C21" t="n">
        <x:v>50</x:v>
      </x:c>
      <x:c r="D21" t="str">
        <x:v>Bogotá</x:v>
      </x:c>
      <x:c r="E21" t="str">
        <x:v>Bogotá D.C.</x:v>
      </x:c>
      <x:c r="F21" t="str">
        <x:v>Entre $1,5 M y $3 M</x:v>
      </x:c>
      <x:c r="G21" t="str">
        <x:v>Alianzas</x:v>
      </x:c>
      <x:c r="H21" t="n">
        <x:v>2330000</x:v>
      </x:c>
      <x:c r="I21" t="str">
        <x:v>Control de pagos</x:v>
      </x:c>
      <x:c r="J21" t="str">
        <x:v>Cero</x:v>
      </x:c>
    </x:row>
    <x:row r="22">
      <x:c r="A22" t="str">
        <x:v>USR-00021</x:v>
      </x:c>
      <x:c r="B22" t="n">
        <x:v>45675</x:v>
      </x:c>
      <x:c r="C22" t="n">
        <x:v>51</x:v>
      </x:c>
      <x:c r="D22" t="str">
        <x:v>Cali</x:v>
      </x:c>
      <x:c r="E22" t="str">
        <x:v>Valle del Cauca</x:v>
      </x:c>
      <x:c r="F22" t="str">
        <x:v>Menos de $1,5 M</x:v>
      </x:c>
      <x:c r="G22" t="str">
        <x:v>Redes sociales</x:v>
      </x:c>
      <x:c r="H22" t="n">
        <x:v>1324000</x:v>
      </x:c>
      <x:c r="I22" t="str">
        <x:v>Organización inicial</x:v>
      </x:c>
      <x:c r="J22" t="str">
        <x:v>Plus anual</x:v>
      </x:c>
    </x:row>
    <x:row r="23">
      <x:c r="A23" t="str">
        <x:v>USR-00022</x:v>
      </x:c>
      <x:c r="B23" t="n">
        <x:v>45680</x:v>
      </x:c>
      <x:c r="C23" t="n">
        <x:v>36</x:v>
      </x:c>
      <x:c r="D23" t="str">
        <x:v>Bogotá</x:v>
      </x:c>
      <x:c r="E23" t="str">
        <x:v>Bogotá D.C.</x:v>
      </x:c>
      <x:c r="F23" t="str">
        <x:v>Entre $3 M y $5 M</x:v>
      </x:c>
      <x:c r="G23" t="str">
        <x:v>Orgánico</x:v>
      </x:c>
      <x:c r="H23" t="n">
        <x:v>4292000</x:v>
      </x:c>
      <x:c r="I23" t="str">
        <x:v>Reducir intereses</x:v>
      </x:c>
      <x:c r="J23" t="str">
        <x:v>Plus anual</x:v>
      </x:c>
    </x:row>
    <x:row r="24">
      <x:c r="A24" t="str">
        <x:v>USR-00023</x:v>
      </x:c>
      <x:c r="B24" t="n">
        <x:v>45677</x:v>
      </x:c>
      <x:c r="C24" t="n">
        <x:v>24</x:v>
      </x:c>
      <x:c r="D24" t="str">
        <x:v>Bogotá</x:v>
      </x:c>
      <x:c r="E24" t="str">
        <x:v>Bogotá D.C.</x:v>
      </x:c>
      <x:c r="F24" t="str">
        <x:v>Menos de $1,5 M</x:v>
      </x:c>
      <x:c r="G24" t="str">
        <x:v>Alianzas</x:v>
      </x:c>
      <x:c r="H24" t="n">
        <x:v>1401000</x:v>
      </x:c>
      <x:c r="I24" t="str">
        <x:v>Reducir intereses</x:v>
      </x:c>
      <x:c r="J24" t="str">
        <x:v>Cero</x:v>
      </x:c>
    </x:row>
    <x:row r="25">
      <x:c r="A25" t="str">
        <x:v>USR-00024</x:v>
      </x:c>
      <x:c r="B25" t="n">
        <x:v>45663</x:v>
      </x:c>
      <x:c r="C25" t="n">
        <x:v>59</x:v>
      </x:c>
      <x:c r="D25" t="str">
        <x:v>Bogotá</x:v>
      </x:c>
      <x:c r="E25" t="str">
        <x:v>Bogotá D.C.</x:v>
      </x:c>
      <x:c r="F25" t="str">
        <x:v>Menos de $1,5 M</x:v>
      </x:c>
      <x:c r="G25" t="str">
        <x:v>Orgánico</x:v>
      </x:c>
      <x:c r="H25" t="n">
        <x:v>1327000</x:v>
      </x:c>
      <x:c r="I25" t="str">
        <x:v>Organización inicial</x:v>
      </x:c>
      <x:c r="J25" t="str">
        <x:v>Plus anual</x:v>
      </x:c>
    </x:row>
    <x:row r="26">
      <x:c r="A26" t="str">
        <x:v>USR-00025</x:v>
      </x:c>
      <x:c r="B26" t="n">
        <x:v>45671</x:v>
      </x:c>
      <x:c r="C26" t="n">
        <x:v>57</x:v>
      </x:c>
      <x:c r="D26" t="str">
        <x:v>Pereira</x:v>
      </x:c>
      <x:c r="E26" t="str">
        <x:v>Risaralda</x:v>
      </x:c>
      <x:c r="F26" t="str">
        <x:v>Entre $1,5 M y $3 M</x:v>
      </x:c>
      <x:c r="G26" t="str">
        <x:v>Orgánico</x:v>
      </x:c>
      <x:c r="H26" t="n">
        <x:v>2063000</x:v>
      </x:c>
      <x:c r="I26" t="str">
        <x:v>Control de pagos</x:v>
      </x:c>
      <x:c r="J26" t="str">
        <x:v>Plus anual</x:v>
      </x:c>
    </x:row>
    <x:row r="27">
      <x:c r="A27" t="str">
        <x:v>USR-00026</x:v>
      </x:c>
      <x:c r="B27" t="n">
        <x:v>45672</x:v>
      </x:c>
      <x:c r="C27" t="n">
        <x:v>57</x:v>
      </x:c>
      <x:c r="D27" t="str">
        <x:v>Bogotá</x:v>
      </x:c>
      <x:c r="E27" t="str">
        <x:v>Bogotá D.C.</x:v>
      </x:c>
      <x:c r="F27" t="str">
        <x:v>Entre $3 M y $5 M</x:v>
      </x:c>
      <x:c r="G27" t="str">
        <x:v>Redes sociales</x:v>
      </x:c>
      <x:c r="H27" t="n">
        <x:v>3183000</x:v>
      </x:c>
      <x:c r="I27" t="str">
        <x:v>Salir de deudas</x:v>
      </x:c>
      <x:c r="J27" t="str">
        <x:v>Cero</x:v>
      </x:c>
    </x:row>
    <x:row r="28">
      <x:c r="A28" t="str">
        <x:v>USR-00027</x:v>
      </x:c>
      <x:c r="B28" t="n">
        <x:v>45680</x:v>
      </x:c>
      <x:c r="C28" t="n">
        <x:v>51</x:v>
      </x:c>
      <x:c r="D28" t="str">
        <x:v>Bogotá</x:v>
      </x:c>
      <x:c r="E28" t="str">
        <x:v>Bogotá D.C.</x:v>
      </x:c>
      <x:c r="F28" t="str">
        <x:v>Entre $1,5 M y $3 M</x:v>
      </x:c>
      <x:c r="G28" t="str">
        <x:v>Alianzas</x:v>
      </x:c>
      <x:c r="H28" t="n">
        <x:v>2606000</x:v>
      </x:c>
      <x:c r="I28" t="str">
        <x:v>Organización inicial</x:v>
      </x:c>
      <x:c r="J28" t="str">
        <x:v>Inactivo</x:v>
      </x:c>
    </x:row>
    <x:row r="29">
      <x:c r="A29" t="str">
        <x:v>USR-00028</x:v>
      </x:c>
      <x:c r="B29" t="n">
        <x:v>45669</x:v>
      </x:c>
      <x:c r="C29" t="n">
        <x:v>40</x:v>
      </x:c>
      <x:c r="D29" t="str">
        <x:v>Cali</x:v>
      </x:c>
      <x:c r="E29" t="str">
        <x:v>Valle del Cauca</x:v>
      </x:c>
      <x:c r="F29" t="str">
        <x:v>Entre $1,5 M y $3 M</x:v>
      </x:c>
      <x:c r="G29" t="str">
        <x:v>Referidos</x:v>
      </x:c>
      <x:c r="H29" t="n">
        <x:v>2741000</x:v>
      </x:c>
      <x:c r="I29" t="str">
        <x:v>Control de pagos</x:v>
      </x:c>
      <x:c r="J29" t="str">
        <x:v>Cero</x:v>
      </x:c>
    </x:row>
    <x:row r="30">
      <x:c r="A30" t="str">
        <x:v>USR-00029</x:v>
      </x:c>
      <x:c r="B30" t="n">
        <x:v>45658</x:v>
      </x:c>
      <x:c r="C30" t="n">
        <x:v>36</x:v>
      </x:c>
      <x:c r="D30" t="str">
        <x:v>Manizales</x:v>
      </x:c>
      <x:c r="E30" t="str">
        <x:v>Caldas</x:v>
      </x:c>
      <x:c r="F30" t="str">
        <x:v>Entre $1,5 M y $3 M</x:v>
      </x:c>
      <x:c r="G30" t="str">
        <x:v>Orgánico</x:v>
      </x:c>
      <x:c r="H30" t="n">
        <x:v>1852000</x:v>
      </x:c>
      <x:c r="I30" t="str">
        <x:v>Reducir intereses</x:v>
      </x:c>
      <x:c r="J30" t="str">
        <x:v>Plus mensual</x:v>
      </x:c>
    </x:row>
    <x:row r="31">
      <x:c r="A31" t="str">
        <x:v>USR-00030</x:v>
      </x:c>
      <x:c r="B31" t="n">
        <x:v>45675</x:v>
      </x:c>
      <x:c r="C31" t="n">
        <x:v>41</x:v>
      </x:c>
      <x:c r="D31" t="str">
        <x:v>Bogotá</x:v>
      </x:c>
      <x:c r="E31" t="str">
        <x:v>Bogotá D.C.</x:v>
      </x:c>
      <x:c r="F31" t="str">
        <x:v>Entre $1,5 M y $3 M</x:v>
      </x:c>
      <x:c r="G31" t="str">
        <x:v>Alianzas</x:v>
      </x:c>
      <x:c r="H31" t="n">
        <x:v>2512000</x:v>
      </x:c>
      <x:c r="I31" t="str">
        <x:v>Organización inicial</x:v>
      </x:c>
      <x:c r="J31" t="str">
        <x:v>Cero</x:v>
      </x:c>
    </x:row>
    <x:row r="32">
      <x:c r="A32" t="str">
        <x:v>USR-00031</x:v>
      </x:c>
      <x:c r="B32" t="n">
        <x:v>45684</x:v>
      </x:c>
      <x:c r="C32" t="n">
        <x:v>63</x:v>
      </x:c>
      <x:c r="D32" t="str">
        <x:v>Bucaramanga</x:v>
      </x:c>
      <x:c r="E32" t="str">
        <x:v>Santander</x:v>
      </x:c>
      <x:c r="F32" t="str">
        <x:v>Entre $1,5 M y $3 M</x:v>
      </x:c>
      <x:c r="G32" t="str">
        <x:v>Redes sociales</x:v>
      </x:c>
      <x:c r="H32" t="n">
        <x:v>2131000</x:v>
      </x:c>
      <x:c r="I32" t="str">
        <x:v>Organización inicial</x:v>
      </x:c>
      <x:c r="J32" t="str">
        <x:v>Plus anual</x:v>
      </x:c>
    </x:row>
    <x:row r="33">
      <x:c r="A33" t="str">
        <x:v>USR-00032</x:v>
      </x:c>
      <x:c r="B33" t="n">
        <x:v>45698</x:v>
      </x:c>
      <x:c r="C33" t="n">
        <x:v>22</x:v>
      </x:c>
      <x:c r="D33" t="str">
        <x:v>Manizales</x:v>
      </x:c>
      <x:c r="E33" t="str">
        <x:v>Caldas</x:v>
      </x:c>
      <x:c r="F33" t="str">
        <x:v>Menos de $1,5 M</x:v>
      </x:c>
      <x:c r="G33" t="str">
        <x:v>Búsqueda paga</x:v>
      </x:c>
      <x:c r="H33" t="n">
        <x:v>1296000</x:v>
      </x:c>
      <x:c r="I33" t="str">
        <x:v>Reducir intereses</x:v>
      </x:c>
      <x:c r="J33" t="str">
        <x:v>Plus mensual</x:v>
      </x:c>
    </x:row>
    <x:row r="34">
      <x:c r="A34" t="str">
        <x:v>USR-00033</x:v>
      </x:c>
      <x:c r="B34" t="n">
        <x:v>45705</x:v>
      </x:c>
      <x:c r="C34" t="n">
        <x:v>39</x:v>
      </x:c>
      <x:c r="D34" t="str">
        <x:v>Medellín</x:v>
      </x:c>
      <x:c r="E34" t="str">
        <x:v>Antioquia</x:v>
      </x:c>
      <x:c r="F34" t="str">
        <x:v>Entre $1,5 M y $3 M</x:v>
      </x:c>
      <x:c r="G34" t="str">
        <x:v>Referidos</x:v>
      </x:c>
      <x:c r="H34" t="n">
        <x:v>1837000</x:v>
      </x:c>
      <x:c r="I34" t="str">
        <x:v>Organización inicial</x:v>
      </x:c>
      <x:c r="J34" t="str">
        <x:v>Cero</x:v>
      </x:c>
    </x:row>
    <x:row r="35">
      <x:c r="A35" t="str">
        <x:v>USR-00034</x:v>
      </x:c>
      <x:c r="B35" t="n">
        <x:v>45705</x:v>
      </x:c>
      <x:c r="C35" t="n">
        <x:v>59</x:v>
      </x:c>
      <x:c r="D35" t="str">
        <x:v>Bogotá</x:v>
      </x:c>
      <x:c r="E35" t="str">
        <x:v>Bogotá D.C.</x:v>
      </x:c>
      <x:c r="F35" t="str">
        <x:v>Entre $3 M y $5 M</x:v>
      </x:c>
      <x:c r="G35" t="str">
        <x:v>Referidos</x:v>
      </x:c>
      <x:c r="H35" t="n">
        <x:v>3331000</x:v>
      </x:c>
      <x:c r="I35" t="str">
        <x:v>Reducir intereses</x:v>
      </x:c>
      <x:c r="J35" t="str">
        <x:v>Plus mensual</x:v>
      </x:c>
    </x:row>
    <x:row r="36">
      <x:c r="A36" t="str">
        <x:v>USR-00035</x:v>
      </x:c>
      <x:c r="B36" t="n">
        <x:v>45712</x:v>
      </x:c>
      <x:c r="C36" t="n">
        <x:v>46</x:v>
      </x:c>
      <x:c r="D36" t="str">
        <x:v>Bogotá</x:v>
      </x:c>
      <x:c r="E36" t="str">
        <x:v>Bogotá D.C.</x:v>
      </x:c>
      <x:c r="F36" t="str">
        <x:v>Entre $1,5 M y $3 M</x:v>
      </x:c>
      <x:c r="G36" t="str">
        <x:v>Contenido educativo</x:v>
      </x:c>
      <x:c r="H36" t="n">
        <x:v>1673000</x:v>
      </x:c>
      <x:c r="I36" t="str">
        <x:v>Reducir intereses</x:v>
      </x:c>
      <x:c r="J36" t="str">
        <x:v>Plus mensual</x:v>
      </x:c>
    </x:row>
    <x:row r="37">
      <x:c r="A37" t="str">
        <x:v>USR-00036</x:v>
      </x:c>
      <x:c r="B37" t="n">
        <x:v>45697</x:v>
      </x:c>
      <x:c r="C37" t="n">
        <x:v>51</x:v>
      </x:c>
      <x:c r="D37" t="str">
        <x:v>Medellín</x:v>
      </x:c>
      <x:c r="E37" t="str">
        <x:v>Antioquia</x:v>
      </x:c>
      <x:c r="F37" t="str">
        <x:v>Menos de $1,5 M</x:v>
      </x:c>
      <x:c r="G37" t="str">
        <x:v>Redes sociales</x:v>
      </x:c>
      <x:c r="H37" t="n">
        <x:v>1018000</x:v>
      </x:c>
      <x:c r="I37" t="str">
        <x:v>Salir de deudas</x:v>
      </x:c>
      <x:c r="J37" t="str">
        <x:v>Plus anual</x:v>
      </x:c>
    </x:row>
    <x:row r="38">
      <x:c r="A38" t="str">
        <x:v>USR-00037</x:v>
      </x:c>
      <x:c r="B38" t="n">
        <x:v>45699</x:v>
      </x:c>
      <x:c r="C38" t="n">
        <x:v>20</x:v>
      </x:c>
      <x:c r="D38" t="str">
        <x:v>Bogotá</x:v>
      </x:c>
      <x:c r="E38" t="str">
        <x:v>Bogotá D.C.</x:v>
      </x:c>
      <x:c r="F38" t="str">
        <x:v>Menos de $1,5 M</x:v>
      </x:c>
      <x:c r="G38" t="str">
        <x:v>Alianzas</x:v>
      </x:c>
      <x:c r="H38" t="n">
        <x:v>933000</x:v>
      </x:c>
      <x:c r="I38" t="str">
        <x:v>Reducir intereses</x:v>
      </x:c>
      <x:c r="J38" t="str">
        <x:v>Plus mensual</x:v>
      </x:c>
    </x:row>
    <x:row r="39">
      <x:c r="A39" t="str">
        <x:v>USR-00038</x:v>
      </x:c>
      <x:c r="B39" t="n">
        <x:v>45701</x:v>
      </x:c>
      <x:c r="C39" t="n">
        <x:v>64</x:v>
      </x:c>
      <x:c r="D39" t="str">
        <x:v>Medellín</x:v>
      </x:c>
      <x:c r="E39" t="str">
        <x:v>Antioquia</x:v>
      </x:c>
      <x:c r="F39" t="str">
        <x:v>Entre $1,5 M y $3 M</x:v>
      </x:c>
      <x:c r="G39" t="str">
        <x:v>Orgánico</x:v>
      </x:c>
      <x:c r="H39" t="n">
        <x:v>1638000</x:v>
      </x:c>
      <x:c r="I39" t="str">
        <x:v>Organización inicial</x:v>
      </x:c>
      <x:c r="J39" t="str">
        <x:v>Plus anual</x:v>
      </x:c>
    </x:row>
    <x:row r="40">
      <x:c r="A40" t="str">
        <x:v>USR-00039</x:v>
      </x:c>
      <x:c r="B40" t="n">
        <x:v>45700</x:v>
      </x:c>
      <x:c r="C40" t="n">
        <x:v>56</x:v>
      </x:c>
      <x:c r="D40" t="str">
        <x:v>Bogotá</x:v>
      </x:c>
      <x:c r="E40" t="str">
        <x:v>Bogotá D.C.</x:v>
      </x:c>
      <x:c r="F40" t="str">
        <x:v>Entre $3 M y $5 M</x:v>
      </x:c>
      <x:c r="G40" t="str">
        <x:v>Orgánico</x:v>
      </x:c>
      <x:c r="H40" t="n">
        <x:v>4053000</x:v>
      </x:c>
      <x:c r="I40" t="str">
        <x:v>Reducir intereses</x:v>
      </x:c>
      <x:c r="J40" t="str">
        <x:v>Cero</x:v>
      </x:c>
    </x:row>
    <x:row r="41">
      <x:c r="A41" t="str">
        <x:v>USR-00040</x:v>
      </x:c>
      <x:c r="B41" t="n">
        <x:v>45699</x:v>
      </x:c>
      <x:c r="C41" t="n">
        <x:v>51</x:v>
      </x:c>
      <x:c r="D41" t="str">
        <x:v>Bucaramanga</x:v>
      </x:c>
      <x:c r="E41" t="str">
        <x:v>Santander</x:v>
      </x:c>
      <x:c r="F41" t="str">
        <x:v>Entre $3 M y $5 M</x:v>
      </x:c>
      <x:c r="G41" t="str">
        <x:v>Búsqueda paga</x:v>
      </x:c>
      <x:c r="H41" t="n">
        <x:v>3445000</x:v>
      </x:c>
      <x:c r="I41" t="str">
        <x:v>Control de pagos</x:v>
      </x:c>
      <x:c r="J41" t="str">
        <x:v>Inactivo</x:v>
      </x:c>
    </x:row>
    <x:row r="42">
      <x:c r="A42" t="str">
        <x:v>USR-00041</x:v>
      </x:c>
      <x:c r="B42" t="n">
        <x:v>45693</x:v>
      </x:c>
      <x:c r="C42" t="n">
        <x:v>36</x:v>
      </x:c>
      <x:c r="D42" t="str">
        <x:v>Bogotá</x:v>
      </x:c>
      <x:c r="E42" t="str">
        <x:v>Bogotá D.C.</x:v>
      </x:c>
      <x:c r="F42" t="str">
        <x:v>Entre $1,5 M y $3 M</x:v>
      </x:c>
      <x:c r="G42" t="str">
        <x:v>Orgánico</x:v>
      </x:c>
      <x:c r="H42" t="n">
        <x:v>2479000</x:v>
      </x:c>
      <x:c r="I42" t="str">
        <x:v>Control de pagos</x:v>
      </x:c>
      <x:c r="J42" t="str">
        <x:v>Cero</x:v>
      </x:c>
    </x:row>
    <x:row r="43">
      <x:c r="A43" t="str">
        <x:v>USR-00042</x:v>
      </x:c>
      <x:c r="B43" t="n">
        <x:v>45700</x:v>
      </x:c>
      <x:c r="C43" t="n">
        <x:v>55</x:v>
      </x:c>
      <x:c r="D43" t="str">
        <x:v>Bogotá</x:v>
      </x:c>
      <x:c r="E43" t="str">
        <x:v>Bogotá D.C.</x:v>
      </x:c>
      <x:c r="F43" t="str">
        <x:v>Menos de $1,5 M</x:v>
      </x:c>
      <x:c r="G43" t="str">
        <x:v>Redes sociales</x:v>
      </x:c>
      <x:c r="H43" t="n">
        <x:v>1178000</x:v>
      </x:c>
      <x:c r="I43" t="str">
        <x:v>Control de pagos</x:v>
      </x:c>
      <x:c r="J43" t="str">
        <x:v>Plus anual</x:v>
      </x:c>
    </x:row>
    <x:row r="44">
      <x:c r="A44" t="str">
        <x:v>USR-00043</x:v>
      </x:c>
      <x:c r="B44" t="n">
        <x:v>45713</x:v>
      </x:c>
      <x:c r="C44" t="n">
        <x:v>23</x:v>
      </x:c>
      <x:c r="D44" t="str">
        <x:v>Cali</x:v>
      </x:c>
      <x:c r="E44" t="str">
        <x:v>Valle del Cauca</x:v>
      </x:c>
      <x:c r="F44" t="str">
        <x:v>Entre $3 M y $5 M</x:v>
      </x:c>
      <x:c r="G44" t="str">
        <x:v>Contenido educativo</x:v>
      </x:c>
      <x:c r="H44" t="n">
        <x:v>4694000</x:v>
      </x:c>
      <x:c r="I44" t="str">
        <x:v>Reducir intereses</x:v>
      </x:c>
      <x:c r="J44" t="str">
        <x:v>Plus mensual</x:v>
      </x:c>
    </x:row>
    <x:row r="45">
      <x:c r="A45" t="str">
        <x:v>USR-00044</x:v>
      </x:c>
      <x:c r="B45" t="n">
        <x:v>45692</x:v>
      </x:c>
      <x:c r="C45" t="n">
        <x:v>62</x:v>
      </x:c>
      <x:c r="D45" t="str">
        <x:v>Barranquilla</x:v>
      </x:c>
      <x:c r="E45" t="str">
        <x:v>Atlántico</x:v>
      </x:c>
      <x:c r="F45" t="str">
        <x:v>Más de $5 M</x:v>
      </x:c>
      <x:c r="G45" t="str">
        <x:v>Referidos</x:v>
      </x:c>
      <x:c r="H45" t="n">
        <x:v>5916000</x:v>
      </x:c>
      <x:c r="I45" t="str">
        <x:v>Control de pagos</x:v>
      </x:c>
      <x:c r="J45" t="str">
        <x:v>Cero</x:v>
      </x:c>
    </x:row>
    <x:row r="46">
      <x:c r="A46" t="str">
        <x:v>USR-00045</x:v>
      </x:c>
      <x:c r="B46" t="n">
        <x:v>45712</x:v>
      </x:c>
      <x:c r="C46" t="n">
        <x:v>39</x:v>
      </x:c>
      <x:c r="D46" t="str">
        <x:v>Bogotá</x:v>
      </x:c>
      <x:c r="E46" t="str">
        <x:v>Bogotá D.C.</x:v>
      </x:c>
      <x:c r="F46" t="str">
        <x:v>Entre $3 M y $5 M</x:v>
      </x:c>
      <x:c r="G46" t="str">
        <x:v>Orgánico</x:v>
      </x:c>
      <x:c r="H46" t="n">
        <x:v>4026000</x:v>
      </x:c>
      <x:c r="I46" t="str">
        <x:v>Organización inicial</x:v>
      </x:c>
      <x:c r="J46" t="str">
        <x:v>Cero</x:v>
      </x:c>
    </x:row>
    <x:row r="47">
      <x:c r="A47" t="str">
        <x:v>USR-00046</x:v>
      </x:c>
      <x:c r="B47" t="n">
        <x:v>45695</x:v>
      </x:c>
      <x:c r="C47" t="n">
        <x:v>46</x:v>
      </x:c>
      <x:c r="D47" t="str">
        <x:v>Bucaramanga</x:v>
      </x:c>
      <x:c r="E47" t="str">
        <x:v>Santander</x:v>
      </x:c>
      <x:c r="F47" t="str">
        <x:v>Más de $5 M</x:v>
      </x:c>
      <x:c r="G47" t="str">
        <x:v>Orgánico</x:v>
      </x:c>
      <x:c r="H47" t="n">
        <x:v>6813000</x:v>
      </x:c>
      <x:c r="I47" t="str">
        <x:v>Organización inicial</x:v>
      </x:c>
      <x:c r="J47" t="str">
        <x:v>Inactivo</x:v>
      </x:c>
    </x:row>
    <x:row r="48">
      <x:c r="A48" t="str">
        <x:v>USR-00047</x:v>
      </x:c>
      <x:c r="B48" t="n">
        <x:v>45689</x:v>
      </x:c>
      <x:c r="C48" t="n">
        <x:v>21</x:v>
      </x:c>
      <x:c r="D48" t="str">
        <x:v>Bogotá</x:v>
      </x:c>
      <x:c r="E48" t="str">
        <x:v>Bogotá D.C.</x:v>
      </x:c>
      <x:c r="F48" t="str">
        <x:v>Menos de $1,5 M</x:v>
      </x:c>
      <x:c r="G48" t="str">
        <x:v>Alianzas</x:v>
      </x:c>
      <x:c r="H48" t="n">
        <x:v>1151000</x:v>
      </x:c>
      <x:c r="I48" t="str">
        <x:v>Salir de deudas</x:v>
      </x:c>
      <x:c r="J48" t="str">
        <x:v>Plus anual</x:v>
      </x:c>
    </x:row>
    <x:row r="49">
      <x:c r="A49" t="str">
        <x:v>USR-00048</x:v>
      </x:c>
      <x:c r="B49" t="n">
        <x:v>45709</x:v>
      </x:c>
      <x:c r="C49" t="n">
        <x:v>51</x:v>
      </x:c>
      <x:c r="D49" t="str">
        <x:v>Bucaramanga</x:v>
      </x:c>
      <x:c r="E49" t="str">
        <x:v>Santander</x:v>
      </x:c>
      <x:c r="F49" t="str">
        <x:v>Entre $1,5 M y $3 M</x:v>
      </x:c>
      <x:c r="G49" t="str">
        <x:v>Redes sociales</x:v>
      </x:c>
      <x:c r="H49" t="n">
        <x:v>1583000</x:v>
      </x:c>
      <x:c r="I49" t="str">
        <x:v>Reducir intereses</x:v>
      </x:c>
      <x:c r="J49" t="str">
        <x:v>Cero</x:v>
      </x:c>
    </x:row>
    <x:row r="50">
      <x:c r="A50" t="str">
        <x:v>USR-00049</x:v>
      </x:c>
      <x:c r="B50" t="n">
        <x:v>45704</x:v>
      </x:c>
      <x:c r="C50" t="n">
        <x:v>53</x:v>
      </x:c>
      <x:c r="D50" t="str">
        <x:v>Bogotá</x:v>
      </x:c>
      <x:c r="E50" t="str">
        <x:v>Bogotá D.C.</x:v>
      </x:c>
      <x:c r="F50" t="str">
        <x:v>Entre $1,5 M y $3 M</x:v>
      </x:c>
      <x:c r="G50" t="str">
        <x:v>Búsqueda paga</x:v>
      </x:c>
      <x:c r="H50" t="n">
        <x:v>1788000</x:v>
      </x:c>
      <x:c r="I50" t="str">
        <x:v>Salir de deudas</x:v>
      </x:c>
      <x:c r="J50" t="str">
        <x:v>Cero</x:v>
      </x:c>
    </x:row>
    <x:row r="51">
      <x:c r="A51" t="str">
        <x:v>USR-00050</x:v>
      </x:c>
      <x:c r="B51" t="n">
        <x:v>45706</x:v>
      </x:c>
      <x:c r="C51" t="n">
        <x:v>62</x:v>
      </x:c>
      <x:c r="D51" t="str">
        <x:v>Medellín</x:v>
      </x:c>
      <x:c r="E51" t="str">
        <x:v>Antioquia</x:v>
      </x:c>
      <x:c r="F51" t="str">
        <x:v>Entre $1,5 M y $3 M</x:v>
      </x:c>
      <x:c r="G51" t="str">
        <x:v>Referidos</x:v>
      </x:c>
      <x:c r="H51" t="n">
        <x:v>1523000</x:v>
      </x:c>
      <x:c r="I51" t="str">
        <x:v>Reducir intereses</x:v>
      </x:c>
      <x:c r="J51" t="str">
        <x:v>Plus anual</x:v>
      </x:c>
    </x:row>
    <x:row r="52">
      <x:c r="A52" t="str">
        <x:v>USR-00051</x:v>
      </x:c>
      <x:c r="B52" t="n">
        <x:v>45705</x:v>
      </x:c>
      <x:c r="C52" t="n">
        <x:v>58</x:v>
      </x:c>
      <x:c r="D52" t="str">
        <x:v>Bogotá</x:v>
      </x:c>
      <x:c r="E52" t="str">
        <x:v>Bogotá D.C.</x:v>
      </x:c>
      <x:c r="F52" t="str">
        <x:v>Más de $5 M</x:v>
      </x:c>
      <x:c r="G52" t="str">
        <x:v>Referidos</x:v>
      </x:c>
      <x:c r="H52" t="n">
        <x:v>8205000</x:v>
      </x:c>
      <x:c r="I52" t="str">
        <x:v>Reducir intereses</x:v>
      </x:c>
      <x:c r="J52" t="str">
        <x:v>Cero</x:v>
      </x:c>
    </x:row>
    <x:row r="53">
      <x:c r="A53" t="str">
        <x:v>USR-00052</x:v>
      </x:c>
      <x:c r="B53" t="n">
        <x:v>45700</x:v>
      </x:c>
      <x:c r="C53" t="n">
        <x:v>29</x:v>
      </x:c>
      <x:c r="D53" t="str">
        <x:v>Barranquilla</x:v>
      </x:c>
      <x:c r="E53" t="str">
        <x:v>Atlántico</x:v>
      </x:c>
      <x:c r="F53" t="str">
        <x:v>Entre $1,5 M y $3 M</x:v>
      </x:c>
      <x:c r="G53" t="str">
        <x:v>Alianzas</x:v>
      </x:c>
      <x:c r="H53" t="n">
        <x:v>2845000</x:v>
      </x:c>
      <x:c r="I53" t="str">
        <x:v>Reducir intereses</x:v>
      </x:c>
      <x:c r="J53" t="str">
        <x:v>Cero</x:v>
      </x:c>
    </x:row>
    <x:row r="54">
      <x:c r="A54" t="str">
        <x:v>USR-00053</x:v>
      </x:c>
      <x:c r="B54" t="n">
        <x:v>45709</x:v>
      </x:c>
      <x:c r="C54" t="n">
        <x:v>51</x:v>
      </x:c>
      <x:c r="D54" t="str">
        <x:v>Bogotá</x:v>
      </x:c>
      <x:c r="E54" t="str">
        <x:v>Bogotá D.C.</x:v>
      </x:c>
      <x:c r="F54" t="str">
        <x:v>Menos de $1,5 M</x:v>
      </x:c>
      <x:c r="G54" t="str">
        <x:v>Orgánico</x:v>
      </x:c>
      <x:c r="H54" t="n">
        <x:v>1432000</x:v>
      </x:c>
      <x:c r="I54" t="str">
        <x:v>Salir de deudas</x:v>
      </x:c>
      <x:c r="J54" t="str">
        <x:v>Cero</x:v>
      </x:c>
    </x:row>
    <x:row r="55">
      <x:c r="A55" t="str">
        <x:v>USR-00054</x:v>
      </x:c>
      <x:c r="B55" t="n">
        <x:v>45710</x:v>
      </x:c>
      <x:c r="C55" t="n">
        <x:v>21</x:v>
      </x:c>
      <x:c r="D55" t="str">
        <x:v>Bogotá</x:v>
      </x:c>
      <x:c r="E55" t="str">
        <x:v>Bogotá D.C.</x:v>
      </x:c>
      <x:c r="F55" t="str">
        <x:v>Entre $1,5 M y $3 M</x:v>
      </x:c>
      <x:c r="G55" t="str">
        <x:v>Redes sociales</x:v>
      </x:c>
      <x:c r="H55" t="n">
        <x:v>1550000</x:v>
      </x:c>
      <x:c r="I55" t="str">
        <x:v>Control de pagos</x:v>
      </x:c>
      <x:c r="J55" t="str">
        <x:v>Cero</x:v>
      </x:c>
    </x:row>
    <x:row r="56">
      <x:c r="A56" t="str">
        <x:v>USR-00055</x:v>
      </x:c>
      <x:c r="B56" t="n">
        <x:v>45695</x:v>
      </x:c>
      <x:c r="C56" t="n">
        <x:v>45</x:v>
      </x:c>
      <x:c r="D56" t="str">
        <x:v>Barranquilla</x:v>
      </x:c>
      <x:c r="E56" t="str">
        <x:v>Atlántico</x:v>
      </x:c>
      <x:c r="F56" t="str">
        <x:v>Entre $3 M y $5 M</x:v>
      </x:c>
      <x:c r="G56" t="str">
        <x:v>Redes sociales</x:v>
      </x:c>
      <x:c r="H56" t="n">
        <x:v>4267000</x:v>
      </x:c>
      <x:c r="I56" t="str">
        <x:v>Reducir intereses</x:v>
      </x:c>
      <x:c r="J56" t="str">
        <x:v>Plus mensual</x:v>
      </x:c>
    </x:row>
    <x:row r="57">
      <x:c r="A57" t="str">
        <x:v>USR-00056</x:v>
      </x:c>
      <x:c r="B57" t="n">
        <x:v>45732</x:v>
      </x:c>
      <x:c r="C57" t="n">
        <x:v>64</x:v>
      </x:c>
      <x:c r="D57" t="str">
        <x:v>Bogotá</x:v>
      </x:c>
      <x:c r="E57" t="str">
        <x:v>Bogotá D.C.</x:v>
      </x:c>
      <x:c r="F57" t="str">
        <x:v>Entre $1,5 M y $3 M</x:v>
      </x:c>
      <x:c r="G57" t="str">
        <x:v>Redes sociales</x:v>
      </x:c>
      <x:c r="H57" t="n">
        <x:v>2085000</x:v>
      </x:c>
      <x:c r="I57" t="str">
        <x:v>Reducir intereses</x:v>
      </x:c>
      <x:c r="J57" t="str">
        <x:v>Plus anual</x:v>
      </x:c>
    </x:row>
    <x:row r="58">
      <x:c r="A58" t="str">
        <x:v>USR-00057</x:v>
      </x:c>
      <x:c r="B58" t="n">
        <x:v>45743</x:v>
      </x:c>
      <x:c r="C58" t="n">
        <x:v>27</x:v>
      </x:c>
      <x:c r="D58" t="str">
        <x:v>Bogotá</x:v>
      </x:c>
      <x:c r="E58" t="str">
        <x:v>Bogotá D.C.</x:v>
      </x:c>
      <x:c r="F58" t="str">
        <x:v>Entre $1,5 M y $3 M</x:v>
      </x:c>
      <x:c r="G58" t="str">
        <x:v>Orgánico</x:v>
      </x:c>
      <x:c r="H58" t="n">
        <x:v>2001000</x:v>
      </x:c>
      <x:c r="I58" t="str">
        <x:v>Salir de deudas</x:v>
      </x:c>
      <x:c r="J58" t="str">
        <x:v>Plus anual</x:v>
      </x:c>
    </x:row>
    <x:row r="59">
      <x:c r="A59" t="str">
        <x:v>USR-00058</x:v>
      </x:c>
      <x:c r="B59" t="n">
        <x:v>45740</x:v>
      </x:c>
      <x:c r="C59" t="n">
        <x:v>34</x:v>
      </x:c>
      <x:c r="D59" t="str">
        <x:v>Bucaramanga</x:v>
      </x:c>
      <x:c r="E59" t="str">
        <x:v>Santander</x:v>
      </x:c>
      <x:c r="F59" t="str">
        <x:v>Entre $1,5 M y $3 M</x:v>
      </x:c>
      <x:c r="G59" t="str">
        <x:v>Orgánico</x:v>
      </x:c>
      <x:c r="H59" t="n">
        <x:v>1850000</x:v>
      </x:c>
      <x:c r="I59" t="str">
        <x:v>Organización inicial</x:v>
      </x:c>
      <x:c r="J59" t="str">
        <x:v>Inactivo</x:v>
      </x:c>
    </x:row>
    <x:row r="60">
      <x:c r="A60" t="str">
        <x:v>USR-00059</x:v>
      </x:c>
      <x:c r="B60" t="n">
        <x:v>45734</x:v>
      </x:c>
      <x:c r="C60" t="n">
        <x:v>40</x:v>
      </x:c>
      <x:c r="D60" t="str">
        <x:v>Villavicencio</x:v>
      </x:c>
      <x:c r="E60" t="str">
        <x:v>Meta</x:v>
      </x:c>
      <x:c r="F60" t="str">
        <x:v>Entre $1,5 M y $3 M</x:v>
      </x:c>
      <x:c r="G60" t="str">
        <x:v>Redes sociales</x:v>
      </x:c>
      <x:c r="H60" t="n">
        <x:v>1506000</x:v>
      </x:c>
      <x:c r="I60" t="str">
        <x:v>Salir de deudas</x:v>
      </x:c>
      <x:c r="J60" t="str">
        <x:v>Cero</x:v>
      </x:c>
    </x:row>
    <x:row r="61">
      <x:c r="A61" t="str">
        <x:v>USR-00060</x:v>
      </x:c>
      <x:c r="B61" t="n">
        <x:v>45726</x:v>
      </x:c>
      <x:c r="C61" t="n">
        <x:v>55</x:v>
      </x:c>
      <x:c r="D61" t="str">
        <x:v>Barranquilla</x:v>
      </x:c>
      <x:c r="E61" t="str">
        <x:v>Atlántico</x:v>
      </x:c>
      <x:c r="F61" t="str">
        <x:v>Menos de $1,5 M</x:v>
      </x:c>
      <x:c r="G61" t="str">
        <x:v>Referidos</x:v>
      </x:c>
      <x:c r="H61" t="n">
        <x:v>949000</x:v>
      </x:c>
      <x:c r="I61" t="str">
        <x:v>Control de pagos</x:v>
      </x:c>
      <x:c r="J61" t="str">
        <x:v>Cero</x:v>
      </x:c>
    </x:row>
    <x:row r="62">
      <x:c r="A62" t="str">
        <x:v>USR-00061</x:v>
      </x:c>
      <x:c r="B62" t="n">
        <x:v>45724</x:v>
      </x:c>
      <x:c r="C62" t="n">
        <x:v>39</x:v>
      </x:c>
      <x:c r="D62" t="str">
        <x:v>Manizales</x:v>
      </x:c>
      <x:c r="E62" t="str">
        <x:v>Caldas</x:v>
      </x:c>
      <x:c r="F62" t="str">
        <x:v>Entre $1,5 M y $3 M</x:v>
      </x:c>
      <x:c r="G62" t="str">
        <x:v>Contenido educativo</x:v>
      </x:c>
      <x:c r="H62" t="n">
        <x:v>1846000</x:v>
      </x:c>
      <x:c r="I62" t="str">
        <x:v>Control de pagos</x:v>
      </x:c>
      <x:c r="J62" t="str">
        <x:v>Cero</x:v>
      </x:c>
    </x:row>
    <x:row r="63">
      <x:c r="A63" t="str">
        <x:v>USR-00062</x:v>
      </x:c>
      <x:c r="B63" t="n">
        <x:v>45742</x:v>
      </x:c>
      <x:c r="C63" t="n">
        <x:v>53</x:v>
      </x:c>
      <x:c r="D63" t="str">
        <x:v>Medellín</x:v>
      </x:c>
      <x:c r="E63" t="str">
        <x:v>Antioquia</x:v>
      </x:c>
      <x:c r="F63" t="str">
        <x:v>Entre $1,5 M y $3 M</x:v>
      </x:c>
      <x:c r="G63" t="str">
        <x:v>Alianzas</x:v>
      </x:c>
      <x:c r="H63" t="n">
        <x:v>1615000</x:v>
      </x:c>
      <x:c r="I63" t="str">
        <x:v>Organización inicial</x:v>
      </x:c>
      <x:c r="J63" t="str">
        <x:v>Plus mensual</x:v>
      </x:c>
    </x:row>
    <x:row r="64">
      <x:c r="A64" t="str">
        <x:v>USR-00063</x:v>
      </x:c>
      <x:c r="B64" t="n">
        <x:v>45726</x:v>
      </x:c>
      <x:c r="C64" t="n">
        <x:v>53</x:v>
      </x:c>
      <x:c r="D64" t="str">
        <x:v>Bogotá</x:v>
      </x:c>
      <x:c r="E64" t="str">
        <x:v>Bogotá D.C.</x:v>
      </x:c>
      <x:c r="F64" t="str">
        <x:v>Entre $1,5 M y $3 M</x:v>
      </x:c>
      <x:c r="G64" t="str">
        <x:v>Redes sociales</x:v>
      </x:c>
      <x:c r="H64" t="n">
        <x:v>1689000</x:v>
      </x:c>
      <x:c r="I64" t="str">
        <x:v>Control de pagos</x:v>
      </x:c>
      <x:c r="J64" t="str">
        <x:v>Plus anual</x:v>
      </x:c>
    </x:row>
    <x:row r="65">
      <x:c r="A65" t="str">
        <x:v>USR-00064</x:v>
      </x:c>
      <x:c r="B65" t="n">
        <x:v>45742</x:v>
      </x:c>
      <x:c r="C65" t="n">
        <x:v>52</x:v>
      </x:c>
      <x:c r="D65" t="str">
        <x:v>Bogotá</x:v>
      </x:c>
      <x:c r="E65" t="str">
        <x:v>Bogotá D.C.</x:v>
      </x:c>
      <x:c r="F65" t="str">
        <x:v>Entre $1,5 M y $3 M</x:v>
      </x:c>
      <x:c r="G65" t="str">
        <x:v>Búsqueda paga</x:v>
      </x:c>
      <x:c r="H65" t="n">
        <x:v>1583000</x:v>
      </x:c>
      <x:c r="I65" t="str">
        <x:v>Salir de deudas</x:v>
      </x:c>
      <x:c r="J65" t="str">
        <x:v>Plus mensual</x:v>
      </x:c>
    </x:row>
    <x:row r="66">
      <x:c r="A66" t="str">
        <x:v>USR-00065</x:v>
      </x:c>
      <x:c r="B66" t="n">
        <x:v>45733</x:v>
      </x:c>
      <x:c r="C66" t="n">
        <x:v>40</x:v>
      </x:c>
      <x:c r="D66" t="str">
        <x:v>Cali</x:v>
      </x:c>
      <x:c r="E66" t="str">
        <x:v>Valle del Cauca</x:v>
      </x:c>
      <x:c r="F66" t="str">
        <x:v>Entre $3 M y $5 M</x:v>
      </x:c>
      <x:c r="G66" t="str">
        <x:v>Referidos</x:v>
      </x:c>
      <x:c r="H66" t="n">
        <x:v>4984000</x:v>
      </x:c>
      <x:c r="I66" t="str">
        <x:v>Salir de deudas</x:v>
      </x:c>
      <x:c r="J66" t="str">
        <x:v>Cero</x:v>
      </x:c>
    </x:row>
    <x:row r="67">
      <x:c r="A67" t="str">
        <x:v>USR-00066</x:v>
      </x:c>
      <x:c r="B67" t="n">
        <x:v>45717</x:v>
      </x:c>
      <x:c r="C67" t="n">
        <x:v>21</x:v>
      </x:c>
      <x:c r="D67" t="str">
        <x:v>Villavicencio</x:v>
      </x:c>
      <x:c r="E67" t="str">
        <x:v>Meta</x:v>
      </x:c>
      <x:c r="F67" t="str">
        <x:v>Entre $1,5 M y $3 M</x:v>
      </x:c>
      <x:c r="G67" t="str">
        <x:v>Referidos</x:v>
      </x:c>
      <x:c r="H67" t="n">
        <x:v>2788000</x:v>
      </x:c>
      <x:c r="I67" t="str">
        <x:v>Control de pagos</x:v>
      </x:c>
      <x:c r="J67" t="str">
        <x:v>Plus anual</x:v>
      </x:c>
    </x:row>
    <x:row r="68">
      <x:c r="A68" t="str">
        <x:v>USR-00067</x:v>
      </x:c>
      <x:c r="B68" t="n">
        <x:v>45740</x:v>
      </x:c>
      <x:c r="C68" t="n">
        <x:v>56</x:v>
      </x:c>
      <x:c r="D68" t="str">
        <x:v>Bogotá</x:v>
      </x:c>
      <x:c r="E68" t="str">
        <x:v>Bogotá D.C.</x:v>
      </x:c>
      <x:c r="F68" t="str">
        <x:v>Entre $1,5 M y $3 M</x:v>
      </x:c>
      <x:c r="G68" t="str">
        <x:v>Alianzas</x:v>
      </x:c>
      <x:c r="H68" t="n">
        <x:v>2352000</x:v>
      </x:c>
      <x:c r="I68" t="str">
        <x:v>Reducir intereses</x:v>
      </x:c>
      <x:c r="J68" t="str">
        <x:v>Cero</x:v>
      </x:c>
    </x:row>
    <x:row r="69">
      <x:c r="A69" t="str">
        <x:v>USR-00068</x:v>
      </x:c>
      <x:c r="B69" t="n">
        <x:v>45721</x:v>
      </x:c>
      <x:c r="C69" t="n">
        <x:v>34</x:v>
      </x:c>
      <x:c r="D69" t="str">
        <x:v>Barranquilla</x:v>
      </x:c>
      <x:c r="E69" t="str">
        <x:v>Atlántico</x:v>
      </x:c>
      <x:c r="F69" t="str">
        <x:v>Entre $3 M y $5 M</x:v>
      </x:c>
      <x:c r="G69" t="str">
        <x:v>Referidos</x:v>
      </x:c>
      <x:c r="H69" t="n">
        <x:v>4213000</x:v>
      </x:c>
      <x:c r="I69" t="str">
        <x:v>Reducir intereses</x:v>
      </x:c>
      <x:c r="J69" t="str">
        <x:v>Cero</x:v>
      </x:c>
    </x:row>
    <x:row r="70">
      <x:c r="A70" t="str">
        <x:v>USR-00069</x:v>
      </x:c>
      <x:c r="B70" t="n">
        <x:v>45739</x:v>
      </x:c>
      <x:c r="C70" t="n">
        <x:v>62</x:v>
      </x:c>
      <x:c r="D70" t="str">
        <x:v>Bogotá</x:v>
      </x:c>
      <x:c r="E70" t="str">
        <x:v>Bogotá D.C.</x:v>
      </x:c>
      <x:c r="F70" t="str">
        <x:v>Más de $5 M</x:v>
      </x:c>
      <x:c r="G70" t="str">
        <x:v>Referidos</x:v>
      </x:c>
      <x:c r="H70" t="n">
        <x:v>6158000</x:v>
      </x:c>
      <x:c r="I70" t="str">
        <x:v>Salir de deudas</x:v>
      </x:c>
      <x:c r="J70" t="str">
        <x:v>Plus anual</x:v>
      </x:c>
    </x:row>
    <x:row r="71">
      <x:c r="A71" t="str">
        <x:v>USR-00070</x:v>
      </x:c>
      <x:c r="B71" t="n">
        <x:v>45736</x:v>
      </x:c>
      <x:c r="C71" t="n">
        <x:v>24</x:v>
      </x:c>
      <x:c r="D71" t="str">
        <x:v>Pereira</x:v>
      </x:c>
      <x:c r="E71" t="str">
        <x:v>Risaralda</x:v>
      </x:c>
      <x:c r="F71" t="str">
        <x:v>Entre $1,5 M y $3 M</x:v>
      </x:c>
      <x:c r="G71" t="str">
        <x:v>Redes sociales</x:v>
      </x:c>
      <x:c r="H71" t="n">
        <x:v>1527000</x:v>
      </x:c>
      <x:c r="I71" t="str">
        <x:v>Control de pagos</x:v>
      </x:c>
      <x:c r="J71" t="str">
        <x:v>Plus mensual</x:v>
      </x:c>
    </x:row>
    <x:row r="72">
      <x:c r="A72" t="str">
        <x:v>USR-00071</x:v>
      </x:c>
      <x:c r="B72" t="n">
        <x:v>45743</x:v>
      </x:c>
      <x:c r="C72" t="n">
        <x:v>48</x:v>
      </x:c>
      <x:c r="D72" t="str">
        <x:v>Barranquilla</x:v>
      </x:c>
      <x:c r="E72" t="str">
        <x:v>Atlántico</x:v>
      </x:c>
      <x:c r="F72" t="str">
        <x:v>Entre $3 M y $5 M</x:v>
      </x:c>
      <x:c r="G72" t="str">
        <x:v>Referidos</x:v>
      </x:c>
      <x:c r="H72" t="n">
        <x:v>4809000</x:v>
      </x:c>
      <x:c r="I72" t="str">
        <x:v>Salir de deudas</x:v>
      </x:c>
      <x:c r="J72" t="str">
        <x:v>Plus mensual</x:v>
      </x:c>
    </x:row>
    <x:row r="73">
      <x:c r="A73" t="str">
        <x:v>USR-00072</x:v>
      </x:c>
      <x:c r="B73" t="n">
        <x:v>45733</x:v>
      </x:c>
      <x:c r="C73" t="n">
        <x:v>25</x:v>
      </x:c>
      <x:c r="D73" t="str">
        <x:v>Cali</x:v>
      </x:c>
      <x:c r="E73" t="str">
        <x:v>Valle del Cauca</x:v>
      </x:c>
      <x:c r="F73" t="str">
        <x:v>Entre $3 M y $5 M</x:v>
      </x:c>
      <x:c r="G73" t="str">
        <x:v>Búsqueda paga</x:v>
      </x:c>
      <x:c r="H73" t="n">
        <x:v>4152000</x:v>
      </x:c>
      <x:c r="I73" t="str">
        <x:v>Reducir intereses</x:v>
      </x:c>
      <x:c r="J73" t="str">
        <x:v>Plus anual</x:v>
      </x:c>
    </x:row>
    <x:row r="74">
      <x:c r="A74" t="str">
        <x:v>USR-00073</x:v>
      </x:c>
      <x:c r="B74" t="n">
        <x:v>45730</x:v>
      </x:c>
      <x:c r="C74" t="n">
        <x:v>56</x:v>
      </x:c>
      <x:c r="D74" t="str">
        <x:v>Bucaramanga</x:v>
      </x:c>
      <x:c r="E74" t="str">
        <x:v>Santander</x:v>
      </x:c>
      <x:c r="F74" t="str">
        <x:v>Entre $3 M y $5 M</x:v>
      </x:c>
      <x:c r="G74" t="str">
        <x:v>Contenido educativo</x:v>
      </x:c>
      <x:c r="H74" t="n">
        <x:v>3054000</x:v>
      </x:c>
      <x:c r="I74" t="str">
        <x:v>Control de pagos</x:v>
      </x:c>
      <x:c r="J74" t="str">
        <x:v>Plus mensual</x:v>
      </x:c>
    </x:row>
    <x:row r="75">
      <x:c r="A75" t="str">
        <x:v>USR-00074</x:v>
      </x:c>
      <x:c r="B75" t="n">
        <x:v>45738</x:v>
      </x:c>
      <x:c r="C75" t="n">
        <x:v>32</x:v>
      </x:c>
      <x:c r="D75" t="str">
        <x:v>Medellín</x:v>
      </x:c>
      <x:c r="E75" t="str">
        <x:v>Antioquia</x:v>
      </x:c>
      <x:c r="F75" t="str">
        <x:v>Menos de $1,5 M</x:v>
      </x:c>
      <x:c r="G75" t="str">
        <x:v>Contenido educativo</x:v>
      </x:c>
      <x:c r="H75" t="n">
        <x:v>1008000</x:v>
      </x:c>
      <x:c r="I75" t="str">
        <x:v>Control de pagos</x:v>
      </x:c>
      <x:c r="J75" t="str">
        <x:v>Plus anual</x:v>
      </x:c>
    </x:row>
    <x:row r="76">
      <x:c r="A76" t="str">
        <x:v>USR-00075</x:v>
      </x:c>
      <x:c r="B76" t="n">
        <x:v>45727</x:v>
      </x:c>
      <x:c r="C76" t="n">
        <x:v>47</x:v>
      </x:c>
      <x:c r="D76" t="str">
        <x:v>Bucaramanga</x:v>
      </x:c>
      <x:c r="E76" t="str">
        <x:v>Santander</x:v>
      </x:c>
      <x:c r="F76" t="str">
        <x:v>Más de $5 M</x:v>
      </x:c>
      <x:c r="G76" t="str">
        <x:v>Referidos</x:v>
      </x:c>
      <x:c r="H76" t="n">
        <x:v>8101000</x:v>
      </x:c>
      <x:c r="I76" t="str">
        <x:v>Organización inicial</x:v>
      </x:c>
      <x:c r="J76" t="str">
        <x:v>Plus mensual</x:v>
      </x:c>
    </x:row>
    <x:row r="77">
      <x:c r="A77" t="str">
        <x:v>USR-00076</x:v>
      </x:c>
      <x:c r="B77" t="n">
        <x:v>45723</x:v>
      </x:c>
      <x:c r="C77" t="n">
        <x:v>34</x:v>
      </x:c>
      <x:c r="D77" t="str">
        <x:v>Cali</x:v>
      </x:c>
      <x:c r="E77" t="str">
        <x:v>Valle del Cauca</x:v>
      </x:c>
      <x:c r="F77" t="str">
        <x:v>Entre $3 M y $5 M</x:v>
      </x:c>
      <x:c r="G77" t="str">
        <x:v>Orgánico</x:v>
      </x:c>
      <x:c r="H77" t="n">
        <x:v>4167000</x:v>
      </x:c>
      <x:c r="I77" t="str">
        <x:v>Reducir intereses</x:v>
      </x:c>
      <x:c r="J77" t="str">
        <x:v>Inactivo</x:v>
      </x:c>
    </x:row>
    <x:row r="78">
      <x:c r="A78" t="str">
        <x:v>USR-00077</x:v>
      </x:c>
      <x:c r="B78" t="n">
        <x:v>45729</x:v>
      </x:c>
      <x:c r="C78" t="n">
        <x:v>25</x:v>
      </x:c>
      <x:c r="D78" t="str">
        <x:v>Barranquilla</x:v>
      </x:c>
      <x:c r="E78" t="str">
        <x:v>Atlántico</x:v>
      </x:c>
      <x:c r="F78" t="str">
        <x:v>Entre $1,5 M y $3 M</x:v>
      </x:c>
      <x:c r="G78" t="str">
        <x:v>Orgánico</x:v>
      </x:c>
      <x:c r="H78" t="n">
        <x:v>2691000</x:v>
      </x:c>
      <x:c r="I78" t="str">
        <x:v>Organización inicial</x:v>
      </x:c>
      <x:c r="J78" t="str">
        <x:v>Cero</x:v>
      </x:c>
    </x:row>
    <x:row r="79">
      <x:c r="A79" t="str">
        <x:v>USR-00078</x:v>
      </x:c>
      <x:c r="B79" t="n">
        <x:v>45732</x:v>
      </x:c>
      <x:c r="C79" t="n">
        <x:v>24</x:v>
      </x:c>
      <x:c r="D79" t="str">
        <x:v>Cali</x:v>
      </x:c>
      <x:c r="E79" t="str">
        <x:v>Valle del Cauca</x:v>
      </x:c>
      <x:c r="F79" t="str">
        <x:v>Entre $3 M y $5 M</x:v>
      </x:c>
      <x:c r="G79" t="str">
        <x:v>Orgánico</x:v>
      </x:c>
      <x:c r="H79" t="n">
        <x:v>4132000</x:v>
      </x:c>
      <x:c r="I79" t="str">
        <x:v>Salir de deudas</x:v>
      </x:c>
      <x:c r="J79" t="str">
        <x:v>Plus mensual</x:v>
      </x:c>
    </x:row>
    <x:row r="80">
      <x:c r="A80" t="str">
        <x:v>USR-00079</x:v>
      </x:c>
      <x:c r="B80" t="n">
        <x:v>45718</x:v>
      </x:c>
      <x:c r="C80" t="n">
        <x:v>25</x:v>
      </x:c>
      <x:c r="D80" t="str">
        <x:v>Barranquilla</x:v>
      </x:c>
      <x:c r="E80" t="str">
        <x:v>Atlántico</x:v>
      </x:c>
      <x:c r="F80" t="str">
        <x:v>Menos de $1,5 M</x:v>
      </x:c>
      <x:c r="G80" t="str">
        <x:v>Referidos</x:v>
      </x:c>
      <x:c r="H80" t="n">
        <x:v>1455000</x:v>
      </x:c>
      <x:c r="I80" t="str">
        <x:v>Control de pagos</x:v>
      </x:c>
      <x:c r="J80" t="str">
        <x:v>Plus mensual</x:v>
      </x:c>
    </x:row>
    <x:row r="81">
      <x:c r="A81" t="str">
        <x:v>USR-00080</x:v>
      </x:c>
      <x:c r="B81" t="n">
        <x:v>45741</x:v>
      </x:c>
      <x:c r="C81" t="n">
        <x:v>35</x:v>
      </x:c>
      <x:c r="D81" t="str">
        <x:v>Bogotá</x:v>
      </x:c>
      <x:c r="E81" t="str">
        <x:v>Bogotá D.C.</x:v>
      </x:c>
      <x:c r="F81" t="str">
        <x:v>Entre $3 M y $5 M</x:v>
      </x:c>
      <x:c r="G81" t="str">
        <x:v>Referidos</x:v>
      </x:c>
      <x:c r="H81" t="n">
        <x:v>4668000</x:v>
      </x:c>
      <x:c r="I81" t="str">
        <x:v>Organización inicial</x:v>
      </x:c>
      <x:c r="J81" t="str">
        <x:v>Plus anual</x:v>
      </x:c>
    </x:row>
    <x:row r="82">
      <x:c r="A82" t="str">
        <x:v>USR-00081</x:v>
      </x:c>
      <x:c r="B82" t="n">
        <x:v>45743</x:v>
      </x:c>
      <x:c r="C82" t="n">
        <x:v>44</x:v>
      </x:c>
      <x:c r="D82" t="str">
        <x:v>Bogotá</x:v>
      </x:c>
      <x:c r="E82" t="str">
        <x:v>Bogotá D.C.</x:v>
      </x:c>
      <x:c r="F82" t="str">
        <x:v>Más de $5 M</x:v>
      </x:c>
      <x:c r="G82" t="str">
        <x:v>Contenido educativo</x:v>
      </x:c>
      <x:c r="H82" t="n">
        <x:v>5820000</x:v>
      </x:c>
      <x:c r="I82" t="str">
        <x:v>Organización inicial</x:v>
      </x:c>
      <x:c r="J82" t="str">
        <x:v>Cero</x:v>
      </x:c>
    </x:row>
    <x:row r="83">
      <x:c r="A83" t="str">
        <x:v>USR-00082</x:v>
      </x:c>
      <x:c r="B83" t="n">
        <x:v>45727</x:v>
      </x:c>
      <x:c r="C83" t="n">
        <x:v>44</x:v>
      </x:c>
      <x:c r="D83" t="str">
        <x:v>Villavicencio</x:v>
      </x:c>
      <x:c r="E83" t="str">
        <x:v>Meta</x:v>
      </x:c>
      <x:c r="F83" t="str">
        <x:v>Entre $1,5 M y $3 M</x:v>
      </x:c>
      <x:c r="G83" t="str">
        <x:v>Referidos</x:v>
      </x:c>
      <x:c r="H83" t="n">
        <x:v>2716000</x:v>
      </x:c>
      <x:c r="I83" t="str">
        <x:v>Reducir intereses</x:v>
      </x:c>
      <x:c r="J83" t="str">
        <x:v>Cero</x:v>
      </x:c>
    </x:row>
    <x:row r="84">
      <x:c r="A84" t="str">
        <x:v>USR-00083</x:v>
      </x:c>
      <x:c r="B84" t="n">
        <x:v>45740</x:v>
      </x:c>
      <x:c r="C84" t="n">
        <x:v>35</x:v>
      </x:c>
      <x:c r="D84" t="str">
        <x:v>Bogotá</x:v>
      </x:c>
      <x:c r="E84" t="str">
        <x:v>Bogotá D.C.</x:v>
      </x:c>
      <x:c r="F84" t="str">
        <x:v>Entre $3 M y $5 M</x:v>
      </x:c>
      <x:c r="G84" t="str">
        <x:v>Orgánico</x:v>
      </x:c>
      <x:c r="H84" t="n">
        <x:v>4336000</x:v>
      </x:c>
      <x:c r="I84" t="str">
        <x:v>Reducir intereses</x:v>
      </x:c>
      <x:c r="J84" t="str">
        <x:v>Cero</x:v>
      </x:c>
    </x:row>
    <x:row r="85">
      <x:c r="A85" t="str">
        <x:v>USR-00084</x:v>
      </x:c>
      <x:c r="B85" t="n">
        <x:v>45725</x:v>
      </x:c>
      <x:c r="C85" t="n">
        <x:v>21</x:v>
      </x:c>
      <x:c r="D85" t="str">
        <x:v>Manizales</x:v>
      </x:c>
      <x:c r="E85" t="str">
        <x:v>Caldas</x:v>
      </x:c>
      <x:c r="F85" t="str">
        <x:v>Entre $1,5 M y $3 M</x:v>
      </x:c>
      <x:c r="G85" t="str">
        <x:v>Búsqueda paga</x:v>
      </x:c>
      <x:c r="H85" t="n">
        <x:v>2288000</x:v>
      </x:c>
      <x:c r="I85" t="str">
        <x:v>Salir de deudas</x:v>
      </x:c>
      <x:c r="J85" t="str">
        <x:v>Cero</x:v>
      </x:c>
    </x:row>
    <x:row r="86">
      <x:c r="A86" t="str">
        <x:v>USR-00085</x:v>
      </x:c>
      <x:c r="B86" t="n">
        <x:v>45718</x:v>
      </x:c>
      <x:c r="C86" t="n">
        <x:v>41</x:v>
      </x:c>
      <x:c r="D86" t="str">
        <x:v>Barranquilla</x:v>
      </x:c>
      <x:c r="E86" t="str">
        <x:v>Atlántico</x:v>
      </x:c>
      <x:c r="F86" t="str">
        <x:v>Menos de $1,5 M</x:v>
      </x:c>
      <x:c r="G86" t="str">
        <x:v>Referidos</x:v>
      </x:c>
      <x:c r="H86" t="n">
        <x:v>1327000</x:v>
      </x:c>
      <x:c r="I86" t="str">
        <x:v>Organización inicial</x:v>
      </x:c>
      <x:c r="J86" t="str">
        <x:v>Cero</x:v>
      </x:c>
    </x:row>
    <x:row r="87">
      <x:c r="A87" t="str">
        <x:v>USR-00086</x:v>
      </x:c>
      <x:c r="B87" t="n">
        <x:v>45720</x:v>
      </x:c>
      <x:c r="C87" t="n">
        <x:v>47</x:v>
      </x:c>
      <x:c r="D87" t="str">
        <x:v>Manizales</x:v>
      </x:c>
      <x:c r="E87" t="str">
        <x:v>Caldas</x:v>
      </x:c>
      <x:c r="F87" t="str">
        <x:v>Más de $5 M</x:v>
      </x:c>
      <x:c r="G87" t="str">
        <x:v>Referidos</x:v>
      </x:c>
      <x:c r="H87" t="n">
        <x:v>5228000</x:v>
      </x:c>
      <x:c r="I87" t="str">
        <x:v>Control de pagos</x:v>
      </x:c>
      <x:c r="J87" t="str">
        <x:v>Cero</x:v>
      </x:c>
    </x:row>
    <x:row r="88">
      <x:c r="A88" t="str">
        <x:v>USR-00087</x:v>
      </x:c>
      <x:c r="B88" t="n">
        <x:v>45731</x:v>
      </x:c>
      <x:c r="C88" t="n">
        <x:v>51</x:v>
      </x:c>
      <x:c r="D88" t="str">
        <x:v>Manizales</x:v>
      </x:c>
      <x:c r="E88" t="str">
        <x:v>Caldas</x:v>
      </x:c>
      <x:c r="F88" t="str">
        <x:v>Entre $1,5 M y $3 M</x:v>
      </x:c>
      <x:c r="G88" t="str">
        <x:v>Búsqueda paga</x:v>
      </x:c>
      <x:c r="H88" t="n">
        <x:v>2279000</x:v>
      </x:c>
      <x:c r="I88" t="str">
        <x:v>Control de pagos</x:v>
      </x:c>
      <x:c r="J88" t="str">
        <x:v>Plus mensual</x:v>
      </x:c>
    </x:row>
    <x:row r="89">
      <x:c r="A89" t="str">
        <x:v>USR-00088</x:v>
      </x:c>
      <x:c r="B89" t="n">
        <x:v>45737</x:v>
      </x:c>
      <x:c r="C89" t="n">
        <x:v>52</x:v>
      </x:c>
      <x:c r="D89" t="str">
        <x:v>Bucaramanga</x:v>
      </x:c>
      <x:c r="E89" t="str">
        <x:v>Santander</x:v>
      </x:c>
      <x:c r="F89" t="str">
        <x:v>Entre $1,5 M y $3 M</x:v>
      </x:c>
      <x:c r="G89" t="str">
        <x:v>Redes sociales</x:v>
      </x:c>
      <x:c r="H89" t="n">
        <x:v>2521000</x:v>
      </x:c>
      <x:c r="I89" t="str">
        <x:v>Salir de deudas</x:v>
      </x:c>
      <x:c r="J89" t="str">
        <x:v>Cero</x:v>
      </x:c>
    </x:row>
    <x:row r="90">
      <x:c r="A90" t="str">
        <x:v>USR-00089</x:v>
      </x:c>
      <x:c r="B90" t="n">
        <x:v>45737</x:v>
      </x:c>
      <x:c r="C90" t="n">
        <x:v>34</x:v>
      </x:c>
      <x:c r="D90" t="str">
        <x:v>Bucaramanga</x:v>
      </x:c>
      <x:c r="E90" t="str">
        <x:v>Santander</x:v>
      </x:c>
      <x:c r="F90" t="str">
        <x:v>Entre $1,5 M y $3 M</x:v>
      </x:c>
      <x:c r="G90" t="str">
        <x:v>Redes sociales</x:v>
      </x:c>
      <x:c r="H90" t="n">
        <x:v>2125000</x:v>
      </x:c>
      <x:c r="I90" t="str">
        <x:v>Organización inicial</x:v>
      </x:c>
      <x:c r="J90" t="str">
        <x:v>Cero</x:v>
      </x:c>
    </x:row>
    <x:row r="91">
      <x:c r="A91" t="str">
        <x:v>USR-00090</x:v>
      </x:c>
      <x:c r="B91" t="n">
        <x:v>45719</x:v>
      </x:c>
      <x:c r="C91" t="n">
        <x:v>47</x:v>
      </x:c>
      <x:c r="D91" t="str">
        <x:v>Medellín</x:v>
      </x:c>
      <x:c r="E91" t="str">
        <x:v>Antioquia</x:v>
      </x:c>
      <x:c r="F91" t="str">
        <x:v>Menos de $1,5 M</x:v>
      </x:c>
      <x:c r="G91" t="str">
        <x:v>Alianzas</x:v>
      </x:c>
      <x:c r="H91" t="n">
        <x:v>1376000</x:v>
      </x:c>
      <x:c r="I91" t="str">
        <x:v>Salir de deudas</x:v>
      </x:c>
      <x:c r="J91" t="str">
        <x:v>Cero</x:v>
      </x:c>
    </x:row>
    <x:row r="92">
      <x:c r="A92" t="str">
        <x:v>USR-00091</x:v>
      </x:c>
      <x:c r="B92" t="n">
        <x:v>45720</x:v>
      </x:c>
      <x:c r="C92" t="n">
        <x:v>23</x:v>
      </x:c>
      <x:c r="D92" t="str">
        <x:v>Bogotá</x:v>
      </x:c>
      <x:c r="E92" t="str">
        <x:v>Bogotá D.C.</x:v>
      </x:c>
      <x:c r="F92" t="str">
        <x:v>Entre $3 M y $5 M</x:v>
      </x:c>
      <x:c r="G92" t="str">
        <x:v>Redes sociales</x:v>
      </x:c>
      <x:c r="H92" t="n">
        <x:v>3956000</x:v>
      </x:c>
      <x:c r="I92" t="str">
        <x:v>Salir de deudas</x:v>
      </x:c>
      <x:c r="J92" t="str">
        <x:v>Plus mensual</x:v>
      </x:c>
    </x:row>
    <x:row r="93">
      <x:c r="A93" t="str">
        <x:v>USR-00092</x:v>
      </x:c>
      <x:c r="B93" t="n">
        <x:v>45730</x:v>
      </x:c>
      <x:c r="C93" t="n">
        <x:v>63</x:v>
      </x:c>
      <x:c r="D93" t="str">
        <x:v>Cartagena</x:v>
      </x:c>
      <x:c r="E93" t="str">
        <x:v>Bolívar</x:v>
      </x:c>
      <x:c r="F93" t="str">
        <x:v>Entre $1,5 M y $3 M</x:v>
      </x:c>
      <x:c r="G93" t="str">
        <x:v>Orgánico</x:v>
      </x:c>
      <x:c r="H93" t="n">
        <x:v>2326000</x:v>
      </x:c>
      <x:c r="I93" t="str">
        <x:v>Reducir intereses</x:v>
      </x:c>
      <x:c r="J93" t="str">
        <x:v>Cero</x:v>
      </x:c>
    </x:row>
    <x:row r="94">
      <x:c r="A94" t="str">
        <x:v>USR-00093</x:v>
      </x:c>
      <x:c r="B94" t="n">
        <x:v>45724</x:v>
      </x:c>
      <x:c r="C94" t="n">
        <x:v>34</x:v>
      </x:c>
      <x:c r="D94" t="str">
        <x:v>Bogotá</x:v>
      </x:c>
      <x:c r="E94" t="str">
        <x:v>Bogotá D.C.</x:v>
      </x:c>
      <x:c r="F94" t="str">
        <x:v>Más de $5 M</x:v>
      </x:c>
      <x:c r="G94" t="str">
        <x:v>Búsqueda paga</x:v>
      </x:c>
      <x:c r="H94" t="n">
        <x:v>6189000</x:v>
      </x:c>
      <x:c r="I94" t="str">
        <x:v>Salir de deudas</x:v>
      </x:c>
      <x:c r="J94" t="str">
        <x:v>Plus anual</x:v>
      </x:c>
    </x:row>
    <x:row r="95">
      <x:c r="A95" t="str">
        <x:v>USR-00094</x:v>
      </x:c>
      <x:c r="B95" t="n">
        <x:v>45741</x:v>
      </x:c>
      <x:c r="C95" t="n">
        <x:v>38</x:v>
      </x:c>
      <x:c r="D95" t="str">
        <x:v>Bogotá</x:v>
      </x:c>
      <x:c r="E95" t="str">
        <x:v>Bogotá D.C.</x:v>
      </x:c>
      <x:c r="F95" t="str">
        <x:v>Más de $5 M</x:v>
      </x:c>
      <x:c r="G95" t="str">
        <x:v>Alianzas</x:v>
      </x:c>
      <x:c r="H95" t="n">
        <x:v>8430000</x:v>
      </x:c>
      <x:c r="I95" t="str">
        <x:v>Organización inicial</x:v>
      </x:c>
      <x:c r="J95" t="str">
        <x:v>Cero</x:v>
      </x:c>
    </x:row>
    <x:row r="96">
      <x:c r="A96" t="str">
        <x:v>USR-00095</x:v>
      </x:c>
      <x:c r="B96" t="n">
        <x:v>45762</x:v>
      </x:c>
      <x:c r="C96" t="n">
        <x:v>27</x:v>
      </x:c>
      <x:c r="D96" t="str">
        <x:v>Bogotá</x:v>
      </x:c>
      <x:c r="E96" t="str">
        <x:v>Bogotá D.C.</x:v>
      </x:c>
      <x:c r="F96" t="str">
        <x:v>Menos de $1,5 M</x:v>
      </x:c>
      <x:c r="G96" t="str">
        <x:v>Redes sociales</x:v>
      </x:c>
      <x:c r="H96" t="n">
        <x:v>1455000</x:v>
      </x:c>
      <x:c r="I96" t="str">
        <x:v>Salir de deudas</x:v>
      </x:c>
      <x:c r="J96" t="str">
        <x:v>Cero</x:v>
      </x:c>
    </x:row>
    <x:row r="97">
      <x:c r="A97" t="str">
        <x:v>USR-00096</x:v>
      </x:c>
      <x:c r="B97" t="n">
        <x:v>45749</x:v>
      </x:c>
      <x:c r="C97" t="n">
        <x:v>39</x:v>
      </x:c>
      <x:c r="D97" t="str">
        <x:v>Cali</x:v>
      </x:c>
      <x:c r="E97" t="str">
        <x:v>Valle del Cauca</x:v>
      </x:c>
      <x:c r="F97" t="str">
        <x:v>Entre $3 M y $5 M</x:v>
      </x:c>
      <x:c r="G97" t="str">
        <x:v>Contenido educativo</x:v>
      </x:c>
      <x:c r="H97" t="n">
        <x:v>3738000</x:v>
      </x:c>
      <x:c r="I97" t="str">
        <x:v>Salir de deudas</x:v>
      </x:c>
      <x:c r="J97" t="str">
        <x:v>Plus mensual</x:v>
      </x:c>
    </x:row>
    <x:row r="98">
      <x:c r="A98" t="str">
        <x:v>USR-00097</x:v>
      </x:c>
      <x:c r="B98" t="n">
        <x:v>45749</x:v>
      </x:c>
      <x:c r="C98" t="n">
        <x:v>46</x:v>
      </x:c>
      <x:c r="D98" t="str">
        <x:v>Medellín</x:v>
      </x:c>
      <x:c r="E98" t="str">
        <x:v>Antioquia</x:v>
      </x:c>
      <x:c r="F98" t="str">
        <x:v>Entre $1,5 M y $3 M</x:v>
      </x:c>
      <x:c r="G98" t="str">
        <x:v>Redes sociales</x:v>
      </x:c>
      <x:c r="H98" t="n">
        <x:v>1975000</x:v>
      </x:c>
      <x:c r="I98" t="str">
        <x:v>Salir de deudas</x:v>
      </x:c>
      <x:c r="J98" t="str">
        <x:v>Plus anual</x:v>
      </x:c>
    </x:row>
    <x:row r="99">
      <x:c r="A99" t="str">
        <x:v>USR-00098</x:v>
      </x:c>
      <x:c r="B99" t="n">
        <x:v>45755</x:v>
      </x:c>
      <x:c r="C99" t="n">
        <x:v>42</x:v>
      </x:c>
      <x:c r="D99" t="str">
        <x:v>Medellín</x:v>
      </x:c>
      <x:c r="E99" t="str">
        <x:v>Antioquia</x:v>
      </x:c>
      <x:c r="F99" t="str">
        <x:v>Entre $3 M y $5 M</x:v>
      </x:c>
      <x:c r="G99" t="str">
        <x:v>Orgánico</x:v>
      </x:c>
      <x:c r="H99" t="n">
        <x:v>3499000</x:v>
      </x:c>
      <x:c r="I99" t="str">
        <x:v>Control de pagos</x:v>
      </x:c>
      <x:c r="J99" t="str">
        <x:v>Plus mensual</x:v>
      </x:c>
    </x:row>
    <x:row r="100">
      <x:c r="A100" t="str">
        <x:v>USR-00099</x:v>
      </x:c>
      <x:c r="B100" t="n">
        <x:v>45759</x:v>
      </x:c>
      <x:c r="C100" t="n">
        <x:v>49</x:v>
      </x:c>
      <x:c r="D100" t="str">
        <x:v>Cali</x:v>
      </x:c>
      <x:c r="E100" t="str">
        <x:v>Valle del Cauca</x:v>
      </x:c>
      <x:c r="F100" t="str">
        <x:v>Entre $3 M y $5 M</x:v>
      </x:c>
      <x:c r="G100" t="str">
        <x:v>Alianzas</x:v>
      </x:c>
      <x:c r="H100" t="n">
        <x:v>4875000</x:v>
      </x:c>
      <x:c r="I100" t="str">
        <x:v>Reducir intereses</x:v>
      </x:c>
      <x:c r="J100" t="str">
        <x:v>Plus mensual</x:v>
      </x:c>
    </x:row>
    <x:row r="101">
      <x:c r="A101" t="str">
        <x:v>USR-00100</x:v>
      </x:c>
      <x:c r="B101" t="n">
        <x:v>45753</x:v>
      </x:c>
      <x:c r="C101" t="n">
        <x:v>36</x:v>
      </x:c>
      <x:c r="D101" t="str">
        <x:v>Cali</x:v>
      </x:c>
      <x:c r="E101" t="str">
        <x:v>Valle del Cauca</x:v>
      </x:c>
      <x:c r="F101" t="str">
        <x:v>Menos de $1,5 M</x:v>
      </x:c>
      <x:c r="G101" t="str">
        <x:v>Búsqueda paga</x:v>
      </x:c>
      <x:c r="H101" t="n">
        <x:v>1331000</x:v>
      </x:c>
      <x:c r="I101" t="str">
        <x:v>Reducir intereses</x:v>
      </x:c>
      <x:c r="J101" t="str">
        <x:v>Inactivo</x:v>
      </x:c>
    </x:row>
    <x:row r="102">
      <x:c r="A102" t="str">
        <x:v>USR-00101</x:v>
      </x:c>
      <x:c r="B102" t="n">
        <x:v>45767</x:v>
      </x:c>
      <x:c r="C102" t="n">
        <x:v>33</x:v>
      </x:c>
      <x:c r="D102" t="str">
        <x:v>Cali</x:v>
      </x:c>
      <x:c r="E102" t="str">
        <x:v>Valle del Cauca</x:v>
      </x:c>
      <x:c r="F102" t="str">
        <x:v>Más de $5 M</x:v>
      </x:c>
      <x:c r="G102" t="str">
        <x:v>Orgánico</x:v>
      </x:c>
      <x:c r="H102" t="n">
        <x:v>5690000</x:v>
      </x:c>
      <x:c r="I102" t="str">
        <x:v>Salir de deudas</x:v>
      </x:c>
      <x:c r="J102" t="str">
        <x:v>Plus anual</x:v>
      </x:c>
    </x:row>
    <x:row r="103">
      <x:c r="A103" t="str">
        <x:v>USR-00102</x:v>
      </x:c>
      <x:c r="B103" t="n">
        <x:v>45760</x:v>
      </x:c>
      <x:c r="C103" t="n">
        <x:v>64</x:v>
      </x:c>
      <x:c r="D103" t="str">
        <x:v>Bogotá</x:v>
      </x:c>
      <x:c r="E103" t="str">
        <x:v>Bogotá D.C.</x:v>
      </x:c>
      <x:c r="F103" t="str">
        <x:v>Entre $1,5 M y $3 M</x:v>
      </x:c>
      <x:c r="G103" t="str">
        <x:v>Alianzas</x:v>
      </x:c>
      <x:c r="H103" t="n">
        <x:v>1564000</x:v>
      </x:c>
      <x:c r="I103" t="str">
        <x:v>Control de pagos</x:v>
      </x:c>
      <x:c r="J103" t="str">
        <x:v>Plus mensual</x:v>
      </x:c>
    </x:row>
    <x:row r="104">
      <x:c r="A104" t="str">
        <x:v>USR-00103</x:v>
      </x:c>
      <x:c r="B104" t="n">
        <x:v>45756</x:v>
      </x:c>
      <x:c r="C104" t="n">
        <x:v>32</x:v>
      </x:c>
      <x:c r="D104" t="str">
        <x:v>Medellín</x:v>
      </x:c>
      <x:c r="E104" t="str">
        <x:v>Antioquia</x:v>
      </x:c>
      <x:c r="F104" t="str">
        <x:v>Menos de $1,5 M</x:v>
      </x:c>
      <x:c r="G104" t="str">
        <x:v>Alianzas</x:v>
      </x:c>
      <x:c r="H104" t="n">
        <x:v>1043000</x:v>
      </x:c>
      <x:c r="I104" t="str">
        <x:v>Control de pagos</x:v>
      </x:c>
      <x:c r="J104" t="str">
        <x:v>Cero</x:v>
      </x:c>
    </x:row>
    <x:row r="105">
      <x:c r="A105" t="str">
        <x:v>USR-00104</x:v>
      </x:c>
      <x:c r="B105" t="n">
        <x:v>45748</x:v>
      </x:c>
      <x:c r="C105" t="n">
        <x:v>50</x:v>
      </x:c>
      <x:c r="D105" t="str">
        <x:v>Bogotá</x:v>
      </x:c>
      <x:c r="E105" t="str">
        <x:v>Bogotá D.C.</x:v>
      </x:c>
      <x:c r="F105" t="str">
        <x:v>Entre $3 M y $5 M</x:v>
      </x:c>
      <x:c r="G105" t="str">
        <x:v>Referidos</x:v>
      </x:c>
      <x:c r="H105" t="n">
        <x:v>4147000</x:v>
      </x:c>
      <x:c r="I105" t="str">
        <x:v>Salir de deudas</x:v>
      </x:c>
      <x:c r="J105" t="str">
        <x:v>Plus mensual</x:v>
      </x:c>
    </x:row>
    <x:row r="106">
      <x:c r="A106" t="str">
        <x:v>USR-00105</x:v>
      </x:c>
      <x:c r="B106" t="n">
        <x:v>45770</x:v>
      </x:c>
      <x:c r="C106" t="n">
        <x:v>44</x:v>
      </x:c>
      <x:c r="D106" t="str">
        <x:v>Bucaramanga</x:v>
      </x:c>
      <x:c r="E106" t="str">
        <x:v>Santander</x:v>
      </x:c>
      <x:c r="F106" t="str">
        <x:v>Entre $3 M y $5 M</x:v>
      </x:c>
      <x:c r="G106" t="str">
        <x:v>Orgánico</x:v>
      </x:c>
      <x:c r="H106" t="n">
        <x:v>4819000</x:v>
      </x:c>
      <x:c r="I106" t="str">
        <x:v>Control de pagos</x:v>
      </x:c>
      <x:c r="J106" t="str">
        <x:v>Cero</x:v>
      </x:c>
    </x:row>
    <x:row r="107">
      <x:c r="A107" t="str">
        <x:v>USR-00106</x:v>
      </x:c>
      <x:c r="B107" t="n">
        <x:v>45752</x:v>
      </x:c>
      <x:c r="C107" t="n">
        <x:v>29</x:v>
      </x:c>
      <x:c r="D107" t="str">
        <x:v>Cartagena</x:v>
      </x:c>
      <x:c r="E107" t="str">
        <x:v>Bolívar</x:v>
      </x:c>
      <x:c r="F107" t="str">
        <x:v>Menos de $1,5 M</x:v>
      </x:c>
      <x:c r="G107" t="str">
        <x:v>Redes sociales</x:v>
      </x:c>
      <x:c r="H107" t="n">
        <x:v>959000</x:v>
      </x:c>
      <x:c r="I107" t="str">
        <x:v>Salir de deudas</x:v>
      </x:c>
      <x:c r="J107" t="str">
        <x:v>Plus anual</x:v>
      </x:c>
    </x:row>
    <x:row r="108">
      <x:c r="A108" t="str">
        <x:v>USR-00107</x:v>
      </x:c>
      <x:c r="B108" t="n">
        <x:v>45757</x:v>
      </x:c>
      <x:c r="C108" t="n">
        <x:v>63</x:v>
      </x:c>
      <x:c r="D108" t="str">
        <x:v>Medellín</x:v>
      </x:c>
      <x:c r="E108" t="str">
        <x:v>Antioquia</x:v>
      </x:c>
      <x:c r="F108" t="str">
        <x:v>Más de $5 M</x:v>
      </x:c>
      <x:c r="G108" t="str">
        <x:v>Referidos</x:v>
      </x:c>
      <x:c r="H108" t="n">
        <x:v>5241000</x:v>
      </x:c>
      <x:c r="I108" t="str">
        <x:v>Reducir intereses</x:v>
      </x:c>
      <x:c r="J108" t="str">
        <x:v>Plus anual</x:v>
      </x:c>
    </x:row>
    <x:row r="109">
      <x:c r="A109" t="str">
        <x:v>USR-00108</x:v>
      </x:c>
      <x:c r="B109" t="n">
        <x:v>45774</x:v>
      </x:c>
      <x:c r="C109" t="n">
        <x:v>35</x:v>
      </x:c>
      <x:c r="D109" t="str">
        <x:v>Medellín</x:v>
      </x:c>
      <x:c r="E109" t="str">
        <x:v>Antioquia</x:v>
      </x:c>
      <x:c r="F109" t="str">
        <x:v>Menos de $1,5 M</x:v>
      </x:c>
      <x:c r="G109" t="str">
        <x:v>Orgánico</x:v>
      </x:c>
      <x:c r="H109" t="n">
        <x:v>1391000</x:v>
      </x:c>
      <x:c r="I109" t="str">
        <x:v>Organización inicial</x:v>
      </x:c>
      <x:c r="J109" t="str">
        <x:v>Cero</x:v>
      </x:c>
    </x:row>
    <x:row r="110">
      <x:c r="A110" t="str">
        <x:v>USR-00109</x:v>
      </x:c>
      <x:c r="B110" t="n">
        <x:v>45763</x:v>
      </x:c>
      <x:c r="C110" t="n">
        <x:v>61</x:v>
      </x:c>
      <x:c r="D110" t="str">
        <x:v>Cali</x:v>
      </x:c>
      <x:c r="E110" t="str">
        <x:v>Valle del Cauca</x:v>
      </x:c>
      <x:c r="F110" t="str">
        <x:v>Menos de $1,5 M</x:v>
      </x:c>
      <x:c r="G110" t="str">
        <x:v>Redes sociales</x:v>
      </x:c>
      <x:c r="H110" t="n">
        <x:v>968000</x:v>
      </x:c>
      <x:c r="I110" t="str">
        <x:v>Reducir intereses</x:v>
      </x:c>
      <x:c r="J110" t="str">
        <x:v>Cero</x:v>
      </x:c>
    </x:row>
    <x:row r="111">
      <x:c r="A111" t="str">
        <x:v>USR-00110</x:v>
      </x:c>
      <x:c r="B111" t="n">
        <x:v>45773</x:v>
      </x:c>
      <x:c r="C111" t="n">
        <x:v>50</x:v>
      </x:c>
      <x:c r="D111" t="str">
        <x:v>Barranquilla</x:v>
      </x:c>
      <x:c r="E111" t="str">
        <x:v>Atlántico</x:v>
      </x:c>
      <x:c r="F111" t="str">
        <x:v>Más de $5 M</x:v>
      </x:c>
      <x:c r="G111" t="str">
        <x:v>Alianzas</x:v>
      </x:c>
      <x:c r="H111" t="n">
        <x:v>8096000</x:v>
      </x:c>
      <x:c r="I111" t="str">
        <x:v>Control de pagos</x:v>
      </x:c>
      <x:c r="J111" t="str">
        <x:v>Cero</x:v>
      </x:c>
    </x:row>
    <x:row r="112">
      <x:c r="A112" t="str">
        <x:v>USR-00111</x:v>
      </x:c>
      <x:c r="B112" t="n">
        <x:v>45759</x:v>
      </x:c>
      <x:c r="C112" t="n">
        <x:v>38</x:v>
      </x:c>
      <x:c r="D112" t="str">
        <x:v>Bogotá</x:v>
      </x:c>
      <x:c r="E112" t="str">
        <x:v>Bogotá D.C.</x:v>
      </x:c>
      <x:c r="F112" t="str">
        <x:v>Menos de $1,5 M</x:v>
      </x:c>
      <x:c r="G112" t="str">
        <x:v>Redes sociales</x:v>
      </x:c>
      <x:c r="H112" t="n">
        <x:v>972000</x:v>
      </x:c>
      <x:c r="I112" t="str">
        <x:v>Reducir intereses</x:v>
      </x:c>
      <x:c r="J112" t="str">
        <x:v>Cero</x:v>
      </x:c>
    </x:row>
    <x:row r="113">
      <x:c r="A113" t="str">
        <x:v>USR-00112</x:v>
      </x:c>
      <x:c r="B113" t="n">
        <x:v>45752</x:v>
      </x:c>
      <x:c r="C113" t="n">
        <x:v>35</x:v>
      </x:c>
      <x:c r="D113" t="str">
        <x:v>Medellín</x:v>
      </x:c>
      <x:c r="E113" t="str">
        <x:v>Antioquia</x:v>
      </x:c>
      <x:c r="F113" t="str">
        <x:v>Entre $1,5 M y $3 M</x:v>
      </x:c>
      <x:c r="G113" t="str">
        <x:v>Referidos</x:v>
      </x:c>
      <x:c r="H113" t="n">
        <x:v>1975000</x:v>
      </x:c>
      <x:c r="I113" t="str">
        <x:v>Control de pagos</x:v>
      </x:c>
      <x:c r="J113" t="str">
        <x:v>Plus anual</x:v>
      </x:c>
    </x:row>
    <x:row r="114">
      <x:c r="A114" t="str">
        <x:v>USR-00113</x:v>
      </x:c>
      <x:c r="B114" t="n">
        <x:v>45767</x:v>
      </x:c>
      <x:c r="C114" t="n">
        <x:v>64</x:v>
      </x:c>
      <x:c r="D114" t="str">
        <x:v>Barranquilla</x:v>
      </x:c>
      <x:c r="E114" t="str">
        <x:v>Atlántico</x:v>
      </x:c>
      <x:c r="F114" t="str">
        <x:v>Entre $1,5 M y $3 M</x:v>
      </x:c>
      <x:c r="G114" t="str">
        <x:v>Redes sociales</x:v>
      </x:c>
      <x:c r="H114" t="n">
        <x:v>2992000</x:v>
      </x:c>
      <x:c r="I114" t="str">
        <x:v>Organización inicial</x:v>
      </x:c>
      <x:c r="J114" t="str">
        <x:v>Cero</x:v>
      </x:c>
    </x:row>
    <x:row r="115">
      <x:c r="A115" t="str">
        <x:v>USR-00114</x:v>
      </x:c>
      <x:c r="B115" t="n">
        <x:v>45759</x:v>
      </x:c>
      <x:c r="C115" t="n">
        <x:v>20</x:v>
      </x:c>
      <x:c r="D115" t="str">
        <x:v>Bogotá</x:v>
      </x:c>
      <x:c r="E115" t="str">
        <x:v>Bogotá D.C.</x:v>
      </x:c>
      <x:c r="F115" t="str">
        <x:v>Entre $3 M y $5 M</x:v>
      </x:c>
      <x:c r="G115" t="str">
        <x:v>Redes sociales</x:v>
      </x:c>
      <x:c r="H115" t="n">
        <x:v>4829000</x:v>
      </x:c>
      <x:c r="I115" t="str">
        <x:v>Control de pagos</x:v>
      </x:c>
      <x:c r="J115" t="str">
        <x:v>Cero</x:v>
      </x:c>
    </x:row>
    <x:row r="116">
      <x:c r="A116" t="str">
        <x:v>USR-00115</x:v>
      </x:c>
      <x:c r="B116" t="n">
        <x:v>45765</x:v>
      </x:c>
      <x:c r="C116" t="n">
        <x:v>59</x:v>
      </x:c>
      <x:c r="D116" t="str">
        <x:v>Cali</x:v>
      </x:c>
      <x:c r="E116" t="str">
        <x:v>Valle del Cauca</x:v>
      </x:c>
      <x:c r="F116" t="str">
        <x:v>Entre $3 M y $5 M</x:v>
      </x:c>
      <x:c r="G116" t="str">
        <x:v>Contenido educativo</x:v>
      </x:c>
      <x:c r="H116" t="n">
        <x:v>3294000</x:v>
      </x:c>
      <x:c r="I116" t="str">
        <x:v>Organización inicial</x:v>
      </x:c>
      <x:c r="J116" t="str">
        <x:v>Cero</x:v>
      </x:c>
    </x:row>
    <x:row r="117">
      <x:c r="A117" t="str">
        <x:v>USR-00116</x:v>
      </x:c>
      <x:c r="B117" t="n">
        <x:v>45751</x:v>
      </x:c>
      <x:c r="C117" t="n">
        <x:v>56</x:v>
      </x:c>
      <x:c r="D117" t="str">
        <x:v>Medellín</x:v>
      </x:c>
      <x:c r="E117" t="str">
        <x:v>Antioquia</x:v>
      </x:c>
      <x:c r="F117" t="str">
        <x:v>Entre $1,5 M y $3 M</x:v>
      </x:c>
      <x:c r="G117" t="str">
        <x:v>Alianzas</x:v>
      </x:c>
      <x:c r="H117" t="n">
        <x:v>1529000</x:v>
      </x:c>
      <x:c r="I117" t="str">
        <x:v>Salir de deudas</x:v>
      </x:c>
      <x:c r="J117" t="str">
        <x:v>Plus anual</x:v>
      </x:c>
    </x:row>
    <x:row r="118">
      <x:c r="A118" t="str">
        <x:v>USR-00117</x:v>
      </x:c>
      <x:c r="B118" t="n">
        <x:v>45774</x:v>
      </x:c>
      <x:c r="C118" t="n">
        <x:v>56</x:v>
      </x:c>
      <x:c r="D118" t="str">
        <x:v>Bogotá</x:v>
      </x:c>
      <x:c r="E118" t="str">
        <x:v>Bogotá D.C.</x:v>
      </x:c>
      <x:c r="F118" t="str">
        <x:v>Menos de $1,5 M</x:v>
      </x:c>
      <x:c r="G118" t="str">
        <x:v>Orgánico</x:v>
      </x:c>
      <x:c r="H118" t="n">
        <x:v>1049000</x:v>
      </x:c>
      <x:c r="I118" t="str">
        <x:v>Salir de deudas</x:v>
      </x:c>
      <x:c r="J118" t="str">
        <x:v>Plus anual</x:v>
      </x:c>
    </x:row>
    <x:row r="119">
      <x:c r="A119" t="str">
        <x:v>USR-00118</x:v>
      </x:c>
      <x:c r="B119" t="n">
        <x:v>45758</x:v>
      </x:c>
      <x:c r="C119" t="n">
        <x:v>39</x:v>
      </x:c>
      <x:c r="D119" t="str">
        <x:v>Bogotá</x:v>
      </x:c>
      <x:c r="E119" t="str">
        <x:v>Bogotá D.C.</x:v>
      </x:c>
      <x:c r="F119" t="str">
        <x:v>Entre $1,5 M y $3 M</x:v>
      </x:c>
      <x:c r="G119" t="str">
        <x:v>Orgánico</x:v>
      </x:c>
      <x:c r="H119" t="n">
        <x:v>2197000</x:v>
      </x:c>
      <x:c r="I119" t="str">
        <x:v>Control de pagos</x:v>
      </x:c>
      <x:c r="J119" t="str">
        <x:v>Plus mensual</x:v>
      </x:c>
    </x:row>
    <x:row r="120">
      <x:c r="A120" t="str">
        <x:v>USR-00119</x:v>
      </x:c>
      <x:c r="B120" t="n">
        <x:v>45757</x:v>
      </x:c>
      <x:c r="C120" t="n">
        <x:v>53</x:v>
      </x:c>
      <x:c r="D120" t="str">
        <x:v>Bogotá</x:v>
      </x:c>
      <x:c r="E120" t="str">
        <x:v>Bogotá D.C.</x:v>
      </x:c>
      <x:c r="F120" t="str">
        <x:v>Entre $1,5 M y $3 M</x:v>
      </x:c>
      <x:c r="G120" t="str">
        <x:v>Búsqueda paga</x:v>
      </x:c>
      <x:c r="H120" t="n">
        <x:v>1586000</x:v>
      </x:c>
      <x:c r="I120" t="str">
        <x:v>Reducir intereses</x:v>
      </x:c>
      <x:c r="J120" t="str">
        <x:v>Plus anual</x:v>
      </x:c>
    </x:row>
    <x:row r="121">
      <x:c r="A121" t="str">
        <x:v>USR-00120</x:v>
      </x:c>
      <x:c r="B121" t="n">
        <x:v>45755</x:v>
      </x:c>
      <x:c r="C121" t="n">
        <x:v>54</x:v>
      </x:c>
      <x:c r="D121" t="str">
        <x:v>Bogotá</x:v>
      </x:c>
      <x:c r="E121" t="str">
        <x:v>Bogotá D.C.</x:v>
      </x:c>
      <x:c r="F121" t="str">
        <x:v>Más de $5 M</x:v>
      </x:c>
      <x:c r="G121" t="str">
        <x:v>Orgánico</x:v>
      </x:c>
      <x:c r="H121" t="n">
        <x:v>5663000</x:v>
      </x:c>
      <x:c r="I121" t="str">
        <x:v>Control de pagos</x:v>
      </x:c>
      <x:c r="J121" t="str">
        <x:v>Plus anual</x:v>
      </x:c>
    </x:row>
    <x:row r="122">
      <x:c r="A122" t="str">
        <x:v>USR-00121</x:v>
      </x:c>
      <x:c r="B122" t="n">
        <x:v>45765</x:v>
      </x:c>
      <x:c r="C122" t="n">
        <x:v>59</x:v>
      </x:c>
      <x:c r="D122" t="str">
        <x:v>Bogotá</x:v>
      </x:c>
      <x:c r="E122" t="str">
        <x:v>Bogotá D.C.</x:v>
      </x:c>
      <x:c r="F122" t="str">
        <x:v>Menos de $1,5 M</x:v>
      </x:c>
      <x:c r="G122" t="str">
        <x:v>Orgánico</x:v>
      </x:c>
      <x:c r="H122" t="n">
        <x:v>931000</x:v>
      </x:c>
      <x:c r="I122" t="str">
        <x:v>Control de pagos</x:v>
      </x:c>
      <x:c r="J122" t="str">
        <x:v>Cero</x:v>
      </x:c>
    </x:row>
    <x:row r="123">
      <x:c r="A123" t="str">
        <x:v>USR-00122</x:v>
      </x:c>
      <x:c r="B123" t="n">
        <x:v>45792</x:v>
      </x:c>
      <x:c r="C123" t="n">
        <x:v>55</x:v>
      </x:c>
      <x:c r="D123" t="str">
        <x:v>Cali</x:v>
      </x:c>
      <x:c r="E123" t="str">
        <x:v>Valle del Cauca</x:v>
      </x:c>
      <x:c r="F123" t="str">
        <x:v>Entre $3 M y $5 M</x:v>
      </x:c>
      <x:c r="G123" t="str">
        <x:v>Redes sociales</x:v>
      </x:c>
      <x:c r="H123" t="n">
        <x:v>4507000</x:v>
      </x:c>
      <x:c r="I123" t="str">
        <x:v>Salir de deudas</x:v>
      </x:c>
      <x:c r="J123" t="str">
        <x:v>Plus mensual</x:v>
      </x:c>
    </x:row>
    <x:row r="124">
      <x:c r="A124" t="str">
        <x:v>USR-00123</x:v>
      </x:c>
      <x:c r="B124" t="n">
        <x:v>45781</x:v>
      </x:c>
      <x:c r="C124" t="n">
        <x:v>25</x:v>
      </x:c>
      <x:c r="D124" t="str">
        <x:v>Bucaramanga</x:v>
      </x:c>
      <x:c r="E124" t="str">
        <x:v>Santander</x:v>
      </x:c>
      <x:c r="F124" t="str">
        <x:v>Entre $3 M y $5 M</x:v>
      </x:c>
      <x:c r="G124" t="str">
        <x:v>Alianzas</x:v>
      </x:c>
      <x:c r="H124" t="n">
        <x:v>4211000</x:v>
      </x:c>
      <x:c r="I124" t="str">
        <x:v>Control de pagos</x:v>
      </x:c>
      <x:c r="J124" t="str">
        <x:v>Plus anual</x:v>
      </x:c>
    </x:row>
    <x:row r="125">
      <x:c r="A125" t="str">
        <x:v>USR-00124</x:v>
      </x:c>
      <x:c r="B125" t="n">
        <x:v>45782</x:v>
      </x:c>
      <x:c r="C125" t="n">
        <x:v>42</x:v>
      </x:c>
      <x:c r="D125" t="str">
        <x:v>Cali</x:v>
      </x:c>
      <x:c r="E125" t="str">
        <x:v>Valle del Cauca</x:v>
      </x:c>
      <x:c r="F125" t="str">
        <x:v>Entre $1,5 M y $3 M</x:v>
      </x:c>
      <x:c r="G125" t="str">
        <x:v>Búsqueda paga</x:v>
      </x:c>
      <x:c r="H125" t="n">
        <x:v>1607000</x:v>
      </x:c>
      <x:c r="I125" t="str">
        <x:v>Control de pagos</x:v>
      </x:c>
      <x:c r="J125" t="str">
        <x:v>Cero</x:v>
      </x:c>
    </x:row>
    <x:row r="126">
      <x:c r="A126" t="str">
        <x:v>USR-00125</x:v>
      </x:c>
      <x:c r="B126" t="n">
        <x:v>45783</x:v>
      </x:c>
      <x:c r="C126" t="n">
        <x:v>24</x:v>
      </x:c>
      <x:c r="D126" t="str">
        <x:v>Medellín</x:v>
      </x:c>
      <x:c r="E126" t="str">
        <x:v>Antioquia</x:v>
      </x:c>
      <x:c r="F126" t="str">
        <x:v>Entre $3 M y $5 M</x:v>
      </x:c>
      <x:c r="G126" t="str">
        <x:v>Alianzas</x:v>
      </x:c>
      <x:c r="H126" t="n">
        <x:v>3894000</x:v>
      </x:c>
      <x:c r="I126" t="str">
        <x:v>Salir de deudas</x:v>
      </x:c>
      <x:c r="J126" t="str">
        <x:v>Cero</x:v>
      </x:c>
    </x:row>
    <x:row r="127">
      <x:c r="A127" t="str">
        <x:v>USR-00126</x:v>
      </x:c>
      <x:c r="B127" t="n">
        <x:v>45804</x:v>
      </x:c>
      <x:c r="C127" t="n">
        <x:v>34</x:v>
      </x:c>
      <x:c r="D127" t="str">
        <x:v>Manizales</x:v>
      </x:c>
      <x:c r="E127" t="str">
        <x:v>Caldas</x:v>
      </x:c>
      <x:c r="F127" t="str">
        <x:v>Entre $3 M y $5 M</x:v>
      </x:c>
      <x:c r="G127" t="str">
        <x:v>Orgánico</x:v>
      </x:c>
      <x:c r="H127" t="n">
        <x:v>4852000</x:v>
      </x:c>
      <x:c r="I127" t="str">
        <x:v>Reducir intereses</x:v>
      </x:c>
      <x:c r="J127" t="str">
        <x:v>Cero</x:v>
      </x:c>
    </x:row>
    <x:row r="128">
      <x:c r="A128" t="str">
        <x:v>USR-00127</x:v>
      </x:c>
      <x:c r="B128" t="n">
        <x:v>45778</x:v>
      </x:c>
      <x:c r="C128" t="n">
        <x:v>31</x:v>
      </x:c>
      <x:c r="D128" t="str">
        <x:v>Cali</x:v>
      </x:c>
      <x:c r="E128" t="str">
        <x:v>Valle del Cauca</x:v>
      </x:c>
      <x:c r="F128" t="str">
        <x:v>Entre $3 M y $5 M</x:v>
      </x:c>
      <x:c r="G128" t="str">
        <x:v>Referidos</x:v>
      </x:c>
      <x:c r="H128" t="n">
        <x:v>4576000</x:v>
      </x:c>
      <x:c r="I128" t="str">
        <x:v>Control de pagos</x:v>
      </x:c>
      <x:c r="J128" t="str">
        <x:v>Cero</x:v>
      </x:c>
    </x:row>
    <x:row r="129">
      <x:c r="A129" t="str">
        <x:v>USR-00128</x:v>
      </x:c>
      <x:c r="B129" t="n">
        <x:v>45792</x:v>
      </x:c>
      <x:c r="C129" t="n">
        <x:v>64</x:v>
      </x:c>
      <x:c r="D129" t="str">
        <x:v>Cali</x:v>
      </x:c>
      <x:c r="E129" t="str">
        <x:v>Valle del Cauca</x:v>
      </x:c>
      <x:c r="F129" t="str">
        <x:v>Entre $1,5 M y $3 M</x:v>
      </x:c>
      <x:c r="G129" t="str">
        <x:v>Referidos</x:v>
      </x:c>
      <x:c r="H129" t="n">
        <x:v>1967000</x:v>
      </x:c>
      <x:c r="I129" t="str">
        <x:v>Salir de deudas</x:v>
      </x:c>
      <x:c r="J129" t="str">
        <x:v>Cero</x:v>
      </x:c>
    </x:row>
    <x:row r="130">
      <x:c r="A130" t="str">
        <x:v>USR-00129</x:v>
      </x:c>
      <x:c r="B130" t="n">
        <x:v>45781</x:v>
      </x:c>
      <x:c r="C130" t="n">
        <x:v>61</x:v>
      </x:c>
      <x:c r="D130" t="str">
        <x:v>Bogotá</x:v>
      </x:c>
      <x:c r="E130" t="str">
        <x:v>Bogotá D.C.</x:v>
      </x:c>
      <x:c r="F130" t="str">
        <x:v>Más de $5 M</x:v>
      </x:c>
      <x:c r="G130" t="str">
        <x:v>Referidos</x:v>
      </x:c>
      <x:c r="H130" t="n">
        <x:v>8816000</x:v>
      </x:c>
      <x:c r="I130" t="str">
        <x:v>Salir de deudas</x:v>
      </x:c>
      <x:c r="J130" t="str">
        <x:v>Inactivo</x:v>
      </x:c>
    </x:row>
    <x:row r="131">
      <x:c r="A131" t="str">
        <x:v>USR-00130</x:v>
      </x:c>
      <x:c r="B131" t="n">
        <x:v>45794</x:v>
      </x:c>
      <x:c r="C131" t="n">
        <x:v>35</x:v>
      </x:c>
      <x:c r="D131" t="str">
        <x:v>Pereira</x:v>
      </x:c>
      <x:c r="E131" t="str">
        <x:v>Risaralda</x:v>
      </x:c>
      <x:c r="F131" t="str">
        <x:v>Menos de $1,5 M</x:v>
      </x:c>
      <x:c r="G131" t="str">
        <x:v>Alianzas</x:v>
      </x:c>
      <x:c r="H131" t="n">
        <x:v>1197000</x:v>
      </x:c>
      <x:c r="I131" t="str">
        <x:v>Control de pagos</x:v>
      </x:c>
      <x:c r="J131" t="str">
        <x:v>Cero</x:v>
      </x:c>
    </x:row>
    <x:row r="132">
      <x:c r="A132" t="str">
        <x:v>USR-00131</x:v>
      </x:c>
      <x:c r="B132" t="n">
        <x:v>45793</x:v>
      </x:c>
      <x:c r="C132" t="n">
        <x:v>62</x:v>
      </x:c>
      <x:c r="D132" t="str">
        <x:v>Bogotá</x:v>
      </x:c>
      <x:c r="E132" t="str">
        <x:v>Bogotá D.C.</x:v>
      </x:c>
      <x:c r="F132" t="str">
        <x:v>Menos de $1,5 M</x:v>
      </x:c>
      <x:c r="G132" t="str">
        <x:v>Orgánico</x:v>
      </x:c>
      <x:c r="H132" t="n">
        <x:v>1252000</x:v>
      </x:c>
      <x:c r="I132" t="str">
        <x:v>Reducir intereses</x:v>
      </x:c>
      <x:c r="J132" t="str">
        <x:v>Inactivo</x:v>
      </x:c>
    </x:row>
    <x:row r="133">
      <x:c r="A133" t="str">
        <x:v>USR-00132</x:v>
      </x:c>
      <x:c r="B133" t="n">
        <x:v>45788</x:v>
      </x:c>
      <x:c r="C133" t="n">
        <x:v>22</x:v>
      </x:c>
      <x:c r="D133" t="str">
        <x:v>Bogotá</x:v>
      </x:c>
      <x:c r="E133" t="str">
        <x:v>Bogotá D.C.</x:v>
      </x:c>
      <x:c r="F133" t="str">
        <x:v>Entre $1,5 M y $3 M</x:v>
      </x:c>
      <x:c r="G133" t="str">
        <x:v>Redes sociales</x:v>
      </x:c>
      <x:c r="H133" t="n">
        <x:v>1915000</x:v>
      </x:c>
      <x:c r="I133" t="str">
        <x:v>Control de pagos</x:v>
      </x:c>
      <x:c r="J133" t="str">
        <x:v>Plus anual</x:v>
      </x:c>
    </x:row>
    <x:row r="134">
      <x:c r="A134" t="str">
        <x:v>USR-00133</x:v>
      </x:c>
      <x:c r="B134" t="n">
        <x:v>45799</x:v>
      </x:c>
      <x:c r="C134" t="n">
        <x:v>61</x:v>
      </x:c>
      <x:c r="D134" t="str">
        <x:v>Barranquilla</x:v>
      </x:c>
      <x:c r="E134" t="str">
        <x:v>Atlántico</x:v>
      </x:c>
      <x:c r="F134" t="str">
        <x:v>Entre $3 M y $5 M</x:v>
      </x:c>
      <x:c r="G134" t="str">
        <x:v>Redes sociales</x:v>
      </x:c>
      <x:c r="H134" t="n">
        <x:v>3013000</x:v>
      </x:c>
      <x:c r="I134" t="str">
        <x:v>Reducir intereses</x:v>
      </x:c>
      <x:c r="J134" t="str">
        <x:v>Inactivo</x:v>
      </x:c>
    </x:row>
    <x:row r="135">
      <x:c r="A135" t="str">
        <x:v>USR-00134</x:v>
      </x:c>
      <x:c r="B135" t="n">
        <x:v>45795</x:v>
      </x:c>
      <x:c r="C135" t="n">
        <x:v>27</x:v>
      </x:c>
      <x:c r="D135" t="str">
        <x:v>Cali</x:v>
      </x:c>
      <x:c r="E135" t="str">
        <x:v>Valle del Cauca</x:v>
      </x:c>
      <x:c r="F135" t="str">
        <x:v>Entre $3 M y $5 M</x:v>
      </x:c>
      <x:c r="G135" t="str">
        <x:v>Referidos</x:v>
      </x:c>
      <x:c r="H135" t="n">
        <x:v>4899000</x:v>
      </x:c>
      <x:c r="I135" t="str">
        <x:v>Salir de deudas</x:v>
      </x:c>
      <x:c r="J135" t="str">
        <x:v>Cero</x:v>
      </x:c>
    </x:row>
    <x:row r="136">
      <x:c r="A136" t="str">
        <x:v>USR-00135</x:v>
      </x:c>
      <x:c r="B136" t="n">
        <x:v>45792</x:v>
      </x:c>
      <x:c r="C136" t="n">
        <x:v>59</x:v>
      </x:c>
      <x:c r="D136" t="str">
        <x:v>Medellín</x:v>
      </x:c>
      <x:c r="E136" t="str">
        <x:v>Antioquia</x:v>
      </x:c>
      <x:c r="F136" t="str">
        <x:v>Entre $3 M y $5 M</x:v>
      </x:c>
      <x:c r="G136" t="str">
        <x:v>Orgánico</x:v>
      </x:c>
      <x:c r="H136" t="n">
        <x:v>3567000</x:v>
      </x:c>
      <x:c r="I136" t="str">
        <x:v>Reducir intereses</x:v>
      </x:c>
      <x:c r="J136" t="str">
        <x:v>Cero</x:v>
      </x:c>
    </x:row>
    <x:row r="137">
      <x:c r="A137" t="str">
        <x:v>USR-00136</x:v>
      </x:c>
      <x:c r="B137" t="n">
        <x:v>45783</x:v>
      </x:c>
      <x:c r="C137" t="n">
        <x:v>49</x:v>
      </x:c>
      <x:c r="D137" t="str">
        <x:v>Medellín</x:v>
      </x:c>
      <x:c r="E137" t="str">
        <x:v>Antioquia</x:v>
      </x:c>
      <x:c r="F137" t="str">
        <x:v>Entre $1,5 M y $3 M</x:v>
      </x:c>
      <x:c r="G137" t="str">
        <x:v>Referidos</x:v>
      </x:c>
      <x:c r="H137" t="n">
        <x:v>1585000</x:v>
      </x:c>
      <x:c r="I137" t="str">
        <x:v>Organización inicial</x:v>
      </x:c>
      <x:c r="J137" t="str">
        <x:v>Plus mensual</x:v>
      </x:c>
    </x:row>
    <x:row r="138">
      <x:c r="A138" t="str">
        <x:v>USR-00137</x:v>
      </x:c>
      <x:c r="B138" t="n">
        <x:v>45781</x:v>
      </x:c>
      <x:c r="C138" t="n">
        <x:v>50</x:v>
      </x:c>
      <x:c r="D138" t="str">
        <x:v>Bucaramanga</x:v>
      </x:c>
      <x:c r="E138" t="str">
        <x:v>Santander</x:v>
      </x:c>
      <x:c r="F138" t="str">
        <x:v>Entre $3 M y $5 M</x:v>
      </x:c>
      <x:c r="G138" t="str">
        <x:v>Redes sociales</x:v>
      </x:c>
      <x:c r="H138" t="n">
        <x:v>4635000</x:v>
      </x:c>
      <x:c r="I138" t="str">
        <x:v>Organización inicial</x:v>
      </x:c>
      <x:c r="J138" t="str">
        <x:v>Plus anual</x:v>
      </x:c>
    </x:row>
    <x:row r="139">
      <x:c r="A139" t="str">
        <x:v>USR-00138</x:v>
      </x:c>
      <x:c r="B139" t="n">
        <x:v>45795</x:v>
      </x:c>
      <x:c r="C139" t="n">
        <x:v>28</x:v>
      </x:c>
      <x:c r="D139" t="str">
        <x:v>Cali</x:v>
      </x:c>
      <x:c r="E139" t="str">
        <x:v>Valle del Cauca</x:v>
      </x:c>
      <x:c r="F139" t="str">
        <x:v>Entre $1,5 M y $3 M</x:v>
      </x:c>
      <x:c r="G139" t="str">
        <x:v>Orgánico</x:v>
      </x:c>
      <x:c r="H139" t="n">
        <x:v>2207000</x:v>
      </x:c>
      <x:c r="I139" t="str">
        <x:v>Salir de deudas</x:v>
      </x:c>
      <x:c r="J139" t="str">
        <x:v>Cero</x:v>
      </x:c>
    </x:row>
    <x:row r="140">
      <x:c r="A140" t="str">
        <x:v>USR-00139</x:v>
      </x:c>
      <x:c r="B140" t="n">
        <x:v>45803</x:v>
      </x:c>
      <x:c r="C140" t="n">
        <x:v>37</x:v>
      </x:c>
      <x:c r="D140" t="str">
        <x:v>Barranquilla</x:v>
      </x:c>
      <x:c r="E140" t="str">
        <x:v>Atlántico</x:v>
      </x:c>
      <x:c r="F140" t="str">
        <x:v>Menos de $1,5 M</x:v>
      </x:c>
      <x:c r="G140" t="str">
        <x:v>Alianzas</x:v>
      </x:c>
      <x:c r="H140" t="n">
        <x:v>1036000</x:v>
      </x:c>
      <x:c r="I140" t="str">
        <x:v>Control de pagos</x:v>
      </x:c>
      <x:c r="J140" t="str">
        <x:v>Plus mensual</x:v>
      </x:c>
    </x:row>
    <x:row r="141">
      <x:c r="A141" t="str">
        <x:v>USR-00140</x:v>
      </x:c>
      <x:c r="B141" t="n">
        <x:v>45796</x:v>
      </x:c>
      <x:c r="C141" t="n">
        <x:v>38</x:v>
      </x:c>
      <x:c r="D141" t="str">
        <x:v>Bogotá</x:v>
      </x:c>
      <x:c r="E141" t="str">
        <x:v>Bogotá D.C.</x:v>
      </x:c>
      <x:c r="F141" t="str">
        <x:v>Entre $3 M y $5 M</x:v>
      </x:c>
      <x:c r="G141" t="str">
        <x:v>Contenido educativo</x:v>
      </x:c>
      <x:c r="H141" t="n">
        <x:v>3981000</x:v>
      </x:c>
      <x:c r="I141" t="str">
        <x:v>Salir de deudas</x:v>
      </x:c>
      <x:c r="J141" t="str">
        <x:v>Inactivo</x:v>
      </x:c>
    </x:row>
    <x:row r="142">
      <x:c r="A142" t="str">
        <x:v>USR-00141</x:v>
      </x:c>
      <x:c r="B142" t="n">
        <x:v>45793</x:v>
      </x:c>
      <x:c r="C142" t="n">
        <x:v>53</x:v>
      </x:c>
      <x:c r="D142" t="str">
        <x:v>Bogotá</x:v>
      </x:c>
      <x:c r="E142" t="str">
        <x:v>Bogotá D.C.</x:v>
      </x:c>
      <x:c r="F142" t="str">
        <x:v>Menos de $1,5 M</x:v>
      </x:c>
      <x:c r="G142" t="str">
        <x:v>Orgánico</x:v>
      </x:c>
      <x:c r="H142" t="n">
        <x:v>983000</x:v>
      </x:c>
      <x:c r="I142" t="str">
        <x:v>Reducir intereses</x:v>
      </x:c>
      <x:c r="J142" t="str">
        <x:v>Plus anual</x:v>
      </x:c>
    </x:row>
    <x:row r="143">
      <x:c r="A143" t="str">
        <x:v>USR-00142</x:v>
      </x:c>
      <x:c r="B143" t="n">
        <x:v>45800</x:v>
      </x:c>
      <x:c r="C143" t="n">
        <x:v>41</x:v>
      </x:c>
      <x:c r="D143" t="str">
        <x:v>Villavicencio</x:v>
      </x:c>
      <x:c r="E143" t="str">
        <x:v>Meta</x:v>
      </x:c>
      <x:c r="F143" t="str">
        <x:v>Menos de $1,5 M</x:v>
      </x:c>
      <x:c r="G143" t="str">
        <x:v>Redes sociales</x:v>
      </x:c>
      <x:c r="H143" t="n">
        <x:v>1023000</x:v>
      </x:c>
      <x:c r="I143" t="str">
        <x:v>Organización inicial</x:v>
      </x:c>
      <x:c r="J143" t="str">
        <x:v>Plus mensual</x:v>
      </x:c>
    </x:row>
    <x:row r="144">
      <x:c r="A144" t="str">
        <x:v>USR-00143</x:v>
      </x:c>
      <x:c r="B144" t="n">
        <x:v>45792</x:v>
      </x:c>
      <x:c r="C144" t="n">
        <x:v>56</x:v>
      </x:c>
      <x:c r="D144" t="str">
        <x:v>Bogotá</x:v>
      </x:c>
      <x:c r="E144" t="str">
        <x:v>Bogotá D.C.</x:v>
      </x:c>
      <x:c r="F144" t="str">
        <x:v>Entre $3 M y $5 M</x:v>
      </x:c>
      <x:c r="G144" t="str">
        <x:v>Orgánico</x:v>
      </x:c>
      <x:c r="H144" t="n">
        <x:v>3321000</x:v>
      </x:c>
      <x:c r="I144" t="str">
        <x:v>Salir de deudas</x:v>
      </x:c>
      <x:c r="J144" t="str">
        <x:v>Plus anual</x:v>
      </x:c>
    </x:row>
    <x:row r="145">
      <x:c r="A145" t="str">
        <x:v>USR-00144</x:v>
      </x:c>
      <x:c r="B145" t="n">
        <x:v>45778</x:v>
      </x:c>
      <x:c r="C145" t="n">
        <x:v>37</x:v>
      </x:c>
      <x:c r="D145" t="str">
        <x:v>Medellín</x:v>
      </x:c>
      <x:c r="E145" t="str">
        <x:v>Antioquia</x:v>
      </x:c>
      <x:c r="F145" t="str">
        <x:v>Entre $1,5 M y $3 M</x:v>
      </x:c>
      <x:c r="G145" t="str">
        <x:v>Búsqueda paga</x:v>
      </x:c>
      <x:c r="H145" t="n">
        <x:v>2943000</x:v>
      </x:c>
      <x:c r="I145" t="str">
        <x:v>Reducir intereses</x:v>
      </x:c>
      <x:c r="J145" t="str">
        <x:v>Cero</x:v>
      </x:c>
    </x:row>
    <x:row r="146">
      <x:c r="A146" t="str">
        <x:v>USR-00145</x:v>
      </x:c>
      <x:c r="B146" t="n">
        <x:v>45803</x:v>
      </x:c>
      <x:c r="C146" t="n">
        <x:v>42</x:v>
      </x:c>
      <x:c r="D146" t="str">
        <x:v>Bogotá</x:v>
      </x:c>
      <x:c r="E146" t="str">
        <x:v>Bogotá D.C.</x:v>
      </x:c>
      <x:c r="F146" t="str">
        <x:v>Entre $3 M y $5 M</x:v>
      </x:c>
      <x:c r="G146" t="str">
        <x:v>Redes sociales</x:v>
      </x:c>
      <x:c r="H146" t="n">
        <x:v>3067000</x:v>
      </x:c>
      <x:c r="I146" t="str">
        <x:v>Reducir intereses</x:v>
      </x:c>
      <x:c r="J146" t="str">
        <x:v>Plus mensual</x:v>
      </x:c>
    </x:row>
    <x:row r="147">
      <x:c r="A147" t="str">
        <x:v>USR-00146</x:v>
      </x:c>
      <x:c r="B147" t="n">
        <x:v>45811</x:v>
      </x:c>
      <x:c r="C147" t="n">
        <x:v>49</x:v>
      </x:c>
      <x:c r="D147" t="str">
        <x:v>Cali</x:v>
      </x:c>
      <x:c r="E147" t="str">
        <x:v>Valle del Cauca</x:v>
      </x:c>
      <x:c r="F147" t="str">
        <x:v>Entre $3 M y $5 M</x:v>
      </x:c>
      <x:c r="G147" t="str">
        <x:v>Orgánico</x:v>
      </x:c>
      <x:c r="H147" t="n">
        <x:v>4317000</x:v>
      </x:c>
      <x:c r="I147" t="str">
        <x:v>Control de pagos</x:v>
      </x:c>
      <x:c r="J147" t="str">
        <x:v>Plus anual</x:v>
      </x:c>
    </x:row>
    <x:row r="148">
      <x:c r="A148" t="str">
        <x:v>USR-00147</x:v>
      </x:c>
      <x:c r="B148" t="n">
        <x:v>45826</x:v>
      </x:c>
      <x:c r="C148" t="n">
        <x:v>49</x:v>
      </x:c>
      <x:c r="D148" t="str">
        <x:v>Cali</x:v>
      </x:c>
      <x:c r="E148" t="str">
        <x:v>Valle del Cauca</x:v>
      </x:c>
      <x:c r="F148" t="str">
        <x:v>Más de $5 M</x:v>
      </x:c>
      <x:c r="G148" t="str">
        <x:v>Alianzas</x:v>
      </x:c>
      <x:c r="H148" t="n">
        <x:v>6471000</x:v>
      </x:c>
      <x:c r="I148" t="str">
        <x:v>Salir de deudas</x:v>
      </x:c>
      <x:c r="J148" t="str">
        <x:v>Cero</x:v>
      </x:c>
    </x:row>
    <x:row r="149">
      <x:c r="A149" t="str">
        <x:v>USR-00148</x:v>
      </x:c>
      <x:c r="B149" t="n">
        <x:v>45816</x:v>
      </x:c>
      <x:c r="C149" t="n">
        <x:v>29</x:v>
      </x:c>
      <x:c r="D149" t="str">
        <x:v>Barranquilla</x:v>
      </x:c>
      <x:c r="E149" t="str">
        <x:v>Atlántico</x:v>
      </x:c>
      <x:c r="F149" t="str">
        <x:v>Entre $1,5 M y $3 M</x:v>
      </x:c>
      <x:c r="G149" t="str">
        <x:v>Contenido educativo</x:v>
      </x:c>
      <x:c r="H149" t="n">
        <x:v>1565000</x:v>
      </x:c>
      <x:c r="I149" t="str">
        <x:v>Reducir intereses</x:v>
      </x:c>
      <x:c r="J149" t="str">
        <x:v>Cero</x:v>
      </x:c>
    </x:row>
    <x:row r="150">
      <x:c r="A150" t="str">
        <x:v>USR-00149</x:v>
      </x:c>
      <x:c r="B150" t="n">
        <x:v>45835</x:v>
      </x:c>
      <x:c r="C150" t="n">
        <x:v>34</x:v>
      </x:c>
      <x:c r="D150" t="str">
        <x:v>Bogotá</x:v>
      </x:c>
      <x:c r="E150" t="str">
        <x:v>Bogotá D.C.</x:v>
      </x:c>
      <x:c r="F150" t="str">
        <x:v>Entre $1,5 M y $3 M</x:v>
      </x:c>
      <x:c r="G150" t="str">
        <x:v>Orgánico</x:v>
      </x:c>
      <x:c r="H150" t="n">
        <x:v>2955000</x:v>
      </x:c>
      <x:c r="I150" t="str">
        <x:v>Salir de deudas</x:v>
      </x:c>
      <x:c r="J150" t="str">
        <x:v>Cero</x:v>
      </x:c>
    </x:row>
    <x:row r="151">
      <x:c r="A151" t="str">
        <x:v>USR-00150</x:v>
      </x:c>
      <x:c r="B151" t="n">
        <x:v>45812</x:v>
      </x:c>
      <x:c r="C151" t="n">
        <x:v>24</x:v>
      </x:c>
      <x:c r="D151" t="str">
        <x:v>Cali</x:v>
      </x:c>
      <x:c r="E151" t="str">
        <x:v>Valle del Cauca</x:v>
      </x:c>
      <x:c r="F151" t="str">
        <x:v>Menos de $1,5 M</x:v>
      </x:c>
      <x:c r="G151" t="str">
        <x:v>Alianzas</x:v>
      </x:c>
      <x:c r="H151" t="n">
        <x:v>1374000</x:v>
      </x:c>
      <x:c r="I151" t="str">
        <x:v>Control de pagos</x:v>
      </x:c>
      <x:c r="J151" t="str">
        <x:v>Plus anual</x:v>
      </x:c>
    </x:row>
    <x:row r="152">
      <x:c r="A152" t="str">
        <x:v>USR-00151</x:v>
      </x:c>
      <x:c r="B152" t="n">
        <x:v>45813</x:v>
      </x:c>
      <x:c r="C152" t="n">
        <x:v>51</x:v>
      </x:c>
      <x:c r="D152" t="str">
        <x:v>Cali</x:v>
      </x:c>
      <x:c r="E152" t="str">
        <x:v>Valle del Cauca</x:v>
      </x:c>
      <x:c r="F152" t="str">
        <x:v>Entre $3 M y $5 M</x:v>
      </x:c>
      <x:c r="G152" t="str">
        <x:v>Búsqueda paga</x:v>
      </x:c>
      <x:c r="H152" t="n">
        <x:v>3730000</x:v>
      </x:c>
      <x:c r="I152" t="str">
        <x:v>Control de pagos</x:v>
      </x:c>
      <x:c r="J152" t="str">
        <x:v>Plus mensual</x:v>
      </x:c>
    </x:row>
    <x:row r="153">
      <x:c r="A153" t="str">
        <x:v>USR-00152</x:v>
      </x:c>
      <x:c r="B153" t="n">
        <x:v>45831</x:v>
      </x:c>
      <x:c r="C153" t="n">
        <x:v>34</x:v>
      </x:c>
      <x:c r="D153" t="str">
        <x:v>Bogotá</x:v>
      </x:c>
      <x:c r="E153" t="str">
        <x:v>Bogotá D.C.</x:v>
      </x:c>
      <x:c r="F153" t="str">
        <x:v>Entre $1,5 M y $3 M</x:v>
      </x:c>
      <x:c r="G153" t="str">
        <x:v>Orgánico</x:v>
      </x:c>
      <x:c r="H153" t="n">
        <x:v>2408000</x:v>
      </x:c>
      <x:c r="I153" t="str">
        <x:v>Organización inicial</x:v>
      </x:c>
      <x:c r="J153" t="str">
        <x:v>Plus anual</x:v>
      </x:c>
    </x:row>
    <x:row r="154">
      <x:c r="A154" t="str">
        <x:v>USR-00153</x:v>
      </x:c>
      <x:c r="B154" t="n">
        <x:v>45819</x:v>
      </x:c>
      <x:c r="C154" t="n">
        <x:v>47</x:v>
      </x:c>
      <x:c r="D154" t="str">
        <x:v>Cali</x:v>
      </x:c>
      <x:c r="E154" t="str">
        <x:v>Valle del Cauca</x:v>
      </x:c>
      <x:c r="F154" t="str">
        <x:v>Entre $3 M y $5 M</x:v>
      </x:c>
      <x:c r="G154" t="str">
        <x:v>Referidos</x:v>
      </x:c>
      <x:c r="H154" t="n">
        <x:v>3795000</x:v>
      </x:c>
      <x:c r="I154" t="str">
        <x:v>Organización inicial</x:v>
      </x:c>
      <x:c r="J154" t="str">
        <x:v>Cero</x:v>
      </x:c>
    </x:row>
    <x:row r="155">
      <x:c r="A155" t="str">
        <x:v>USR-00154</x:v>
      </x:c>
      <x:c r="B155" t="n">
        <x:v>45832</x:v>
      </x:c>
      <x:c r="C155" t="n">
        <x:v>63</x:v>
      </x:c>
      <x:c r="D155" t="str">
        <x:v>Bucaramanga</x:v>
      </x:c>
      <x:c r="E155" t="str">
        <x:v>Santander</x:v>
      </x:c>
      <x:c r="F155" t="str">
        <x:v>Entre $1,5 M y $3 M</x:v>
      </x:c>
      <x:c r="G155" t="str">
        <x:v>Redes sociales</x:v>
      </x:c>
      <x:c r="H155" t="n">
        <x:v>1536000</x:v>
      </x:c>
      <x:c r="I155" t="str">
        <x:v>Control de pagos</x:v>
      </x:c>
      <x:c r="J155" t="str">
        <x:v>Plus anual</x:v>
      </x:c>
    </x:row>
    <x:row r="156">
      <x:c r="A156" t="str">
        <x:v>USR-00155</x:v>
      </x:c>
      <x:c r="B156" t="n">
        <x:v>45822</x:v>
      </x:c>
      <x:c r="C156" t="n">
        <x:v>50</x:v>
      </x:c>
      <x:c r="D156" t="str">
        <x:v>Manizales</x:v>
      </x:c>
      <x:c r="E156" t="str">
        <x:v>Caldas</x:v>
      </x:c>
      <x:c r="F156" t="str">
        <x:v>Entre $1,5 M y $3 M</x:v>
      </x:c>
      <x:c r="G156" t="str">
        <x:v>Orgánico</x:v>
      </x:c>
      <x:c r="H156" t="n">
        <x:v>1971000</x:v>
      </x:c>
      <x:c r="I156" t="str">
        <x:v>Salir de deudas</x:v>
      </x:c>
      <x:c r="J156" t="str">
        <x:v>Cero</x:v>
      </x:c>
    </x:row>
    <x:row r="157">
      <x:c r="A157" t="str">
        <x:v>USR-00156</x:v>
      </x:c>
      <x:c r="B157" t="n">
        <x:v>45835</x:v>
      </x:c>
      <x:c r="C157" t="n">
        <x:v>32</x:v>
      </x:c>
      <x:c r="D157" t="str">
        <x:v>Bogotá</x:v>
      </x:c>
      <x:c r="E157" t="str">
        <x:v>Bogotá D.C.</x:v>
      </x:c>
      <x:c r="F157" t="str">
        <x:v>Entre $1,5 M y $3 M</x:v>
      </x:c>
      <x:c r="G157" t="str">
        <x:v>Redes sociales</x:v>
      </x:c>
      <x:c r="H157" t="n">
        <x:v>2387000</x:v>
      </x:c>
      <x:c r="I157" t="str">
        <x:v>Organización inicial</x:v>
      </x:c>
      <x:c r="J157" t="str">
        <x:v>Inactivo</x:v>
      </x:c>
    </x:row>
    <x:row r="158">
      <x:c r="A158" t="str">
        <x:v>USR-00157</x:v>
      </x:c>
      <x:c r="B158" t="n">
        <x:v>45817</x:v>
      </x:c>
      <x:c r="C158" t="n">
        <x:v>58</x:v>
      </x:c>
      <x:c r="D158" t="str">
        <x:v>Bogotá</x:v>
      </x:c>
      <x:c r="E158" t="str">
        <x:v>Bogotá D.C.</x:v>
      </x:c>
      <x:c r="F158" t="str">
        <x:v>Más de $5 M</x:v>
      </x:c>
      <x:c r="G158" t="str">
        <x:v>Redes sociales</x:v>
      </x:c>
      <x:c r="H158" t="n">
        <x:v>6380000</x:v>
      </x:c>
      <x:c r="I158" t="str">
        <x:v>Control de pagos</x:v>
      </x:c>
      <x:c r="J158" t="str">
        <x:v>Plus anual</x:v>
      </x:c>
    </x:row>
    <x:row r="159">
      <x:c r="A159" t="str">
        <x:v>USR-00158</x:v>
      </x:c>
      <x:c r="B159" t="n">
        <x:v>45823</x:v>
      </x:c>
      <x:c r="C159" t="n">
        <x:v>56</x:v>
      </x:c>
      <x:c r="D159" t="str">
        <x:v>Pereira</x:v>
      </x:c>
      <x:c r="E159" t="str">
        <x:v>Risaralda</x:v>
      </x:c>
      <x:c r="F159" t="str">
        <x:v>Entre $1,5 M y $3 M</x:v>
      </x:c>
      <x:c r="G159" t="str">
        <x:v>Contenido educativo</x:v>
      </x:c>
      <x:c r="H159" t="n">
        <x:v>1856000</x:v>
      </x:c>
      <x:c r="I159" t="str">
        <x:v>Salir de deudas</x:v>
      </x:c>
      <x:c r="J159" t="str">
        <x:v>Cero</x:v>
      </x:c>
    </x:row>
    <x:row r="160">
      <x:c r="A160" t="str">
        <x:v>USR-00159</x:v>
      </x:c>
      <x:c r="B160" t="n">
        <x:v>45817</x:v>
      </x:c>
      <x:c r="C160" t="n">
        <x:v>36</x:v>
      </x:c>
      <x:c r="D160" t="str">
        <x:v>Pereira</x:v>
      </x:c>
      <x:c r="E160" t="str">
        <x:v>Risaralda</x:v>
      </x:c>
      <x:c r="F160" t="str">
        <x:v>Más de $5 M</x:v>
      </x:c>
      <x:c r="G160" t="str">
        <x:v>Orgánico</x:v>
      </x:c>
      <x:c r="H160" t="n">
        <x:v>7545000</x:v>
      </x:c>
      <x:c r="I160" t="str">
        <x:v>Salir de deudas</x:v>
      </x:c>
      <x:c r="J160" t="str">
        <x:v>Plus anual</x:v>
      </x:c>
    </x:row>
    <x:row r="161">
      <x:c r="A161" t="str">
        <x:v>USR-00160</x:v>
      </x:c>
      <x:c r="B161" t="n">
        <x:v>45821</x:v>
      </x:c>
      <x:c r="C161" t="n">
        <x:v>62</x:v>
      </x:c>
      <x:c r="D161" t="str">
        <x:v>Bogotá</x:v>
      </x:c>
      <x:c r="E161" t="str">
        <x:v>Bogotá D.C.</x:v>
      </x:c>
      <x:c r="F161" t="str">
        <x:v>Entre $3 M y $5 M</x:v>
      </x:c>
      <x:c r="G161" t="str">
        <x:v>Orgánico</x:v>
      </x:c>
      <x:c r="H161" t="n">
        <x:v>3548000</x:v>
      </x:c>
      <x:c r="I161" t="str">
        <x:v>Salir de deudas</x:v>
      </x:c>
      <x:c r="J161" t="str">
        <x:v>Plus anual</x:v>
      </x:c>
    </x:row>
    <x:row r="162">
      <x:c r="A162" t="str">
        <x:v>USR-00161</x:v>
      </x:c>
      <x:c r="B162" t="n">
        <x:v>45809</x:v>
      </x:c>
      <x:c r="C162" t="n">
        <x:v>41</x:v>
      </x:c>
      <x:c r="D162" t="str">
        <x:v>Bogotá</x:v>
      </x:c>
      <x:c r="E162" t="str">
        <x:v>Bogotá D.C.</x:v>
      </x:c>
      <x:c r="F162" t="str">
        <x:v>Entre $1,5 M y $3 M</x:v>
      </x:c>
      <x:c r="G162" t="str">
        <x:v>Contenido educativo</x:v>
      </x:c>
      <x:c r="H162" t="n">
        <x:v>2587000</x:v>
      </x:c>
      <x:c r="I162" t="str">
        <x:v>Salir de deudas</x:v>
      </x:c>
      <x:c r="J162" t="str">
        <x:v>Plus mensual</x:v>
      </x:c>
    </x:row>
    <x:row r="163">
      <x:c r="A163" t="str">
        <x:v>USR-00162</x:v>
      </x:c>
      <x:c r="B163" t="n">
        <x:v>45822</x:v>
      </x:c>
      <x:c r="C163" t="n">
        <x:v>58</x:v>
      </x:c>
      <x:c r="D163" t="str">
        <x:v>Villavicencio</x:v>
      </x:c>
      <x:c r="E163" t="str">
        <x:v>Meta</x:v>
      </x:c>
      <x:c r="F163" t="str">
        <x:v>Entre $1,5 M y $3 M</x:v>
      </x:c>
      <x:c r="G163" t="str">
        <x:v>Contenido educativo</x:v>
      </x:c>
      <x:c r="H163" t="n">
        <x:v>2425000</x:v>
      </x:c>
      <x:c r="I163" t="str">
        <x:v>Reducir intereses</x:v>
      </x:c>
      <x:c r="J163" t="str">
        <x:v>Plus mensual</x:v>
      </x:c>
    </x:row>
    <x:row r="164">
      <x:c r="A164" t="str">
        <x:v>USR-00163</x:v>
      </x:c>
      <x:c r="B164" t="n">
        <x:v>45816</x:v>
      </x:c>
      <x:c r="C164" t="n">
        <x:v>62</x:v>
      </x:c>
      <x:c r="D164" t="str">
        <x:v>Bogotá</x:v>
      </x:c>
      <x:c r="E164" t="str">
        <x:v>Bogotá D.C.</x:v>
      </x:c>
      <x:c r="F164" t="str">
        <x:v>Entre $1,5 M y $3 M</x:v>
      </x:c>
      <x:c r="G164" t="str">
        <x:v>Referidos</x:v>
      </x:c>
      <x:c r="H164" t="n">
        <x:v>2174000</x:v>
      </x:c>
      <x:c r="I164" t="str">
        <x:v>Control de pagos</x:v>
      </x:c>
      <x:c r="J164" t="str">
        <x:v>Inactivo</x:v>
      </x:c>
    </x:row>
    <x:row r="165">
      <x:c r="A165" t="str">
        <x:v>USR-00164</x:v>
      </x:c>
      <x:c r="B165" t="n">
        <x:v>45817</x:v>
      </x:c>
      <x:c r="C165" t="n">
        <x:v>45</x:v>
      </x:c>
      <x:c r="D165" t="str">
        <x:v>Medellín</x:v>
      </x:c>
      <x:c r="E165" t="str">
        <x:v>Antioquia</x:v>
      </x:c>
      <x:c r="F165" t="str">
        <x:v>Entre $1,5 M y $3 M</x:v>
      </x:c>
      <x:c r="G165" t="str">
        <x:v>Referidos</x:v>
      </x:c>
      <x:c r="H165" t="n">
        <x:v>2665000</x:v>
      </x:c>
      <x:c r="I165" t="str">
        <x:v>Organización inicial</x:v>
      </x:c>
      <x:c r="J165" t="str">
        <x:v>Plus mensual</x:v>
      </x:c>
    </x:row>
    <x:row r="166">
      <x:c r="A166" t="str">
        <x:v>USR-00165</x:v>
      </x:c>
      <x:c r="B166" t="n">
        <x:v>45821</x:v>
      </x:c>
      <x:c r="C166" t="n">
        <x:v>36</x:v>
      </x:c>
      <x:c r="D166" t="str">
        <x:v>Pereira</x:v>
      </x:c>
      <x:c r="E166" t="str">
        <x:v>Risaralda</x:v>
      </x:c>
      <x:c r="F166" t="str">
        <x:v>Entre $3 M y $5 M</x:v>
      </x:c>
      <x:c r="G166" t="str">
        <x:v>Redes sociales</x:v>
      </x:c>
      <x:c r="H166" t="n">
        <x:v>4841000</x:v>
      </x:c>
      <x:c r="I166" t="str">
        <x:v>Salir de deudas</x:v>
      </x:c>
      <x:c r="J166" t="str">
        <x:v>Plus anual</x:v>
      </x:c>
    </x:row>
    <x:row r="167">
      <x:c r="A167" t="str">
        <x:v>USR-00166</x:v>
      </x:c>
      <x:c r="B167" t="n">
        <x:v>45819</x:v>
      </x:c>
      <x:c r="C167" t="n">
        <x:v>31</x:v>
      </x:c>
      <x:c r="D167" t="str">
        <x:v>Medellín</x:v>
      </x:c>
      <x:c r="E167" t="str">
        <x:v>Antioquia</x:v>
      </x:c>
      <x:c r="F167" t="str">
        <x:v>Entre $1,5 M y $3 M</x:v>
      </x:c>
      <x:c r="G167" t="str">
        <x:v>Referidos</x:v>
      </x:c>
      <x:c r="H167" t="n">
        <x:v>2248000</x:v>
      </x:c>
      <x:c r="I167" t="str">
        <x:v>Reducir intereses</x:v>
      </x:c>
      <x:c r="J167" t="str">
        <x:v>Cero</x:v>
      </x:c>
    </x:row>
    <x:row r="168">
      <x:c r="A168" t="str">
        <x:v>USR-00167</x:v>
      </x:c>
      <x:c r="B168" t="n">
        <x:v>45825</x:v>
      </x:c>
      <x:c r="C168" t="n">
        <x:v>50</x:v>
      </x:c>
      <x:c r="D168" t="str">
        <x:v>Pereira</x:v>
      </x:c>
      <x:c r="E168" t="str">
        <x:v>Risaralda</x:v>
      </x:c>
      <x:c r="F168" t="str">
        <x:v>Entre $3 M y $5 M</x:v>
      </x:c>
      <x:c r="G168" t="str">
        <x:v>Contenido educativo</x:v>
      </x:c>
      <x:c r="H168" t="n">
        <x:v>4145000</x:v>
      </x:c>
      <x:c r="I168" t="str">
        <x:v>Organización inicial</x:v>
      </x:c>
      <x:c r="J168" t="str">
        <x:v>Plus mensual</x:v>
      </x:c>
    </x:row>
    <x:row r="169">
      <x:c r="A169" t="str">
        <x:v>USR-00168</x:v>
      </x:c>
      <x:c r="B169" t="n">
        <x:v>45817</x:v>
      </x:c>
      <x:c r="C169" t="n">
        <x:v>44</x:v>
      </x:c>
      <x:c r="D169" t="str">
        <x:v>Bogotá</x:v>
      </x:c>
      <x:c r="E169" t="str">
        <x:v>Bogotá D.C.</x:v>
      </x:c>
      <x:c r="F169" t="str">
        <x:v>Entre $1,5 M y $3 M</x:v>
      </x:c>
      <x:c r="G169" t="str">
        <x:v>Orgánico</x:v>
      </x:c>
      <x:c r="H169" t="n">
        <x:v>2161000</x:v>
      </x:c>
      <x:c r="I169" t="str">
        <x:v>Salir de deudas</x:v>
      </x:c>
      <x:c r="J169" t="str">
        <x:v>Cero</x:v>
      </x:c>
    </x:row>
    <x:row r="170">
      <x:c r="A170" t="str">
        <x:v>USR-00169</x:v>
      </x:c>
      <x:c r="B170" t="n">
        <x:v>45815</x:v>
      </x:c>
      <x:c r="C170" t="n">
        <x:v>50</x:v>
      </x:c>
      <x:c r="D170" t="str">
        <x:v>Pereira</x:v>
      </x:c>
      <x:c r="E170" t="str">
        <x:v>Risaralda</x:v>
      </x:c>
      <x:c r="F170" t="str">
        <x:v>Menos de $1,5 M</x:v>
      </x:c>
      <x:c r="G170" t="str">
        <x:v>Redes sociales</x:v>
      </x:c>
      <x:c r="H170" t="n">
        <x:v>906000</x:v>
      </x:c>
      <x:c r="I170" t="str">
        <x:v>Reducir intereses</x:v>
      </x:c>
      <x:c r="J170" t="str">
        <x:v>Cero</x:v>
      </x:c>
    </x:row>
    <x:row r="171">
      <x:c r="A171" t="str">
        <x:v>USR-00170</x:v>
      </x:c>
      <x:c r="B171" t="n">
        <x:v>45834</x:v>
      </x:c>
      <x:c r="C171" t="n">
        <x:v>41</x:v>
      </x:c>
      <x:c r="D171" t="str">
        <x:v>Bogotá</x:v>
      </x:c>
      <x:c r="E171" t="str">
        <x:v>Bogotá D.C.</x:v>
      </x:c>
      <x:c r="F171" t="str">
        <x:v>Entre $1,5 M y $3 M</x:v>
      </x:c>
      <x:c r="G171" t="str">
        <x:v>Orgánico</x:v>
      </x:c>
      <x:c r="H171" t="n">
        <x:v>2665000</x:v>
      </x:c>
      <x:c r="I171" t="str">
        <x:v>Reducir intereses</x:v>
      </x:c>
      <x:c r="J171" t="str">
        <x:v>Cero</x:v>
      </x:c>
    </x:row>
    <x:row r="172">
      <x:c r="A172" t="str">
        <x:v>USR-00171</x:v>
      </x:c>
      <x:c r="B172" t="n">
        <x:v>45821</x:v>
      </x:c>
      <x:c r="C172" t="n">
        <x:v>55</x:v>
      </x:c>
      <x:c r="D172" t="str">
        <x:v>Bogotá</x:v>
      </x:c>
      <x:c r="E172" t="str">
        <x:v>Bogotá D.C.</x:v>
      </x:c>
      <x:c r="F172" t="str">
        <x:v>Entre $3 M y $5 M</x:v>
      </x:c>
      <x:c r="G172" t="str">
        <x:v>Redes sociales</x:v>
      </x:c>
      <x:c r="H172" t="n">
        <x:v>4887000</x:v>
      </x:c>
      <x:c r="I172" t="str">
        <x:v>Control de pagos</x:v>
      </x:c>
      <x:c r="J172" t="str">
        <x:v>Plus anual</x:v>
      </x:c>
    </x:row>
    <x:row r="173">
      <x:c r="A173" t="str">
        <x:v>USR-00172</x:v>
      </x:c>
      <x:c r="B173" t="n">
        <x:v>45818</x:v>
      </x:c>
      <x:c r="C173" t="n">
        <x:v>23</x:v>
      </x:c>
      <x:c r="D173" t="str">
        <x:v>Villavicencio</x:v>
      </x:c>
      <x:c r="E173" t="str">
        <x:v>Meta</x:v>
      </x:c>
      <x:c r="F173" t="str">
        <x:v>Entre $1,5 M y $3 M</x:v>
      </x:c>
      <x:c r="G173" t="str">
        <x:v>Orgánico</x:v>
      </x:c>
      <x:c r="H173" t="n">
        <x:v>2086000</x:v>
      </x:c>
      <x:c r="I173" t="str">
        <x:v>Control de pagos</x:v>
      </x:c>
      <x:c r="J173" t="str">
        <x:v>Inactivo</x:v>
      </x:c>
    </x:row>
    <x:row r="174">
      <x:c r="A174" t="str">
        <x:v>USR-00173</x:v>
      </x:c>
      <x:c r="B174" t="n">
        <x:v>45816</x:v>
      </x:c>
      <x:c r="C174" t="n">
        <x:v>54</x:v>
      </x:c>
      <x:c r="D174" t="str">
        <x:v>Bogotá</x:v>
      </x:c>
      <x:c r="E174" t="str">
        <x:v>Bogotá D.C.</x:v>
      </x:c>
      <x:c r="F174" t="str">
        <x:v>Entre $1,5 M y $3 M</x:v>
      </x:c>
      <x:c r="G174" t="str">
        <x:v>Contenido educativo</x:v>
      </x:c>
      <x:c r="H174" t="n">
        <x:v>2338000</x:v>
      </x:c>
      <x:c r="I174" t="str">
        <x:v>Reducir intereses</x:v>
      </x:c>
      <x:c r="J174" t="str">
        <x:v>Cero</x:v>
      </x:c>
    </x:row>
    <x:row r="175">
      <x:c r="A175" t="str">
        <x:v>USR-00174</x:v>
      </x:c>
      <x:c r="B175" t="n">
        <x:v>45831</x:v>
      </x:c>
      <x:c r="C175" t="n">
        <x:v>60</x:v>
      </x:c>
      <x:c r="D175" t="str">
        <x:v>Bogotá</x:v>
      </x:c>
      <x:c r="E175" t="str">
        <x:v>Bogotá D.C.</x:v>
      </x:c>
      <x:c r="F175" t="str">
        <x:v>Entre $3 M y $5 M</x:v>
      </x:c>
      <x:c r="G175" t="str">
        <x:v>Contenido educativo</x:v>
      </x:c>
      <x:c r="H175" t="n">
        <x:v>3615000</x:v>
      </x:c>
      <x:c r="I175" t="str">
        <x:v>Organización inicial</x:v>
      </x:c>
      <x:c r="J175" t="str">
        <x:v>Plus mensual</x:v>
      </x:c>
    </x:row>
    <x:row r="176">
      <x:c r="A176" t="str">
        <x:v>USR-00175</x:v>
      </x:c>
      <x:c r="B176" t="n">
        <x:v>45823</x:v>
      </x:c>
      <x:c r="C176" t="n">
        <x:v>32</x:v>
      </x:c>
      <x:c r="D176" t="str">
        <x:v>Medellín</x:v>
      </x:c>
      <x:c r="E176" t="str">
        <x:v>Antioquia</x:v>
      </x:c>
      <x:c r="F176" t="str">
        <x:v>Entre $1,5 M y $3 M</x:v>
      </x:c>
      <x:c r="G176" t="str">
        <x:v>Alianzas</x:v>
      </x:c>
      <x:c r="H176" t="n">
        <x:v>2835000</x:v>
      </x:c>
      <x:c r="I176" t="str">
        <x:v>Salir de deudas</x:v>
      </x:c>
      <x:c r="J176" t="str">
        <x:v>Inactivo</x:v>
      </x:c>
    </x:row>
    <x:row r="177">
      <x:c r="A177" t="str">
        <x:v>USR-00176</x:v>
      </x:c>
      <x:c r="B177" t="n">
        <x:v>45817</x:v>
      </x:c>
      <x:c r="C177" t="n">
        <x:v>60</x:v>
      </x:c>
      <x:c r="D177" t="str">
        <x:v>Bogotá</x:v>
      </x:c>
      <x:c r="E177" t="str">
        <x:v>Bogotá D.C.</x:v>
      </x:c>
      <x:c r="F177" t="str">
        <x:v>Entre $1,5 M y $3 M</x:v>
      </x:c>
      <x:c r="G177" t="str">
        <x:v>Contenido educativo</x:v>
      </x:c>
      <x:c r="H177" t="n">
        <x:v>2216000</x:v>
      </x:c>
      <x:c r="I177" t="str">
        <x:v>Organización inicial</x:v>
      </x:c>
      <x:c r="J177" t="str">
        <x:v>Cero</x:v>
      </x:c>
    </x:row>
    <x:row r="178">
      <x:c r="A178" t="str">
        <x:v>USR-00177</x:v>
      </x:c>
      <x:c r="B178" t="n">
        <x:v>45832</x:v>
      </x:c>
      <x:c r="C178" t="n">
        <x:v>36</x:v>
      </x:c>
      <x:c r="D178" t="str">
        <x:v>Villavicencio</x:v>
      </x:c>
      <x:c r="E178" t="str">
        <x:v>Meta</x:v>
      </x:c>
      <x:c r="F178" t="str">
        <x:v>Entre $1,5 M y $3 M</x:v>
      </x:c>
      <x:c r="G178" t="str">
        <x:v>Redes sociales</x:v>
      </x:c>
      <x:c r="H178" t="n">
        <x:v>1863000</x:v>
      </x:c>
      <x:c r="I178" t="str">
        <x:v>Organización inicial</x:v>
      </x:c>
      <x:c r="J178" t="str">
        <x:v>Plus mensual</x:v>
      </x:c>
    </x:row>
    <x:row r="179">
      <x:c r="A179" t="str">
        <x:v>USR-00178</x:v>
      </x:c>
      <x:c r="B179" t="n">
        <x:v>45814</x:v>
      </x:c>
      <x:c r="C179" t="n">
        <x:v>42</x:v>
      </x:c>
      <x:c r="D179" t="str">
        <x:v>Pereira</x:v>
      </x:c>
      <x:c r="E179" t="str">
        <x:v>Risaralda</x:v>
      </x:c>
      <x:c r="F179" t="str">
        <x:v>Menos de $1,5 M</x:v>
      </x:c>
      <x:c r="G179" t="str">
        <x:v>Redes sociales</x:v>
      </x:c>
      <x:c r="H179" t="n">
        <x:v>1169000</x:v>
      </x:c>
      <x:c r="I179" t="str">
        <x:v>Control de pagos</x:v>
      </x:c>
      <x:c r="J179" t="str">
        <x:v>Inactivo</x:v>
      </x:c>
    </x:row>
    <x:row r="180">
      <x:c r="A180" t="str">
        <x:v>USR-00179</x:v>
      </x:c>
      <x:c r="B180" t="n">
        <x:v>45828</x:v>
      </x:c>
      <x:c r="C180" t="n">
        <x:v>59</x:v>
      </x:c>
      <x:c r="D180" t="str">
        <x:v>Cartagena</x:v>
      </x:c>
      <x:c r="E180" t="str">
        <x:v>Bolívar</x:v>
      </x:c>
      <x:c r="F180" t="str">
        <x:v>Menos de $1,5 M</x:v>
      </x:c>
      <x:c r="G180" t="str">
        <x:v>Referidos</x:v>
      </x:c>
      <x:c r="H180" t="n">
        <x:v>923000</x:v>
      </x:c>
      <x:c r="I180" t="str">
        <x:v>Organización inicial</x:v>
      </x:c>
      <x:c r="J180" t="str">
        <x:v>Cero</x:v>
      </x:c>
    </x:row>
    <x:row r="181">
      <x:c r="A181" t="str">
        <x:v>USR-00180</x:v>
      </x:c>
      <x:c r="B181" t="n">
        <x:v>45809</x:v>
      </x:c>
      <x:c r="C181" t="n">
        <x:v>34</x:v>
      </x:c>
      <x:c r="D181" t="str">
        <x:v>Bucaramanga</x:v>
      </x:c>
      <x:c r="E181" t="str">
        <x:v>Santander</x:v>
      </x:c>
      <x:c r="F181" t="str">
        <x:v>Menos de $1,5 M</x:v>
      </x:c>
      <x:c r="G181" t="str">
        <x:v>Búsqueda paga</x:v>
      </x:c>
      <x:c r="H181" t="n">
        <x:v>1197000</x:v>
      </x:c>
      <x:c r="I181" t="str">
        <x:v>Salir de deudas</x:v>
      </x:c>
      <x:c r="J181" t="str">
        <x:v>Cero</x:v>
      </x:c>
    </x:row>
    <x:row r="182">
      <x:c r="A182" t="str">
        <x:v>USR-00181</x:v>
      </x:c>
      <x:c r="B182" t="n">
        <x:v>45821</x:v>
      </x:c>
      <x:c r="C182" t="n">
        <x:v>30</x:v>
      </x:c>
      <x:c r="D182" t="str">
        <x:v>Cali</x:v>
      </x:c>
      <x:c r="E182" t="str">
        <x:v>Valle del Cauca</x:v>
      </x:c>
      <x:c r="F182" t="str">
        <x:v>Entre $1,5 M y $3 M</x:v>
      </x:c>
      <x:c r="G182" t="str">
        <x:v>Referidos</x:v>
      </x:c>
      <x:c r="H182" t="n">
        <x:v>1671000</x:v>
      </x:c>
      <x:c r="I182" t="str">
        <x:v>Organización inicial</x:v>
      </x:c>
      <x:c r="J182" t="str">
        <x:v>Plus anual</x:v>
      </x:c>
    </x:row>
    <x:row r="183">
      <x:c r="A183" t="str">
        <x:v>USR-00182</x:v>
      </x:c>
      <x:c r="B183" t="n">
        <x:v>45819</x:v>
      </x:c>
      <x:c r="C183" t="n">
        <x:v>48</x:v>
      </x:c>
      <x:c r="D183" t="str">
        <x:v>Medellín</x:v>
      </x:c>
      <x:c r="E183" t="str">
        <x:v>Antioquia</x:v>
      </x:c>
      <x:c r="F183" t="str">
        <x:v>Entre $1,5 M y $3 M</x:v>
      </x:c>
      <x:c r="G183" t="str">
        <x:v>Contenido educativo</x:v>
      </x:c>
      <x:c r="H183" t="n">
        <x:v>2395000</x:v>
      </x:c>
      <x:c r="I183" t="str">
        <x:v>Reducir intereses</x:v>
      </x:c>
      <x:c r="J183" t="str">
        <x:v>Cero</x:v>
      </x:c>
    </x:row>
    <x:row r="184">
      <x:c r="A184" t="str">
        <x:v>USR-00183</x:v>
      </x:c>
      <x:c r="B184" t="n">
        <x:v>45814</x:v>
      </x:c>
      <x:c r="C184" t="n">
        <x:v>32</x:v>
      </x:c>
      <x:c r="D184" t="str">
        <x:v>Bogotá</x:v>
      </x:c>
      <x:c r="E184" t="str">
        <x:v>Bogotá D.C.</x:v>
      </x:c>
      <x:c r="F184" t="str">
        <x:v>Entre $1,5 M y $3 M</x:v>
      </x:c>
      <x:c r="G184" t="str">
        <x:v>Redes sociales</x:v>
      </x:c>
      <x:c r="H184" t="n">
        <x:v>2014000</x:v>
      </x:c>
      <x:c r="I184" t="str">
        <x:v>Salir de deudas</x:v>
      </x:c>
      <x:c r="J184" t="str">
        <x:v>Cero</x:v>
      </x:c>
    </x:row>
    <x:row r="185">
      <x:c r="A185" t="str">
        <x:v>USR-00184</x:v>
      </x:c>
      <x:c r="B185" t="n">
        <x:v>45832</x:v>
      </x:c>
      <x:c r="C185" t="n">
        <x:v>42</x:v>
      </x:c>
      <x:c r="D185" t="str">
        <x:v>Medellín</x:v>
      </x:c>
      <x:c r="E185" t="str">
        <x:v>Antioquia</x:v>
      </x:c>
      <x:c r="F185" t="str">
        <x:v>Menos de $1,5 M</x:v>
      </x:c>
      <x:c r="G185" t="str">
        <x:v>Redes sociales</x:v>
      </x:c>
      <x:c r="H185" t="n">
        <x:v>1113000</x:v>
      </x:c>
      <x:c r="I185" t="str">
        <x:v>Organización inicial</x:v>
      </x:c>
      <x:c r="J185" t="str">
        <x:v>Plus mensual</x:v>
      </x:c>
    </x:row>
    <x:row r="186">
      <x:c r="A186" t="str">
        <x:v>USR-00185</x:v>
      </x:c>
      <x:c r="B186" t="n">
        <x:v>45817</x:v>
      </x:c>
      <x:c r="C186" t="n">
        <x:v>20</x:v>
      </x:c>
      <x:c r="D186" t="str">
        <x:v>Medellín</x:v>
      </x:c>
      <x:c r="E186" t="str">
        <x:v>Antioquia</x:v>
      </x:c>
      <x:c r="F186" t="str">
        <x:v>Menos de $1,5 M</x:v>
      </x:c>
      <x:c r="G186" t="str">
        <x:v>Contenido educativo</x:v>
      </x:c>
      <x:c r="H186" t="n">
        <x:v>1087000</x:v>
      </x:c>
      <x:c r="I186" t="str">
        <x:v>Organización inicial</x:v>
      </x:c>
      <x:c r="J186" t="str">
        <x:v>Plus anual</x:v>
      </x:c>
    </x:row>
    <x:row r="187">
      <x:c r="A187" t="str">
        <x:v>USR-00186</x:v>
      </x:c>
      <x:c r="B187" t="n">
        <x:v>45835</x:v>
      </x:c>
      <x:c r="C187" t="n">
        <x:v>25</x:v>
      </x:c>
      <x:c r="D187" t="str">
        <x:v>Cali</x:v>
      </x:c>
      <x:c r="E187" t="str">
        <x:v>Valle del Cauca</x:v>
      </x:c>
      <x:c r="F187" t="str">
        <x:v>Entre $3 M y $5 M</x:v>
      </x:c>
      <x:c r="G187" t="str">
        <x:v>Redes sociales</x:v>
      </x:c>
      <x:c r="H187" t="n">
        <x:v>3341000</x:v>
      </x:c>
      <x:c r="I187" t="str">
        <x:v>Salir de deudas</x:v>
      </x:c>
      <x:c r="J187" t="str">
        <x:v>Cero</x:v>
      </x:c>
    </x:row>
    <x:row r="188">
      <x:c r="A188" t="str">
        <x:v>USR-00187</x:v>
      </x:c>
      <x:c r="B188" t="n">
        <x:v>45810</x:v>
      </x:c>
      <x:c r="C188" t="n">
        <x:v>45</x:v>
      </x:c>
      <x:c r="D188" t="str">
        <x:v>Medellín</x:v>
      </x:c>
      <x:c r="E188" t="str">
        <x:v>Antioquia</x:v>
      </x:c>
      <x:c r="F188" t="str">
        <x:v>Menos de $1,5 M</x:v>
      </x:c>
      <x:c r="G188" t="str">
        <x:v>Redes sociales</x:v>
      </x:c>
      <x:c r="H188" t="n">
        <x:v>1023000</x:v>
      </x:c>
      <x:c r="I188" t="str">
        <x:v>Organización inicial</x:v>
      </x:c>
      <x:c r="J188" t="str">
        <x:v>Cero</x:v>
      </x:c>
    </x:row>
    <x:row r="189">
      <x:c r="A189" t="str">
        <x:v>USR-00188</x:v>
      </x:c>
      <x:c r="B189" t="n">
        <x:v>45811</x:v>
      </x:c>
      <x:c r="C189" t="n">
        <x:v>46</x:v>
      </x:c>
      <x:c r="D189" t="str">
        <x:v>Barranquilla</x:v>
      </x:c>
      <x:c r="E189" t="str">
        <x:v>Atlántico</x:v>
      </x:c>
      <x:c r="F189" t="str">
        <x:v>Menos de $1,5 M</x:v>
      </x:c>
      <x:c r="G189" t="str">
        <x:v>Búsqueda paga</x:v>
      </x:c>
      <x:c r="H189" t="n">
        <x:v>1481000</x:v>
      </x:c>
      <x:c r="I189" t="str">
        <x:v>Salir de deudas</x:v>
      </x:c>
      <x:c r="J189" t="str">
        <x:v>Plus mensual</x:v>
      </x:c>
    </x:row>
    <x:row r="190">
      <x:c r="A190" t="str">
        <x:v>USR-00189</x:v>
      </x:c>
      <x:c r="B190" t="n">
        <x:v>45862</x:v>
      </x:c>
      <x:c r="C190" t="n">
        <x:v>57</x:v>
      </x:c>
      <x:c r="D190" t="str">
        <x:v>Bogotá</x:v>
      </x:c>
      <x:c r="E190" t="str">
        <x:v>Bogotá D.C.</x:v>
      </x:c>
      <x:c r="F190" t="str">
        <x:v>Menos de $1,5 M</x:v>
      </x:c>
      <x:c r="G190" t="str">
        <x:v>Redes sociales</x:v>
      </x:c>
      <x:c r="H190" t="n">
        <x:v>1415000</x:v>
      </x:c>
      <x:c r="I190" t="str">
        <x:v>Salir de deudas</x:v>
      </x:c>
      <x:c r="J190" t="str">
        <x:v>Cero</x:v>
      </x:c>
    </x:row>
    <x:row r="191">
      <x:c r="A191" t="str">
        <x:v>USR-00190</x:v>
      </x:c>
      <x:c r="B191" t="n">
        <x:v>45859</x:v>
      </x:c>
      <x:c r="C191" t="n">
        <x:v>41</x:v>
      </x:c>
      <x:c r="D191" t="str">
        <x:v>Bucaramanga</x:v>
      </x:c>
      <x:c r="E191" t="str">
        <x:v>Santander</x:v>
      </x:c>
      <x:c r="F191" t="str">
        <x:v>Entre $1,5 M y $3 M</x:v>
      </x:c>
      <x:c r="G191" t="str">
        <x:v>Alianzas</x:v>
      </x:c>
      <x:c r="H191" t="n">
        <x:v>2338000</x:v>
      </x:c>
      <x:c r="I191" t="str">
        <x:v>Salir de deudas</x:v>
      </x:c>
      <x:c r="J191" t="str">
        <x:v>Plus anual</x:v>
      </x:c>
    </x:row>
    <x:row r="192">
      <x:c r="A192" t="str">
        <x:v>USR-00191</x:v>
      </x:c>
      <x:c r="B192" t="n">
        <x:v>45854</x:v>
      </x:c>
      <x:c r="C192" t="n">
        <x:v>28</x:v>
      </x:c>
      <x:c r="D192" t="str">
        <x:v>Pereira</x:v>
      </x:c>
      <x:c r="E192" t="str">
        <x:v>Risaralda</x:v>
      </x:c>
      <x:c r="F192" t="str">
        <x:v>Menos de $1,5 M</x:v>
      </x:c>
      <x:c r="G192" t="str">
        <x:v>Orgánico</x:v>
      </x:c>
      <x:c r="H192" t="n">
        <x:v>924000</x:v>
      </x:c>
      <x:c r="I192" t="str">
        <x:v>Control de pagos</x:v>
      </x:c>
      <x:c r="J192" t="str">
        <x:v>Plus anual</x:v>
      </x:c>
    </x:row>
    <x:row r="193">
      <x:c r="A193" t="str">
        <x:v>USR-00192</x:v>
      </x:c>
      <x:c r="B193" t="n">
        <x:v>45852</x:v>
      </x:c>
      <x:c r="C193" t="n">
        <x:v>43</x:v>
      </x:c>
      <x:c r="D193" t="str">
        <x:v>Barranquilla</x:v>
      </x:c>
      <x:c r="E193" t="str">
        <x:v>Atlántico</x:v>
      </x:c>
      <x:c r="F193" t="str">
        <x:v>Entre $1,5 M y $3 M</x:v>
      </x:c>
      <x:c r="G193" t="str">
        <x:v>Búsqueda paga</x:v>
      </x:c>
      <x:c r="H193" t="n">
        <x:v>2208000</x:v>
      </x:c>
      <x:c r="I193" t="str">
        <x:v>Reducir intereses</x:v>
      </x:c>
      <x:c r="J193" t="str">
        <x:v>Cero</x:v>
      </x:c>
    </x:row>
    <x:row r="194">
      <x:c r="A194" t="str">
        <x:v>USR-00193</x:v>
      </x:c>
      <x:c r="B194" t="n">
        <x:v>45853</x:v>
      </x:c>
      <x:c r="C194" t="n">
        <x:v>25</x:v>
      </x:c>
      <x:c r="D194" t="str">
        <x:v>Bucaramanga</x:v>
      </x:c>
      <x:c r="E194" t="str">
        <x:v>Santander</x:v>
      </x:c>
      <x:c r="F194" t="str">
        <x:v>Entre $1,5 M y $3 M</x:v>
      </x:c>
      <x:c r="G194" t="str">
        <x:v>Redes sociales</x:v>
      </x:c>
      <x:c r="H194" t="n">
        <x:v>2977000</x:v>
      </x:c>
      <x:c r="I194" t="str">
        <x:v>Salir de deudas</x:v>
      </x:c>
      <x:c r="J194" t="str">
        <x:v>Cero</x:v>
      </x:c>
    </x:row>
    <x:row r="195">
      <x:c r="A195" t="str">
        <x:v>USR-00194</x:v>
      </x:c>
      <x:c r="B195" t="n">
        <x:v>45865</x:v>
      </x:c>
      <x:c r="C195" t="n">
        <x:v>53</x:v>
      </x:c>
      <x:c r="D195" t="str">
        <x:v>Bogotá</x:v>
      </x:c>
      <x:c r="E195" t="str">
        <x:v>Bogotá D.C.</x:v>
      </x:c>
      <x:c r="F195" t="str">
        <x:v>Entre $1,5 M y $3 M</x:v>
      </x:c>
      <x:c r="G195" t="str">
        <x:v>Redes sociales</x:v>
      </x:c>
      <x:c r="H195" t="n">
        <x:v>2831000</x:v>
      </x:c>
      <x:c r="I195" t="str">
        <x:v>Reducir intereses</x:v>
      </x:c>
      <x:c r="J195" t="str">
        <x:v>Cero</x:v>
      </x:c>
    </x:row>
    <x:row r="196">
      <x:c r="A196" t="str">
        <x:v>USR-00195</x:v>
      </x:c>
      <x:c r="B196" t="n">
        <x:v>45844</x:v>
      </x:c>
      <x:c r="C196" t="n">
        <x:v>24</x:v>
      </x:c>
      <x:c r="D196" t="str">
        <x:v>Bogotá</x:v>
      </x:c>
      <x:c r="E196" t="str">
        <x:v>Bogotá D.C.</x:v>
      </x:c>
      <x:c r="F196" t="str">
        <x:v>Entre $1,5 M y $3 M</x:v>
      </x:c>
      <x:c r="G196" t="str">
        <x:v>Búsqueda paga</x:v>
      </x:c>
      <x:c r="H196" t="n">
        <x:v>2859000</x:v>
      </x:c>
      <x:c r="I196" t="str">
        <x:v>Control de pagos</x:v>
      </x:c>
      <x:c r="J196" t="str">
        <x:v>Plus anual</x:v>
      </x:c>
    </x:row>
    <x:row r="197">
      <x:c r="A197" t="str">
        <x:v>USR-00196</x:v>
      </x:c>
      <x:c r="B197" t="n">
        <x:v>45845</x:v>
      </x:c>
      <x:c r="C197" t="n">
        <x:v>63</x:v>
      </x:c>
      <x:c r="D197" t="str">
        <x:v>Barranquilla</x:v>
      </x:c>
      <x:c r="E197" t="str">
        <x:v>Atlántico</x:v>
      </x:c>
      <x:c r="F197" t="str">
        <x:v>Entre $3 M y $5 M</x:v>
      </x:c>
      <x:c r="G197" t="str">
        <x:v>Referidos</x:v>
      </x:c>
      <x:c r="H197" t="n">
        <x:v>4508000</x:v>
      </x:c>
      <x:c r="I197" t="str">
        <x:v>Organización inicial</x:v>
      </x:c>
      <x:c r="J197" t="str">
        <x:v>Cero</x:v>
      </x:c>
    </x:row>
    <x:row r="198">
      <x:c r="A198" t="str">
        <x:v>USR-00197</x:v>
      </x:c>
      <x:c r="B198" t="n">
        <x:v>45864</x:v>
      </x:c>
      <x:c r="C198" t="n">
        <x:v>59</x:v>
      </x:c>
      <x:c r="D198" t="str">
        <x:v>Cartagena</x:v>
      </x:c>
      <x:c r="E198" t="str">
        <x:v>Bolívar</x:v>
      </x:c>
      <x:c r="F198" t="str">
        <x:v>Más de $5 M</x:v>
      </x:c>
      <x:c r="G198" t="str">
        <x:v>Alianzas</x:v>
      </x:c>
      <x:c r="H198" t="n">
        <x:v>5980000</x:v>
      </x:c>
      <x:c r="I198" t="str">
        <x:v>Reducir intereses</x:v>
      </x:c>
      <x:c r="J198" t="str">
        <x:v>Plus anual</x:v>
      </x:c>
    </x:row>
    <x:row r="199">
      <x:c r="A199" t="str">
        <x:v>USR-00198</x:v>
      </x:c>
      <x:c r="B199" t="n">
        <x:v>45862</x:v>
      </x:c>
      <x:c r="C199" t="n">
        <x:v>59</x:v>
      </x:c>
      <x:c r="D199" t="str">
        <x:v>Bogotá</x:v>
      </x:c>
      <x:c r="E199" t="str">
        <x:v>Bogotá D.C.</x:v>
      </x:c>
      <x:c r="F199" t="str">
        <x:v>Menos de $1,5 M</x:v>
      </x:c>
      <x:c r="G199" t="str">
        <x:v>Orgánico</x:v>
      </x:c>
      <x:c r="H199" t="n">
        <x:v>1320000</x:v>
      </x:c>
      <x:c r="I199" t="str">
        <x:v>Salir de deudas</x:v>
      </x:c>
      <x:c r="J199" t="str">
        <x:v>Cero</x:v>
      </x:c>
    </x:row>
    <x:row r="200">
      <x:c r="A200" t="str">
        <x:v>USR-00199</x:v>
      </x:c>
      <x:c r="B200" t="n">
        <x:v>45858</x:v>
      </x:c>
      <x:c r="C200" t="n">
        <x:v>44</x:v>
      </x:c>
      <x:c r="D200" t="str">
        <x:v>Bogotá</x:v>
      </x:c>
      <x:c r="E200" t="str">
        <x:v>Bogotá D.C.</x:v>
      </x:c>
      <x:c r="F200" t="str">
        <x:v>Entre $1,5 M y $3 M</x:v>
      </x:c>
      <x:c r="G200" t="str">
        <x:v>Redes sociales</x:v>
      </x:c>
      <x:c r="H200" t="n">
        <x:v>1702000</x:v>
      </x:c>
      <x:c r="I200" t="str">
        <x:v>Salir de deudas</x:v>
      </x:c>
      <x:c r="J200" t="str">
        <x:v>Plus anual</x:v>
      </x:c>
    </x:row>
    <x:row r="201">
      <x:c r="A201" t="str">
        <x:v>USR-00200</x:v>
      </x:c>
      <x:c r="B201" t="n">
        <x:v>45846</x:v>
      </x:c>
      <x:c r="C201" t="n">
        <x:v>25</x:v>
      </x:c>
      <x:c r="D201" t="str">
        <x:v>Bucaramanga</x:v>
      </x:c>
      <x:c r="E201" t="str">
        <x:v>Santander</x:v>
      </x:c>
      <x:c r="F201" t="str">
        <x:v>Entre $1,5 M y $3 M</x:v>
      </x:c>
      <x:c r="G201" t="str">
        <x:v>Orgánico</x:v>
      </x:c>
      <x:c r="H201" t="n">
        <x:v>1734000</x:v>
      </x:c>
      <x:c r="I201" t="str">
        <x:v>Organización inicial</x:v>
      </x:c>
      <x:c r="J201" t="str">
        <x:v>Cero</x:v>
      </x:c>
    </x:row>
    <x:row r="202">
      <x:c r="A202" t="str">
        <x:v>USR-00201</x:v>
      </x:c>
      <x:c r="B202" t="n">
        <x:v>45855</x:v>
      </x:c>
      <x:c r="C202" t="n">
        <x:v>47</x:v>
      </x:c>
      <x:c r="D202" t="str">
        <x:v>Bogotá</x:v>
      </x:c>
      <x:c r="E202" t="str">
        <x:v>Bogotá D.C.</x:v>
      </x:c>
      <x:c r="F202" t="str">
        <x:v>Menos de $1,5 M</x:v>
      </x:c>
      <x:c r="G202" t="str">
        <x:v>Alianzas</x:v>
      </x:c>
      <x:c r="H202" t="n">
        <x:v>1114000</x:v>
      </x:c>
      <x:c r="I202" t="str">
        <x:v>Reducir intereses</x:v>
      </x:c>
      <x:c r="J202" t="str">
        <x:v>Plus anual</x:v>
      </x:c>
    </x:row>
    <x:row r="203">
      <x:c r="A203" t="str">
        <x:v>USR-00202</x:v>
      </x:c>
      <x:c r="B203" t="n">
        <x:v>45846</x:v>
      </x:c>
      <x:c r="C203" t="n">
        <x:v>36</x:v>
      </x:c>
      <x:c r="D203" t="str">
        <x:v>Bogotá</x:v>
      </x:c>
      <x:c r="E203" t="str">
        <x:v>Bogotá D.C.</x:v>
      </x:c>
      <x:c r="F203" t="str">
        <x:v>Entre $3 M y $5 M</x:v>
      </x:c>
      <x:c r="G203" t="str">
        <x:v>Referidos</x:v>
      </x:c>
      <x:c r="H203" t="n">
        <x:v>3278000</x:v>
      </x:c>
      <x:c r="I203" t="str">
        <x:v>Reducir intereses</x:v>
      </x:c>
      <x:c r="J203" t="str">
        <x:v>Cero</x:v>
      </x:c>
    </x:row>
    <x:row r="204">
      <x:c r="A204" t="str">
        <x:v>USR-00203</x:v>
      </x:c>
      <x:c r="B204" t="n">
        <x:v>45857</x:v>
      </x:c>
      <x:c r="C204" t="n">
        <x:v>29</x:v>
      </x:c>
      <x:c r="D204" t="str">
        <x:v>Bogotá</x:v>
      </x:c>
      <x:c r="E204" t="str">
        <x:v>Bogotá D.C.</x:v>
      </x:c>
      <x:c r="F204" t="str">
        <x:v>Menos de $1,5 M</x:v>
      </x:c>
      <x:c r="G204" t="str">
        <x:v>Redes sociales</x:v>
      </x:c>
      <x:c r="H204" t="n">
        <x:v>1206000</x:v>
      </x:c>
      <x:c r="I204" t="str">
        <x:v>Salir de deudas</x:v>
      </x:c>
      <x:c r="J204" t="str">
        <x:v>Plus mensual</x:v>
      </x:c>
    </x:row>
    <x:row r="205">
      <x:c r="A205" t="str">
        <x:v>USR-00204</x:v>
      </x:c>
      <x:c r="B205" t="n">
        <x:v>45860</x:v>
      </x:c>
      <x:c r="C205" t="n">
        <x:v>29</x:v>
      </x:c>
      <x:c r="D205" t="str">
        <x:v>Medellín</x:v>
      </x:c>
      <x:c r="E205" t="str">
        <x:v>Antioquia</x:v>
      </x:c>
      <x:c r="F205" t="str">
        <x:v>Entre $1,5 M y $3 M</x:v>
      </x:c>
      <x:c r="G205" t="str">
        <x:v>Búsqueda paga</x:v>
      </x:c>
      <x:c r="H205" t="n">
        <x:v>2850000</x:v>
      </x:c>
      <x:c r="I205" t="str">
        <x:v>Reducir intereses</x:v>
      </x:c>
      <x:c r="J205" t="str">
        <x:v>Cero</x:v>
      </x:c>
    </x:row>
    <x:row r="206">
      <x:c r="A206" t="str">
        <x:v>USR-00205</x:v>
      </x:c>
      <x:c r="B206" t="n">
        <x:v>45842</x:v>
      </x:c>
      <x:c r="C206" t="n">
        <x:v>60</x:v>
      </x:c>
      <x:c r="D206" t="str">
        <x:v>Bucaramanga</x:v>
      </x:c>
      <x:c r="E206" t="str">
        <x:v>Santander</x:v>
      </x:c>
      <x:c r="F206" t="str">
        <x:v>Menos de $1,5 M</x:v>
      </x:c>
      <x:c r="G206" t="str">
        <x:v>Referidos</x:v>
      </x:c>
      <x:c r="H206" t="n">
        <x:v>1197000</x:v>
      </x:c>
      <x:c r="I206" t="str">
        <x:v>Control de pagos</x:v>
      </x:c>
      <x:c r="J206" t="str">
        <x:v>Cero</x:v>
      </x:c>
    </x:row>
    <x:row r="207">
      <x:c r="A207" t="str">
        <x:v>USR-00206</x:v>
      </x:c>
      <x:c r="B207" t="n">
        <x:v>45861</x:v>
      </x:c>
      <x:c r="C207" t="n">
        <x:v>28</x:v>
      </x:c>
      <x:c r="D207" t="str">
        <x:v>Bogotá</x:v>
      </x:c>
      <x:c r="E207" t="str">
        <x:v>Bogotá D.C.</x:v>
      </x:c>
      <x:c r="F207" t="str">
        <x:v>Entre $1,5 M y $3 M</x:v>
      </x:c>
      <x:c r="G207" t="str">
        <x:v>Contenido educativo</x:v>
      </x:c>
      <x:c r="H207" t="n">
        <x:v>2924000</x:v>
      </x:c>
      <x:c r="I207" t="str">
        <x:v>Salir de deudas</x:v>
      </x:c>
      <x:c r="J207" t="str">
        <x:v>Plus mensual</x:v>
      </x:c>
    </x:row>
    <x:row r="208">
      <x:c r="A208" t="str">
        <x:v>USR-00207</x:v>
      </x:c>
      <x:c r="B208" t="n">
        <x:v>45849</x:v>
      </x:c>
      <x:c r="C208" t="n">
        <x:v>47</x:v>
      </x:c>
      <x:c r="D208" t="str">
        <x:v>Bogotá</x:v>
      </x:c>
      <x:c r="E208" t="str">
        <x:v>Bogotá D.C.</x:v>
      </x:c>
      <x:c r="F208" t="str">
        <x:v>Menos de $1,5 M</x:v>
      </x:c>
      <x:c r="G208" t="str">
        <x:v>Alianzas</x:v>
      </x:c>
      <x:c r="H208" t="n">
        <x:v>954000</x:v>
      </x:c>
      <x:c r="I208" t="str">
        <x:v>Organización inicial</x:v>
      </x:c>
      <x:c r="J208" t="str">
        <x:v>Cero</x:v>
      </x:c>
    </x:row>
    <x:row r="209">
      <x:c r="A209" t="str">
        <x:v>USR-00208</x:v>
      </x:c>
      <x:c r="B209" t="n">
        <x:v>45843</x:v>
      </x:c>
      <x:c r="C209" t="n">
        <x:v>59</x:v>
      </x:c>
      <x:c r="D209" t="str">
        <x:v>Bucaramanga</x:v>
      </x:c>
      <x:c r="E209" t="str">
        <x:v>Santander</x:v>
      </x:c>
      <x:c r="F209" t="str">
        <x:v>Entre $1,5 M y $3 M</x:v>
      </x:c>
      <x:c r="G209" t="str">
        <x:v>Alianzas</x:v>
      </x:c>
      <x:c r="H209" t="n">
        <x:v>2125000</x:v>
      </x:c>
      <x:c r="I209" t="str">
        <x:v>Organización inicial</x:v>
      </x:c>
      <x:c r="J209" t="str">
        <x:v>Plus anual</x:v>
      </x:c>
    </x:row>
    <x:row r="210">
      <x:c r="A210" t="str">
        <x:v>USR-00209</x:v>
      </x:c>
      <x:c r="B210" t="n">
        <x:v>45854</x:v>
      </x:c>
      <x:c r="C210" t="n">
        <x:v>41</x:v>
      </x:c>
      <x:c r="D210" t="str">
        <x:v>Medellín</x:v>
      </x:c>
      <x:c r="E210" t="str">
        <x:v>Antioquia</x:v>
      </x:c>
      <x:c r="F210" t="str">
        <x:v>Menos de $1,5 M</x:v>
      </x:c>
      <x:c r="G210" t="str">
        <x:v>Búsqueda paga</x:v>
      </x:c>
      <x:c r="H210" t="n">
        <x:v>1435000</x:v>
      </x:c>
      <x:c r="I210" t="str">
        <x:v>Salir de deudas</x:v>
      </x:c>
      <x:c r="J210" t="str">
        <x:v>Cero</x:v>
      </x:c>
    </x:row>
    <x:row r="211">
      <x:c r="A211" t="str">
        <x:v>USR-00210</x:v>
      </x:c>
      <x:c r="B211" t="n">
        <x:v>45864</x:v>
      </x:c>
      <x:c r="C211" t="n">
        <x:v>60</x:v>
      </x:c>
      <x:c r="D211" t="str">
        <x:v>Barranquilla</x:v>
      </x:c>
      <x:c r="E211" t="str">
        <x:v>Atlántico</x:v>
      </x:c>
      <x:c r="F211" t="str">
        <x:v>Menos de $1,5 M</x:v>
      </x:c>
      <x:c r="G211" t="str">
        <x:v>Orgánico</x:v>
      </x:c>
      <x:c r="H211" t="n">
        <x:v>1483000</x:v>
      </x:c>
      <x:c r="I211" t="str">
        <x:v>Reducir intereses</x:v>
      </x:c>
      <x:c r="J211" t="str">
        <x:v>Cero</x:v>
      </x:c>
    </x:row>
    <x:row r="212">
      <x:c r="A212" t="str">
        <x:v>USR-00211</x:v>
      </x:c>
      <x:c r="B212" t="n">
        <x:v>45854</x:v>
      </x:c>
      <x:c r="C212" t="n">
        <x:v>33</x:v>
      </x:c>
      <x:c r="D212" t="str">
        <x:v>Bogotá</x:v>
      </x:c>
      <x:c r="E212" t="str">
        <x:v>Bogotá D.C.</x:v>
      </x:c>
      <x:c r="F212" t="str">
        <x:v>Entre $1,5 M y $3 M</x:v>
      </x:c>
      <x:c r="G212" t="str">
        <x:v>Orgánico</x:v>
      </x:c>
      <x:c r="H212" t="n">
        <x:v>1651000</x:v>
      </x:c>
      <x:c r="I212" t="str">
        <x:v>Salir de deudas</x:v>
      </x:c>
      <x:c r="J212" t="str">
        <x:v>Cero</x:v>
      </x:c>
    </x:row>
    <x:row r="213">
      <x:c r="A213" t="str">
        <x:v>USR-00212</x:v>
      </x:c>
      <x:c r="B213" t="n">
        <x:v>45863</x:v>
      </x:c>
      <x:c r="C213" t="n">
        <x:v>52</x:v>
      </x:c>
      <x:c r="D213" t="str">
        <x:v>Manizales</x:v>
      </x:c>
      <x:c r="E213" t="str">
        <x:v>Caldas</x:v>
      </x:c>
      <x:c r="F213" t="str">
        <x:v>Menos de $1,5 M</x:v>
      </x:c>
      <x:c r="G213" t="str">
        <x:v>Orgánico</x:v>
      </x:c>
      <x:c r="H213" t="n">
        <x:v>1143000</x:v>
      </x:c>
      <x:c r="I213" t="str">
        <x:v>Salir de deudas</x:v>
      </x:c>
      <x:c r="J213" t="str">
        <x:v>Cero</x:v>
      </x:c>
    </x:row>
    <x:row r="214">
      <x:c r="A214" t="str">
        <x:v>USR-00213</x:v>
      </x:c>
      <x:c r="B214" t="n">
        <x:v>45849</x:v>
      </x:c>
      <x:c r="C214" t="n">
        <x:v>36</x:v>
      </x:c>
      <x:c r="D214" t="str">
        <x:v>Medellín</x:v>
      </x:c>
      <x:c r="E214" t="str">
        <x:v>Antioquia</x:v>
      </x:c>
      <x:c r="F214" t="str">
        <x:v>Entre $3 M y $5 M</x:v>
      </x:c>
      <x:c r="G214" t="str">
        <x:v>Orgánico</x:v>
      </x:c>
      <x:c r="H214" t="n">
        <x:v>4592000</x:v>
      </x:c>
      <x:c r="I214" t="str">
        <x:v>Salir de deudas</x:v>
      </x:c>
      <x:c r="J214" t="str">
        <x:v>Cero</x:v>
      </x:c>
    </x:row>
    <x:row r="215">
      <x:c r="A215" t="str">
        <x:v>USR-00214</x:v>
      </x:c>
      <x:c r="B215" t="n">
        <x:v>45840</x:v>
      </x:c>
      <x:c r="C215" t="n">
        <x:v>53</x:v>
      </x:c>
      <x:c r="D215" t="str">
        <x:v>Bogotá</x:v>
      </x:c>
      <x:c r="E215" t="str">
        <x:v>Bogotá D.C.</x:v>
      </x:c>
      <x:c r="F215" t="str">
        <x:v>Más de $5 M</x:v>
      </x:c>
      <x:c r="G215" t="str">
        <x:v>Redes sociales</x:v>
      </x:c>
      <x:c r="H215" t="n">
        <x:v>8703000</x:v>
      </x:c>
      <x:c r="I215" t="str">
        <x:v>Reducir intereses</x:v>
      </x:c>
      <x:c r="J215" t="str">
        <x:v>Plus anual</x:v>
      </x:c>
    </x:row>
    <x:row r="216">
      <x:c r="A216" t="str">
        <x:v>USR-00215</x:v>
      </x:c>
      <x:c r="B216" t="n">
        <x:v>45864</x:v>
      </x:c>
      <x:c r="C216" t="n">
        <x:v>39</x:v>
      </x:c>
      <x:c r="D216" t="str">
        <x:v>Cali</x:v>
      </x:c>
      <x:c r="E216" t="str">
        <x:v>Valle del Cauca</x:v>
      </x:c>
      <x:c r="F216" t="str">
        <x:v>Entre $1,5 M y $3 M</x:v>
      </x:c>
      <x:c r="G216" t="str">
        <x:v>Orgánico</x:v>
      </x:c>
      <x:c r="H216" t="n">
        <x:v>2665000</x:v>
      </x:c>
      <x:c r="I216" t="str">
        <x:v>Reducir intereses</x:v>
      </x:c>
      <x:c r="J216" t="str">
        <x:v>Inactivo</x:v>
      </x:c>
    </x:row>
    <x:row r="217">
      <x:c r="A217" t="str">
        <x:v>USR-00216</x:v>
      </x:c>
      <x:c r="B217" t="n">
        <x:v>45851</x:v>
      </x:c>
      <x:c r="C217" t="n">
        <x:v>55</x:v>
      </x:c>
      <x:c r="D217" t="str">
        <x:v>Bogotá</x:v>
      </x:c>
      <x:c r="E217" t="str">
        <x:v>Bogotá D.C.</x:v>
      </x:c>
      <x:c r="F217" t="str">
        <x:v>Entre $3 M y $5 M</x:v>
      </x:c>
      <x:c r="G217" t="str">
        <x:v>Referidos</x:v>
      </x:c>
      <x:c r="H217" t="n">
        <x:v>4205000</x:v>
      </x:c>
      <x:c r="I217" t="str">
        <x:v>Salir de deudas</x:v>
      </x:c>
      <x:c r="J217" t="str">
        <x:v>Plus mensual</x:v>
      </x:c>
    </x:row>
    <x:row r="218">
      <x:c r="A218" t="str">
        <x:v>USR-00217</x:v>
      </x:c>
      <x:c r="B218" t="n">
        <x:v>45862</x:v>
      </x:c>
      <x:c r="C218" t="n">
        <x:v>53</x:v>
      </x:c>
      <x:c r="D218" t="str">
        <x:v>Bogotá</x:v>
      </x:c>
      <x:c r="E218" t="str">
        <x:v>Bogotá D.C.</x:v>
      </x:c>
      <x:c r="F218" t="str">
        <x:v>Entre $1,5 M y $3 M</x:v>
      </x:c>
      <x:c r="G218" t="str">
        <x:v>Búsqueda paga</x:v>
      </x:c>
      <x:c r="H218" t="n">
        <x:v>2584000</x:v>
      </x:c>
      <x:c r="I218" t="str">
        <x:v>Control de pagos</x:v>
      </x:c>
      <x:c r="J218" t="str">
        <x:v>Cero</x:v>
      </x:c>
    </x:row>
    <x:row r="219">
      <x:c r="A219" t="str">
        <x:v>USR-00218</x:v>
      </x:c>
      <x:c r="B219" t="n">
        <x:v>45861</x:v>
      </x:c>
      <x:c r="C219" t="n">
        <x:v>38</x:v>
      </x:c>
      <x:c r="D219" t="str">
        <x:v>Cali</x:v>
      </x:c>
      <x:c r="E219" t="str">
        <x:v>Valle del Cauca</x:v>
      </x:c>
      <x:c r="F219" t="str">
        <x:v>Entre $1,5 M y $3 M</x:v>
      </x:c>
      <x:c r="G219" t="str">
        <x:v>Redes sociales</x:v>
      </x:c>
      <x:c r="H219" t="n">
        <x:v>2297000</x:v>
      </x:c>
      <x:c r="I219" t="str">
        <x:v>Salir de deudas</x:v>
      </x:c>
      <x:c r="J219" t="str">
        <x:v>Cero</x:v>
      </x:c>
    </x:row>
    <x:row r="220">
      <x:c r="A220" t="str">
        <x:v>USR-00219</x:v>
      </x:c>
      <x:c r="B220" t="n">
        <x:v>45862</x:v>
      </x:c>
      <x:c r="C220" t="n">
        <x:v>57</x:v>
      </x:c>
      <x:c r="D220" t="str">
        <x:v>Medellín</x:v>
      </x:c>
      <x:c r="E220" t="str">
        <x:v>Antioquia</x:v>
      </x:c>
      <x:c r="F220" t="str">
        <x:v>Entre $1,5 M y $3 M</x:v>
      </x:c>
      <x:c r="G220" t="str">
        <x:v>Orgánico</x:v>
      </x:c>
      <x:c r="H220" t="n">
        <x:v>2175000</x:v>
      </x:c>
      <x:c r="I220" t="str">
        <x:v>Salir de deudas</x:v>
      </x:c>
      <x:c r="J220" t="str">
        <x:v>Cero</x:v>
      </x:c>
    </x:row>
    <x:row r="221">
      <x:c r="A221" t="str">
        <x:v>USR-00220</x:v>
      </x:c>
      <x:c r="B221" t="n">
        <x:v>45862</x:v>
      </x:c>
      <x:c r="C221" t="n">
        <x:v>38</x:v>
      </x:c>
      <x:c r="D221" t="str">
        <x:v>Bogotá</x:v>
      </x:c>
      <x:c r="E221" t="str">
        <x:v>Bogotá D.C.</x:v>
      </x:c>
      <x:c r="F221" t="str">
        <x:v>Entre $3 M y $5 M</x:v>
      </x:c>
      <x:c r="G221" t="str">
        <x:v>Referidos</x:v>
      </x:c>
      <x:c r="H221" t="n">
        <x:v>4154000</x:v>
      </x:c>
      <x:c r="I221" t="str">
        <x:v>Salir de deudas</x:v>
      </x:c>
      <x:c r="J221" t="str">
        <x:v>Cero</x:v>
      </x:c>
    </x:row>
    <x:row r="222">
      <x:c r="A222" t="str">
        <x:v>USR-00221</x:v>
      </x:c>
      <x:c r="B222" t="n">
        <x:v>45858</x:v>
      </x:c>
      <x:c r="C222" t="n">
        <x:v>44</x:v>
      </x:c>
      <x:c r="D222" t="str">
        <x:v>Bogotá</x:v>
      </x:c>
      <x:c r="E222" t="str">
        <x:v>Bogotá D.C.</x:v>
      </x:c>
      <x:c r="F222" t="str">
        <x:v>Entre $1,5 M y $3 M</x:v>
      </x:c>
      <x:c r="G222" t="str">
        <x:v>Orgánico</x:v>
      </x:c>
      <x:c r="H222" t="n">
        <x:v>2515000</x:v>
      </x:c>
      <x:c r="I222" t="str">
        <x:v>Organización inicial</x:v>
      </x:c>
      <x:c r="J222" t="str">
        <x:v>Cero</x:v>
      </x:c>
    </x:row>
    <x:row r="223">
      <x:c r="A223" t="str">
        <x:v>USR-00222</x:v>
      </x:c>
      <x:c r="B223" t="n">
        <x:v>45846</x:v>
      </x:c>
      <x:c r="C223" t="n">
        <x:v>34</x:v>
      </x:c>
      <x:c r="D223" t="str">
        <x:v>Barranquilla</x:v>
      </x:c>
      <x:c r="E223" t="str">
        <x:v>Atlántico</x:v>
      </x:c>
      <x:c r="F223" t="str">
        <x:v>Entre $1,5 M y $3 M</x:v>
      </x:c>
      <x:c r="G223" t="str">
        <x:v>Redes sociales</x:v>
      </x:c>
      <x:c r="H223" t="n">
        <x:v>2556000</x:v>
      </x:c>
      <x:c r="I223" t="str">
        <x:v>Control de pagos</x:v>
      </x:c>
      <x:c r="J223" t="str">
        <x:v>Inactivo</x:v>
      </x:c>
    </x:row>
    <x:row r="224">
      <x:c r="A224" t="str">
        <x:v>USR-00223</x:v>
      </x:c>
      <x:c r="B224" t="n">
        <x:v>45855</x:v>
      </x:c>
      <x:c r="C224" t="n">
        <x:v>49</x:v>
      </x:c>
      <x:c r="D224" t="str">
        <x:v>Bogotá</x:v>
      </x:c>
      <x:c r="E224" t="str">
        <x:v>Bogotá D.C.</x:v>
      </x:c>
      <x:c r="F224" t="str">
        <x:v>Entre $1,5 M y $3 M</x:v>
      </x:c>
      <x:c r="G224" t="str">
        <x:v>Alianzas</x:v>
      </x:c>
      <x:c r="H224" t="n">
        <x:v>2982000</x:v>
      </x:c>
      <x:c r="I224" t="str">
        <x:v>Salir de deudas</x:v>
      </x:c>
      <x:c r="J224" t="str">
        <x:v>Plus anual</x:v>
      </x:c>
    </x:row>
    <x:row r="225">
      <x:c r="A225" t="str">
        <x:v>USR-00224</x:v>
      </x:c>
      <x:c r="B225" t="n">
        <x:v>45849</x:v>
      </x:c>
      <x:c r="C225" t="n">
        <x:v>64</x:v>
      </x:c>
      <x:c r="D225" t="str">
        <x:v>Bogotá</x:v>
      </x:c>
      <x:c r="E225" t="str">
        <x:v>Bogotá D.C.</x:v>
      </x:c>
      <x:c r="F225" t="str">
        <x:v>Entre $3 M y $5 M</x:v>
      </x:c>
      <x:c r="G225" t="str">
        <x:v>Redes sociales</x:v>
      </x:c>
      <x:c r="H225" t="n">
        <x:v>3657000</x:v>
      </x:c>
      <x:c r="I225" t="str">
        <x:v>Reducir intereses</x:v>
      </x:c>
      <x:c r="J225" t="str">
        <x:v>Plus anual</x:v>
      </x:c>
    </x:row>
    <x:row r="226">
      <x:c r="A226" t="str">
        <x:v>USR-00225</x:v>
      </x:c>
      <x:c r="B226" t="n">
        <x:v>45865</x:v>
      </x:c>
      <x:c r="C226" t="n">
        <x:v>25</x:v>
      </x:c>
      <x:c r="D226" t="str">
        <x:v>Cali</x:v>
      </x:c>
      <x:c r="E226" t="str">
        <x:v>Valle del Cauca</x:v>
      </x:c>
      <x:c r="F226" t="str">
        <x:v>Más de $5 M</x:v>
      </x:c>
      <x:c r="G226" t="str">
        <x:v>Referidos</x:v>
      </x:c>
      <x:c r="H226" t="n">
        <x:v>8223000</x:v>
      </x:c>
      <x:c r="I226" t="str">
        <x:v>Control de pagos</x:v>
      </x:c>
      <x:c r="J226" t="str">
        <x:v>Cero</x:v>
      </x:c>
    </x:row>
    <x:row r="227">
      <x:c r="A227" t="str">
        <x:v>USR-00226</x:v>
      </x:c>
      <x:c r="B227" t="n">
        <x:v>45876</x:v>
      </x:c>
      <x:c r="C227" t="n">
        <x:v>22</x:v>
      </x:c>
      <x:c r="D227" t="str">
        <x:v>Pereira</x:v>
      </x:c>
      <x:c r="E227" t="str">
        <x:v>Risaralda</x:v>
      </x:c>
      <x:c r="F227" t="str">
        <x:v>Menos de $1,5 M</x:v>
      </x:c>
      <x:c r="G227" t="str">
        <x:v>Referidos</x:v>
      </x:c>
      <x:c r="H227" t="n">
        <x:v>1168000</x:v>
      </x:c>
      <x:c r="I227" t="str">
        <x:v>Control de pagos</x:v>
      </x:c>
      <x:c r="J227" t="str">
        <x:v>Plus anual</x:v>
      </x:c>
    </x:row>
    <x:row r="228">
      <x:c r="A228" t="str">
        <x:v>USR-00227</x:v>
      </x:c>
      <x:c r="B228" t="n">
        <x:v>45870</x:v>
      </x:c>
      <x:c r="C228" t="n">
        <x:v>52</x:v>
      </x:c>
      <x:c r="D228" t="str">
        <x:v>Barranquilla</x:v>
      </x:c>
      <x:c r="E228" t="str">
        <x:v>Atlántico</x:v>
      </x:c>
      <x:c r="F228" t="str">
        <x:v>Entre $1,5 M y $3 M</x:v>
      </x:c>
      <x:c r="G228" t="str">
        <x:v>Redes sociales</x:v>
      </x:c>
      <x:c r="H228" t="n">
        <x:v>1693000</x:v>
      </x:c>
      <x:c r="I228" t="str">
        <x:v>Reducir intereses</x:v>
      </x:c>
      <x:c r="J228" t="str">
        <x:v>Cero</x:v>
      </x:c>
    </x:row>
    <x:row r="229">
      <x:c r="A229" t="str">
        <x:v>USR-00228</x:v>
      </x:c>
      <x:c r="B229" t="n">
        <x:v>45876</x:v>
      </x:c>
      <x:c r="C229" t="n">
        <x:v>45</x:v>
      </x:c>
      <x:c r="D229" t="str">
        <x:v>Bogotá</x:v>
      </x:c>
      <x:c r="E229" t="str">
        <x:v>Bogotá D.C.</x:v>
      </x:c>
      <x:c r="F229" t="str">
        <x:v>Entre $1,5 M y $3 M</x:v>
      </x:c>
      <x:c r="G229" t="str">
        <x:v>Alianzas</x:v>
      </x:c>
      <x:c r="H229" t="n">
        <x:v>2450000</x:v>
      </x:c>
      <x:c r="I229" t="str">
        <x:v>Control de pagos</x:v>
      </x:c>
      <x:c r="J229" t="str">
        <x:v>Cero</x:v>
      </x:c>
    </x:row>
    <x:row r="230">
      <x:c r="A230" t="str">
        <x:v>USR-00229</x:v>
      </x:c>
      <x:c r="B230" t="n">
        <x:v>45880</x:v>
      </x:c>
      <x:c r="C230" t="n">
        <x:v>33</x:v>
      </x:c>
      <x:c r="D230" t="str">
        <x:v>Cartagena</x:v>
      </x:c>
      <x:c r="E230" t="str">
        <x:v>Bolívar</x:v>
      </x:c>
      <x:c r="F230" t="str">
        <x:v>Entre $1,5 M y $3 M</x:v>
      </x:c>
      <x:c r="G230" t="str">
        <x:v>Búsqueda paga</x:v>
      </x:c>
      <x:c r="H230" t="n">
        <x:v>2591000</x:v>
      </x:c>
      <x:c r="I230" t="str">
        <x:v>Reducir intereses</x:v>
      </x:c>
      <x:c r="J230" t="str">
        <x:v>Cero</x:v>
      </x:c>
    </x:row>
    <x:row r="231">
      <x:c r="A231" t="str">
        <x:v>USR-00230</x:v>
      </x:c>
      <x:c r="B231" t="n">
        <x:v>45890</x:v>
      </x:c>
      <x:c r="C231" t="n">
        <x:v>41</x:v>
      </x:c>
      <x:c r="D231" t="str">
        <x:v>Bogotá</x:v>
      </x:c>
      <x:c r="E231" t="str">
        <x:v>Bogotá D.C.</x:v>
      </x:c>
      <x:c r="F231" t="str">
        <x:v>Menos de $1,5 M</x:v>
      </x:c>
      <x:c r="G231" t="str">
        <x:v>Contenido educativo</x:v>
      </x:c>
      <x:c r="H231" t="n">
        <x:v>1057000</x:v>
      </x:c>
      <x:c r="I231" t="str">
        <x:v>Organización inicial</x:v>
      </x:c>
      <x:c r="J231" t="str">
        <x:v>Plus anual</x:v>
      </x:c>
    </x:row>
    <x:row r="232">
      <x:c r="A232" t="str">
        <x:v>USR-00231</x:v>
      </x:c>
      <x:c r="B232" t="n">
        <x:v>45883</x:v>
      </x:c>
      <x:c r="C232" t="n">
        <x:v>62</x:v>
      </x:c>
      <x:c r="D232" t="str">
        <x:v>Cartagena</x:v>
      </x:c>
      <x:c r="E232" t="str">
        <x:v>Bolívar</x:v>
      </x:c>
      <x:c r="F232" t="str">
        <x:v>Menos de $1,5 M</x:v>
      </x:c>
      <x:c r="G232" t="str">
        <x:v>Redes sociales</x:v>
      </x:c>
      <x:c r="H232" t="n">
        <x:v>1461000</x:v>
      </x:c>
      <x:c r="I232" t="str">
        <x:v>Salir de deudas</x:v>
      </x:c>
      <x:c r="J232" t="str">
        <x:v>Cero</x:v>
      </x:c>
    </x:row>
    <x:row r="233">
      <x:c r="A233" t="str">
        <x:v>USR-00232</x:v>
      </x:c>
      <x:c r="B233" t="n">
        <x:v>45890</x:v>
      </x:c>
      <x:c r="C233" t="n">
        <x:v>38</x:v>
      </x:c>
      <x:c r="D233" t="str">
        <x:v>Pereira</x:v>
      </x:c>
      <x:c r="E233" t="str">
        <x:v>Risaralda</x:v>
      </x:c>
      <x:c r="F233" t="str">
        <x:v>Entre $1,5 M y $3 M</x:v>
      </x:c>
      <x:c r="G233" t="str">
        <x:v>Referidos</x:v>
      </x:c>
      <x:c r="H233" t="n">
        <x:v>2082000</x:v>
      </x:c>
      <x:c r="I233" t="str">
        <x:v>Control de pagos</x:v>
      </x:c>
      <x:c r="J233" t="str">
        <x:v>Cero</x:v>
      </x:c>
    </x:row>
    <x:row r="234">
      <x:c r="A234" t="str">
        <x:v>USR-00233</x:v>
      </x:c>
      <x:c r="B234" t="n">
        <x:v>45873</x:v>
      </x:c>
      <x:c r="C234" t="n">
        <x:v>34</x:v>
      </x:c>
      <x:c r="D234" t="str">
        <x:v>Bogotá</x:v>
      </x:c>
      <x:c r="E234" t="str">
        <x:v>Bogotá D.C.</x:v>
      </x:c>
      <x:c r="F234" t="str">
        <x:v>Entre $3 M y $5 M</x:v>
      </x:c>
      <x:c r="G234" t="str">
        <x:v>Búsqueda paga</x:v>
      </x:c>
      <x:c r="H234" t="n">
        <x:v>4965000</x:v>
      </x:c>
      <x:c r="I234" t="str">
        <x:v>Organización inicial</x:v>
      </x:c>
      <x:c r="J234" t="str">
        <x:v>Plus anual</x:v>
      </x:c>
    </x:row>
    <x:row r="235">
      <x:c r="A235" t="str">
        <x:v>USR-00234</x:v>
      </x:c>
      <x:c r="B235" t="n">
        <x:v>45887</x:v>
      </x:c>
      <x:c r="C235" t="n">
        <x:v>33</x:v>
      </x:c>
      <x:c r="D235" t="str">
        <x:v>Cali</x:v>
      </x:c>
      <x:c r="E235" t="str">
        <x:v>Valle del Cauca</x:v>
      </x:c>
      <x:c r="F235" t="str">
        <x:v>Entre $1,5 M y $3 M</x:v>
      </x:c>
      <x:c r="G235" t="str">
        <x:v>Contenido educativo</x:v>
      </x:c>
      <x:c r="H235" t="n">
        <x:v>1882000</x:v>
      </x:c>
      <x:c r="I235" t="str">
        <x:v>Control de pagos</x:v>
      </x:c>
      <x:c r="J235" t="str">
        <x:v>Plus mensual</x:v>
      </x:c>
    </x:row>
    <x:row r="236">
      <x:c r="A236" t="str">
        <x:v>USR-00235</x:v>
      </x:c>
      <x:c r="B236" t="n">
        <x:v>45886</x:v>
      </x:c>
      <x:c r="C236" t="n">
        <x:v>61</x:v>
      </x:c>
      <x:c r="D236" t="str">
        <x:v>Bogotá</x:v>
      </x:c>
      <x:c r="E236" t="str">
        <x:v>Bogotá D.C.</x:v>
      </x:c>
      <x:c r="F236" t="str">
        <x:v>Menos de $1,5 M</x:v>
      </x:c>
      <x:c r="G236" t="str">
        <x:v>Alianzas</x:v>
      </x:c>
      <x:c r="H236" t="n">
        <x:v>1473000</x:v>
      </x:c>
      <x:c r="I236" t="str">
        <x:v>Control de pagos</x:v>
      </x:c>
      <x:c r="J236" t="str">
        <x:v>Cero</x:v>
      </x:c>
    </x:row>
    <x:row r="237">
      <x:c r="A237" t="str">
        <x:v>USR-00236</x:v>
      </x:c>
      <x:c r="B237" t="n">
        <x:v>45875</x:v>
      </x:c>
      <x:c r="C237" t="n">
        <x:v>53</x:v>
      </x:c>
      <x:c r="D237" t="str">
        <x:v>Bucaramanga</x:v>
      </x:c>
      <x:c r="E237" t="str">
        <x:v>Santander</x:v>
      </x:c>
      <x:c r="F237" t="str">
        <x:v>Entre $1,5 M y $3 M</x:v>
      </x:c>
      <x:c r="G237" t="str">
        <x:v>Redes sociales</x:v>
      </x:c>
      <x:c r="H237" t="n">
        <x:v>2814000</x:v>
      </x:c>
      <x:c r="I237" t="str">
        <x:v>Salir de deudas</x:v>
      </x:c>
      <x:c r="J237" t="str">
        <x:v>Cero</x:v>
      </x:c>
    </x:row>
    <x:row r="238">
      <x:c r="A238" t="str">
        <x:v>USR-00237</x:v>
      </x:c>
      <x:c r="B238" t="n">
        <x:v>45871</x:v>
      </x:c>
      <x:c r="C238" t="n">
        <x:v>60</x:v>
      </x:c>
      <x:c r="D238" t="str">
        <x:v>Cali</x:v>
      </x:c>
      <x:c r="E238" t="str">
        <x:v>Valle del Cauca</x:v>
      </x:c>
      <x:c r="F238" t="str">
        <x:v>Entre $1,5 M y $3 M</x:v>
      </x:c>
      <x:c r="G238" t="str">
        <x:v>Redes sociales</x:v>
      </x:c>
      <x:c r="H238" t="n">
        <x:v>2518000</x:v>
      </x:c>
      <x:c r="I238" t="str">
        <x:v>Control de pagos</x:v>
      </x:c>
      <x:c r="J238" t="str">
        <x:v>Plus mensual</x:v>
      </x:c>
    </x:row>
    <x:row r="239">
      <x:c r="A239" t="str">
        <x:v>USR-00238</x:v>
      </x:c>
      <x:c r="B239" t="n">
        <x:v>45888</x:v>
      </x:c>
      <x:c r="C239" t="n">
        <x:v>54</x:v>
      </x:c>
      <x:c r="D239" t="str">
        <x:v>Manizales</x:v>
      </x:c>
      <x:c r="E239" t="str">
        <x:v>Caldas</x:v>
      </x:c>
      <x:c r="F239" t="str">
        <x:v>Entre $3 M y $5 M</x:v>
      </x:c>
      <x:c r="G239" t="str">
        <x:v>Referidos</x:v>
      </x:c>
      <x:c r="H239" t="n">
        <x:v>3735000</x:v>
      </x:c>
      <x:c r="I239" t="str">
        <x:v>Control de pagos</x:v>
      </x:c>
      <x:c r="J239" t="str">
        <x:v>Plus anual</x:v>
      </x:c>
    </x:row>
    <x:row r="240">
      <x:c r="A240" t="str">
        <x:v>USR-00239</x:v>
      </x:c>
      <x:c r="B240" t="n">
        <x:v>45884</x:v>
      </x:c>
      <x:c r="C240" t="n">
        <x:v>27</x:v>
      </x:c>
      <x:c r="D240" t="str">
        <x:v>Medellín</x:v>
      </x:c>
      <x:c r="E240" t="str">
        <x:v>Antioquia</x:v>
      </x:c>
      <x:c r="F240" t="str">
        <x:v>Menos de $1,5 M</x:v>
      </x:c>
      <x:c r="G240" t="str">
        <x:v>Orgánico</x:v>
      </x:c>
      <x:c r="H240" t="n">
        <x:v>1316000</x:v>
      </x:c>
      <x:c r="I240" t="str">
        <x:v>Reducir intereses</x:v>
      </x:c>
      <x:c r="J240" t="str">
        <x:v>Cero</x:v>
      </x:c>
    </x:row>
    <x:row r="241">
      <x:c r="A241" t="str">
        <x:v>USR-00240</x:v>
      </x:c>
      <x:c r="B241" t="n">
        <x:v>45877</x:v>
      </x:c>
      <x:c r="C241" t="n">
        <x:v>54</x:v>
      </x:c>
      <x:c r="D241" t="str">
        <x:v>Medellín</x:v>
      </x:c>
      <x:c r="E241" t="str">
        <x:v>Antioquia</x:v>
      </x:c>
      <x:c r="F241" t="str">
        <x:v>Más de $5 M</x:v>
      </x:c>
      <x:c r="G241" t="str">
        <x:v>Referidos</x:v>
      </x:c>
      <x:c r="H241" t="n">
        <x:v>8417000</x:v>
      </x:c>
      <x:c r="I241" t="str">
        <x:v>Salir de deudas</x:v>
      </x:c>
      <x:c r="J241" t="str">
        <x:v>Cero</x:v>
      </x:c>
    </x:row>
    <x:row r="242">
      <x:c r="A242" t="str">
        <x:v>USR-00241</x:v>
      </x:c>
      <x:c r="B242" t="n">
        <x:v>45876</x:v>
      </x:c>
      <x:c r="C242" t="n">
        <x:v>42</x:v>
      </x:c>
      <x:c r="D242" t="str">
        <x:v>Cali</x:v>
      </x:c>
      <x:c r="E242" t="str">
        <x:v>Valle del Cauca</x:v>
      </x:c>
      <x:c r="F242" t="str">
        <x:v>Más de $5 M</x:v>
      </x:c>
      <x:c r="G242" t="str">
        <x:v>Búsqueda paga</x:v>
      </x:c>
      <x:c r="H242" t="n">
        <x:v>8294000</x:v>
      </x:c>
      <x:c r="I242" t="str">
        <x:v>Reducir intereses</x:v>
      </x:c>
      <x:c r="J242" t="str">
        <x:v>Plus anual</x:v>
      </x:c>
    </x:row>
    <x:row r="243">
      <x:c r="A243" t="str">
        <x:v>USR-00242</x:v>
      </x:c>
      <x:c r="B243" t="n">
        <x:v>45888</x:v>
      </x:c>
      <x:c r="C243" t="n">
        <x:v>43</x:v>
      </x:c>
      <x:c r="D243" t="str">
        <x:v>Medellín</x:v>
      </x:c>
      <x:c r="E243" t="str">
        <x:v>Antioquia</x:v>
      </x:c>
      <x:c r="F243" t="str">
        <x:v>Menos de $1,5 M</x:v>
      </x:c>
      <x:c r="G243" t="str">
        <x:v>Alianzas</x:v>
      </x:c>
      <x:c r="H243" t="n">
        <x:v>1219000</x:v>
      </x:c>
      <x:c r="I243" t="str">
        <x:v>Organización inicial</x:v>
      </x:c>
      <x:c r="J243" t="str">
        <x:v>Cero</x:v>
      </x:c>
    </x:row>
    <x:row r="244">
      <x:c r="A244" t="str">
        <x:v>USR-00243</x:v>
      </x:c>
      <x:c r="B244" t="n">
        <x:v>45872</x:v>
      </x:c>
      <x:c r="C244" t="n">
        <x:v>64</x:v>
      </x:c>
      <x:c r="D244" t="str">
        <x:v>Bogotá</x:v>
      </x:c>
      <x:c r="E244" t="str">
        <x:v>Bogotá D.C.</x:v>
      </x:c>
      <x:c r="F244" t="str">
        <x:v>Menos de $1,5 M</x:v>
      </x:c>
      <x:c r="G244" t="str">
        <x:v>Búsqueda paga</x:v>
      </x:c>
      <x:c r="H244" t="n">
        <x:v>1087000</x:v>
      </x:c>
      <x:c r="I244" t="str">
        <x:v>Control de pagos</x:v>
      </x:c>
      <x:c r="J244" t="str">
        <x:v>Cero</x:v>
      </x:c>
    </x:row>
    <x:row r="245">
      <x:c r="A245" t="str">
        <x:v>USR-00244</x:v>
      </x:c>
      <x:c r="B245" t="n">
        <x:v>45895</x:v>
      </x:c>
      <x:c r="C245" t="n">
        <x:v>37</x:v>
      </x:c>
      <x:c r="D245" t="str">
        <x:v>Bogotá</x:v>
      </x:c>
      <x:c r="E245" t="str">
        <x:v>Bogotá D.C.</x:v>
      </x:c>
      <x:c r="F245" t="str">
        <x:v>Entre $3 M y $5 M</x:v>
      </x:c>
      <x:c r="G245" t="str">
        <x:v>Orgánico</x:v>
      </x:c>
      <x:c r="H245" t="n">
        <x:v>4217000</x:v>
      </x:c>
      <x:c r="I245" t="str">
        <x:v>Salir de deudas</x:v>
      </x:c>
      <x:c r="J245" t="str">
        <x:v>Cero</x:v>
      </x:c>
    </x:row>
    <x:row r="246">
      <x:c r="A246" t="str">
        <x:v>USR-00245</x:v>
      </x:c>
      <x:c r="B246" t="n">
        <x:v>45881</x:v>
      </x:c>
      <x:c r="C246" t="n">
        <x:v>20</x:v>
      </x:c>
      <x:c r="D246" t="str">
        <x:v>Cali</x:v>
      </x:c>
      <x:c r="E246" t="str">
        <x:v>Valle del Cauca</x:v>
      </x:c>
      <x:c r="F246" t="str">
        <x:v>Entre $1,5 M y $3 M</x:v>
      </x:c>
      <x:c r="G246" t="str">
        <x:v>Contenido educativo</x:v>
      </x:c>
      <x:c r="H246" t="n">
        <x:v>2330000</x:v>
      </x:c>
      <x:c r="I246" t="str">
        <x:v>Control de pagos</x:v>
      </x:c>
      <x:c r="J246" t="str">
        <x:v>Cero</x:v>
      </x:c>
    </x:row>
    <x:row r="247">
      <x:c r="A247" t="str">
        <x:v>USR-00246</x:v>
      </x:c>
      <x:c r="B247" t="n">
        <x:v>45887</x:v>
      </x:c>
      <x:c r="C247" t="n">
        <x:v>56</x:v>
      </x:c>
      <x:c r="D247" t="str">
        <x:v>Bogotá</x:v>
      </x:c>
      <x:c r="E247" t="str">
        <x:v>Bogotá D.C.</x:v>
      </x:c>
      <x:c r="F247" t="str">
        <x:v>Entre $1,5 M y $3 M</x:v>
      </x:c>
      <x:c r="G247" t="str">
        <x:v>Redes sociales</x:v>
      </x:c>
      <x:c r="H247" t="n">
        <x:v>2995000</x:v>
      </x:c>
      <x:c r="I247" t="str">
        <x:v>Organización inicial</x:v>
      </x:c>
      <x:c r="J247" t="str">
        <x:v>Cero</x:v>
      </x:c>
    </x:row>
    <x:row r="248">
      <x:c r="A248" t="str">
        <x:v>USR-00247</x:v>
      </x:c>
      <x:c r="B248" t="n">
        <x:v>45874</x:v>
      </x:c>
      <x:c r="C248" t="n">
        <x:v>54</x:v>
      </x:c>
      <x:c r="D248" t="str">
        <x:v>Bogotá</x:v>
      </x:c>
      <x:c r="E248" t="str">
        <x:v>Bogotá D.C.</x:v>
      </x:c>
      <x:c r="F248" t="str">
        <x:v>Entre $1,5 M y $3 M</x:v>
      </x:c>
      <x:c r="G248" t="str">
        <x:v>Redes sociales</x:v>
      </x:c>
      <x:c r="H248" t="n">
        <x:v>2111000</x:v>
      </x:c>
      <x:c r="I248" t="str">
        <x:v>Organización inicial</x:v>
      </x:c>
      <x:c r="J248" t="str">
        <x:v>Inactivo</x:v>
      </x:c>
    </x:row>
    <x:row r="249">
      <x:c r="A249" t="str">
        <x:v>USR-00248</x:v>
      </x:c>
      <x:c r="B249" t="n">
        <x:v>45895</x:v>
      </x:c>
      <x:c r="C249" t="n">
        <x:v>50</x:v>
      </x:c>
      <x:c r="D249" t="str">
        <x:v>Bucaramanga</x:v>
      </x:c>
      <x:c r="E249" t="str">
        <x:v>Santander</x:v>
      </x:c>
      <x:c r="F249" t="str">
        <x:v>Entre $3 M y $5 M</x:v>
      </x:c>
      <x:c r="G249" t="str">
        <x:v>Redes sociales</x:v>
      </x:c>
      <x:c r="H249" t="n">
        <x:v>4575000</x:v>
      </x:c>
      <x:c r="I249" t="str">
        <x:v>Control de pagos</x:v>
      </x:c>
      <x:c r="J249" t="str">
        <x:v>Plus anual</x:v>
      </x:c>
    </x:row>
    <x:row r="250">
      <x:c r="A250" t="str">
        <x:v>USR-00249</x:v>
      </x:c>
      <x:c r="B250" t="n">
        <x:v>45895</x:v>
      </x:c>
      <x:c r="C250" t="n">
        <x:v>30</x:v>
      </x:c>
      <x:c r="D250" t="str">
        <x:v>Bogotá</x:v>
      </x:c>
      <x:c r="E250" t="str">
        <x:v>Bogotá D.C.</x:v>
      </x:c>
      <x:c r="F250" t="str">
        <x:v>Entre $1,5 M y $3 M</x:v>
      </x:c>
      <x:c r="G250" t="str">
        <x:v>Búsqueda paga</x:v>
      </x:c>
      <x:c r="H250" t="n">
        <x:v>2395000</x:v>
      </x:c>
      <x:c r="I250" t="str">
        <x:v>Reducir intereses</x:v>
      </x:c>
      <x:c r="J250" t="str">
        <x:v>Plus mensual</x:v>
      </x:c>
    </x:row>
    <x:row r="251">
      <x:c r="A251" t="str">
        <x:v>USR-00250</x:v>
      </x:c>
      <x:c r="B251" t="n">
        <x:v>45894</x:v>
      </x:c>
      <x:c r="C251" t="n">
        <x:v>55</x:v>
      </x:c>
      <x:c r="D251" t="str">
        <x:v>Cali</x:v>
      </x:c>
      <x:c r="E251" t="str">
        <x:v>Valle del Cauca</x:v>
      </x:c>
      <x:c r="F251" t="str">
        <x:v>Entre $1,5 M y $3 M</x:v>
      </x:c>
      <x:c r="G251" t="str">
        <x:v>Búsqueda paga</x:v>
      </x:c>
      <x:c r="H251" t="n">
        <x:v>2271000</x:v>
      </x:c>
      <x:c r="I251" t="str">
        <x:v>Salir de deudas</x:v>
      </x:c>
      <x:c r="J251" t="str">
        <x:v>Plus mensual</x:v>
      </x:c>
    </x:row>
    <x:row r="252">
      <x:c r="A252" t="str">
        <x:v>USR-00251</x:v>
      </x:c>
      <x:c r="B252" t="n">
        <x:v>45877</x:v>
      </x:c>
      <x:c r="C252" t="n">
        <x:v>55</x:v>
      </x:c>
      <x:c r="D252" t="str">
        <x:v>Bucaramanga</x:v>
      </x:c>
      <x:c r="E252" t="str">
        <x:v>Santander</x:v>
      </x:c>
      <x:c r="F252" t="str">
        <x:v>Menos de $1,5 M</x:v>
      </x:c>
      <x:c r="G252" t="str">
        <x:v>Búsqueda paga</x:v>
      </x:c>
      <x:c r="H252" t="n">
        <x:v>1235000</x:v>
      </x:c>
      <x:c r="I252" t="str">
        <x:v>Organización inicial</x:v>
      </x:c>
      <x:c r="J252" t="str">
        <x:v>Inactivo</x:v>
      </x:c>
    </x:row>
    <x:row r="253">
      <x:c r="A253" t="str">
        <x:v>USR-00252</x:v>
      </x:c>
      <x:c r="B253" t="n">
        <x:v>45887</x:v>
      </x:c>
      <x:c r="C253" t="n">
        <x:v>58</x:v>
      </x:c>
      <x:c r="D253" t="str">
        <x:v>Bogotá</x:v>
      </x:c>
      <x:c r="E253" t="str">
        <x:v>Bogotá D.C.</x:v>
      </x:c>
      <x:c r="F253" t="str">
        <x:v>Entre $3 M y $5 M</x:v>
      </x:c>
      <x:c r="G253" t="str">
        <x:v>Orgánico</x:v>
      </x:c>
      <x:c r="H253" t="n">
        <x:v>4797000</x:v>
      </x:c>
      <x:c r="I253" t="str">
        <x:v>Reducir intereses</x:v>
      </x:c>
      <x:c r="J253" t="str">
        <x:v>Plus anual</x:v>
      </x:c>
    </x:row>
    <x:row r="254">
      <x:c r="A254" t="str">
        <x:v>USR-00253</x:v>
      </x:c>
      <x:c r="B254" t="n">
        <x:v>45871</x:v>
      </x:c>
      <x:c r="C254" t="n">
        <x:v>29</x:v>
      </x:c>
      <x:c r="D254" t="str">
        <x:v>Bogotá</x:v>
      </x:c>
      <x:c r="E254" t="str">
        <x:v>Bogotá D.C.</x:v>
      </x:c>
      <x:c r="F254" t="str">
        <x:v>Entre $1,5 M y $3 M</x:v>
      </x:c>
      <x:c r="G254" t="str">
        <x:v>Contenido educativo</x:v>
      </x:c>
      <x:c r="H254" t="n">
        <x:v>2576000</x:v>
      </x:c>
      <x:c r="I254" t="str">
        <x:v>Salir de deudas</x:v>
      </x:c>
      <x:c r="J254" t="str">
        <x:v>Inactivo</x:v>
      </x:c>
    </x:row>
    <x:row r="255">
      <x:c r="A255" t="str">
        <x:v>USR-00254</x:v>
      </x:c>
      <x:c r="B255" t="n">
        <x:v>45893</x:v>
      </x:c>
      <x:c r="C255" t="n">
        <x:v>34</x:v>
      </x:c>
      <x:c r="D255" t="str">
        <x:v>Barranquilla</x:v>
      </x:c>
      <x:c r="E255" t="str">
        <x:v>Atlántico</x:v>
      </x:c>
      <x:c r="F255" t="str">
        <x:v>Entre $3 M y $5 M</x:v>
      </x:c>
      <x:c r="G255" t="str">
        <x:v>Alianzas</x:v>
      </x:c>
      <x:c r="H255" t="n">
        <x:v>4561000</x:v>
      </x:c>
      <x:c r="I255" t="str">
        <x:v>Reducir intereses</x:v>
      </x:c>
      <x:c r="J255" t="str">
        <x:v>Plus anual</x:v>
      </x:c>
    </x:row>
    <x:row r="256">
      <x:c r="A256" t="str">
        <x:v>USR-00255</x:v>
      </x:c>
      <x:c r="B256" t="n">
        <x:v>45887</x:v>
      </x:c>
      <x:c r="C256" t="n">
        <x:v>25</x:v>
      </x:c>
      <x:c r="D256" t="str">
        <x:v>Barranquilla</x:v>
      </x:c>
      <x:c r="E256" t="str">
        <x:v>Atlántico</x:v>
      </x:c>
      <x:c r="F256" t="str">
        <x:v>Entre $1,5 M y $3 M</x:v>
      </x:c>
      <x:c r="G256" t="str">
        <x:v>Redes sociales</x:v>
      </x:c>
      <x:c r="H256" t="n">
        <x:v>2449000</x:v>
      </x:c>
      <x:c r="I256" t="str">
        <x:v>Organización inicial</x:v>
      </x:c>
      <x:c r="J256" t="str">
        <x:v>Cero</x:v>
      </x:c>
    </x:row>
    <x:row r="257">
      <x:c r="A257" t="str">
        <x:v>USR-00256</x:v>
      </x:c>
      <x:c r="B257" t="n">
        <x:v>45896</x:v>
      </x:c>
      <x:c r="C257" t="n">
        <x:v>63</x:v>
      </x:c>
      <x:c r="D257" t="str">
        <x:v>Cartagena</x:v>
      </x:c>
      <x:c r="E257" t="str">
        <x:v>Bolívar</x:v>
      </x:c>
      <x:c r="F257" t="str">
        <x:v>Entre $1,5 M y $3 M</x:v>
      </x:c>
      <x:c r="G257" t="str">
        <x:v>Referidos</x:v>
      </x:c>
      <x:c r="H257" t="n">
        <x:v>2833000</x:v>
      </x:c>
      <x:c r="I257" t="str">
        <x:v>Salir de deudas</x:v>
      </x:c>
      <x:c r="J257" t="str">
        <x:v>Plus mensual</x:v>
      </x:c>
    </x:row>
    <x:row r="258">
      <x:c r="A258" t="str">
        <x:v>USR-00257</x:v>
      </x:c>
      <x:c r="B258" t="n">
        <x:v>45873</x:v>
      </x:c>
      <x:c r="C258" t="n">
        <x:v>64</x:v>
      </x:c>
      <x:c r="D258" t="str">
        <x:v>Cali</x:v>
      </x:c>
      <x:c r="E258" t="str">
        <x:v>Valle del Cauca</x:v>
      </x:c>
      <x:c r="F258" t="str">
        <x:v>Entre $1,5 M y $3 M</x:v>
      </x:c>
      <x:c r="G258" t="str">
        <x:v>Alianzas</x:v>
      </x:c>
      <x:c r="H258" t="n">
        <x:v>1913000</x:v>
      </x:c>
      <x:c r="I258" t="str">
        <x:v>Reducir intereses</x:v>
      </x:c>
      <x:c r="J258" t="str">
        <x:v>Cero</x:v>
      </x:c>
    </x:row>
    <x:row r="259">
      <x:c r="A259" t="str">
        <x:v>USR-00258</x:v>
      </x:c>
      <x:c r="B259" t="n">
        <x:v>45877</x:v>
      </x:c>
      <x:c r="C259" t="n">
        <x:v>47</x:v>
      </x:c>
      <x:c r="D259" t="str">
        <x:v>Medellín</x:v>
      </x:c>
      <x:c r="E259" t="str">
        <x:v>Antioquia</x:v>
      </x:c>
      <x:c r="F259" t="str">
        <x:v>Entre $3 M y $5 M</x:v>
      </x:c>
      <x:c r="G259" t="str">
        <x:v>Redes sociales</x:v>
      </x:c>
      <x:c r="H259" t="n">
        <x:v>3112000</x:v>
      </x:c>
      <x:c r="I259" t="str">
        <x:v>Organización inicial</x:v>
      </x:c>
      <x:c r="J259" t="str">
        <x:v>Cero</x:v>
      </x:c>
    </x:row>
    <x:row r="260">
      <x:c r="A260" t="str">
        <x:v>USR-00259</x:v>
      </x:c>
      <x:c r="B260" t="n">
        <x:v>45879</x:v>
      </x:c>
      <x:c r="C260" t="n">
        <x:v>58</x:v>
      </x:c>
      <x:c r="D260" t="str">
        <x:v>Cali</x:v>
      </x:c>
      <x:c r="E260" t="str">
        <x:v>Valle del Cauca</x:v>
      </x:c>
      <x:c r="F260" t="str">
        <x:v>Menos de $1,5 M</x:v>
      </x:c>
      <x:c r="G260" t="str">
        <x:v>Redes sociales</x:v>
      </x:c>
      <x:c r="H260" t="n">
        <x:v>1392000</x:v>
      </x:c>
      <x:c r="I260" t="str">
        <x:v>Organización inicial</x:v>
      </x:c>
      <x:c r="J260" t="str">
        <x:v>Plus anual</x:v>
      </x:c>
    </x:row>
    <x:row r="261">
      <x:c r="A261" t="str">
        <x:v>USR-00260</x:v>
      </x:c>
      <x:c r="B261" t="n">
        <x:v>45896</x:v>
      </x:c>
      <x:c r="C261" t="n">
        <x:v>52</x:v>
      </x:c>
      <x:c r="D261" t="str">
        <x:v>Cali</x:v>
      </x:c>
      <x:c r="E261" t="str">
        <x:v>Valle del Cauca</x:v>
      </x:c>
      <x:c r="F261" t="str">
        <x:v>Entre $1,5 M y $3 M</x:v>
      </x:c>
      <x:c r="G261" t="str">
        <x:v>Referidos</x:v>
      </x:c>
      <x:c r="H261" t="n">
        <x:v>2570000</x:v>
      </x:c>
      <x:c r="I261" t="str">
        <x:v>Salir de deudas</x:v>
      </x:c>
      <x:c r="J261" t="str">
        <x:v>Plus anual</x:v>
      </x:c>
    </x:row>
    <x:row r="262">
      <x:c r="A262" t="str">
        <x:v>USR-00261</x:v>
      </x:c>
      <x:c r="B262" t="n">
        <x:v>45890</x:v>
      </x:c>
      <x:c r="C262" t="n">
        <x:v>28</x:v>
      </x:c>
      <x:c r="D262" t="str">
        <x:v>Barranquilla</x:v>
      </x:c>
      <x:c r="E262" t="str">
        <x:v>Atlántico</x:v>
      </x:c>
      <x:c r="F262" t="str">
        <x:v>Menos de $1,5 M</x:v>
      </x:c>
      <x:c r="G262" t="str">
        <x:v>Contenido educativo</x:v>
      </x:c>
      <x:c r="H262" t="n">
        <x:v>1276000</x:v>
      </x:c>
      <x:c r="I262" t="str">
        <x:v>Control de pagos</x:v>
      </x:c>
      <x:c r="J262" t="str">
        <x:v>Plus anual</x:v>
      </x:c>
    </x:row>
    <x:row r="263">
      <x:c r="A263" t="str">
        <x:v>USR-00262</x:v>
      </x:c>
      <x:c r="B263" t="n">
        <x:v>45891</x:v>
      </x:c>
      <x:c r="C263" t="n">
        <x:v>52</x:v>
      </x:c>
      <x:c r="D263" t="str">
        <x:v>Villavicencio</x:v>
      </x:c>
      <x:c r="E263" t="str">
        <x:v>Meta</x:v>
      </x:c>
      <x:c r="F263" t="str">
        <x:v>Entre $1,5 M y $3 M</x:v>
      </x:c>
      <x:c r="G263" t="str">
        <x:v>Contenido educativo</x:v>
      </x:c>
      <x:c r="H263" t="n">
        <x:v>2122000</x:v>
      </x:c>
      <x:c r="I263" t="str">
        <x:v>Organización inicial</x:v>
      </x:c>
      <x:c r="J263" t="str">
        <x:v>Cero</x:v>
      </x:c>
    </x:row>
    <x:row r="264">
      <x:c r="A264" t="str">
        <x:v>USR-00263</x:v>
      </x:c>
      <x:c r="B264" t="n">
        <x:v>45894</x:v>
      </x:c>
      <x:c r="C264" t="n">
        <x:v>53</x:v>
      </x:c>
      <x:c r="D264" t="str">
        <x:v>Bogotá</x:v>
      </x:c>
      <x:c r="E264" t="str">
        <x:v>Bogotá D.C.</x:v>
      </x:c>
      <x:c r="F264" t="str">
        <x:v>Entre $1,5 M y $3 M</x:v>
      </x:c>
      <x:c r="G264" t="str">
        <x:v>Redes sociales</x:v>
      </x:c>
      <x:c r="H264" t="n">
        <x:v>1879000</x:v>
      </x:c>
      <x:c r="I264" t="str">
        <x:v>Control de pagos</x:v>
      </x:c>
      <x:c r="J264" t="str">
        <x:v>Plus mensual</x:v>
      </x:c>
    </x:row>
    <x:row r="265">
      <x:c r="A265" t="str">
        <x:v>USR-00264</x:v>
      </x:c>
      <x:c r="B265" t="n">
        <x:v>45874</x:v>
      </x:c>
      <x:c r="C265" t="n">
        <x:v>52</x:v>
      </x:c>
      <x:c r="D265" t="str">
        <x:v>Cartagena</x:v>
      </x:c>
      <x:c r="E265" t="str">
        <x:v>Bolívar</x:v>
      </x:c>
      <x:c r="F265" t="str">
        <x:v>Entre $3 M y $5 M</x:v>
      </x:c>
      <x:c r="G265" t="str">
        <x:v>Contenido educativo</x:v>
      </x:c>
      <x:c r="H265" t="n">
        <x:v>3838000</x:v>
      </x:c>
      <x:c r="I265" t="str">
        <x:v>Organización inicial</x:v>
      </x:c>
      <x:c r="J265" t="str">
        <x:v>Cero</x:v>
      </x:c>
    </x:row>
    <x:row r="266">
      <x:c r="A266" t="str">
        <x:v>USR-00265</x:v>
      </x:c>
      <x:c r="B266" t="n">
        <x:v>45924</x:v>
      </x:c>
      <x:c r="C266" t="n">
        <x:v>52</x:v>
      </x:c>
      <x:c r="D266" t="str">
        <x:v>Cali</x:v>
      </x:c>
      <x:c r="E266" t="str">
        <x:v>Valle del Cauca</x:v>
      </x:c>
      <x:c r="F266" t="str">
        <x:v>Entre $1,5 M y $3 M</x:v>
      </x:c>
      <x:c r="G266" t="str">
        <x:v>Contenido educativo</x:v>
      </x:c>
      <x:c r="H266" t="n">
        <x:v>2992000</x:v>
      </x:c>
      <x:c r="I266" t="str">
        <x:v>Salir de deudas</x:v>
      </x:c>
      <x:c r="J266" t="str">
        <x:v>Inactivo</x:v>
      </x:c>
    </x:row>
    <x:row r="267">
      <x:c r="A267" t="str">
        <x:v>USR-00266</x:v>
      </x:c>
      <x:c r="B267" t="n">
        <x:v>45903</x:v>
      </x:c>
      <x:c r="C267" t="n">
        <x:v>26</x:v>
      </x:c>
      <x:c r="D267" t="str">
        <x:v>Manizales</x:v>
      </x:c>
      <x:c r="E267" t="str">
        <x:v>Caldas</x:v>
      </x:c>
      <x:c r="F267" t="str">
        <x:v>Entre $3 M y $5 M</x:v>
      </x:c>
      <x:c r="G267" t="str">
        <x:v>Orgánico</x:v>
      </x:c>
      <x:c r="H267" t="n">
        <x:v>4226000</x:v>
      </x:c>
      <x:c r="I267" t="str">
        <x:v>Control de pagos</x:v>
      </x:c>
      <x:c r="J267" t="str">
        <x:v>Inactivo</x:v>
      </x:c>
    </x:row>
    <x:row r="268">
      <x:c r="A268" t="str">
        <x:v>USR-00267</x:v>
      </x:c>
      <x:c r="B268" t="n">
        <x:v>45927</x:v>
      </x:c>
      <x:c r="C268" t="n">
        <x:v>54</x:v>
      </x:c>
      <x:c r="D268" t="str">
        <x:v>Medellín</x:v>
      </x:c>
      <x:c r="E268" t="str">
        <x:v>Antioquia</x:v>
      </x:c>
      <x:c r="F268" t="str">
        <x:v>Menos de $1,5 M</x:v>
      </x:c>
      <x:c r="G268" t="str">
        <x:v>Búsqueda paga</x:v>
      </x:c>
      <x:c r="H268" t="n">
        <x:v>1243000</x:v>
      </x:c>
      <x:c r="I268" t="str">
        <x:v>Reducir intereses</x:v>
      </x:c>
      <x:c r="J268" t="str">
        <x:v>Plus anual</x:v>
      </x:c>
    </x:row>
    <x:row r="269">
      <x:c r="A269" t="str">
        <x:v>USR-00268</x:v>
      </x:c>
      <x:c r="B269" t="n">
        <x:v>45910</x:v>
      </x:c>
      <x:c r="C269" t="n">
        <x:v>57</x:v>
      </x:c>
      <x:c r="D269" t="str">
        <x:v>Pereira</x:v>
      </x:c>
      <x:c r="E269" t="str">
        <x:v>Risaralda</x:v>
      </x:c>
      <x:c r="F269" t="str">
        <x:v>Entre $1,5 M y $3 M</x:v>
      </x:c>
      <x:c r="G269" t="str">
        <x:v>Redes sociales</x:v>
      </x:c>
      <x:c r="H269" t="n">
        <x:v>1676000</x:v>
      </x:c>
      <x:c r="I269" t="str">
        <x:v>Organización inicial</x:v>
      </x:c>
      <x:c r="J269" t="str">
        <x:v>Plus mensual</x:v>
      </x:c>
    </x:row>
    <x:row r="270">
      <x:c r="A270" t="str">
        <x:v>USR-00269</x:v>
      </x:c>
      <x:c r="B270" t="n">
        <x:v>45924</x:v>
      </x:c>
      <x:c r="C270" t="n">
        <x:v>47</x:v>
      </x:c>
      <x:c r="D270" t="str">
        <x:v>Medellín</x:v>
      </x:c>
      <x:c r="E270" t="str">
        <x:v>Antioquia</x:v>
      </x:c>
      <x:c r="F270" t="str">
        <x:v>Entre $1,5 M y $3 M</x:v>
      </x:c>
      <x:c r="G270" t="str">
        <x:v>Alianzas</x:v>
      </x:c>
      <x:c r="H270" t="n">
        <x:v>1884000</x:v>
      </x:c>
      <x:c r="I270" t="str">
        <x:v>Organización inicial</x:v>
      </x:c>
      <x:c r="J270" t="str">
        <x:v>Plus anual</x:v>
      </x:c>
    </x:row>
    <x:row r="271">
      <x:c r="A271" t="str">
        <x:v>USR-00270</x:v>
      </x:c>
      <x:c r="B271" t="n">
        <x:v>45915</x:v>
      </x:c>
      <x:c r="C271" t="n">
        <x:v>58</x:v>
      </x:c>
      <x:c r="D271" t="str">
        <x:v>Cartagena</x:v>
      </x:c>
      <x:c r="E271" t="str">
        <x:v>Bolívar</x:v>
      </x:c>
      <x:c r="F271" t="str">
        <x:v>Entre $1,5 M y $3 M</x:v>
      </x:c>
      <x:c r="G271" t="str">
        <x:v>Redes sociales</x:v>
      </x:c>
      <x:c r="H271" t="n">
        <x:v>2130000</x:v>
      </x:c>
      <x:c r="I271" t="str">
        <x:v>Reducir intereses</x:v>
      </x:c>
      <x:c r="J271" t="str">
        <x:v>Cero</x:v>
      </x:c>
    </x:row>
    <x:row r="272">
      <x:c r="A272" t="str">
        <x:v>USR-00271</x:v>
      </x:c>
      <x:c r="B272" t="n">
        <x:v>45909</x:v>
      </x:c>
      <x:c r="C272" t="n">
        <x:v>35</x:v>
      </x:c>
      <x:c r="D272" t="str">
        <x:v>Cali</x:v>
      </x:c>
      <x:c r="E272" t="str">
        <x:v>Valle del Cauca</x:v>
      </x:c>
      <x:c r="F272" t="str">
        <x:v>Entre $1,5 M y $3 M</x:v>
      </x:c>
      <x:c r="G272" t="str">
        <x:v>Orgánico</x:v>
      </x:c>
      <x:c r="H272" t="n">
        <x:v>1901000</x:v>
      </x:c>
      <x:c r="I272" t="str">
        <x:v>Salir de deudas</x:v>
      </x:c>
      <x:c r="J272" t="str">
        <x:v>Plus anual</x:v>
      </x:c>
    </x:row>
    <x:row r="273">
      <x:c r="A273" t="str">
        <x:v>USR-00272</x:v>
      </x:c>
      <x:c r="B273" t="n">
        <x:v>45919</x:v>
      </x:c>
      <x:c r="C273" t="n">
        <x:v>36</x:v>
      </x:c>
      <x:c r="D273" t="str">
        <x:v>Manizales</x:v>
      </x:c>
      <x:c r="E273" t="str">
        <x:v>Caldas</x:v>
      </x:c>
      <x:c r="F273" t="str">
        <x:v>Menos de $1,5 M</x:v>
      </x:c>
      <x:c r="G273" t="str">
        <x:v>Referidos</x:v>
      </x:c>
      <x:c r="H273" t="n">
        <x:v>960000</x:v>
      </x:c>
      <x:c r="I273" t="str">
        <x:v>Organización inicial</x:v>
      </x:c>
      <x:c r="J273" t="str">
        <x:v>Plus mensual</x:v>
      </x:c>
    </x:row>
    <x:row r="274">
      <x:c r="A274" t="str">
        <x:v>USR-00273</x:v>
      </x:c>
      <x:c r="B274" t="n">
        <x:v>45908</x:v>
      </x:c>
      <x:c r="C274" t="n">
        <x:v>21</x:v>
      </x:c>
      <x:c r="D274" t="str">
        <x:v>Medellín</x:v>
      </x:c>
      <x:c r="E274" t="str">
        <x:v>Antioquia</x:v>
      </x:c>
      <x:c r="F274" t="str">
        <x:v>Más de $5 M</x:v>
      </x:c>
      <x:c r="G274" t="str">
        <x:v>Referidos</x:v>
      </x:c>
      <x:c r="H274" t="n">
        <x:v>8053000</x:v>
      </x:c>
      <x:c r="I274" t="str">
        <x:v>Control de pagos</x:v>
      </x:c>
      <x:c r="J274" t="str">
        <x:v>Plus mensual</x:v>
      </x:c>
    </x:row>
    <x:row r="275">
      <x:c r="A275" t="str">
        <x:v>USR-00274</x:v>
      </x:c>
      <x:c r="B275" t="n">
        <x:v>45902</x:v>
      </x:c>
      <x:c r="C275" t="n">
        <x:v>45</x:v>
      </x:c>
      <x:c r="D275" t="str">
        <x:v>Medellín</x:v>
      </x:c>
      <x:c r="E275" t="str">
        <x:v>Antioquia</x:v>
      </x:c>
      <x:c r="F275" t="str">
        <x:v>Entre $1,5 M y $3 M</x:v>
      </x:c>
      <x:c r="G275" t="str">
        <x:v>Redes sociales</x:v>
      </x:c>
      <x:c r="H275" t="n">
        <x:v>2230000</x:v>
      </x:c>
      <x:c r="I275" t="str">
        <x:v>Organización inicial</x:v>
      </x:c>
      <x:c r="J275" t="str">
        <x:v>Plus anual</x:v>
      </x:c>
    </x:row>
    <x:row r="276">
      <x:c r="A276" t="str">
        <x:v>USR-00275</x:v>
      </x:c>
      <x:c r="B276" t="n">
        <x:v>45926</x:v>
      </x:c>
      <x:c r="C276" t="n">
        <x:v>59</x:v>
      </x:c>
      <x:c r="D276" t="str">
        <x:v>Cartagena</x:v>
      </x:c>
      <x:c r="E276" t="str">
        <x:v>Bolívar</x:v>
      </x:c>
      <x:c r="F276" t="str">
        <x:v>Entre $1,5 M y $3 M</x:v>
      </x:c>
      <x:c r="G276" t="str">
        <x:v>Redes sociales</x:v>
      </x:c>
      <x:c r="H276" t="n">
        <x:v>2850000</x:v>
      </x:c>
      <x:c r="I276" t="str">
        <x:v>Organización inicial</x:v>
      </x:c>
      <x:c r="J276" t="str">
        <x:v>Cero</x:v>
      </x:c>
    </x:row>
    <x:row r="277">
      <x:c r="A277" t="str">
        <x:v>USR-00276</x:v>
      </x:c>
      <x:c r="B277" t="n">
        <x:v>45914</x:v>
      </x:c>
      <x:c r="C277" t="n">
        <x:v>42</x:v>
      </x:c>
      <x:c r="D277" t="str">
        <x:v>Bogotá</x:v>
      </x:c>
      <x:c r="E277" t="str">
        <x:v>Bogotá D.C.</x:v>
      </x:c>
      <x:c r="F277" t="str">
        <x:v>Entre $1,5 M y $3 M</x:v>
      </x:c>
      <x:c r="G277" t="str">
        <x:v>Redes sociales</x:v>
      </x:c>
      <x:c r="H277" t="n">
        <x:v>2756000</x:v>
      </x:c>
      <x:c r="I277" t="str">
        <x:v>Salir de deudas</x:v>
      </x:c>
      <x:c r="J277" t="str">
        <x:v>Cero</x:v>
      </x:c>
    </x:row>
    <x:row r="278">
      <x:c r="A278" t="str">
        <x:v>USR-00277</x:v>
      </x:c>
      <x:c r="B278" t="n">
        <x:v>45927</x:v>
      </x:c>
      <x:c r="C278" t="n">
        <x:v>55</x:v>
      </x:c>
      <x:c r="D278" t="str">
        <x:v>Bucaramanga</x:v>
      </x:c>
      <x:c r="E278" t="str">
        <x:v>Santander</x:v>
      </x:c>
      <x:c r="F278" t="str">
        <x:v>Menos de $1,5 M</x:v>
      </x:c>
      <x:c r="G278" t="str">
        <x:v>Búsqueda paga</x:v>
      </x:c>
      <x:c r="H278" t="n">
        <x:v>981000</x:v>
      </x:c>
      <x:c r="I278" t="str">
        <x:v>Control de pagos</x:v>
      </x:c>
      <x:c r="J278" t="str">
        <x:v>Cero</x:v>
      </x:c>
    </x:row>
    <x:row r="279">
      <x:c r="A279" t="str">
        <x:v>USR-00278</x:v>
      </x:c>
      <x:c r="B279" t="n">
        <x:v>45920</x:v>
      </x:c>
      <x:c r="C279" t="n">
        <x:v>63</x:v>
      </x:c>
      <x:c r="D279" t="str">
        <x:v>Barranquilla</x:v>
      </x:c>
      <x:c r="E279" t="str">
        <x:v>Atlántico</x:v>
      </x:c>
      <x:c r="F279" t="str">
        <x:v>Entre $3 M y $5 M</x:v>
      </x:c>
      <x:c r="G279" t="str">
        <x:v>Orgánico</x:v>
      </x:c>
      <x:c r="H279" t="n">
        <x:v>4044000</x:v>
      </x:c>
      <x:c r="I279" t="str">
        <x:v>Salir de deudas</x:v>
      </x:c>
      <x:c r="J279" t="str">
        <x:v>Cero</x:v>
      </x:c>
    </x:row>
    <x:row r="280">
      <x:c r="A280" t="str">
        <x:v>USR-00279</x:v>
      </x:c>
      <x:c r="B280" t="n">
        <x:v>45927</x:v>
      </x:c>
      <x:c r="C280" t="n">
        <x:v>52</x:v>
      </x:c>
      <x:c r="D280" t="str">
        <x:v>Bogotá</x:v>
      </x:c>
      <x:c r="E280" t="str">
        <x:v>Bogotá D.C.</x:v>
      </x:c>
      <x:c r="F280" t="str">
        <x:v>Entre $1,5 M y $3 M</x:v>
      </x:c>
      <x:c r="G280" t="str">
        <x:v>Orgánico</x:v>
      </x:c>
      <x:c r="H280" t="n">
        <x:v>1859000</x:v>
      </x:c>
      <x:c r="I280" t="str">
        <x:v>Salir de deudas</x:v>
      </x:c>
      <x:c r="J280" t="str">
        <x:v>Plus anual</x:v>
      </x:c>
    </x:row>
    <x:row r="281">
      <x:c r="A281" t="str">
        <x:v>USR-00280</x:v>
      </x:c>
      <x:c r="B281" t="n">
        <x:v>45923</x:v>
      </x:c>
      <x:c r="C281" t="n">
        <x:v>57</x:v>
      </x:c>
      <x:c r="D281" t="str">
        <x:v>Bogotá</x:v>
      </x:c>
      <x:c r="E281" t="str">
        <x:v>Bogotá D.C.</x:v>
      </x:c>
      <x:c r="F281" t="str">
        <x:v>Entre $3 M y $5 M</x:v>
      </x:c>
      <x:c r="G281" t="str">
        <x:v>Referidos</x:v>
      </x:c>
      <x:c r="H281" t="n">
        <x:v>3462000</x:v>
      </x:c>
      <x:c r="I281" t="str">
        <x:v>Organización inicial</x:v>
      </x:c>
      <x:c r="J281" t="str">
        <x:v>Cero</x:v>
      </x:c>
    </x:row>
    <x:row r="282">
      <x:c r="A282" t="str">
        <x:v>USR-00281</x:v>
      </x:c>
      <x:c r="B282" t="n">
        <x:v>45901</x:v>
      </x:c>
      <x:c r="C282" t="n">
        <x:v>56</x:v>
      </x:c>
      <x:c r="D282" t="str">
        <x:v>Bogotá</x:v>
      </x:c>
      <x:c r="E282" t="str">
        <x:v>Bogotá D.C.</x:v>
      </x:c>
      <x:c r="F282" t="str">
        <x:v>Entre $1,5 M y $3 M</x:v>
      </x:c>
      <x:c r="G282" t="str">
        <x:v>Orgánico</x:v>
      </x:c>
      <x:c r="H282" t="n">
        <x:v>1793000</x:v>
      </x:c>
      <x:c r="I282" t="str">
        <x:v>Reducir intereses</x:v>
      </x:c>
      <x:c r="J282" t="str">
        <x:v>Inactivo</x:v>
      </x:c>
    </x:row>
    <x:row r="283">
      <x:c r="A283" t="str">
        <x:v>USR-00282</x:v>
      </x:c>
      <x:c r="B283" t="n">
        <x:v>45902</x:v>
      </x:c>
      <x:c r="C283" t="n">
        <x:v>47</x:v>
      </x:c>
      <x:c r="D283" t="str">
        <x:v>Bucaramanga</x:v>
      </x:c>
      <x:c r="E283" t="str">
        <x:v>Santander</x:v>
      </x:c>
      <x:c r="F283" t="str">
        <x:v>Entre $3 M y $5 M</x:v>
      </x:c>
      <x:c r="G283" t="str">
        <x:v>Redes sociales</x:v>
      </x:c>
      <x:c r="H283" t="n">
        <x:v>3016000</x:v>
      </x:c>
      <x:c r="I283" t="str">
        <x:v>Control de pagos</x:v>
      </x:c>
      <x:c r="J283" t="str">
        <x:v>Plus anual</x:v>
      </x:c>
    </x:row>
    <x:row r="284">
      <x:c r="A284" t="str">
        <x:v>USR-00283</x:v>
      </x:c>
      <x:c r="B284" t="n">
        <x:v>45913</x:v>
      </x:c>
      <x:c r="C284" t="n">
        <x:v>27</x:v>
      </x:c>
      <x:c r="D284" t="str">
        <x:v>Barranquilla</x:v>
      </x:c>
      <x:c r="E284" t="str">
        <x:v>Atlántico</x:v>
      </x:c>
      <x:c r="F284" t="str">
        <x:v>Entre $1,5 M y $3 M</x:v>
      </x:c>
      <x:c r="G284" t="str">
        <x:v>Redes sociales</x:v>
      </x:c>
      <x:c r="H284" t="n">
        <x:v>2412000</x:v>
      </x:c>
      <x:c r="I284" t="str">
        <x:v>Reducir intereses</x:v>
      </x:c>
      <x:c r="J284" t="str">
        <x:v>Cero</x:v>
      </x:c>
    </x:row>
    <x:row r="285">
      <x:c r="A285" t="str">
        <x:v>USR-00284</x:v>
      </x:c>
      <x:c r="B285" t="n">
        <x:v>45912</x:v>
      </x:c>
      <x:c r="C285" t="n">
        <x:v>63</x:v>
      </x:c>
      <x:c r="D285" t="str">
        <x:v>Cali</x:v>
      </x:c>
      <x:c r="E285" t="str">
        <x:v>Valle del Cauca</x:v>
      </x:c>
      <x:c r="F285" t="str">
        <x:v>Entre $1,5 M y $3 M</x:v>
      </x:c>
      <x:c r="G285" t="str">
        <x:v>Búsqueda paga</x:v>
      </x:c>
      <x:c r="H285" t="n">
        <x:v>2413000</x:v>
      </x:c>
      <x:c r="I285" t="str">
        <x:v>Organización inicial</x:v>
      </x:c>
      <x:c r="J285" t="str">
        <x:v>Inactivo</x:v>
      </x:c>
    </x:row>
    <x:row r="286">
      <x:c r="A286" t="str">
        <x:v>USR-00285</x:v>
      </x:c>
      <x:c r="B286" t="n">
        <x:v>45906</x:v>
      </x:c>
      <x:c r="C286" t="n">
        <x:v>21</x:v>
      </x:c>
      <x:c r="D286" t="str">
        <x:v>Bogotá</x:v>
      </x:c>
      <x:c r="E286" t="str">
        <x:v>Bogotá D.C.</x:v>
      </x:c>
      <x:c r="F286" t="str">
        <x:v>Menos de $1,5 M</x:v>
      </x:c>
      <x:c r="G286" t="str">
        <x:v>Referidos</x:v>
      </x:c>
      <x:c r="H286" t="n">
        <x:v>1409000</x:v>
      </x:c>
      <x:c r="I286" t="str">
        <x:v>Salir de deudas</x:v>
      </x:c>
      <x:c r="J286" t="str">
        <x:v>Plus anual</x:v>
      </x:c>
    </x:row>
    <x:row r="287">
      <x:c r="A287" t="str">
        <x:v>USR-00286</x:v>
      </x:c>
      <x:c r="B287" t="n">
        <x:v>45925</x:v>
      </x:c>
      <x:c r="C287" t="n">
        <x:v>43</x:v>
      </x:c>
      <x:c r="D287" t="str">
        <x:v>Bogotá</x:v>
      </x:c>
      <x:c r="E287" t="str">
        <x:v>Bogotá D.C.</x:v>
      </x:c>
      <x:c r="F287" t="str">
        <x:v>Entre $1,5 M y $3 M</x:v>
      </x:c>
      <x:c r="G287" t="str">
        <x:v>Redes sociales</x:v>
      </x:c>
      <x:c r="H287" t="n">
        <x:v>1614000</x:v>
      </x:c>
      <x:c r="I287" t="str">
        <x:v>Control de pagos</x:v>
      </x:c>
      <x:c r="J287" t="str">
        <x:v>Plus anual</x:v>
      </x:c>
    </x:row>
    <x:row r="288">
      <x:c r="A288" t="str">
        <x:v>USR-00287</x:v>
      </x:c>
      <x:c r="B288" t="n">
        <x:v>45918</x:v>
      </x:c>
      <x:c r="C288" t="n">
        <x:v>59</x:v>
      </x:c>
      <x:c r="D288" t="str">
        <x:v>Bogotá</x:v>
      </x:c>
      <x:c r="E288" t="str">
        <x:v>Bogotá D.C.</x:v>
      </x:c>
      <x:c r="F288" t="str">
        <x:v>Entre $1,5 M y $3 M</x:v>
      </x:c>
      <x:c r="G288" t="str">
        <x:v>Orgánico</x:v>
      </x:c>
      <x:c r="H288" t="n">
        <x:v>1983000</x:v>
      </x:c>
      <x:c r="I288" t="str">
        <x:v>Salir de deudas</x:v>
      </x:c>
      <x:c r="J288" t="str">
        <x:v>Cero</x:v>
      </x:c>
    </x:row>
    <x:row r="289">
      <x:c r="A289" t="str">
        <x:v>USR-00288</x:v>
      </x:c>
      <x:c r="B289" t="n">
        <x:v>45904</x:v>
      </x:c>
      <x:c r="C289" t="n">
        <x:v>22</x:v>
      </x:c>
      <x:c r="D289" t="str">
        <x:v>Manizales</x:v>
      </x:c>
      <x:c r="E289" t="str">
        <x:v>Caldas</x:v>
      </x:c>
      <x:c r="F289" t="str">
        <x:v>Entre $1,5 M y $3 M</x:v>
      </x:c>
      <x:c r="G289" t="str">
        <x:v>Alianzas</x:v>
      </x:c>
      <x:c r="H289" t="n">
        <x:v>2888000</x:v>
      </x:c>
      <x:c r="I289" t="str">
        <x:v>Organización inicial</x:v>
      </x:c>
      <x:c r="J289" t="str">
        <x:v>Cero</x:v>
      </x:c>
    </x:row>
    <x:row r="290">
      <x:c r="A290" t="str">
        <x:v>USR-00289</x:v>
      </x:c>
      <x:c r="B290" t="n">
        <x:v>45910</x:v>
      </x:c>
      <x:c r="C290" t="n">
        <x:v>59</x:v>
      </x:c>
      <x:c r="D290" t="str">
        <x:v>Bogotá</x:v>
      </x:c>
      <x:c r="E290" t="str">
        <x:v>Bogotá D.C.</x:v>
      </x:c>
      <x:c r="F290" t="str">
        <x:v>Entre $3 M y $5 M</x:v>
      </x:c>
      <x:c r="G290" t="str">
        <x:v>Referidos</x:v>
      </x:c>
      <x:c r="H290" t="n">
        <x:v>3781000</x:v>
      </x:c>
      <x:c r="I290" t="str">
        <x:v>Reducir intereses</x:v>
      </x:c>
      <x:c r="J290" t="str">
        <x:v>Cero</x:v>
      </x:c>
    </x:row>
    <x:row r="291">
      <x:c r="A291" t="str">
        <x:v>USR-00290</x:v>
      </x:c>
      <x:c r="B291" t="n">
        <x:v>45903</x:v>
      </x:c>
      <x:c r="C291" t="n">
        <x:v>30</x:v>
      </x:c>
      <x:c r="D291" t="str">
        <x:v>Bogotá</x:v>
      </x:c>
      <x:c r="E291" t="str">
        <x:v>Bogotá D.C.</x:v>
      </x:c>
      <x:c r="F291" t="str">
        <x:v>Menos de $1,5 M</x:v>
      </x:c>
      <x:c r="G291" t="str">
        <x:v>Alianzas</x:v>
      </x:c>
      <x:c r="H291" t="n">
        <x:v>1179000</x:v>
      </x:c>
      <x:c r="I291" t="str">
        <x:v>Control de pagos</x:v>
      </x:c>
      <x:c r="J291" t="str">
        <x:v>Plus mensual</x:v>
      </x:c>
    </x:row>
    <x:row r="292">
      <x:c r="A292" t="str">
        <x:v>USR-00291</x:v>
      </x:c>
      <x:c r="B292" t="n">
        <x:v>45910</x:v>
      </x:c>
      <x:c r="C292" t="n">
        <x:v>44</x:v>
      </x:c>
      <x:c r="D292" t="str">
        <x:v>Barranquilla</x:v>
      </x:c>
      <x:c r="E292" t="str">
        <x:v>Atlántico</x:v>
      </x:c>
      <x:c r="F292" t="str">
        <x:v>Entre $1,5 M y $3 M</x:v>
      </x:c>
      <x:c r="G292" t="str">
        <x:v>Contenido educativo</x:v>
      </x:c>
      <x:c r="H292" t="n">
        <x:v>1730000</x:v>
      </x:c>
      <x:c r="I292" t="str">
        <x:v>Organización inicial</x:v>
      </x:c>
      <x:c r="J292" t="str">
        <x:v>Cero</x:v>
      </x:c>
    </x:row>
    <x:row r="293">
      <x:c r="A293" t="str">
        <x:v>USR-00292</x:v>
      </x:c>
      <x:c r="B293" t="n">
        <x:v>45910</x:v>
      </x:c>
      <x:c r="C293" t="n">
        <x:v>21</x:v>
      </x:c>
      <x:c r="D293" t="str">
        <x:v>Bogotá</x:v>
      </x:c>
      <x:c r="E293" t="str">
        <x:v>Bogotá D.C.</x:v>
      </x:c>
      <x:c r="F293" t="str">
        <x:v>Entre $3 M y $5 M</x:v>
      </x:c>
      <x:c r="G293" t="str">
        <x:v>Redes sociales</x:v>
      </x:c>
      <x:c r="H293" t="n">
        <x:v>4094000</x:v>
      </x:c>
      <x:c r="I293" t="str">
        <x:v>Salir de deudas</x:v>
      </x:c>
      <x:c r="J293" t="str">
        <x:v>Cero</x:v>
      </x:c>
    </x:row>
    <x:row r="294">
      <x:c r="A294" t="str">
        <x:v>USR-00293</x:v>
      </x:c>
      <x:c r="B294" t="n">
        <x:v>45914</x:v>
      </x:c>
      <x:c r="C294" t="n">
        <x:v>30</x:v>
      </x:c>
      <x:c r="D294" t="str">
        <x:v>Bogotá</x:v>
      </x:c>
      <x:c r="E294" t="str">
        <x:v>Bogotá D.C.</x:v>
      </x:c>
      <x:c r="F294" t="str">
        <x:v>Entre $1,5 M y $3 M</x:v>
      </x:c>
      <x:c r="G294" t="str">
        <x:v>Redes sociales</x:v>
      </x:c>
      <x:c r="H294" t="n">
        <x:v>2973000</x:v>
      </x:c>
      <x:c r="I294" t="str">
        <x:v>Salir de deudas</x:v>
      </x:c>
      <x:c r="J294" t="str">
        <x:v>Plus anual</x:v>
      </x:c>
    </x:row>
    <x:row r="295">
      <x:c r="A295" t="str">
        <x:v>USR-00294</x:v>
      </x:c>
      <x:c r="B295" t="n">
        <x:v>45920</x:v>
      </x:c>
      <x:c r="C295" t="n">
        <x:v>31</x:v>
      </x:c>
      <x:c r="D295" t="str">
        <x:v>Bogotá</x:v>
      </x:c>
      <x:c r="E295" t="str">
        <x:v>Bogotá D.C.</x:v>
      </x:c>
      <x:c r="F295" t="str">
        <x:v>Entre $1,5 M y $3 M</x:v>
      </x:c>
      <x:c r="G295" t="str">
        <x:v>Alianzas</x:v>
      </x:c>
      <x:c r="H295" t="n">
        <x:v>2525000</x:v>
      </x:c>
      <x:c r="I295" t="str">
        <x:v>Control de pagos</x:v>
      </x:c>
      <x:c r="J295" t="str">
        <x:v>Plus anual</x:v>
      </x:c>
    </x:row>
    <x:row r="296">
      <x:c r="A296" t="str">
        <x:v>USR-00295</x:v>
      </x:c>
      <x:c r="B296" t="n">
        <x:v>45906</x:v>
      </x:c>
      <x:c r="C296" t="n">
        <x:v>22</x:v>
      </x:c>
      <x:c r="D296" t="str">
        <x:v>Bogotá</x:v>
      </x:c>
      <x:c r="E296" t="str">
        <x:v>Bogotá D.C.</x:v>
      </x:c>
      <x:c r="F296" t="str">
        <x:v>Entre $1,5 M y $3 M</x:v>
      </x:c>
      <x:c r="G296" t="str">
        <x:v>Contenido educativo</x:v>
      </x:c>
      <x:c r="H296" t="n">
        <x:v>2268000</x:v>
      </x:c>
      <x:c r="I296" t="str">
        <x:v>Reducir intereses</x:v>
      </x:c>
      <x:c r="J296" t="str">
        <x:v>Plus mensual</x:v>
      </x:c>
    </x:row>
    <x:row r="297">
      <x:c r="A297" t="str">
        <x:v>USR-00296</x:v>
      </x:c>
      <x:c r="B297" t="n">
        <x:v>45906</x:v>
      </x:c>
      <x:c r="C297" t="n">
        <x:v>48</x:v>
      </x:c>
      <x:c r="D297" t="str">
        <x:v>Bucaramanga</x:v>
      </x:c>
      <x:c r="E297" t="str">
        <x:v>Santander</x:v>
      </x:c>
      <x:c r="F297" t="str">
        <x:v>Entre $3 M y $5 M</x:v>
      </x:c>
      <x:c r="G297" t="str">
        <x:v>Redes sociales</x:v>
      </x:c>
      <x:c r="H297" t="n">
        <x:v>3604000</x:v>
      </x:c>
      <x:c r="I297" t="str">
        <x:v>Salir de deudas</x:v>
      </x:c>
      <x:c r="J297" t="str">
        <x:v>Plus anual</x:v>
      </x:c>
    </x:row>
    <x:row r="298">
      <x:c r="A298" t="str">
        <x:v>USR-00297</x:v>
      </x:c>
      <x:c r="B298" t="n">
        <x:v>45903</x:v>
      </x:c>
      <x:c r="C298" t="n">
        <x:v>48</x:v>
      </x:c>
      <x:c r="D298" t="str">
        <x:v>Medellín</x:v>
      </x:c>
      <x:c r="E298" t="str">
        <x:v>Antioquia</x:v>
      </x:c>
      <x:c r="F298" t="str">
        <x:v>Entre $1,5 M y $3 M</x:v>
      </x:c>
      <x:c r="G298" t="str">
        <x:v>Redes sociales</x:v>
      </x:c>
      <x:c r="H298" t="n">
        <x:v>1787000</x:v>
      </x:c>
      <x:c r="I298" t="str">
        <x:v>Salir de deudas</x:v>
      </x:c>
      <x:c r="J298" t="str">
        <x:v>Plus anual</x:v>
      </x:c>
    </x:row>
    <x:row r="299">
      <x:c r="A299" t="str">
        <x:v>USR-00298</x:v>
      </x:c>
      <x:c r="B299" t="n">
        <x:v>45902</x:v>
      </x:c>
      <x:c r="C299" t="n">
        <x:v>33</x:v>
      </x:c>
      <x:c r="D299" t="str">
        <x:v>Villavicencio</x:v>
      </x:c>
      <x:c r="E299" t="str">
        <x:v>Meta</x:v>
      </x:c>
      <x:c r="F299" t="str">
        <x:v>Entre $1,5 M y $3 M</x:v>
      </x:c>
      <x:c r="G299" t="str">
        <x:v>Redes sociales</x:v>
      </x:c>
      <x:c r="H299" t="n">
        <x:v>2831000</x:v>
      </x:c>
      <x:c r="I299" t="str">
        <x:v>Control de pagos</x:v>
      </x:c>
      <x:c r="J299" t="str">
        <x:v>Cero</x:v>
      </x:c>
    </x:row>
    <x:row r="300">
      <x:c r="A300" t="str">
        <x:v>USR-00299</x:v>
      </x:c>
      <x:c r="B300" t="n">
        <x:v>45923</x:v>
      </x:c>
      <x:c r="C300" t="n">
        <x:v>42</x:v>
      </x:c>
      <x:c r="D300" t="str">
        <x:v>Cartagena</x:v>
      </x:c>
      <x:c r="E300" t="str">
        <x:v>Bolívar</x:v>
      </x:c>
      <x:c r="F300" t="str">
        <x:v>Entre $1,5 M y $3 M</x:v>
      </x:c>
      <x:c r="G300" t="str">
        <x:v>Alianzas</x:v>
      </x:c>
      <x:c r="H300" t="n">
        <x:v>1940000</x:v>
      </x:c>
      <x:c r="I300" t="str">
        <x:v>Reducir intereses</x:v>
      </x:c>
      <x:c r="J300" t="str">
        <x:v>Cero</x:v>
      </x:c>
    </x:row>
    <x:row r="301">
      <x:c r="A301" t="str">
        <x:v>USR-00300</x:v>
      </x:c>
      <x:c r="B301" t="n">
        <x:v>45927</x:v>
      </x:c>
      <x:c r="C301" t="n">
        <x:v>41</x:v>
      </x:c>
      <x:c r="D301" t="str">
        <x:v>Pereira</x:v>
      </x:c>
      <x:c r="E301" t="str">
        <x:v>Risaralda</x:v>
      </x:c>
      <x:c r="F301" t="str">
        <x:v>Entre $1,5 M y $3 M</x:v>
      </x:c>
      <x:c r="G301" t="str">
        <x:v>Redes sociales</x:v>
      </x:c>
      <x:c r="H301" t="n">
        <x:v>2248000</x:v>
      </x:c>
      <x:c r="I301" t="str">
        <x:v>Salir de deudas</x:v>
      </x:c>
      <x:c r="J301" t="str">
        <x:v>Plus anual</x:v>
      </x:c>
    </x:row>
    <x:row r="302">
      <x:c r="A302" t="str">
        <x:v>USR-00301</x:v>
      </x:c>
      <x:c r="B302" t="n">
        <x:v>45913</x:v>
      </x:c>
      <x:c r="C302" t="n">
        <x:v>57</x:v>
      </x:c>
      <x:c r="D302" t="str">
        <x:v>Barranquilla</x:v>
      </x:c>
      <x:c r="E302" t="str">
        <x:v>Atlántico</x:v>
      </x:c>
      <x:c r="F302" t="str">
        <x:v>Menos de $1,5 M</x:v>
      </x:c>
      <x:c r="G302" t="str">
        <x:v>Contenido educativo</x:v>
      </x:c>
      <x:c r="H302" t="n">
        <x:v>1168000</x:v>
      </x:c>
      <x:c r="I302" t="str">
        <x:v>Salir de deudas</x:v>
      </x:c>
      <x:c r="J302" t="str">
        <x:v>Plus mensual</x:v>
      </x:c>
    </x:row>
    <x:row r="303">
      <x:c r="A303" t="str">
        <x:v>USR-00302</x:v>
      </x:c>
      <x:c r="B303" t="n">
        <x:v>45935</x:v>
      </x:c>
      <x:c r="C303" t="n">
        <x:v>36</x:v>
      </x:c>
      <x:c r="D303" t="str">
        <x:v>Bogotá</x:v>
      </x:c>
      <x:c r="E303" t="str">
        <x:v>Bogotá D.C.</x:v>
      </x:c>
      <x:c r="F303" t="str">
        <x:v>Entre $3 M y $5 M</x:v>
      </x:c>
      <x:c r="G303" t="str">
        <x:v>Contenido educativo</x:v>
      </x:c>
      <x:c r="H303" t="n">
        <x:v>4732000</x:v>
      </x:c>
      <x:c r="I303" t="str">
        <x:v>Organización inicial</x:v>
      </x:c>
      <x:c r="J303" t="str">
        <x:v>Inactivo</x:v>
      </x:c>
    </x:row>
    <x:row r="304">
      <x:c r="A304" t="str">
        <x:v>USR-00303</x:v>
      </x:c>
      <x:c r="B304" t="n">
        <x:v>45941</x:v>
      </x:c>
      <x:c r="C304" t="n">
        <x:v>26</x:v>
      </x:c>
      <x:c r="D304" t="str">
        <x:v>Pereira</x:v>
      </x:c>
      <x:c r="E304" t="str">
        <x:v>Risaralda</x:v>
      </x:c>
      <x:c r="F304" t="str">
        <x:v>Entre $1,5 M y $3 M</x:v>
      </x:c>
      <x:c r="G304" t="str">
        <x:v>Orgánico</x:v>
      </x:c>
      <x:c r="H304" t="n">
        <x:v>2742000</x:v>
      </x:c>
      <x:c r="I304" t="str">
        <x:v>Control de pagos</x:v>
      </x:c>
      <x:c r="J304" t="str">
        <x:v>Cero</x:v>
      </x:c>
    </x:row>
    <x:row r="305">
      <x:c r="A305" t="str">
        <x:v>USR-00304</x:v>
      </x:c>
      <x:c r="B305" t="n">
        <x:v>45954</x:v>
      </x:c>
      <x:c r="C305" t="n">
        <x:v>29</x:v>
      </x:c>
      <x:c r="D305" t="str">
        <x:v>Bucaramanga</x:v>
      </x:c>
      <x:c r="E305" t="str">
        <x:v>Santander</x:v>
      </x:c>
      <x:c r="F305" t="str">
        <x:v>Menos de $1,5 M</x:v>
      </x:c>
      <x:c r="G305" t="str">
        <x:v>Redes sociales</x:v>
      </x:c>
      <x:c r="H305" t="n">
        <x:v>1351000</x:v>
      </x:c>
      <x:c r="I305" t="str">
        <x:v>Reducir intereses</x:v>
      </x:c>
      <x:c r="J305" t="str">
        <x:v>Plus anual</x:v>
      </x:c>
    </x:row>
    <x:row r="306">
      <x:c r="A306" t="str">
        <x:v>USR-00305</x:v>
      </x:c>
      <x:c r="B306" t="n">
        <x:v>45946</x:v>
      </x:c>
      <x:c r="C306" t="n">
        <x:v>55</x:v>
      </x:c>
      <x:c r="D306" t="str">
        <x:v>Medellín</x:v>
      </x:c>
      <x:c r="E306" t="str">
        <x:v>Antioquia</x:v>
      </x:c>
      <x:c r="F306" t="str">
        <x:v>Entre $1,5 M y $3 M</x:v>
      </x:c>
      <x:c r="G306" t="str">
        <x:v>Referidos</x:v>
      </x:c>
      <x:c r="H306" t="n">
        <x:v>1872000</x:v>
      </x:c>
      <x:c r="I306" t="str">
        <x:v>Control de pagos</x:v>
      </x:c>
      <x:c r="J306" t="str">
        <x:v>Plus mensual</x:v>
      </x:c>
    </x:row>
    <x:row r="307">
      <x:c r="A307" t="str">
        <x:v>USR-00306</x:v>
      </x:c>
      <x:c r="B307" t="n">
        <x:v>45954</x:v>
      </x:c>
      <x:c r="C307" t="n">
        <x:v>26</x:v>
      </x:c>
      <x:c r="D307" t="str">
        <x:v>Villavicencio</x:v>
      </x:c>
      <x:c r="E307" t="str">
        <x:v>Meta</x:v>
      </x:c>
      <x:c r="F307" t="str">
        <x:v>Entre $3 M y $5 M</x:v>
      </x:c>
      <x:c r="G307" t="str">
        <x:v>Orgánico</x:v>
      </x:c>
      <x:c r="H307" t="n">
        <x:v>4139000</x:v>
      </x:c>
      <x:c r="I307" t="str">
        <x:v>Control de pagos</x:v>
      </x:c>
      <x:c r="J307" t="str">
        <x:v>Plus mensual</x:v>
      </x:c>
    </x:row>
    <x:row r="308">
      <x:c r="A308" t="str">
        <x:v>USR-00307</x:v>
      </x:c>
      <x:c r="B308" t="n">
        <x:v>45947</x:v>
      </x:c>
      <x:c r="C308" t="n">
        <x:v>59</x:v>
      </x:c>
      <x:c r="D308" t="str">
        <x:v>Bogotá</x:v>
      </x:c>
      <x:c r="E308" t="str">
        <x:v>Bogotá D.C.</x:v>
      </x:c>
      <x:c r="F308" t="str">
        <x:v>Entre $3 M y $5 M</x:v>
      </x:c>
      <x:c r="G308" t="str">
        <x:v>Redes sociales</x:v>
      </x:c>
      <x:c r="H308" t="n">
        <x:v>3398000</x:v>
      </x:c>
      <x:c r="I308" t="str">
        <x:v>Organización inicial</x:v>
      </x:c>
      <x:c r="J308" t="str">
        <x:v>Cero</x:v>
      </x:c>
    </x:row>
    <x:row r="309">
      <x:c r="A309" t="str">
        <x:v>USR-00308</x:v>
      </x:c>
      <x:c r="B309" t="n">
        <x:v>45953</x:v>
      </x:c>
      <x:c r="C309" t="n">
        <x:v>33</x:v>
      </x:c>
      <x:c r="D309" t="str">
        <x:v>Cali</x:v>
      </x:c>
      <x:c r="E309" t="str">
        <x:v>Valle del Cauca</x:v>
      </x:c>
      <x:c r="F309" t="str">
        <x:v>Entre $3 M y $5 M</x:v>
      </x:c>
      <x:c r="G309" t="str">
        <x:v>Contenido educativo</x:v>
      </x:c>
      <x:c r="H309" t="n">
        <x:v>3541000</x:v>
      </x:c>
      <x:c r="I309" t="str">
        <x:v>Reducir intereses</x:v>
      </x:c>
      <x:c r="J309" t="str">
        <x:v>Cero</x:v>
      </x:c>
    </x:row>
    <x:row r="310">
      <x:c r="A310" t="str">
        <x:v>USR-00309</x:v>
      </x:c>
      <x:c r="B310" t="n">
        <x:v>45951</x:v>
      </x:c>
      <x:c r="C310" t="n">
        <x:v>48</x:v>
      </x:c>
      <x:c r="D310" t="str">
        <x:v>Bogotá</x:v>
      </x:c>
      <x:c r="E310" t="str">
        <x:v>Bogotá D.C.</x:v>
      </x:c>
      <x:c r="F310" t="str">
        <x:v>Entre $1,5 M y $3 M</x:v>
      </x:c>
      <x:c r="G310" t="str">
        <x:v>Redes sociales</x:v>
      </x:c>
      <x:c r="H310" t="n">
        <x:v>1744000</x:v>
      </x:c>
      <x:c r="I310" t="str">
        <x:v>Salir de deudas</x:v>
      </x:c>
      <x:c r="J310" t="str">
        <x:v>Cero</x:v>
      </x:c>
    </x:row>
    <x:row r="311">
      <x:c r="A311" t="str">
        <x:v>USR-00310</x:v>
      </x:c>
      <x:c r="B311" t="n">
        <x:v>45954</x:v>
      </x:c>
      <x:c r="C311" t="n">
        <x:v>60</x:v>
      </x:c>
      <x:c r="D311" t="str">
        <x:v>Barranquilla</x:v>
      </x:c>
      <x:c r="E311" t="str">
        <x:v>Atlántico</x:v>
      </x:c>
      <x:c r="F311" t="str">
        <x:v>Más de $5 M</x:v>
      </x:c>
      <x:c r="G311" t="str">
        <x:v>Redes sociales</x:v>
      </x:c>
      <x:c r="H311" t="n">
        <x:v>7298000</x:v>
      </x:c>
      <x:c r="I311" t="str">
        <x:v>Reducir intereses</x:v>
      </x:c>
      <x:c r="J311" t="str">
        <x:v>Inactivo</x:v>
      </x:c>
    </x:row>
    <x:row r="312">
      <x:c r="A312" t="str">
        <x:v>USR-00311</x:v>
      </x:c>
      <x:c r="B312" t="n">
        <x:v>45953</x:v>
      </x:c>
      <x:c r="C312" t="n">
        <x:v>34</x:v>
      </x:c>
      <x:c r="D312" t="str">
        <x:v>Pereira</x:v>
      </x:c>
      <x:c r="E312" t="str">
        <x:v>Risaralda</x:v>
      </x:c>
      <x:c r="F312" t="str">
        <x:v>Entre $3 M y $5 M</x:v>
      </x:c>
      <x:c r="G312" t="str">
        <x:v>Redes sociales</x:v>
      </x:c>
      <x:c r="H312" t="n">
        <x:v>4671000</x:v>
      </x:c>
      <x:c r="I312" t="str">
        <x:v>Reducir intereses</x:v>
      </x:c>
      <x:c r="J312" t="str">
        <x:v>Plus mensual</x:v>
      </x:c>
    </x:row>
    <x:row r="313">
      <x:c r="A313" t="str">
        <x:v>USR-00312</x:v>
      </x:c>
      <x:c r="B313" t="n">
        <x:v>45955</x:v>
      </x:c>
      <x:c r="C313" t="n">
        <x:v>50</x:v>
      </x:c>
      <x:c r="D313" t="str">
        <x:v>Bucaramanga</x:v>
      </x:c>
      <x:c r="E313" t="str">
        <x:v>Santander</x:v>
      </x:c>
      <x:c r="F313" t="str">
        <x:v>Entre $3 M y $5 M</x:v>
      </x:c>
      <x:c r="G313" t="str">
        <x:v>Referidos</x:v>
      </x:c>
      <x:c r="H313" t="n">
        <x:v>3729000</x:v>
      </x:c>
      <x:c r="I313" t="str">
        <x:v>Salir de deudas</x:v>
      </x:c>
      <x:c r="J313" t="str">
        <x:v>Plus mensual</x:v>
      </x:c>
    </x:row>
    <x:row r="314">
      <x:c r="A314" t="str">
        <x:v>USR-00313</x:v>
      </x:c>
      <x:c r="B314" t="n">
        <x:v>45949</x:v>
      </x:c>
      <x:c r="C314" t="n">
        <x:v>35</x:v>
      </x:c>
      <x:c r="D314" t="str">
        <x:v>Manizales</x:v>
      </x:c>
      <x:c r="E314" t="str">
        <x:v>Caldas</x:v>
      </x:c>
      <x:c r="F314" t="str">
        <x:v>Entre $1,5 M y $3 M</x:v>
      </x:c>
      <x:c r="G314" t="str">
        <x:v>Búsqueda paga</x:v>
      </x:c>
      <x:c r="H314" t="n">
        <x:v>2628000</x:v>
      </x:c>
      <x:c r="I314" t="str">
        <x:v>Organización inicial</x:v>
      </x:c>
      <x:c r="J314" t="str">
        <x:v>Plus mensual</x:v>
      </x:c>
    </x:row>
    <x:row r="315">
      <x:c r="A315" t="str">
        <x:v>USR-00314</x:v>
      </x:c>
      <x:c r="B315" t="n">
        <x:v>45940</x:v>
      </x:c>
      <x:c r="C315" t="n">
        <x:v>44</x:v>
      </x:c>
      <x:c r="D315" t="str">
        <x:v>Bucaramanga</x:v>
      </x:c>
      <x:c r="E315" t="str">
        <x:v>Santander</x:v>
      </x:c>
      <x:c r="F315" t="str">
        <x:v>Entre $1,5 M y $3 M</x:v>
      </x:c>
      <x:c r="G315" t="str">
        <x:v>Contenido educativo</x:v>
      </x:c>
      <x:c r="H315" t="n">
        <x:v>2712000</x:v>
      </x:c>
      <x:c r="I315" t="str">
        <x:v>Organización inicial</x:v>
      </x:c>
      <x:c r="J315" t="str">
        <x:v>Cero</x:v>
      </x:c>
    </x:row>
    <x:row r="316">
      <x:c r="A316" t="str">
        <x:v>USR-00315</x:v>
      </x:c>
      <x:c r="B316" t="n">
        <x:v>45934</x:v>
      </x:c>
      <x:c r="C316" t="n">
        <x:v>64</x:v>
      </x:c>
      <x:c r="D316" t="str">
        <x:v>Medellín</x:v>
      </x:c>
      <x:c r="E316" t="str">
        <x:v>Antioquia</x:v>
      </x:c>
      <x:c r="F316" t="str">
        <x:v>Entre $3 M y $5 M</x:v>
      </x:c>
      <x:c r="G316" t="str">
        <x:v>Orgánico</x:v>
      </x:c>
      <x:c r="H316" t="n">
        <x:v>4697000</x:v>
      </x:c>
      <x:c r="I316" t="str">
        <x:v>Reducir intereses</x:v>
      </x:c>
      <x:c r="J316" t="str">
        <x:v>Cero</x:v>
      </x:c>
    </x:row>
    <x:row r="317">
      <x:c r="A317" t="str">
        <x:v>USR-00316</x:v>
      </x:c>
      <x:c r="B317" t="n">
        <x:v>45952</x:v>
      </x:c>
      <x:c r="C317" t="n">
        <x:v>56</x:v>
      </x:c>
      <x:c r="D317" t="str">
        <x:v>Barranquilla</x:v>
      </x:c>
      <x:c r="E317" t="str">
        <x:v>Atlántico</x:v>
      </x:c>
      <x:c r="F317" t="str">
        <x:v>Menos de $1,5 M</x:v>
      </x:c>
      <x:c r="G317" t="str">
        <x:v>Referidos</x:v>
      </x:c>
      <x:c r="H317" t="n">
        <x:v>955000</x:v>
      </x:c>
      <x:c r="I317" t="str">
        <x:v>Salir de deudas</x:v>
      </x:c>
      <x:c r="J317" t="str">
        <x:v>Cero</x:v>
      </x:c>
    </x:row>
    <x:row r="318">
      <x:c r="A318" t="str">
        <x:v>USR-00317</x:v>
      </x:c>
      <x:c r="B318" t="n">
        <x:v>45945</x:v>
      </x:c>
      <x:c r="C318" t="n">
        <x:v>56</x:v>
      </x:c>
      <x:c r="D318" t="str">
        <x:v>Bogotá</x:v>
      </x:c>
      <x:c r="E318" t="str">
        <x:v>Bogotá D.C.</x:v>
      </x:c>
      <x:c r="F318" t="str">
        <x:v>Entre $1,5 M y $3 M</x:v>
      </x:c>
      <x:c r="G318" t="str">
        <x:v>Redes sociales</x:v>
      </x:c>
      <x:c r="H318" t="n">
        <x:v>2152000</x:v>
      </x:c>
      <x:c r="I318" t="str">
        <x:v>Control de pagos</x:v>
      </x:c>
      <x:c r="J318" t="str">
        <x:v>Plus mensual</x:v>
      </x:c>
    </x:row>
    <x:row r="319">
      <x:c r="A319" t="str">
        <x:v>USR-00318</x:v>
      </x:c>
      <x:c r="B319" t="n">
        <x:v>45944</x:v>
      </x:c>
      <x:c r="C319" t="n">
        <x:v>58</x:v>
      </x:c>
      <x:c r="D319" t="str">
        <x:v>Medellín</x:v>
      </x:c>
      <x:c r="E319" t="str">
        <x:v>Antioquia</x:v>
      </x:c>
      <x:c r="F319" t="str">
        <x:v>Entre $1,5 M y $3 M</x:v>
      </x:c>
      <x:c r="G319" t="str">
        <x:v>Búsqueda paga</x:v>
      </x:c>
      <x:c r="H319" t="n">
        <x:v>1523000</x:v>
      </x:c>
      <x:c r="I319" t="str">
        <x:v>Organización inicial</x:v>
      </x:c>
      <x:c r="J319" t="str">
        <x:v>Cero</x:v>
      </x:c>
    </x:row>
    <x:row r="320">
      <x:c r="A320" t="str">
        <x:v>USR-00319</x:v>
      </x:c>
      <x:c r="B320" t="n">
        <x:v>45946</x:v>
      </x:c>
      <x:c r="C320" t="n">
        <x:v>39</x:v>
      </x:c>
      <x:c r="D320" t="str">
        <x:v>Bucaramanga</x:v>
      </x:c>
      <x:c r="E320" t="str">
        <x:v>Santander</x:v>
      </x:c>
      <x:c r="F320" t="str">
        <x:v>Menos de $1,5 M</x:v>
      </x:c>
      <x:c r="G320" t="str">
        <x:v>Redes sociales</x:v>
      </x:c>
      <x:c r="H320" t="n">
        <x:v>1337000</x:v>
      </x:c>
      <x:c r="I320" t="str">
        <x:v>Organización inicial</x:v>
      </x:c>
      <x:c r="J320" t="str">
        <x:v>Cero</x:v>
      </x:c>
    </x:row>
    <x:row r="321">
      <x:c r="A321" t="str">
        <x:v>USR-00320</x:v>
      </x:c>
      <x:c r="B321" t="n">
        <x:v>45953</x:v>
      </x:c>
      <x:c r="C321" t="n">
        <x:v>50</x:v>
      </x:c>
      <x:c r="D321" t="str">
        <x:v>Cali</x:v>
      </x:c>
      <x:c r="E321" t="str">
        <x:v>Valle del Cauca</x:v>
      </x:c>
      <x:c r="F321" t="str">
        <x:v>Entre $3 M y $5 M</x:v>
      </x:c>
      <x:c r="G321" t="str">
        <x:v>Búsqueda paga</x:v>
      </x:c>
      <x:c r="H321" t="n">
        <x:v>4011000</x:v>
      </x:c>
      <x:c r="I321" t="str">
        <x:v>Organización inicial</x:v>
      </x:c>
      <x:c r="J321" t="str">
        <x:v>Plus mensual</x:v>
      </x:c>
    </x:row>
    <x:row r="322">
      <x:c r="A322" t="str">
        <x:v>USR-00321</x:v>
      </x:c>
      <x:c r="B322" t="n">
        <x:v>45938</x:v>
      </x:c>
      <x:c r="C322" t="n">
        <x:v>23</x:v>
      </x:c>
      <x:c r="D322" t="str">
        <x:v>Cali</x:v>
      </x:c>
      <x:c r="E322" t="str">
        <x:v>Valle del Cauca</x:v>
      </x:c>
      <x:c r="F322" t="str">
        <x:v>Más de $5 M</x:v>
      </x:c>
      <x:c r="G322" t="str">
        <x:v>Redes sociales</x:v>
      </x:c>
      <x:c r="H322" t="n">
        <x:v>5826000</x:v>
      </x:c>
      <x:c r="I322" t="str">
        <x:v>Reducir intereses</x:v>
      </x:c>
      <x:c r="J322" t="str">
        <x:v>Plus anual</x:v>
      </x:c>
    </x:row>
    <x:row r="323">
      <x:c r="A323" t="str">
        <x:v>USR-00322</x:v>
      </x:c>
      <x:c r="B323" t="n">
        <x:v>45945</x:v>
      </x:c>
      <x:c r="C323" t="n">
        <x:v>32</x:v>
      </x:c>
      <x:c r="D323" t="str">
        <x:v>Barranquilla</x:v>
      </x:c>
      <x:c r="E323" t="str">
        <x:v>Atlántico</x:v>
      </x:c>
      <x:c r="F323" t="str">
        <x:v>Entre $1,5 M y $3 M</x:v>
      </x:c>
      <x:c r="G323" t="str">
        <x:v>Referidos</x:v>
      </x:c>
      <x:c r="H323" t="n">
        <x:v>2464000</x:v>
      </x:c>
      <x:c r="I323" t="str">
        <x:v>Organización inicial</x:v>
      </x:c>
      <x:c r="J323" t="str">
        <x:v>Plus anual</x:v>
      </x:c>
    </x:row>
    <x:row r="324">
      <x:c r="A324" t="str">
        <x:v>USR-00323</x:v>
      </x:c>
      <x:c r="B324" t="n">
        <x:v>45935</x:v>
      </x:c>
      <x:c r="C324" t="n">
        <x:v>44</x:v>
      </x:c>
      <x:c r="D324" t="str">
        <x:v>Barranquilla</x:v>
      </x:c>
      <x:c r="E324" t="str">
        <x:v>Atlántico</x:v>
      </x:c>
      <x:c r="F324" t="str">
        <x:v>Entre $1,5 M y $3 M</x:v>
      </x:c>
      <x:c r="G324" t="str">
        <x:v>Contenido educativo</x:v>
      </x:c>
      <x:c r="H324" t="n">
        <x:v>2021000</x:v>
      </x:c>
      <x:c r="I324" t="str">
        <x:v>Control de pagos</x:v>
      </x:c>
      <x:c r="J324" t="str">
        <x:v>Plus anual</x:v>
      </x:c>
    </x:row>
    <x:row r="325">
      <x:c r="A325" t="str">
        <x:v>USR-00324</x:v>
      </x:c>
      <x:c r="B325" t="n">
        <x:v>45942</x:v>
      </x:c>
      <x:c r="C325" t="n">
        <x:v>39</x:v>
      </x:c>
      <x:c r="D325" t="str">
        <x:v>Barranquilla</x:v>
      </x:c>
      <x:c r="E325" t="str">
        <x:v>Atlántico</x:v>
      </x:c>
      <x:c r="F325" t="str">
        <x:v>Entre $3 M y $5 M</x:v>
      </x:c>
      <x:c r="G325" t="str">
        <x:v>Contenido educativo</x:v>
      </x:c>
      <x:c r="H325" t="n">
        <x:v>3440000</x:v>
      </x:c>
      <x:c r="I325" t="str">
        <x:v>Salir de deudas</x:v>
      </x:c>
      <x:c r="J325" t="str">
        <x:v>Cero</x:v>
      </x:c>
    </x:row>
    <x:row r="326">
      <x:c r="A326" t="str">
        <x:v>USR-00325</x:v>
      </x:c>
      <x:c r="B326" t="n">
        <x:v>45936</x:v>
      </x:c>
      <x:c r="C326" t="n">
        <x:v>21</x:v>
      </x:c>
      <x:c r="D326" t="str">
        <x:v>Bogotá</x:v>
      </x:c>
      <x:c r="E326" t="str">
        <x:v>Bogotá D.C.</x:v>
      </x:c>
      <x:c r="F326" t="str">
        <x:v>Entre $1,5 M y $3 M</x:v>
      </x:c>
      <x:c r="G326" t="str">
        <x:v>Alianzas</x:v>
      </x:c>
      <x:c r="H326" t="n">
        <x:v>1658000</x:v>
      </x:c>
      <x:c r="I326" t="str">
        <x:v>Reducir intereses</x:v>
      </x:c>
      <x:c r="J326" t="str">
        <x:v>Plus anual</x:v>
      </x:c>
    </x:row>
    <x:row r="327">
      <x:c r="A327" t="str">
        <x:v>USR-00326</x:v>
      </x:c>
      <x:c r="B327" t="n">
        <x:v>45957</x:v>
      </x:c>
      <x:c r="C327" t="n">
        <x:v>60</x:v>
      </x:c>
      <x:c r="D327" t="str">
        <x:v>Cartagena</x:v>
      </x:c>
      <x:c r="E327" t="str">
        <x:v>Bolívar</x:v>
      </x:c>
      <x:c r="F327" t="str">
        <x:v>Entre $1,5 M y $3 M</x:v>
      </x:c>
      <x:c r="G327" t="str">
        <x:v>Alianzas</x:v>
      </x:c>
      <x:c r="H327" t="n">
        <x:v>1695000</x:v>
      </x:c>
      <x:c r="I327" t="str">
        <x:v>Reducir intereses</x:v>
      </x:c>
      <x:c r="J327" t="str">
        <x:v>Cero</x:v>
      </x:c>
    </x:row>
    <x:row r="328">
      <x:c r="A328" t="str">
        <x:v>USR-00327</x:v>
      </x:c>
      <x:c r="B328" t="n">
        <x:v>45939</x:v>
      </x:c>
      <x:c r="C328" t="n">
        <x:v>48</x:v>
      </x:c>
      <x:c r="D328" t="str">
        <x:v>Cartagena</x:v>
      </x:c>
      <x:c r="E328" t="str">
        <x:v>Bolívar</x:v>
      </x:c>
      <x:c r="F328" t="str">
        <x:v>Entre $1,5 M y $3 M</x:v>
      </x:c>
      <x:c r="G328" t="str">
        <x:v>Redes sociales</x:v>
      </x:c>
      <x:c r="H328" t="n">
        <x:v>2765000</x:v>
      </x:c>
      <x:c r="I328" t="str">
        <x:v>Salir de deudas</x:v>
      </x:c>
      <x:c r="J328" t="str">
        <x:v>Plus anual</x:v>
      </x:c>
    </x:row>
    <x:row r="329">
      <x:c r="A329" t="str">
        <x:v>USR-00328</x:v>
      </x:c>
      <x:c r="B329" t="n">
        <x:v>45932</x:v>
      </x:c>
      <x:c r="C329" t="n">
        <x:v>44</x:v>
      </x:c>
      <x:c r="D329" t="str">
        <x:v>Bogotá</x:v>
      </x:c>
      <x:c r="E329" t="str">
        <x:v>Bogotá D.C.</x:v>
      </x:c>
      <x:c r="F329" t="str">
        <x:v>Entre $1,5 M y $3 M</x:v>
      </x:c>
      <x:c r="G329" t="str">
        <x:v>Alianzas</x:v>
      </x:c>
      <x:c r="H329" t="n">
        <x:v>2240000</x:v>
      </x:c>
      <x:c r="I329" t="str">
        <x:v>Reducir intereses</x:v>
      </x:c>
      <x:c r="J329" t="str">
        <x:v>Cero</x:v>
      </x:c>
    </x:row>
    <x:row r="330">
      <x:c r="A330" t="str">
        <x:v>USR-00329</x:v>
      </x:c>
      <x:c r="B330" t="n">
        <x:v>45948</x:v>
      </x:c>
      <x:c r="C330" t="n">
        <x:v>38</x:v>
      </x:c>
      <x:c r="D330" t="str">
        <x:v>Barranquilla</x:v>
      </x:c>
      <x:c r="E330" t="str">
        <x:v>Atlántico</x:v>
      </x:c>
      <x:c r="F330" t="str">
        <x:v>Menos de $1,5 M</x:v>
      </x:c>
      <x:c r="G330" t="str">
        <x:v>Referidos</x:v>
      </x:c>
      <x:c r="H330" t="n">
        <x:v>1057000</x:v>
      </x:c>
      <x:c r="I330" t="str">
        <x:v>Salir de deudas</x:v>
      </x:c>
      <x:c r="J330" t="str">
        <x:v>Plus anual</x:v>
      </x:c>
    </x:row>
    <x:row r="331">
      <x:c r="A331" t="str">
        <x:v>USR-00330</x:v>
      </x:c>
      <x:c r="B331" t="n">
        <x:v>45937</x:v>
      </x:c>
      <x:c r="C331" t="n">
        <x:v>32</x:v>
      </x:c>
      <x:c r="D331" t="str">
        <x:v>Cali</x:v>
      </x:c>
      <x:c r="E331" t="str">
        <x:v>Valle del Cauca</x:v>
      </x:c>
      <x:c r="F331" t="str">
        <x:v>Entre $3 M y $5 M</x:v>
      </x:c>
      <x:c r="G331" t="str">
        <x:v>Orgánico</x:v>
      </x:c>
      <x:c r="H331" t="n">
        <x:v>3909000</x:v>
      </x:c>
      <x:c r="I331" t="str">
        <x:v>Control de pagos</x:v>
      </x:c>
      <x:c r="J331" t="str">
        <x:v>Cero</x:v>
      </x:c>
    </x:row>
    <x:row r="332">
      <x:c r="A332" t="str">
        <x:v>USR-00331</x:v>
      </x:c>
      <x:c r="B332" t="n">
        <x:v>45954</x:v>
      </x:c>
      <x:c r="C332" t="n">
        <x:v>34</x:v>
      </x:c>
      <x:c r="D332" t="str">
        <x:v>Bogotá</x:v>
      </x:c>
      <x:c r="E332" t="str">
        <x:v>Bogotá D.C.</x:v>
      </x:c>
      <x:c r="F332" t="str">
        <x:v>Entre $3 M y $5 M</x:v>
      </x:c>
      <x:c r="G332" t="str">
        <x:v>Búsqueda paga</x:v>
      </x:c>
      <x:c r="H332" t="n">
        <x:v>3588000</x:v>
      </x:c>
      <x:c r="I332" t="str">
        <x:v>Reducir intereses</x:v>
      </x:c>
      <x:c r="J332" t="str">
        <x:v>Plus anual</x:v>
      </x:c>
    </x:row>
    <x:row r="333">
      <x:c r="A333" t="str">
        <x:v>USR-00332</x:v>
      </x:c>
      <x:c r="B333" t="n">
        <x:v>45942</x:v>
      </x:c>
      <x:c r="C333" t="n">
        <x:v>24</x:v>
      </x:c>
      <x:c r="D333" t="str">
        <x:v>Cali</x:v>
      </x:c>
      <x:c r="E333" t="str">
        <x:v>Valle del Cauca</x:v>
      </x:c>
      <x:c r="F333" t="str">
        <x:v>Entre $1,5 M y $3 M</x:v>
      </x:c>
      <x:c r="G333" t="str">
        <x:v>Referidos</x:v>
      </x:c>
      <x:c r="H333" t="n">
        <x:v>1617000</x:v>
      </x:c>
      <x:c r="I333" t="str">
        <x:v>Organización inicial</x:v>
      </x:c>
      <x:c r="J333" t="str">
        <x:v>Inactivo</x:v>
      </x:c>
    </x:row>
    <x:row r="334">
      <x:c r="A334" t="str">
        <x:v>USR-00333</x:v>
      </x:c>
      <x:c r="B334" t="n">
        <x:v>45949</x:v>
      </x:c>
      <x:c r="C334" t="n">
        <x:v>41</x:v>
      </x:c>
      <x:c r="D334" t="str">
        <x:v>Bogotá</x:v>
      </x:c>
      <x:c r="E334" t="str">
        <x:v>Bogotá D.C.</x:v>
      </x:c>
      <x:c r="F334" t="str">
        <x:v>Entre $1,5 M y $3 M</x:v>
      </x:c>
      <x:c r="G334" t="str">
        <x:v>Búsqueda paga</x:v>
      </x:c>
      <x:c r="H334" t="n">
        <x:v>2995000</x:v>
      </x:c>
      <x:c r="I334" t="str">
        <x:v>Organización inicial</x:v>
      </x:c>
      <x:c r="J334" t="str">
        <x:v>Cero</x:v>
      </x:c>
    </x:row>
    <x:row r="335">
      <x:c r="A335" t="str">
        <x:v>USR-00334</x:v>
      </x:c>
      <x:c r="B335" t="n">
        <x:v>45951</x:v>
      </x:c>
      <x:c r="C335" t="n">
        <x:v>31</x:v>
      </x:c>
      <x:c r="D335" t="str">
        <x:v>Bogotá</x:v>
      </x:c>
      <x:c r="E335" t="str">
        <x:v>Bogotá D.C.</x:v>
      </x:c>
      <x:c r="F335" t="str">
        <x:v>Entre $1,5 M y $3 M</x:v>
      </x:c>
      <x:c r="G335" t="str">
        <x:v>Alianzas</x:v>
      </x:c>
      <x:c r="H335" t="n">
        <x:v>1611000</x:v>
      </x:c>
      <x:c r="I335" t="str">
        <x:v>Control de pagos</x:v>
      </x:c>
      <x:c r="J335" t="str">
        <x:v>Cero</x:v>
      </x:c>
    </x:row>
    <x:row r="336">
      <x:c r="A336" t="str">
        <x:v>USR-00335</x:v>
      </x:c>
      <x:c r="B336" t="n">
        <x:v>45937</x:v>
      </x:c>
      <x:c r="C336" t="n">
        <x:v>42</x:v>
      </x:c>
      <x:c r="D336" t="str">
        <x:v>Bogotá</x:v>
      </x:c>
      <x:c r="E336" t="str">
        <x:v>Bogotá D.C.</x:v>
      </x:c>
      <x:c r="F336" t="str">
        <x:v>Entre $1,5 M y $3 M</x:v>
      </x:c>
      <x:c r="G336" t="str">
        <x:v>Alianzas</x:v>
      </x:c>
      <x:c r="H336" t="n">
        <x:v>2746000</x:v>
      </x:c>
      <x:c r="I336" t="str">
        <x:v>Salir de deudas</x:v>
      </x:c>
      <x:c r="J336" t="str">
        <x:v>Cero</x:v>
      </x:c>
    </x:row>
    <x:row r="337">
      <x:c r="A337" t="str">
        <x:v>USR-00336</x:v>
      </x:c>
      <x:c r="B337" t="n">
        <x:v>45943</x:v>
      </x:c>
      <x:c r="C337" t="n">
        <x:v>60</x:v>
      </x:c>
      <x:c r="D337" t="str">
        <x:v>Medellín</x:v>
      </x:c>
      <x:c r="E337" t="str">
        <x:v>Antioquia</x:v>
      </x:c>
      <x:c r="F337" t="str">
        <x:v>Entre $1,5 M y $3 M</x:v>
      </x:c>
      <x:c r="G337" t="str">
        <x:v>Orgánico</x:v>
      </x:c>
      <x:c r="H337" t="n">
        <x:v>1633000</x:v>
      </x:c>
      <x:c r="I337" t="str">
        <x:v>Reducir intereses</x:v>
      </x:c>
      <x:c r="J337" t="str">
        <x:v>Plus mensual</x:v>
      </x:c>
    </x:row>
    <x:row r="338">
      <x:c r="A338" t="str">
        <x:v>USR-00337</x:v>
      </x:c>
      <x:c r="B338" t="n">
        <x:v>45952</x:v>
      </x:c>
      <x:c r="C338" t="n">
        <x:v>34</x:v>
      </x:c>
      <x:c r="D338" t="str">
        <x:v>Bogotá</x:v>
      </x:c>
      <x:c r="E338" t="str">
        <x:v>Bogotá D.C.</x:v>
      </x:c>
      <x:c r="F338" t="str">
        <x:v>Más de $5 M</x:v>
      </x:c>
      <x:c r="G338" t="str">
        <x:v>Referidos</x:v>
      </x:c>
      <x:c r="H338" t="n">
        <x:v>6040000</x:v>
      </x:c>
      <x:c r="I338" t="str">
        <x:v>Control de pagos</x:v>
      </x:c>
      <x:c r="J338" t="str">
        <x:v>Cero</x:v>
      </x:c>
    </x:row>
    <x:row r="339">
      <x:c r="A339" t="str">
        <x:v>USR-00338</x:v>
      </x:c>
      <x:c r="B339" t="n">
        <x:v>45933</x:v>
      </x:c>
      <x:c r="C339" t="n">
        <x:v>31</x:v>
      </x:c>
      <x:c r="D339" t="str">
        <x:v>Bucaramanga</x:v>
      </x:c>
      <x:c r="E339" t="str">
        <x:v>Santander</x:v>
      </x:c>
      <x:c r="F339" t="str">
        <x:v>Entre $1,5 M y $3 M</x:v>
      </x:c>
      <x:c r="G339" t="str">
        <x:v>Alianzas</x:v>
      </x:c>
      <x:c r="H339" t="n">
        <x:v>2739000</x:v>
      </x:c>
      <x:c r="I339" t="str">
        <x:v>Control de pagos</x:v>
      </x:c>
      <x:c r="J339" t="str">
        <x:v>Plus mensual</x:v>
      </x:c>
    </x:row>
    <x:row r="340">
      <x:c r="A340" t="str">
        <x:v>USR-00339</x:v>
      </x:c>
      <x:c r="B340" t="n">
        <x:v>45944</x:v>
      </x:c>
      <x:c r="C340" t="n">
        <x:v>25</x:v>
      </x:c>
      <x:c r="D340" t="str">
        <x:v>Medellín</x:v>
      </x:c>
      <x:c r="E340" t="str">
        <x:v>Antioquia</x:v>
      </x:c>
      <x:c r="F340" t="str">
        <x:v>Menos de $1,5 M</x:v>
      </x:c>
      <x:c r="G340" t="str">
        <x:v>Contenido educativo</x:v>
      </x:c>
      <x:c r="H340" t="n">
        <x:v>1188000</x:v>
      </x:c>
      <x:c r="I340" t="str">
        <x:v>Organización inicial</x:v>
      </x:c>
      <x:c r="J340" t="str">
        <x:v>Plus anual</x:v>
      </x:c>
    </x:row>
    <x:row r="341">
      <x:c r="A341" t="str">
        <x:v>USR-00340</x:v>
      </x:c>
      <x:c r="B341" t="n">
        <x:v>45937</x:v>
      </x:c>
      <x:c r="C341" t="n">
        <x:v>58</x:v>
      </x:c>
      <x:c r="D341" t="str">
        <x:v>Bogotá</x:v>
      </x:c>
      <x:c r="E341" t="str">
        <x:v>Bogotá D.C.</x:v>
      </x:c>
      <x:c r="F341" t="str">
        <x:v>Menos de $1,5 M</x:v>
      </x:c>
      <x:c r="G341" t="str">
        <x:v>Búsqueda paga</x:v>
      </x:c>
      <x:c r="H341" t="n">
        <x:v>1214000</x:v>
      </x:c>
      <x:c r="I341" t="str">
        <x:v>Organización inicial</x:v>
      </x:c>
      <x:c r="J341" t="str">
        <x:v>Cero</x:v>
      </x:c>
    </x:row>
    <x:row r="342">
      <x:c r="A342" t="str">
        <x:v>USR-00341</x:v>
      </x:c>
      <x:c r="B342" t="n">
        <x:v>45938</x:v>
      </x:c>
      <x:c r="C342" t="n">
        <x:v>40</x:v>
      </x:c>
      <x:c r="D342" t="str">
        <x:v>Bogotá</x:v>
      </x:c>
      <x:c r="E342" t="str">
        <x:v>Bogotá D.C.</x:v>
      </x:c>
      <x:c r="F342" t="str">
        <x:v>Entre $1,5 M y $3 M</x:v>
      </x:c>
      <x:c r="G342" t="str">
        <x:v>Referidos</x:v>
      </x:c>
      <x:c r="H342" t="n">
        <x:v>2166000</x:v>
      </x:c>
      <x:c r="I342" t="str">
        <x:v>Organización inicial</x:v>
      </x:c>
      <x:c r="J342" t="str">
        <x:v>Plus mensual</x:v>
      </x:c>
    </x:row>
    <x:row r="343">
      <x:c r="A343" t="str">
        <x:v>USR-00342</x:v>
      </x:c>
      <x:c r="B343" t="n">
        <x:v>45948</x:v>
      </x:c>
      <x:c r="C343" t="n">
        <x:v>60</x:v>
      </x:c>
      <x:c r="D343" t="str">
        <x:v>Manizales</x:v>
      </x:c>
      <x:c r="E343" t="str">
        <x:v>Caldas</x:v>
      </x:c>
      <x:c r="F343" t="str">
        <x:v>Entre $3 M y $5 M</x:v>
      </x:c>
      <x:c r="G343" t="str">
        <x:v>Redes sociales</x:v>
      </x:c>
      <x:c r="H343" t="n">
        <x:v>4101000</x:v>
      </x:c>
      <x:c r="I343" t="str">
        <x:v>Salir de deudas</x:v>
      </x:c>
      <x:c r="J343" t="str">
        <x:v>Inactivo</x:v>
      </x:c>
    </x:row>
    <x:row r="344">
      <x:c r="A344" t="str">
        <x:v>USR-00343</x:v>
      </x:c>
      <x:c r="B344" t="n">
        <x:v>45936</x:v>
      </x:c>
      <x:c r="C344" t="n">
        <x:v>54</x:v>
      </x:c>
      <x:c r="D344" t="str">
        <x:v>Barranquilla</x:v>
      </x:c>
      <x:c r="E344" t="str">
        <x:v>Atlántico</x:v>
      </x:c>
      <x:c r="F344" t="str">
        <x:v>Más de $5 M</x:v>
      </x:c>
      <x:c r="G344" t="str">
        <x:v>Alianzas</x:v>
      </x:c>
      <x:c r="H344" t="n">
        <x:v>7028000</x:v>
      </x:c>
      <x:c r="I344" t="str">
        <x:v>Control de pagos</x:v>
      </x:c>
      <x:c r="J344" t="str">
        <x:v>Plus anual</x:v>
      </x:c>
    </x:row>
    <x:row r="345">
      <x:c r="A345" t="str">
        <x:v>USR-00344</x:v>
      </x:c>
      <x:c r="B345" t="n">
        <x:v>45947</x:v>
      </x:c>
      <x:c r="C345" t="n">
        <x:v>43</x:v>
      </x:c>
      <x:c r="D345" t="str">
        <x:v>Cali</x:v>
      </x:c>
      <x:c r="E345" t="str">
        <x:v>Valle del Cauca</x:v>
      </x:c>
      <x:c r="F345" t="str">
        <x:v>Menos de $1,5 M</x:v>
      </x:c>
      <x:c r="G345" t="str">
        <x:v>Referidos</x:v>
      </x:c>
      <x:c r="H345" t="n">
        <x:v>940000</x:v>
      </x:c>
      <x:c r="I345" t="str">
        <x:v>Reducir intereses</x:v>
      </x:c>
      <x:c r="J345" t="str">
        <x:v>Cero</x:v>
      </x:c>
    </x:row>
    <x:row r="346">
      <x:c r="A346" t="str">
        <x:v>USR-00345</x:v>
      </x:c>
      <x:c r="B346" t="n">
        <x:v>45943</x:v>
      </x:c>
      <x:c r="C346" t="n">
        <x:v>32</x:v>
      </x:c>
      <x:c r="D346" t="str">
        <x:v>Bogotá</x:v>
      </x:c>
      <x:c r="E346" t="str">
        <x:v>Bogotá D.C.</x:v>
      </x:c>
      <x:c r="F346" t="str">
        <x:v>Entre $1,5 M y $3 M</x:v>
      </x:c>
      <x:c r="G346" t="str">
        <x:v>Contenido educativo</x:v>
      </x:c>
      <x:c r="H346" t="n">
        <x:v>2647000</x:v>
      </x:c>
      <x:c r="I346" t="str">
        <x:v>Salir de deudas</x:v>
      </x:c>
      <x:c r="J346" t="str">
        <x:v>Cero</x:v>
      </x:c>
    </x:row>
    <x:row r="347">
      <x:c r="A347" t="str">
        <x:v>USR-00346</x:v>
      </x:c>
      <x:c r="B347" t="n">
        <x:v>45951</x:v>
      </x:c>
      <x:c r="C347" t="n">
        <x:v>39</x:v>
      </x:c>
      <x:c r="D347" t="str">
        <x:v>Bogotá</x:v>
      </x:c>
      <x:c r="E347" t="str">
        <x:v>Bogotá D.C.</x:v>
      </x:c>
      <x:c r="F347" t="str">
        <x:v>Menos de $1,5 M</x:v>
      </x:c>
      <x:c r="G347" t="str">
        <x:v>Redes sociales</x:v>
      </x:c>
      <x:c r="H347" t="n">
        <x:v>1399000</x:v>
      </x:c>
      <x:c r="I347" t="str">
        <x:v>Reducir intereses</x:v>
      </x:c>
      <x:c r="J347" t="str">
        <x:v>Plus mensual</x:v>
      </x:c>
    </x:row>
    <x:row r="348">
      <x:c r="A348" t="str">
        <x:v>USR-00347</x:v>
      </x:c>
      <x:c r="B348" t="n">
        <x:v>45953</x:v>
      </x:c>
      <x:c r="C348" t="n">
        <x:v>30</x:v>
      </x:c>
      <x:c r="D348" t="str">
        <x:v>Villavicencio</x:v>
      </x:c>
      <x:c r="E348" t="str">
        <x:v>Meta</x:v>
      </x:c>
      <x:c r="F348" t="str">
        <x:v>Menos de $1,5 M</x:v>
      </x:c>
      <x:c r="G348" t="str">
        <x:v>Contenido educativo</x:v>
      </x:c>
      <x:c r="H348" t="n">
        <x:v>1268000</x:v>
      </x:c>
      <x:c r="I348" t="str">
        <x:v>Control de pagos</x:v>
      </x:c>
      <x:c r="J348" t="str">
        <x:v>Cero</x:v>
      </x:c>
    </x:row>
    <x:row r="349">
      <x:c r="A349" t="str">
        <x:v>USR-00348</x:v>
      </x:c>
      <x:c r="B349" t="n">
        <x:v>45940</x:v>
      </x:c>
      <x:c r="C349" t="n">
        <x:v>35</x:v>
      </x:c>
      <x:c r="D349" t="str">
        <x:v>Cartagena</x:v>
      </x:c>
      <x:c r="E349" t="str">
        <x:v>Bolívar</x:v>
      </x:c>
      <x:c r="F349" t="str">
        <x:v>Entre $1,5 M y $3 M</x:v>
      </x:c>
      <x:c r="G349" t="str">
        <x:v>Redes sociales</x:v>
      </x:c>
      <x:c r="H349" t="n">
        <x:v>2267000</x:v>
      </x:c>
      <x:c r="I349" t="str">
        <x:v>Organización inicial</x:v>
      </x:c>
      <x:c r="J349" t="str">
        <x:v>Cero</x:v>
      </x:c>
    </x:row>
    <x:row r="350">
      <x:c r="A350" t="str">
        <x:v>USR-00349</x:v>
      </x:c>
      <x:c r="B350" t="n">
        <x:v>45951</x:v>
      </x:c>
      <x:c r="C350" t="n">
        <x:v>48</x:v>
      </x:c>
      <x:c r="D350" t="str">
        <x:v>Manizales</x:v>
      </x:c>
      <x:c r="E350" t="str">
        <x:v>Caldas</x:v>
      </x:c>
      <x:c r="F350" t="str">
        <x:v>Más de $5 M</x:v>
      </x:c>
      <x:c r="G350" t="str">
        <x:v>Referidos</x:v>
      </x:c>
      <x:c r="H350" t="n">
        <x:v>6661000</x:v>
      </x:c>
      <x:c r="I350" t="str">
        <x:v>Salir de deudas</x:v>
      </x:c>
      <x:c r="J350" t="str">
        <x:v>Cero</x:v>
      </x:c>
    </x:row>
    <x:row r="351">
      <x:c r="A351" t="str">
        <x:v>USR-00350</x:v>
      </x:c>
      <x:c r="B351" t="n">
        <x:v>45955</x:v>
      </x:c>
      <x:c r="C351" t="n">
        <x:v>36</x:v>
      </x:c>
      <x:c r="D351" t="str">
        <x:v>Barranquilla</x:v>
      </x:c>
      <x:c r="E351" t="str">
        <x:v>Atlántico</x:v>
      </x:c>
      <x:c r="F351" t="str">
        <x:v>Menos de $1,5 M</x:v>
      </x:c>
      <x:c r="G351" t="str">
        <x:v>Referidos</x:v>
      </x:c>
      <x:c r="H351" t="n">
        <x:v>1066000</x:v>
      </x:c>
      <x:c r="I351" t="str">
        <x:v>Salir de deudas</x:v>
      </x:c>
      <x:c r="J351" t="str">
        <x:v>Inactivo</x:v>
      </x:c>
    </x:row>
    <x:row r="352">
      <x:c r="A352" t="str">
        <x:v>USR-00351</x:v>
      </x:c>
      <x:c r="B352" t="n">
        <x:v>45948</x:v>
      </x:c>
      <x:c r="C352" t="n">
        <x:v>63</x:v>
      </x:c>
      <x:c r="D352" t="str">
        <x:v>Bogotá</x:v>
      </x:c>
      <x:c r="E352" t="str">
        <x:v>Bogotá D.C.</x:v>
      </x:c>
      <x:c r="F352" t="str">
        <x:v>Entre $3 M y $5 M</x:v>
      </x:c>
      <x:c r="G352" t="str">
        <x:v>Referidos</x:v>
      </x:c>
      <x:c r="H352" t="n">
        <x:v>3640000</x:v>
      </x:c>
      <x:c r="I352" t="str">
        <x:v>Reducir intereses</x:v>
      </x:c>
      <x:c r="J352" t="str">
        <x:v>Cero</x:v>
      </x:c>
    </x:row>
    <x:row r="353">
      <x:c r="A353" t="str">
        <x:v>USR-00352</x:v>
      </x:c>
      <x:c r="B353" t="n">
        <x:v>45936</x:v>
      </x:c>
      <x:c r="C353" t="n">
        <x:v>41</x:v>
      </x:c>
      <x:c r="D353" t="str">
        <x:v>Bogotá</x:v>
      </x:c>
      <x:c r="E353" t="str">
        <x:v>Bogotá D.C.</x:v>
      </x:c>
      <x:c r="F353" t="str">
        <x:v>Entre $1,5 M y $3 M</x:v>
      </x:c>
      <x:c r="G353" t="str">
        <x:v>Orgánico</x:v>
      </x:c>
      <x:c r="H353" t="n">
        <x:v>2922000</x:v>
      </x:c>
      <x:c r="I353" t="str">
        <x:v>Reducir intereses</x:v>
      </x:c>
      <x:c r="J353" t="str">
        <x:v>Cero</x:v>
      </x:c>
    </x:row>
    <x:row r="354">
      <x:c r="A354" t="str">
        <x:v>USR-00353</x:v>
      </x:c>
      <x:c r="B354" t="n">
        <x:v>45936</x:v>
      </x:c>
      <x:c r="C354" t="n">
        <x:v>35</x:v>
      </x:c>
      <x:c r="D354" t="str">
        <x:v>Bucaramanga</x:v>
      </x:c>
      <x:c r="E354" t="str">
        <x:v>Santander</x:v>
      </x:c>
      <x:c r="F354" t="str">
        <x:v>Menos de $1,5 M</x:v>
      </x:c>
      <x:c r="G354" t="str">
        <x:v>Alianzas</x:v>
      </x:c>
      <x:c r="H354" t="n">
        <x:v>1240000</x:v>
      </x:c>
      <x:c r="I354" t="str">
        <x:v>Control de pagos</x:v>
      </x:c>
      <x:c r="J354" t="str">
        <x:v>Plus mensual</x:v>
      </x:c>
    </x:row>
    <x:row r="355">
      <x:c r="A355" t="str">
        <x:v>USR-00354</x:v>
      </x:c>
      <x:c r="B355" t="n">
        <x:v>45935</x:v>
      </x:c>
      <x:c r="C355" t="n">
        <x:v>55</x:v>
      </x:c>
      <x:c r="D355" t="str">
        <x:v>Bogotá</x:v>
      </x:c>
      <x:c r="E355" t="str">
        <x:v>Bogotá D.C.</x:v>
      </x:c>
      <x:c r="F355" t="str">
        <x:v>Menos de $1,5 M</x:v>
      </x:c>
      <x:c r="G355" t="str">
        <x:v>Redes sociales</x:v>
      </x:c>
      <x:c r="H355" t="n">
        <x:v>998000</x:v>
      </x:c>
      <x:c r="I355" t="str">
        <x:v>Control de pagos</x:v>
      </x:c>
      <x:c r="J355" t="str">
        <x:v>Plus anual</x:v>
      </x:c>
    </x:row>
    <x:row r="356">
      <x:c r="A356" t="str">
        <x:v>USR-00355</x:v>
      </x:c>
      <x:c r="B356" t="n">
        <x:v>45938</x:v>
      </x:c>
      <x:c r="C356" t="n">
        <x:v>28</x:v>
      </x:c>
      <x:c r="D356" t="str">
        <x:v>Medellín</x:v>
      </x:c>
      <x:c r="E356" t="str">
        <x:v>Antioquia</x:v>
      </x:c>
      <x:c r="F356" t="str">
        <x:v>Entre $1,5 M y $3 M</x:v>
      </x:c>
      <x:c r="G356" t="str">
        <x:v>Orgánico</x:v>
      </x:c>
      <x:c r="H356" t="n">
        <x:v>2248000</x:v>
      </x:c>
      <x:c r="I356" t="str">
        <x:v>Organización inicial</x:v>
      </x:c>
      <x:c r="J356" t="str">
        <x:v>Plus anual</x:v>
      </x:c>
    </x:row>
    <x:row r="357">
      <x:c r="A357" t="str">
        <x:v>USR-00356</x:v>
      </x:c>
      <x:c r="B357" t="n">
        <x:v>45956</x:v>
      </x:c>
      <x:c r="C357" t="n">
        <x:v>46</x:v>
      </x:c>
      <x:c r="D357" t="str">
        <x:v>Pereira</x:v>
      </x:c>
      <x:c r="E357" t="str">
        <x:v>Risaralda</x:v>
      </x:c>
      <x:c r="F357" t="str">
        <x:v>Entre $3 M y $5 M</x:v>
      </x:c>
      <x:c r="G357" t="str">
        <x:v>Alianzas</x:v>
      </x:c>
      <x:c r="H357" t="n">
        <x:v>4177000</x:v>
      </x:c>
      <x:c r="I357" t="str">
        <x:v>Salir de deudas</x:v>
      </x:c>
      <x:c r="J357" t="str">
        <x:v>Cero</x:v>
      </x:c>
    </x:row>
    <x:row r="358">
      <x:c r="A358" t="str">
        <x:v>USR-00357</x:v>
      </x:c>
      <x:c r="B358" t="n">
        <x:v>45966</x:v>
      </x:c>
      <x:c r="C358" t="n">
        <x:v>30</x:v>
      </x:c>
      <x:c r="D358" t="str">
        <x:v>Bogotá</x:v>
      </x:c>
      <x:c r="E358" t="str">
        <x:v>Bogotá D.C.</x:v>
      </x:c>
      <x:c r="F358" t="str">
        <x:v>Entre $3 M y $5 M</x:v>
      </x:c>
      <x:c r="G358" t="str">
        <x:v>Redes sociales</x:v>
      </x:c>
      <x:c r="H358" t="n">
        <x:v>4611000</x:v>
      </x:c>
      <x:c r="I358" t="str">
        <x:v>Reducir intereses</x:v>
      </x:c>
      <x:c r="J358" t="str">
        <x:v>Plus anual</x:v>
      </x:c>
    </x:row>
    <x:row r="359">
      <x:c r="A359" t="str">
        <x:v>USR-00358</x:v>
      </x:c>
      <x:c r="B359" t="n">
        <x:v>45966</x:v>
      </x:c>
      <x:c r="C359" t="n">
        <x:v>48</x:v>
      </x:c>
      <x:c r="D359" t="str">
        <x:v>Bucaramanga</x:v>
      </x:c>
      <x:c r="E359" t="str">
        <x:v>Santander</x:v>
      </x:c>
      <x:c r="F359" t="str">
        <x:v>Más de $5 M</x:v>
      </x:c>
      <x:c r="G359" t="str">
        <x:v>Redes sociales</x:v>
      </x:c>
      <x:c r="H359" t="n">
        <x:v>7880000</x:v>
      </x:c>
      <x:c r="I359" t="str">
        <x:v>Reducir intereses</x:v>
      </x:c>
      <x:c r="J359" t="str">
        <x:v>Cero</x:v>
      </x:c>
    </x:row>
    <x:row r="360">
      <x:c r="A360" t="str">
        <x:v>USR-00359</x:v>
      </x:c>
      <x:c r="B360" t="n">
        <x:v>45969</x:v>
      </x:c>
      <x:c r="C360" t="n">
        <x:v>60</x:v>
      </x:c>
      <x:c r="D360" t="str">
        <x:v>Barranquilla</x:v>
      </x:c>
      <x:c r="E360" t="str">
        <x:v>Atlántico</x:v>
      </x:c>
      <x:c r="F360" t="str">
        <x:v>Entre $1,5 M y $3 M</x:v>
      </x:c>
      <x:c r="G360" t="str">
        <x:v>Búsqueda paga</x:v>
      </x:c>
      <x:c r="H360" t="n">
        <x:v>2814000</x:v>
      </x:c>
      <x:c r="I360" t="str">
        <x:v>Salir de deudas</x:v>
      </x:c>
      <x:c r="J360" t="str">
        <x:v>Cero</x:v>
      </x:c>
    </x:row>
    <x:row r="361">
      <x:c r="A361" t="str">
        <x:v>USR-00360</x:v>
      </x:c>
      <x:c r="B361" t="n">
        <x:v>45987</x:v>
      </x:c>
      <x:c r="C361" t="n">
        <x:v>49</x:v>
      </x:c>
      <x:c r="D361" t="str">
        <x:v>Manizales</x:v>
      </x:c>
      <x:c r="E361" t="str">
        <x:v>Caldas</x:v>
      </x:c>
      <x:c r="F361" t="str">
        <x:v>Entre $3 M y $5 M</x:v>
      </x:c>
      <x:c r="G361" t="str">
        <x:v>Contenido educativo</x:v>
      </x:c>
      <x:c r="H361" t="n">
        <x:v>3540000</x:v>
      </x:c>
      <x:c r="I361" t="str">
        <x:v>Reducir intereses</x:v>
      </x:c>
      <x:c r="J361" t="str">
        <x:v>Cero</x:v>
      </x:c>
    </x:row>
    <x:row r="362">
      <x:c r="A362" t="str">
        <x:v>USR-00361</x:v>
      </x:c>
      <x:c r="B362" t="n">
        <x:v>45986</x:v>
      </x:c>
      <x:c r="C362" t="n">
        <x:v>29</x:v>
      </x:c>
      <x:c r="D362" t="str">
        <x:v>Barranquilla</x:v>
      </x:c>
      <x:c r="E362" t="str">
        <x:v>Atlántico</x:v>
      </x:c>
      <x:c r="F362" t="str">
        <x:v>Entre $3 M y $5 M</x:v>
      </x:c>
      <x:c r="G362" t="str">
        <x:v>Redes sociales</x:v>
      </x:c>
      <x:c r="H362" t="n">
        <x:v>4015000</x:v>
      </x:c>
      <x:c r="I362" t="str">
        <x:v>Organización inicial</x:v>
      </x:c>
      <x:c r="J362" t="str">
        <x:v>Cero</x:v>
      </x:c>
    </x:row>
    <x:row r="363">
      <x:c r="A363" t="str">
        <x:v>USR-00362</x:v>
      </x:c>
      <x:c r="B363" t="n">
        <x:v>45978</x:v>
      </x:c>
      <x:c r="C363" t="n">
        <x:v>32</x:v>
      </x:c>
      <x:c r="D363" t="str">
        <x:v>Cali</x:v>
      </x:c>
      <x:c r="E363" t="str">
        <x:v>Valle del Cauca</x:v>
      </x:c>
      <x:c r="F363" t="str">
        <x:v>Entre $1,5 M y $3 M</x:v>
      </x:c>
      <x:c r="G363" t="str">
        <x:v>Alianzas</x:v>
      </x:c>
      <x:c r="H363" t="n">
        <x:v>2566000</x:v>
      </x:c>
      <x:c r="I363" t="str">
        <x:v>Control de pagos</x:v>
      </x:c>
      <x:c r="J363" t="str">
        <x:v>Plus mensual</x:v>
      </x:c>
    </x:row>
    <x:row r="364">
      <x:c r="A364" t="str">
        <x:v>USR-00363</x:v>
      </x:c>
      <x:c r="B364" t="n">
        <x:v>45971</x:v>
      </x:c>
      <x:c r="C364" t="n">
        <x:v>63</x:v>
      </x:c>
      <x:c r="D364" t="str">
        <x:v>Bogotá</x:v>
      </x:c>
      <x:c r="E364" t="str">
        <x:v>Bogotá D.C.</x:v>
      </x:c>
      <x:c r="F364" t="str">
        <x:v>Entre $1,5 M y $3 M</x:v>
      </x:c>
      <x:c r="G364" t="str">
        <x:v>Alianzas</x:v>
      </x:c>
      <x:c r="H364" t="n">
        <x:v>1643000</x:v>
      </x:c>
      <x:c r="I364" t="str">
        <x:v>Control de pagos</x:v>
      </x:c>
      <x:c r="J364" t="str">
        <x:v>Plus anual</x:v>
      </x:c>
    </x:row>
    <x:row r="365">
      <x:c r="A365" t="str">
        <x:v>USR-00364</x:v>
      </x:c>
      <x:c r="B365" t="n">
        <x:v>45988</x:v>
      </x:c>
      <x:c r="C365" t="n">
        <x:v>53</x:v>
      </x:c>
      <x:c r="D365" t="str">
        <x:v>Bogotá</x:v>
      </x:c>
      <x:c r="E365" t="str">
        <x:v>Bogotá D.C.</x:v>
      </x:c>
      <x:c r="F365" t="str">
        <x:v>Entre $3 M y $5 M</x:v>
      </x:c>
      <x:c r="G365" t="str">
        <x:v>Alianzas</x:v>
      </x:c>
      <x:c r="H365" t="n">
        <x:v>4674000</x:v>
      </x:c>
      <x:c r="I365" t="str">
        <x:v>Salir de deudas</x:v>
      </x:c>
      <x:c r="J365" t="str">
        <x:v>Cero</x:v>
      </x:c>
    </x:row>
    <x:row r="366">
      <x:c r="A366" t="str">
        <x:v>USR-00365</x:v>
      </x:c>
      <x:c r="B366" t="n">
        <x:v>45972</x:v>
      </x:c>
      <x:c r="C366" t="n">
        <x:v>51</x:v>
      </x:c>
      <x:c r="D366" t="str">
        <x:v>Bogotá</x:v>
      </x:c>
      <x:c r="E366" t="str">
        <x:v>Bogotá D.C.</x:v>
      </x:c>
      <x:c r="F366" t="str">
        <x:v>Menos de $1,5 M</x:v>
      </x:c>
      <x:c r="G366" t="str">
        <x:v>Búsqueda paga</x:v>
      </x:c>
      <x:c r="H366" t="n">
        <x:v>1135000</x:v>
      </x:c>
      <x:c r="I366" t="str">
        <x:v>Reducir intereses</x:v>
      </x:c>
      <x:c r="J366" t="str">
        <x:v>Inactivo</x:v>
      </x:c>
    </x:row>
    <x:row r="367">
      <x:c r="A367" t="str">
        <x:v>USR-00366</x:v>
      </x:c>
      <x:c r="B367" t="n">
        <x:v>45962</x:v>
      </x:c>
      <x:c r="C367" t="n">
        <x:v>26</x:v>
      </x:c>
      <x:c r="D367" t="str">
        <x:v>Bucaramanga</x:v>
      </x:c>
      <x:c r="E367" t="str">
        <x:v>Santander</x:v>
      </x:c>
      <x:c r="F367" t="str">
        <x:v>Entre $1,5 M y $3 M</x:v>
      </x:c>
      <x:c r="G367" t="str">
        <x:v>Referidos</x:v>
      </x:c>
      <x:c r="H367" t="n">
        <x:v>2800000</x:v>
      </x:c>
      <x:c r="I367" t="str">
        <x:v>Organización inicial</x:v>
      </x:c>
      <x:c r="J367" t="str">
        <x:v>Plus anual</x:v>
      </x:c>
    </x:row>
    <x:row r="368">
      <x:c r="A368" t="str">
        <x:v>USR-00367</x:v>
      </x:c>
      <x:c r="B368" t="n">
        <x:v>45983</x:v>
      </x:c>
      <x:c r="C368" t="n">
        <x:v>57</x:v>
      </x:c>
      <x:c r="D368" t="str">
        <x:v>Bogotá</x:v>
      </x:c>
      <x:c r="E368" t="str">
        <x:v>Bogotá D.C.</x:v>
      </x:c>
      <x:c r="F368" t="str">
        <x:v>Menos de $1,5 M</x:v>
      </x:c>
      <x:c r="G368" t="str">
        <x:v>Orgánico</x:v>
      </x:c>
      <x:c r="H368" t="n">
        <x:v>988000</x:v>
      </x:c>
      <x:c r="I368" t="str">
        <x:v>Reducir intereses</x:v>
      </x:c>
      <x:c r="J368" t="str">
        <x:v>Cero</x:v>
      </x:c>
    </x:row>
    <x:row r="369">
      <x:c r="A369" t="str">
        <x:v>USR-00368</x:v>
      </x:c>
      <x:c r="B369" t="n">
        <x:v>45965</x:v>
      </x:c>
      <x:c r="C369" t="n">
        <x:v>29</x:v>
      </x:c>
      <x:c r="D369" t="str">
        <x:v>Pereira</x:v>
      </x:c>
      <x:c r="E369" t="str">
        <x:v>Risaralda</x:v>
      </x:c>
      <x:c r="F369" t="str">
        <x:v>Entre $3 M y $5 M</x:v>
      </x:c>
      <x:c r="G369" t="str">
        <x:v>Búsqueda paga</x:v>
      </x:c>
      <x:c r="H369" t="n">
        <x:v>3019000</x:v>
      </x:c>
      <x:c r="I369" t="str">
        <x:v>Organización inicial</x:v>
      </x:c>
      <x:c r="J369" t="str">
        <x:v>Cero</x:v>
      </x:c>
    </x:row>
    <x:row r="370">
      <x:c r="A370" t="str">
        <x:v>USR-00369</x:v>
      </x:c>
      <x:c r="B370" t="n">
        <x:v>45978</x:v>
      </x:c>
      <x:c r="C370" t="n">
        <x:v>26</x:v>
      </x:c>
      <x:c r="D370" t="str">
        <x:v>Pereira</x:v>
      </x:c>
      <x:c r="E370" t="str">
        <x:v>Risaralda</x:v>
      </x:c>
      <x:c r="F370" t="str">
        <x:v>Entre $1,5 M y $3 M</x:v>
      </x:c>
      <x:c r="G370" t="str">
        <x:v>Referidos</x:v>
      </x:c>
      <x:c r="H370" t="n">
        <x:v>2401000</x:v>
      </x:c>
      <x:c r="I370" t="str">
        <x:v>Control de pagos</x:v>
      </x:c>
      <x:c r="J370" t="str">
        <x:v>Cero</x:v>
      </x:c>
    </x:row>
    <x:row r="371">
      <x:c r="A371" t="str">
        <x:v>USR-00370</x:v>
      </x:c>
      <x:c r="B371" t="n">
        <x:v>45964</x:v>
      </x:c>
      <x:c r="C371" t="n">
        <x:v>63</x:v>
      </x:c>
      <x:c r="D371" t="str">
        <x:v>Bogotá</x:v>
      </x:c>
      <x:c r="E371" t="str">
        <x:v>Bogotá D.C.</x:v>
      </x:c>
      <x:c r="F371" t="str">
        <x:v>Entre $1,5 M y $3 M</x:v>
      </x:c>
      <x:c r="G371" t="str">
        <x:v>Búsqueda paga</x:v>
      </x:c>
      <x:c r="H371" t="n">
        <x:v>2334000</x:v>
      </x:c>
      <x:c r="I371" t="str">
        <x:v>Control de pagos</x:v>
      </x:c>
      <x:c r="J371" t="str">
        <x:v>Plus anual</x:v>
      </x:c>
    </x:row>
    <x:row r="372">
      <x:c r="A372" t="str">
        <x:v>USR-00371</x:v>
      </x:c>
      <x:c r="B372" t="n">
        <x:v>45984</x:v>
      </x:c>
      <x:c r="C372" t="n">
        <x:v>55</x:v>
      </x:c>
      <x:c r="D372" t="str">
        <x:v>Cartagena</x:v>
      </x:c>
      <x:c r="E372" t="str">
        <x:v>Bolívar</x:v>
      </x:c>
      <x:c r="F372" t="str">
        <x:v>Entre $1,5 M y $3 M</x:v>
      </x:c>
      <x:c r="G372" t="str">
        <x:v>Redes sociales</x:v>
      </x:c>
      <x:c r="H372" t="n">
        <x:v>2754000</x:v>
      </x:c>
      <x:c r="I372" t="str">
        <x:v>Organización inicial</x:v>
      </x:c>
      <x:c r="J372" t="str">
        <x:v>Cero</x:v>
      </x:c>
    </x:row>
    <x:row r="373">
      <x:c r="A373" t="str">
        <x:v>USR-00372</x:v>
      </x:c>
      <x:c r="B373" t="n">
        <x:v>45963</x:v>
      </x:c>
      <x:c r="C373" t="n">
        <x:v>23</x:v>
      </x:c>
      <x:c r="D373" t="str">
        <x:v>Medellín</x:v>
      </x:c>
      <x:c r="E373" t="str">
        <x:v>Antioquia</x:v>
      </x:c>
      <x:c r="F373" t="str">
        <x:v>Entre $3 M y $5 M</x:v>
      </x:c>
      <x:c r="G373" t="str">
        <x:v>Orgánico</x:v>
      </x:c>
      <x:c r="H373" t="n">
        <x:v>3939000</x:v>
      </x:c>
      <x:c r="I373" t="str">
        <x:v>Control de pagos</x:v>
      </x:c>
      <x:c r="J373" t="str">
        <x:v>Plus mensual</x:v>
      </x:c>
    </x:row>
    <x:row r="374">
      <x:c r="A374" t="str">
        <x:v>USR-00373</x:v>
      </x:c>
      <x:c r="B374" t="n">
        <x:v>45964</x:v>
      </x:c>
      <x:c r="C374" t="n">
        <x:v>52</x:v>
      </x:c>
      <x:c r="D374" t="str">
        <x:v>Cartagena</x:v>
      </x:c>
      <x:c r="E374" t="str">
        <x:v>Bolívar</x:v>
      </x:c>
      <x:c r="F374" t="str">
        <x:v>Entre $1,5 M y $3 M</x:v>
      </x:c>
      <x:c r="G374" t="str">
        <x:v>Alianzas</x:v>
      </x:c>
      <x:c r="H374" t="n">
        <x:v>1682000</x:v>
      </x:c>
      <x:c r="I374" t="str">
        <x:v>Control de pagos</x:v>
      </x:c>
      <x:c r="J374" t="str">
        <x:v>Cero</x:v>
      </x:c>
    </x:row>
    <x:row r="375">
      <x:c r="A375" t="str">
        <x:v>USR-00374</x:v>
      </x:c>
      <x:c r="B375" t="n">
        <x:v>45973</x:v>
      </x:c>
      <x:c r="C375" t="n">
        <x:v>30</x:v>
      </x:c>
      <x:c r="D375" t="str">
        <x:v>Pereira</x:v>
      </x:c>
      <x:c r="E375" t="str">
        <x:v>Risaralda</x:v>
      </x:c>
      <x:c r="F375" t="str">
        <x:v>Entre $3 M y $5 M</x:v>
      </x:c>
      <x:c r="G375" t="str">
        <x:v>Redes sociales</x:v>
      </x:c>
      <x:c r="H375" t="n">
        <x:v>3692000</x:v>
      </x:c>
      <x:c r="I375" t="str">
        <x:v>Control de pagos</x:v>
      </x:c>
      <x:c r="J375" t="str">
        <x:v>Cero</x:v>
      </x:c>
    </x:row>
    <x:row r="376">
      <x:c r="A376" t="str">
        <x:v>USR-00375</x:v>
      </x:c>
      <x:c r="B376" t="n">
        <x:v>45975</x:v>
      </x:c>
      <x:c r="C376" t="n">
        <x:v>60</x:v>
      </x:c>
      <x:c r="D376" t="str">
        <x:v>Bogotá</x:v>
      </x:c>
      <x:c r="E376" t="str">
        <x:v>Bogotá D.C.</x:v>
      </x:c>
      <x:c r="F376" t="str">
        <x:v>Entre $3 M y $5 M</x:v>
      </x:c>
      <x:c r="G376" t="str">
        <x:v>Referidos</x:v>
      </x:c>
      <x:c r="H376" t="n">
        <x:v>3933000</x:v>
      </x:c>
      <x:c r="I376" t="str">
        <x:v>Reducir intereses</x:v>
      </x:c>
      <x:c r="J376" t="str">
        <x:v>Plus mensual</x:v>
      </x:c>
    </x:row>
    <x:row r="377">
      <x:c r="A377" t="str">
        <x:v>USR-00376</x:v>
      </x:c>
      <x:c r="B377" t="n">
        <x:v>45966</x:v>
      </x:c>
      <x:c r="C377" t="n">
        <x:v>64</x:v>
      </x:c>
      <x:c r="D377" t="str">
        <x:v>Bogotá</x:v>
      </x:c>
      <x:c r="E377" t="str">
        <x:v>Bogotá D.C.</x:v>
      </x:c>
      <x:c r="F377" t="str">
        <x:v>Entre $3 M y $5 M</x:v>
      </x:c>
      <x:c r="G377" t="str">
        <x:v>Referidos</x:v>
      </x:c>
      <x:c r="H377" t="n">
        <x:v>3934000</x:v>
      </x:c>
      <x:c r="I377" t="str">
        <x:v>Organización inicial</x:v>
      </x:c>
      <x:c r="J377" t="str">
        <x:v>Cero</x:v>
      </x:c>
    </x:row>
    <x:row r="378">
      <x:c r="A378" t="str">
        <x:v>USR-00377</x:v>
      </x:c>
      <x:c r="B378" t="n">
        <x:v>45971</x:v>
      </x:c>
      <x:c r="C378" t="n">
        <x:v>42</x:v>
      </x:c>
      <x:c r="D378" t="str">
        <x:v>Bogotá</x:v>
      </x:c>
      <x:c r="E378" t="str">
        <x:v>Bogotá D.C.</x:v>
      </x:c>
      <x:c r="F378" t="str">
        <x:v>Menos de $1,5 M</x:v>
      </x:c>
      <x:c r="G378" t="str">
        <x:v>Contenido educativo</x:v>
      </x:c>
      <x:c r="H378" t="n">
        <x:v>1226000</x:v>
      </x:c>
      <x:c r="I378" t="str">
        <x:v>Salir de deudas</x:v>
      </x:c>
      <x:c r="J378" t="str">
        <x:v>Plus mensual</x:v>
      </x:c>
    </x:row>
    <x:row r="379">
      <x:c r="A379" t="str">
        <x:v>USR-00378</x:v>
      </x:c>
      <x:c r="B379" t="n">
        <x:v>45985</x:v>
      </x:c>
      <x:c r="C379" t="n">
        <x:v>23</x:v>
      </x:c>
      <x:c r="D379" t="str">
        <x:v>Bogotá</x:v>
      </x:c>
      <x:c r="E379" t="str">
        <x:v>Bogotá D.C.</x:v>
      </x:c>
      <x:c r="F379" t="str">
        <x:v>Entre $3 M y $5 M</x:v>
      </x:c>
      <x:c r="G379" t="str">
        <x:v>Redes sociales</x:v>
      </x:c>
      <x:c r="H379" t="n">
        <x:v>4675000</x:v>
      </x:c>
      <x:c r="I379" t="str">
        <x:v>Salir de deudas</x:v>
      </x:c>
      <x:c r="J379" t="str">
        <x:v>Plus mensual</x:v>
      </x:c>
    </x:row>
    <x:row r="380">
      <x:c r="A380" t="str">
        <x:v>USR-00379</x:v>
      </x:c>
      <x:c r="B380" t="n">
        <x:v>45965</x:v>
      </x:c>
      <x:c r="C380" t="n">
        <x:v>49</x:v>
      </x:c>
      <x:c r="D380" t="str">
        <x:v>Cartagena</x:v>
      </x:c>
      <x:c r="E380" t="str">
        <x:v>Bolívar</x:v>
      </x:c>
      <x:c r="F380" t="str">
        <x:v>Entre $1,5 M y $3 M</x:v>
      </x:c>
      <x:c r="G380" t="str">
        <x:v>Redes sociales</x:v>
      </x:c>
      <x:c r="H380" t="n">
        <x:v>2917000</x:v>
      </x:c>
      <x:c r="I380" t="str">
        <x:v>Organización inicial</x:v>
      </x:c>
      <x:c r="J380" t="str">
        <x:v>Plus mensual</x:v>
      </x:c>
    </x:row>
    <x:row r="381">
      <x:c r="A381" t="str">
        <x:v>USR-00380</x:v>
      </x:c>
      <x:c r="B381" t="n">
        <x:v>45969</x:v>
      </x:c>
      <x:c r="C381" t="n">
        <x:v>33</x:v>
      </x:c>
      <x:c r="D381" t="str">
        <x:v>Barranquilla</x:v>
      </x:c>
      <x:c r="E381" t="str">
        <x:v>Atlántico</x:v>
      </x:c>
      <x:c r="F381" t="str">
        <x:v>Menos de $1,5 M</x:v>
      </x:c>
      <x:c r="G381" t="str">
        <x:v>Orgánico</x:v>
      </x:c>
      <x:c r="H381" t="n">
        <x:v>976000</x:v>
      </x:c>
      <x:c r="I381" t="str">
        <x:v>Organización inicial</x:v>
      </x:c>
      <x:c r="J381" t="str">
        <x:v>Plus mensual</x:v>
      </x:c>
    </x:row>
    <x:row r="382">
      <x:c r="A382" t="str">
        <x:v>USR-00381</x:v>
      </x:c>
      <x:c r="B382" t="n">
        <x:v>45985</x:v>
      </x:c>
      <x:c r="C382" t="n">
        <x:v>63</x:v>
      </x:c>
      <x:c r="D382" t="str">
        <x:v>Cali</x:v>
      </x:c>
      <x:c r="E382" t="str">
        <x:v>Valle del Cauca</x:v>
      </x:c>
      <x:c r="F382" t="str">
        <x:v>Entre $1,5 M y $3 M</x:v>
      </x:c>
      <x:c r="G382" t="str">
        <x:v>Redes sociales</x:v>
      </x:c>
      <x:c r="H382" t="n">
        <x:v>2770000</x:v>
      </x:c>
      <x:c r="I382" t="str">
        <x:v>Organización inicial</x:v>
      </x:c>
      <x:c r="J382" t="str">
        <x:v>Plus anual</x:v>
      </x:c>
    </x:row>
    <x:row r="383">
      <x:c r="A383" t="str">
        <x:v>USR-00382</x:v>
      </x:c>
      <x:c r="B383" t="n">
        <x:v>45972</x:v>
      </x:c>
      <x:c r="C383" t="n">
        <x:v>49</x:v>
      </x:c>
      <x:c r="D383" t="str">
        <x:v>Medellín</x:v>
      </x:c>
      <x:c r="E383" t="str">
        <x:v>Antioquia</x:v>
      </x:c>
      <x:c r="F383" t="str">
        <x:v>Entre $1,5 M y $3 M</x:v>
      </x:c>
      <x:c r="G383" t="str">
        <x:v>Alianzas</x:v>
      </x:c>
      <x:c r="H383" t="n">
        <x:v>2917000</x:v>
      </x:c>
      <x:c r="I383" t="str">
        <x:v>Salir de deudas</x:v>
      </x:c>
      <x:c r="J383" t="str">
        <x:v>Inactivo</x:v>
      </x:c>
    </x:row>
    <x:row r="384">
      <x:c r="A384" t="str">
        <x:v>USR-00383</x:v>
      </x:c>
      <x:c r="B384" t="n">
        <x:v>45968</x:v>
      </x:c>
      <x:c r="C384" t="n">
        <x:v>28</x:v>
      </x:c>
      <x:c r="D384" t="str">
        <x:v>Cali</x:v>
      </x:c>
      <x:c r="E384" t="str">
        <x:v>Valle del Cauca</x:v>
      </x:c>
      <x:c r="F384" t="str">
        <x:v>Entre $1,5 M y $3 M</x:v>
      </x:c>
      <x:c r="G384" t="str">
        <x:v>Orgánico</x:v>
      </x:c>
      <x:c r="H384" t="n">
        <x:v>1995000</x:v>
      </x:c>
      <x:c r="I384" t="str">
        <x:v>Control de pagos</x:v>
      </x:c>
      <x:c r="J384" t="str">
        <x:v>Plus anual</x:v>
      </x:c>
    </x:row>
    <x:row r="385">
      <x:c r="A385" t="str">
        <x:v>USR-00384</x:v>
      </x:c>
      <x:c r="B385" t="n">
        <x:v>45972</x:v>
      </x:c>
      <x:c r="C385" t="n">
        <x:v>37</x:v>
      </x:c>
      <x:c r="D385" t="str">
        <x:v>Bogotá</x:v>
      </x:c>
      <x:c r="E385" t="str">
        <x:v>Bogotá D.C.</x:v>
      </x:c>
      <x:c r="F385" t="str">
        <x:v>Más de $5 M</x:v>
      </x:c>
      <x:c r="G385" t="str">
        <x:v>Orgánico</x:v>
      </x:c>
      <x:c r="H385" t="n">
        <x:v>6359000</x:v>
      </x:c>
      <x:c r="I385" t="str">
        <x:v>Control de pagos</x:v>
      </x:c>
      <x:c r="J385" t="str">
        <x:v>Plus mensual</x:v>
      </x:c>
    </x:row>
    <x:row r="386">
      <x:c r="A386" t="str">
        <x:v>USR-00385</x:v>
      </x:c>
      <x:c r="B386" t="n">
        <x:v>45977</x:v>
      </x:c>
      <x:c r="C386" t="n">
        <x:v>29</x:v>
      </x:c>
      <x:c r="D386" t="str">
        <x:v>Manizales</x:v>
      </x:c>
      <x:c r="E386" t="str">
        <x:v>Caldas</x:v>
      </x:c>
      <x:c r="F386" t="str">
        <x:v>Entre $1,5 M y $3 M</x:v>
      </x:c>
      <x:c r="G386" t="str">
        <x:v>Búsqueda paga</x:v>
      </x:c>
      <x:c r="H386" t="n">
        <x:v>2894000</x:v>
      </x:c>
      <x:c r="I386" t="str">
        <x:v>Organización inicial</x:v>
      </x:c>
      <x:c r="J386" t="str">
        <x:v>Cero</x:v>
      </x:c>
    </x:row>
    <x:row r="387">
      <x:c r="A387" t="str">
        <x:v>USR-00386</x:v>
      </x:c>
      <x:c r="B387" t="n">
        <x:v>45983</x:v>
      </x:c>
      <x:c r="C387" t="n">
        <x:v>60</x:v>
      </x:c>
      <x:c r="D387" t="str">
        <x:v>Bogotá</x:v>
      </x:c>
      <x:c r="E387" t="str">
        <x:v>Bogotá D.C.</x:v>
      </x:c>
      <x:c r="F387" t="str">
        <x:v>Entre $1,5 M y $3 M</x:v>
      </x:c>
      <x:c r="G387" t="str">
        <x:v>Alianzas</x:v>
      </x:c>
      <x:c r="H387" t="n">
        <x:v>2366000</x:v>
      </x:c>
      <x:c r="I387" t="str">
        <x:v>Reducir intereses</x:v>
      </x:c>
      <x:c r="J387" t="str">
        <x:v>Cero</x:v>
      </x:c>
    </x:row>
    <x:row r="388">
      <x:c r="A388" t="str">
        <x:v>USR-00387</x:v>
      </x:c>
      <x:c r="B388" t="n">
        <x:v>45983</x:v>
      </x:c>
      <x:c r="C388" t="n">
        <x:v>27</x:v>
      </x:c>
      <x:c r="D388" t="str">
        <x:v>Barranquilla</x:v>
      </x:c>
      <x:c r="E388" t="str">
        <x:v>Atlántico</x:v>
      </x:c>
      <x:c r="F388" t="str">
        <x:v>Menos de $1,5 M</x:v>
      </x:c>
      <x:c r="G388" t="str">
        <x:v>Referidos</x:v>
      </x:c>
      <x:c r="H388" t="n">
        <x:v>1071000</x:v>
      </x:c>
      <x:c r="I388" t="str">
        <x:v>Organización inicial</x:v>
      </x:c>
      <x:c r="J388" t="str">
        <x:v>Cero</x:v>
      </x:c>
    </x:row>
    <x:row r="389">
      <x:c r="A389" t="str">
        <x:v>USR-00388</x:v>
      </x:c>
      <x:c r="B389" t="n">
        <x:v>45987</x:v>
      </x:c>
      <x:c r="C389" t="n">
        <x:v>42</x:v>
      </x:c>
      <x:c r="D389" t="str">
        <x:v>Medellín</x:v>
      </x:c>
      <x:c r="E389" t="str">
        <x:v>Antioquia</x:v>
      </x:c>
      <x:c r="F389" t="str">
        <x:v>Entre $1,5 M y $3 M</x:v>
      </x:c>
      <x:c r="G389" t="str">
        <x:v>Redes sociales</x:v>
      </x:c>
      <x:c r="H389" t="n">
        <x:v>2003000</x:v>
      </x:c>
      <x:c r="I389" t="str">
        <x:v>Reducir intereses</x:v>
      </x:c>
      <x:c r="J389" t="str">
        <x:v>Cero</x:v>
      </x:c>
    </x:row>
    <x:row r="390">
      <x:c r="A390" t="str">
        <x:v>USR-00389</x:v>
      </x:c>
      <x:c r="B390" t="n">
        <x:v>45987</x:v>
      </x:c>
      <x:c r="C390" t="n">
        <x:v>57</x:v>
      </x:c>
      <x:c r="D390" t="str">
        <x:v>Bogotá</x:v>
      </x:c>
      <x:c r="E390" t="str">
        <x:v>Bogotá D.C.</x:v>
      </x:c>
      <x:c r="F390" t="str">
        <x:v>Entre $3 M y $5 M</x:v>
      </x:c>
      <x:c r="G390" t="str">
        <x:v>Alianzas</x:v>
      </x:c>
      <x:c r="H390" t="n">
        <x:v>4685000</x:v>
      </x:c>
      <x:c r="I390" t="str">
        <x:v>Organización inicial</x:v>
      </x:c>
      <x:c r="J390" t="str">
        <x:v>Plus mensual</x:v>
      </x:c>
    </x:row>
    <x:row r="391">
      <x:c r="A391" t="str">
        <x:v>USR-00390</x:v>
      </x:c>
      <x:c r="B391" t="n">
        <x:v>45969</x:v>
      </x:c>
      <x:c r="C391" t="n">
        <x:v>60</x:v>
      </x:c>
      <x:c r="D391" t="str">
        <x:v>Bogotá</x:v>
      </x:c>
      <x:c r="E391" t="str">
        <x:v>Bogotá D.C.</x:v>
      </x:c>
      <x:c r="F391" t="str">
        <x:v>Entre $3 M y $5 M</x:v>
      </x:c>
      <x:c r="G391" t="str">
        <x:v>Redes sociales</x:v>
      </x:c>
      <x:c r="H391" t="n">
        <x:v>3012000</x:v>
      </x:c>
      <x:c r="I391" t="str">
        <x:v>Salir de deudas</x:v>
      </x:c>
      <x:c r="J391" t="str">
        <x:v>Cero</x:v>
      </x:c>
    </x:row>
    <x:row r="392">
      <x:c r="A392" t="str">
        <x:v>USR-00391</x:v>
      </x:c>
      <x:c r="B392" t="n">
        <x:v>45981</x:v>
      </x:c>
      <x:c r="C392" t="n">
        <x:v>27</x:v>
      </x:c>
      <x:c r="D392" t="str">
        <x:v>Bogotá</x:v>
      </x:c>
      <x:c r="E392" t="str">
        <x:v>Bogotá D.C.</x:v>
      </x:c>
      <x:c r="F392" t="str">
        <x:v>Entre $1,5 M y $3 M</x:v>
      </x:c>
      <x:c r="G392" t="str">
        <x:v>Orgánico</x:v>
      </x:c>
      <x:c r="H392" t="n">
        <x:v>1543000</x:v>
      </x:c>
      <x:c r="I392" t="str">
        <x:v>Salir de deudas</x:v>
      </x:c>
      <x:c r="J392" t="str">
        <x:v>Plus mensual</x:v>
      </x:c>
    </x:row>
    <x:row r="393">
      <x:c r="A393" t="str">
        <x:v>USR-00392</x:v>
      </x:c>
      <x:c r="B393" t="n">
        <x:v>45972</x:v>
      </x:c>
      <x:c r="C393" t="n">
        <x:v>52</x:v>
      </x:c>
      <x:c r="D393" t="str">
        <x:v>Bogotá</x:v>
      </x:c>
      <x:c r="E393" t="str">
        <x:v>Bogotá D.C.</x:v>
      </x:c>
      <x:c r="F393" t="str">
        <x:v>Menos de $1,5 M</x:v>
      </x:c>
      <x:c r="G393" t="str">
        <x:v>Búsqueda paga</x:v>
      </x:c>
      <x:c r="H393" t="n">
        <x:v>1379000</x:v>
      </x:c>
      <x:c r="I393" t="str">
        <x:v>Reducir intereses</x:v>
      </x:c>
      <x:c r="J393" t="str">
        <x:v>Cero</x:v>
      </x:c>
    </x:row>
    <x:row r="394">
      <x:c r="A394" t="str">
        <x:v>USR-00393</x:v>
      </x:c>
      <x:c r="B394" t="n">
        <x:v>45980</x:v>
      </x:c>
      <x:c r="C394" t="n">
        <x:v>58</x:v>
      </x:c>
      <x:c r="D394" t="str">
        <x:v>Pereira</x:v>
      </x:c>
      <x:c r="E394" t="str">
        <x:v>Risaralda</x:v>
      </x:c>
      <x:c r="F394" t="str">
        <x:v>Entre $1,5 M y $3 M</x:v>
      </x:c>
      <x:c r="G394" t="str">
        <x:v>Orgánico</x:v>
      </x:c>
      <x:c r="H394" t="n">
        <x:v>2704000</x:v>
      </x:c>
      <x:c r="I394" t="str">
        <x:v>Salir de deudas</x:v>
      </x:c>
      <x:c r="J394" t="str">
        <x:v>Cero</x:v>
      </x:c>
    </x:row>
    <x:row r="395">
      <x:c r="A395" t="str">
        <x:v>USR-00394</x:v>
      </x:c>
      <x:c r="B395" t="n">
        <x:v>45985</x:v>
      </x:c>
      <x:c r="C395" t="n">
        <x:v>32</x:v>
      </x:c>
      <x:c r="D395" t="str">
        <x:v>Bogotá</x:v>
      </x:c>
      <x:c r="E395" t="str">
        <x:v>Bogotá D.C.</x:v>
      </x:c>
      <x:c r="F395" t="str">
        <x:v>Entre $1,5 M y $3 M</x:v>
      </x:c>
      <x:c r="G395" t="str">
        <x:v>Referidos</x:v>
      </x:c>
      <x:c r="H395" t="n">
        <x:v>2374000</x:v>
      </x:c>
      <x:c r="I395" t="str">
        <x:v>Control de pagos</x:v>
      </x:c>
      <x:c r="J395" t="str">
        <x:v>Cero</x:v>
      </x:c>
    </x:row>
    <x:row r="396">
      <x:c r="A396" t="str">
        <x:v>USR-00395</x:v>
      </x:c>
      <x:c r="B396" t="n">
        <x:v>45986</x:v>
      </x:c>
      <x:c r="C396" t="n">
        <x:v>46</x:v>
      </x:c>
      <x:c r="D396" t="str">
        <x:v>Pereira</x:v>
      </x:c>
      <x:c r="E396" t="str">
        <x:v>Risaralda</x:v>
      </x:c>
      <x:c r="F396" t="str">
        <x:v>Entre $1,5 M y $3 M</x:v>
      </x:c>
      <x:c r="G396" t="str">
        <x:v>Referidos</x:v>
      </x:c>
      <x:c r="H396" t="n">
        <x:v>1771000</x:v>
      </x:c>
      <x:c r="I396" t="str">
        <x:v>Organización inicial</x:v>
      </x:c>
      <x:c r="J396" t="str">
        <x:v>Plus mensual</x:v>
      </x:c>
    </x:row>
    <x:row r="397">
      <x:c r="A397" t="str">
        <x:v>USR-00396</x:v>
      </x:c>
      <x:c r="B397" t="n">
        <x:v>45967</x:v>
      </x:c>
      <x:c r="C397" t="n">
        <x:v>52</x:v>
      </x:c>
      <x:c r="D397" t="str">
        <x:v>Pereira</x:v>
      </x:c>
      <x:c r="E397" t="str">
        <x:v>Risaralda</x:v>
      </x:c>
      <x:c r="F397" t="str">
        <x:v>Entre $1,5 M y $3 M</x:v>
      </x:c>
      <x:c r="G397" t="str">
        <x:v>Contenido educativo</x:v>
      </x:c>
      <x:c r="H397" t="n">
        <x:v>2118000</x:v>
      </x:c>
      <x:c r="I397" t="str">
        <x:v>Salir de deudas</x:v>
      </x:c>
      <x:c r="J397" t="str">
        <x:v>Plus mensual</x:v>
      </x:c>
    </x:row>
    <x:row r="398">
      <x:c r="A398" t="str">
        <x:v>USR-00397</x:v>
      </x:c>
      <x:c r="B398" t="n">
        <x:v>45985</x:v>
      </x:c>
      <x:c r="C398" t="n">
        <x:v>53</x:v>
      </x:c>
      <x:c r="D398" t="str">
        <x:v>Bogotá</x:v>
      </x:c>
      <x:c r="E398" t="str">
        <x:v>Bogotá D.C.</x:v>
      </x:c>
      <x:c r="F398" t="str">
        <x:v>Más de $5 M</x:v>
      </x:c>
      <x:c r="G398" t="str">
        <x:v>Referidos</x:v>
      </x:c>
      <x:c r="H398" t="n">
        <x:v>6898000</x:v>
      </x:c>
      <x:c r="I398" t="str">
        <x:v>Salir de deudas</x:v>
      </x:c>
      <x:c r="J398" t="str">
        <x:v>Plus anual</x:v>
      </x:c>
    </x:row>
    <x:row r="399">
      <x:c r="A399" t="str">
        <x:v>USR-00398</x:v>
      </x:c>
      <x:c r="B399" t="n">
        <x:v>45969</x:v>
      </x:c>
      <x:c r="C399" t="n">
        <x:v>55</x:v>
      </x:c>
      <x:c r="D399" t="str">
        <x:v>Bogotá</x:v>
      </x:c>
      <x:c r="E399" t="str">
        <x:v>Bogotá D.C.</x:v>
      </x:c>
      <x:c r="F399" t="str">
        <x:v>Entre $3 M y $5 M</x:v>
      </x:c>
      <x:c r="G399" t="str">
        <x:v>Redes sociales</x:v>
      </x:c>
      <x:c r="H399" t="n">
        <x:v>4721000</x:v>
      </x:c>
      <x:c r="I399" t="str">
        <x:v>Reducir intereses</x:v>
      </x:c>
      <x:c r="J399" t="str">
        <x:v>Plus anual</x:v>
      </x:c>
    </x:row>
    <x:row r="400">
      <x:c r="A400" t="str">
        <x:v>USR-00399</x:v>
      </x:c>
      <x:c r="B400" t="n">
        <x:v>45981</x:v>
      </x:c>
      <x:c r="C400" t="n">
        <x:v>41</x:v>
      </x:c>
      <x:c r="D400" t="str">
        <x:v>Pereira</x:v>
      </x:c>
      <x:c r="E400" t="str">
        <x:v>Risaralda</x:v>
      </x:c>
      <x:c r="F400" t="str">
        <x:v>Menos de $1,5 M</x:v>
      </x:c>
      <x:c r="G400" t="str">
        <x:v>Redes sociales</x:v>
      </x:c>
      <x:c r="H400" t="n">
        <x:v>1336000</x:v>
      </x:c>
      <x:c r="I400" t="str">
        <x:v>Salir de deudas</x:v>
      </x:c>
      <x:c r="J400" t="str">
        <x:v>Cero</x:v>
      </x:c>
    </x:row>
    <x:row r="401">
      <x:c r="A401" t="str">
        <x:v>USR-00400</x:v>
      </x:c>
      <x:c r="B401" t="n">
        <x:v>45968</x:v>
      </x:c>
      <x:c r="C401" t="n">
        <x:v>41</x:v>
      </x:c>
      <x:c r="D401" t="str">
        <x:v>Barranquilla</x:v>
      </x:c>
      <x:c r="E401" t="str">
        <x:v>Atlántico</x:v>
      </x:c>
      <x:c r="F401" t="str">
        <x:v>Menos de $1,5 M</x:v>
      </x:c>
      <x:c r="G401" t="str">
        <x:v>Referidos</x:v>
      </x:c>
      <x:c r="H401" t="n">
        <x:v>1125000</x:v>
      </x:c>
      <x:c r="I401" t="str">
        <x:v>Control de pagos</x:v>
      </x:c>
      <x:c r="J401" t="str">
        <x:v>Inactivo</x:v>
      </x:c>
    </x:row>
    <x:row r="402">
      <x:c r="A402" t="str">
        <x:v>USR-00401</x:v>
      </x:c>
      <x:c r="B402" t="n">
        <x:v>45965</x:v>
      </x:c>
      <x:c r="C402" t="n">
        <x:v>38</x:v>
      </x:c>
      <x:c r="D402" t="str">
        <x:v>Bogotá</x:v>
      </x:c>
      <x:c r="E402" t="str">
        <x:v>Bogotá D.C.</x:v>
      </x:c>
      <x:c r="F402" t="str">
        <x:v>Entre $1,5 M y $3 M</x:v>
      </x:c>
      <x:c r="G402" t="str">
        <x:v>Alianzas</x:v>
      </x:c>
      <x:c r="H402" t="n">
        <x:v>2301000</x:v>
      </x:c>
      <x:c r="I402" t="str">
        <x:v>Organización inicial</x:v>
      </x:c>
      <x:c r="J402" t="str">
        <x:v>Cero</x:v>
      </x:c>
    </x:row>
    <x:row r="403">
      <x:c r="A403" t="str">
        <x:v>USR-00402</x:v>
      </x:c>
      <x:c r="B403" t="n">
        <x:v>45970</x:v>
      </x:c>
      <x:c r="C403" t="n">
        <x:v>59</x:v>
      </x:c>
      <x:c r="D403" t="str">
        <x:v>Cali</x:v>
      </x:c>
      <x:c r="E403" t="str">
        <x:v>Valle del Cauca</x:v>
      </x:c>
      <x:c r="F403" t="str">
        <x:v>Menos de $1,5 M</x:v>
      </x:c>
      <x:c r="G403" t="str">
        <x:v>Redes sociales</x:v>
      </x:c>
      <x:c r="H403" t="n">
        <x:v>1254000</x:v>
      </x:c>
      <x:c r="I403" t="str">
        <x:v>Organización inicial</x:v>
      </x:c>
      <x:c r="J403" t="str">
        <x:v>Cero</x:v>
      </x:c>
    </x:row>
    <x:row r="404">
      <x:c r="A404" t="str">
        <x:v>USR-00403</x:v>
      </x:c>
      <x:c r="B404" t="n">
        <x:v>45973</x:v>
      </x:c>
      <x:c r="C404" t="n">
        <x:v>28</x:v>
      </x:c>
      <x:c r="D404" t="str">
        <x:v>Pereira</x:v>
      </x:c>
      <x:c r="E404" t="str">
        <x:v>Risaralda</x:v>
      </x:c>
      <x:c r="F404" t="str">
        <x:v>Entre $3 M y $5 M</x:v>
      </x:c>
      <x:c r="G404" t="str">
        <x:v>Contenido educativo</x:v>
      </x:c>
      <x:c r="H404" t="n">
        <x:v>3380000</x:v>
      </x:c>
      <x:c r="I404" t="str">
        <x:v>Reducir intereses</x:v>
      </x:c>
      <x:c r="J404" t="str">
        <x:v>Plus mensual</x:v>
      </x:c>
    </x:row>
    <x:row r="405">
      <x:c r="A405" t="str">
        <x:v>USR-00404</x:v>
      </x:c>
      <x:c r="B405" t="n">
        <x:v>45964</x:v>
      </x:c>
      <x:c r="C405" t="n">
        <x:v>34</x:v>
      </x:c>
      <x:c r="D405" t="str">
        <x:v>Barranquilla</x:v>
      </x:c>
      <x:c r="E405" t="str">
        <x:v>Atlántico</x:v>
      </x:c>
      <x:c r="F405" t="str">
        <x:v>Entre $1,5 M y $3 M</x:v>
      </x:c>
      <x:c r="G405" t="str">
        <x:v>Contenido educativo</x:v>
      </x:c>
      <x:c r="H405" t="n">
        <x:v>2039000</x:v>
      </x:c>
      <x:c r="I405" t="str">
        <x:v>Reducir intereses</x:v>
      </x:c>
      <x:c r="J405" t="str">
        <x:v>Plus mensual</x:v>
      </x:c>
    </x:row>
    <x:row r="406">
      <x:c r="A406" t="str">
        <x:v>USR-00405</x:v>
      </x:c>
      <x:c r="B406" t="n">
        <x:v>45963</x:v>
      </x:c>
      <x:c r="C406" t="n">
        <x:v>21</x:v>
      </x:c>
      <x:c r="D406" t="str">
        <x:v>Bogotá</x:v>
      </x:c>
      <x:c r="E406" t="str">
        <x:v>Bogotá D.C.</x:v>
      </x:c>
      <x:c r="F406" t="str">
        <x:v>Entre $1,5 M y $3 M</x:v>
      </x:c>
      <x:c r="G406" t="str">
        <x:v>Búsqueda paga</x:v>
      </x:c>
      <x:c r="H406" t="n">
        <x:v>2149000</x:v>
      </x:c>
      <x:c r="I406" t="str">
        <x:v>Salir de deudas</x:v>
      </x:c>
      <x:c r="J406" t="str">
        <x:v>Plus anual</x:v>
      </x:c>
    </x:row>
    <x:row r="407">
      <x:c r="A407" t="str">
        <x:v>USR-00406</x:v>
      </x:c>
      <x:c r="B407" t="n">
        <x:v>45971</x:v>
      </x:c>
      <x:c r="C407" t="n">
        <x:v>62</x:v>
      </x:c>
      <x:c r="D407" t="str">
        <x:v>Medellín</x:v>
      </x:c>
      <x:c r="E407" t="str">
        <x:v>Antioquia</x:v>
      </x:c>
      <x:c r="F407" t="str">
        <x:v>Entre $1,5 M y $3 M</x:v>
      </x:c>
      <x:c r="G407" t="str">
        <x:v>Referidos</x:v>
      </x:c>
      <x:c r="H407" t="n">
        <x:v>1628000</x:v>
      </x:c>
      <x:c r="I407" t="str">
        <x:v>Salir de deudas</x:v>
      </x:c>
      <x:c r="J407" t="str">
        <x:v>Cero</x:v>
      </x:c>
    </x:row>
    <x:row r="408">
      <x:c r="A408" t="str">
        <x:v>USR-00407</x:v>
      </x:c>
      <x:c r="B408" t="n">
        <x:v>46001</x:v>
      </x:c>
      <x:c r="C408" t="n">
        <x:v>48</x:v>
      </x:c>
      <x:c r="D408" t="str">
        <x:v>Bogotá</x:v>
      </x:c>
      <x:c r="E408" t="str">
        <x:v>Bogotá D.C.</x:v>
      </x:c>
      <x:c r="F408" t="str">
        <x:v>Entre $3 M y $5 M</x:v>
      </x:c>
      <x:c r="G408" t="str">
        <x:v>Orgánico</x:v>
      </x:c>
      <x:c r="H408" t="n">
        <x:v>3699000</x:v>
      </x:c>
      <x:c r="I408" t="str">
        <x:v>Control de pagos</x:v>
      </x:c>
      <x:c r="J408" t="str">
        <x:v>Cero</x:v>
      </x:c>
    </x:row>
    <x:row r="409">
      <x:c r="A409" t="str">
        <x:v>USR-00408</x:v>
      </x:c>
      <x:c r="B409" t="n">
        <x:v>46002</x:v>
      </x:c>
      <x:c r="C409" t="n">
        <x:v>60</x:v>
      </x:c>
      <x:c r="D409" t="str">
        <x:v>Manizales</x:v>
      </x:c>
      <x:c r="E409" t="str">
        <x:v>Caldas</x:v>
      </x:c>
      <x:c r="F409" t="str">
        <x:v>Menos de $1,5 M</x:v>
      </x:c>
      <x:c r="G409" t="str">
        <x:v>Referidos</x:v>
      </x:c>
      <x:c r="H409" t="n">
        <x:v>976000</x:v>
      </x:c>
      <x:c r="I409" t="str">
        <x:v>Reducir intereses</x:v>
      </x:c>
      <x:c r="J409" t="str">
        <x:v>Cero</x:v>
      </x:c>
    </x:row>
    <x:row r="410">
      <x:c r="A410" t="str">
        <x:v>USR-00409</x:v>
      </x:c>
      <x:c r="B410" t="n">
        <x:v>45994</x:v>
      </x:c>
      <x:c r="C410" t="n">
        <x:v>51</x:v>
      </x:c>
      <x:c r="D410" t="str">
        <x:v>Bogotá</x:v>
      </x:c>
      <x:c r="E410" t="str">
        <x:v>Bogotá D.C.</x:v>
      </x:c>
      <x:c r="F410" t="str">
        <x:v>Entre $3 M y $5 M</x:v>
      </x:c>
      <x:c r="G410" t="str">
        <x:v>Contenido educativo</x:v>
      </x:c>
      <x:c r="H410" t="n">
        <x:v>4130000</x:v>
      </x:c>
      <x:c r="I410" t="str">
        <x:v>Reducir intereses</x:v>
      </x:c>
      <x:c r="J410" t="str">
        <x:v>Plus mensual</x:v>
      </x:c>
    </x:row>
    <x:row r="411">
      <x:c r="A411" t="str">
        <x:v>USR-00410</x:v>
      </x:c>
      <x:c r="B411" t="n">
        <x:v>46007</x:v>
      </x:c>
      <x:c r="C411" t="n">
        <x:v>57</x:v>
      </x:c>
      <x:c r="D411" t="str">
        <x:v>Pereira</x:v>
      </x:c>
      <x:c r="E411" t="str">
        <x:v>Risaralda</x:v>
      </x:c>
      <x:c r="F411" t="str">
        <x:v>Entre $3 M y $5 M</x:v>
      </x:c>
      <x:c r="G411" t="str">
        <x:v>Referidos</x:v>
      </x:c>
      <x:c r="H411" t="n">
        <x:v>3154000</x:v>
      </x:c>
      <x:c r="I411" t="str">
        <x:v>Salir de deudas</x:v>
      </x:c>
      <x:c r="J411" t="str">
        <x:v>Cero</x:v>
      </x:c>
    </x:row>
    <x:row r="412">
      <x:c r="A412" t="str">
        <x:v>USR-00411</x:v>
      </x:c>
      <x:c r="B412" t="n">
        <x:v>46005</x:v>
      </x:c>
      <x:c r="C412" t="n">
        <x:v>22</x:v>
      </x:c>
      <x:c r="D412" t="str">
        <x:v>Bogotá</x:v>
      </x:c>
      <x:c r="E412" t="str">
        <x:v>Bogotá D.C.</x:v>
      </x:c>
      <x:c r="F412" t="str">
        <x:v>Entre $1,5 M y $3 M</x:v>
      </x:c>
      <x:c r="G412" t="str">
        <x:v>Búsqueda paga</x:v>
      </x:c>
      <x:c r="H412" t="n">
        <x:v>2705000</x:v>
      </x:c>
      <x:c r="I412" t="str">
        <x:v>Organización inicial</x:v>
      </x:c>
      <x:c r="J412" t="str">
        <x:v>Cero</x:v>
      </x:c>
    </x:row>
    <x:row r="413">
      <x:c r="A413" t="str">
        <x:v>USR-00412</x:v>
      </x:c>
      <x:c r="B413" t="n">
        <x:v>45992</x:v>
      </x:c>
      <x:c r="C413" t="n">
        <x:v>42</x:v>
      </x:c>
      <x:c r="D413" t="str">
        <x:v>Medellín</x:v>
      </x:c>
      <x:c r="E413" t="str">
        <x:v>Antioquia</x:v>
      </x:c>
      <x:c r="F413" t="str">
        <x:v>Entre $1,5 M y $3 M</x:v>
      </x:c>
      <x:c r="G413" t="str">
        <x:v>Orgánico</x:v>
      </x:c>
      <x:c r="H413" t="n">
        <x:v>2906000</x:v>
      </x:c>
      <x:c r="I413" t="str">
        <x:v>Salir de deudas</x:v>
      </x:c>
      <x:c r="J413" t="str">
        <x:v>Cero</x:v>
      </x:c>
    </x:row>
    <x:row r="414">
      <x:c r="A414" t="str">
        <x:v>USR-00413</x:v>
      </x:c>
      <x:c r="B414" t="n">
        <x:v>45992</x:v>
      </x:c>
      <x:c r="C414" t="n">
        <x:v>53</x:v>
      </x:c>
      <x:c r="D414" t="str">
        <x:v>Manizales</x:v>
      </x:c>
      <x:c r="E414" t="str">
        <x:v>Caldas</x:v>
      </x:c>
      <x:c r="F414" t="str">
        <x:v>Menos de $1,5 M</x:v>
      </x:c>
      <x:c r="G414" t="str">
        <x:v>Referidos</x:v>
      </x:c>
      <x:c r="H414" t="n">
        <x:v>1044000</x:v>
      </x:c>
      <x:c r="I414" t="str">
        <x:v>Control de pagos</x:v>
      </x:c>
      <x:c r="J414" t="str">
        <x:v>Plus mensual</x:v>
      </x:c>
    </x:row>
    <x:row r="415">
      <x:c r="A415" t="str">
        <x:v>USR-00414</x:v>
      </x:c>
      <x:c r="B415" t="n">
        <x:v>46014</x:v>
      </x:c>
      <x:c r="C415" t="n">
        <x:v>22</x:v>
      </x:c>
      <x:c r="D415" t="str">
        <x:v>Bogotá</x:v>
      </x:c>
      <x:c r="E415" t="str">
        <x:v>Bogotá D.C.</x:v>
      </x:c>
      <x:c r="F415" t="str">
        <x:v>Entre $1,5 M y $3 M</x:v>
      </x:c>
      <x:c r="G415" t="str">
        <x:v>Alianzas</x:v>
      </x:c>
      <x:c r="H415" t="n">
        <x:v>2406000</x:v>
      </x:c>
      <x:c r="I415" t="str">
        <x:v>Control de pagos</x:v>
      </x:c>
      <x:c r="J415" t="str">
        <x:v>Plus mensual</x:v>
      </x:c>
    </x:row>
    <x:row r="416">
      <x:c r="A416" t="str">
        <x:v>USR-00415</x:v>
      </x:c>
      <x:c r="B416" t="n">
        <x:v>45995</x:v>
      </x:c>
      <x:c r="C416" t="n">
        <x:v>38</x:v>
      </x:c>
      <x:c r="D416" t="str">
        <x:v>Pereira</x:v>
      </x:c>
      <x:c r="E416" t="str">
        <x:v>Risaralda</x:v>
      </x:c>
      <x:c r="F416" t="str">
        <x:v>Entre $3 M y $5 M</x:v>
      </x:c>
      <x:c r="G416" t="str">
        <x:v>Redes sociales</x:v>
      </x:c>
      <x:c r="H416" t="n">
        <x:v>4809000</x:v>
      </x:c>
      <x:c r="I416" t="str">
        <x:v>Reducir intereses</x:v>
      </x:c>
      <x:c r="J416" t="str">
        <x:v>Cero</x:v>
      </x:c>
    </x:row>
    <x:row r="417">
      <x:c r="A417" t="str">
        <x:v>USR-00416</x:v>
      </x:c>
      <x:c r="B417" t="n">
        <x:v>45997</x:v>
      </x:c>
      <x:c r="C417" t="n">
        <x:v>51</x:v>
      </x:c>
      <x:c r="D417" t="str">
        <x:v>Bogotá</x:v>
      </x:c>
      <x:c r="E417" t="str">
        <x:v>Bogotá D.C.</x:v>
      </x:c>
      <x:c r="F417" t="str">
        <x:v>Menos de $1,5 M</x:v>
      </x:c>
      <x:c r="G417" t="str">
        <x:v>Alianzas</x:v>
      </x:c>
      <x:c r="H417" t="n">
        <x:v>1467000</x:v>
      </x:c>
      <x:c r="I417" t="str">
        <x:v>Control de pagos</x:v>
      </x:c>
      <x:c r="J417" t="str">
        <x:v>Plus mensual</x:v>
      </x:c>
    </x:row>
    <x:row r="418">
      <x:c r="A418" t="str">
        <x:v>USR-00417</x:v>
      </x:c>
      <x:c r="B418" t="n">
        <x:v>45992</x:v>
      </x:c>
      <x:c r="C418" t="n">
        <x:v>35</x:v>
      </x:c>
      <x:c r="D418" t="str">
        <x:v>Manizales</x:v>
      </x:c>
      <x:c r="E418" t="str">
        <x:v>Caldas</x:v>
      </x:c>
      <x:c r="F418" t="str">
        <x:v>Menos de $1,5 M</x:v>
      </x:c>
      <x:c r="G418" t="str">
        <x:v>Redes sociales</x:v>
      </x:c>
      <x:c r="H418" t="n">
        <x:v>1476000</x:v>
      </x:c>
      <x:c r="I418" t="str">
        <x:v>Organización inicial</x:v>
      </x:c>
      <x:c r="J418" t="str">
        <x:v>Cero</x:v>
      </x:c>
    </x:row>
    <x:row r="419">
      <x:c r="A419" t="str">
        <x:v>USR-00418</x:v>
      </x:c>
      <x:c r="B419" t="n">
        <x:v>45994</x:v>
      </x:c>
      <x:c r="C419" t="n">
        <x:v>28</x:v>
      </x:c>
      <x:c r="D419" t="str">
        <x:v>Bucaramanga</x:v>
      </x:c>
      <x:c r="E419" t="str">
        <x:v>Santander</x:v>
      </x:c>
      <x:c r="F419" t="str">
        <x:v>Entre $3 M y $5 M</x:v>
      </x:c>
      <x:c r="G419" t="str">
        <x:v>Redes sociales</x:v>
      </x:c>
      <x:c r="H419" t="n">
        <x:v>4985000</x:v>
      </x:c>
      <x:c r="I419" t="str">
        <x:v>Organización inicial</x:v>
      </x:c>
      <x:c r="J419" t="str">
        <x:v>Cero</x:v>
      </x:c>
    </x:row>
    <x:row r="420">
      <x:c r="A420" t="str">
        <x:v>USR-00419</x:v>
      </x:c>
      <x:c r="B420" t="n">
        <x:v>46006</x:v>
      </x:c>
      <x:c r="C420" t="n">
        <x:v>37</x:v>
      </x:c>
      <x:c r="D420" t="str">
        <x:v>Villavicencio</x:v>
      </x:c>
      <x:c r="E420" t="str">
        <x:v>Meta</x:v>
      </x:c>
      <x:c r="F420" t="str">
        <x:v>Entre $1,5 M y $3 M</x:v>
      </x:c>
      <x:c r="G420" t="str">
        <x:v>Búsqueda paga</x:v>
      </x:c>
      <x:c r="H420" t="n">
        <x:v>2908000</x:v>
      </x:c>
      <x:c r="I420" t="str">
        <x:v>Reducir intereses</x:v>
      </x:c>
      <x:c r="J420" t="str">
        <x:v>Cero</x:v>
      </x:c>
    </x:row>
    <x:row r="421">
      <x:c r="A421" t="str">
        <x:v>USR-00420</x:v>
      </x:c>
      <x:c r="B421" t="n">
        <x:v>46005</x:v>
      </x:c>
      <x:c r="C421" t="n">
        <x:v>49</x:v>
      </x:c>
      <x:c r="D421" t="str">
        <x:v>Bogotá</x:v>
      </x:c>
      <x:c r="E421" t="str">
        <x:v>Bogotá D.C.</x:v>
      </x:c>
      <x:c r="F421" t="str">
        <x:v>Más de $5 M</x:v>
      </x:c>
      <x:c r="G421" t="str">
        <x:v>Referidos</x:v>
      </x:c>
      <x:c r="H421" t="n">
        <x:v>6469000</x:v>
      </x:c>
      <x:c r="I421" t="str">
        <x:v>Salir de deudas</x:v>
      </x:c>
      <x:c r="J421" t="str">
        <x:v>Plus mensual</x:v>
      </x:c>
    </x:row>
    <x:row r="422">
      <x:c r="A422" t="str">
        <x:v>USR-00421</x:v>
      </x:c>
      <x:c r="B422" t="n">
        <x:v>46013</x:v>
      </x:c>
      <x:c r="C422" t="n">
        <x:v>36</x:v>
      </x:c>
      <x:c r="D422" t="str">
        <x:v>Medellín</x:v>
      </x:c>
      <x:c r="E422" t="str">
        <x:v>Antioquia</x:v>
      </x:c>
      <x:c r="F422" t="str">
        <x:v>Menos de $1,5 M</x:v>
      </x:c>
      <x:c r="G422" t="str">
        <x:v>Referidos</x:v>
      </x:c>
      <x:c r="H422" t="n">
        <x:v>943000</x:v>
      </x:c>
      <x:c r="I422" t="str">
        <x:v>Salir de deudas</x:v>
      </x:c>
      <x:c r="J422" t="str">
        <x:v>Plus mensual</x:v>
      </x:c>
    </x:row>
    <x:row r="423">
      <x:c r="A423" t="str">
        <x:v>USR-00422</x:v>
      </x:c>
      <x:c r="B423" t="n">
        <x:v>45997</x:v>
      </x:c>
      <x:c r="C423" t="n">
        <x:v>60</x:v>
      </x:c>
      <x:c r="D423" t="str">
        <x:v>Bogotá</x:v>
      </x:c>
      <x:c r="E423" t="str">
        <x:v>Bogotá D.C.</x:v>
      </x:c>
      <x:c r="F423" t="str">
        <x:v>Menos de $1,5 M</x:v>
      </x:c>
      <x:c r="G423" t="str">
        <x:v>Orgánico</x:v>
      </x:c>
      <x:c r="H423" t="n">
        <x:v>998000</x:v>
      </x:c>
      <x:c r="I423" t="str">
        <x:v>Organización inicial</x:v>
      </x:c>
      <x:c r="J423" t="str">
        <x:v>Plus mensual</x:v>
      </x:c>
    </x:row>
    <x:row r="424">
      <x:c r="A424" t="str">
        <x:v>USR-00423</x:v>
      </x:c>
      <x:c r="B424" t="n">
        <x:v>45996</x:v>
      </x:c>
      <x:c r="C424" t="n">
        <x:v>62</x:v>
      </x:c>
      <x:c r="D424" t="str">
        <x:v>Cartagena</x:v>
      </x:c>
      <x:c r="E424" t="str">
        <x:v>Bolívar</x:v>
      </x:c>
      <x:c r="F424" t="str">
        <x:v>Entre $3 M y $5 M</x:v>
      </x:c>
      <x:c r="G424" t="str">
        <x:v>Referidos</x:v>
      </x:c>
      <x:c r="H424" t="n">
        <x:v>4951000</x:v>
      </x:c>
      <x:c r="I424" t="str">
        <x:v>Organización inicial</x:v>
      </x:c>
      <x:c r="J424" t="str">
        <x:v>Plus mensual</x:v>
      </x:c>
    </x:row>
    <x:row r="425">
      <x:c r="A425" t="str">
        <x:v>USR-00424</x:v>
      </x:c>
      <x:c r="B425" t="n">
        <x:v>46011</x:v>
      </x:c>
      <x:c r="C425" t="n">
        <x:v>58</x:v>
      </x:c>
      <x:c r="D425" t="str">
        <x:v>Medellín</x:v>
      </x:c>
      <x:c r="E425" t="str">
        <x:v>Antioquia</x:v>
      </x:c>
      <x:c r="F425" t="str">
        <x:v>Entre $3 M y $5 M</x:v>
      </x:c>
      <x:c r="G425" t="str">
        <x:v>Referidos</x:v>
      </x:c>
      <x:c r="H425" t="n">
        <x:v>4608000</x:v>
      </x:c>
      <x:c r="I425" t="str">
        <x:v>Reducir intereses</x:v>
      </x:c>
      <x:c r="J425" t="str">
        <x:v>Plus anual</x:v>
      </x:c>
    </x:row>
    <x:row r="426">
      <x:c r="A426" t="str">
        <x:v>USR-00425</x:v>
      </x:c>
      <x:c r="B426" t="n">
        <x:v>46005</x:v>
      </x:c>
      <x:c r="C426" t="n">
        <x:v>34</x:v>
      </x:c>
      <x:c r="D426" t="str">
        <x:v>Cali</x:v>
      </x:c>
      <x:c r="E426" t="str">
        <x:v>Valle del Cauca</x:v>
      </x:c>
      <x:c r="F426" t="str">
        <x:v>Entre $1,5 M y $3 M</x:v>
      </x:c>
      <x:c r="G426" t="str">
        <x:v>Orgánico</x:v>
      </x:c>
      <x:c r="H426" t="n">
        <x:v>1799000</x:v>
      </x:c>
      <x:c r="I426" t="str">
        <x:v>Organización inicial</x:v>
      </x:c>
      <x:c r="J426" t="str">
        <x:v>Cero</x:v>
      </x:c>
    </x:row>
    <x:row r="427">
      <x:c r="A427" t="str">
        <x:v>USR-00426</x:v>
      </x:c>
      <x:c r="B427" t="n">
        <x:v>46012</x:v>
      </x:c>
      <x:c r="C427" t="n">
        <x:v>52</x:v>
      </x:c>
      <x:c r="D427" t="str">
        <x:v>Barranquilla</x:v>
      </x:c>
      <x:c r="E427" t="str">
        <x:v>Atlántico</x:v>
      </x:c>
      <x:c r="F427" t="str">
        <x:v>Entre $3 M y $5 M</x:v>
      </x:c>
      <x:c r="G427" t="str">
        <x:v>Búsqueda paga</x:v>
      </x:c>
      <x:c r="H427" t="n">
        <x:v>4762000</x:v>
      </x:c>
      <x:c r="I427" t="str">
        <x:v>Control de pagos</x:v>
      </x:c>
      <x:c r="J427" t="str">
        <x:v>Plus anual</x:v>
      </x:c>
    </x:row>
    <x:row r="428">
      <x:c r="A428" t="str">
        <x:v>USR-00427</x:v>
      </x:c>
      <x:c r="B428" t="n">
        <x:v>46012</x:v>
      </x:c>
      <x:c r="C428" t="n">
        <x:v>51</x:v>
      </x:c>
      <x:c r="D428" t="str">
        <x:v>Bogotá</x:v>
      </x:c>
      <x:c r="E428" t="str">
        <x:v>Bogotá D.C.</x:v>
      </x:c>
      <x:c r="F428" t="str">
        <x:v>Entre $1,5 M y $3 M</x:v>
      </x:c>
      <x:c r="G428" t="str">
        <x:v>Referidos</x:v>
      </x:c>
      <x:c r="H428" t="n">
        <x:v>1774000</x:v>
      </x:c>
      <x:c r="I428" t="str">
        <x:v>Salir de deudas</x:v>
      </x:c>
      <x:c r="J428" t="str">
        <x:v>Cero</x:v>
      </x:c>
    </x:row>
    <x:row r="429">
      <x:c r="A429" t="str">
        <x:v>USR-00428</x:v>
      </x:c>
      <x:c r="B429" t="n">
        <x:v>45995</x:v>
      </x:c>
      <x:c r="C429" t="n">
        <x:v>41</x:v>
      </x:c>
      <x:c r="D429" t="str">
        <x:v>Bucaramanga</x:v>
      </x:c>
      <x:c r="E429" t="str">
        <x:v>Santander</x:v>
      </x:c>
      <x:c r="F429" t="str">
        <x:v>Entre $1,5 M y $3 M</x:v>
      </x:c>
      <x:c r="G429" t="str">
        <x:v>Redes sociales</x:v>
      </x:c>
      <x:c r="H429" t="n">
        <x:v>1976000</x:v>
      </x:c>
      <x:c r="I429" t="str">
        <x:v>Organización inicial</x:v>
      </x:c>
      <x:c r="J429" t="str">
        <x:v>Cero</x:v>
      </x:c>
    </x:row>
    <x:row r="430">
      <x:c r="A430" t="str">
        <x:v>USR-00429</x:v>
      </x:c>
      <x:c r="B430" t="n">
        <x:v>46001</x:v>
      </x:c>
      <x:c r="C430" t="n">
        <x:v>36</x:v>
      </x:c>
      <x:c r="D430" t="str">
        <x:v>Medellín</x:v>
      </x:c>
      <x:c r="E430" t="str">
        <x:v>Antioquia</x:v>
      </x:c>
      <x:c r="F430" t="str">
        <x:v>Entre $3 M y $5 M</x:v>
      </x:c>
      <x:c r="G430" t="str">
        <x:v>Alianzas</x:v>
      </x:c>
      <x:c r="H430" t="n">
        <x:v>4519000</x:v>
      </x:c>
      <x:c r="I430" t="str">
        <x:v>Salir de deudas</x:v>
      </x:c>
      <x:c r="J430" t="str">
        <x:v>Inactivo</x:v>
      </x:c>
    </x:row>
    <x:row r="431">
      <x:c r="A431" t="str">
        <x:v>USR-00430</x:v>
      </x:c>
      <x:c r="B431" t="n">
        <x:v>46005</x:v>
      </x:c>
      <x:c r="C431" t="n">
        <x:v>52</x:v>
      </x:c>
      <x:c r="D431" t="str">
        <x:v>Medellín</x:v>
      </x:c>
      <x:c r="E431" t="str">
        <x:v>Antioquia</x:v>
      </x:c>
      <x:c r="F431" t="str">
        <x:v>Entre $3 M y $5 M</x:v>
      </x:c>
      <x:c r="G431" t="str">
        <x:v>Orgánico</x:v>
      </x:c>
      <x:c r="H431" t="n">
        <x:v>3748000</x:v>
      </x:c>
      <x:c r="I431" t="str">
        <x:v>Reducir intereses</x:v>
      </x:c>
      <x:c r="J431" t="str">
        <x:v>Plus anual</x:v>
      </x:c>
    </x:row>
    <x:row r="432">
      <x:c r="A432" t="str">
        <x:v>USR-00431</x:v>
      </x:c>
      <x:c r="B432" t="n">
        <x:v>46018</x:v>
      </x:c>
      <x:c r="C432" t="n">
        <x:v>36</x:v>
      </x:c>
      <x:c r="D432" t="str">
        <x:v>Bogotá</x:v>
      </x:c>
      <x:c r="E432" t="str">
        <x:v>Bogotá D.C.</x:v>
      </x:c>
      <x:c r="F432" t="str">
        <x:v>Entre $1,5 M y $3 M</x:v>
      </x:c>
      <x:c r="G432" t="str">
        <x:v>Redes sociales</x:v>
      </x:c>
      <x:c r="H432" t="n">
        <x:v>1898000</x:v>
      </x:c>
      <x:c r="I432" t="str">
        <x:v>Organización inicial</x:v>
      </x:c>
      <x:c r="J432" t="str">
        <x:v>Cero</x:v>
      </x:c>
    </x:row>
    <x:row r="433">
      <x:c r="A433" t="str">
        <x:v>USR-00432</x:v>
      </x:c>
      <x:c r="B433" t="n">
        <x:v>46010</x:v>
      </x:c>
      <x:c r="C433" t="n">
        <x:v>28</x:v>
      </x:c>
      <x:c r="D433" t="str">
        <x:v>Bogotá</x:v>
      </x:c>
      <x:c r="E433" t="str">
        <x:v>Bogotá D.C.</x:v>
      </x:c>
      <x:c r="F433" t="str">
        <x:v>Menos de $1,5 M</x:v>
      </x:c>
      <x:c r="G433" t="str">
        <x:v>Búsqueda paga</x:v>
      </x:c>
      <x:c r="H433" t="n">
        <x:v>1341000</x:v>
      </x:c>
      <x:c r="I433" t="str">
        <x:v>Salir de deudas</x:v>
      </x:c>
      <x:c r="J433" t="str">
        <x:v>Cero</x:v>
      </x:c>
    </x:row>
    <x:row r="434">
      <x:c r="A434" t="str">
        <x:v>USR-00433</x:v>
      </x:c>
      <x:c r="B434" t="n">
        <x:v>45994</x:v>
      </x:c>
      <x:c r="C434" t="n">
        <x:v>62</x:v>
      </x:c>
      <x:c r="D434" t="str">
        <x:v>Bogotá</x:v>
      </x:c>
      <x:c r="E434" t="str">
        <x:v>Bogotá D.C.</x:v>
      </x:c>
      <x:c r="F434" t="str">
        <x:v>Menos de $1,5 M</x:v>
      </x:c>
      <x:c r="G434" t="str">
        <x:v>Orgánico</x:v>
      </x:c>
      <x:c r="H434" t="n">
        <x:v>1173000</x:v>
      </x:c>
      <x:c r="I434" t="str">
        <x:v>Organización inicial</x:v>
      </x:c>
      <x:c r="J434" t="str">
        <x:v>Cero</x:v>
      </x:c>
    </x:row>
    <x:row r="435">
      <x:c r="A435" t="str">
        <x:v>USR-00434</x:v>
      </x:c>
      <x:c r="B435" t="n">
        <x:v>45993</x:v>
      </x:c>
      <x:c r="C435" t="n">
        <x:v>61</x:v>
      </x:c>
      <x:c r="D435" t="str">
        <x:v>Bogotá</x:v>
      </x:c>
      <x:c r="E435" t="str">
        <x:v>Bogotá D.C.</x:v>
      </x:c>
      <x:c r="F435" t="str">
        <x:v>Entre $1,5 M y $3 M</x:v>
      </x:c>
      <x:c r="G435" t="str">
        <x:v>Búsqueda paga</x:v>
      </x:c>
      <x:c r="H435" t="n">
        <x:v>1628000</x:v>
      </x:c>
      <x:c r="I435" t="str">
        <x:v>Control de pagos</x:v>
      </x:c>
      <x:c r="J435" t="str">
        <x:v>Cero</x:v>
      </x:c>
    </x:row>
    <x:row r="436">
      <x:c r="A436" t="str">
        <x:v>USR-00435</x:v>
      </x:c>
      <x:c r="B436" t="n">
        <x:v>46014</x:v>
      </x:c>
      <x:c r="C436" t="n">
        <x:v>49</x:v>
      </x:c>
      <x:c r="D436" t="str">
        <x:v>Cali</x:v>
      </x:c>
      <x:c r="E436" t="str">
        <x:v>Valle del Cauca</x:v>
      </x:c>
      <x:c r="F436" t="str">
        <x:v>Entre $1,5 M y $3 M</x:v>
      </x:c>
      <x:c r="G436" t="str">
        <x:v>Alianzas</x:v>
      </x:c>
      <x:c r="H436" t="n">
        <x:v>2373000</x:v>
      </x:c>
      <x:c r="I436" t="str">
        <x:v>Salir de deudas</x:v>
      </x:c>
      <x:c r="J436" t="str">
        <x:v>Inactivo</x:v>
      </x:c>
    </x:row>
    <x:row r="437">
      <x:c r="A437" t="str">
        <x:v>USR-00436</x:v>
      </x:c>
      <x:c r="B437" t="n">
        <x:v>46016</x:v>
      </x:c>
      <x:c r="C437" t="n">
        <x:v>60</x:v>
      </x:c>
      <x:c r="D437" t="str">
        <x:v>Barranquilla</x:v>
      </x:c>
      <x:c r="E437" t="str">
        <x:v>Atlántico</x:v>
      </x:c>
      <x:c r="F437" t="str">
        <x:v>Entre $1,5 M y $3 M</x:v>
      </x:c>
      <x:c r="G437" t="str">
        <x:v>Orgánico</x:v>
      </x:c>
      <x:c r="H437" t="n">
        <x:v>2689000</x:v>
      </x:c>
      <x:c r="I437" t="str">
        <x:v>Control de pagos</x:v>
      </x:c>
      <x:c r="J437" t="str">
        <x:v>Cero</x:v>
      </x:c>
    </x:row>
    <x:row r="438">
      <x:c r="A438" t="str">
        <x:v>USR-00437</x:v>
      </x:c>
      <x:c r="B438" t="n">
        <x:v>46013</x:v>
      </x:c>
      <x:c r="C438" t="n">
        <x:v>43</x:v>
      </x:c>
      <x:c r="D438" t="str">
        <x:v>Barranquilla</x:v>
      </x:c>
      <x:c r="E438" t="str">
        <x:v>Atlántico</x:v>
      </x:c>
      <x:c r="F438" t="str">
        <x:v>Entre $3 M y $5 M</x:v>
      </x:c>
      <x:c r="G438" t="str">
        <x:v>Orgánico</x:v>
      </x:c>
      <x:c r="H438" t="n">
        <x:v>3189000</x:v>
      </x:c>
      <x:c r="I438" t="str">
        <x:v>Organización inicial</x:v>
      </x:c>
      <x:c r="J438" t="str">
        <x:v>Plus mensual</x:v>
      </x:c>
    </x:row>
    <x:row r="439">
      <x:c r="A439" t="str">
        <x:v>USR-00438</x:v>
      </x:c>
      <x:c r="B439" t="n">
        <x:v>46017</x:v>
      </x:c>
      <x:c r="C439" t="n">
        <x:v>58</x:v>
      </x:c>
      <x:c r="D439" t="str">
        <x:v>Cali</x:v>
      </x:c>
      <x:c r="E439" t="str">
        <x:v>Valle del Cauca</x:v>
      </x:c>
      <x:c r="F439" t="str">
        <x:v>Entre $1,5 M y $3 M</x:v>
      </x:c>
      <x:c r="G439" t="str">
        <x:v>Referidos</x:v>
      </x:c>
      <x:c r="H439" t="n">
        <x:v>2008000</x:v>
      </x:c>
      <x:c r="I439" t="str">
        <x:v>Reducir intereses</x:v>
      </x:c>
      <x:c r="J439" t="str">
        <x:v>Plus anual</x:v>
      </x:c>
    </x:row>
    <x:row r="440">
      <x:c r="A440" t="str">
        <x:v>USR-00439</x:v>
      </x:c>
      <x:c r="B440" t="n">
        <x:v>46010</x:v>
      </x:c>
      <x:c r="C440" t="n">
        <x:v>29</x:v>
      </x:c>
      <x:c r="D440" t="str">
        <x:v>Cali</x:v>
      </x:c>
      <x:c r="E440" t="str">
        <x:v>Valle del Cauca</x:v>
      </x:c>
      <x:c r="F440" t="str">
        <x:v>Menos de $1,5 M</x:v>
      </x:c>
      <x:c r="G440" t="str">
        <x:v>Orgánico</x:v>
      </x:c>
      <x:c r="H440" t="n">
        <x:v>1242000</x:v>
      </x:c>
      <x:c r="I440" t="str">
        <x:v>Salir de deudas</x:v>
      </x:c>
      <x:c r="J440" t="str">
        <x:v>Cero</x:v>
      </x:c>
    </x:row>
    <x:row r="441">
      <x:c r="A441" t="str">
        <x:v>USR-00440</x:v>
      </x:c>
      <x:c r="B441" t="n">
        <x:v>46010</x:v>
      </x:c>
      <x:c r="C441" t="n">
        <x:v>42</x:v>
      </x:c>
      <x:c r="D441" t="str">
        <x:v>Bogotá</x:v>
      </x:c>
      <x:c r="E441" t="str">
        <x:v>Bogotá D.C.</x:v>
      </x:c>
      <x:c r="F441" t="str">
        <x:v>Menos de $1,5 M</x:v>
      </x:c>
      <x:c r="G441" t="str">
        <x:v>Redes sociales</x:v>
      </x:c>
      <x:c r="H441" t="n">
        <x:v>1474000</x:v>
      </x:c>
      <x:c r="I441" t="str">
        <x:v>Salir de deudas</x:v>
      </x:c>
      <x:c r="J441" t="str">
        <x:v>Plus mensual</x:v>
      </x:c>
    </x:row>
    <x:row r="442">
      <x:c r="A442" t="str">
        <x:v>USR-00441</x:v>
      </x:c>
      <x:c r="B442" t="n">
        <x:v>45992</x:v>
      </x:c>
      <x:c r="C442" t="n">
        <x:v>37</x:v>
      </x:c>
      <x:c r="D442" t="str">
        <x:v>Barranquilla</x:v>
      </x:c>
      <x:c r="E442" t="str">
        <x:v>Atlántico</x:v>
      </x:c>
      <x:c r="F442" t="str">
        <x:v>Menos de $1,5 M</x:v>
      </x:c>
      <x:c r="G442" t="str">
        <x:v>Redes sociales</x:v>
      </x:c>
      <x:c r="H442" t="n">
        <x:v>1302000</x:v>
      </x:c>
      <x:c r="I442" t="str">
        <x:v>Control de pagos</x:v>
      </x:c>
      <x:c r="J442" t="str">
        <x:v>Cero</x:v>
      </x:c>
    </x:row>
    <x:row r="443">
      <x:c r="A443" t="str">
        <x:v>USR-00442</x:v>
      </x:c>
      <x:c r="B443" t="n">
        <x:v>46018</x:v>
      </x:c>
      <x:c r="C443" t="n">
        <x:v>61</x:v>
      </x:c>
      <x:c r="D443" t="str">
        <x:v>Cali</x:v>
      </x:c>
      <x:c r="E443" t="str">
        <x:v>Valle del Cauca</x:v>
      </x:c>
      <x:c r="F443" t="str">
        <x:v>Entre $1,5 M y $3 M</x:v>
      </x:c>
      <x:c r="G443" t="str">
        <x:v>Búsqueda paga</x:v>
      </x:c>
      <x:c r="H443" t="n">
        <x:v>2530000</x:v>
      </x:c>
      <x:c r="I443" t="str">
        <x:v>Salir de deudas</x:v>
      </x:c>
      <x:c r="J443" t="str">
        <x:v>Cero</x:v>
      </x:c>
    </x:row>
    <x:row r="444">
      <x:c r="A444" t="str">
        <x:v>USR-00443</x:v>
      </x:c>
      <x:c r="B444" t="n">
        <x:v>46013</x:v>
      </x:c>
      <x:c r="C444" t="n">
        <x:v>60</x:v>
      </x:c>
      <x:c r="D444" t="str">
        <x:v>Bogotá</x:v>
      </x:c>
      <x:c r="E444" t="str">
        <x:v>Bogotá D.C.</x:v>
      </x:c>
      <x:c r="F444" t="str">
        <x:v>Entre $1,5 M y $3 M</x:v>
      </x:c>
      <x:c r="G444" t="str">
        <x:v>Orgánico</x:v>
      </x:c>
      <x:c r="H444" t="n">
        <x:v>1721000</x:v>
      </x:c>
      <x:c r="I444" t="str">
        <x:v>Control de pagos</x:v>
      </x:c>
      <x:c r="J444" t="str">
        <x:v>Cero</x:v>
      </x:c>
    </x:row>
    <x:row r="445">
      <x:c r="A445" t="str">
        <x:v>USR-00444</x:v>
      </x:c>
      <x:c r="B445" t="n">
        <x:v>46010</x:v>
      </x:c>
      <x:c r="C445" t="n">
        <x:v>20</x:v>
      </x:c>
      <x:c r="D445" t="str">
        <x:v>Barranquilla</x:v>
      </x:c>
      <x:c r="E445" t="str">
        <x:v>Atlántico</x:v>
      </x:c>
      <x:c r="F445" t="str">
        <x:v>Entre $1,5 M y $3 M</x:v>
      </x:c>
      <x:c r="G445" t="str">
        <x:v>Redes sociales</x:v>
      </x:c>
      <x:c r="H445" t="n">
        <x:v>2323000</x:v>
      </x:c>
      <x:c r="I445" t="str">
        <x:v>Control de pagos</x:v>
      </x:c>
      <x:c r="J445" t="str">
        <x:v>Plus mensual</x:v>
      </x:c>
    </x:row>
    <x:row r="446">
      <x:c r="A446" t="str">
        <x:v>USR-00445</x:v>
      </x:c>
      <x:c r="B446" t="n">
        <x:v>46002</x:v>
      </x:c>
      <x:c r="C446" t="n">
        <x:v>22</x:v>
      </x:c>
      <x:c r="D446" t="str">
        <x:v>Cali</x:v>
      </x:c>
      <x:c r="E446" t="str">
        <x:v>Valle del Cauca</x:v>
      </x:c>
      <x:c r="F446" t="str">
        <x:v>Entre $1,5 M y $3 M</x:v>
      </x:c>
      <x:c r="G446" t="str">
        <x:v>Alianzas</x:v>
      </x:c>
      <x:c r="H446" t="n">
        <x:v>1609000</x:v>
      </x:c>
      <x:c r="I446" t="str">
        <x:v>Organización inicial</x:v>
      </x:c>
      <x:c r="J446" t="str">
        <x:v>Cero</x:v>
      </x:c>
    </x:row>
    <x:row r="447">
      <x:c r="A447" t="str">
        <x:v>USR-00446</x:v>
      </x:c>
      <x:c r="B447" t="n">
        <x:v>46012</x:v>
      </x:c>
      <x:c r="C447" t="n">
        <x:v>50</x:v>
      </x:c>
      <x:c r="D447" t="str">
        <x:v>Cali</x:v>
      </x:c>
      <x:c r="E447" t="str">
        <x:v>Valle del Cauca</x:v>
      </x:c>
      <x:c r="F447" t="str">
        <x:v>Entre $3 M y $5 M</x:v>
      </x:c>
      <x:c r="G447" t="str">
        <x:v>Redes sociales</x:v>
      </x:c>
      <x:c r="H447" t="n">
        <x:v>3728000</x:v>
      </x:c>
      <x:c r="I447" t="str">
        <x:v>Control de pagos</x:v>
      </x:c>
      <x:c r="J447" t="str">
        <x:v>Plus mensual</x:v>
      </x:c>
    </x:row>
    <x:row r="448">
      <x:c r="A448" t="str">
        <x:v>USR-00447</x:v>
      </x:c>
      <x:c r="B448" t="n">
        <x:v>45993</x:v>
      </x:c>
      <x:c r="C448" t="n">
        <x:v>23</x:v>
      </x:c>
      <x:c r="D448" t="str">
        <x:v>Bogotá</x:v>
      </x:c>
      <x:c r="E448" t="str">
        <x:v>Bogotá D.C.</x:v>
      </x:c>
      <x:c r="F448" t="str">
        <x:v>Entre $1,5 M y $3 M</x:v>
      </x:c>
      <x:c r="G448" t="str">
        <x:v>Contenido educativo</x:v>
      </x:c>
      <x:c r="H448" t="n">
        <x:v>2871000</x:v>
      </x:c>
      <x:c r="I448" t="str">
        <x:v>Organización inicial</x:v>
      </x:c>
      <x:c r="J448" t="str">
        <x:v>Cero</x:v>
      </x:c>
    </x:row>
    <x:row r="449">
      <x:c r="A449" t="str">
        <x:v>USR-00448</x:v>
      </x:c>
      <x:c r="B449" t="n">
        <x:v>46001</x:v>
      </x:c>
      <x:c r="C449" t="n">
        <x:v>23</x:v>
      </x:c>
      <x:c r="D449" t="str">
        <x:v>Medellín</x:v>
      </x:c>
      <x:c r="E449" t="str">
        <x:v>Antioquia</x:v>
      </x:c>
      <x:c r="F449" t="str">
        <x:v>Entre $1,5 M y $3 M</x:v>
      </x:c>
      <x:c r="G449" t="str">
        <x:v>Contenido educativo</x:v>
      </x:c>
      <x:c r="H449" t="n">
        <x:v>2437000</x:v>
      </x:c>
      <x:c r="I449" t="str">
        <x:v>Salir de deudas</x:v>
      </x:c>
      <x:c r="J449" t="str">
        <x:v>Cero</x:v>
      </x:c>
    </x:row>
    <x:row r="450">
      <x:c r="A450" t="str">
        <x:v>USR-00449</x:v>
      </x:c>
      <x:c r="B450" t="n">
        <x:v>46010</x:v>
      </x:c>
      <x:c r="C450" t="n">
        <x:v>47</x:v>
      </x:c>
      <x:c r="D450" t="str">
        <x:v>Bogotá</x:v>
      </x:c>
      <x:c r="E450" t="str">
        <x:v>Bogotá D.C.</x:v>
      </x:c>
      <x:c r="F450" t="str">
        <x:v>Entre $1,5 M y $3 M</x:v>
      </x:c>
      <x:c r="G450" t="str">
        <x:v>Orgánico</x:v>
      </x:c>
      <x:c r="H450" t="n">
        <x:v>2957000</x:v>
      </x:c>
      <x:c r="I450" t="str">
        <x:v>Reducir intereses</x:v>
      </x:c>
      <x:c r="J450" t="str">
        <x:v>Inactivo</x:v>
      </x:c>
    </x:row>
    <x:row r="451">
      <x:c r="A451" t="str">
        <x:v>USR-00450</x:v>
      </x:c>
      <x:c r="B451" t="n">
        <x:v>45992</x:v>
      </x:c>
      <x:c r="C451" t="n">
        <x:v>53</x:v>
      </x:c>
      <x:c r="D451" t="str">
        <x:v>Medellín</x:v>
      </x:c>
      <x:c r="E451" t="str">
        <x:v>Antioquia</x:v>
      </x:c>
      <x:c r="F451" t="str">
        <x:v>Entre $3 M y $5 M</x:v>
      </x:c>
      <x:c r="G451" t="str">
        <x:v>Referidos</x:v>
      </x:c>
      <x:c r="H451" t="n">
        <x:v>4609000</x:v>
      </x:c>
      <x:c r="I451" t="str">
        <x:v>Control de pagos</x:v>
      </x:c>
      <x:c r="J451" t="str">
        <x:v>Cero</x:v>
      </x:c>
    </x:row>
    <x:row r="452">
      <x:c r="A452" t="str">
        <x:v>USR-00451</x:v>
      </x:c>
      <x:c r="B452" t="n">
        <x:v>46015</x:v>
      </x:c>
      <x:c r="C452" t="n">
        <x:v>52</x:v>
      </x:c>
      <x:c r="D452" t="str">
        <x:v>Bogotá</x:v>
      </x:c>
      <x:c r="E452" t="str">
        <x:v>Bogotá D.C.</x:v>
      </x:c>
      <x:c r="F452" t="str">
        <x:v>Entre $3 M y $5 M</x:v>
      </x:c>
      <x:c r="G452" t="str">
        <x:v>Referidos</x:v>
      </x:c>
      <x:c r="H452" t="n">
        <x:v>4438000</x:v>
      </x:c>
      <x:c r="I452" t="str">
        <x:v>Reducir intereses</x:v>
      </x:c>
      <x:c r="J452" t="str">
        <x:v>Cero</x:v>
      </x:c>
    </x:row>
    <x:row r="453">
      <x:c r="A453" t="str">
        <x:v>USR-00452</x:v>
      </x:c>
      <x:c r="B453" t="n">
        <x:v>45998</x:v>
      </x:c>
      <x:c r="C453" t="n">
        <x:v>57</x:v>
      </x:c>
      <x:c r="D453" t="str">
        <x:v>Bogotá</x:v>
      </x:c>
      <x:c r="E453" t="str">
        <x:v>Bogotá D.C.</x:v>
      </x:c>
      <x:c r="F453" t="str">
        <x:v>Entre $1,5 M y $3 M</x:v>
      </x:c>
      <x:c r="G453" t="str">
        <x:v>Redes sociales</x:v>
      </x:c>
      <x:c r="H453" t="n">
        <x:v>1585000</x:v>
      </x:c>
      <x:c r="I453" t="str">
        <x:v>Control de pagos</x:v>
      </x:c>
      <x:c r="J453" t="str">
        <x:v>Plus anual</x:v>
      </x:c>
    </x:row>
    <x:row r="454">
      <x:c r="A454" t="str">
        <x:v>USR-00453</x:v>
      </x:c>
      <x:c r="B454" t="n">
        <x:v>45996</x:v>
      </x:c>
      <x:c r="C454" t="n">
        <x:v>29</x:v>
      </x:c>
      <x:c r="D454" t="str">
        <x:v>Cartagena</x:v>
      </x:c>
      <x:c r="E454" t="str">
        <x:v>Bolívar</x:v>
      </x:c>
      <x:c r="F454" t="str">
        <x:v>Más de $5 M</x:v>
      </x:c>
      <x:c r="G454" t="str">
        <x:v>Redes sociales</x:v>
      </x:c>
      <x:c r="H454" t="n">
        <x:v>6102000</x:v>
      </x:c>
      <x:c r="I454" t="str">
        <x:v>Reducir intereses</x:v>
      </x:c>
      <x:c r="J454" t="str">
        <x:v>Cero</x:v>
      </x:c>
    </x:row>
    <x:row r="455">
      <x:c r="A455" t="str">
        <x:v>USR-00454</x:v>
      </x:c>
      <x:c r="B455" t="n">
        <x:v>45998</x:v>
      </x:c>
      <x:c r="C455" t="n">
        <x:v>56</x:v>
      </x:c>
      <x:c r="D455" t="str">
        <x:v>Bogotá</x:v>
      </x:c>
      <x:c r="E455" t="str">
        <x:v>Bogotá D.C.</x:v>
      </x:c>
      <x:c r="F455" t="str">
        <x:v>Menos de $1,5 M</x:v>
      </x:c>
      <x:c r="G455" t="str">
        <x:v>Contenido educativo</x:v>
      </x:c>
      <x:c r="H455" t="n">
        <x:v>986000</x:v>
      </x:c>
      <x:c r="I455" t="str">
        <x:v>Organización inicial</x:v>
      </x:c>
      <x:c r="J455" t="str">
        <x:v>Cero</x:v>
      </x:c>
    </x:row>
    <x:row r="456">
      <x:c r="A456" t="str">
        <x:v>USR-00455</x:v>
      </x:c>
      <x:c r="B456" t="n">
        <x:v>46009</x:v>
      </x:c>
      <x:c r="C456" t="n">
        <x:v>57</x:v>
      </x:c>
      <x:c r="D456" t="str">
        <x:v>Bogotá</x:v>
      </x:c>
      <x:c r="E456" t="str">
        <x:v>Bogotá D.C.</x:v>
      </x:c>
      <x:c r="F456" t="str">
        <x:v>Más de $5 M</x:v>
      </x:c>
      <x:c r="G456" t="str">
        <x:v>Orgánico</x:v>
      </x:c>
      <x:c r="H456" t="n">
        <x:v>6607000</x:v>
      </x:c>
      <x:c r="I456" t="str">
        <x:v>Organización inicial</x:v>
      </x:c>
      <x:c r="J456" t="str">
        <x:v>Plus mensual</x:v>
      </x:c>
    </x:row>
    <x:row r="457">
      <x:c r="A457" t="str">
        <x:v>USR-00456</x:v>
      </x:c>
      <x:c r="B457" t="n">
        <x:v>45995</x:v>
      </x:c>
      <x:c r="C457" t="n">
        <x:v>52</x:v>
      </x:c>
      <x:c r="D457" t="str">
        <x:v>Barranquilla</x:v>
      </x:c>
      <x:c r="E457" t="str">
        <x:v>Atlántico</x:v>
      </x:c>
      <x:c r="F457" t="str">
        <x:v>Entre $1,5 M y $3 M</x:v>
      </x:c>
      <x:c r="G457" t="str">
        <x:v>Orgánico</x:v>
      </x:c>
      <x:c r="H457" t="n">
        <x:v>2184000</x:v>
      </x:c>
      <x:c r="I457" t="str">
        <x:v>Salir de deudas</x:v>
      </x:c>
      <x:c r="J457" t="str">
        <x:v>Plus mensual</x:v>
      </x:c>
    </x:row>
    <x:row r="458">
      <x:c r="A458" t="str">
        <x:v>USR-00457</x:v>
      </x:c>
      <x:c r="B458" t="n">
        <x:v>45992</x:v>
      </x:c>
      <x:c r="C458" t="n">
        <x:v>39</x:v>
      </x:c>
      <x:c r="D458" t="str">
        <x:v>Cali</x:v>
      </x:c>
      <x:c r="E458" t="str">
        <x:v>Valle del Cauca</x:v>
      </x:c>
      <x:c r="F458" t="str">
        <x:v>Entre $1,5 M y $3 M</x:v>
      </x:c>
      <x:c r="G458" t="str">
        <x:v>Alianzas</x:v>
      </x:c>
      <x:c r="H458" t="n">
        <x:v>1745000</x:v>
      </x:c>
      <x:c r="I458" t="str">
        <x:v>Organización inicial</x:v>
      </x:c>
      <x:c r="J458" t="str">
        <x:v>Plus mensual</x:v>
      </x:c>
    </x:row>
    <x:row r="459">
      <x:c r="A459" t="str">
        <x:v>USR-00458</x:v>
      </x:c>
      <x:c r="B459" t="n">
        <x:v>46009</x:v>
      </x:c>
      <x:c r="C459" t="n">
        <x:v>46</x:v>
      </x:c>
      <x:c r="D459" t="str">
        <x:v>Manizales</x:v>
      </x:c>
      <x:c r="E459" t="str">
        <x:v>Caldas</x:v>
      </x:c>
      <x:c r="F459" t="str">
        <x:v>Entre $1,5 M y $3 M</x:v>
      </x:c>
      <x:c r="G459" t="str">
        <x:v>Búsqueda paga</x:v>
      </x:c>
      <x:c r="H459" t="n">
        <x:v>1548000</x:v>
      </x:c>
      <x:c r="I459" t="str">
        <x:v>Organización inicial</x:v>
      </x:c>
      <x:c r="J459" t="str">
        <x:v>Plus mensual</x:v>
      </x:c>
    </x:row>
    <x:row r="460">
      <x:c r="A460" t="str">
        <x:v>USR-00459</x:v>
      </x:c>
      <x:c r="B460" t="n">
        <x:v>46006</x:v>
      </x:c>
      <x:c r="C460" t="n">
        <x:v>24</x:v>
      </x:c>
      <x:c r="D460" t="str">
        <x:v>Bogotá</x:v>
      </x:c>
      <x:c r="E460" t="str">
        <x:v>Bogotá D.C.</x:v>
      </x:c>
      <x:c r="F460" t="str">
        <x:v>Menos de $1,5 M</x:v>
      </x:c>
      <x:c r="G460" t="str">
        <x:v>Redes sociales</x:v>
      </x:c>
      <x:c r="H460" t="n">
        <x:v>1486000</x:v>
      </x:c>
      <x:c r="I460" t="str">
        <x:v>Control de pagos</x:v>
      </x:c>
      <x:c r="J460" t="str">
        <x:v>Plus mensual</x:v>
      </x:c>
    </x:row>
    <x:row r="461">
      <x:c r="A461" t="str">
        <x:v>USR-00460</x:v>
      </x:c>
      <x:c r="B461" t="n">
        <x:v>46014</x:v>
      </x:c>
      <x:c r="C461" t="n">
        <x:v>23</x:v>
      </x:c>
      <x:c r="D461" t="str">
        <x:v>Bogotá</x:v>
      </x:c>
      <x:c r="E461" t="str">
        <x:v>Bogotá D.C.</x:v>
      </x:c>
      <x:c r="F461" t="str">
        <x:v>Entre $1,5 M y $3 M</x:v>
      </x:c>
      <x:c r="G461" t="str">
        <x:v>Alianzas</x:v>
      </x:c>
      <x:c r="H461" t="n">
        <x:v>2552000</x:v>
      </x:c>
      <x:c r="I461" t="str">
        <x:v>Reducir intereses</x:v>
      </x:c>
      <x:c r="J461" t="str">
        <x:v>Plus anual</x:v>
      </x:c>
    </x:row>
    <x:row r="462">
      <x:c r="A462" t="str">
        <x:v>USR-00461</x:v>
      </x:c>
      <x:c r="B462" t="n">
        <x:v>45992</x:v>
      </x:c>
      <x:c r="C462" t="n">
        <x:v>58</x:v>
      </x:c>
      <x:c r="D462" t="str">
        <x:v>Cali</x:v>
      </x:c>
      <x:c r="E462" t="str">
        <x:v>Valle del Cauca</x:v>
      </x:c>
      <x:c r="F462" t="str">
        <x:v>Más de $5 M</x:v>
      </x:c>
      <x:c r="G462" t="str">
        <x:v>Alianzas</x:v>
      </x:c>
      <x:c r="H462" t="n">
        <x:v>8819000</x:v>
      </x:c>
      <x:c r="I462" t="str">
        <x:v>Organización inicial</x:v>
      </x:c>
      <x:c r="J462" t="str">
        <x:v>Plus mensual</x:v>
      </x:c>
    </x:row>
    <x:row r="463">
      <x:c r="A463" t="str">
        <x:v>USR-00462</x:v>
      </x:c>
      <x:c r="B463" t="n">
        <x:v>46003</x:v>
      </x:c>
      <x:c r="C463" t="n">
        <x:v>26</x:v>
      </x:c>
      <x:c r="D463" t="str">
        <x:v>Bucaramanga</x:v>
      </x:c>
      <x:c r="E463" t="str">
        <x:v>Santander</x:v>
      </x:c>
      <x:c r="F463" t="str">
        <x:v>Más de $5 M</x:v>
      </x:c>
      <x:c r="G463" t="str">
        <x:v>Orgánico</x:v>
      </x:c>
      <x:c r="H463" t="n">
        <x:v>8607000</x:v>
      </x:c>
      <x:c r="I463" t="str">
        <x:v>Control de pagos</x:v>
      </x:c>
      <x:c r="J463" t="str">
        <x:v>Cero</x:v>
      </x:c>
    </x:row>
    <x:row r="464">
      <x:c r="A464" t="str">
        <x:v>USR-00463</x:v>
      </x:c>
      <x:c r="B464" t="n">
        <x:v>46000</x:v>
      </x:c>
      <x:c r="C464" t="n">
        <x:v>45</x:v>
      </x:c>
      <x:c r="D464" t="str">
        <x:v>Bogotá</x:v>
      </x:c>
      <x:c r="E464" t="str">
        <x:v>Bogotá D.C.</x:v>
      </x:c>
      <x:c r="F464" t="str">
        <x:v>Entre $3 M y $5 M</x:v>
      </x:c>
      <x:c r="G464" t="str">
        <x:v>Contenido educativo</x:v>
      </x:c>
      <x:c r="H464" t="n">
        <x:v>4019000</x:v>
      </x:c>
      <x:c r="I464" t="str">
        <x:v>Reducir intereses</x:v>
      </x:c>
      <x:c r="J464" t="str">
        <x:v>Cero</x:v>
      </x:c>
    </x:row>
    <x:row r="465">
      <x:c r="A465" t="str">
        <x:v>USR-00464</x:v>
      </x:c>
      <x:c r="B465" t="n">
        <x:v>45992</x:v>
      </x:c>
      <x:c r="C465" t="n">
        <x:v>30</x:v>
      </x:c>
      <x:c r="D465" t="str">
        <x:v>Barranquilla</x:v>
      </x:c>
      <x:c r="E465" t="str">
        <x:v>Atlántico</x:v>
      </x:c>
      <x:c r="F465" t="str">
        <x:v>Entre $1,5 M y $3 M</x:v>
      </x:c>
      <x:c r="G465" t="str">
        <x:v>Orgánico</x:v>
      </x:c>
      <x:c r="H465" t="n">
        <x:v>2285000</x:v>
      </x:c>
      <x:c r="I465" t="str">
        <x:v>Salir de deudas</x:v>
      </x:c>
      <x:c r="J465" t="str">
        <x:v>Cero</x:v>
      </x:c>
    </x:row>
    <x:row r="466">
      <x:c r="A466" t="str">
        <x:v>USR-00465</x:v>
      </x:c>
      <x:c r="B466" t="n">
        <x:v>46012</x:v>
      </x:c>
      <x:c r="C466" t="n">
        <x:v>38</x:v>
      </x:c>
      <x:c r="D466" t="str">
        <x:v>Bogotá</x:v>
      </x:c>
      <x:c r="E466" t="str">
        <x:v>Bogotá D.C.</x:v>
      </x:c>
      <x:c r="F466" t="str">
        <x:v>Entre $1,5 M y $3 M</x:v>
      </x:c>
      <x:c r="G466" t="str">
        <x:v>Referidos</x:v>
      </x:c>
      <x:c r="H466" t="n">
        <x:v>2639000</x:v>
      </x:c>
      <x:c r="I466" t="str">
        <x:v>Control de pagos</x:v>
      </x:c>
      <x:c r="J466" t="str">
        <x:v>Plus mensual</x:v>
      </x:c>
    </x:row>
    <x:row r="467">
      <x:c r="A467" t="str">
        <x:v>USR-00466</x:v>
      </x:c>
      <x:c r="B467" t="n">
        <x:v>46009</x:v>
      </x:c>
      <x:c r="C467" t="n">
        <x:v>38</x:v>
      </x:c>
      <x:c r="D467" t="str">
        <x:v>Medellín</x:v>
      </x:c>
      <x:c r="E467" t="str">
        <x:v>Antioquia</x:v>
      </x:c>
      <x:c r="F467" t="str">
        <x:v>Entre $1,5 M y $3 M</x:v>
      </x:c>
      <x:c r="G467" t="str">
        <x:v>Orgánico</x:v>
      </x:c>
      <x:c r="H467" t="n">
        <x:v>2097000</x:v>
      </x:c>
      <x:c r="I467" t="str">
        <x:v>Salir de deudas</x:v>
      </x:c>
      <x:c r="J467" t="str">
        <x:v>Cero</x:v>
      </x:c>
    </x:row>
    <x:row r="468">
      <x:c r="A468" t="str">
        <x:v>USR-00467</x:v>
      </x:c>
      <x:c r="B468" t="n">
        <x:v>46000</x:v>
      </x:c>
      <x:c r="C468" t="n">
        <x:v>50</x:v>
      </x:c>
      <x:c r="D468" t="str">
        <x:v>Medellín</x:v>
      </x:c>
      <x:c r="E468" t="str">
        <x:v>Antioquia</x:v>
      </x:c>
      <x:c r="F468" t="str">
        <x:v>Menos de $1,5 M</x:v>
      </x:c>
      <x:c r="G468" t="str">
        <x:v>Referidos</x:v>
      </x:c>
      <x:c r="H468" t="n">
        <x:v>1084000</x:v>
      </x:c>
      <x:c r="I468" t="str">
        <x:v>Salir de deudas</x:v>
      </x:c>
      <x:c r="J468" t="str">
        <x:v>Plus mensual</x:v>
      </x:c>
    </x:row>
    <x:row r="469">
      <x:c r="A469" t="str">
        <x:v>USR-00468</x:v>
      </x:c>
      <x:c r="B469" t="n">
        <x:v>46004</x:v>
      </x:c>
      <x:c r="C469" t="n">
        <x:v>39</x:v>
      </x:c>
      <x:c r="D469" t="str">
        <x:v>Medellín</x:v>
      </x:c>
      <x:c r="E469" t="str">
        <x:v>Antioquia</x:v>
      </x:c>
      <x:c r="F469" t="str">
        <x:v>Entre $1,5 M y $3 M</x:v>
      </x:c>
      <x:c r="G469" t="str">
        <x:v>Redes sociales</x:v>
      </x:c>
      <x:c r="H469" t="n">
        <x:v>2850000</x:v>
      </x:c>
      <x:c r="I469" t="str">
        <x:v>Control de pagos</x:v>
      </x:c>
      <x:c r="J469" t="str">
        <x:v>Plus anual</x:v>
      </x:c>
    </x:row>
    <x:row r="470">
      <x:c r="A470" t="str">
        <x:v>USR-00469</x:v>
      </x:c>
      <x:c r="B470" t="n">
        <x:v>46002</x:v>
      </x:c>
      <x:c r="C470" t="n">
        <x:v>22</x:v>
      </x:c>
      <x:c r="D470" t="str">
        <x:v>Bogotá</x:v>
      </x:c>
      <x:c r="E470" t="str">
        <x:v>Bogotá D.C.</x:v>
      </x:c>
      <x:c r="F470" t="str">
        <x:v>Entre $3 M y $5 M</x:v>
      </x:c>
      <x:c r="G470" t="str">
        <x:v>Contenido educativo</x:v>
      </x:c>
      <x:c r="H470" t="n">
        <x:v>4440000</x:v>
      </x:c>
      <x:c r="I470" t="str">
        <x:v>Organización inicial</x:v>
      </x:c>
      <x:c r="J470" t="str">
        <x:v>Plus mensual</x:v>
      </x:c>
    </x:row>
    <x:row r="471">
      <x:c r="A471" t="str">
        <x:v>USR-00470</x:v>
      </x:c>
      <x:c r="B471" t="n">
        <x:v>46017</x:v>
      </x:c>
      <x:c r="C471" t="n">
        <x:v>50</x:v>
      </x:c>
      <x:c r="D471" t="str">
        <x:v>Medellín</x:v>
      </x:c>
      <x:c r="E471" t="str">
        <x:v>Antioquia</x:v>
      </x:c>
      <x:c r="F471" t="str">
        <x:v>Entre $1,5 M y $3 M</x:v>
      </x:c>
      <x:c r="G471" t="str">
        <x:v>Contenido educativo</x:v>
      </x:c>
      <x:c r="H471" t="n">
        <x:v>2647000</x:v>
      </x:c>
      <x:c r="I471" t="str">
        <x:v>Reducir intereses</x:v>
      </x:c>
      <x:c r="J471" t="str">
        <x:v>Cero</x:v>
      </x:c>
    </x:row>
    <x:row r="472">
      <x:c r="A472" t="str">
        <x:v>USR-00471</x:v>
      </x:c>
      <x:c r="B472" t="n">
        <x:v>46048</x:v>
      </x:c>
      <x:c r="C472" t="n">
        <x:v>57</x:v>
      </x:c>
      <x:c r="D472" t="str">
        <x:v>Manizales</x:v>
      </x:c>
      <x:c r="E472" t="str">
        <x:v>Caldas</x:v>
      </x:c>
      <x:c r="F472" t="str">
        <x:v>Entre $3 M y $5 M</x:v>
      </x:c>
      <x:c r="G472" t="str">
        <x:v>Alianzas</x:v>
      </x:c>
      <x:c r="H472" t="n">
        <x:v>3901000</x:v>
      </x:c>
      <x:c r="I472" t="str">
        <x:v>Salir de deudas</x:v>
      </x:c>
      <x:c r="J472" t="str">
        <x:v>Cero</x:v>
      </x:c>
    </x:row>
    <x:row r="473">
      <x:c r="A473" t="str">
        <x:v>USR-00472</x:v>
      </x:c>
      <x:c r="B473" t="n">
        <x:v>46031</x:v>
      </x:c>
      <x:c r="C473" t="n">
        <x:v>32</x:v>
      </x:c>
      <x:c r="D473" t="str">
        <x:v>Villavicencio</x:v>
      </x:c>
      <x:c r="E473" t="str">
        <x:v>Meta</x:v>
      </x:c>
      <x:c r="F473" t="str">
        <x:v>Entre $3 M y $5 M</x:v>
      </x:c>
      <x:c r="G473" t="str">
        <x:v>Redes sociales</x:v>
      </x:c>
      <x:c r="H473" t="n">
        <x:v>3765000</x:v>
      </x:c>
      <x:c r="I473" t="str">
        <x:v>Salir de deudas</x:v>
      </x:c>
      <x:c r="J473" t="str">
        <x:v>Cero</x:v>
      </x:c>
    </x:row>
    <x:row r="474">
      <x:c r="A474" t="str">
        <x:v>USR-00473</x:v>
      </x:c>
      <x:c r="B474" t="n">
        <x:v>46029</x:v>
      </x:c>
      <x:c r="C474" t="n">
        <x:v>52</x:v>
      </x:c>
      <x:c r="D474" t="str">
        <x:v>Bucaramanga</x:v>
      </x:c>
      <x:c r="E474" t="str">
        <x:v>Santander</x:v>
      </x:c>
      <x:c r="F474" t="str">
        <x:v>Entre $1,5 M y $3 M</x:v>
      </x:c>
      <x:c r="G474" t="str">
        <x:v>Redes sociales</x:v>
      </x:c>
      <x:c r="H474" t="n">
        <x:v>1766000</x:v>
      </x:c>
      <x:c r="I474" t="str">
        <x:v>Organización inicial</x:v>
      </x:c>
      <x:c r="J474" t="str">
        <x:v>Cero</x:v>
      </x:c>
    </x:row>
    <x:row r="475">
      <x:c r="A475" t="str">
        <x:v>USR-00474</x:v>
      </x:c>
      <x:c r="B475" t="n">
        <x:v>46023</x:v>
      </x:c>
      <x:c r="C475" t="n">
        <x:v>41</x:v>
      </x:c>
      <x:c r="D475" t="str">
        <x:v>Bucaramanga</x:v>
      </x:c>
      <x:c r="E475" t="str">
        <x:v>Santander</x:v>
      </x:c>
      <x:c r="F475" t="str">
        <x:v>Entre $3 M y $5 M</x:v>
      </x:c>
      <x:c r="G475" t="str">
        <x:v>Orgánico</x:v>
      </x:c>
      <x:c r="H475" t="n">
        <x:v>3755000</x:v>
      </x:c>
      <x:c r="I475" t="str">
        <x:v>Salir de deudas</x:v>
      </x:c>
      <x:c r="J475" t="str">
        <x:v>Inactivo</x:v>
      </x:c>
    </x:row>
    <x:row r="476">
      <x:c r="A476" t="str">
        <x:v>USR-00475</x:v>
      </x:c>
      <x:c r="B476" t="n">
        <x:v>46030</x:v>
      </x:c>
      <x:c r="C476" t="n">
        <x:v>24</x:v>
      </x:c>
      <x:c r="D476" t="str">
        <x:v>Medellín</x:v>
      </x:c>
      <x:c r="E476" t="str">
        <x:v>Antioquia</x:v>
      </x:c>
      <x:c r="F476" t="str">
        <x:v>Entre $1,5 M y $3 M</x:v>
      </x:c>
      <x:c r="G476" t="str">
        <x:v>Orgánico</x:v>
      </x:c>
      <x:c r="H476" t="n">
        <x:v>2445000</x:v>
      </x:c>
      <x:c r="I476" t="str">
        <x:v>Organización inicial</x:v>
      </x:c>
      <x:c r="J476" t="str">
        <x:v>Plus anual</x:v>
      </x:c>
    </x:row>
    <x:row r="477">
      <x:c r="A477" t="str">
        <x:v>USR-00476</x:v>
      </x:c>
      <x:c r="B477" t="n">
        <x:v>46041</x:v>
      </x:c>
      <x:c r="C477" t="n">
        <x:v>64</x:v>
      </x:c>
      <x:c r="D477" t="str">
        <x:v>Bucaramanga</x:v>
      </x:c>
      <x:c r="E477" t="str">
        <x:v>Santander</x:v>
      </x:c>
      <x:c r="F477" t="str">
        <x:v>Entre $3 M y $5 M</x:v>
      </x:c>
      <x:c r="G477" t="str">
        <x:v>Redes sociales</x:v>
      </x:c>
      <x:c r="H477" t="n">
        <x:v>3346000</x:v>
      </x:c>
      <x:c r="I477" t="str">
        <x:v>Reducir intereses</x:v>
      </x:c>
      <x:c r="J477" t="str">
        <x:v>Cero</x:v>
      </x:c>
    </x:row>
    <x:row r="478">
      <x:c r="A478" t="str">
        <x:v>USR-00477</x:v>
      </x:c>
      <x:c r="B478" t="n">
        <x:v>46027</x:v>
      </x:c>
      <x:c r="C478" t="n">
        <x:v>42</x:v>
      </x:c>
      <x:c r="D478" t="str">
        <x:v>Medellín</x:v>
      </x:c>
      <x:c r="E478" t="str">
        <x:v>Antioquia</x:v>
      </x:c>
      <x:c r="F478" t="str">
        <x:v>Entre $3 M y $5 M</x:v>
      </x:c>
      <x:c r="G478" t="str">
        <x:v>Referidos</x:v>
      </x:c>
      <x:c r="H478" t="n">
        <x:v>3461000</x:v>
      </x:c>
      <x:c r="I478" t="str">
        <x:v>Salir de deudas</x:v>
      </x:c>
      <x:c r="J478" t="str">
        <x:v>Plus mensual</x:v>
      </x:c>
    </x:row>
    <x:row r="479">
      <x:c r="A479" t="str">
        <x:v>USR-00478</x:v>
      </x:c>
      <x:c r="B479" t="n">
        <x:v>46035</x:v>
      </x:c>
      <x:c r="C479" t="n">
        <x:v>57</x:v>
      </x:c>
      <x:c r="D479" t="str">
        <x:v>Barranquilla</x:v>
      </x:c>
      <x:c r="E479" t="str">
        <x:v>Atlántico</x:v>
      </x:c>
      <x:c r="F479" t="str">
        <x:v>Menos de $1,5 M</x:v>
      </x:c>
      <x:c r="G479" t="str">
        <x:v>Referidos</x:v>
      </x:c>
      <x:c r="H479" t="n">
        <x:v>1268000</x:v>
      </x:c>
      <x:c r="I479" t="str">
        <x:v>Reducir intereses</x:v>
      </x:c>
      <x:c r="J479" t="str">
        <x:v>Cero</x:v>
      </x:c>
    </x:row>
    <x:row r="480">
      <x:c r="A480" t="str">
        <x:v>USR-00479</x:v>
      </x:c>
      <x:c r="B480" t="n">
        <x:v>46041</x:v>
      </x:c>
      <x:c r="C480" t="n">
        <x:v>63</x:v>
      </x:c>
      <x:c r="D480" t="str">
        <x:v>Bogotá</x:v>
      </x:c>
      <x:c r="E480" t="str">
        <x:v>Bogotá D.C.</x:v>
      </x:c>
      <x:c r="F480" t="str">
        <x:v>Entre $1,5 M y $3 M</x:v>
      </x:c>
      <x:c r="G480" t="str">
        <x:v>Búsqueda paga</x:v>
      </x:c>
      <x:c r="H480" t="n">
        <x:v>2736000</x:v>
      </x:c>
      <x:c r="I480" t="str">
        <x:v>Control de pagos</x:v>
      </x:c>
      <x:c r="J480" t="str">
        <x:v>Cero</x:v>
      </x:c>
    </x:row>
    <x:row r="481">
      <x:c r="A481" t="str">
        <x:v>USR-00480</x:v>
      </x:c>
      <x:c r="B481" t="n">
        <x:v>46044</x:v>
      </x:c>
      <x:c r="C481" t="n">
        <x:v>31</x:v>
      </x:c>
      <x:c r="D481" t="str">
        <x:v>Barranquilla</x:v>
      </x:c>
      <x:c r="E481" t="str">
        <x:v>Atlántico</x:v>
      </x:c>
      <x:c r="F481" t="str">
        <x:v>Menos de $1,5 M</x:v>
      </x:c>
      <x:c r="G481" t="str">
        <x:v>Contenido educativo</x:v>
      </x:c>
      <x:c r="H481" t="n">
        <x:v>1079000</x:v>
      </x:c>
      <x:c r="I481" t="str">
        <x:v>Organización inicial</x:v>
      </x:c>
      <x:c r="J481" t="str">
        <x:v>Cero</x:v>
      </x:c>
    </x:row>
    <x:row r="482">
      <x:c r="A482" t="str">
        <x:v>USR-00481</x:v>
      </x:c>
      <x:c r="B482" t="n">
        <x:v>46044</x:v>
      </x:c>
      <x:c r="C482" t="n">
        <x:v>34</x:v>
      </x:c>
      <x:c r="D482" t="str">
        <x:v>Bogotá</x:v>
      </x:c>
      <x:c r="E482" t="str">
        <x:v>Bogotá D.C.</x:v>
      </x:c>
      <x:c r="F482" t="str">
        <x:v>Entre $1,5 M y $3 M</x:v>
      </x:c>
      <x:c r="G482" t="str">
        <x:v>Alianzas</x:v>
      </x:c>
      <x:c r="H482" t="n">
        <x:v>1759000</x:v>
      </x:c>
      <x:c r="I482" t="str">
        <x:v>Organización inicial</x:v>
      </x:c>
      <x:c r="J482" t="str">
        <x:v>Inactivo</x:v>
      </x:c>
    </x:row>
    <x:row r="483">
      <x:c r="A483" t="str">
        <x:v>USR-00482</x:v>
      </x:c>
      <x:c r="B483" t="n">
        <x:v>46042</x:v>
      </x:c>
      <x:c r="C483" t="n">
        <x:v>53</x:v>
      </x:c>
      <x:c r="D483" t="str">
        <x:v>Bogotá</x:v>
      </x:c>
      <x:c r="E483" t="str">
        <x:v>Bogotá D.C.</x:v>
      </x:c>
      <x:c r="F483" t="str">
        <x:v>Menos de $1,5 M</x:v>
      </x:c>
      <x:c r="G483" t="str">
        <x:v>Orgánico</x:v>
      </x:c>
      <x:c r="H483" t="n">
        <x:v>1167000</x:v>
      </x:c>
      <x:c r="I483" t="str">
        <x:v>Salir de deudas</x:v>
      </x:c>
      <x:c r="J483" t="str">
        <x:v>Cero</x:v>
      </x:c>
    </x:row>
    <x:row r="484">
      <x:c r="A484" t="str">
        <x:v>USR-00483</x:v>
      </x:c>
      <x:c r="B484" t="n">
        <x:v>46026</x:v>
      </x:c>
      <x:c r="C484" t="n">
        <x:v>40</x:v>
      </x:c>
      <x:c r="D484" t="str">
        <x:v>Medellín</x:v>
      </x:c>
      <x:c r="E484" t="str">
        <x:v>Antioquia</x:v>
      </x:c>
      <x:c r="F484" t="str">
        <x:v>Entre $3 M y $5 M</x:v>
      </x:c>
      <x:c r="G484" t="str">
        <x:v>Referidos</x:v>
      </x:c>
      <x:c r="H484" t="n">
        <x:v>4759000</x:v>
      </x:c>
      <x:c r="I484" t="str">
        <x:v>Reducir intereses</x:v>
      </x:c>
      <x:c r="J484" t="str">
        <x:v>Cero</x:v>
      </x:c>
    </x:row>
    <x:row r="485">
      <x:c r="A485" t="str">
        <x:v>USR-00484</x:v>
      </x:c>
      <x:c r="B485" t="n">
        <x:v>46037</x:v>
      </x:c>
      <x:c r="C485" t="n">
        <x:v>48</x:v>
      </x:c>
      <x:c r="D485" t="str">
        <x:v>Villavicencio</x:v>
      </x:c>
      <x:c r="E485" t="str">
        <x:v>Meta</x:v>
      </x:c>
      <x:c r="F485" t="str">
        <x:v>Entre $3 M y $5 M</x:v>
      </x:c>
      <x:c r="G485" t="str">
        <x:v>Redes sociales</x:v>
      </x:c>
      <x:c r="H485" t="n">
        <x:v>3861000</x:v>
      </x:c>
      <x:c r="I485" t="str">
        <x:v>Salir de deudas</x:v>
      </x:c>
      <x:c r="J485" t="str">
        <x:v>Plus mensual</x:v>
      </x:c>
    </x:row>
    <x:row r="486">
      <x:c r="A486" t="str">
        <x:v>USR-00485</x:v>
      </x:c>
      <x:c r="B486" t="n">
        <x:v>46025</x:v>
      </x:c>
      <x:c r="C486" t="n">
        <x:v>60</x:v>
      </x:c>
      <x:c r="D486" t="str">
        <x:v>Manizales</x:v>
      </x:c>
      <x:c r="E486" t="str">
        <x:v>Caldas</x:v>
      </x:c>
      <x:c r="F486" t="str">
        <x:v>Entre $3 M y $5 M</x:v>
      </x:c>
      <x:c r="G486" t="str">
        <x:v>Redes sociales</x:v>
      </x:c>
      <x:c r="H486" t="n">
        <x:v>3445000</x:v>
      </x:c>
      <x:c r="I486" t="str">
        <x:v>Control de pagos</x:v>
      </x:c>
      <x:c r="J486" t="str">
        <x:v>Plus anual</x:v>
      </x:c>
    </x:row>
    <x:row r="487">
      <x:c r="A487" t="str">
        <x:v>USR-00486</x:v>
      </x:c>
      <x:c r="B487" t="n">
        <x:v>46038</x:v>
      </x:c>
      <x:c r="C487" t="n">
        <x:v>24</x:v>
      </x:c>
      <x:c r="D487" t="str">
        <x:v>Barranquilla</x:v>
      </x:c>
      <x:c r="E487" t="str">
        <x:v>Atlántico</x:v>
      </x:c>
      <x:c r="F487" t="str">
        <x:v>Entre $1,5 M y $3 M</x:v>
      </x:c>
      <x:c r="G487" t="str">
        <x:v>Búsqueda paga</x:v>
      </x:c>
      <x:c r="H487" t="n">
        <x:v>1716000</x:v>
      </x:c>
      <x:c r="I487" t="str">
        <x:v>Organización inicial</x:v>
      </x:c>
      <x:c r="J487" t="str">
        <x:v>Plus mensual</x:v>
      </x:c>
    </x:row>
    <x:row r="488">
      <x:c r="A488" t="str">
        <x:v>USR-00487</x:v>
      </x:c>
      <x:c r="B488" t="n">
        <x:v>46045</x:v>
      </x:c>
      <x:c r="C488" t="n">
        <x:v>37</x:v>
      </x:c>
      <x:c r="D488" t="str">
        <x:v>Cali</x:v>
      </x:c>
      <x:c r="E488" t="str">
        <x:v>Valle del Cauca</x:v>
      </x:c>
      <x:c r="F488" t="str">
        <x:v>Menos de $1,5 M</x:v>
      </x:c>
      <x:c r="G488" t="str">
        <x:v>Redes sociales</x:v>
      </x:c>
      <x:c r="H488" t="n">
        <x:v>1402000</x:v>
      </x:c>
      <x:c r="I488" t="str">
        <x:v>Control de pagos</x:v>
      </x:c>
      <x:c r="J488" t="str">
        <x:v>Cero</x:v>
      </x:c>
    </x:row>
    <x:row r="489">
      <x:c r="A489" t="str">
        <x:v>USR-00488</x:v>
      </x:c>
      <x:c r="B489" t="n">
        <x:v>46030</x:v>
      </x:c>
      <x:c r="C489" t="n">
        <x:v>20</x:v>
      </x:c>
      <x:c r="D489" t="str">
        <x:v>Barranquilla</x:v>
      </x:c>
      <x:c r="E489" t="str">
        <x:v>Atlántico</x:v>
      </x:c>
      <x:c r="F489" t="str">
        <x:v>Entre $1,5 M y $3 M</x:v>
      </x:c>
      <x:c r="G489" t="str">
        <x:v>Redes sociales</x:v>
      </x:c>
      <x:c r="H489" t="n">
        <x:v>1516000</x:v>
      </x:c>
      <x:c r="I489" t="str">
        <x:v>Control de pagos</x:v>
      </x:c>
      <x:c r="J489" t="str">
        <x:v>Plus anual</x:v>
      </x:c>
    </x:row>
    <x:row r="490">
      <x:c r="A490" t="str">
        <x:v>USR-00489</x:v>
      </x:c>
      <x:c r="B490" t="n">
        <x:v>46049</x:v>
      </x:c>
      <x:c r="C490" t="n">
        <x:v>59</x:v>
      </x:c>
      <x:c r="D490" t="str">
        <x:v>Cali</x:v>
      </x:c>
      <x:c r="E490" t="str">
        <x:v>Valle del Cauca</x:v>
      </x:c>
      <x:c r="F490" t="str">
        <x:v>Entre $3 M y $5 M</x:v>
      </x:c>
      <x:c r="G490" t="str">
        <x:v>Orgánico</x:v>
      </x:c>
      <x:c r="H490" t="n">
        <x:v>4190000</x:v>
      </x:c>
      <x:c r="I490" t="str">
        <x:v>Salir de deudas</x:v>
      </x:c>
      <x:c r="J490" t="str">
        <x:v>Cero</x:v>
      </x:c>
    </x:row>
    <x:row r="491">
      <x:c r="A491" t="str">
        <x:v>USR-00490</x:v>
      </x:c>
      <x:c r="B491" t="n">
        <x:v>46028</x:v>
      </x:c>
      <x:c r="C491" t="n">
        <x:v>38</x:v>
      </x:c>
      <x:c r="D491" t="str">
        <x:v>Bogotá</x:v>
      </x:c>
      <x:c r="E491" t="str">
        <x:v>Bogotá D.C.</x:v>
      </x:c>
      <x:c r="F491" t="str">
        <x:v>Más de $5 M</x:v>
      </x:c>
      <x:c r="G491" t="str">
        <x:v>Alianzas</x:v>
      </x:c>
      <x:c r="H491" t="n">
        <x:v>6121000</x:v>
      </x:c>
      <x:c r="I491" t="str">
        <x:v>Salir de deudas</x:v>
      </x:c>
      <x:c r="J491" t="str">
        <x:v>Plus mensual</x:v>
      </x:c>
    </x:row>
    <x:row r="492">
      <x:c r="A492" t="str">
        <x:v>USR-00491</x:v>
      </x:c>
      <x:c r="B492" t="n">
        <x:v>46030</x:v>
      </x:c>
      <x:c r="C492" t="n">
        <x:v>60</x:v>
      </x:c>
      <x:c r="D492" t="str">
        <x:v>Cali</x:v>
      </x:c>
      <x:c r="E492" t="str">
        <x:v>Valle del Cauca</x:v>
      </x:c>
      <x:c r="F492" t="str">
        <x:v>Menos de $1,5 M</x:v>
      </x:c>
      <x:c r="G492" t="str">
        <x:v>Alianzas</x:v>
      </x:c>
      <x:c r="H492" t="n">
        <x:v>1286000</x:v>
      </x:c>
      <x:c r="I492" t="str">
        <x:v>Control de pagos</x:v>
      </x:c>
      <x:c r="J492" t="str">
        <x:v>Cero</x:v>
      </x:c>
    </x:row>
    <x:row r="493">
      <x:c r="A493" t="str">
        <x:v>USR-00492</x:v>
      </x:c>
      <x:c r="B493" t="n">
        <x:v>46038</x:v>
      </x:c>
      <x:c r="C493" t="n">
        <x:v>33</x:v>
      </x:c>
      <x:c r="D493" t="str">
        <x:v>Bogotá</x:v>
      </x:c>
      <x:c r="E493" t="str">
        <x:v>Bogotá D.C.</x:v>
      </x:c>
      <x:c r="F493" t="str">
        <x:v>Entre $1,5 M y $3 M</x:v>
      </x:c>
      <x:c r="G493" t="str">
        <x:v>Alianzas</x:v>
      </x:c>
      <x:c r="H493" t="n">
        <x:v>1843000</x:v>
      </x:c>
      <x:c r="I493" t="str">
        <x:v>Organización inicial</x:v>
      </x:c>
      <x:c r="J493" t="str">
        <x:v>Plus mensual</x:v>
      </x:c>
    </x:row>
    <x:row r="494">
      <x:c r="A494" t="str">
        <x:v>USR-00493</x:v>
      </x:c>
      <x:c r="B494" t="n">
        <x:v>46030</x:v>
      </x:c>
      <x:c r="C494" t="n">
        <x:v>22</x:v>
      </x:c>
      <x:c r="D494" t="str">
        <x:v>Villavicencio</x:v>
      </x:c>
      <x:c r="E494" t="str">
        <x:v>Meta</x:v>
      </x:c>
      <x:c r="F494" t="str">
        <x:v>Menos de $1,5 M</x:v>
      </x:c>
      <x:c r="G494" t="str">
        <x:v>Búsqueda paga</x:v>
      </x:c>
      <x:c r="H494" t="n">
        <x:v>914000</x:v>
      </x:c>
      <x:c r="I494" t="str">
        <x:v>Salir de deudas</x:v>
      </x:c>
      <x:c r="J494" t="str">
        <x:v>Inactivo</x:v>
      </x:c>
    </x:row>
    <x:row r="495">
      <x:c r="A495" t="str">
        <x:v>USR-00494</x:v>
      </x:c>
      <x:c r="B495" t="n">
        <x:v>46030</x:v>
      </x:c>
      <x:c r="C495" t="n">
        <x:v>54</x:v>
      </x:c>
      <x:c r="D495" t="str">
        <x:v>Bogotá</x:v>
      </x:c>
      <x:c r="E495" t="str">
        <x:v>Bogotá D.C.</x:v>
      </x:c>
      <x:c r="F495" t="str">
        <x:v>Entre $1,5 M y $3 M</x:v>
      </x:c>
      <x:c r="G495" t="str">
        <x:v>Redes sociales</x:v>
      </x:c>
      <x:c r="H495" t="n">
        <x:v>1930000</x:v>
      </x:c>
      <x:c r="I495" t="str">
        <x:v>Salir de deudas</x:v>
      </x:c>
      <x:c r="J495" t="str">
        <x:v>Cero</x:v>
      </x:c>
    </x:row>
    <x:row r="496">
      <x:c r="A496" t="str">
        <x:v>USR-00495</x:v>
      </x:c>
      <x:c r="B496" t="n">
        <x:v>46048</x:v>
      </x:c>
      <x:c r="C496" t="n">
        <x:v>39</x:v>
      </x:c>
      <x:c r="D496" t="str">
        <x:v>Medellín</x:v>
      </x:c>
      <x:c r="E496" t="str">
        <x:v>Antioquia</x:v>
      </x:c>
      <x:c r="F496" t="str">
        <x:v>Entre $1,5 M y $3 M</x:v>
      </x:c>
      <x:c r="G496" t="str">
        <x:v>Referidos</x:v>
      </x:c>
      <x:c r="H496" t="n">
        <x:v>1612000</x:v>
      </x:c>
      <x:c r="I496" t="str">
        <x:v>Organización inicial</x:v>
      </x:c>
      <x:c r="J496" t="str">
        <x:v>Plus anual</x:v>
      </x:c>
    </x:row>
    <x:row r="497">
      <x:c r="A497" t="str">
        <x:v>USR-00496</x:v>
      </x:c>
      <x:c r="B497" t="n">
        <x:v>46031</x:v>
      </x:c>
      <x:c r="C497" t="n">
        <x:v>34</x:v>
      </x:c>
      <x:c r="D497" t="str">
        <x:v>Bogotá</x:v>
      </x:c>
      <x:c r="E497" t="str">
        <x:v>Bogotá D.C.</x:v>
      </x:c>
      <x:c r="F497" t="str">
        <x:v>Menos de $1,5 M</x:v>
      </x:c>
      <x:c r="G497" t="str">
        <x:v>Redes sociales</x:v>
      </x:c>
      <x:c r="H497" t="n">
        <x:v>1346000</x:v>
      </x:c>
      <x:c r="I497" t="str">
        <x:v>Control de pagos</x:v>
      </x:c>
      <x:c r="J497" t="str">
        <x:v>Cero</x:v>
      </x:c>
    </x:row>
    <x:row r="498">
      <x:c r="A498" t="str">
        <x:v>USR-00497</x:v>
      </x:c>
      <x:c r="B498" t="n">
        <x:v>46026</x:v>
      </x:c>
      <x:c r="C498" t="n">
        <x:v>57</x:v>
      </x:c>
      <x:c r="D498" t="str">
        <x:v>Bucaramanga</x:v>
      </x:c>
      <x:c r="E498" t="str">
        <x:v>Santander</x:v>
      </x:c>
      <x:c r="F498" t="str">
        <x:v>Entre $3 M y $5 M</x:v>
      </x:c>
      <x:c r="G498" t="str">
        <x:v>Orgánico</x:v>
      </x:c>
      <x:c r="H498" t="n">
        <x:v>4694000</x:v>
      </x:c>
      <x:c r="I498" t="str">
        <x:v>Salir de deudas</x:v>
      </x:c>
      <x:c r="J498" t="str">
        <x:v>Cero</x:v>
      </x:c>
    </x:row>
    <x:row r="499">
      <x:c r="A499" t="str">
        <x:v>USR-00498</x:v>
      </x:c>
      <x:c r="B499" t="n">
        <x:v>46026</x:v>
      </x:c>
      <x:c r="C499" t="n">
        <x:v>20</x:v>
      </x:c>
      <x:c r="D499" t="str">
        <x:v>Bogotá</x:v>
      </x:c>
      <x:c r="E499" t="str">
        <x:v>Bogotá D.C.</x:v>
      </x:c>
      <x:c r="F499" t="str">
        <x:v>Menos de $1,5 M</x:v>
      </x:c>
      <x:c r="G499" t="str">
        <x:v>Alianzas</x:v>
      </x:c>
      <x:c r="H499" t="n">
        <x:v>1094000</x:v>
      </x:c>
      <x:c r="I499" t="str">
        <x:v>Salir de deudas</x:v>
      </x:c>
      <x:c r="J499" t="str">
        <x:v>Plus mensual</x:v>
      </x:c>
    </x:row>
    <x:row r="500">
      <x:c r="A500" t="str">
        <x:v>USR-00499</x:v>
      </x:c>
      <x:c r="B500" t="n">
        <x:v>46048</x:v>
      </x:c>
      <x:c r="C500" t="n">
        <x:v>56</x:v>
      </x:c>
      <x:c r="D500" t="str">
        <x:v>Cali</x:v>
      </x:c>
      <x:c r="E500" t="str">
        <x:v>Valle del Cauca</x:v>
      </x:c>
      <x:c r="F500" t="str">
        <x:v>Entre $1,5 M y $3 M</x:v>
      </x:c>
      <x:c r="G500" t="str">
        <x:v>Alianzas</x:v>
      </x:c>
      <x:c r="H500" t="n">
        <x:v>1635000</x:v>
      </x:c>
      <x:c r="I500" t="str">
        <x:v>Reducir intereses</x:v>
      </x:c>
      <x:c r="J500" t="str">
        <x:v>Plus anual</x:v>
      </x:c>
    </x:row>
    <x:row r="501">
      <x:c r="A501" t="str">
        <x:v>USR-00500</x:v>
      </x:c>
      <x:c r="B501" t="n">
        <x:v>46039</x:v>
      </x:c>
      <x:c r="C501" t="n">
        <x:v>43</x:v>
      </x:c>
      <x:c r="D501" t="str">
        <x:v>Medellín</x:v>
      </x:c>
      <x:c r="E501" t="str">
        <x:v>Antioquia</x:v>
      </x:c>
      <x:c r="F501" t="str">
        <x:v>Entre $1,5 M y $3 M</x:v>
      </x:c>
      <x:c r="G501" t="str">
        <x:v>Referidos</x:v>
      </x:c>
      <x:c r="H501" t="n">
        <x:v>2705000</x:v>
      </x:c>
      <x:c r="I501" t="str">
        <x:v>Control de pagos</x:v>
      </x:c>
      <x:c r="J501" t="str">
        <x:v>Plus mensual</x:v>
      </x:c>
    </x:row>
    <x:row r="502">
      <x:c r="A502" t="str">
        <x:v>USR-00501</x:v>
      </x:c>
      <x:c r="B502" t="n">
        <x:v>46023</x:v>
      </x:c>
      <x:c r="C502" t="n">
        <x:v>49</x:v>
      </x:c>
      <x:c r="D502" t="str">
        <x:v>Barranquilla</x:v>
      </x:c>
      <x:c r="E502" t="str">
        <x:v>Atlántico</x:v>
      </x:c>
      <x:c r="F502" t="str">
        <x:v>Menos de $1,5 M</x:v>
      </x:c>
      <x:c r="G502" t="str">
        <x:v>Alianzas</x:v>
      </x:c>
      <x:c r="H502" t="n">
        <x:v>1239000</x:v>
      </x:c>
      <x:c r="I502" t="str">
        <x:v>Reducir intereses</x:v>
      </x:c>
      <x:c r="J502" t="str">
        <x:v>Cero</x:v>
      </x:c>
    </x:row>
    <x:row r="503">
      <x:c r="A503" t="str">
        <x:v>USR-00502</x:v>
      </x:c>
      <x:c r="B503" t="n">
        <x:v>46023</x:v>
      </x:c>
      <x:c r="C503" t="n">
        <x:v>44</x:v>
      </x:c>
      <x:c r="D503" t="str">
        <x:v>Pereira</x:v>
      </x:c>
      <x:c r="E503" t="str">
        <x:v>Risaralda</x:v>
      </x:c>
      <x:c r="F503" t="str">
        <x:v>Entre $3 M y $5 M</x:v>
      </x:c>
      <x:c r="G503" t="str">
        <x:v>Orgánico</x:v>
      </x:c>
      <x:c r="H503" t="n">
        <x:v>4056000</x:v>
      </x:c>
      <x:c r="I503" t="str">
        <x:v>Salir de deudas</x:v>
      </x:c>
      <x:c r="J503" t="str">
        <x:v>Plus anual</x:v>
      </x:c>
    </x:row>
    <x:row r="504">
      <x:c r="A504" t="str">
        <x:v>USR-00503</x:v>
      </x:c>
      <x:c r="B504" t="n">
        <x:v>46044</x:v>
      </x:c>
      <x:c r="C504" t="n">
        <x:v>32</x:v>
      </x:c>
      <x:c r="D504" t="str">
        <x:v>Cali</x:v>
      </x:c>
      <x:c r="E504" t="str">
        <x:v>Valle del Cauca</x:v>
      </x:c>
      <x:c r="F504" t="str">
        <x:v>Entre $3 M y $5 M</x:v>
      </x:c>
      <x:c r="G504" t="str">
        <x:v>Redes sociales</x:v>
      </x:c>
      <x:c r="H504" t="n">
        <x:v>4988000</x:v>
      </x:c>
      <x:c r="I504" t="str">
        <x:v>Organización inicial</x:v>
      </x:c>
      <x:c r="J504" t="str">
        <x:v>Plus anual</x:v>
      </x:c>
    </x:row>
    <x:row r="505">
      <x:c r="A505" t="str">
        <x:v>USR-00504</x:v>
      </x:c>
      <x:c r="B505" t="n">
        <x:v>46029</x:v>
      </x:c>
      <x:c r="C505" t="n">
        <x:v>41</x:v>
      </x:c>
      <x:c r="D505" t="str">
        <x:v>Cali</x:v>
      </x:c>
      <x:c r="E505" t="str">
        <x:v>Valle del Cauca</x:v>
      </x:c>
      <x:c r="F505" t="str">
        <x:v>Entre $3 M y $5 M</x:v>
      </x:c>
      <x:c r="G505" t="str">
        <x:v>Referidos</x:v>
      </x:c>
      <x:c r="H505" t="n">
        <x:v>3386000</x:v>
      </x:c>
      <x:c r="I505" t="str">
        <x:v>Control de pagos</x:v>
      </x:c>
      <x:c r="J505" t="str">
        <x:v>Plus mensual</x:v>
      </x:c>
    </x:row>
    <x:row r="506">
      <x:c r="A506" t="str">
        <x:v>USR-00505</x:v>
      </x:c>
      <x:c r="B506" t="n">
        <x:v>46038</x:v>
      </x:c>
      <x:c r="C506" t="n">
        <x:v>64</x:v>
      </x:c>
      <x:c r="D506" t="str">
        <x:v>Bogotá</x:v>
      </x:c>
      <x:c r="E506" t="str">
        <x:v>Bogotá D.C.</x:v>
      </x:c>
      <x:c r="F506" t="str">
        <x:v>Menos de $1,5 M</x:v>
      </x:c>
      <x:c r="G506" t="str">
        <x:v>Contenido educativo</x:v>
      </x:c>
      <x:c r="H506" t="n">
        <x:v>1187000</x:v>
      </x:c>
      <x:c r="I506" t="str">
        <x:v>Salir de deudas</x:v>
      </x:c>
      <x:c r="J506" t="str">
        <x:v>Plus anual</x:v>
      </x:c>
    </x:row>
    <x:row r="507">
      <x:c r="A507" t="str">
        <x:v>USR-00506</x:v>
      </x:c>
      <x:c r="B507" t="n">
        <x:v>46036</x:v>
      </x:c>
      <x:c r="C507" t="n">
        <x:v>61</x:v>
      </x:c>
      <x:c r="D507" t="str">
        <x:v>Bogotá</x:v>
      </x:c>
      <x:c r="E507" t="str">
        <x:v>Bogotá D.C.</x:v>
      </x:c>
      <x:c r="F507" t="str">
        <x:v>Entre $3 M y $5 M</x:v>
      </x:c>
      <x:c r="G507" t="str">
        <x:v>Orgánico</x:v>
      </x:c>
      <x:c r="H507" t="n">
        <x:v>4678000</x:v>
      </x:c>
      <x:c r="I507" t="str">
        <x:v>Organización inicial</x:v>
      </x:c>
      <x:c r="J507" t="str">
        <x:v>Cero</x:v>
      </x:c>
    </x:row>
    <x:row r="508">
      <x:c r="A508" t="str">
        <x:v>USR-00507</x:v>
      </x:c>
      <x:c r="B508" t="n">
        <x:v>46026</x:v>
      </x:c>
      <x:c r="C508" t="n">
        <x:v>30</x:v>
      </x:c>
      <x:c r="D508" t="str">
        <x:v>Bogotá</x:v>
      </x:c>
      <x:c r="E508" t="str">
        <x:v>Bogotá D.C.</x:v>
      </x:c>
      <x:c r="F508" t="str">
        <x:v>Menos de $1,5 M</x:v>
      </x:c>
      <x:c r="G508" t="str">
        <x:v>Redes sociales</x:v>
      </x:c>
      <x:c r="H508" t="n">
        <x:v>1311000</x:v>
      </x:c>
      <x:c r="I508" t="str">
        <x:v>Salir de deudas</x:v>
      </x:c>
      <x:c r="J508" t="str">
        <x:v>Cero</x:v>
      </x:c>
    </x:row>
    <x:row r="509">
      <x:c r="A509" t="str">
        <x:v>USR-00508</x:v>
      </x:c>
      <x:c r="B509" t="n">
        <x:v>46045</x:v>
      </x:c>
      <x:c r="C509" t="n">
        <x:v>30</x:v>
      </x:c>
      <x:c r="D509" t="str">
        <x:v>Bogotá</x:v>
      </x:c>
      <x:c r="E509" t="str">
        <x:v>Bogotá D.C.</x:v>
      </x:c>
      <x:c r="F509" t="str">
        <x:v>Entre $3 M y $5 M</x:v>
      </x:c>
      <x:c r="G509" t="str">
        <x:v>Referidos</x:v>
      </x:c>
      <x:c r="H509" t="n">
        <x:v>4132000</x:v>
      </x:c>
      <x:c r="I509" t="str">
        <x:v>Organización inicial</x:v>
      </x:c>
      <x:c r="J509" t="str">
        <x:v>Plus mensual</x:v>
      </x:c>
    </x:row>
    <x:row r="510">
      <x:c r="A510" t="str">
        <x:v>USR-00509</x:v>
      </x:c>
      <x:c r="B510" t="n">
        <x:v>46049</x:v>
      </x:c>
      <x:c r="C510" t="n">
        <x:v>60</x:v>
      </x:c>
      <x:c r="D510" t="str">
        <x:v>Barranquilla</x:v>
      </x:c>
      <x:c r="E510" t="str">
        <x:v>Atlántico</x:v>
      </x:c>
      <x:c r="F510" t="str">
        <x:v>Entre $1,5 M y $3 M</x:v>
      </x:c>
      <x:c r="G510" t="str">
        <x:v>Orgánico</x:v>
      </x:c>
      <x:c r="H510" t="n">
        <x:v>1910000</x:v>
      </x:c>
      <x:c r="I510" t="str">
        <x:v>Salir de deudas</x:v>
      </x:c>
      <x:c r="J510" t="str">
        <x:v>Cero</x:v>
      </x:c>
    </x:row>
    <x:row r="511">
      <x:c r="A511" t="str">
        <x:v>USR-00510</x:v>
      </x:c>
      <x:c r="B511" t="n">
        <x:v>46045</x:v>
      </x:c>
      <x:c r="C511" t="n">
        <x:v>46</x:v>
      </x:c>
      <x:c r="D511" t="str">
        <x:v>Bogotá</x:v>
      </x:c>
      <x:c r="E511" t="str">
        <x:v>Bogotá D.C.</x:v>
      </x:c>
      <x:c r="F511" t="str">
        <x:v>Menos de $1,5 M</x:v>
      </x:c>
      <x:c r="G511" t="str">
        <x:v>Búsqueda paga</x:v>
      </x:c>
      <x:c r="H511" t="n">
        <x:v>1334000</x:v>
      </x:c>
      <x:c r="I511" t="str">
        <x:v>Control de pagos</x:v>
      </x:c>
      <x:c r="J511" t="str">
        <x:v>Cero</x:v>
      </x:c>
    </x:row>
    <x:row r="512">
      <x:c r="A512" t="str">
        <x:v>USR-00511</x:v>
      </x:c>
      <x:c r="B512" t="n">
        <x:v>46024</x:v>
      </x:c>
      <x:c r="C512" t="n">
        <x:v>31</x:v>
      </x:c>
      <x:c r="D512" t="str">
        <x:v>Bogotá</x:v>
      </x:c>
      <x:c r="E512" t="str">
        <x:v>Bogotá D.C.</x:v>
      </x:c>
      <x:c r="F512" t="str">
        <x:v>Entre $3 M y $5 M</x:v>
      </x:c>
      <x:c r="G512" t="str">
        <x:v>Redes sociales</x:v>
      </x:c>
      <x:c r="H512" t="n">
        <x:v>4246000</x:v>
      </x:c>
      <x:c r="I512" t="str">
        <x:v>Control de pagos</x:v>
      </x:c>
      <x:c r="J512" t="str">
        <x:v>Plus anual</x:v>
      </x:c>
    </x:row>
    <x:row r="513">
      <x:c r="A513" t="str">
        <x:v>USR-00512</x:v>
      </x:c>
      <x:c r="B513" t="n">
        <x:v>46026</x:v>
      </x:c>
      <x:c r="C513" t="n">
        <x:v>62</x:v>
      </x:c>
      <x:c r="D513" t="str">
        <x:v>Medellín</x:v>
      </x:c>
      <x:c r="E513" t="str">
        <x:v>Antioquia</x:v>
      </x:c>
      <x:c r="F513" t="str">
        <x:v>Entre $3 M y $5 M</x:v>
      </x:c>
      <x:c r="G513" t="str">
        <x:v>Referidos</x:v>
      </x:c>
      <x:c r="H513" t="n">
        <x:v>4178000</x:v>
      </x:c>
      <x:c r="I513" t="str">
        <x:v>Organización inicial</x:v>
      </x:c>
      <x:c r="J513" t="str">
        <x:v>Cero</x:v>
      </x:c>
    </x:row>
    <x:row r="514">
      <x:c r="A514" t="str">
        <x:v>USR-00513</x:v>
      </x:c>
      <x:c r="B514" t="n">
        <x:v>46040</x:v>
      </x:c>
      <x:c r="C514" t="n">
        <x:v>35</x:v>
      </x:c>
      <x:c r="D514" t="str">
        <x:v>Bogotá</x:v>
      </x:c>
      <x:c r="E514" t="str">
        <x:v>Bogotá D.C.</x:v>
      </x:c>
      <x:c r="F514" t="str">
        <x:v>Menos de $1,5 M</x:v>
      </x:c>
      <x:c r="G514" t="str">
        <x:v>Orgánico</x:v>
      </x:c>
      <x:c r="H514" t="n">
        <x:v>1120000</x:v>
      </x:c>
      <x:c r="I514" t="str">
        <x:v>Reducir intereses</x:v>
      </x:c>
      <x:c r="J514" t="str">
        <x:v>Cero</x:v>
      </x:c>
    </x:row>
    <x:row r="515">
      <x:c r="A515" t="str">
        <x:v>USR-00514</x:v>
      </x:c>
      <x:c r="B515" t="n">
        <x:v>46023</x:v>
      </x:c>
      <x:c r="C515" t="n">
        <x:v>28</x:v>
      </x:c>
      <x:c r="D515" t="str">
        <x:v>Cartagena</x:v>
      </x:c>
      <x:c r="E515" t="str">
        <x:v>Bolívar</x:v>
      </x:c>
      <x:c r="F515" t="str">
        <x:v>Menos de $1,5 M</x:v>
      </x:c>
      <x:c r="G515" t="str">
        <x:v>Contenido educativo</x:v>
      </x:c>
      <x:c r="H515" t="n">
        <x:v>1046000</x:v>
      </x:c>
      <x:c r="I515" t="str">
        <x:v>Organización inicial</x:v>
      </x:c>
      <x:c r="J515" t="str">
        <x:v>Plus mensual</x:v>
      </x:c>
    </x:row>
    <x:row r="516">
      <x:c r="A516" t="str">
        <x:v>USR-00515</x:v>
      </x:c>
      <x:c r="B516" t="n">
        <x:v>46030</x:v>
      </x:c>
      <x:c r="C516" t="n">
        <x:v>57</x:v>
      </x:c>
      <x:c r="D516" t="str">
        <x:v>Bogotá</x:v>
      </x:c>
      <x:c r="E516" t="str">
        <x:v>Bogotá D.C.</x:v>
      </x:c>
      <x:c r="F516" t="str">
        <x:v>Entre $1,5 M y $3 M</x:v>
      </x:c>
      <x:c r="G516" t="str">
        <x:v>Búsqueda paga</x:v>
      </x:c>
      <x:c r="H516" t="n">
        <x:v>2257000</x:v>
      </x:c>
      <x:c r="I516" t="str">
        <x:v>Reducir intereses</x:v>
      </x:c>
      <x:c r="J516" t="str">
        <x:v>Plus mensual</x:v>
      </x:c>
    </x:row>
    <x:row r="517">
      <x:c r="A517" t="str">
        <x:v>USR-00516</x:v>
      </x:c>
      <x:c r="B517" t="n">
        <x:v>46040</x:v>
      </x:c>
      <x:c r="C517" t="n">
        <x:v>25</x:v>
      </x:c>
      <x:c r="D517" t="str">
        <x:v>Manizales</x:v>
      </x:c>
      <x:c r="E517" t="str">
        <x:v>Caldas</x:v>
      </x:c>
      <x:c r="F517" t="str">
        <x:v>Entre $1,5 M y $3 M</x:v>
      </x:c>
      <x:c r="G517" t="str">
        <x:v>Orgánico</x:v>
      </x:c>
      <x:c r="H517" t="n">
        <x:v>2129000</x:v>
      </x:c>
      <x:c r="I517" t="str">
        <x:v>Salir de deudas</x:v>
      </x:c>
      <x:c r="J517" t="str">
        <x:v>Plus mensual</x:v>
      </x:c>
    </x:row>
    <x:row r="518">
      <x:c r="A518" t="str">
        <x:v>USR-00517</x:v>
      </x:c>
      <x:c r="B518" t="n">
        <x:v>46044</x:v>
      </x:c>
      <x:c r="C518" t="n">
        <x:v>55</x:v>
      </x:c>
      <x:c r="D518" t="str">
        <x:v>Bogotá</x:v>
      </x:c>
      <x:c r="E518" t="str">
        <x:v>Bogotá D.C.</x:v>
      </x:c>
      <x:c r="F518" t="str">
        <x:v>Menos de $1,5 M</x:v>
      </x:c>
      <x:c r="G518" t="str">
        <x:v>Búsqueda paga</x:v>
      </x:c>
      <x:c r="H518" t="n">
        <x:v>1319000</x:v>
      </x:c>
      <x:c r="I518" t="str">
        <x:v>Reducir intereses</x:v>
      </x:c>
      <x:c r="J518" t="str">
        <x:v>Plus mensual</x:v>
      </x:c>
    </x:row>
    <x:row r="519">
      <x:c r="A519" t="str">
        <x:v>USR-00518</x:v>
      </x:c>
      <x:c r="B519" t="n">
        <x:v>46049</x:v>
      </x:c>
      <x:c r="C519" t="n">
        <x:v>62</x:v>
      </x:c>
      <x:c r="D519" t="str">
        <x:v>Bogotá</x:v>
      </x:c>
      <x:c r="E519" t="str">
        <x:v>Bogotá D.C.</x:v>
      </x:c>
      <x:c r="F519" t="str">
        <x:v>Entre $1,5 M y $3 M</x:v>
      </x:c>
      <x:c r="G519" t="str">
        <x:v>Contenido educativo</x:v>
      </x:c>
      <x:c r="H519" t="n">
        <x:v>2905000</x:v>
      </x:c>
      <x:c r="I519" t="str">
        <x:v>Control de pagos</x:v>
      </x:c>
      <x:c r="J519" t="str">
        <x:v>Plus mensual</x:v>
      </x:c>
    </x:row>
    <x:row r="520">
      <x:c r="A520" t="str">
        <x:v>USR-00519</x:v>
      </x:c>
      <x:c r="B520" t="n">
        <x:v>46028</x:v>
      </x:c>
      <x:c r="C520" t="n">
        <x:v>61</x:v>
      </x:c>
      <x:c r="D520" t="str">
        <x:v>Barranquilla</x:v>
      </x:c>
      <x:c r="E520" t="str">
        <x:v>Atlántico</x:v>
      </x:c>
      <x:c r="F520" t="str">
        <x:v>Entre $1,5 M y $3 M</x:v>
      </x:c>
      <x:c r="G520" t="str">
        <x:v>Orgánico</x:v>
      </x:c>
      <x:c r="H520" t="n">
        <x:v>2071000</x:v>
      </x:c>
      <x:c r="I520" t="str">
        <x:v>Organización inicial</x:v>
      </x:c>
      <x:c r="J520" t="str">
        <x:v>Plus anual</x:v>
      </x:c>
    </x:row>
    <x:row r="521">
      <x:c r="A521" t="str">
        <x:v>USR-00520</x:v>
      </x:c>
      <x:c r="B521" t="n">
        <x:v>46038</x:v>
      </x:c>
      <x:c r="C521" t="n">
        <x:v>54</x:v>
      </x:c>
      <x:c r="D521" t="str">
        <x:v>Medellín</x:v>
      </x:c>
      <x:c r="E521" t="str">
        <x:v>Antioquia</x:v>
      </x:c>
      <x:c r="F521" t="str">
        <x:v>Menos de $1,5 M</x:v>
      </x:c>
      <x:c r="G521" t="str">
        <x:v>Contenido educativo</x:v>
      </x:c>
      <x:c r="H521" t="n">
        <x:v>1162000</x:v>
      </x:c>
      <x:c r="I521" t="str">
        <x:v>Control de pagos</x:v>
      </x:c>
      <x:c r="J521" t="str">
        <x:v>Plus mensual</x:v>
      </x:c>
    </x:row>
    <x:row r="522">
      <x:c r="A522" t="str">
        <x:v>USR-00521</x:v>
      </x:c>
      <x:c r="B522" t="n">
        <x:v>46044</x:v>
      </x:c>
      <x:c r="C522" t="n">
        <x:v>22</x:v>
      </x:c>
      <x:c r="D522" t="str">
        <x:v>Pereira</x:v>
      </x:c>
      <x:c r="E522" t="str">
        <x:v>Risaralda</x:v>
      </x:c>
      <x:c r="F522" t="str">
        <x:v>Entre $3 M y $5 M</x:v>
      </x:c>
      <x:c r="G522" t="str">
        <x:v>Redes sociales</x:v>
      </x:c>
      <x:c r="H522" t="n">
        <x:v>4534000</x:v>
      </x:c>
      <x:c r="I522" t="str">
        <x:v>Salir de deudas</x:v>
      </x:c>
      <x:c r="J522" t="str">
        <x:v>Plus anual</x:v>
      </x:c>
    </x:row>
    <x:row r="523">
      <x:c r="A523" t="str">
        <x:v>USR-00522</x:v>
      </x:c>
      <x:c r="B523" t="n">
        <x:v>46025</x:v>
      </x:c>
      <x:c r="C523" t="n">
        <x:v>59</x:v>
      </x:c>
      <x:c r="D523" t="str">
        <x:v>Medellín</x:v>
      </x:c>
      <x:c r="E523" t="str">
        <x:v>Antioquia</x:v>
      </x:c>
      <x:c r="F523" t="str">
        <x:v>Entre $1,5 M y $3 M</x:v>
      </x:c>
      <x:c r="G523" t="str">
        <x:v>Alianzas</x:v>
      </x:c>
      <x:c r="H523" t="n">
        <x:v>2866000</x:v>
      </x:c>
      <x:c r="I523" t="str">
        <x:v>Salir de deudas</x:v>
      </x:c>
      <x:c r="J523" t="str">
        <x:v>Plus anual</x:v>
      </x:c>
    </x:row>
    <x:row r="524">
      <x:c r="A524" t="str">
        <x:v>USR-00523</x:v>
      </x:c>
      <x:c r="B524" t="n">
        <x:v>46023</x:v>
      </x:c>
      <x:c r="C524" t="n">
        <x:v>61</x:v>
      </x:c>
      <x:c r="D524" t="str">
        <x:v>Medellín</x:v>
      </x:c>
      <x:c r="E524" t="str">
        <x:v>Antioquia</x:v>
      </x:c>
      <x:c r="F524" t="str">
        <x:v>Entre $1,5 M y $3 M</x:v>
      </x:c>
      <x:c r="G524" t="str">
        <x:v>Búsqueda paga</x:v>
      </x:c>
      <x:c r="H524" t="n">
        <x:v>1922000</x:v>
      </x:c>
      <x:c r="I524" t="str">
        <x:v>Control de pagos</x:v>
      </x:c>
      <x:c r="J524" t="str">
        <x:v>Cero</x:v>
      </x:c>
    </x:row>
    <x:row r="525">
      <x:c r="A525" t="str">
        <x:v>USR-00524</x:v>
      </x:c>
      <x:c r="B525" t="n">
        <x:v>46031</x:v>
      </x:c>
      <x:c r="C525" t="n">
        <x:v>53</x:v>
      </x:c>
      <x:c r="D525" t="str">
        <x:v>Barranquilla</x:v>
      </x:c>
      <x:c r="E525" t="str">
        <x:v>Atlántico</x:v>
      </x:c>
      <x:c r="F525" t="str">
        <x:v>Entre $3 M y $5 M</x:v>
      </x:c>
      <x:c r="G525" t="str">
        <x:v>Redes sociales</x:v>
      </x:c>
      <x:c r="H525" t="n">
        <x:v>3747000</x:v>
      </x:c>
      <x:c r="I525" t="str">
        <x:v>Salir de deudas</x:v>
      </x:c>
      <x:c r="J525" t="str">
        <x:v>Plus mensual</x:v>
      </x:c>
    </x:row>
    <x:row r="526">
      <x:c r="A526" t="str">
        <x:v>USR-00525</x:v>
      </x:c>
      <x:c r="B526" t="n">
        <x:v>46045</x:v>
      </x:c>
      <x:c r="C526" t="n">
        <x:v>56</x:v>
      </x:c>
      <x:c r="D526" t="str">
        <x:v>Pereira</x:v>
      </x:c>
      <x:c r="E526" t="str">
        <x:v>Risaralda</x:v>
      </x:c>
      <x:c r="F526" t="str">
        <x:v>Menos de $1,5 M</x:v>
      </x:c>
      <x:c r="G526" t="str">
        <x:v>Alianzas</x:v>
      </x:c>
      <x:c r="H526" t="n">
        <x:v>965000</x:v>
      </x:c>
      <x:c r="I526" t="str">
        <x:v>Reducir intereses</x:v>
      </x:c>
      <x:c r="J526" t="str">
        <x:v>Cero</x:v>
      </x:c>
    </x:row>
    <x:row r="527">
      <x:c r="A527" t="str">
        <x:v>USR-00526</x:v>
      </x:c>
      <x:c r="B527" t="n">
        <x:v>46035</x:v>
      </x:c>
      <x:c r="C527" t="n">
        <x:v>31</x:v>
      </x:c>
      <x:c r="D527" t="str">
        <x:v>Cartagena</x:v>
      </x:c>
      <x:c r="E527" t="str">
        <x:v>Bolívar</x:v>
      </x:c>
      <x:c r="F527" t="str">
        <x:v>Entre $1,5 M y $3 M</x:v>
      </x:c>
      <x:c r="G527" t="str">
        <x:v>Redes sociales</x:v>
      </x:c>
      <x:c r="H527" t="n">
        <x:v>2497000</x:v>
      </x:c>
      <x:c r="I527" t="str">
        <x:v>Control de pagos</x:v>
      </x:c>
      <x:c r="J527" t="str">
        <x:v>Cero</x:v>
      </x:c>
    </x:row>
    <x:row r="528">
      <x:c r="A528" t="str">
        <x:v>USR-00527</x:v>
      </x:c>
      <x:c r="B528" t="n">
        <x:v>46023</x:v>
      </x:c>
      <x:c r="C528" t="n">
        <x:v>42</x:v>
      </x:c>
      <x:c r="D528" t="str">
        <x:v>Cartagena</x:v>
      </x:c>
      <x:c r="E528" t="str">
        <x:v>Bolívar</x:v>
      </x:c>
      <x:c r="F528" t="str">
        <x:v>Más de $5 M</x:v>
      </x:c>
      <x:c r="G528" t="str">
        <x:v>Redes sociales</x:v>
      </x:c>
      <x:c r="H528" t="n">
        <x:v>5756000</x:v>
      </x:c>
      <x:c r="I528" t="str">
        <x:v>Control de pagos</x:v>
      </x:c>
      <x:c r="J528" t="str">
        <x:v>Plus mensual</x:v>
      </x:c>
    </x:row>
    <x:row r="529">
      <x:c r="A529" t="str">
        <x:v>USR-00528</x:v>
      </x:c>
      <x:c r="B529" t="n">
        <x:v>46029</x:v>
      </x:c>
      <x:c r="C529" t="n">
        <x:v>61</x:v>
      </x:c>
      <x:c r="D529" t="str">
        <x:v>Bogotá</x:v>
      </x:c>
      <x:c r="E529" t="str">
        <x:v>Bogotá D.C.</x:v>
      </x:c>
      <x:c r="F529" t="str">
        <x:v>Entre $3 M y $5 M</x:v>
      </x:c>
      <x:c r="G529" t="str">
        <x:v>Orgánico</x:v>
      </x:c>
      <x:c r="H529" t="n">
        <x:v>4709000</x:v>
      </x:c>
      <x:c r="I529" t="str">
        <x:v>Salir de deudas</x:v>
      </x:c>
      <x:c r="J529" t="str">
        <x:v>Plus anual</x:v>
      </x:c>
    </x:row>
    <x:row r="530">
      <x:c r="A530" t="str">
        <x:v>USR-00529</x:v>
      </x:c>
      <x:c r="B530" t="n">
        <x:v>46023</x:v>
      </x:c>
      <x:c r="C530" t="n">
        <x:v>55</x:v>
      </x:c>
      <x:c r="D530" t="str">
        <x:v>Cali</x:v>
      </x:c>
      <x:c r="E530" t="str">
        <x:v>Valle del Cauca</x:v>
      </x:c>
      <x:c r="F530" t="str">
        <x:v>Entre $3 M y $5 M</x:v>
      </x:c>
      <x:c r="G530" t="str">
        <x:v>Alianzas</x:v>
      </x:c>
      <x:c r="H530" t="n">
        <x:v>4649000</x:v>
      </x:c>
      <x:c r="I530" t="str">
        <x:v>Salir de deudas</x:v>
      </x:c>
      <x:c r="J530" t="str">
        <x:v>Plus mensual</x:v>
      </x:c>
    </x:row>
    <x:row r="531">
      <x:c r="A531" t="str">
        <x:v>USR-00530</x:v>
      </x:c>
      <x:c r="B531" t="n">
        <x:v>46031</x:v>
      </x:c>
      <x:c r="C531" t="n">
        <x:v>31</x:v>
      </x:c>
      <x:c r="D531" t="str">
        <x:v>Cali</x:v>
      </x:c>
      <x:c r="E531" t="str">
        <x:v>Valle del Cauca</x:v>
      </x:c>
      <x:c r="F531" t="str">
        <x:v>Entre $1,5 M y $3 M</x:v>
      </x:c>
      <x:c r="G531" t="str">
        <x:v>Referidos</x:v>
      </x:c>
      <x:c r="H531" t="n">
        <x:v>2187000</x:v>
      </x:c>
      <x:c r="I531" t="str">
        <x:v>Salir de deudas</x:v>
      </x:c>
      <x:c r="J531" t="str">
        <x:v>Cero</x:v>
      </x:c>
    </x:row>
    <x:row r="532">
      <x:c r="A532" t="str">
        <x:v>USR-00531</x:v>
      </x:c>
      <x:c r="B532" t="n">
        <x:v>46045</x:v>
      </x:c>
      <x:c r="C532" t="n">
        <x:v>51</x:v>
      </x:c>
      <x:c r="D532" t="str">
        <x:v>Bogotá</x:v>
      </x:c>
      <x:c r="E532" t="str">
        <x:v>Bogotá D.C.</x:v>
      </x:c>
      <x:c r="F532" t="str">
        <x:v>Entre $3 M y $5 M</x:v>
      </x:c>
      <x:c r="G532" t="str">
        <x:v>Contenido educativo</x:v>
      </x:c>
      <x:c r="H532" t="n">
        <x:v>3977000</x:v>
      </x:c>
      <x:c r="I532" t="str">
        <x:v>Control de pagos</x:v>
      </x:c>
      <x:c r="J532" t="str">
        <x:v>Cero</x:v>
      </x:c>
    </x:row>
    <x:row r="533">
      <x:c r="A533" t="str">
        <x:v>USR-00532</x:v>
      </x:c>
      <x:c r="B533" t="n">
        <x:v>46036</x:v>
      </x:c>
      <x:c r="C533" t="n">
        <x:v>63</x:v>
      </x:c>
      <x:c r="D533" t="str">
        <x:v>Cali</x:v>
      </x:c>
      <x:c r="E533" t="str">
        <x:v>Valle del Cauca</x:v>
      </x:c>
      <x:c r="F533" t="str">
        <x:v>Entre $1,5 M y $3 M</x:v>
      </x:c>
      <x:c r="G533" t="str">
        <x:v>Referidos</x:v>
      </x:c>
      <x:c r="H533" t="n">
        <x:v>2327000</x:v>
      </x:c>
      <x:c r="I533" t="str">
        <x:v>Salir de deudas</x:v>
      </x:c>
      <x:c r="J533" t="str">
        <x:v>Plus mensual</x:v>
      </x:c>
    </x:row>
    <x:row r="534">
      <x:c r="A534" t="str">
        <x:v>USR-00533</x:v>
      </x:c>
      <x:c r="B534" t="n">
        <x:v>46025</x:v>
      </x:c>
      <x:c r="C534" t="n">
        <x:v>22</x:v>
      </x:c>
      <x:c r="D534" t="str">
        <x:v>Cali</x:v>
      </x:c>
      <x:c r="E534" t="str">
        <x:v>Valle del Cauca</x:v>
      </x:c>
      <x:c r="F534" t="str">
        <x:v>Entre $3 M y $5 M</x:v>
      </x:c>
      <x:c r="G534" t="str">
        <x:v>Redes sociales</x:v>
      </x:c>
      <x:c r="H534" t="n">
        <x:v>4474000</x:v>
      </x:c>
      <x:c r="I534" t="str">
        <x:v>Salir de deudas</x:v>
      </x:c>
      <x:c r="J534" t="str">
        <x:v>Cero</x:v>
      </x:c>
    </x:row>
    <x:row r="535">
      <x:c r="A535" t="str">
        <x:v>USR-00534</x:v>
      </x:c>
      <x:c r="B535" t="n">
        <x:v>46047</x:v>
      </x:c>
      <x:c r="C535" t="n">
        <x:v>59</x:v>
      </x:c>
      <x:c r="D535" t="str">
        <x:v>Villavicencio</x:v>
      </x:c>
      <x:c r="E535" t="str">
        <x:v>Meta</x:v>
      </x:c>
      <x:c r="F535" t="str">
        <x:v>Entre $1,5 M y $3 M</x:v>
      </x:c>
      <x:c r="G535" t="str">
        <x:v>Redes sociales</x:v>
      </x:c>
      <x:c r="H535" t="n">
        <x:v>2072000</x:v>
      </x:c>
      <x:c r="I535" t="str">
        <x:v>Organización inicial</x:v>
      </x:c>
      <x:c r="J535" t="str">
        <x:v>Plus mensual</x:v>
      </x:c>
    </x:row>
    <x:row r="536">
      <x:c r="A536" t="str">
        <x:v>USR-00535</x:v>
      </x:c>
      <x:c r="B536" t="n">
        <x:v>46048</x:v>
      </x:c>
      <x:c r="C536" t="n">
        <x:v>27</x:v>
      </x:c>
      <x:c r="D536" t="str">
        <x:v>Medellín</x:v>
      </x:c>
      <x:c r="E536" t="str">
        <x:v>Antioquia</x:v>
      </x:c>
      <x:c r="F536" t="str">
        <x:v>Menos de $1,5 M</x:v>
      </x:c>
      <x:c r="G536" t="str">
        <x:v>Búsqueda paga</x:v>
      </x:c>
      <x:c r="H536" t="n">
        <x:v>1449000</x:v>
      </x:c>
      <x:c r="I536" t="str">
        <x:v>Salir de deudas</x:v>
      </x:c>
      <x:c r="J536" t="str">
        <x:v>Plus mensual</x:v>
      </x:c>
    </x:row>
    <x:row r="537">
      <x:c r="A537" t="str">
        <x:v>USR-00536</x:v>
      </x:c>
      <x:c r="B537" t="n">
        <x:v>46026</x:v>
      </x:c>
      <x:c r="C537" t="n">
        <x:v>55</x:v>
      </x:c>
      <x:c r="D537" t="str">
        <x:v>Bogotá</x:v>
      </x:c>
      <x:c r="E537" t="str">
        <x:v>Bogotá D.C.</x:v>
      </x:c>
      <x:c r="F537" t="str">
        <x:v>Entre $1,5 M y $3 M</x:v>
      </x:c>
      <x:c r="G537" t="str">
        <x:v>Referidos</x:v>
      </x:c>
      <x:c r="H537" t="n">
        <x:v>2233000</x:v>
      </x:c>
      <x:c r="I537" t="str">
        <x:v>Organización inicial</x:v>
      </x:c>
      <x:c r="J537" t="str">
        <x:v>Cero</x:v>
      </x:c>
    </x:row>
    <x:row r="538">
      <x:c r="A538" t="str">
        <x:v>USR-00537</x:v>
      </x:c>
      <x:c r="B538" t="n">
        <x:v>46025</x:v>
      </x:c>
      <x:c r="C538" t="n">
        <x:v>35</x:v>
      </x:c>
      <x:c r="D538" t="str">
        <x:v>Medellín</x:v>
      </x:c>
      <x:c r="E538" t="str">
        <x:v>Antioquia</x:v>
      </x:c>
      <x:c r="F538" t="str">
        <x:v>Entre $3 M y $5 M</x:v>
      </x:c>
      <x:c r="G538" t="str">
        <x:v>Búsqueda paga</x:v>
      </x:c>
      <x:c r="H538" t="n">
        <x:v>4468000</x:v>
      </x:c>
      <x:c r="I538" t="str">
        <x:v>Reducir intereses</x:v>
      </x:c>
      <x:c r="J538" t="str">
        <x:v>Cero</x:v>
      </x:c>
    </x:row>
    <x:row r="539">
      <x:c r="A539" t="str">
        <x:v>USR-00538</x:v>
      </x:c>
      <x:c r="B539" t="n">
        <x:v>46031</x:v>
      </x:c>
      <x:c r="C539" t="n">
        <x:v>43</x:v>
      </x:c>
      <x:c r="D539" t="str">
        <x:v>Pereira</x:v>
      </x:c>
      <x:c r="E539" t="str">
        <x:v>Risaralda</x:v>
      </x:c>
      <x:c r="F539" t="str">
        <x:v>Entre $1,5 M y $3 M</x:v>
      </x:c>
      <x:c r="G539" t="str">
        <x:v>Búsqueda paga</x:v>
      </x:c>
      <x:c r="H539" t="n">
        <x:v>2641000</x:v>
      </x:c>
      <x:c r="I539" t="str">
        <x:v>Control de pagos</x:v>
      </x:c>
      <x:c r="J539" t="str">
        <x:v>Cero</x:v>
      </x:c>
    </x:row>
    <x:row r="540">
      <x:c r="A540" t="str">
        <x:v>USR-00539</x:v>
      </x:c>
      <x:c r="B540" t="n">
        <x:v>46039</x:v>
      </x:c>
      <x:c r="C540" t="n">
        <x:v>45</x:v>
      </x:c>
      <x:c r="D540" t="str">
        <x:v>Bogotá</x:v>
      </x:c>
      <x:c r="E540" t="str">
        <x:v>Bogotá D.C.</x:v>
      </x:c>
      <x:c r="F540" t="str">
        <x:v>Entre $3 M y $5 M</x:v>
      </x:c>
      <x:c r="G540" t="str">
        <x:v>Alianzas</x:v>
      </x:c>
      <x:c r="H540" t="n">
        <x:v>4953000</x:v>
      </x:c>
      <x:c r="I540" t="str">
        <x:v>Organización inicial</x:v>
      </x:c>
      <x:c r="J540" t="str">
        <x:v>Plus mensual</x:v>
      </x:c>
    </x:row>
    <x:row r="541">
      <x:c r="A541" t="str">
        <x:v>USR-00540</x:v>
      </x:c>
      <x:c r="B541" t="n">
        <x:v>46049</x:v>
      </x:c>
      <x:c r="C541" t="n">
        <x:v>42</x:v>
      </x:c>
      <x:c r="D541" t="str">
        <x:v>Bucaramanga</x:v>
      </x:c>
      <x:c r="E541" t="str">
        <x:v>Santander</x:v>
      </x:c>
      <x:c r="F541" t="str">
        <x:v>Entre $1,5 M y $3 M</x:v>
      </x:c>
      <x:c r="G541" t="str">
        <x:v>Redes sociales</x:v>
      </x:c>
      <x:c r="H541" t="n">
        <x:v>2750000</x:v>
      </x:c>
      <x:c r="I541" t="str">
        <x:v>Organización inicial</x:v>
      </x:c>
      <x:c r="J541" t="str">
        <x:v>Cero</x:v>
      </x:c>
    </x:row>
    <x:row r="542">
      <x:c r="A542" t="str">
        <x:v>USR-00541</x:v>
      </x:c>
      <x:c r="B542" t="n">
        <x:v>46024</x:v>
      </x:c>
      <x:c r="C542" t="n">
        <x:v>29</x:v>
      </x:c>
      <x:c r="D542" t="str">
        <x:v>Cali</x:v>
      </x:c>
      <x:c r="E542" t="str">
        <x:v>Valle del Cauca</x:v>
      </x:c>
      <x:c r="F542" t="str">
        <x:v>Más de $5 M</x:v>
      </x:c>
      <x:c r="G542" t="str">
        <x:v>Alianzas</x:v>
      </x:c>
      <x:c r="H542" t="n">
        <x:v>6143000</x:v>
      </x:c>
      <x:c r="I542" t="str">
        <x:v>Organización inicial</x:v>
      </x:c>
      <x:c r="J542" t="str">
        <x:v>Plus anual</x:v>
      </x:c>
    </x:row>
    <x:row r="543">
      <x:c r="A543" t="str">
        <x:v>USR-00542</x:v>
      </x:c>
      <x:c r="B543" t="n">
        <x:v>46044</x:v>
      </x:c>
      <x:c r="C543" t="n">
        <x:v>22</x:v>
      </x:c>
      <x:c r="D543" t="str">
        <x:v>Medellín</x:v>
      </x:c>
      <x:c r="E543" t="str">
        <x:v>Antioquia</x:v>
      </x:c>
      <x:c r="F543" t="str">
        <x:v>Entre $1,5 M y $3 M</x:v>
      </x:c>
      <x:c r="G543" t="str">
        <x:v>Orgánico</x:v>
      </x:c>
      <x:c r="H543" t="n">
        <x:v>1956000</x:v>
      </x:c>
      <x:c r="I543" t="str">
        <x:v>Control de pagos</x:v>
      </x:c>
      <x:c r="J543" t="str">
        <x:v>Cero</x:v>
      </x:c>
    </x:row>
    <x:row r="544">
      <x:c r="A544" t="str">
        <x:v>USR-00543</x:v>
      </x:c>
      <x:c r="B544" t="n">
        <x:v>46023</x:v>
      </x:c>
      <x:c r="C544" t="n">
        <x:v>50</x:v>
      </x:c>
      <x:c r="D544" t="str">
        <x:v>Cali</x:v>
      </x:c>
      <x:c r="E544" t="str">
        <x:v>Valle del Cauca</x:v>
      </x:c>
      <x:c r="F544" t="str">
        <x:v>Entre $1,5 M y $3 M</x:v>
      </x:c>
      <x:c r="G544" t="str">
        <x:v>Redes sociales</x:v>
      </x:c>
      <x:c r="H544" t="n">
        <x:v>2147000</x:v>
      </x:c>
      <x:c r="I544" t="str">
        <x:v>Salir de deudas</x:v>
      </x:c>
      <x:c r="J544" t="str">
        <x:v>Plus mensual</x:v>
      </x:c>
    </x:row>
    <x:row r="545">
      <x:c r="A545" t="str">
        <x:v>USR-00544</x:v>
      </x:c>
      <x:c r="B545" t="n">
        <x:v>46033</x:v>
      </x:c>
      <x:c r="C545" t="n">
        <x:v>22</x:v>
      </x:c>
      <x:c r="D545" t="str">
        <x:v>Barranquilla</x:v>
      </x:c>
      <x:c r="E545" t="str">
        <x:v>Atlántico</x:v>
      </x:c>
      <x:c r="F545" t="str">
        <x:v>Entre $3 M y $5 M</x:v>
      </x:c>
      <x:c r="G545" t="str">
        <x:v>Búsqueda paga</x:v>
      </x:c>
      <x:c r="H545" t="n">
        <x:v>4690000</x:v>
      </x:c>
      <x:c r="I545" t="str">
        <x:v>Reducir intereses</x:v>
      </x:c>
      <x:c r="J545" t="str">
        <x:v>Cero</x:v>
      </x:c>
    </x:row>
    <x:row r="546">
      <x:c r="A546" t="str">
        <x:v>USR-00545</x:v>
      </x:c>
      <x:c r="B546" t="n">
        <x:v>46045</x:v>
      </x:c>
      <x:c r="C546" t="n">
        <x:v>52</x:v>
      </x:c>
      <x:c r="D546" t="str">
        <x:v>Bogotá</x:v>
      </x:c>
      <x:c r="E546" t="str">
        <x:v>Bogotá D.C.</x:v>
      </x:c>
      <x:c r="F546" t="str">
        <x:v>Entre $3 M y $5 M</x:v>
      </x:c>
      <x:c r="G546" t="str">
        <x:v>Búsqueda paga</x:v>
      </x:c>
      <x:c r="H546" t="n">
        <x:v>4320000</x:v>
      </x:c>
      <x:c r="I546" t="str">
        <x:v>Organización inicial</x:v>
      </x:c>
      <x:c r="J546" t="str">
        <x:v>Cero</x:v>
      </x:c>
    </x:row>
    <x:row r="547">
      <x:c r="A547" t="str">
        <x:v>USR-00546</x:v>
      </x:c>
      <x:c r="B547" t="n">
        <x:v>46047</x:v>
      </x:c>
      <x:c r="C547" t="n">
        <x:v>36</x:v>
      </x:c>
      <x:c r="D547" t="str">
        <x:v>Bogotá</x:v>
      </x:c>
      <x:c r="E547" t="str">
        <x:v>Bogotá D.C.</x:v>
      </x:c>
      <x:c r="F547" t="str">
        <x:v>Entre $1,5 M y $3 M</x:v>
      </x:c>
      <x:c r="G547" t="str">
        <x:v>Referidos</x:v>
      </x:c>
      <x:c r="H547" t="n">
        <x:v>1574000</x:v>
      </x:c>
      <x:c r="I547" t="str">
        <x:v>Reducir intereses</x:v>
      </x:c>
      <x:c r="J547" t="str">
        <x:v>Cero</x:v>
      </x:c>
    </x:row>
    <x:row r="548">
      <x:c r="A548" t="str">
        <x:v>USR-00547</x:v>
      </x:c>
      <x:c r="B548" t="n">
        <x:v>46041</x:v>
      </x:c>
      <x:c r="C548" t="n">
        <x:v>31</x:v>
      </x:c>
      <x:c r="D548" t="str">
        <x:v>Medellín</x:v>
      </x:c>
      <x:c r="E548" t="str">
        <x:v>Antioquia</x:v>
      </x:c>
      <x:c r="F548" t="str">
        <x:v>Menos de $1,5 M</x:v>
      </x:c>
      <x:c r="G548" t="str">
        <x:v>Búsqueda paga</x:v>
      </x:c>
      <x:c r="H548" t="n">
        <x:v>1176000</x:v>
      </x:c>
      <x:c r="I548" t="str">
        <x:v>Reducir intereses</x:v>
      </x:c>
      <x:c r="J548" t="str">
        <x:v>Cero</x:v>
      </x:c>
    </x:row>
    <x:row r="549">
      <x:c r="A549" t="str">
        <x:v>USR-00548</x:v>
      </x:c>
      <x:c r="B549" t="n">
        <x:v>46043</x:v>
      </x:c>
      <x:c r="C549" t="n">
        <x:v>30</x:v>
      </x:c>
      <x:c r="D549" t="str">
        <x:v>Bogotá</x:v>
      </x:c>
      <x:c r="E549" t="str">
        <x:v>Bogotá D.C.</x:v>
      </x:c>
      <x:c r="F549" t="str">
        <x:v>Entre $1,5 M y $3 M</x:v>
      </x:c>
      <x:c r="G549" t="str">
        <x:v>Redes sociales</x:v>
      </x:c>
      <x:c r="H549" t="n">
        <x:v>2119000</x:v>
      </x:c>
      <x:c r="I549" t="str">
        <x:v>Organización inicial</x:v>
      </x:c>
      <x:c r="J549" t="str">
        <x:v>Plus anual</x:v>
      </x:c>
    </x:row>
    <x:row r="550">
      <x:c r="A550" t="str">
        <x:v>USR-00549</x:v>
      </x:c>
      <x:c r="B550" t="n">
        <x:v>46040</x:v>
      </x:c>
      <x:c r="C550" t="n">
        <x:v>60</x:v>
      </x:c>
      <x:c r="D550" t="str">
        <x:v>Bogotá</x:v>
      </x:c>
      <x:c r="E550" t="str">
        <x:v>Bogotá D.C.</x:v>
      </x:c>
      <x:c r="F550" t="str">
        <x:v>Menos de $1,5 M</x:v>
      </x:c>
      <x:c r="G550" t="str">
        <x:v>Contenido educativo</x:v>
      </x:c>
      <x:c r="H550" t="n">
        <x:v>1342000</x:v>
      </x:c>
      <x:c r="I550" t="str">
        <x:v>Organización inicial</x:v>
      </x:c>
      <x:c r="J550" t="str">
        <x:v>Cero</x:v>
      </x:c>
    </x:row>
    <x:row r="551">
      <x:c r="A551" t="str">
        <x:v>USR-00550</x:v>
      </x:c>
      <x:c r="B551" t="n">
        <x:v>46031</x:v>
      </x:c>
      <x:c r="C551" t="n">
        <x:v>38</x:v>
      </x:c>
      <x:c r="D551" t="str">
        <x:v>Bogotá</x:v>
      </x:c>
      <x:c r="E551" t="str">
        <x:v>Bogotá D.C.</x:v>
      </x:c>
      <x:c r="F551" t="str">
        <x:v>Menos de $1,5 M</x:v>
      </x:c>
      <x:c r="G551" t="str">
        <x:v>Orgánico</x:v>
      </x:c>
      <x:c r="H551" t="n">
        <x:v>957000</x:v>
      </x:c>
      <x:c r="I551" t="str">
        <x:v>Reducir intereses</x:v>
      </x:c>
      <x:c r="J551" t="str">
        <x:v>Cero</x:v>
      </x:c>
    </x:row>
    <x:row r="552">
      <x:c r="A552" t="str">
        <x:v>USR-00551</x:v>
      </x:c>
      <x:c r="B552" t="n">
        <x:v>46047</x:v>
      </x:c>
      <x:c r="C552" t="n">
        <x:v>59</x:v>
      </x:c>
      <x:c r="D552" t="str">
        <x:v>Bogotá</x:v>
      </x:c>
      <x:c r="E552" t="str">
        <x:v>Bogotá D.C.</x:v>
      </x:c>
      <x:c r="F552" t="str">
        <x:v>Entre $1,5 M y $3 M</x:v>
      </x:c>
      <x:c r="G552" t="str">
        <x:v>Búsqueda paga</x:v>
      </x:c>
      <x:c r="H552" t="n">
        <x:v>2296000</x:v>
      </x:c>
      <x:c r="I552" t="str">
        <x:v>Reducir intereses</x:v>
      </x:c>
      <x:c r="J552" t="str">
        <x:v>Plus anual</x:v>
      </x:c>
    </x:row>
    <x:row r="553">
      <x:c r="A553" t="str">
        <x:v>USR-00552</x:v>
      </x:c>
      <x:c r="B553" t="n">
        <x:v>46042</x:v>
      </x:c>
      <x:c r="C553" t="n">
        <x:v>34</x:v>
      </x:c>
      <x:c r="D553" t="str">
        <x:v>Bogotá</x:v>
      </x:c>
      <x:c r="E553" t="str">
        <x:v>Bogotá D.C.</x:v>
      </x:c>
      <x:c r="F553" t="str">
        <x:v>Entre $3 M y $5 M</x:v>
      </x:c>
      <x:c r="G553" t="str">
        <x:v>Referidos</x:v>
      </x:c>
      <x:c r="H553" t="n">
        <x:v>3488000</x:v>
      </x:c>
      <x:c r="I553" t="str">
        <x:v>Organización inicial</x:v>
      </x:c>
      <x:c r="J553" t="str">
        <x:v>Plus anual</x:v>
      </x:c>
    </x:row>
    <x:row r="554">
      <x:c r="A554" t="str">
        <x:v>USR-00553</x:v>
      </x:c>
      <x:c r="B554" t="n">
        <x:v>46031</x:v>
      </x:c>
      <x:c r="C554" t="n">
        <x:v>46</x:v>
      </x:c>
      <x:c r="D554" t="str">
        <x:v>Medellín</x:v>
      </x:c>
      <x:c r="E554" t="str">
        <x:v>Antioquia</x:v>
      </x:c>
      <x:c r="F554" t="str">
        <x:v>Menos de $1,5 M</x:v>
      </x:c>
      <x:c r="G554" t="str">
        <x:v>Alianzas</x:v>
      </x:c>
      <x:c r="H554" t="n">
        <x:v>943000</x:v>
      </x:c>
      <x:c r="I554" t="str">
        <x:v>Reducir intereses</x:v>
      </x:c>
      <x:c r="J554" t="str">
        <x:v>Inactivo</x:v>
      </x:c>
    </x:row>
    <x:row r="555">
      <x:c r="A555" t="str">
        <x:v>USR-00554</x:v>
      </x:c>
      <x:c r="B555" t="n">
        <x:v>46030</x:v>
      </x:c>
      <x:c r="C555" t="n">
        <x:v>35</x:v>
      </x:c>
      <x:c r="D555" t="str">
        <x:v>Pereira</x:v>
      </x:c>
      <x:c r="E555" t="str">
        <x:v>Risaralda</x:v>
      </x:c>
      <x:c r="F555" t="str">
        <x:v>Entre $1,5 M y $3 M</x:v>
      </x:c>
      <x:c r="G555" t="str">
        <x:v>Búsqueda paga</x:v>
      </x:c>
      <x:c r="H555" t="n">
        <x:v>2934000</x:v>
      </x:c>
      <x:c r="I555" t="str">
        <x:v>Reducir intereses</x:v>
      </x:c>
      <x:c r="J555" t="str">
        <x:v>Cero</x:v>
      </x:c>
    </x:row>
    <x:row r="556">
      <x:c r="A556" t="str">
        <x:v>USR-00555</x:v>
      </x:c>
      <x:c r="B556" t="n">
        <x:v>46029</x:v>
      </x:c>
      <x:c r="C556" t="n">
        <x:v>58</x:v>
      </x:c>
      <x:c r="D556" t="str">
        <x:v>Medellín</x:v>
      </x:c>
      <x:c r="E556" t="str">
        <x:v>Antioquia</x:v>
      </x:c>
      <x:c r="F556" t="str">
        <x:v>Entre $1,5 M y $3 M</x:v>
      </x:c>
      <x:c r="G556" t="str">
        <x:v>Alianzas</x:v>
      </x:c>
      <x:c r="H556" t="n">
        <x:v>1571000</x:v>
      </x:c>
      <x:c r="I556" t="str">
        <x:v>Salir de deudas</x:v>
      </x:c>
      <x:c r="J556" t="str">
        <x:v>Cero</x:v>
      </x:c>
    </x:row>
    <x:row r="557">
      <x:c r="A557" t="str">
        <x:v>USR-00556</x:v>
      </x:c>
      <x:c r="B557" t="n">
        <x:v>46071</x:v>
      </x:c>
      <x:c r="C557" t="n">
        <x:v>26</x:v>
      </x:c>
      <x:c r="D557" t="str">
        <x:v>Bogotá</x:v>
      </x:c>
      <x:c r="E557" t="str">
        <x:v>Bogotá D.C.</x:v>
      </x:c>
      <x:c r="F557" t="str">
        <x:v>Menos de $1,5 M</x:v>
      </x:c>
      <x:c r="G557" t="str">
        <x:v>Redes sociales</x:v>
      </x:c>
      <x:c r="H557" t="n">
        <x:v>1096000</x:v>
      </x:c>
      <x:c r="I557" t="str">
        <x:v>Reducir intereses</x:v>
      </x:c>
      <x:c r="J557" t="str">
        <x:v>Plus anual</x:v>
      </x:c>
    </x:row>
    <x:row r="558">
      <x:c r="A558" t="str">
        <x:v>USR-00557</x:v>
      </x:c>
      <x:c r="B558" t="n">
        <x:v>46065</x:v>
      </x:c>
      <x:c r="C558" t="n">
        <x:v>61</x:v>
      </x:c>
      <x:c r="D558" t="str">
        <x:v>Bogotá</x:v>
      </x:c>
      <x:c r="E558" t="str">
        <x:v>Bogotá D.C.</x:v>
      </x:c>
      <x:c r="F558" t="str">
        <x:v>Entre $1,5 M y $3 M</x:v>
      </x:c>
      <x:c r="G558" t="str">
        <x:v>Redes sociales</x:v>
      </x:c>
      <x:c r="H558" t="n">
        <x:v>2773000</x:v>
      </x:c>
      <x:c r="I558" t="str">
        <x:v>Organización inicial</x:v>
      </x:c>
      <x:c r="J558" t="str">
        <x:v>Cero</x:v>
      </x:c>
    </x:row>
    <x:row r="559">
      <x:c r="A559" t="str">
        <x:v>USR-00558</x:v>
      </x:c>
      <x:c r="B559" t="n">
        <x:v>46063</x:v>
      </x:c>
      <x:c r="C559" t="n">
        <x:v>47</x:v>
      </x:c>
      <x:c r="D559" t="str">
        <x:v>Medellín</x:v>
      </x:c>
      <x:c r="E559" t="str">
        <x:v>Antioquia</x:v>
      </x:c>
      <x:c r="F559" t="str">
        <x:v>Entre $1,5 M y $3 M</x:v>
      </x:c>
      <x:c r="G559" t="str">
        <x:v>Redes sociales</x:v>
      </x:c>
      <x:c r="H559" t="n">
        <x:v>2679000</x:v>
      </x:c>
      <x:c r="I559" t="str">
        <x:v>Reducir intereses</x:v>
      </x:c>
      <x:c r="J559" t="str">
        <x:v>Plus anual</x:v>
      </x:c>
    </x:row>
    <x:row r="560">
      <x:c r="A560" t="str">
        <x:v>USR-00559</x:v>
      </x:c>
      <x:c r="B560" t="n">
        <x:v>46071</x:v>
      </x:c>
      <x:c r="C560" t="n">
        <x:v>20</x:v>
      </x:c>
      <x:c r="D560" t="str">
        <x:v>Cartagena</x:v>
      </x:c>
      <x:c r="E560" t="str">
        <x:v>Bolívar</x:v>
      </x:c>
      <x:c r="F560" t="str">
        <x:v>Entre $3 M y $5 M</x:v>
      </x:c>
      <x:c r="G560" t="str">
        <x:v>Orgánico</x:v>
      </x:c>
      <x:c r="H560" t="n">
        <x:v>3241000</x:v>
      </x:c>
      <x:c r="I560" t="str">
        <x:v>Organización inicial</x:v>
      </x:c>
      <x:c r="J560" t="str">
        <x:v>Cero</x:v>
      </x:c>
    </x:row>
    <x:row r="561">
      <x:c r="A561" t="str">
        <x:v>USR-00560</x:v>
      </x:c>
      <x:c r="B561" t="n">
        <x:v>46058</x:v>
      </x:c>
      <x:c r="C561" t="n">
        <x:v>52</x:v>
      </x:c>
      <x:c r="D561" t="str">
        <x:v>Bogotá</x:v>
      </x:c>
      <x:c r="E561" t="str">
        <x:v>Bogotá D.C.</x:v>
      </x:c>
      <x:c r="F561" t="str">
        <x:v>Entre $3 M y $5 M</x:v>
      </x:c>
      <x:c r="G561" t="str">
        <x:v>Referidos</x:v>
      </x:c>
      <x:c r="H561" t="n">
        <x:v>3535000</x:v>
      </x:c>
      <x:c r="I561" t="str">
        <x:v>Reducir intereses</x:v>
      </x:c>
      <x:c r="J561" t="str">
        <x:v>Plus mensual</x:v>
      </x:c>
    </x:row>
    <x:row r="562">
      <x:c r="A562" t="str">
        <x:v>USR-00561</x:v>
      </x:c>
      <x:c r="B562" t="n">
        <x:v>46062</x:v>
      </x:c>
      <x:c r="C562" t="n">
        <x:v>21</x:v>
      </x:c>
      <x:c r="D562" t="str">
        <x:v>Medellín</x:v>
      </x:c>
      <x:c r="E562" t="str">
        <x:v>Antioquia</x:v>
      </x:c>
      <x:c r="F562" t="str">
        <x:v>Entre $3 M y $5 M</x:v>
      </x:c>
      <x:c r="G562" t="str">
        <x:v>Alianzas</x:v>
      </x:c>
      <x:c r="H562" t="n">
        <x:v>4395000</x:v>
      </x:c>
      <x:c r="I562" t="str">
        <x:v>Reducir intereses</x:v>
      </x:c>
      <x:c r="J562" t="str">
        <x:v>Plus mensual</x:v>
      </x:c>
    </x:row>
    <x:row r="563">
      <x:c r="A563" t="str">
        <x:v>USR-00562</x:v>
      </x:c>
      <x:c r="B563" t="n">
        <x:v>46069</x:v>
      </x:c>
      <x:c r="C563" t="n">
        <x:v>38</x:v>
      </x:c>
      <x:c r="D563" t="str">
        <x:v>Bogotá</x:v>
      </x:c>
      <x:c r="E563" t="str">
        <x:v>Bogotá D.C.</x:v>
      </x:c>
      <x:c r="F563" t="str">
        <x:v>Entre $1,5 M y $3 M</x:v>
      </x:c>
      <x:c r="G563" t="str">
        <x:v>Orgánico</x:v>
      </x:c>
      <x:c r="H563" t="n">
        <x:v>2922000</x:v>
      </x:c>
      <x:c r="I563" t="str">
        <x:v>Organización inicial</x:v>
      </x:c>
      <x:c r="J563" t="str">
        <x:v>Cero</x:v>
      </x:c>
    </x:row>
    <x:row r="564">
      <x:c r="A564" t="str">
        <x:v>USR-00563</x:v>
      </x:c>
      <x:c r="B564" t="n">
        <x:v>46073</x:v>
      </x:c>
      <x:c r="C564" t="n">
        <x:v>46</x:v>
      </x:c>
      <x:c r="D564" t="str">
        <x:v>Bogotá</x:v>
      </x:c>
      <x:c r="E564" t="str">
        <x:v>Bogotá D.C.</x:v>
      </x:c>
      <x:c r="F564" t="str">
        <x:v>Entre $1,5 M y $3 M</x:v>
      </x:c>
      <x:c r="G564" t="str">
        <x:v>Redes sociales</x:v>
      </x:c>
      <x:c r="H564" t="n">
        <x:v>2347000</x:v>
      </x:c>
      <x:c r="I564" t="str">
        <x:v>Control de pagos</x:v>
      </x:c>
      <x:c r="J564" t="str">
        <x:v>Plus mensual</x:v>
      </x:c>
    </x:row>
    <x:row r="565">
      <x:c r="A565" t="str">
        <x:v>USR-00564</x:v>
      </x:c>
      <x:c r="B565" t="n">
        <x:v>46064</x:v>
      </x:c>
      <x:c r="C565" t="n">
        <x:v>41</x:v>
      </x:c>
      <x:c r="D565" t="str">
        <x:v>Bogotá</x:v>
      </x:c>
      <x:c r="E565" t="str">
        <x:v>Bogotá D.C.</x:v>
      </x:c>
      <x:c r="F565" t="str">
        <x:v>Entre $1,5 M y $3 M</x:v>
      </x:c>
      <x:c r="G565" t="str">
        <x:v>Contenido educativo</x:v>
      </x:c>
      <x:c r="H565" t="n">
        <x:v>2517000</x:v>
      </x:c>
      <x:c r="I565" t="str">
        <x:v>Salir de deudas</x:v>
      </x:c>
      <x:c r="J565" t="str">
        <x:v>Cero</x:v>
      </x:c>
    </x:row>
    <x:row r="566">
      <x:c r="A566" t="str">
        <x:v>USR-00565</x:v>
      </x:c>
      <x:c r="B566" t="n">
        <x:v>46071</x:v>
      </x:c>
      <x:c r="C566" t="n">
        <x:v>28</x:v>
      </x:c>
      <x:c r="D566" t="str">
        <x:v>Bogotá</x:v>
      </x:c>
      <x:c r="E566" t="str">
        <x:v>Bogotá D.C.</x:v>
      </x:c>
      <x:c r="F566" t="str">
        <x:v>Entre $3 M y $5 M</x:v>
      </x:c>
      <x:c r="G566" t="str">
        <x:v>Búsqueda paga</x:v>
      </x:c>
      <x:c r="H566" t="n">
        <x:v>4566000</x:v>
      </x:c>
      <x:c r="I566" t="str">
        <x:v>Organización inicial</x:v>
      </x:c>
      <x:c r="J566" t="str">
        <x:v>Plus mensual</x:v>
      </x:c>
    </x:row>
    <x:row r="567">
      <x:c r="A567" t="str">
        <x:v>USR-00566</x:v>
      </x:c>
      <x:c r="B567" t="n">
        <x:v>46066</x:v>
      </x:c>
      <x:c r="C567" t="n">
        <x:v>47</x:v>
      </x:c>
      <x:c r="D567" t="str">
        <x:v>Bogotá</x:v>
      </x:c>
      <x:c r="E567" t="str">
        <x:v>Bogotá D.C.</x:v>
      </x:c>
      <x:c r="F567" t="str">
        <x:v>Entre $3 M y $5 M</x:v>
      </x:c>
      <x:c r="G567" t="str">
        <x:v>Búsqueda paga</x:v>
      </x:c>
      <x:c r="H567" t="n">
        <x:v>3343000</x:v>
      </x:c>
      <x:c r="I567" t="str">
        <x:v>Reducir intereses</x:v>
      </x:c>
      <x:c r="J567" t="str">
        <x:v>Cero</x:v>
      </x:c>
    </x:row>
    <x:row r="568">
      <x:c r="A568" t="str">
        <x:v>USR-00567</x:v>
      </x:c>
      <x:c r="B568" t="n">
        <x:v>46070</x:v>
      </x:c>
      <x:c r="C568" t="n">
        <x:v>61</x:v>
      </x:c>
      <x:c r="D568" t="str">
        <x:v>Bogotá</x:v>
      </x:c>
      <x:c r="E568" t="str">
        <x:v>Bogotá D.C.</x:v>
      </x:c>
      <x:c r="F568" t="str">
        <x:v>Entre $1,5 M y $3 M</x:v>
      </x:c>
      <x:c r="G568" t="str">
        <x:v>Contenido educativo</x:v>
      </x:c>
      <x:c r="H568" t="n">
        <x:v>1920000</x:v>
      </x:c>
      <x:c r="I568" t="str">
        <x:v>Organización inicial</x:v>
      </x:c>
      <x:c r="J568" t="str">
        <x:v>Plus mensual</x:v>
      </x:c>
    </x:row>
    <x:row r="569">
      <x:c r="A569" t="str">
        <x:v>USR-00568</x:v>
      </x:c>
      <x:c r="B569" t="n">
        <x:v>46078</x:v>
      </x:c>
      <x:c r="C569" t="n">
        <x:v>60</x:v>
      </x:c>
      <x:c r="D569" t="str">
        <x:v>Pereira</x:v>
      </x:c>
      <x:c r="E569" t="str">
        <x:v>Risaralda</x:v>
      </x:c>
      <x:c r="F569" t="str">
        <x:v>Entre $3 M y $5 M</x:v>
      </x:c>
      <x:c r="G569" t="str">
        <x:v>Redes sociales</x:v>
      </x:c>
      <x:c r="H569" t="n">
        <x:v>3250000</x:v>
      </x:c>
      <x:c r="I569" t="str">
        <x:v>Salir de deudas</x:v>
      </x:c>
      <x:c r="J569" t="str">
        <x:v>Cero</x:v>
      </x:c>
    </x:row>
    <x:row r="570">
      <x:c r="A570" t="str">
        <x:v>USR-00569</x:v>
      </x:c>
      <x:c r="B570" t="n">
        <x:v>46069</x:v>
      </x:c>
      <x:c r="C570" t="n">
        <x:v>62</x:v>
      </x:c>
      <x:c r="D570" t="str">
        <x:v>Cartagena</x:v>
      </x:c>
      <x:c r="E570" t="str">
        <x:v>Bolívar</x:v>
      </x:c>
      <x:c r="F570" t="str">
        <x:v>Entre $1,5 M y $3 M</x:v>
      </x:c>
      <x:c r="G570" t="str">
        <x:v>Orgánico</x:v>
      </x:c>
      <x:c r="H570" t="n">
        <x:v>2656000</x:v>
      </x:c>
      <x:c r="I570" t="str">
        <x:v>Salir de deudas</x:v>
      </x:c>
      <x:c r="J570" t="str">
        <x:v>Cero</x:v>
      </x:c>
    </x:row>
    <x:row r="571">
      <x:c r="A571" t="str">
        <x:v>USR-00570</x:v>
      </x:c>
      <x:c r="B571" t="n">
        <x:v>46070</x:v>
      </x:c>
      <x:c r="C571" t="n">
        <x:v>32</x:v>
      </x:c>
      <x:c r="D571" t="str">
        <x:v>Bucaramanga</x:v>
      </x:c>
      <x:c r="E571" t="str">
        <x:v>Santander</x:v>
      </x:c>
      <x:c r="F571" t="str">
        <x:v>Entre $3 M y $5 M</x:v>
      </x:c>
      <x:c r="G571" t="str">
        <x:v>Referidos</x:v>
      </x:c>
      <x:c r="H571" t="n">
        <x:v>4008000</x:v>
      </x:c>
      <x:c r="I571" t="str">
        <x:v>Organización inicial</x:v>
      </x:c>
      <x:c r="J571" t="str">
        <x:v>Plus anual</x:v>
      </x:c>
    </x:row>
    <x:row r="572">
      <x:c r="A572" t="str">
        <x:v>USR-00571</x:v>
      </x:c>
      <x:c r="B572" t="n">
        <x:v>46057</x:v>
      </x:c>
      <x:c r="C572" t="n">
        <x:v>61</x:v>
      </x:c>
      <x:c r="D572" t="str">
        <x:v>Bogotá</x:v>
      </x:c>
      <x:c r="E572" t="str">
        <x:v>Bogotá D.C.</x:v>
      </x:c>
      <x:c r="F572" t="str">
        <x:v>Entre $3 M y $5 M</x:v>
      </x:c>
      <x:c r="G572" t="str">
        <x:v>Referidos</x:v>
      </x:c>
      <x:c r="H572" t="n">
        <x:v>4659000</x:v>
      </x:c>
      <x:c r="I572" t="str">
        <x:v>Control de pagos</x:v>
      </x:c>
      <x:c r="J572" t="str">
        <x:v>Plus mensual</x:v>
      </x:c>
    </x:row>
    <x:row r="573">
      <x:c r="A573" t="str">
        <x:v>USR-00572</x:v>
      </x:c>
      <x:c r="B573" t="n">
        <x:v>46073</x:v>
      </x:c>
      <x:c r="C573" t="n">
        <x:v>45</x:v>
      </x:c>
      <x:c r="D573" t="str">
        <x:v>Bogotá</x:v>
      </x:c>
      <x:c r="E573" t="str">
        <x:v>Bogotá D.C.</x:v>
      </x:c>
      <x:c r="F573" t="str">
        <x:v>Entre $3 M y $5 M</x:v>
      </x:c>
      <x:c r="G573" t="str">
        <x:v>Redes sociales</x:v>
      </x:c>
      <x:c r="H573" t="n">
        <x:v>4059000</x:v>
      </x:c>
      <x:c r="I573" t="str">
        <x:v>Organización inicial</x:v>
      </x:c>
      <x:c r="J573" t="str">
        <x:v>Plus mensual</x:v>
      </x:c>
    </x:row>
    <x:row r="574">
      <x:c r="A574" t="str">
        <x:v>USR-00573</x:v>
      </x:c>
      <x:c r="B574" t="n">
        <x:v>46065</x:v>
      </x:c>
      <x:c r="C574" t="n">
        <x:v>27</x:v>
      </x:c>
      <x:c r="D574" t="str">
        <x:v>Bucaramanga</x:v>
      </x:c>
      <x:c r="E574" t="str">
        <x:v>Santander</x:v>
      </x:c>
      <x:c r="F574" t="str">
        <x:v>Entre $1,5 M y $3 M</x:v>
      </x:c>
      <x:c r="G574" t="str">
        <x:v>Contenido educativo</x:v>
      </x:c>
      <x:c r="H574" t="n">
        <x:v>1962000</x:v>
      </x:c>
      <x:c r="I574" t="str">
        <x:v>Reducir intereses</x:v>
      </x:c>
      <x:c r="J574" t="str">
        <x:v>Plus anual</x:v>
      </x:c>
    </x:row>
    <x:row r="575">
      <x:c r="A575" t="str">
        <x:v>USR-00574</x:v>
      </x:c>
      <x:c r="B575" t="n">
        <x:v>46079</x:v>
      </x:c>
      <x:c r="C575" t="n">
        <x:v>60</x:v>
      </x:c>
      <x:c r="D575" t="str">
        <x:v>Bogotá</x:v>
      </x:c>
      <x:c r="E575" t="str">
        <x:v>Bogotá D.C.</x:v>
      </x:c>
      <x:c r="F575" t="str">
        <x:v>Menos de $1,5 M</x:v>
      </x:c>
      <x:c r="G575" t="str">
        <x:v>Redes sociales</x:v>
      </x:c>
      <x:c r="H575" t="n">
        <x:v>1474000</x:v>
      </x:c>
      <x:c r="I575" t="str">
        <x:v>Organización inicial</x:v>
      </x:c>
      <x:c r="J575" t="str">
        <x:v>Cero</x:v>
      </x:c>
    </x:row>
    <x:row r="576">
      <x:c r="A576" t="str">
        <x:v>USR-00575</x:v>
      </x:c>
      <x:c r="B576" t="n">
        <x:v>46074</x:v>
      </x:c>
      <x:c r="C576" t="n">
        <x:v>57</x:v>
      </x:c>
      <x:c r="D576" t="str">
        <x:v>Bogotá</x:v>
      </x:c>
      <x:c r="E576" t="str">
        <x:v>Bogotá D.C.</x:v>
      </x:c>
      <x:c r="F576" t="str">
        <x:v>Entre $1,5 M y $3 M</x:v>
      </x:c>
      <x:c r="G576" t="str">
        <x:v>Redes sociales</x:v>
      </x:c>
      <x:c r="H576" t="n">
        <x:v>2011000</x:v>
      </x:c>
      <x:c r="I576" t="str">
        <x:v>Control de pagos</x:v>
      </x:c>
      <x:c r="J576" t="str">
        <x:v>Cero</x:v>
      </x:c>
    </x:row>
    <x:row r="577">
      <x:c r="A577" t="str">
        <x:v>USR-00576</x:v>
      </x:c>
      <x:c r="B577" t="n">
        <x:v>46063</x:v>
      </x:c>
      <x:c r="C577" t="n">
        <x:v>37</x:v>
      </x:c>
      <x:c r="D577" t="str">
        <x:v>Bogotá</x:v>
      </x:c>
      <x:c r="E577" t="str">
        <x:v>Bogotá D.C.</x:v>
      </x:c>
      <x:c r="F577" t="str">
        <x:v>Menos de $1,5 M</x:v>
      </x:c>
      <x:c r="G577" t="str">
        <x:v>Contenido educativo</x:v>
      </x:c>
      <x:c r="H577" t="n">
        <x:v>1029000</x:v>
      </x:c>
      <x:c r="I577" t="str">
        <x:v>Control de pagos</x:v>
      </x:c>
      <x:c r="J577" t="str">
        <x:v>Cero</x:v>
      </x:c>
    </x:row>
    <x:row r="578">
      <x:c r="A578" t="str">
        <x:v>USR-00577</x:v>
      </x:c>
      <x:c r="B578" t="n">
        <x:v>46066</x:v>
      </x:c>
      <x:c r="C578" t="n">
        <x:v>50</x:v>
      </x:c>
      <x:c r="D578" t="str">
        <x:v>Cartagena</x:v>
      </x:c>
      <x:c r="E578" t="str">
        <x:v>Bolívar</x:v>
      </x:c>
      <x:c r="F578" t="str">
        <x:v>Entre $1,5 M y $3 M</x:v>
      </x:c>
      <x:c r="G578" t="str">
        <x:v>Orgánico</x:v>
      </x:c>
      <x:c r="H578" t="n">
        <x:v>2699000</x:v>
      </x:c>
      <x:c r="I578" t="str">
        <x:v>Organización inicial</x:v>
      </x:c>
      <x:c r="J578" t="str">
        <x:v>Plus anual</x:v>
      </x:c>
    </x:row>
    <x:row r="579">
      <x:c r="A579" t="str">
        <x:v>USR-00578</x:v>
      </x:c>
      <x:c r="B579" t="n">
        <x:v>46054</x:v>
      </x:c>
      <x:c r="C579" t="n">
        <x:v>61</x:v>
      </x:c>
      <x:c r="D579" t="str">
        <x:v>Pereira</x:v>
      </x:c>
      <x:c r="E579" t="str">
        <x:v>Risaralda</x:v>
      </x:c>
      <x:c r="F579" t="str">
        <x:v>Entre $3 M y $5 M</x:v>
      </x:c>
      <x:c r="G579" t="str">
        <x:v>Redes sociales</x:v>
      </x:c>
      <x:c r="H579" t="n">
        <x:v>3855000</x:v>
      </x:c>
      <x:c r="I579" t="str">
        <x:v>Reducir intereses</x:v>
      </x:c>
      <x:c r="J579" t="str">
        <x:v>Cero</x:v>
      </x:c>
    </x:row>
    <x:row r="580">
      <x:c r="A580" t="str">
        <x:v>USR-00579</x:v>
      </x:c>
      <x:c r="B580" t="n">
        <x:v>46074</x:v>
      </x:c>
      <x:c r="C580" t="n">
        <x:v>22</x:v>
      </x:c>
      <x:c r="D580" t="str">
        <x:v>Cali</x:v>
      </x:c>
      <x:c r="E580" t="str">
        <x:v>Valle del Cauca</x:v>
      </x:c>
      <x:c r="F580" t="str">
        <x:v>Más de $5 M</x:v>
      </x:c>
      <x:c r="G580" t="str">
        <x:v>Orgánico</x:v>
      </x:c>
      <x:c r="H580" t="n">
        <x:v>5772000</x:v>
      </x:c>
      <x:c r="I580" t="str">
        <x:v>Control de pagos</x:v>
      </x:c>
      <x:c r="J580" t="str">
        <x:v>Cero</x:v>
      </x:c>
    </x:row>
    <x:row r="581">
      <x:c r="A581" t="str">
        <x:v>USR-00580</x:v>
      </x:c>
      <x:c r="B581" t="n">
        <x:v>46055</x:v>
      </x:c>
      <x:c r="C581" t="n">
        <x:v>47</x:v>
      </x:c>
      <x:c r="D581" t="str">
        <x:v>Barranquilla</x:v>
      </x:c>
      <x:c r="E581" t="str">
        <x:v>Atlántico</x:v>
      </x:c>
      <x:c r="F581" t="str">
        <x:v>Entre $1,5 M y $3 M</x:v>
      </x:c>
      <x:c r="G581" t="str">
        <x:v>Referidos</x:v>
      </x:c>
      <x:c r="H581" t="n">
        <x:v>2237000</x:v>
      </x:c>
      <x:c r="I581" t="str">
        <x:v>Reducir intereses</x:v>
      </x:c>
      <x:c r="J581" t="str">
        <x:v>Cero</x:v>
      </x:c>
    </x:row>
    <x:row r="582">
      <x:c r="A582" t="str">
        <x:v>USR-00581</x:v>
      </x:c>
      <x:c r="B582" t="n">
        <x:v>46080</x:v>
      </x:c>
      <x:c r="C582" t="n">
        <x:v>37</x:v>
      </x:c>
      <x:c r="D582" t="str">
        <x:v>Cali</x:v>
      </x:c>
      <x:c r="E582" t="str">
        <x:v>Valle del Cauca</x:v>
      </x:c>
      <x:c r="F582" t="str">
        <x:v>Entre $3 M y $5 M</x:v>
      </x:c>
      <x:c r="G582" t="str">
        <x:v>Alianzas</x:v>
      </x:c>
      <x:c r="H582" t="n">
        <x:v>3993000</x:v>
      </x:c>
      <x:c r="I582" t="str">
        <x:v>Salir de deudas</x:v>
      </x:c>
      <x:c r="J582" t="str">
        <x:v>Plus anual</x:v>
      </x:c>
    </x:row>
    <x:row r="583">
      <x:c r="A583" t="str">
        <x:v>USR-00582</x:v>
      </x:c>
      <x:c r="B583" t="n">
        <x:v>46079</x:v>
      </x:c>
      <x:c r="C583" t="n">
        <x:v>64</x:v>
      </x:c>
      <x:c r="D583" t="str">
        <x:v>Bogotá</x:v>
      </x:c>
      <x:c r="E583" t="str">
        <x:v>Bogotá D.C.</x:v>
      </x:c>
      <x:c r="F583" t="str">
        <x:v>Entre $3 M y $5 M</x:v>
      </x:c>
      <x:c r="G583" t="str">
        <x:v>Redes sociales</x:v>
      </x:c>
      <x:c r="H583" t="n">
        <x:v>3978000</x:v>
      </x:c>
      <x:c r="I583" t="str">
        <x:v>Control de pagos</x:v>
      </x:c>
      <x:c r="J583" t="str">
        <x:v>Cero</x:v>
      </x:c>
    </x:row>
    <x:row r="584">
      <x:c r="A584" t="str">
        <x:v>USR-00583</x:v>
      </x:c>
      <x:c r="B584" t="n">
        <x:v>46066</x:v>
      </x:c>
      <x:c r="C584" t="n">
        <x:v>50</x:v>
      </x:c>
      <x:c r="D584" t="str">
        <x:v>Barranquilla</x:v>
      </x:c>
      <x:c r="E584" t="str">
        <x:v>Atlántico</x:v>
      </x:c>
      <x:c r="F584" t="str">
        <x:v>Entre $1,5 M y $3 M</x:v>
      </x:c>
      <x:c r="G584" t="str">
        <x:v>Redes sociales</x:v>
      </x:c>
      <x:c r="H584" t="n">
        <x:v>1933000</x:v>
      </x:c>
      <x:c r="I584" t="str">
        <x:v>Control de pagos</x:v>
      </x:c>
      <x:c r="J584" t="str">
        <x:v>Cero</x:v>
      </x:c>
    </x:row>
    <x:row r="585">
      <x:c r="A585" t="str">
        <x:v>USR-00584</x:v>
      </x:c>
      <x:c r="B585" t="n">
        <x:v>46055</x:v>
      </x:c>
      <x:c r="C585" t="n">
        <x:v>27</x:v>
      </x:c>
      <x:c r="D585" t="str">
        <x:v>Medellín</x:v>
      </x:c>
      <x:c r="E585" t="str">
        <x:v>Antioquia</x:v>
      </x:c>
      <x:c r="F585" t="str">
        <x:v>Menos de $1,5 M</x:v>
      </x:c>
      <x:c r="G585" t="str">
        <x:v>Orgánico</x:v>
      </x:c>
      <x:c r="H585" t="n">
        <x:v>1431000</x:v>
      </x:c>
      <x:c r="I585" t="str">
        <x:v>Salir de deudas</x:v>
      </x:c>
      <x:c r="J585" t="str">
        <x:v>Cero</x:v>
      </x:c>
    </x:row>
    <x:row r="586">
      <x:c r="A586" t="str">
        <x:v>USR-00585</x:v>
      </x:c>
      <x:c r="B586" t="n">
        <x:v>46080</x:v>
      </x:c>
      <x:c r="C586" t="n">
        <x:v>29</x:v>
      </x:c>
      <x:c r="D586" t="str">
        <x:v>Manizales</x:v>
      </x:c>
      <x:c r="E586" t="str">
        <x:v>Caldas</x:v>
      </x:c>
      <x:c r="F586" t="str">
        <x:v>Menos de $1,5 M</x:v>
      </x:c>
      <x:c r="G586" t="str">
        <x:v>Redes sociales</x:v>
      </x:c>
      <x:c r="H586" t="n">
        <x:v>1217000</x:v>
      </x:c>
      <x:c r="I586" t="str">
        <x:v>Salir de deudas</x:v>
      </x:c>
      <x:c r="J586" t="str">
        <x:v>Cero</x:v>
      </x:c>
    </x:row>
    <x:row r="587">
      <x:c r="A587" t="str">
        <x:v>USR-00586</x:v>
      </x:c>
      <x:c r="B587" t="n">
        <x:v>46068</x:v>
      </x:c>
      <x:c r="C587" t="n">
        <x:v>60</x:v>
      </x:c>
      <x:c r="D587" t="str">
        <x:v>Pereira</x:v>
      </x:c>
      <x:c r="E587" t="str">
        <x:v>Risaralda</x:v>
      </x:c>
      <x:c r="F587" t="str">
        <x:v>Entre $1,5 M y $3 M</x:v>
      </x:c>
      <x:c r="G587" t="str">
        <x:v>Referidos</x:v>
      </x:c>
      <x:c r="H587" t="n">
        <x:v>1665000</x:v>
      </x:c>
      <x:c r="I587" t="str">
        <x:v>Salir de deudas</x:v>
      </x:c>
      <x:c r="J587" t="str">
        <x:v>Plus anual</x:v>
      </x:c>
    </x:row>
    <x:row r="588">
      <x:c r="A588" t="str">
        <x:v>USR-00587</x:v>
      </x:c>
      <x:c r="B588" t="n">
        <x:v>46067</x:v>
      </x:c>
      <x:c r="C588" t="n">
        <x:v>32</x:v>
      </x:c>
      <x:c r="D588" t="str">
        <x:v>Bogotá</x:v>
      </x:c>
      <x:c r="E588" t="str">
        <x:v>Bogotá D.C.</x:v>
      </x:c>
      <x:c r="F588" t="str">
        <x:v>Más de $5 M</x:v>
      </x:c>
      <x:c r="G588" t="str">
        <x:v>Búsqueda paga</x:v>
      </x:c>
      <x:c r="H588" t="n">
        <x:v>5446000</x:v>
      </x:c>
      <x:c r="I588" t="str">
        <x:v>Control de pagos</x:v>
      </x:c>
      <x:c r="J588" t="str">
        <x:v>Plus mensual</x:v>
      </x:c>
    </x:row>
    <x:row r="589">
      <x:c r="A589" t="str">
        <x:v>USR-00588</x:v>
      </x:c>
      <x:c r="B589" t="n">
        <x:v>46076</x:v>
      </x:c>
      <x:c r="C589" t="n">
        <x:v>31</x:v>
      </x:c>
      <x:c r="D589" t="str">
        <x:v>Bucaramanga</x:v>
      </x:c>
      <x:c r="E589" t="str">
        <x:v>Santander</x:v>
      </x:c>
      <x:c r="F589" t="str">
        <x:v>Entre $1,5 M y $3 M</x:v>
      </x:c>
      <x:c r="G589" t="str">
        <x:v>Redes sociales</x:v>
      </x:c>
      <x:c r="H589" t="n">
        <x:v>2650000</x:v>
      </x:c>
      <x:c r="I589" t="str">
        <x:v>Reducir intereses</x:v>
      </x:c>
      <x:c r="J589" t="str">
        <x:v>Cero</x:v>
      </x:c>
    </x:row>
    <x:row r="590">
      <x:c r="A590" t="str">
        <x:v>USR-00589</x:v>
      </x:c>
      <x:c r="B590" t="n">
        <x:v>46073</x:v>
      </x:c>
      <x:c r="C590" t="n">
        <x:v>37</x:v>
      </x:c>
      <x:c r="D590" t="str">
        <x:v>Medellín</x:v>
      </x:c>
      <x:c r="E590" t="str">
        <x:v>Antioquia</x:v>
      </x:c>
      <x:c r="F590" t="str">
        <x:v>Entre $1,5 M y $3 M</x:v>
      </x:c>
      <x:c r="G590" t="str">
        <x:v>Redes sociales</x:v>
      </x:c>
      <x:c r="H590" t="n">
        <x:v>1885000</x:v>
      </x:c>
      <x:c r="I590" t="str">
        <x:v>Organización inicial</x:v>
      </x:c>
      <x:c r="J590" t="str">
        <x:v>Plus mensual</x:v>
      </x:c>
    </x:row>
    <x:row r="591">
      <x:c r="A591" t="str">
        <x:v>USR-00590</x:v>
      </x:c>
      <x:c r="B591" t="n">
        <x:v>46071</x:v>
      </x:c>
      <x:c r="C591" t="n">
        <x:v>59</x:v>
      </x:c>
      <x:c r="D591" t="str">
        <x:v>Bogotá</x:v>
      </x:c>
      <x:c r="E591" t="str">
        <x:v>Bogotá D.C.</x:v>
      </x:c>
      <x:c r="F591" t="str">
        <x:v>Entre $1,5 M y $3 M</x:v>
      </x:c>
      <x:c r="G591" t="str">
        <x:v>Alianzas</x:v>
      </x:c>
      <x:c r="H591" t="n">
        <x:v>2974000</x:v>
      </x:c>
      <x:c r="I591" t="str">
        <x:v>Salir de deudas</x:v>
      </x:c>
      <x:c r="J591" t="str">
        <x:v>Cero</x:v>
      </x:c>
    </x:row>
    <x:row r="592">
      <x:c r="A592" t="str">
        <x:v>USR-00591</x:v>
      </x:c>
      <x:c r="B592" t="n">
        <x:v>46062</x:v>
      </x:c>
      <x:c r="C592" t="n">
        <x:v>41</x:v>
      </x:c>
      <x:c r="D592" t="str">
        <x:v>Bogotá</x:v>
      </x:c>
      <x:c r="E592" t="str">
        <x:v>Bogotá D.C.</x:v>
      </x:c>
      <x:c r="F592" t="str">
        <x:v>Menos de $1,5 M</x:v>
      </x:c>
      <x:c r="G592" t="str">
        <x:v>Referidos</x:v>
      </x:c>
      <x:c r="H592" t="n">
        <x:v>1147000</x:v>
      </x:c>
      <x:c r="I592" t="str">
        <x:v>Organización inicial</x:v>
      </x:c>
      <x:c r="J592" t="str">
        <x:v>Cero</x:v>
      </x:c>
    </x:row>
    <x:row r="593">
      <x:c r="A593" t="str">
        <x:v>USR-00592</x:v>
      </x:c>
      <x:c r="B593" t="n">
        <x:v>46061</x:v>
      </x:c>
      <x:c r="C593" t="n">
        <x:v>41</x:v>
      </x:c>
      <x:c r="D593" t="str">
        <x:v>Cali</x:v>
      </x:c>
      <x:c r="E593" t="str">
        <x:v>Valle del Cauca</x:v>
      </x:c>
      <x:c r="F593" t="str">
        <x:v>Entre $3 M y $5 M</x:v>
      </x:c>
      <x:c r="G593" t="str">
        <x:v>Redes sociales</x:v>
      </x:c>
      <x:c r="H593" t="n">
        <x:v>4546000</x:v>
      </x:c>
      <x:c r="I593" t="str">
        <x:v>Reducir intereses</x:v>
      </x:c>
      <x:c r="J593" t="str">
        <x:v>Plus mensual</x:v>
      </x:c>
    </x:row>
    <x:row r="594">
      <x:c r="A594" t="str">
        <x:v>USR-00593</x:v>
      </x:c>
      <x:c r="B594" t="n">
        <x:v>46061</x:v>
      </x:c>
      <x:c r="C594" t="n">
        <x:v>20</x:v>
      </x:c>
      <x:c r="D594" t="str">
        <x:v>Bogotá</x:v>
      </x:c>
      <x:c r="E594" t="str">
        <x:v>Bogotá D.C.</x:v>
      </x:c>
      <x:c r="F594" t="str">
        <x:v>Menos de $1,5 M</x:v>
      </x:c>
      <x:c r="G594" t="str">
        <x:v>Búsqueda paga</x:v>
      </x:c>
      <x:c r="H594" t="n">
        <x:v>976000</x:v>
      </x:c>
      <x:c r="I594" t="str">
        <x:v>Organización inicial</x:v>
      </x:c>
      <x:c r="J594" t="str">
        <x:v>Inactivo</x:v>
      </x:c>
    </x:row>
    <x:row r="595">
      <x:c r="A595" t="str">
        <x:v>USR-00594</x:v>
      </x:c>
      <x:c r="B595" t="n">
        <x:v>46062</x:v>
      </x:c>
      <x:c r="C595" t="n">
        <x:v>45</x:v>
      </x:c>
      <x:c r="D595" t="str">
        <x:v>Bogotá</x:v>
      </x:c>
      <x:c r="E595" t="str">
        <x:v>Bogotá D.C.</x:v>
      </x:c>
      <x:c r="F595" t="str">
        <x:v>Entre $1,5 M y $3 M</x:v>
      </x:c>
      <x:c r="G595" t="str">
        <x:v>Orgánico</x:v>
      </x:c>
      <x:c r="H595" t="n">
        <x:v>2882000</x:v>
      </x:c>
      <x:c r="I595" t="str">
        <x:v>Reducir intereses</x:v>
      </x:c>
      <x:c r="J595" t="str">
        <x:v>Plus mensual</x:v>
      </x:c>
    </x:row>
    <x:row r="596">
      <x:c r="A596" t="str">
        <x:v>USR-00595</x:v>
      </x:c>
      <x:c r="B596" t="n">
        <x:v>46068</x:v>
      </x:c>
      <x:c r="C596" t="n">
        <x:v>37</x:v>
      </x:c>
      <x:c r="D596" t="str">
        <x:v>Cali</x:v>
      </x:c>
      <x:c r="E596" t="str">
        <x:v>Valle del Cauca</x:v>
      </x:c>
      <x:c r="F596" t="str">
        <x:v>Más de $5 M</x:v>
      </x:c>
      <x:c r="G596" t="str">
        <x:v>Alianzas</x:v>
      </x:c>
      <x:c r="H596" t="n">
        <x:v>8079000</x:v>
      </x:c>
      <x:c r="I596" t="str">
        <x:v>Control de pagos</x:v>
      </x:c>
      <x:c r="J596" t="str">
        <x:v>Plus mensual</x:v>
      </x:c>
    </x:row>
    <x:row r="597">
      <x:c r="A597" t="str">
        <x:v>USR-00596</x:v>
      </x:c>
      <x:c r="B597" t="n">
        <x:v>46063</x:v>
      </x:c>
      <x:c r="C597" t="n">
        <x:v>53</x:v>
      </x:c>
      <x:c r="D597" t="str">
        <x:v>Bogotá</x:v>
      </x:c>
      <x:c r="E597" t="str">
        <x:v>Bogotá D.C.</x:v>
      </x:c>
      <x:c r="F597" t="str">
        <x:v>Entre $3 M y $5 M</x:v>
      </x:c>
      <x:c r="G597" t="str">
        <x:v>Orgánico</x:v>
      </x:c>
      <x:c r="H597" t="n">
        <x:v>4054000</x:v>
      </x:c>
      <x:c r="I597" t="str">
        <x:v>Reducir intereses</x:v>
      </x:c>
      <x:c r="J597" t="str">
        <x:v>Plus anual</x:v>
      </x:c>
    </x:row>
    <x:row r="598">
      <x:c r="A598" t="str">
        <x:v>USR-00597</x:v>
      </x:c>
      <x:c r="B598" t="n">
        <x:v>46076</x:v>
      </x:c>
      <x:c r="C598" t="n">
        <x:v>38</x:v>
      </x:c>
      <x:c r="D598" t="str">
        <x:v>Bogotá</x:v>
      </x:c>
      <x:c r="E598" t="str">
        <x:v>Bogotá D.C.</x:v>
      </x:c>
      <x:c r="F598" t="str">
        <x:v>Más de $5 M</x:v>
      </x:c>
      <x:c r="G598" t="str">
        <x:v>Redes sociales</x:v>
      </x:c>
      <x:c r="H598" t="n">
        <x:v>8183000</x:v>
      </x:c>
      <x:c r="I598" t="str">
        <x:v>Reducir intereses</x:v>
      </x:c>
      <x:c r="J598" t="str">
        <x:v>Plus anual</x:v>
      </x:c>
    </x:row>
    <x:row r="599">
      <x:c r="A599" t="str">
        <x:v>USR-00598</x:v>
      </x:c>
      <x:c r="B599" t="n">
        <x:v>46056</x:v>
      </x:c>
      <x:c r="C599" t="n">
        <x:v>49</x:v>
      </x:c>
      <x:c r="D599" t="str">
        <x:v>Medellín</x:v>
      </x:c>
      <x:c r="E599" t="str">
        <x:v>Antioquia</x:v>
      </x:c>
      <x:c r="F599" t="str">
        <x:v>Entre $3 M y $5 M</x:v>
      </x:c>
      <x:c r="G599" t="str">
        <x:v>Redes sociales</x:v>
      </x:c>
      <x:c r="H599" t="n">
        <x:v>4225000</x:v>
      </x:c>
      <x:c r="I599" t="str">
        <x:v>Salir de deudas</x:v>
      </x:c>
      <x:c r="J599" t="str">
        <x:v>Plus anual</x:v>
      </x:c>
    </x:row>
    <x:row r="600">
      <x:c r="A600" t="str">
        <x:v>USR-00599</x:v>
      </x:c>
      <x:c r="B600" t="n">
        <x:v>46070</x:v>
      </x:c>
      <x:c r="C600" t="n">
        <x:v>42</x:v>
      </x:c>
      <x:c r="D600" t="str">
        <x:v>Pereira</x:v>
      </x:c>
      <x:c r="E600" t="str">
        <x:v>Risaralda</x:v>
      </x:c>
      <x:c r="F600" t="str">
        <x:v>Entre $1,5 M y $3 M</x:v>
      </x:c>
      <x:c r="G600" t="str">
        <x:v>Orgánico</x:v>
      </x:c>
      <x:c r="H600" t="n">
        <x:v>1680000</x:v>
      </x:c>
      <x:c r="I600" t="str">
        <x:v>Control de pagos</x:v>
      </x:c>
      <x:c r="J600" t="str">
        <x:v>Cero</x:v>
      </x:c>
    </x:row>
    <x:row r="601">
      <x:c r="A601" t="str">
        <x:v>USR-00600</x:v>
      </x:c>
      <x:c r="B601" t="n">
        <x:v>46074</x:v>
      </x:c>
      <x:c r="C601" t="n">
        <x:v>39</x:v>
      </x:c>
      <x:c r="D601" t="str">
        <x:v>Bogotá</x:v>
      </x:c>
      <x:c r="E601" t="str">
        <x:v>Bogotá D.C.</x:v>
      </x:c>
      <x:c r="F601" t="str">
        <x:v>Entre $3 M y $5 M</x:v>
      </x:c>
      <x:c r="G601" t="str">
        <x:v>Búsqueda paga</x:v>
      </x:c>
      <x:c r="H601" t="n">
        <x:v>4171000</x:v>
      </x:c>
      <x:c r="I601" t="str">
        <x:v>Reducir intereses</x:v>
      </x:c>
      <x:c r="J601" t="str">
        <x:v>Cero</x:v>
      </x:c>
    </x:row>
    <x:row r="602">
      <x:c r="A602" t="str">
        <x:v>USR-00601</x:v>
      </x:c>
      <x:c r="B602" t="n">
        <x:v>46064</x:v>
      </x:c>
      <x:c r="C602" t="n">
        <x:v>52</x:v>
      </x:c>
      <x:c r="D602" t="str">
        <x:v>Bogotá</x:v>
      </x:c>
      <x:c r="E602" t="str">
        <x:v>Bogotá D.C.</x:v>
      </x:c>
      <x:c r="F602" t="str">
        <x:v>Entre $3 M y $5 M</x:v>
      </x:c>
      <x:c r="G602" t="str">
        <x:v>Redes sociales</x:v>
      </x:c>
      <x:c r="H602" t="n">
        <x:v>3682000</x:v>
      </x:c>
      <x:c r="I602" t="str">
        <x:v>Control de pagos</x:v>
      </x:c>
      <x:c r="J602" t="str">
        <x:v>Plus mensual</x:v>
      </x:c>
    </x:row>
    <x:row r="603">
      <x:c r="A603" t="str">
        <x:v>USR-00602</x:v>
      </x:c>
      <x:c r="B603" t="n">
        <x:v>46074</x:v>
      </x:c>
      <x:c r="C603" t="n">
        <x:v>62</x:v>
      </x:c>
      <x:c r="D603" t="str">
        <x:v>Pereira</x:v>
      </x:c>
      <x:c r="E603" t="str">
        <x:v>Risaralda</x:v>
      </x:c>
      <x:c r="F603" t="str">
        <x:v>Entre $1,5 M y $3 M</x:v>
      </x:c>
      <x:c r="G603" t="str">
        <x:v>Alianzas</x:v>
      </x:c>
      <x:c r="H603" t="n">
        <x:v>1725000</x:v>
      </x:c>
      <x:c r="I603" t="str">
        <x:v>Control de pagos</x:v>
      </x:c>
      <x:c r="J603" t="str">
        <x:v>Plus mensual</x:v>
      </x:c>
    </x:row>
    <x:row r="604">
      <x:c r="A604" t="str">
        <x:v>USR-00603</x:v>
      </x:c>
      <x:c r="B604" t="n">
        <x:v>46063</x:v>
      </x:c>
      <x:c r="C604" t="n">
        <x:v>40</x:v>
      </x:c>
      <x:c r="D604" t="str">
        <x:v>Medellín</x:v>
      </x:c>
      <x:c r="E604" t="str">
        <x:v>Antioquia</x:v>
      </x:c>
      <x:c r="F604" t="str">
        <x:v>Menos de $1,5 M</x:v>
      </x:c>
      <x:c r="G604" t="str">
        <x:v>Referidos</x:v>
      </x:c>
      <x:c r="H604" t="n">
        <x:v>1374000</x:v>
      </x:c>
      <x:c r="I604" t="str">
        <x:v>Salir de deudas</x:v>
      </x:c>
      <x:c r="J604" t="str">
        <x:v>Plus mensual</x:v>
      </x:c>
    </x:row>
    <x:row r="605">
      <x:c r="A605" t="str">
        <x:v>USR-00604</x:v>
      </x:c>
      <x:c r="B605" t="n">
        <x:v>46061</x:v>
      </x:c>
      <x:c r="C605" t="n">
        <x:v>46</x:v>
      </x:c>
      <x:c r="D605" t="str">
        <x:v>Bogotá</x:v>
      </x:c>
      <x:c r="E605" t="str">
        <x:v>Bogotá D.C.</x:v>
      </x:c>
      <x:c r="F605" t="str">
        <x:v>Menos de $1,5 M</x:v>
      </x:c>
      <x:c r="G605" t="str">
        <x:v>Contenido educativo</x:v>
      </x:c>
      <x:c r="H605" t="n">
        <x:v>1140000</x:v>
      </x:c>
      <x:c r="I605" t="str">
        <x:v>Organización inicial</x:v>
      </x:c>
      <x:c r="J605" t="str">
        <x:v>Cero</x:v>
      </x:c>
    </x:row>
    <x:row r="606">
      <x:c r="A606" t="str">
        <x:v>USR-00605</x:v>
      </x:c>
      <x:c r="B606" t="n">
        <x:v>46060</x:v>
      </x:c>
      <x:c r="C606" t="n">
        <x:v>56</x:v>
      </x:c>
      <x:c r="D606" t="str">
        <x:v>Bogotá</x:v>
      </x:c>
      <x:c r="E606" t="str">
        <x:v>Bogotá D.C.</x:v>
      </x:c>
      <x:c r="F606" t="str">
        <x:v>Entre $3 M y $5 M</x:v>
      </x:c>
      <x:c r="G606" t="str">
        <x:v>Búsqueda paga</x:v>
      </x:c>
      <x:c r="H606" t="n">
        <x:v>3680000</x:v>
      </x:c>
      <x:c r="I606" t="str">
        <x:v>Organización inicial</x:v>
      </x:c>
      <x:c r="J606" t="str">
        <x:v>Plus anual</x:v>
      </x:c>
    </x:row>
    <x:row r="607">
      <x:c r="A607" t="str">
        <x:v>USR-00606</x:v>
      </x:c>
      <x:c r="B607" t="n">
        <x:v>46076</x:v>
      </x:c>
      <x:c r="C607" t="n">
        <x:v>41</x:v>
      </x:c>
      <x:c r="D607" t="str">
        <x:v>Cartagena</x:v>
      </x:c>
      <x:c r="E607" t="str">
        <x:v>Bolívar</x:v>
      </x:c>
      <x:c r="F607" t="str">
        <x:v>Entre $3 M y $5 M</x:v>
      </x:c>
      <x:c r="G607" t="str">
        <x:v>Orgánico</x:v>
      </x:c>
      <x:c r="H607" t="n">
        <x:v>4823000</x:v>
      </x:c>
      <x:c r="I607" t="str">
        <x:v>Control de pagos</x:v>
      </x:c>
      <x:c r="J607" t="str">
        <x:v>Cero</x:v>
      </x:c>
    </x:row>
    <x:row r="608">
      <x:c r="A608" t="str">
        <x:v>USR-00607</x:v>
      </x:c>
      <x:c r="B608" t="n">
        <x:v>46069</x:v>
      </x:c>
      <x:c r="C608" t="n">
        <x:v>24</x:v>
      </x:c>
      <x:c r="D608" t="str">
        <x:v>Pereira</x:v>
      </x:c>
      <x:c r="E608" t="str">
        <x:v>Risaralda</x:v>
      </x:c>
      <x:c r="F608" t="str">
        <x:v>Entre $1,5 M y $3 M</x:v>
      </x:c>
      <x:c r="G608" t="str">
        <x:v>Redes sociales</x:v>
      </x:c>
      <x:c r="H608" t="n">
        <x:v>2540000</x:v>
      </x:c>
      <x:c r="I608" t="str">
        <x:v>Organización inicial</x:v>
      </x:c>
      <x:c r="J608" t="str">
        <x:v>Inactivo</x:v>
      </x:c>
    </x:row>
    <x:row r="609">
      <x:c r="A609" t="str">
        <x:v>USR-00608</x:v>
      </x:c>
      <x:c r="B609" t="n">
        <x:v>46054</x:v>
      </x:c>
      <x:c r="C609" t="n">
        <x:v>59</x:v>
      </x:c>
      <x:c r="D609" t="str">
        <x:v>Bogotá</x:v>
      </x:c>
      <x:c r="E609" t="str">
        <x:v>Bogotá D.C.</x:v>
      </x:c>
      <x:c r="F609" t="str">
        <x:v>Entre $1,5 M y $3 M</x:v>
      </x:c>
      <x:c r="G609" t="str">
        <x:v>Contenido educativo</x:v>
      </x:c>
      <x:c r="H609" t="n">
        <x:v>1721000</x:v>
      </x:c>
      <x:c r="I609" t="str">
        <x:v>Salir de deudas</x:v>
      </x:c>
      <x:c r="J609" t="str">
        <x:v>Plus anual</x:v>
      </x:c>
    </x:row>
    <x:row r="610">
      <x:c r="A610" t="str">
        <x:v>USR-00609</x:v>
      </x:c>
      <x:c r="B610" t="n">
        <x:v>46066</x:v>
      </x:c>
      <x:c r="C610" t="n">
        <x:v>38</x:v>
      </x:c>
      <x:c r="D610" t="str">
        <x:v>Pereira</x:v>
      </x:c>
      <x:c r="E610" t="str">
        <x:v>Risaralda</x:v>
      </x:c>
      <x:c r="F610" t="str">
        <x:v>Entre $1,5 M y $3 M</x:v>
      </x:c>
      <x:c r="G610" t="str">
        <x:v>Búsqueda paga</x:v>
      </x:c>
      <x:c r="H610" t="n">
        <x:v>2583000</x:v>
      </x:c>
      <x:c r="I610" t="str">
        <x:v>Control de pagos</x:v>
      </x:c>
      <x:c r="J610" t="str">
        <x:v>Inactivo</x:v>
      </x:c>
    </x:row>
    <x:row r="611">
      <x:c r="A611" t="str">
        <x:v>USR-00610</x:v>
      </x:c>
      <x:c r="B611" t="n">
        <x:v>46071</x:v>
      </x:c>
      <x:c r="C611" t="n">
        <x:v>41</x:v>
      </x:c>
      <x:c r="D611" t="str">
        <x:v>Bogotá</x:v>
      </x:c>
      <x:c r="E611" t="str">
        <x:v>Bogotá D.C.</x:v>
      </x:c>
      <x:c r="F611" t="str">
        <x:v>Entre $3 M y $5 M</x:v>
      </x:c>
      <x:c r="G611" t="str">
        <x:v>Contenido educativo</x:v>
      </x:c>
      <x:c r="H611" t="n">
        <x:v>4519000</x:v>
      </x:c>
      <x:c r="I611" t="str">
        <x:v>Reducir intereses</x:v>
      </x:c>
      <x:c r="J611" t="str">
        <x:v>Plus anual</x:v>
      </x:c>
    </x:row>
    <x:row r="612">
      <x:c r="A612" t="str">
        <x:v>USR-00611</x:v>
      </x:c>
      <x:c r="B612" t="n">
        <x:v>46076</x:v>
      </x:c>
      <x:c r="C612" t="n">
        <x:v>23</x:v>
      </x:c>
      <x:c r="D612" t="str">
        <x:v>Bogotá</x:v>
      </x:c>
      <x:c r="E612" t="str">
        <x:v>Bogotá D.C.</x:v>
      </x:c>
      <x:c r="F612" t="str">
        <x:v>Entre $1,5 M y $3 M</x:v>
      </x:c>
      <x:c r="G612" t="str">
        <x:v>Búsqueda paga</x:v>
      </x:c>
      <x:c r="H612" t="n">
        <x:v>2539000</x:v>
      </x:c>
      <x:c r="I612" t="str">
        <x:v>Control de pagos</x:v>
      </x:c>
      <x:c r="J612" t="str">
        <x:v>Cero</x:v>
      </x:c>
    </x:row>
    <x:row r="613">
      <x:c r="A613" t="str">
        <x:v>USR-00612</x:v>
      </x:c>
      <x:c r="B613" t="n">
        <x:v>46062</x:v>
      </x:c>
      <x:c r="C613" t="n">
        <x:v>53</x:v>
      </x:c>
      <x:c r="D613" t="str">
        <x:v>Cali</x:v>
      </x:c>
      <x:c r="E613" t="str">
        <x:v>Valle del Cauca</x:v>
      </x:c>
      <x:c r="F613" t="str">
        <x:v>Entre $1,5 M y $3 M</x:v>
      </x:c>
      <x:c r="G613" t="str">
        <x:v>Búsqueda paga</x:v>
      </x:c>
      <x:c r="H613" t="n">
        <x:v>2585000</x:v>
      </x:c>
      <x:c r="I613" t="str">
        <x:v>Organización inicial</x:v>
      </x:c>
      <x:c r="J613" t="str">
        <x:v>Cero</x:v>
      </x:c>
    </x:row>
    <x:row r="614">
      <x:c r="A614" t="str">
        <x:v>USR-00613</x:v>
      </x:c>
      <x:c r="B614" t="n">
        <x:v>46062</x:v>
      </x:c>
      <x:c r="C614" t="n">
        <x:v>60</x:v>
      </x:c>
      <x:c r="D614" t="str">
        <x:v>Bucaramanga</x:v>
      </x:c>
      <x:c r="E614" t="str">
        <x:v>Santander</x:v>
      </x:c>
      <x:c r="F614" t="str">
        <x:v>Entre $3 M y $5 M</x:v>
      </x:c>
      <x:c r="G614" t="str">
        <x:v>Referidos</x:v>
      </x:c>
      <x:c r="H614" t="n">
        <x:v>4507000</x:v>
      </x:c>
      <x:c r="I614" t="str">
        <x:v>Organización inicial</x:v>
      </x:c>
      <x:c r="J614" t="str">
        <x:v>Cero</x:v>
      </x:c>
    </x:row>
    <x:row r="615">
      <x:c r="A615" t="str">
        <x:v>USR-00614</x:v>
      </x:c>
      <x:c r="B615" t="n">
        <x:v>46063</x:v>
      </x:c>
      <x:c r="C615" t="n">
        <x:v>36</x:v>
      </x:c>
      <x:c r="D615" t="str">
        <x:v>Bogotá</x:v>
      </x:c>
      <x:c r="E615" t="str">
        <x:v>Bogotá D.C.</x:v>
      </x:c>
      <x:c r="F615" t="str">
        <x:v>Entre $3 M y $5 M</x:v>
      </x:c>
      <x:c r="G615" t="str">
        <x:v>Contenido educativo</x:v>
      </x:c>
      <x:c r="H615" t="n">
        <x:v>3041000</x:v>
      </x:c>
      <x:c r="I615" t="str">
        <x:v>Reducir intereses</x:v>
      </x:c>
      <x:c r="J615" t="str">
        <x:v>Plus mensual</x:v>
      </x:c>
    </x:row>
    <x:row r="616">
      <x:c r="A616" t="str">
        <x:v>USR-00615</x:v>
      </x:c>
      <x:c r="B616" t="n">
        <x:v>46063</x:v>
      </x:c>
      <x:c r="C616" t="n">
        <x:v>32</x:v>
      </x:c>
      <x:c r="D616" t="str">
        <x:v>Cali</x:v>
      </x:c>
      <x:c r="E616" t="str">
        <x:v>Valle del Cauca</x:v>
      </x:c>
      <x:c r="F616" t="str">
        <x:v>Entre $3 M y $5 M</x:v>
      </x:c>
      <x:c r="G616" t="str">
        <x:v>Contenido educativo</x:v>
      </x:c>
      <x:c r="H616" t="n">
        <x:v>3118000</x:v>
      </x:c>
      <x:c r="I616" t="str">
        <x:v>Organización inicial</x:v>
      </x:c>
      <x:c r="J616" t="str">
        <x:v>Cero</x:v>
      </x:c>
    </x:row>
    <x:row r="617">
      <x:c r="A617" t="str">
        <x:v>USR-00616</x:v>
      </x:c>
      <x:c r="B617" t="n">
        <x:v>46058</x:v>
      </x:c>
      <x:c r="C617" t="n">
        <x:v>30</x:v>
      </x:c>
      <x:c r="D617" t="str">
        <x:v>Barranquilla</x:v>
      </x:c>
      <x:c r="E617" t="str">
        <x:v>Atlántico</x:v>
      </x:c>
      <x:c r="F617" t="str">
        <x:v>Entre $3 M y $5 M</x:v>
      </x:c>
      <x:c r="G617" t="str">
        <x:v>Redes sociales</x:v>
      </x:c>
      <x:c r="H617" t="n">
        <x:v>3818000</x:v>
      </x:c>
      <x:c r="I617" t="str">
        <x:v>Reducir intereses</x:v>
      </x:c>
      <x:c r="J617" t="str">
        <x:v>Cero</x:v>
      </x:c>
    </x:row>
    <x:row r="618">
      <x:c r="A618" t="str">
        <x:v>USR-00617</x:v>
      </x:c>
      <x:c r="B618" t="n">
        <x:v>46056</x:v>
      </x:c>
      <x:c r="C618" t="n">
        <x:v>21</x:v>
      </x:c>
      <x:c r="D618" t="str">
        <x:v>Cali</x:v>
      </x:c>
      <x:c r="E618" t="str">
        <x:v>Valle del Cauca</x:v>
      </x:c>
      <x:c r="F618" t="str">
        <x:v>Entre $3 M y $5 M</x:v>
      </x:c>
      <x:c r="G618" t="str">
        <x:v>Alianzas</x:v>
      </x:c>
      <x:c r="H618" t="n">
        <x:v>4747000</x:v>
      </x:c>
      <x:c r="I618" t="str">
        <x:v>Salir de deudas</x:v>
      </x:c>
      <x:c r="J618" t="str">
        <x:v>Cero</x:v>
      </x:c>
    </x:row>
    <x:row r="619">
      <x:c r="A619" t="str">
        <x:v>USR-00618</x:v>
      </x:c>
      <x:c r="B619" t="n">
        <x:v>46076</x:v>
      </x:c>
      <x:c r="C619" t="n">
        <x:v>46</x:v>
      </x:c>
      <x:c r="D619" t="str">
        <x:v>Manizales</x:v>
      </x:c>
      <x:c r="E619" t="str">
        <x:v>Caldas</x:v>
      </x:c>
      <x:c r="F619" t="str">
        <x:v>Menos de $1,5 M</x:v>
      </x:c>
      <x:c r="G619" t="str">
        <x:v>Búsqueda paga</x:v>
      </x:c>
      <x:c r="H619" t="n">
        <x:v>1490000</x:v>
      </x:c>
      <x:c r="I619" t="str">
        <x:v>Salir de deudas</x:v>
      </x:c>
      <x:c r="J619" t="str">
        <x:v>Cero</x:v>
      </x:c>
    </x:row>
    <x:row r="620">
      <x:c r="A620" t="str">
        <x:v>USR-00619</x:v>
      </x:c>
      <x:c r="B620" t="n">
        <x:v>46055</x:v>
      </x:c>
      <x:c r="C620" t="n">
        <x:v>44</x:v>
      </x:c>
      <x:c r="D620" t="str">
        <x:v>Bogotá</x:v>
      </x:c>
      <x:c r="E620" t="str">
        <x:v>Bogotá D.C.</x:v>
      </x:c>
      <x:c r="F620" t="str">
        <x:v>Entre $1,5 M y $3 M</x:v>
      </x:c>
      <x:c r="G620" t="str">
        <x:v>Alianzas</x:v>
      </x:c>
      <x:c r="H620" t="n">
        <x:v>2901000</x:v>
      </x:c>
      <x:c r="I620" t="str">
        <x:v>Reducir intereses</x:v>
      </x:c>
      <x:c r="J620" t="str">
        <x:v>Cero</x:v>
      </x:c>
    </x:row>
    <x:row r="621">
      <x:c r="A621" t="str">
        <x:v>USR-00620</x:v>
      </x:c>
      <x:c r="B621" t="n">
        <x:v>46069</x:v>
      </x:c>
      <x:c r="C621" t="n">
        <x:v>54</x:v>
      </x:c>
      <x:c r="D621" t="str">
        <x:v>Bucaramanga</x:v>
      </x:c>
      <x:c r="E621" t="str">
        <x:v>Santander</x:v>
      </x:c>
      <x:c r="F621" t="str">
        <x:v>Más de $5 M</x:v>
      </x:c>
      <x:c r="G621" t="str">
        <x:v>Orgánico</x:v>
      </x:c>
      <x:c r="H621" t="n">
        <x:v>6354000</x:v>
      </x:c>
      <x:c r="I621" t="str">
        <x:v>Control de pagos</x:v>
      </x:c>
      <x:c r="J621" t="str">
        <x:v>Cero</x:v>
      </x:c>
    </x:row>
    <x:row r="622">
      <x:c r="A622" t="str">
        <x:v>USR-00621</x:v>
      </x:c>
      <x:c r="B622" t="n">
        <x:v>46068</x:v>
      </x:c>
      <x:c r="C622" t="n">
        <x:v>40</x:v>
      </x:c>
      <x:c r="D622" t="str">
        <x:v>Bogotá</x:v>
      </x:c>
      <x:c r="E622" t="str">
        <x:v>Bogotá D.C.</x:v>
      </x:c>
      <x:c r="F622" t="str">
        <x:v>Entre $1,5 M y $3 M</x:v>
      </x:c>
      <x:c r="G622" t="str">
        <x:v>Alianzas</x:v>
      </x:c>
      <x:c r="H622" t="n">
        <x:v>2086000</x:v>
      </x:c>
      <x:c r="I622" t="str">
        <x:v>Control de pagos</x:v>
      </x:c>
      <x:c r="J622" t="str">
        <x:v>Inactivo</x:v>
      </x:c>
    </x:row>
    <x:row r="623">
      <x:c r="A623" t="str">
        <x:v>USR-00622</x:v>
      </x:c>
      <x:c r="B623" t="n">
        <x:v>46068</x:v>
      </x:c>
      <x:c r="C623" t="n">
        <x:v>62</x:v>
      </x:c>
      <x:c r="D623" t="str">
        <x:v>Bucaramanga</x:v>
      </x:c>
      <x:c r="E623" t="str">
        <x:v>Santander</x:v>
      </x:c>
      <x:c r="F623" t="str">
        <x:v>Entre $3 M y $5 M</x:v>
      </x:c>
      <x:c r="G623" t="str">
        <x:v>Contenido educativo</x:v>
      </x:c>
      <x:c r="H623" t="n">
        <x:v>3904000</x:v>
      </x:c>
      <x:c r="I623" t="str">
        <x:v>Salir de deudas</x:v>
      </x:c>
      <x:c r="J623" t="str">
        <x:v>Plus anual</x:v>
      </x:c>
    </x:row>
    <x:row r="624">
      <x:c r="A624" t="str">
        <x:v>USR-00623</x:v>
      </x:c>
      <x:c r="B624" t="n">
        <x:v>46095</x:v>
      </x:c>
      <x:c r="C624" t="n">
        <x:v>55</x:v>
      </x:c>
      <x:c r="D624" t="str">
        <x:v>Bucaramanga</x:v>
      </x:c>
      <x:c r="E624" t="str">
        <x:v>Santander</x:v>
      </x:c>
      <x:c r="F624" t="str">
        <x:v>Entre $3 M y $5 M</x:v>
      </x:c>
      <x:c r="G624" t="str">
        <x:v>Búsqueda paga</x:v>
      </x:c>
      <x:c r="H624" t="n">
        <x:v>4065000</x:v>
      </x:c>
      <x:c r="I624" t="str">
        <x:v>Reducir intereses</x:v>
      </x:c>
      <x:c r="J624" t="str">
        <x:v>Cero</x:v>
      </x:c>
    </x:row>
    <x:row r="625">
      <x:c r="A625" t="str">
        <x:v>USR-00624</x:v>
      </x:c>
      <x:c r="B625" t="n">
        <x:v>46087</x:v>
      </x:c>
      <x:c r="C625" t="n">
        <x:v>53</x:v>
      </x:c>
      <x:c r="D625" t="str">
        <x:v>Cartagena</x:v>
      </x:c>
      <x:c r="E625" t="str">
        <x:v>Bolívar</x:v>
      </x:c>
      <x:c r="F625" t="str">
        <x:v>Entre $1,5 M y $3 M</x:v>
      </x:c>
      <x:c r="G625" t="str">
        <x:v>Redes sociales</x:v>
      </x:c>
      <x:c r="H625" t="n">
        <x:v>2398000</x:v>
      </x:c>
      <x:c r="I625" t="str">
        <x:v>Salir de deudas</x:v>
      </x:c>
      <x:c r="J625" t="str">
        <x:v>Plus mensual</x:v>
      </x:c>
    </x:row>
    <x:row r="626">
      <x:c r="A626" t="str">
        <x:v>USR-00625</x:v>
      </x:c>
      <x:c r="B626" t="n">
        <x:v>46090</x:v>
      </x:c>
      <x:c r="C626" t="n">
        <x:v>42</x:v>
      </x:c>
      <x:c r="D626" t="str">
        <x:v>Bogotá</x:v>
      </x:c>
      <x:c r="E626" t="str">
        <x:v>Bogotá D.C.</x:v>
      </x:c>
      <x:c r="F626" t="str">
        <x:v>Menos de $1,5 M</x:v>
      </x:c>
      <x:c r="G626" t="str">
        <x:v>Redes sociales</x:v>
      </x:c>
      <x:c r="H626" t="n">
        <x:v>954000</x:v>
      </x:c>
      <x:c r="I626" t="str">
        <x:v>Control de pagos</x:v>
      </x:c>
      <x:c r="J626" t="str">
        <x:v>Plus mensual</x:v>
      </x:c>
    </x:row>
    <x:row r="627">
      <x:c r="A627" t="str">
        <x:v>USR-00626</x:v>
      </x:c>
      <x:c r="B627" t="n">
        <x:v>46097</x:v>
      </x:c>
      <x:c r="C627" t="n">
        <x:v>25</x:v>
      </x:c>
      <x:c r="D627" t="str">
        <x:v>Cali</x:v>
      </x:c>
      <x:c r="E627" t="str">
        <x:v>Valle del Cauca</x:v>
      </x:c>
      <x:c r="F627" t="str">
        <x:v>Entre $3 M y $5 M</x:v>
      </x:c>
      <x:c r="G627" t="str">
        <x:v>Referidos</x:v>
      </x:c>
      <x:c r="H627" t="n">
        <x:v>4023000</x:v>
      </x:c>
      <x:c r="I627" t="str">
        <x:v>Control de pagos</x:v>
      </x:c>
      <x:c r="J627" t="str">
        <x:v>Plus mensual</x:v>
      </x:c>
    </x:row>
    <x:row r="628">
      <x:c r="A628" t="str">
        <x:v>USR-00627</x:v>
      </x:c>
      <x:c r="B628" t="n">
        <x:v>46087</x:v>
      </x:c>
      <x:c r="C628" t="n">
        <x:v>42</x:v>
      </x:c>
      <x:c r="D628" t="str">
        <x:v>Barranquilla</x:v>
      </x:c>
      <x:c r="E628" t="str">
        <x:v>Atlántico</x:v>
      </x:c>
      <x:c r="F628" t="str">
        <x:v>Entre $1,5 M y $3 M</x:v>
      </x:c>
      <x:c r="G628" t="str">
        <x:v>Búsqueda paga</x:v>
      </x:c>
      <x:c r="H628" t="n">
        <x:v>2769000</x:v>
      </x:c>
      <x:c r="I628" t="str">
        <x:v>Organización inicial</x:v>
      </x:c>
      <x:c r="J628" t="str">
        <x:v>Cero</x:v>
      </x:c>
    </x:row>
    <x:row r="629">
      <x:c r="A629" t="str">
        <x:v>USR-00628</x:v>
      </x:c>
      <x:c r="B629" t="n">
        <x:v>46095</x:v>
      </x:c>
      <x:c r="C629" t="n">
        <x:v>23</x:v>
      </x:c>
      <x:c r="D629" t="str">
        <x:v>Bucaramanga</x:v>
      </x:c>
      <x:c r="E629" t="str">
        <x:v>Santander</x:v>
      </x:c>
      <x:c r="F629" t="str">
        <x:v>Menos de $1,5 M</x:v>
      </x:c>
      <x:c r="G629" t="str">
        <x:v>Referidos</x:v>
      </x:c>
      <x:c r="H629" t="n">
        <x:v>1489000</x:v>
      </x:c>
      <x:c r="I629" t="str">
        <x:v>Organización inicial</x:v>
      </x:c>
      <x:c r="J629" t="str">
        <x:v>Plus anual</x:v>
      </x:c>
    </x:row>
    <x:row r="630">
      <x:c r="A630" t="str">
        <x:v>USR-00629</x:v>
      </x:c>
      <x:c r="B630" t="n">
        <x:v>46096</x:v>
      </x:c>
      <x:c r="C630" t="n">
        <x:v>39</x:v>
      </x:c>
      <x:c r="D630" t="str">
        <x:v>Bucaramanga</x:v>
      </x:c>
      <x:c r="E630" t="str">
        <x:v>Santander</x:v>
      </x:c>
      <x:c r="F630" t="str">
        <x:v>Entre $1,5 M y $3 M</x:v>
      </x:c>
      <x:c r="G630" t="str">
        <x:v>Búsqueda paga</x:v>
      </x:c>
      <x:c r="H630" t="n">
        <x:v>2455000</x:v>
      </x:c>
      <x:c r="I630" t="str">
        <x:v>Organización inicial</x:v>
      </x:c>
      <x:c r="J630" t="str">
        <x:v>Plus anual</x:v>
      </x:c>
    </x:row>
    <x:row r="631">
      <x:c r="A631" t="str">
        <x:v>USR-00630</x:v>
      </x:c>
      <x:c r="B631" t="n">
        <x:v>46091</x:v>
      </x:c>
      <x:c r="C631" t="n">
        <x:v>28</x:v>
      </x:c>
      <x:c r="D631" t="str">
        <x:v>Cartagena</x:v>
      </x:c>
      <x:c r="E631" t="str">
        <x:v>Bolívar</x:v>
      </x:c>
      <x:c r="F631" t="str">
        <x:v>Entre $1,5 M y $3 M</x:v>
      </x:c>
      <x:c r="G631" t="str">
        <x:v>Redes sociales</x:v>
      </x:c>
      <x:c r="H631" t="n">
        <x:v>1568000</x:v>
      </x:c>
      <x:c r="I631" t="str">
        <x:v>Control de pagos</x:v>
      </x:c>
      <x:c r="J631" t="str">
        <x:v>Plus mensual</x:v>
      </x:c>
    </x:row>
    <x:row r="632">
      <x:c r="A632" t="str">
        <x:v>USR-00631</x:v>
      </x:c>
      <x:c r="B632" t="n">
        <x:v>46097</x:v>
      </x:c>
      <x:c r="C632" t="n">
        <x:v>30</x:v>
      </x:c>
      <x:c r="D632" t="str">
        <x:v>Bogotá</x:v>
      </x:c>
      <x:c r="E632" t="str">
        <x:v>Bogotá D.C.</x:v>
      </x:c>
      <x:c r="F632" t="str">
        <x:v>Entre $1,5 M y $3 M</x:v>
      </x:c>
      <x:c r="G632" t="str">
        <x:v>Alianzas</x:v>
      </x:c>
      <x:c r="H632" t="n">
        <x:v>1679000</x:v>
      </x:c>
      <x:c r="I632" t="str">
        <x:v>Salir de deudas</x:v>
      </x:c>
      <x:c r="J632" t="str">
        <x:v>Plus anual</x:v>
      </x:c>
    </x:row>
    <x:row r="633">
      <x:c r="A633" t="str">
        <x:v>USR-00632</x:v>
      </x:c>
      <x:c r="B633" t="n">
        <x:v>46094</x:v>
      </x:c>
      <x:c r="C633" t="n">
        <x:v>48</x:v>
      </x:c>
      <x:c r="D633" t="str">
        <x:v>Bucaramanga</x:v>
      </x:c>
      <x:c r="E633" t="str">
        <x:v>Santander</x:v>
      </x:c>
      <x:c r="F633" t="str">
        <x:v>Menos de $1,5 M</x:v>
      </x:c>
      <x:c r="G633" t="str">
        <x:v>Referidos</x:v>
      </x:c>
      <x:c r="H633" t="n">
        <x:v>1404000</x:v>
      </x:c>
      <x:c r="I633" t="str">
        <x:v>Reducir intereses</x:v>
      </x:c>
      <x:c r="J633" t="str">
        <x:v>Cero</x:v>
      </x:c>
    </x:row>
    <x:row r="634">
      <x:c r="A634" t="str">
        <x:v>USR-00633</x:v>
      </x:c>
      <x:c r="B634" t="n">
        <x:v>46086</x:v>
      </x:c>
      <x:c r="C634" t="n">
        <x:v>48</x:v>
      </x:c>
      <x:c r="D634" t="str">
        <x:v>Bucaramanga</x:v>
      </x:c>
      <x:c r="E634" t="str">
        <x:v>Santander</x:v>
      </x:c>
      <x:c r="F634" t="str">
        <x:v>Menos de $1,5 M</x:v>
      </x:c>
      <x:c r="G634" t="str">
        <x:v>Alianzas</x:v>
      </x:c>
      <x:c r="H634" t="n">
        <x:v>1108000</x:v>
      </x:c>
      <x:c r="I634" t="str">
        <x:v>Organización inicial</x:v>
      </x:c>
      <x:c r="J634" t="str">
        <x:v>Cero</x:v>
      </x:c>
    </x:row>
    <x:row r="635">
      <x:c r="A635" t="str">
        <x:v>USR-00634</x:v>
      </x:c>
      <x:c r="B635" t="n">
        <x:v>46088</x:v>
      </x:c>
      <x:c r="C635" t="n">
        <x:v>33</x:v>
      </x:c>
      <x:c r="D635" t="str">
        <x:v>Cartagena</x:v>
      </x:c>
      <x:c r="E635" t="str">
        <x:v>Bolívar</x:v>
      </x:c>
      <x:c r="F635" t="str">
        <x:v>Entre $1,5 M y $3 M</x:v>
      </x:c>
      <x:c r="G635" t="str">
        <x:v>Redes sociales</x:v>
      </x:c>
      <x:c r="H635" t="n">
        <x:v>2221000</x:v>
      </x:c>
      <x:c r="I635" t="str">
        <x:v>Reducir intereses</x:v>
      </x:c>
      <x:c r="J635" t="str">
        <x:v>Cero</x:v>
      </x:c>
    </x:row>
    <x:row r="636">
      <x:c r="A636" t="str">
        <x:v>USR-00635</x:v>
      </x:c>
      <x:c r="B636" t="n">
        <x:v>46096</x:v>
      </x:c>
      <x:c r="C636" t="n">
        <x:v>64</x:v>
      </x:c>
      <x:c r="D636" t="str">
        <x:v>Cali</x:v>
      </x:c>
      <x:c r="E636" t="str">
        <x:v>Valle del Cauca</x:v>
      </x:c>
      <x:c r="F636" t="str">
        <x:v>Menos de $1,5 M</x:v>
      </x:c>
      <x:c r="G636" t="str">
        <x:v>Búsqueda paga</x:v>
      </x:c>
      <x:c r="H636" t="n">
        <x:v>1148000</x:v>
      </x:c>
      <x:c r="I636" t="str">
        <x:v>Organización inicial</x:v>
      </x:c>
      <x:c r="J636" t="str">
        <x:v>Cero</x:v>
      </x:c>
    </x:row>
    <x:row r="637">
      <x:c r="A637" t="str">
        <x:v>USR-00636</x:v>
      </x:c>
      <x:c r="B637" t="n">
        <x:v>46099</x:v>
      </x:c>
      <x:c r="C637" t="n">
        <x:v>60</x:v>
      </x:c>
      <x:c r="D637" t="str">
        <x:v>Bogotá</x:v>
      </x:c>
      <x:c r="E637" t="str">
        <x:v>Bogotá D.C.</x:v>
      </x:c>
      <x:c r="F637" t="str">
        <x:v>Entre $1,5 M y $3 M</x:v>
      </x:c>
      <x:c r="G637" t="str">
        <x:v>Referidos</x:v>
      </x:c>
      <x:c r="H637" t="n">
        <x:v>2036000</x:v>
      </x:c>
      <x:c r="I637" t="str">
        <x:v>Control de pagos</x:v>
      </x:c>
      <x:c r="J637" t="str">
        <x:v>Plus anual</x:v>
      </x:c>
    </x:row>
    <x:row r="638">
      <x:c r="A638" t="str">
        <x:v>USR-00637</x:v>
      </x:c>
      <x:c r="B638" t="n">
        <x:v>46101</x:v>
      </x:c>
      <x:c r="C638" t="n">
        <x:v>38</x:v>
      </x:c>
      <x:c r="D638" t="str">
        <x:v>Medellín</x:v>
      </x:c>
      <x:c r="E638" t="str">
        <x:v>Antioquia</x:v>
      </x:c>
      <x:c r="F638" t="str">
        <x:v>Entre $1,5 M y $3 M</x:v>
      </x:c>
      <x:c r="G638" t="str">
        <x:v>Referidos</x:v>
      </x:c>
      <x:c r="H638" t="n">
        <x:v>2998000</x:v>
      </x:c>
      <x:c r="I638" t="str">
        <x:v>Control de pagos</x:v>
      </x:c>
      <x:c r="J638" t="str">
        <x:v>Plus anual</x:v>
      </x:c>
    </x:row>
    <x:row r="639">
      <x:c r="A639" t="str">
        <x:v>USR-00638</x:v>
      </x:c>
      <x:c r="B639" t="n">
        <x:v>46104</x:v>
      </x:c>
      <x:c r="C639" t="n">
        <x:v>43</x:v>
      </x:c>
      <x:c r="D639" t="str">
        <x:v>Barranquilla</x:v>
      </x:c>
      <x:c r="E639" t="str">
        <x:v>Atlántico</x:v>
      </x:c>
      <x:c r="F639" t="str">
        <x:v>Menos de $1,5 M</x:v>
      </x:c>
      <x:c r="G639" t="str">
        <x:v>Búsqueda paga</x:v>
      </x:c>
      <x:c r="H639" t="n">
        <x:v>1172000</x:v>
      </x:c>
      <x:c r="I639" t="str">
        <x:v>Reducir intereses</x:v>
      </x:c>
      <x:c r="J639" t="str">
        <x:v>Cero</x:v>
      </x:c>
    </x:row>
    <x:row r="640">
      <x:c r="A640" t="str">
        <x:v>USR-00639</x:v>
      </x:c>
      <x:c r="B640" t="n">
        <x:v>46105</x:v>
      </x:c>
      <x:c r="C640" t="n">
        <x:v>51</x:v>
      </x:c>
      <x:c r="D640" t="str">
        <x:v>Medellín</x:v>
      </x:c>
      <x:c r="E640" t="str">
        <x:v>Antioquia</x:v>
      </x:c>
      <x:c r="F640" t="str">
        <x:v>Menos de $1,5 M</x:v>
      </x:c>
      <x:c r="G640" t="str">
        <x:v>Orgánico</x:v>
      </x:c>
      <x:c r="H640" t="n">
        <x:v>1289000</x:v>
      </x:c>
      <x:c r="I640" t="str">
        <x:v>Organización inicial</x:v>
      </x:c>
      <x:c r="J640" t="str">
        <x:v>Plus mensual</x:v>
      </x:c>
    </x:row>
    <x:row r="641">
      <x:c r="A641" t="str">
        <x:v>USR-00640</x:v>
      </x:c>
      <x:c r="B641" t="n">
        <x:v>46102</x:v>
      </x:c>
      <x:c r="C641" t="n">
        <x:v>52</x:v>
      </x:c>
      <x:c r="D641" t="str">
        <x:v>Bogotá</x:v>
      </x:c>
      <x:c r="E641" t="str">
        <x:v>Bogotá D.C.</x:v>
      </x:c>
      <x:c r="F641" t="str">
        <x:v>Entre $3 M y $5 M</x:v>
      </x:c>
      <x:c r="G641" t="str">
        <x:v>Contenido educativo</x:v>
      </x:c>
      <x:c r="H641" t="n">
        <x:v>3944000</x:v>
      </x:c>
      <x:c r="I641" t="str">
        <x:v>Control de pagos</x:v>
      </x:c>
      <x:c r="J641" t="str">
        <x:v>Plus anual</x:v>
      </x:c>
    </x:row>
    <x:row r="642">
      <x:c r="A642" t="str">
        <x:v>USR-00641</x:v>
      </x:c>
      <x:c r="B642" t="n">
        <x:v>46091</x:v>
      </x:c>
      <x:c r="C642" t="n">
        <x:v>56</x:v>
      </x:c>
      <x:c r="D642" t="str">
        <x:v>Bucaramanga</x:v>
      </x:c>
      <x:c r="E642" t="str">
        <x:v>Santander</x:v>
      </x:c>
      <x:c r="F642" t="str">
        <x:v>Menos de $1,5 M</x:v>
      </x:c>
      <x:c r="G642" t="str">
        <x:v>Referidos</x:v>
      </x:c>
      <x:c r="H642" t="n">
        <x:v>1269000</x:v>
      </x:c>
      <x:c r="I642" t="str">
        <x:v>Salir de deudas</x:v>
      </x:c>
      <x:c r="J642" t="str">
        <x:v>Inactivo</x:v>
      </x:c>
    </x:row>
    <x:row r="643">
      <x:c r="A643" t="str">
        <x:v>USR-00642</x:v>
      </x:c>
      <x:c r="B643" t="n">
        <x:v>46094</x:v>
      </x:c>
      <x:c r="C643" t="n">
        <x:v>63</x:v>
      </x:c>
      <x:c r="D643" t="str">
        <x:v>Villavicencio</x:v>
      </x:c>
      <x:c r="E643" t="str">
        <x:v>Meta</x:v>
      </x:c>
      <x:c r="F643" t="str">
        <x:v>Entre $1,5 M y $3 M</x:v>
      </x:c>
      <x:c r="G643" t="str">
        <x:v>Orgánico</x:v>
      </x:c>
      <x:c r="H643" t="n">
        <x:v>2529000</x:v>
      </x:c>
      <x:c r="I643" t="str">
        <x:v>Organización inicial</x:v>
      </x:c>
      <x:c r="J643" t="str">
        <x:v>Cero</x:v>
      </x:c>
    </x:row>
    <x:row r="644">
      <x:c r="A644" t="str">
        <x:v>USR-00643</x:v>
      </x:c>
      <x:c r="B644" t="n">
        <x:v>46106</x:v>
      </x:c>
      <x:c r="C644" t="n">
        <x:v>64</x:v>
      </x:c>
      <x:c r="D644" t="str">
        <x:v>Barranquilla</x:v>
      </x:c>
      <x:c r="E644" t="str">
        <x:v>Atlántico</x:v>
      </x:c>
      <x:c r="F644" t="str">
        <x:v>Entre $1,5 M y $3 M</x:v>
      </x:c>
      <x:c r="G644" t="str">
        <x:v>Referidos</x:v>
      </x:c>
      <x:c r="H644" t="n">
        <x:v>1876000</x:v>
      </x:c>
      <x:c r="I644" t="str">
        <x:v>Reducir intereses</x:v>
      </x:c>
      <x:c r="J644" t="str">
        <x:v>Cero</x:v>
      </x:c>
    </x:row>
    <x:row r="645">
      <x:c r="A645" t="str">
        <x:v>USR-00644</x:v>
      </x:c>
      <x:c r="B645" t="n">
        <x:v>46082</x:v>
      </x:c>
      <x:c r="C645" t="n">
        <x:v>21</x:v>
      </x:c>
      <x:c r="D645" t="str">
        <x:v>Bucaramanga</x:v>
      </x:c>
      <x:c r="E645" t="str">
        <x:v>Santander</x:v>
      </x:c>
      <x:c r="F645" t="str">
        <x:v>Entre $3 M y $5 M</x:v>
      </x:c>
      <x:c r="G645" t="str">
        <x:v>Alianzas</x:v>
      </x:c>
      <x:c r="H645" t="n">
        <x:v>3158000</x:v>
      </x:c>
      <x:c r="I645" t="str">
        <x:v>Organización inicial</x:v>
      </x:c>
      <x:c r="J645" t="str">
        <x:v>Cero</x:v>
      </x:c>
    </x:row>
    <x:row r="646">
      <x:c r="A646" t="str">
        <x:v>USR-00645</x:v>
      </x:c>
      <x:c r="B646" t="n">
        <x:v>46095</x:v>
      </x:c>
      <x:c r="C646" t="n">
        <x:v>40</x:v>
      </x:c>
      <x:c r="D646" t="str">
        <x:v>Bucaramanga</x:v>
      </x:c>
      <x:c r="E646" t="str">
        <x:v>Santander</x:v>
      </x:c>
      <x:c r="F646" t="str">
        <x:v>Entre $3 M y $5 M</x:v>
      </x:c>
      <x:c r="G646" t="str">
        <x:v>Orgánico</x:v>
      </x:c>
      <x:c r="H646" t="n">
        <x:v>3065000</x:v>
      </x:c>
      <x:c r="I646" t="str">
        <x:v>Reducir intereses</x:v>
      </x:c>
      <x:c r="J646" t="str">
        <x:v>Cero</x:v>
      </x:c>
    </x:row>
    <x:row r="647">
      <x:c r="A647" t="str">
        <x:v>USR-00646</x:v>
      </x:c>
      <x:c r="B647" t="n">
        <x:v>46089</x:v>
      </x:c>
      <x:c r="C647" t="n">
        <x:v>55</x:v>
      </x:c>
      <x:c r="D647" t="str">
        <x:v>Bogotá</x:v>
      </x:c>
      <x:c r="E647" t="str">
        <x:v>Bogotá D.C.</x:v>
      </x:c>
      <x:c r="F647" t="str">
        <x:v>Entre $1,5 M y $3 M</x:v>
      </x:c>
      <x:c r="G647" t="str">
        <x:v>Redes sociales</x:v>
      </x:c>
      <x:c r="H647" t="n">
        <x:v>2037000</x:v>
      </x:c>
      <x:c r="I647" t="str">
        <x:v>Reducir intereses</x:v>
      </x:c>
      <x:c r="J647" t="str">
        <x:v>Plus anual</x:v>
      </x:c>
    </x:row>
    <x:row r="648">
      <x:c r="A648" t="str">
        <x:v>USR-00647</x:v>
      </x:c>
      <x:c r="B648" t="n">
        <x:v>46088</x:v>
      </x:c>
      <x:c r="C648" t="n">
        <x:v>42</x:v>
      </x:c>
      <x:c r="D648" t="str">
        <x:v>Bogotá</x:v>
      </x:c>
      <x:c r="E648" t="str">
        <x:v>Bogotá D.C.</x:v>
      </x:c>
      <x:c r="F648" t="str">
        <x:v>Menos de $1,5 M</x:v>
      </x:c>
      <x:c r="G648" t="str">
        <x:v>Orgánico</x:v>
      </x:c>
      <x:c r="H648" t="n">
        <x:v>1108000</x:v>
      </x:c>
      <x:c r="I648" t="str">
        <x:v>Control de pagos</x:v>
      </x:c>
      <x:c r="J648" t="str">
        <x:v>Cero</x:v>
      </x:c>
    </x:row>
    <x:row r="649">
      <x:c r="A649" t="str">
        <x:v>USR-00648</x:v>
      </x:c>
      <x:c r="B649" t="n">
        <x:v>46094</x:v>
      </x:c>
      <x:c r="C649" t="n">
        <x:v>36</x:v>
      </x:c>
      <x:c r="D649" t="str">
        <x:v>Bogotá</x:v>
      </x:c>
      <x:c r="E649" t="str">
        <x:v>Bogotá D.C.</x:v>
      </x:c>
      <x:c r="F649" t="str">
        <x:v>Entre $1,5 M y $3 M</x:v>
      </x:c>
      <x:c r="G649" t="str">
        <x:v>Redes sociales</x:v>
      </x:c>
      <x:c r="H649" t="n">
        <x:v>2590000</x:v>
      </x:c>
      <x:c r="I649" t="str">
        <x:v>Control de pagos</x:v>
      </x:c>
      <x:c r="J649" t="str">
        <x:v>Plus mensual</x:v>
      </x:c>
    </x:row>
    <x:row r="650">
      <x:c r="A650" t="str">
        <x:v>USR-00649</x:v>
      </x:c>
      <x:c r="B650" t="n">
        <x:v>46105</x:v>
      </x:c>
      <x:c r="C650" t="n">
        <x:v>61</x:v>
      </x:c>
      <x:c r="D650" t="str">
        <x:v>Bogotá</x:v>
      </x:c>
      <x:c r="E650" t="str">
        <x:v>Bogotá D.C.</x:v>
      </x:c>
      <x:c r="F650" t="str">
        <x:v>Entre $1,5 M y $3 M</x:v>
      </x:c>
      <x:c r="G650" t="str">
        <x:v>Contenido educativo</x:v>
      </x:c>
      <x:c r="H650" t="n">
        <x:v>2422000</x:v>
      </x:c>
      <x:c r="I650" t="str">
        <x:v>Control de pagos</x:v>
      </x:c>
      <x:c r="J650" t="str">
        <x:v>Plus anual</x:v>
      </x:c>
    </x:row>
    <x:row r="651">
      <x:c r="A651" t="str">
        <x:v>USR-00650</x:v>
      </x:c>
      <x:c r="B651" t="n">
        <x:v>46086</x:v>
      </x:c>
      <x:c r="C651" t="n">
        <x:v>55</x:v>
      </x:c>
      <x:c r="D651" t="str">
        <x:v>Bogotá</x:v>
      </x:c>
      <x:c r="E651" t="str">
        <x:v>Bogotá D.C.</x:v>
      </x:c>
      <x:c r="F651" t="str">
        <x:v>Entre $1,5 M y $3 M</x:v>
      </x:c>
      <x:c r="G651" t="str">
        <x:v>Búsqueda paga</x:v>
      </x:c>
      <x:c r="H651" t="n">
        <x:v>1999000</x:v>
      </x:c>
      <x:c r="I651" t="str">
        <x:v>Reducir intereses</x:v>
      </x:c>
      <x:c r="J651" t="str">
        <x:v>Cero</x:v>
      </x:c>
    </x:row>
    <x:row r="652">
      <x:c r="A652" t="str">
        <x:v>USR-00651</x:v>
      </x:c>
      <x:c r="B652" t="n">
        <x:v>46106</x:v>
      </x:c>
      <x:c r="C652" t="n">
        <x:v>24</x:v>
      </x:c>
      <x:c r="D652" t="str">
        <x:v>Cartagena</x:v>
      </x:c>
      <x:c r="E652" t="str">
        <x:v>Bolívar</x:v>
      </x:c>
      <x:c r="F652" t="str">
        <x:v>Entre $3 M y $5 M</x:v>
      </x:c>
      <x:c r="G652" t="str">
        <x:v>Búsqueda paga</x:v>
      </x:c>
      <x:c r="H652" t="n">
        <x:v>3567000</x:v>
      </x:c>
      <x:c r="I652" t="str">
        <x:v>Organización inicial</x:v>
      </x:c>
      <x:c r="J652" t="str">
        <x:v>Plus anual</x:v>
      </x:c>
    </x:row>
    <x:row r="653">
      <x:c r="A653" t="str">
        <x:v>USR-00652</x:v>
      </x:c>
      <x:c r="B653" t="n">
        <x:v>46105</x:v>
      </x:c>
      <x:c r="C653" t="n">
        <x:v>40</x:v>
      </x:c>
      <x:c r="D653" t="str">
        <x:v>Bogotá</x:v>
      </x:c>
      <x:c r="E653" t="str">
        <x:v>Bogotá D.C.</x:v>
      </x:c>
      <x:c r="F653" t="str">
        <x:v>Entre $1,5 M y $3 M</x:v>
      </x:c>
      <x:c r="G653" t="str">
        <x:v>Alianzas</x:v>
      </x:c>
      <x:c r="H653" t="n">
        <x:v>1619000</x:v>
      </x:c>
      <x:c r="I653" t="str">
        <x:v>Reducir intereses</x:v>
      </x:c>
      <x:c r="J653" t="str">
        <x:v>Cero</x:v>
      </x:c>
    </x:row>
    <x:row r="654">
      <x:c r="A654" t="str">
        <x:v>USR-00653</x:v>
      </x:c>
      <x:c r="B654" t="n">
        <x:v>46096</x:v>
      </x:c>
      <x:c r="C654" t="n">
        <x:v>21</x:v>
      </x:c>
      <x:c r="D654" t="str">
        <x:v>Cali</x:v>
      </x:c>
      <x:c r="E654" t="str">
        <x:v>Valle del Cauca</x:v>
      </x:c>
      <x:c r="F654" t="str">
        <x:v>Entre $1,5 M y $3 M</x:v>
      </x:c>
      <x:c r="G654" t="str">
        <x:v>Orgánico</x:v>
      </x:c>
      <x:c r="H654" t="n">
        <x:v>2281000</x:v>
      </x:c>
      <x:c r="I654" t="str">
        <x:v>Control de pagos</x:v>
      </x:c>
      <x:c r="J654" t="str">
        <x:v>Plus mensual</x:v>
      </x:c>
    </x:row>
    <x:row r="655">
      <x:c r="A655" t="str">
        <x:v>USR-00654</x:v>
      </x:c>
      <x:c r="B655" t="n">
        <x:v>46090</x:v>
      </x:c>
      <x:c r="C655" t="n">
        <x:v>28</x:v>
      </x:c>
      <x:c r="D655" t="str">
        <x:v>Bucaramanga</x:v>
      </x:c>
      <x:c r="E655" t="str">
        <x:v>Santander</x:v>
      </x:c>
      <x:c r="F655" t="str">
        <x:v>Entre $1,5 M y $3 M</x:v>
      </x:c>
      <x:c r="G655" t="str">
        <x:v>Contenido educativo</x:v>
      </x:c>
      <x:c r="H655" t="n">
        <x:v>2039000</x:v>
      </x:c>
      <x:c r="I655" t="str">
        <x:v>Salir de deudas</x:v>
      </x:c>
      <x:c r="J655" t="str">
        <x:v>Plus mensual</x:v>
      </x:c>
    </x:row>
    <x:row r="656">
      <x:c r="A656" t="str">
        <x:v>USR-00655</x:v>
      </x:c>
      <x:c r="B656" t="n">
        <x:v>46083</x:v>
      </x:c>
      <x:c r="C656" t="n">
        <x:v>53</x:v>
      </x:c>
      <x:c r="D656" t="str">
        <x:v>Medellín</x:v>
      </x:c>
      <x:c r="E656" t="str">
        <x:v>Antioquia</x:v>
      </x:c>
      <x:c r="F656" t="str">
        <x:v>Entre $3 M y $5 M</x:v>
      </x:c>
      <x:c r="G656" t="str">
        <x:v>Orgánico</x:v>
      </x:c>
      <x:c r="H656" t="n">
        <x:v>3664000</x:v>
      </x:c>
      <x:c r="I656" t="str">
        <x:v>Control de pagos</x:v>
      </x:c>
      <x:c r="J656" t="str">
        <x:v>Cero</x:v>
      </x:c>
    </x:row>
    <x:row r="657">
      <x:c r="A657" t="str">
        <x:v>USR-00656</x:v>
      </x:c>
      <x:c r="B657" t="n">
        <x:v>46087</x:v>
      </x:c>
      <x:c r="C657" t="n">
        <x:v>24</x:v>
      </x:c>
      <x:c r="D657" t="str">
        <x:v>Bogotá</x:v>
      </x:c>
      <x:c r="E657" t="str">
        <x:v>Bogotá D.C.</x:v>
      </x:c>
      <x:c r="F657" t="str">
        <x:v>Entre $3 M y $5 M</x:v>
      </x:c>
      <x:c r="G657" t="str">
        <x:v>Referidos</x:v>
      </x:c>
      <x:c r="H657" t="n">
        <x:v>3713000</x:v>
      </x:c>
      <x:c r="I657" t="str">
        <x:v>Control de pagos</x:v>
      </x:c>
      <x:c r="J657" t="str">
        <x:v>Inactivo</x:v>
      </x:c>
    </x:row>
    <x:row r="658">
      <x:c r="A658" t="str">
        <x:v>USR-00657</x:v>
      </x:c>
      <x:c r="B658" t="n">
        <x:v>46100</x:v>
      </x:c>
      <x:c r="C658" t="n">
        <x:v>46</x:v>
      </x:c>
      <x:c r="D658" t="str">
        <x:v>Bogotá</x:v>
      </x:c>
      <x:c r="E658" t="str">
        <x:v>Bogotá D.C.</x:v>
      </x:c>
      <x:c r="F658" t="str">
        <x:v>Entre $1,5 M y $3 M</x:v>
      </x:c>
      <x:c r="G658" t="str">
        <x:v>Orgánico</x:v>
      </x:c>
      <x:c r="H658" t="n">
        <x:v>1942000</x:v>
      </x:c>
      <x:c r="I658" t="str">
        <x:v>Control de pagos</x:v>
      </x:c>
      <x:c r="J658" t="str">
        <x:v>Cero</x:v>
      </x:c>
    </x:row>
    <x:row r="659">
      <x:c r="A659" t="str">
        <x:v>USR-00658</x:v>
      </x:c>
      <x:c r="B659" t="n">
        <x:v>46092</x:v>
      </x:c>
      <x:c r="C659" t="n">
        <x:v>25</x:v>
      </x:c>
      <x:c r="D659" t="str">
        <x:v>Manizales</x:v>
      </x:c>
      <x:c r="E659" t="str">
        <x:v>Caldas</x:v>
      </x:c>
      <x:c r="F659" t="str">
        <x:v>Entre $3 M y $5 M</x:v>
      </x:c>
      <x:c r="G659" t="str">
        <x:v>Contenido educativo</x:v>
      </x:c>
      <x:c r="H659" t="n">
        <x:v>3171000</x:v>
      </x:c>
      <x:c r="I659" t="str">
        <x:v>Control de pagos</x:v>
      </x:c>
      <x:c r="J659" t="str">
        <x:v>Cero</x:v>
      </x:c>
    </x:row>
    <x:row r="660">
      <x:c r="A660" t="str">
        <x:v>USR-00659</x:v>
      </x:c>
      <x:c r="B660" t="n">
        <x:v>46084</x:v>
      </x:c>
      <x:c r="C660" t="n">
        <x:v>46</x:v>
      </x:c>
      <x:c r="D660" t="str">
        <x:v>Bogotá</x:v>
      </x:c>
      <x:c r="E660" t="str">
        <x:v>Bogotá D.C.</x:v>
      </x:c>
      <x:c r="F660" t="str">
        <x:v>Más de $5 M</x:v>
      </x:c>
      <x:c r="G660" t="str">
        <x:v>Búsqueda paga</x:v>
      </x:c>
      <x:c r="H660" t="n">
        <x:v>7917000</x:v>
      </x:c>
      <x:c r="I660" t="str">
        <x:v>Organización inicial</x:v>
      </x:c>
      <x:c r="J660" t="str">
        <x:v>Cero</x:v>
      </x:c>
    </x:row>
    <x:row r="661">
      <x:c r="A661" t="str">
        <x:v>USR-00660</x:v>
      </x:c>
      <x:c r="B661" t="n">
        <x:v>46104</x:v>
      </x:c>
      <x:c r="C661" t="n">
        <x:v>39</x:v>
      </x:c>
      <x:c r="D661" t="str">
        <x:v>Medellín</x:v>
      </x:c>
      <x:c r="E661" t="str">
        <x:v>Antioquia</x:v>
      </x:c>
      <x:c r="F661" t="str">
        <x:v>Entre $1,5 M y $3 M</x:v>
      </x:c>
      <x:c r="G661" t="str">
        <x:v>Alianzas</x:v>
      </x:c>
      <x:c r="H661" t="n">
        <x:v>2291000</x:v>
      </x:c>
      <x:c r="I661" t="str">
        <x:v>Organización inicial</x:v>
      </x:c>
      <x:c r="J661" t="str">
        <x:v>Plus anual</x:v>
      </x:c>
    </x:row>
    <x:row r="662">
      <x:c r="A662" t="str">
        <x:v>USR-00661</x:v>
      </x:c>
      <x:c r="B662" t="n">
        <x:v>46107</x:v>
      </x:c>
      <x:c r="C662" t="n">
        <x:v>63</x:v>
      </x:c>
      <x:c r="D662" t="str">
        <x:v>Bogotá</x:v>
      </x:c>
      <x:c r="E662" t="str">
        <x:v>Bogotá D.C.</x:v>
      </x:c>
      <x:c r="F662" t="str">
        <x:v>Menos de $1,5 M</x:v>
      </x:c>
      <x:c r="G662" t="str">
        <x:v>Orgánico</x:v>
      </x:c>
      <x:c r="H662" t="n">
        <x:v>1490000</x:v>
      </x:c>
      <x:c r="I662" t="str">
        <x:v>Organización inicial</x:v>
      </x:c>
      <x:c r="J662" t="str">
        <x:v>Plus anual</x:v>
      </x:c>
    </x:row>
    <x:row r="663">
      <x:c r="A663" t="str">
        <x:v>USR-00662</x:v>
      </x:c>
      <x:c r="B663" t="n">
        <x:v>46097</x:v>
      </x:c>
      <x:c r="C663" t="n">
        <x:v>48</x:v>
      </x:c>
      <x:c r="D663" t="str">
        <x:v>Bogotá</x:v>
      </x:c>
      <x:c r="E663" t="str">
        <x:v>Bogotá D.C.</x:v>
      </x:c>
      <x:c r="F663" t="str">
        <x:v>Menos de $1,5 M</x:v>
      </x:c>
      <x:c r="G663" t="str">
        <x:v>Búsqueda paga</x:v>
      </x:c>
      <x:c r="H663" t="n">
        <x:v>957000</x:v>
      </x:c>
      <x:c r="I663" t="str">
        <x:v>Salir de deudas</x:v>
      </x:c>
      <x:c r="J663" t="str">
        <x:v>Plus mensual</x:v>
      </x:c>
    </x:row>
    <x:row r="664">
      <x:c r="A664" t="str">
        <x:v>USR-00663</x:v>
      </x:c>
      <x:c r="B664" t="n">
        <x:v>46093</x:v>
      </x:c>
      <x:c r="C664" t="n">
        <x:v>56</x:v>
      </x:c>
      <x:c r="D664" t="str">
        <x:v>Bogotá</x:v>
      </x:c>
      <x:c r="E664" t="str">
        <x:v>Bogotá D.C.</x:v>
      </x:c>
      <x:c r="F664" t="str">
        <x:v>Entre $1,5 M y $3 M</x:v>
      </x:c>
      <x:c r="G664" t="str">
        <x:v>Búsqueda paga</x:v>
      </x:c>
      <x:c r="H664" t="n">
        <x:v>1547000</x:v>
      </x:c>
      <x:c r="I664" t="str">
        <x:v>Organización inicial</x:v>
      </x:c>
      <x:c r="J664" t="str">
        <x:v>Cero</x:v>
      </x:c>
    </x:row>
    <x:row r="665">
      <x:c r="A665" t="str">
        <x:v>USR-00664</x:v>
      </x:c>
      <x:c r="B665" t="n">
        <x:v>46085</x:v>
      </x:c>
      <x:c r="C665" t="n">
        <x:v>24</x:v>
      </x:c>
      <x:c r="D665" t="str">
        <x:v>Cali</x:v>
      </x:c>
      <x:c r="E665" t="str">
        <x:v>Valle del Cauca</x:v>
      </x:c>
      <x:c r="F665" t="str">
        <x:v>Menos de $1,5 M</x:v>
      </x:c>
      <x:c r="G665" t="str">
        <x:v>Orgánico</x:v>
      </x:c>
      <x:c r="H665" t="n">
        <x:v>1199000</x:v>
      </x:c>
      <x:c r="I665" t="str">
        <x:v>Control de pagos</x:v>
      </x:c>
      <x:c r="J665" t="str">
        <x:v>Plus anual</x:v>
      </x:c>
    </x:row>
    <x:row r="666">
      <x:c r="A666" t="str">
        <x:v>USR-00665</x:v>
      </x:c>
      <x:c r="B666" t="n">
        <x:v>46098</x:v>
      </x:c>
      <x:c r="C666" t="n">
        <x:v>36</x:v>
      </x:c>
      <x:c r="D666" t="str">
        <x:v>Bogotá</x:v>
      </x:c>
      <x:c r="E666" t="str">
        <x:v>Bogotá D.C.</x:v>
      </x:c>
      <x:c r="F666" t="str">
        <x:v>Entre $3 M y $5 M</x:v>
      </x:c>
      <x:c r="G666" t="str">
        <x:v>Redes sociales</x:v>
      </x:c>
      <x:c r="H666" t="n">
        <x:v>4067000</x:v>
      </x:c>
      <x:c r="I666" t="str">
        <x:v>Control de pagos</x:v>
      </x:c>
      <x:c r="J666" t="str">
        <x:v>Cero</x:v>
      </x:c>
    </x:row>
    <x:row r="667">
      <x:c r="A667" t="str">
        <x:v>USR-00666</x:v>
      </x:c>
      <x:c r="B667" t="n">
        <x:v>46098</x:v>
      </x:c>
      <x:c r="C667" t="n">
        <x:v>22</x:v>
      </x:c>
      <x:c r="D667" t="str">
        <x:v>Bucaramanga</x:v>
      </x:c>
      <x:c r="E667" t="str">
        <x:v>Santander</x:v>
      </x:c>
      <x:c r="F667" t="str">
        <x:v>Menos de $1,5 M</x:v>
      </x:c>
      <x:c r="G667" t="str">
        <x:v>Orgánico</x:v>
      </x:c>
      <x:c r="H667" t="n">
        <x:v>1340000</x:v>
      </x:c>
      <x:c r="I667" t="str">
        <x:v>Salir de deudas</x:v>
      </x:c>
      <x:c r="J667" t="str">
        <x:v>Cero</x:v>
      </x:c>
    </x:row>
    <x:row r="668">
      <x:c r="A668" t="str">
        <x:v>USR-00667</x:v>
      </x:c>
      <x:c r="B668" t="n">
        <x:v>46105</x:v>
      </x:c>
      <x:c r="C668" t="n">
        <x:v>59</x:v>
      </x:c>
      <x:c r="D668" t="str">
        <x:v>Manizales</x:v>
      </x:c>
      <x:c r="E668" t="str">
        <x:v>Caldas</x:v>
      </x:c>
      <x:c r="F668" t="str">
        <x:v>Más de $5 M</x:v>
      </x:c>
      <x:c r="G668" t="str">
        <x:v>Búsqueda paga</x:v>
      </x:c>
      <x:c r="H668" t="n">
        <x:v>6983000</x:v>
      </x:c>
      <x:c r="I668" t="str">
        <x:v>Reducir intereses</x:v>
      </x:c>
      <x:c r="J668" t="str">
        <x:v>Cero</x:v>
      </x:c>
    </x:row>
    <x:row r="669">
      <x:c r="A669" t="str">
        <x:v>USR-00668</x:v>
      </x:c>
      <x:c r="B669" t="n">
        <x:v>46083</x:v>
      </x:c>
      <x:c r="C669" t="n">
        <x:v>38</x:v>
      </x:c>
      <x:c r="D669" t="str">
        <x:v>Cartagena</x:v>
      </x:c>
      <x:c r="E669" t="str">
        <x:v>Bolívar</x:v>
      </x:c>
      <x:c r="F669" t="str">
        <x:v>Entre $1,5 M y $3 M</x:v>
      </x:c>
      <x:c r="G669" t="str">
        <x:v>Alianzas</x:v>
      </x:c>
      <x:c r="H669" t="n">
        <x:v>1551000</x:v>
      </x:c>
      <x:c r="I669" t="str">
        <x:v>Reducir intereses</x:v>
      </x:c>
      <x:c r="J669" t="str">
        <x:v>Plus anual</x:v>
      </x:c>
    </x:row>
    <x:row r="670">
      <x:c r="A670" t="str">
        <x:v>USR-00669</x:v>
      </x:c>
      <x:c r="B670" t="n">
        <x:v>46085</x:v>
      </x:c>
      <x:c r="C670" t="n">
        <x:v>24</x:v>
      </x:c>
      <x:c r="D670" t="str">
        <x:v>Barranquilla</x:v>
      </x:c>
      <x:c r="E670" t="str">
        <x:v>Atlántico</x:v>
      </x:c>
      <x:c r="F670" t="str">
        <x:v>Entre $3 M y $5 M</x:v>
      </x:c>
      <x:c r="G670" t="str">
        <x:v>Redes sociales</x:v>
      </x:c>
      <x:c r="H670" t="n">
        <x:v>3388000</x:v>
      </x:c>
      <x:c r="I670" t="str">
        <x:v>Organización inicial</x:v>
      </x:c>
      <x:c r="J670" t="str">
        <x:v>Plus mensual</x:v>
      </x:c>
    </x:row>
    <x:row r="671">
      <x:c r="A671" t="str">
        <x:v>USR-00670</x:v>
      </x:c>
      <x:c r="B671" t="n">
        <x:v>46087</x:v>
      </x:c>
      <x:c r="C671" t="n">
        <x:v>34</x:v>
      </x:c>
      <x:c r="D671" t="str">
        <x:v>Barranquilla</x:v>
      </x:c>
      <x:c r="E671" t="str">
        <x:v>Atlántico</x:v>
      </x:c>
      <x:c r="F671" t="str">
        <x:v>Entre $1,5 M y $3 M</x:v>
      </x:c>
      <x:c r="G671" t="str">
        <x:v>Referidos</x:v>
      </x:c>
      <x:c r="H671" t="n">
        <x:v>1736000</x:v>
      </x:c>
      <x:c r="I671" t="str">
        <x:v>Salir de deudas</x:v>
      </x:c>
      <x:c r="J671" t="str">
        <x:v>Cero</x:v>
      </x:c>
    </x:row>
    <x:row r="672">
      <x:c r="A672" t="str">
        <x:v>USR-00671</x:v>
      </x:c>
      <x:c r="B672" t="n">
        <x:v>46099</x:v>
      </x:c>
      <x:c r="C672" t="n">
        <x:v>41</x:v>
      </x:c>
      <x:c r="D672" t="str">
        <x:v>Manizales</x:v>
      </x:c>
      <x:c r="E672" t="str">
        <x:v>Caldas</x:v>
      </x:c>
      <x:c r="F672" t="str">
        <x:v>Entre $1,5 M y $3 M</x:v>
      </x:c>
      <x:c r="G672" t="str">
        <x:v>Búsqueda paga</x:v>
      </x:c>
      <x:c r="H672" t="n">
        <x:v>2774000</x:v>
      </x:c>
      <x:c r="I672" t="str">
        <x:v>Control de pagos</x:v>
      </x:c>
      <x:c r="J672" t="str">
        <x:v>Cero</x:v>
      </x:c>
    </x:row>
    <x:row r="673">
      <x:c r="A673" t="str">
        <x:v>USR-00672</x:v>
      </x:c>
      <x:c r="B673" t="n">
        <x:v>46093</x:v>
      </x:c>
      <x:c r="C673" t="n">
        <x:v>22</x:v>
      </x:c>
      <x:c r="D673" t="str">
        <x:v>Cali</x:v>
      </x:c>
      <x:c r="E673" t="str">
        <x:v>Valle del Cauca</x:v>
      </x:c>
      <x:c r="F673" t="str">
        <x:v>Entre $1,5 M y $3 M</x:v>
      </x:c>
      <x:c r="G673" t="str">
        <x:v>Orgánico</x:v>
      </x:c>
      <x:c r="H673" t="n">
        <x:v>1536000</x:v>
      </x:c>
      <x:c r="I673" t="str">
        <x:v>Control de pagos</x:v>
      </x:c>
      <x:c r="J673" t="str">
        <x:v>Cero</x:v>
      </x:c>
    </x:row>
    <x:row r="674">
      <x:c r="A674" t="str">
        <x:v>USR-00673</x:v>
      </x:c>
      <x:c r="B674" t="n">
        <x:v>46108</x:v>
      </x:c>
      <x:c r="C674" t="n">
        <x:v>52</x:v>
      </x:c>
      <x:c r="D674" t="str">
        <x:v>Bogotá</x:v>
      </x:c>
      <x:c r="E674" t="str">
        <x:v>Bogotá D.C.</x:v>
      </x:c>
      <x:c r="F674" t="str">
        <x:v>Entre $1,5 M y $3 M</x:v>
      </x:c>
      <x:c r="G674" t="str">
        <x:v>Orgánico</x:v>
      </x:c>
      <x:c r="H674" t="n">
        <x:v>2157000</x:v>
      </x:c>
      <x:c r="I674" t="str">
        <x:v>Reducir intereses</x:v>
      </x:c>
      <x:c r="J674" t="str">
        <x:v>Cero</x:v>
      </x:c>
    </x:row>
    <x:row r="675">
      <x:c r="A675" t="str">
        <x:v>USR-00674</x:v>
      </x:c>
      <x:c r="B675" t="n">
        <x:v>46106</x:v>
      </x:c>
      <x:c r="C675" t="n">
        <x:v>24</x:v>
      </x:c>
      <x:c r="D675" t="str">
        <x:v>Bogotá</x:v>
      </x:c>
      <x:c r="E675" t="str">
        <x:v>Bogotá D.C.</x:v>
      </x:c>
      <x:c r="F675" t="str">
        <x:v>Menos de $1,5 M</x:v>
      </x:c>
      <x:c r="G675" t="str">
        <x:v>Búsqueda paga</x:v>
      </x:c>
      <x:c r="H675" t="n">
        <x:v>1161000</x:v>
      </x:c>
      <x:c r="I675" t="str">
        <x:v>Salir de deudas</x:v>
      </x:c>
      <x:c r="J675" t="str">
        <x:v>Plus anual</x:v>
      </x:c>
    </x:row>
    <x:row r="676">
      <x:c r="A676" t="str">
        <x:v>USR-00675</x:v>
      </x:c>
      <x:c r="B676" t="n">
        <x:v>46101</x:v>
      </x:c>
      <x:c r="C676" t="n">
        <x:v>22</x:v>
      </x:c>
      <x:c r="D676" t="str">
        <x:v>Bogotá</x:v>
      </x:c>
      <x:c r="E676" t="str">
        <x:v>Bogotá D.C.</x:v>
      </x:c>
      <x:c r="F676" t="str">
        <x:v>Entre $3 M y $5 M</x:v>
      </x:c>
      <x:c r="G676" t="str">
        <x:v>Contenido educativo</x:v>
      </x:c>
      <x:c r="H676" t="n">
        <x:v>4547000</x:v>
      </x:c>
      <x:c r="I676" t="str">
        <x:v>Control de pagos</x:v>
      </x:c>
      <x:c r="J676" t="str">
        <x:v>Cero</x:v>
      </x:c>
    </x:row>
    <x:row r="677">
      <x:c r="A677" t="str">
        <x:v>USR-00676</x:v>
      </x:c>
      <x:c r="B677" t="n">
        <x:v>46102</x:v>
      </x:c>
      <x:c r="C677" t="n">
        <x:v>38</x:v>
      </x:c>
      <x:c r="D677" t="str">
        <x:v>Barranquilla</x:v>
      </x:c>
      <x:c r="E677" t="str">
        <x:v>Atlántico</x:v>
      </x:c>
      <x:c r="F677" t="str">
        <x:v>Entre $3 M y $5 M</x:v>
      </x:c>
      <x:c r="G677" t="str">
        <x:v>Orgánico</x:v>
      </x:c>
      <x:c r="H677" t="n">
        <x:v>4349000</x:v>
      </x:c>
      <x:c r="I677" t="str">
        <x:v>Control de pagos</x:v>
      </x:c>
      <x:c r="J677" t="str">
        <x:v>Plus anual</x:v>
      </x:c>
    </x:row>
    <x:row r="678">
      <x:c r="A678" t="str">
        <x:v>USR-00677</x:v>
      </x:c>
      <x:c r="B678" t="n">
        <x:v>46108</x:v>
      </x:c>
      <x:c r="C678" t="n">
        <x:v>32</x:v>
      </x:c>
      <x:c r="D678" t="str">
        <x:v>Bogotá</x:v>
      </x:c>
      <x:c r="E678" t="str">
        <x:v>Bogotá D.C.</x:v>
      </x:c>
      <x:c r="F678" t="str">
        <x:v>Entre $3 M y $5 M</x:v>
      </x:c>
      <x:c r="G678" t="str">
        <x:v>Alianzas</x:v>
      </x:c>
      <x:c r="H678" t="n">
        <x:v>4084000</x:v>
      </x:c>
      <x:c r="I678" t="str">
        <x:v>Reducir intereses</x:v>
      </x:c>
      <x:c r="J678" t="str">
        <x:v>Plus anual</x:v>
      </x:c>
    </x:row>
    <x:row r="679">
      <x:c r="A679" t="str">
        <x:v>USR-00678</x:v>
      </x:c>
      <x:c r="B679" t="n">
        <x:v>46089</x:v>
      </x:c>
      <x:c r="C679" t="n">
        <x:v>55</x:v>
      </x:c>
      <x:c r="D679" t="str">
        <x:v>Bogotá</x:v>
      </x:c>
      <x:c r="E679" t="str">
        <x:v>Bogotá D.C.</x:v>
      </x:c>
      <x:c r="F679" t="str">
        <x:v>Entre $3 M y $5 M</x:v>
      </x:c>
      <x:c r="G679" t="str">
        <x:v>Referidos</x:v>
      </x:c>
      <x:c r="H679" t="n">
        <x:v>4838000</x:v>
      </x:c>
      <x:c r="I679" t="str">
        <x:v>Salir de deudas</x:v>
      </x:c>
      <x:c r="J679" t="str">
        <x:v>Plus mensual</x:v>
      </x:c>
    </x:row>
    <x:row r="680">
      <x:c r="A680" t="str">
        <x:v>USR-00679</x:v>
      </x:c>
      <x:c r="B680" t="n">
        <x:v>46103</x:v>
      </x:c>
      <x:c r="C680" t="n">
        <x:v>56</x:v>
      </x:c>
      <x:c r="D680" t="str">
        <x:v>Medellín</x:v>
      </x:c>
      <x:c r="E680" t="str">
        <x:v>Antioquia</x:v>
      </x:c>
      <x:c r="F680" t="str">
        <x:v>Entre $1,5 M y $3 M</x:v>
      </x:c>
      <x:c r="G680" t="str">
        <x:v>Redes sociales</x:v>
      </x:c>
      <x:c r="H680" t="n">
        <x:v>2763000</x:v>
      </x:c>
      <x:c r="I680" t="str">
        <x:v>Organización inicial</x:v>
      </x:c>
      <x:c r="J680" t="str">
        <x:v>Cero</x:v>
      </x:c>
    </x:row>
    <x:row r="681">
      <x:c r="A681" t="str">
        <x:v>USR-00680</x:v>
      </x:c>
      <x:c r="B681" t="n">
        <x:v>46107</x:v>
      </x:c>
      <x:c r="C681" t="n">
        <x:v>49</x:v>
      </x:c>
      <x:c r="D681" t="str">
        <x:v>Cali</x:v>
      </x:c>
      <x:c r="E681" t="str">
        <x:v>Valle del Cauca</x:v>
      </x:c>
      <x:c r="F681" t="str">
        <x:v>Entre $1,5 M y $3 M</x:v>
      </x:c>
      <x:c r="G681" t="str">
        <x:v>Alianzas</x:v>
      </x:c>
      <x:c r="H681" t="n">
        <x:v>2812000</x:v>
      </x:c>
      <x:c r="I681" t="str">
        <x:v>Reducir intereses</x:v>
      </x:c>
      <x:c r="J681" t="str">
        <x:v>Plus mensual</x:v>
      </x:c>
    </x:row>
    <x:row r="682">
      <x:c r="A682" t="str">
        <x:v>USR-00681</x:v>
      </x:c>
      <x:c r="B682" t="n">
        <x:v>46094</x:v>
      </x:c>
      <x:c r="C682" t="n">
        <x:v>38</x:v>
      </x:c>
      <x:c r="D682" t="str">
        <x:v>Bogotá</x:v>
      </x:c>
      <x:c r="E682" t="str">
        <x:v>Bogotá D.C.</x:v>
      </x:c>
      <x:c r="F682" t="str">
        <x:v>Entre $3 M y $5 M</x:v>
      </x:c>
      <x:c r="G682" t="str">
        <x:v>Referidos</x:v>
      </x:c>
      <x:c r="H682" t="n">
        <x:v>3319000</x:v>
      </x:c>
      <x:c r="I682" t="str">
        <x:v>Salir de deudas</x:v>
      </x:c>
      <x:c r="J682" t="str">
        <x:v>Cero</x:v>
      </x:c>
    </x:row>
    <x:row r="683">
      <x:c r="A683" t="str">
        <x:v>USR-00682</x:v>
      </x:c>
      <x:c r="B683" t="n">
        <x:v>46098</x:v>
      </x:c>
      <x:c r="C683" t="n">
        <x:v>39</x:v>
      </x:c>
      <x:c r="D683" t="str">
        <x:v>Cali</x:v>
      </x:c>
      <x:c r="E683" t="str">
        <x:v>Valle del Cauca</x:v>
      </x:c>
      <x:c r="F683" t="str">
        <x:v>Más de $5 M</x:v>
      </x:c>
      <x:c r="G683" t="str">
        <x:v>Referidos</x:v>
      </x:c>
      <x:c r="H683" t="n">
        <x:v>5965000</x:v>
      </x:c>
      <x:c r="I683" t="str">
        <x:v>Control de pagos</x:v>
      </x:c>
      <x:c r="J683" t="str">
        <x:v>Cero</x:v>
      </x:c>
    </x:row>
    <x:row r="684">
      <x:c r="A684" t="str">
        <x:v>USR-00683</x:v>
      </x:c>
      <x:c r="B684" t="n">
        <x:v>46095</x:v>
      </x:c>
      <x:c r="C684" t="n">
        <x:v>57</x:v>
      </x:c>
      <x:c r="D684" t="str">
        <x:v>Barranquilla</x:v>
      </x:c>
      <x:c r="E684" t="str">
        <x:v>Atlántico</x:v>
      </x:c>
      <x:c r="F684" t="str">
        <x:v>Entre $1,5 M y $3 M</x:v>
      </x:c>
      <x:c r="G684" t="str">
        <x:v>Redes sociales</x:v>
      </x:c>
      <x:c r="H684" t="n">
        <x:v>1820000</x:v>
      </x:c>
      <x:c r="I684" t="str">
        <x:v>Salir de deudas</x:v>
      </x:c>
      <x:c r="J684" t="str">
        <x:v>Cero</x:v>
      </x:c>
    </x:row>
    <x:row r="685">
      <x:c r="A685" t="str">
        <x:v>USR-00684</x:v>
      </x:c>
      <x:c r="B685" t="n">
        <x:v>46087</x:v>
      </x:c>
      <x:c r="C685" t="n">
        <x:v>57</x:v>
      </x:c>
      <x:c r="D685" t="str">
        <x:v>Cali</x:v>
      </x:c>
      <x:c r="E685" t="str">
        <x:v>Valle del Cauca</x:v>
      </x:c>
      <x:c r="F685" t="str">
        <x:v>Entre $3 M y $5 M</x:v>
      </x:c>
      <x:c r="G685" t="str">
        <x:v>Orgánico</x:v>
      </x:c>
      <x:c r="H685" t="n">
        <x:v>3970000</x:v>
      </x:c>
      <x:c r="I685" t="str">
        <x:v>Salir de deudas</x:v>
      </x:c>
      <x:c r="J685" t="str">
        <x:v>Cero</x:v>
      </x:c>
    </x:row>
    <x:row r="686">
      <x:c r="A686" t="str">
        <x:v>USR-00685</x:v>
      </x:c>
      <x:c r="B686" t="n">
        <x:v>46108</x:v>
      </x:c>
      <x:c r="C686" t="n">
        <x:v>55</x:v>
      </x:c>
      <x:c r="D686" t="str">
        <x:v>Cali</x:v>
      </x:c>
      <x:c r="E686" t="str">
        <x:v>Valle del Cauca</x:v>
      </x:c>
      <x:c r="F686" t="str">
        <x:v>Menos de $1,5 M</x:v>
      </x:c>
      <x:c r="G686" t="str">
        <x:v>Orgánico</x:v>
      </x:c>
      <x:c r="H686" t="n">
        <x:v>1133000</x:v>
      </x:c>
      <x:c r="I686" t="str">
        <x:v>Control de pagos</x:v>
      </x:c>
      <x:c r="J686" t="str">
        <x:v>Cero</x:v>
      </x:c>
    </x:row>
    <x:row r="687">
      <x:c r="A687" t="str">
        <x:v>USR-00686</x:v>
      </x:c>
      <x:c r="B687" t="n">
        <x:v>46102</x:v>
      </x:c>
      <x:c r="C687" t="n">
        <x:v>29</x:v>
      </x:c>
      <x:c r="D687" t="str">
        <x:v>Medellín</x:v>
      </x:c>
      <x:c r="E687" t="str">
        <x:v>Antioquia</x:v>
      </x:c>
      <x:c r="F687" t="str">
        <x:v>Entre $3 M y $5 M</x:v>
      </x:c>
      <x:c r="G687" t="str">
        <x:v>Orgánico</x:v>
      </x:c>
      <x:c r="H687" t="n">
        <x:v>4983000</x:v>
      </x:c>
      <x:c r="I687" t="str">
        <x:v>Reducir intereses</x:v>
      </x:c>
      <x:c r="J687" t="str">
        <x:v>Cero</x:v>
      </x:c>
    </x:row>
    <x:row r="688">
      <x:c r="A688" t="str">
        <x:v>USR-00687</x:v>
      </x:c>
      <x:c r="B688" t="n">
        <x:v>46103</x:v>
      </x:c>
      <x:c r="C688" t="n">
        <x:v>62</x:v>
      </x:c>
      <x:c r="D688" t="str">
        <x:v>Villavicencio</x:v>
      </x:c>
      <x:c r="E688" t="str">
        <x:v>Meta</x:v>
      </x:c>
      <x:c r="F688" t="str">
        <x:v>Entre $1,5 M y $3 M</x:v>
      </x:c>
      <x:c r="G688" t="str">
        <x:v>Referidos</x:v>
      </x:c>
      <x:c r="H688" t="n">
        <x:v>1837000</x:v>
      </x:c>
      <x:c r="I688" t="str">
        <x:v>Control de pagos</x:v>
      </x:c>
      <x:c r="J688" t="str">
        <x:v>Cero</x:v>
      </x:c>
    </x:row>
    <x:row r="689">
      <x:c r="A689" t="str">
        <x:v>USR-00688</x:v>
      </x:c>
      <x:c r="B689" t="n">
        <x:v>46085</x:v>
      </x:c>
      <x:c r="C689" t="n">
        <x:v>40</x:v>
      </x:c>
      <x:c r="D689" t="str">
        <x:v>Villavicencio</x:v>
      </x:c>
      <x:c r="E689" t="str">
        <x:v>Meta</x:v>
      </x:c>
      <x:c r="F689" t="str">
        <x:v>Entre $1,5 M y $3 M</x:v>
      </x:c>
      <x:c r="G689" t="str">
        <x:v>Redes sociales</x:v>
      </x:c>
      <x:c r="H689" t="n">
        <x:v>2152000</x:v>
      </x:c>
      <x:c r="I689" t="str">
        <x:v>Control de pagos</x:v>
      </x:c>
      <x:c r="J689" t="str">
        <x:v>Cero</x:v>
      </x:c>
    </x:row>
    <x:row r="690">
      <x:c r="A690" t="str">
        <x:v>USR-00689</x:v>
      </x:c>
      <x:c r="B690" t="n">
        <x:v>46103</x:v>
      </x:c>
      <x:c r="C690" t="n">
        <x:v>25</x:v>
      </x:c>
      <x:c r="D690" t="str">
        <x:v>Bogotá</x:v>
      </x:c>
      <x:c r="E690" t="str">
        <x:v>Bogotá D.C.</x:v>
      </x:c>
      <x:c r="F690" t="str">
        <x:v>Entre $3 M y $5 M</x:v>
      </x:c>
      <x:c r="G690" t="str">
        <x:v>Orgánico</x:v>
      </x:c>
      <x:c r="H690" t="n">
        <x:v>4907000</x:v>
      </x:c>
      <x:c r="I690" t="str">
        <x:v>Salir de deudas</x:v>
      </x:c>
      <x:c r="J690" t="str">
        <x:v>Plus mensual</x:v>
      </x:c>
    </x:row>
    <x:row r="691">
      <x:c r="A691" t="str">
        <x:v>USR-00690</x:v>
      </x:c>
      <x:c r="B691" t="n">
        <x:v>46098</x:v>
      </x:c>
      <x:c r="C691" t="n">
        <x:v>28</x:v>
      </x:c>
      <x:c r="D691" t="str">
        <x:v>Bogotá</x:v>
      </x:c>
      <x:c r="E691" t="str">
        <x:v>Bogotá D.C.</x:v>
      </x:c>
      <x:c r="F691" t="str">
        <x:v>Entre $3 M y $5 M</x:v>
      </x:c>
      <x:c r="G691" t="str">
        <x:v>Búsqueda paga</x:v>
      </x:c>
      <x:c r="H691" t="n">
        <x:v>4146000</x:v>
      </x:c>
      <x:c r="I691" t="str">
        <x:v>Organización inicial</x:v>
      </x:c>
      <x:c r="J691" t="str">
        <x:v>Inactivo</x:v>
      </x:c>
    </x:row>
    <x:row r="692">
      <x:c r="A692" t="str">
        <x:v>USR-00691</x:v>
      </x:c>
      <x:c r="B692" t="n">
        <x:v>46103</x:v>
      </x:c>
      <x:c r="C692" t="n">
        <x:v>21</x:v>
      </x:c>
      <x:c r="D692" t="str">
        <x:v>Pereira</x:v>
      </x:c>
      <x:c r="E692" t="str">
        <x:v>Risaralda</x:v>
      </x:c>
      <x:c r="F692" t="str">
        <x:v>Menos de $1,5 M</x:v>
      </x:c>
      <x:c r="G692" t="str">
        <x:v>Orgánico</x:v>
      </x:c>
      <x:c r="H692" t="n">
        <x:v>1342000</x:v>
      </x:c>
      <x:c r="I692" t="str">
        <x:v>Reducir intereses</x:v>
      </x:c>
      <x:c r="J692" t="str">
        <x:v>Cero</x:v>
      </x:c>
    </x:row>
    <x:row r="693">
      <x:c r="A693" t="str">
        <x:v>USR-00692</x:v>
      </x:c>
      <x:c r="B693" t="n">
        <x:v>46085</x:v>
      </x:c>
      <x:c r="C693" t="n">
        <x:v>22</x:v>
      </x:c>
      <x:c r="D693" t="str">
        <x:v>Bogotá</x:v>
      </x:c>
      <x:c r="E693" t="str">
        <x:v>Bogotá D.C.</x:v>
      </x:c>
      <x:c r="F693" t="str">
        <x:v>Entre $3 M y $5 M</x:v>
      </x:c>
      <x:c r="G693" t="str">
        <x:v>Referidos</x:v>
      </x:c>
      <x:c r="H693" t="n">
        <x:v>4205000</x:v>
      </x:c>
      <x:c r="I693" t="str">
        <x:v>Organización inicial</x:v>
      </x:c>
      <x:c r="J693" t="str">
        <x:v>Cero</x:v>
      </x:c>
    </x:row>
    <x:row r="694">
      <x:c r="A694" t="str">
        <x:v>USR-00693</x:v>
      </x:c>
      <x:c r="B694" t="n">
        <x:v>46105</x:v>
      </x:c>
      <x:c r="C694" t="n">
        <x:v>47</x:v>
      </x:c>
      <x:c r="D694" t="str">
        <x:v>Cali</x:v>
      </x:c>
      <x:c r="E694" t="str">
        <x:v>Valle del Cauca</x:v>
      </x:c>
      <x:c r="F694" t="str">
        <x:v>Entre $1,5 M y $3 M</x:v>
      </x:c>
      <x:c r="G694" t="str">
        <x:v>Orgánico</x:v>
      </x:c>
      <x:c r="H694" t="n">
        <x:v>1900000</x:v>
      </x:c>
      <x:c r="I694" t="str">
        <x:v>Salir de deudas</x:v>
      </x:c>
      <x:c r="J694" t="str">
        <x:v>Cero</x:v>
      </x:c>
    </x:row>
    <x:row r="695">
      <x:c r="A695" t="str">
        <x:v>USR-00694</x:v>
      </x:c>
      <x:c r="B695" t="n">
        <x:v>46090</x:v>
      </x:c>
      <x:c r="C695" t="n">
        <x:v>23</x:v>
      </x:c>
      <x:c r="D695" t="str">
        <x:v>Medellín</x:v>
      </x:c>
      <x:c r="E695" t="str">
        <x:v>Antioquia</x:v>
      </x:c>
      <x:c r="F695" t="str">
        <x:v>Menos de $1,5 M</x:v>
      </x:c>
      <x:c r="G695" t="str">
        <x:v>Alianzas</x:v>
      </x:c>
      <x:c r="H695" t="n">
        <x:v>986000</x:v>
      </x:c>
      <x:c r="I695" t="str">
        <x:v>Organización inicial</x:v>
      </x:c>
      <x:c r="J695" t="str">
        <x:v>Cero</x:v>
      </x:c>
    </x:row>
    <x:row r="696">
      <x:c r="A696" t="str">
        <x:v>USR-00695</x:v>
      </x:c>
      <x:c r="B696" t="n">
        <x:v>46089</x:v>
      </x:c>
      <x:c r="C696" t="n">
        <x:v>50</x:v>
      </x:c>
      <x:c r="D696" t="str">
        <x:v>Cartagena</x:v>
      </x:c>
      <x:c r="E696" t="str">
        <x:v>Bolívar</x:v>
      </x:c>
      <x:c r="F696" t="str">
        <x:v>Más de $5 M</x:v>
      </x:c>
      <x:c r="G696" t="str">
        <x:v>Contenido educativo</x:v>
      </x:c>
      <x:c r="H696" t="n">
        <x:v>7336000</x:v>
      </x:c>
      <x:c r="I696" t="str">
        <x:v>Salir de deudas</x:v>
      </x:c>
      <x:c r="J696" t="str">
        <x:v>Cero</x:v>
      </x:c>
    </x:row>
    <x:row r="697">
      <x:c r="A697" t="str">
        <x:v>USR-00696</x:v>
      </x:c>
      <x:c r="B697" t="n">
        <x:v>46084</x:v>
      </x:c>
      <x:c r="C697" t="n">
        <x:v>47</x:v>
      </x:c>
      <x:c r="D697" t="str">
        <x:v>Medellín</x:v>
      </x:c>
      <x:c r="E697" t="str">
        <x:v>Antioquia</x:v>
      </x:c>
      <x:c r="F697" t="str">
        <x:v>Entre $1,5 M y $3 M</x:v>
      </x:c>
      <x:c r="G697" t="str">
        <x:v>Redes sociales</x:v>
      </x:c>
      <x:c r="H697" t="n">
        <x:v>2854000</x:v>
      </x:c>
      <x:c r="I697" t="str">
        <x:v>Organización inicial</x:v>
      </x:c>
      <x:c r="J697" t="str">
        <x:v>Cero</x:v>
      </x:c>
    </x:row>
    <x:row r="698">
      <x:c r="A698" t="str">
        <x:v>USR-00697</x:v>
      </x:c>
      <x:c r="B698" t="n">
        <x:v>46135</x:v>
      </x:c>
      <x:c r="C698" t="n">
        <x:v>63</x:v>
      </x:c>
      <x:c r="D698" t="str">
        <x:v>Medellín</x:v>
      </x:c>
      <x:c r="E698" t="str">
        <x:v>Antioquia</x:v>
      </x:c>
      <x:c r="F698" t="str">
        <x:v>Entre $1,5 M y $3 M</x:v>
      </x:c>
      <x:c r="G698" t="str">
        <x:v>Orgánico</x:v>
      </x:c>
      <x:c r="H698" t="n">
        <x:v>1953000</x:v>
      </x:c>
      <x:c r="I698" t="str">
        <x:v>Control de pagos</x:v>
      </x:c>
      <x:c r="J698" t="str">
        <x:v>Cero</x:v>
      </x:c>
    </x:row>
    <x:row r="699">
      <x:c r="A699" t="str">
        <x:v>USR-00698</x:v>
      </x:c>
      <x:c r="B699" t="n">
        <x:v>46133</x:v>
      </x:c>
      <x:c r="C699" t="n">
        <x:v>34</x:v>
      </x:c>
      <x:c r="D699" t="str">
        <x:v>Medellín</x:v>
      </x:c>
      <x:c r="E699" t="str">
        <x:v>Antioquia</x:v>
      </x:c>
      <x:c r="F699" t="str">
        <x:v>Entre $3 M y $5 M</x:v>
      </x:c>
      <x:c r="G699" t="str">
        <x:v>Redes sociales</x:v>
      </x:c>
      <x:c r="H699" t="n">
        <x:v>4826000</x:v>
      </x:c>
      <x:c r="I699" t="str">
        <x:v>Organización inicial</x:v>
      </x:c>
      <x:c r="J699" t="str">
        <x:v>Cero</x:v>
      </x:c>
    </x:row>
    <x:row r="700">
      <x:c r="A700" t="str">
        <x:v>USR-00699</x:v>
      </x:c>
      <x:c r="B700" t="n">
        <x:v>46117</x:v>
      </x:c>
      <x:c r="C700" t="n">
        <x:v>46</x:v>
      </x:c>
      <x:c r="D700" t="str">
        <x:v>Bogotá</x:v>
      </x:c>
      <x:c r="E700" t="str">
        <x:v>Bogotá D.C.</x:v>
      </x:c>
      <x:c r="F700" t="str">
        <x:v>Menos de $1,5 M</x:v>
      </x:c>
      <x:c r="G700" t="str">
        <x:v>Orgánico</x:v>
      </x:c>
      <x:c r="H700" t="n">
        <x:v>936000</x:v>
      </x:c>
      <x:c r="I700" t="str">
        <x:v>Salir de deudas</x:v>
      </x:c>
      <x:c r="J700" t="str">
        <x:v>Plus anual</x:v>
      </x:c>
    </x:row>
    <x:row r="701">
      <x:c r="A701" t="str">
        <x:v>USR-00700</x:v>
      </x:c>
      <x:c r="B701" t="n">
        <x:v>46136</x:v>
      </x:c>
      <x:c r="C701" t="n">
        <x:v>32</x:v>
      </x:c>
      <x:c r="D701" t="str">
        <x:v>Cali</x:v>
      </x:c>
      <x:c r="E701" t="str">
        <x:v>Valle del Cauca</x:v>
      </x:c>
      <x:c r="F701" t="str">
        <x:v>Entre $1,5 M y $3 M</x:v>
      </x:c>
      <x:c r="G701" t="str">
        <x:v>Búsqueda paga</x:v>
      </x:c>
      <x:c r="H701" t="n">
        <x:v>2247000</x:v>
      </x:c>
      <x:c r="I701" t="str">
        <x:v>Control de pagos</x:v>
      </x:c>
      <x:c r="J701" t="str">
        <x:v>Cero</x:v>
      </x:c>
    </x:row>
    <x:row r="702">
      <x:c r="A702" t="str">
        <x:v>USR-00701</x:v>
      </x:c>
      <x:c r="B702" t="n">
        <x:v>46128</x:v>
      </x:c>
      <x:c r="C702" t="n">
        <x:v>63</x:v>
      </x:c>
      <x:c r="D702" t="str">
        <x:v>Cali</x:v>
      </x:c>
      <x:c r="E702" t="str">
        <x:v>Valle del Cauca</x:v>
      </x:c>
      <x:c r="F702" t="str">
        <x:v>Entre $1,5 M y $3 M</x:v>
      </x:c>
      <x:c r="G702" t="str">
        <x:v>Búsqueda paga</x:v>
      </x:c>
      <x:c r="H702" t="n">
        <x:v>2858000</x:v>
      </x:c>
      <x:c r="I702" t="str">
        <x:v>Organización inicial</x:v>
      </x:c>
      <x:c r="J702" t="str">
        <x:v>Cero</x:v>
      </x:c>
    </x:row>
    <x:row r="703">
      <x:c r="A703" t="str">
        <x:v>USR-00702</x:v>
      </x:c>
      <x:c r="B703" t="n">
        <x:v>46128</x:v>
      </x:c>
      <x:c r="C703" t="n">
        <x:v>39</x:v>
      </x:c>
      <x:c r="D703" t="str">
        <x:v>Pereira</x:v>
      </x:c>
      <x:c r="E703" t="str">
        <x:v>Risaralda</x:v>
      </x:c>
      <x:c r="F703" t="str">
        <x:v>Entre $1,5 M y $3 M</x:v>
      </x:c>
      <x:c r="G703" t="str">
        <x:v>Redes sociales</x:v>
      </x:c>
      <x:c r="H703" t="n">
        <x:v>2085000</x:v>
      </x:c>
      <x:c r="I703" t="str">
        <x:v>Control de pagos</x:v>
      </x:c>
      <x:c r="J703" t="str">
        <x:v>Plus anual</x:v>
      </x:c>
    </x:row>
    <x:row r="704">
      <x:c r="A704" t="str">
        <x:v>USR-00703</x:v>
      </x:c>
      <x:c r="B704" t="n">
        <x:v>46129</x:v>
      </x:c>
      <x:c r="C704" t="n">
        <x:v>44</x:v>
      </x:c>
      <x:c r="D704" t="str">
        <x:v>Bogotá</x:v>
      </x:c>
      <x:c r="E704" t="str">
        <x:v>Bogotá D.C.</x:v>
      </x:c>
      <x:c r="F704" t="str">
        <x:v>Menos de $1,5 M</x:v>
      </x:c>
      <x:c r="G704" t="str">
        <x:v>Orgánico</x:v>
      </x:c>
      <x:c r="H704" t="n">
        <x:v>1256000</x:v>
      </x:c>
      <x:c r="I704" t="str">
        <x:v>Reducir intereses</x:v>
      </x:c>
      <x:c r="J704" t="str">
        <x:v>Cero</x:v>
      </x:c>
    </x:row>
    <x:row r="705">
      <x:c r="A705" t="str">
        <x:v>USR-00704</x:v>
      </x:c>
      <x:c r="B705" t="n">
        <x:v>46128</x:v>
      </x:c>
      <x:c r="C705" t="n">
        <x:v>53</x:v>
      </x:c>
      <x:c r="D705" t="str">
        <x:v>Bogotá</x:v>
      </x:c>
      <x:c r="E705" t="str">
        <x:v>Bogotá D.C.</x:v>
      </x:c>
      <x:c r="F705" t="str">
        <x:v>Entre $3 M y $5 M</x:v>
      </x:c>
      <x:c r="G705" t="str">
        <x:v>Referidos</x:v>
      </x:c>
      <x:c r="H705" t="n">
        <x:v>3040000</x:v>
      </x:c>
      <x:c r="I705" t="str">
        <x:v>Salir de deudas</x:v>
      </x:c>
      <x:c r="J705" t="str">
        <x:v>Cero</x:v>
      </x:c>
    </x:row>
    <x:row r="706">
      <x:c r="A706" t="str">
        <x:v>USR-00705</x:v>
      </x:c>
      <x:c r="B706" t="n">
        <x:v>46126</x:v>
      </x:c>
      <x:c r="C706" t="n">
        <x:v>63</x:v>
      </x:c>
      <x:c r="D706" t="str">
        <x:v>Bogotá</x:v>
      </x:c>
      <x:c r="E706" t="str">
        <x:v>Bogotá D.C.</x:v>
      </x:c>
      <x:c r="F706" t="str">
        <x:v>Entre $1,5 M y $3 M</x:v>
      </x:c>
      <x:c r="G706" t="str">
        <x:v>Referidos</x:v>
      </x:c>
      <x:c r="H706" t="n">
        <x:v>2741000</x:v>
      </x:c>
      <x:c r="I706" t="str">
        <x:v>Control de pagos</x:v>
      </x:c>
      <x:c r="J706" t="str">
        <x:v>Cero</x:v>
      </x:c>
    </x:row>
    <x:row r="707">
      <x:c r="A707" t="str">
        <x:v>USR-00706</x:v>
      </x:c>
      <x:c r="B707" t="n">
        <x:v>46126</x:v>
      </x:c>
      <x:c r="C707" t="n">
        <x:v>23</x:v>
      </x:c>
      <x:c r="D707" t="str">
        <x:v>Bogotá</x:v>
      </x:c>
      <x:c r="E707" t="str">
        <x:v>Bogotá D.C.</x:v>
      </x:c>
      <x:c r="F707" t="str">
        <x:v>Menos de $1,5 M</x:v>
      </x:c>
      <x:c r="G707" t="str">
        <x:v>Redes sociales</x:v>
      </x:c>
      <x:c r="H707" t="n">
        <x:v>1247000</x:v>
      </x:c>
      <x:c r="I707" t="str">
        <x:v>Control de pagos</x:v>
      </x:c>
      <x:c r="J707" t="str">
        <x:v>Cero</x:v>
      </x:c>
    </x:row>
    <x:row r="708">
      <x:c r="A708" t="str">
        <x:v>USR-00707</x:v>
      </x:c>
      <x:c r="B708" t="n">
        <x:v>46115</x:v>
      </x:c>
      <x:c r="C708" t="n">
        <x:v>42</x:v>
      </x:c>
      <x:c r="D708" t="str">
        <x:v>Bogotá</x:v>
      </x:c>
      <x:c r="E708" t="str">
        <x:v>Bogotá D.C.</x:v>
      </x:c>
      <x:c r="F708" t="str">
        <x:v>Más de $5 M</x:v>
      </x:c>
      <x:c r="G708" t="str">
        <x:v>Búsqueda paga</x:v>
      </x:c>
      <x:c r="H708" t="n">
        <x:v>7363000</x:v>
      </x:c>
      <x:c r="I708" t="str">
        <x:v>Reducir intereses</x:v>
      </x:c>
      <x:c r="J708" t="str">
        <x:v>Cero</x:v>
      </x:c>
    </x:row>
    <x:row r="709">
      <x:c r="A709" t="str">
        <x:v>USR-00708</x:v>
      </x:c>
      <x:c r="B709" t="n">
        <x:v>46125</x:v>
      </x:c>
      <x:c r="C709" t="n">
        <x:v>44</x:v>
      </x:c>
      <x:c r="D709" t="str">
        <x:v>Bucaramanga</x:v>
      </x:c>
      <x:c r="E709" t="str">
        <x:v>Santander</x:v>
      </x:c>
      <x:c r="F709" t="str">
        <x:v>Entre $3 M y $5 M</x:v>
      </x:c>
      <x:c r="G709" t="str">
        <x:v>Redes sociales</x:v>
      </x:c>
      <x:c r="H709" t="n">
        <x:v>3683000</x:v>
      </x:c>
      <x:c r="I709" t="str">
        <x:v>Reducir intereses</x:v>
      </x:c>
      <x:c r="J709" t="str">
        <x:v>Inactivo</x:v>
      </x:c>
    </x:row>
    <x:row r="710">
      <x:c r="A710" t="str">
        <x:v>USR-00709</x:v>
      </x:c>
      <x:c r="B710" t="n">
        <x:v>46128</x:v>
      </x:c>
      <x:c r="C710" t="n">
        <x:v>49</x:v>
      </x:c>
      <x:c r="D710" t="str">
        <x:v>Cartagena</x:v>
      </x:c>
      <x:c r="E710" t="str">
        <x:v>Bolívar</x:v>
      </x:c>
      <x:c r="F710" t="str">
        <x:v>Menos de $1,5 M</x:v>
      </x:c>
      <x:c r="G710" t="str">
        <x:v>Referidos</x:v>
      </x:c>
      <x:c r="H710" t="n">
        <x:v>1287000</x:v>
      </x:c>
      <x:c r="I710" t="str">
        <x:v>Reducir intereses</x:v>
      </x:c>
      <x:c r="J710" t="str">
        <x:v>Cero</x:v>
      </x:c>
    </x:row>
    <x:row r="711">
      <x:c r="A711" t="str">
        <x:v>USR-00710</x:v>
      </x:c>
      <x:c r="B711" t="n">
        <x:v>46114</x:v>
      </x:c>
      <x:c r="C711" t="n">
        <x:v>58</x:v>
      </x:c>
      <x:c r="D711" t="str">
        <x:v>Cali</x:v>
      </x:c>
      <x:c r="E711" t="str">
        <x:v>Valle del Cauca</x:v>
      </x:c>
      <x:c r="F711" t="str">
        <x:v>Menos de $1,5 M</x:v>
      </x:c>
      <x:c r="G711" t="str">
        <x:v>Redes sociales</x:v>
      </x:c>
      <x:c r="H711" t="n">
        <x:v>1234000</x:v>
      </x:c>
      <x:c r="I711" t="str">
        <x:v>Salir de deudas</x:v>
      </x:c>
      <x:c r="J711" t="str">
        <x:v>Cero</x:v>
      </x:c>
    </x:row>
    <x:row r="712">
      <x:c r="A712" t="str">
        <x:v>USR-00711</x:v>
      </x:c>
      <x:c r="B712" t="n">
        <x:v>46134</x:v>
      </x:c>
      <x:c r="C712" t="n">
        <x:v>49</x:v>
      </x:c>
      <x:c r="D712" t="str">
        <x:v>Bucaramanga</x:v>
      </x:c>
      <x:c r="E712" t="str">
        <x:v>Santander</x:v>
      </x:c>
      <x:c r="F712" t="str">
        <x:v>Entre $1,5 M y $3 M</x:v>
      </x:c>
      <x:c r="G712" t="str">
        <x:v>Referidos</x:v>
      </x:c>
      <x:c r="H712" t="n">
        <x:v>2929000</x:v>
      </x:c>
      <x:c r="I712" t="str">
        <x:v>Reducir intereses</x:v>
      </x:c>
      <x:c r="J712" t="str">
        <x:v>Cero</x:v>
      </x:c>
    </x:row>
    <x:row r="713">
      <x:c r="A713" t="str">
        <x:v>USR-00712</x:v>
      </x:c>
      <x:c r="B713" t="n">
        <x:v>46132</x:v>
      </x:c>
      <x:c r="C713" t="n">
        <x:v>29</x:v>
      </x:c>
      <x:c r="D713" t="str">
        <x:v>Cali</x:v>
      </x:c>
      <x:c r="E713" t="str">
        <x:v>Valle del Cauca</x:v>
      </x:c>
      <x:c r="F713" t="str">
        <x:v>Entre $1,5 M y $3 M</x:v>
      </x:c>
      <x:c r="G713" t="str">
        <x:v>Búsqueda paga</x:v>
      </x:c>
      <x:c r="H713" t="n">
        <x:v>2204000</x:v>
      </x:c>
      <x:c r="I713" t="str">
        <x:v>Control de pagos</x:v>
      </x:c>
      <x:c r="J713" t="str">
        <x:v>Plus mensual</x:v>
      </x:c>
    </x:row>
    <x:row r="714">
      <x:c r="A714" t="str">
        <x:v>USR-00713</x:v>
      </x:c>
      <x:c r="B714" t="n">
        <x:v>46124</x:v>
      </x:c>
      <x:c r="C714" t="n">
        <x:v>56</x:v>
      </x:c>
      <x:c r="D714" t="str">
        <x:v>Medellín</x:v>
      </x:c>
      <x:c r="E714" t="str">
        <x:v>Antioquia</x:v>
      </x:c>
      <x:c r="F714" t="str">
        <x:v>Entre $1,5 M y $3 M</x:v>
      </x:c>
      <x:c r="G714" t="str">
        <x:v>Redes sociales</x:v>
      </x:c>
      <x:c r="H714" t="n">
        <x:v>2100000</x:v>
      </x:c>
      <x:c r="I714" t="str">
        <x:v>Salir de deudas</x:v>
      </x:c>
      <x:c r="J714" t="str">
        <x:v>Cero</x:v>
      </x:c>
    </x:row>
    <x:row r="715">
      <x:c r="A715" t="str">
        <x:v>USR-00714</x:v>
      </x:c>
      <x:c r="B715" t="n">
        <x:v>46134</x:v>
      </x:c>
      <x:c r="C715" t="n">
        <x:v>62</x:v>
      </x:c>
      <x:c r="D715" t="str">
        <x:v>Bogotá</x:v>
      </x:c>
      <x:c r="E715" t="str">
        <x:v>Bogotá D.C.</x:v>
      </x:c>
      <x:c r="F715" t="str">
        <x:v>Entre $1,5 M y $3 M</x:v>
      </x:c>
      <x:c r="G715" t="str">
        <x:v>Orgánico</x:v>
      </x:c>
      <x:c r="H715" t="n">
        <x:v>1759000</x:v>
      </x:c>
      <x:c r="I715" t="str">
        <x:v>Salir de deudas</x:v>
      </x:c>
      <x:c r="J715" t="str">
        <x:v>Cero</x:v>
      </x:c>
    </x:row>
    <x:row r="716">
      <x:c r="A716" t="str">
        <x:v>USR-00715</x:v>
      </x:c>
      <x:c r="B716" t="n">
        <x:v>46132</x:v>
      </x:c>
      <x:c r="C716" t="n">
        <x:v>25</x:v>
      </x:c>
      <x:c r="D716" t="str">
        <x:v>Cartagena</x:v>
      </x:c>
      <x:c r="E716" t="str">
        <x:v>Bolívar</x:v>
      </x:c>
      <x:c r="F716" t="str">
        <x:v>Menos de $1,5 M</x:v>
      </x:c>
      <x:c r="G716" t="str">
        <x:v>Búsqueda paga</x:v>
      </x:c>
      <x:c r="H716" t="n">
        <x:v>1398000</x:v>
      </x:c>
      <x:c r="I716" t="str">
        <x:v>Salir de deudas</x:v>
      </x:c>
      <x:c r="J716" t="str">
        <x:v>Plus mensual</x:v>
      </x:c>
    </x:row>
    <x:row r="717">
      <x:c r="A717" t="str">
        <x:v>USR-00716</x:v>
      </x:c>
      <x:c r="B717" t="n">
        <x:v>46116</x:v>
      </x:c>
      <x:c r="C717" t="n">
        <x:v>28</x:v>
      </x:c>
      <x:c r="D717" t="str">
        <x:v>Bogotá</x:v>
      </x:c>
      <x:c r="E717" t="str">
        <x:v>Bogotá D.C.</x:v>
      </x:c>
      <x:c r="F717" t="str">
        <x:v>Menos de $1,5 M</x:v>
      </x:c>
      <x:c r="G717" t="str">
        <x:v>Orgánico</x:v>
      </x:c>
      <x:c r="H717" t="n">
        <x:v>946000</x:v>
      </x:c>
      <x:c r="I717" t="str">
        <x:v>Reducir intereses</x:v>
      </x:c>
      <x:c r="J717" t="str">
        <x:v>Cero</x:v>
      </x:c>
    </x:row>
    <x:row r="718">
      <x:c r="A718" t="str">
        <x:v>USR-00717</x:v>
      </x:c>
      <x:c r="B718" t="n">
        <x:v>46121</x:v>
      </x:c>
      <x:c r="C718" t="n">
        <x:v>54</x:v>
      </x:c>
      <x:c r="D718" t="str">
        <x:v>Bucaramanga</x:v>
      </x:c>
      <x:c r="E718" t="str">
        <x:v>Santander</x:v>
      </x:c>
      <x:c r="F718" t="str">
        <x:v>Entre $1,5 M y $3 M</x:v>
      </x:c>
      <x:c r="G718" t="str">
        <x:v>Redes sociales</x:v>
      </x:c>
      <x:c r="H718" t="n">
        <x:v>2137000</x:v>
      </x:c>
      <x:c r="I718" t="str">
        <x:v>Salir de deudas</x:v>
      </x:c>
      <x:c r="J718" t="str">
        <x:v>Cero</x:v>
      </x:c>
    </x:row>
    <x:row r="719">
      <x:c r="A719" t="str">
        <x:v>USR-00718</x:v>
      </x:c>
      <x:c r="B719" t="n">
        <x:v>46128</x:v>
      </x:c>
      <x:c r="C719" t="n">
        <x:v>62</x:v>
      </x:c>
      <x:c r="D719" t="str">
        <x:v>Barranquilla</x:v>
      </x:c>
      <x:c r="E719" t="str">
        <x:v>Atlántico</x:v>
      </x:c>
      <x:c r="F719" t="str">
        <x:v>Entre $1,5 M y $3 M</x:v>
      </x:c>
      <x:c r="G719" t="str">
        <x:v>Orgánico</x:v>
      </x:c>
      <x:c r="H719" t="n">
        <x:v>2887000</x:v>
      </x:c>
      <x:c r="I719" t="str">
        <x:v>Control de pagos</x:v>
      </x:c>
      <x:c r="J719" t="str">
        <x:v>Cero</x:v>
      </x:c>
    </x:row>
    <x:row r="720">
      <x:c r="A720" t="str">
        <x:v>USR-00719</x:v>
      </x:c>
      <x:c r="B720" t="n">
        <x:v>46118</x:v>
      </x:c>
      <x:c r="C720" t="n">
        <x:v>34</x:v>
      </x:c>
      <x:c r="D720" t="str">
        <x:v>Bogotá</x:v>
      </x:c>
      <x:c r="E720" t="str">
        <x:v>Bogotá D.C.</x:v>
      </x:c>
      <x:c r="F720" t="str">
        <x:v>Entre $3 M y $5 M</x:v>
      </x:c>
      <x:c r="G720" t="str">
        <x:v>Contenido educativo</x:v>
      </x:c>
      <x:c r="H720" t="n">
        <x:v>4336000</x:v>
      </x:c>
      <x:c r="I720" t="str">
        <x:v>Salir de deudas</x:v>
      </x:c>
      <x:c r="J720" t="str">
        <x:v>Plus mensual</x:v>
      </x:c>
    </x:row>
    <x:row r="721">
      <x:c r="A721" t="str">
        <x:v>USR-00720</x:v>
      </x:c>
      <x:c r="B721" t="n">
        <x:v>46129</x:v>
      </x:c>
      <x:c r="C721" t="n">
        <x:v>60</x:v>
      </x:c>
      <x:c r="D721" t="str">
        <x:v>Bogotá</x:v>
      </x:c>
      <x:c r="E721" t="str">
        <x:v>Bogotá D.C.</x:v>
      </x:c>
      <x:c r="F721" t="str">
        <x:v>Entre $3 M y $5 M</x:v>
      </x:c>
      <x:c r="G721" t="str">
        <x:v>Referidos</x:v>
      </x:c>
      <x:c r="H721" t="n">
        <x:v>4385000</x:v>
      </x:c>
      <x:c r="I721" t="str">
        <x:v>Reducir intereses</x:v>
      </x:c>
      <x:c r="J721" t="str">
        <x:v>Plus mensual</x:v>
      </x:c>
    </x:row>
    <x:row r="722">
      <x:c r="A722" t="str">
        <x:v>USR-00721</x:v>
      </x:c>
      <x:c r="B722" t="n">
        <x:v>46130</x:v>
      </x:c>
      <x:c r="C722" t="n">
        <x:v>27</x:v>
      </x:c>
      <x:c r="D722" t="str">
        <x:v>Pereira</x:v>
      </x:c>
      <x:c r="E722" t="str">
        <x:v>Risaralda</x:v>
      </x:c>
      <x:c r="F722" t="str">
        <x:v>Menos de $1,5 M</x:v>
      </x:c>
      <x:c r="G722" t="str">
        <x:v>Redes sociales</x:v>
      </x:c>
      <x:c r="H722" t="n">
        <x:v>925000</x:v>
      </x:c>
      <x:c r="I722" t="str">
        <x:v>Control de pagos</x:v>
      </x:c>
      <x:c r="J722" t="str">
        <x:v>Plus mensual</x:v>
      </x:c>
    </x:row>
    <x:row r="723">
      <x:c r="A723" t="str">
        <x:v>USR-00722</x:v>
      </x:c>
      <x:c r="B723" t="n">
        <x:v>46126</x:v>
      </x:c>
      <x:c r="C723" t="n">
        <x:v>40</x:v>
      </x:c>
      <x:c r="D723" t="str">
        <x:v>Barranquilla</x:v>
      </x:c>
      <x:c r="E723" t="str">
        <x:v>Atlántico</x:v>
      </x:c>
      <x:c r="F723" t="str">
        <x:v>Entre $3 M y $5 M</x:v>
      </x:c>
      <x:c r="G723" t="str">
        <x:v>Orgánico</x:v>
      </x:c>
      <x:c r="H723" t="n">
        <x:v>4410000</x:v>
      </x:c>
      <x:c r="I723" t="str">
        <x:v>Reducir intereses</x:v>
      </x:c>
      <x:c r="J723" t="str">
        <x:v>Cero</x:v>
      </x:c>
    </x:row>
    <x:row r="724">
      <x:c r="A724" t="str">
        <x:v>USR-00723</x:v>
      </x:c>
      <x:c r="B724" t="n">
        <x:v>46131</x:v>
      </x:c>
      <x:c r="C724" t="n">
        <x:v>56</x:v>
      </x:c>
      <x:c r="D724" t="str">
        <x:v>Manizales</x:v>
      </x:c>
      <x:c r="E724" t="str">
        <x:v>Caldas</x:v>
      </x:c>
      <x:c r="F724" t="str">
        <x:v>Entre $1,5 M y $3 M</x:v>
      </x:c>
      <x:c r="G724" t="str">
        <x:v>Redes sociales</x:v>
      </x:c>
      <x:c r="H724" t="n">
        <x:v>2345000</x:v>
      </x:c>
      <x:c r="I724" t="str">
        <x:v>Salir de deudas</x:v>
      </x:c>
      <x:c r="J724" t="str">
        <x:v>Cero</x:v>
      </x:c>
    </x:row>
    <x:row r="725">
      <x:c r="A725" t="str">
        <x:v>USR-00724</x:v>
      </x:c>
      <x:c r="B725" t="n">
        <x:v>46128</x:v>
      </x:c>
      <x:c r="C725" t="n">
        <x:v>60</x:v>
      </x:c>
      <x:c r="D725" t="str">
        <x:v>Bucaramanga</x:v>
      </x:c>
      <x:c r="E725" t="str">
        <x:v>Santander</x:v>
      </x:c>
      <x:c r="F725" t="str">
        <x:v>Entre $1,5 M y $3 M</x:v>
      </x:c>
      <x:c r="G725" t="str">
        <x:v>Contenido educativo</x:v>
      </x:c>
      <x:c r="H725" t="n">
        <x:v>2867000</x:v>
      </x:c>
      <x:c r="I725" t="str">
        <x:v>Reducir intereses</x:v>
      </x:c>
      <x:c r="J725" t="str">
        <x:v>Cero</x:v>
      </x:c>
    </x:row>
    <x:row r="726">
      <x:c r="A726" t="str">
        <x:v>USR-00725</x:v>
      </x:c>
      <x:c r="B726" t="n">
        <x:v>46136</x:v>
      </x:c>
      <x:c r="C726" t="n">
        <x:v>36</x:v>
      </x:c>
      <x:c r="D726" t="str">
        <x:v>Bogotá</x:v>
      </x:c>
      <x:c r="E726" t="str">
        <x:v>Bogotá D.C.</x:v>
      </x:c>
      <x:c r="F726" t="str">
        <x:v>Entre $1,5 M y $3 M</x:v>
      </x:c>
      <x:c r="G726" t="str">
        <x:v>Redes sociales</x:v>
      </x:c>
      <x:c r="H726" t="n">
        <x:v>2092000</x:v>
      </x:c>
      <x:c r="I726" t="str">
        <x:v>Organización inicial</x:v>
      </x:c>
      <x:c r="J726" t="str">
        <x:v>Plus mensual</x:v>
      </x:c>
    </x:row>
    <x:row r="727">
      <x:c r="A727" t="str">
        <x:v>USR-00726</x:v>
      </x:c>
      <x:c r="B727" t="n">
        <x:v>46124</x:v>
      </x:c>
      <x:c r="C727" t="n">
        <x:v>58</x:v>
      </x:c>
      <x:c r="D727" t="str">
        <x:v>Medellín</x:v>
      </x:c>
      <x:c r="E727" t="str">
        <x:v>Antioquia</x:v>
      </x:c>
      <x:c r="F727" t="str">
        <x:v>Entre $1,5 M y $3 M</x:v>
      </x:c>
      <x:c r="G727" t="str">
        <x:v>Referidos</x:v>
      </x:c>
      <x:c r="H727" t="n">
        <x:v>1998000</x:v>
      </x:c>
      <x:c r="I727" t="str">
        <x:v>Salir de deudas</x:v>
      </x:c>
      <x:c r="J727" t="str">
        <x:v>Plus anual</x:v>
      </x:c>
    </x:row>
    <x:row r="728">
      <x:c r="A728" t="str">
        <x:v>USR-00727</x:v>
      </x:c>
      <x:c r="B728" t="n">
        <x:v>46126</x:v>
      </x:c>
      <x:c r="C728" t="n">
        <x:v>42</x:v>
      </x:c>
      <x:c r="D728" t="str">
        <x:v>Cartagena</x:v>
      </x:c>
      <x:c r="E728" t="str">
        <x:v>Bolívar</x:v>
      </x:c>
      <x:c r="F728" t="str">
        <x:v>Menos de $1,5 M</x:v>
      </x:c>
      <x:c r="G728" t="str">
        <x:v>Redes sociales</x:v>
      </x:c>
      <x:c r="H728" t="n">
        <x:v>1301000</x:v>
      </x:c>
      <x:c r="I728" t="str">
        <x:v>Reducir intereses</x:v>
      </x:c>
      <x:c r="J728" t="str">
        <x:v>Cero</x:v>
      </x:c>
    </x:row>
    <x:row r="729">
      <x:c r="A729" t="str">
        <x:v>USR-00728</x:v>
      </x:c>
      <x:c r="B729" t="n">
        <x:v>46124</x:v>
      </x:c>
      <x:c r="C729" t="n">
        <x:v>28</x:v>
      </x:c>
      <x:c r="D729" t="str">
        <x:v>Manizales</x:v>
      </x:c>
      <x:c r="E729" t="str">
        <x:v>Caldas</x:v>
      </x:c>
      <x:c r="F729" t="str">
        <x:v>Entre $1,5 M y $3 M</x:v>
      </x:c>
      <x:c r="G729" t="str">
        <x:v>Búsqueda paga</x:v>
      </x:c>
      <x:c r="H729" t="n">
        <x:v>2929000</x:v>
      </x:c>
      <x:c r="I729" t="str">
        <x:v>Organización inicial</x:v>
      </x:c>
      <x:c r="J729" t="str">
        <x:v>Cero</x:v>
      </x:c>
    </x:row>
    <x:row r="730">
      <x:c r="A730" t="str">
        <x:v>USR-00729</x:v>
      </x:c>
      <x:c r="B730" t="n">
        <x:v>46123</x:v>
      </x:c>
      <x:c r="C730" t="n">
        <x:v>36</x:v>
      </x:c>
      <x:c r="D730" t="str">
        <x:v>Bogotá</x:v>
      </x:c>
      <x:c r="E730" t="str">
        <x:v>Bogotá D.C.</x:v>
      </x:c>
      <x:c r="F730" t="str">
        <x:v>Entre $1,5 M y $3 M</x:v>
      </x:c>
      <x:c r="G730" t="str">
        <x:v>Orgánico</x:v>
      </x:c>
      <x:c r="H730" t="n">
        <x:v>1533000</x:v>
      </x:c>
      <x:c r="I730" t="str">
        <x:v>Control de pagos</x:v>
      </x:c>
      <x:c r="J730" t="str">
        <x:v>Cero</x:v>
      </x:c>
    </x:row>
    <x:row r="731">
      <x:c r="A731" t="str">
        <x:v>USR-00730</x:v>
      </x:c>
      <x:c r="B731" t="n">
        <x:v>46116</x:v>
      </x:c>
      <x:c r="C731" t="n">
        <x:v>34</x:v>
      </x:c>
      <x:c r="D731" t="str">
        <x:v>Medellín</x:v>
      </x:c>
      <x:c r="E731" t="str">
        <x:v>Antioquia</x:v>
      </x:c>
      <x:c r="F731" t="str">
        <x:v>Entre $1,5 M y $3 M</x:v>
      </x:c>
      <x:c r="G731" t="str">
        <x:v>Orgánico</x:v>
      </x:c>
      <x:c r="H731" t="n">
        <x:v>2230000</x:v>
      </x:c>
      <x:c r="I731" t="str">
        <x:v>Salir de deudas</x:v>
      </x:c>
      <x:c r="J731" t="str">
        <x:v>Cero</x:v>
      </x:c>
    </x:row>
    <x:row r="732">
      <x:c r="A732" t="str">
        <x:v>USR-00731</x:v>
      </x:c>
      <x:c r="B732" t="n">
        <x:v>46137</x:v>
      </x:c>
      <x:c r="C732" t="n">
        <x:v>26</x:v>
      </x:c>
      <x:c r="D732" t="str">
        <x:v>Medellín</x:v>
      </x:c>
      <x:c r="E732" t="str">
        <x:v>Antioquia</x:v>
      </x:c>
      <x:c r="F732" t="str">
        <x:v>Entre $1,5 M y $3 M</x:v>
      </x:c>
      <x:c r="G732" t="str">
        <x:v>Redes sociales</x:v>
      </x:c>
      <x:c r="H732" t="n">
        <x:v>1504000</x:v>
      </x:c>
      <x:c r="I732" t="str">
        <x:v>Salir de deudas</x:v>
      </x:c>
      <x:c r="J732" t="str">
        <x:v>Cero</x:v>
      </x:c>
    </x:row>
    <x:row r="733">
      <x:c r="A733" t="str">
        <x:v>USR-00732</x:v>
      </x:c>
      <x:c r="B733" t="n">
        <x:v>46126</x:v>
      </x:c>
      <x:c r="C733" t="n">
        <x:v>24</x:v>
      </x:c>
      <x:c r="D733" t="str">
        <x:v>Pereira</x:v>
      </x:c>
      <x:c r="E733" t="str">
        <x:v>Risaralda</x:v>
      </x:c>
      <x:c r="F733" t="str">
        <x:v>Entre $3 M y $5 M</x:v>
      </x:c>
      <x:c r="G733" t="str">
        <x:v>Redes sociales</x:v>
      </x:c>
      <x:c r="H733" t="n">
        <x:v>3517000</x:v>
      </x:c>
      <x:c r="I733" t="str">
        <x:v>Organización inicial</x:v>
      </x:c>
      <x:c r="J733" t="str">
        <x:v>Plus mensual</x:v>
      </x:c>
    </x:row>
    <x:row r="734">
      <x:c r="A734" t="str">
        <x:v>USR-00733</x:v>
      </x:c>
      <x:c r="B734" t="n">
        <x:v>46138</x:v>
      </x:c>
      <x:c r="C734" t="n">
        <x:v>54</x:v>
      </x:c>
      <x:c r="D734" t="str">
        <x:v>Manizales</x:v>
      </x:c>
      <x:c r="E734" t="str">
        <x:v>Caldas</x:v>
      </x:c>
      <x:c r="F734" t="str">
        <x:v>Entre $1,5 M y $3 M</x:v>
      </x:c>
      <x:c r="G734" t="str">
        <x:v>Búsqueda paga</x:v>
      </x:c>
      <x:c r="H734" t="n">
        <x:v>1520000</x:v>
      </x:c>
      <x:c r="I734" t="str">
        <x:v>Control de pagos</x:v>
      </x:c>
      <x:c r="J734" t="str">
        <x:v>Plus mensual</x:v>
      </x:c>
    </x:row>
    <x:row r="735">
      <x:c r="A735" t="str">
        <x:v>USR-00734</x:v>
      </x:c>
      <x:c r="B735" t="n">
        <x:v>46124</x:v>
      </x:c>
      <x:c r="C735" t="n">
        <x:v>41</x:v>
      </x:c>
      <x:c r="D735" t="str">
        <x:v>Barranquilla</x:v>
      </x:c>
      <x:c r="E735" t="str">
        <x:v>Atlántico</x:v>
      </x:c>
      <x:c r="F735" t="str">
        <x:v>Entre $3 M y $5 M</x:v>
      </x:c>
      <x:c r="G735" t="str">
        <x:v>Referidos</x:v>
      </x:c>
      <x:c r="H735" t="n">
        <x:v>4792000</x:v>
      </x:c>
      <x:c r="I735" t="str">
        <x:v>Control de pagos</x:v>
      </x:c>
      <x:c r="J735" t="str">
        <x:v>Cero</x:v>
      </x:c>
    </x:row>
    <x:row r="736">
      <x:c r="A736" t="str">
        <x:v>USR-00735</x:v>
      </x:c>
      <x:c r="B736" t="n">
        <x:v>46129</x:v>
      </x:c>
      <x:c r="C736" t="n">
        <x:v>57</x:v>
      </x:c>
      <x:c r="D736" t="str">
        <x:v>Bogotá</x:v>
      </x:c>
      <x:c r="E736" t="str">
        <x:v>Bogotá D.C.</x:v>
      </x:c>
      <x:c r="F736" t="str">
        <x:v>Entre $1,5 M y $3 M</x:v>
      </x:c>
      <x:c r="G736" t="str">
        <x:v>Referidos</x:v>
      </x:c>
      <x:c r="H736" t="n">
        <x:v>2014000</x:v>
      </x:c>
      <x:c r="I736" t="str">
        <x:v>Salir de deudas</x:v>
      </x:c>
      <x:c r="J736" t="str">
        <x:v>Plus mensual</x:v>
      </x:c>
    </x:row>
    <x:row r="737">
      <x:c r="A737" t="str">
        <x:v>USR-00736</x:v>
      </x:c>
      <x:c r="B737" t="n">
        <x:v>46128</x:v>
      </x:c>
      <x:c r="C737" t="n">
        <x:v>62</x:v>
      </x:c>
      <x:c r="D737" t="str">
        <x:v>Bogotá</x:v>
      </x:c>
      <x:c r="E737" t="str">
        <x:v>Bogotá D.C.</x:v>
      </x:c>
      <x:c r="F737" t="str">
        <x:v>Entre $3 M y $5 M</x:v>
      </x:c>
      <x:c r="G737" t="str">
        <x:v>Redes sociales</x:v>
      </x:c>
      <x:c r="H737" t="n">
        <x:v>4999000</x:v>
      </x:c>
      <x:c r="I737" t="str">
        <x:v>Salir de deudas</x:v>
      </x:c>
      <x:c r="J737" t="str">
        <x:v>Plus mensual</x:v>
      </x:c>
    </x:row>
    <x:row r="738">
      <x:c r="A738" t="str">
        <x:v>USR-00737</x:v>
      </x:c>
      <x:c r="B738" t="n">
        <x:v>46137</x:v>
      </x:c>
      <x:c r="C738" t="n">
        <x:v>61</x:v>
      </x:c>
      <x:c r="D738" t="str">
        <x:v>Barranquilla</x:v>
      </x:c>
      <x:c r="E738" t="str">
        <x:v>Atlántico</x:v>
      </x:c>
      <x:c r="F738" t="str">
        <x:v>Entre $1,5 M y $3 M</x:v>
      </x:c>
      <x:c r="G738" t="str">
        <x:v>Referidos</x:v>
      </x:c>
      <x:c r="H738" t="n">
        <x:v>1797000</x:v>
      </x:c>
      <x:c r="I738" t="str">
        <x:v>Organización inicial</x:v>
      </x:c>
      <x:c r="J738" t="str">
        <x:v>Plus anual</x:v>
      </x:c>
    </x:row>
    <x:row r="739">
      <x:c r="A739" t="str">
        <x:v>USR-00738</x:v>
      </x:c>
      <x:c r="B739" t="n">
        <x:v>46116</x:v>
      </x:c>
      <x:c r="C739" t="n">
        <x:v>27</x:v>
      </x:c>
      <x:c r="D739" t="str">
        <x:v>Bogotá</x:v>
      </x:c>
      <x:c r="E739" t="str">
        <x:v>Bogotá D.C.</x:v>
      </x:c>
      <x:c r="F739" t="str">
        <x:v>Entre $1,5 M y $3 M</x:v>
      </x:c>
      <x:c r="G739" t="str">
        <x:v>Redes sociales</x:v>
      </x:c>
      <x:c r="H739" t="n">
        <x:v>1595000</x:v>
      </x:c>
      <x:c r="I739" t="str">
        <x:v>Control de pagos</x:v>
      </x:c>
      <x:c r="J739" t="str">
        <x:v>Cero</x:v>
      </x:c>
    </x:row>
    <x:row r="740">
      <x:c r="A740" t="str">
        <x:v>USR-00739</x:v>
      </x:c>
      <x:c r="B740" t="n">
        <x:v>46134</x:v>
      </x:c>
      <x:c r="C740" t="n">
        <x:v>62</x:v>
      </x:c>
      <x:c r="D740" t="str">
        <x:v>Barranquilla</x:v>
      </x:c>
      <x:c r="E740" t="str">
        <x:v>Atlántico</x:v>
      </x:c>
      <x:c r="F740" t="str">
        <x:v>Entre $1,5 M y $3 M</x:v>
      </x:c>
      <x:c r="G740" t="str">
        <x:v>Redes sociales</x:v>
      </x:c>
      <x:c r="H740" t="n">
        <x:v>2230000</x:v>
      </x:c>
      <x:c r="I740" t="str">
        <x:v>Salir de deudas</x:v>
      </x:c>
      <x:c r="J740" t="str">
        <x:v>Cero</x:v>
      </x:c>
    </x:row>
    <x:row r="741">
      <x:c r="A741" t="str">
        <x:v>USR-00740</x:v>
      </x:c>
      <x:c r="B741" t="n">
        <x:v>46135</x:v>
      </x:c>
      <x:c r="C741" t="n">
        <x:v>60</x:v>
      </x:c>
      <x:c r="D741" t="str">
        <x:v>Bogotá</x:v>
      </x:c>
      <x:c r="E741" t="str">
        <x:v>Bogotá D.C.</x:v>
      </x:c>
      <x:c r="F741" t="str">
        <x:v>Entre $1,5 M y $3 M</x:v>
      </x:c>
      <x:c r="G741" t="str">
        <x:v>Búsqueda paga</x:v>
      </x:c>
      <x:c r="H741" t="n">
        <x:v>2978000</x:v>
      </x:c>
      <x:c r="I741" t="str">
        <x:v>Control de pagos</x:v>
      </x:c>
      <x:c r="J741" t="str">
        <x:v>Cero</x:v>
      </x:c>
    </x:row>
    <x:row r="742">
      <x:c r="A742" t="str">
        <x:v>USR-00741</x:v>
      </x:c>
      <x:c r="B742" t="n">
        <x:v>46126</x:v>
      </x:c>
      <x:c r="C742" t="n">
        <x:v>30</x:v>
      </x:c>
      <x:c r="D742" t="str">
        <x:v>Manizales</x:v>
      </x:c>
      <x:c r="E742" t="str">
        <x:v>Caldas</x:v>
      </x:c>
      <x:c r="F742" t="str">
        <x:v>Entre $1,5 M y $3 M</x:v>
      </x:c>
      <x:c r="G742" t="str">
        <x:v>Orgánico</x:v>
      </x:c>
      <x:c r="H742" t="n">
        <x:v>2813000</x:v>
      </x:c>
      <x:c r="I742" t="str">
        <x:v>Salir de deudas</x:v>
      </x:c>
      <x:c r="J742" t="str">
        <x:v>Cero</x:v>
      </x:c>
    </x:row>
    <x:row r="743">
      <x:c r="A743" t="str">
        <x:v>USR-00742</x:v>
      </x:c>
      <x:c r="B743" t="n">
        <x:v>46120</x:v>
      </x:c>
      <x:c r="C743" t="n">
        <x:v>58</x:v>
      </x:c>
      <x:c r="D743" t="str">
        <x:v>Medellín</x:v>
      </x:c>
      <x:c r="E743" t="str">
        <x:v>Antioquia</x:v>
      </x:c>
      <x:c r="F743" t="str">
        <x:v>Menos de $1,5 M</x:v>
      </x:c>
      <x:c r="G743" t="str">
        <x:v>Redes sociales</x:v>
      </x:c>
      <x:c r="H743" t="n">
        <x:v>1405000</x:v>
      </x:c>
      <x:c r="I743" t="str">
        <x:v>Reducir intereses</x:v>
      </x:c>
      <x:c r="J743" t="str">
        <x:v>Cero</x:v>
      </x:c>
    </x:row>
    <x:row r="744">
      <x:c r="A744" t="str">
        <x:v>USR-00743</x:v>
      </x:c>
      <x:c r="B744" t="n">
        <x:v>46129</x:v>
      </x:c>
      <x:c r="C744" t="n">
        <x:v>39</x:v>
      </x:c>
      <x:c r="D744" t="str">
        <x:v>Bogotá</x:v>
      </x:c>
      <x:c r="E744" t="str">
        <x:v>Bogotá D.C.</x:v>
      </x:c>
      <x:c r="F744" t="str">
        <x:v>Más de $5 M</x:v>
      </x:c>
      <x:c r="G744" t="str">
        <x:v>Referidos</x:v>
      </x:c>
      <x:c r="H744" t="n">
        <x:v>5167000</x:v>
      </x:c>
      <x:c r="I744" t="str">
        <x:v>Salir de deudas</x:v>
      </x:c>
      <x:c r="J744" t="str">
        <x:v>Plus mensual</x:v>
      </x:c>
    </x:row>
    <x:row r="745">
      <x:c r="A745" t="str">
        <x:v>USR-00744</x:v>
      </x:c>
      <x:c r="B745" t="n">
        <x:v>46130</x:v>
      </x:c>
      <x:c r="C745" t="n">
        <x:v>57</x:v>
      </x:c>
      <x:c r="D745" t="str">
        <x:v>Bogotá</x:v>
      </x:c>
      <x:c r="E745" t="str">
        <x:v>Bogotá D.C.</x:v>
      </x:c>
      <x:c r="F745" t="str">
        <x:v>Más de $5 M</x:v>
      </x:c>
      <x:c r="G745" t="str">
        <x:v>Redes sociales</x:v>
      </x:c>
      <x:c r="H745" t="n">
        <x:v>5493000</x:v>
      </x:c>
      <x:c r="I745" t="str">
        <x:v>Salir de deudas</x:v>
      </x:c>
      <x:c r="J745" t="str">
        <x:v>Cero</x:v>
      </x:c>
    </x:row>
    <x:row r="746">
      <x:c r="A746" t="str">
        <x:v>USR-00745</x:v>
      </x:c>
      <x:c r="B746" t="n">
        <x:v>46131</x:v>
      </x:c>
      <x:c r="C746" t="n">
        <x:v>29</x:v>
      </x:c>
      <x:c r="D746" t="str">
        <x:v>Cali</x:v>
      </x:c>
      <x:c r="E746" t="str">
        <x:v>Valle del Cauca</x:v>
      </x:c>
      <x:c r="F746" t="str">
        <x:v>Entre $3 M y $5 M</x:v>
      </x:c>
      <x:c r="G746" t="str">
        <x:v>Orgánico</x:v>
      </x:c>
      <x:c r="H746" t="n">
        <x:v>4245000</x:v>
      </x:c>
      <x:c r="I746" t="str">
        <x:v>Reducir intereses</x:v>
      </x:c>
      <x:c r="J746" t="str">
        <x:v>Plus anual</x:v>
      </x:c>
    </x:row>
    <x:row r="747">
      <x:c r="A747" t="str">
        <x:v>USR-00746</x:v>
      </x:c>
      <x:c r="B747" t="n">
        <x:v>46115</x:v>
      </x:c>
      <x:c r="C747" t="n">
        <x:v>55</x:v>
      </x:c>
      <x:c r="D747" t="str">
        <x:v>Bogotá</x:v>
      </x:c>
      <x:c r="E747" t="str">
        <x:v>Bogotá D.C.</x:v>
      </x:c>
      <x:c r="F747" t="str">
        <x:v>Entre $3 M y $5 M</x:v>
      </x:c>
      <x:c r="G747" t="str">
        <x:v>Redes sociales</x:v>
      </x:c>
      <x:c r="H747" t="n">
        <x:v>3951000</x:v>
      </x:c>
      <x:c r="I747" t="str">
        <x:v>Control de pagos</x:v>
      </x:c>
      <x:c r="J747" t="str">
        <x:v>Cero</x:v>
      </x:c>
    </x:row>
    <x:row r="748">
      <x:c r="A748" t="str">
        <x:v>USR-00747</x:v>
      </x:c>
      <x:c r="B748" t="n">
        <x:v>46138</x:v>
      </x:c>
      <x:c r="C748" t="n">
        <x:v>47</x:v>
      </x:c>
      <x:c r="D748" t="str">
        <x:v>Villavicencio</x:v>
      </x:c>
      <x:c r="E748" t="str">
        <x:v>Meta</x:v>
      </x:c>
      <x:c r="F748" t="str">
        <x:v>Entre $1,5 M y $3 M</x:v>
      </x:c>
      <x:c r="G748" t="str">
        <x:v>Orgánico</x:v>
      </x:c>
      <x:c r="H748" t="n">
        <x:v>2787000</x:v>
      </x:c>
      <x:c r="I748" t="str">
        <x:v>Organización inicial</x:v>
      </x:c>
      <x:c r="J748" t="str">
        <x:v>Cero</x:v>
      </x:c>
    </x:row>
    <x:row r="749">
      <x:c r="A749" t="str">
        <x:v>USR-00748</x:v>
      </x:c>
      <x:c r="B749" t="n">
        <x:v>46125</x:v>
      </x:c>
      <x:c r="C749" t="n">
        <x:v>21</x:v>
      </x:c>
      <x:c r="D749" t="str">
        <x:v>Bogotá</x:v>
      </x:c>
      <x:c r="E749" t="str">
        <x:v>Bogotá D.C.</x:v>
      </x:c>
      <x:c r="F749" t="str">
        <x:v>Entre $1,5 M y $3 M</x:v>
      </x:c>
      <x:c r="G749" t="str">
        <x:v>Búsqueda paga</x:v>
      </x:c>
      <x:c r="H749" t="n">
        <x:v>2043000</x:v>
      </x:c>
      <x:c r="I749" t="str">
        <x:v>Organización inicial</x:v>
      </x:c>
      <x:c r="J749" t="str">
        <x:v>Cero</x:v>
      </x:c>
    </x:row>
    <x:row r="750">
      <x:c r="A750" t="str">
        <x:v>USR-00749</x:v>
      </x:c>
      <x:c r="B750" t="n">
        <x:v>46135</x:v>
      </x:c>
      <x:c r="C750" t="n">
        <x:v>58</x:v>
      </x:c>
      <x:c r="D750" t="str">
        <x:v>Pereira</x:v>
      </x:c>
      <x:c r="E750" t="str">
        <x:v>Risaralda</x:v>
      </x:c>
      <x:c r="F750" t="str">
        <x:v>Entre $1,5 M y $3 M</x:v>
      </x:c>
      <x:c r="G750" t="str">
        <x:v>Contenido educativo</x:v>
      </x:c>
      <x:c r="H750" t="n">
        <x:v>1589000</x:v>
      </x:c>
      <x:c r="I750" t="str">
        <x:v>Salir de deudas</x:v>
      </x:c>
      <x:c r="J750" t="str">
        <x:v>Inactivo</x:v>
      </x:c>
    </x:row>
    <x:row r="751">
      <x:c r="A751" t="str">
        <x:v>USR-00750</x:v>
      </x:c>
      <x:c r="B751" t="n">
        <x:v>46129</x:v>
      </x:c>
      <x:c r="C751" t="n">
        <x:v>21</x:v>
      </x:c>
      <x:c r="D751" t="str">
        <x:v>Pereira</x:v>
      </x:c>
      <x:c r="E751" t="str">
        <x:v>Risaralda</x:v>
      </x:c>
      <x:c r="F751" t="str">
        <x:v>Entre $1,5 M y $3 M</x:v>
      </x:c>
      <x:c r="G751" t="str">
        <x:v>Referidos</x:v>
      </x:c>
      <x:c r="H751" t="n">
        <x:v>2720000</x:v>
      </x:c>
      <x:c r="I751" t="str">
        <x:v>Salir de deudas</x:v>
      </x:c>
      <x:c r="J751" t="str">
        <x:v>Cero</x:v>
      </x:c>
    </x:row>
    <x:row r="752">
      <x:c r="A752" t="str">
        <x:v>USR-00751</x:v>
      </x:c>
      <x:c r="B752" t="n">
        <x:v>46139</x:v>
      </x:c>
      <x:c r="C752" t="n">
        <x:v>37</x:v>
      </x:c>
      <x:c r="D752" t="str">
        <x:v>Medellín</x:v>
      </x:c>
      <x:c r="E752" t="str">
        <x:v>Antioquia</x:v>
      </x:c>
      <x:c r="F752" t="str">
        <x:v>Entre $1,5 M y $3 M</x:v>
      </x:c>
      <x:c r="G752" t="str">
        <x:v>Contenido educativo</x:v>
      </x:c>
      <x:c r="H752" t="n">
        <x:v>2053000</x:v>
      </x:c>
      <x:c r="I752" t="str">
        <x:v>Reducir intereses</x:v>
      </x:c>
      <x:c r="J752" t="str">
        <x:v>Cero</x:v>
      </x:c>
    </x:row>
    <x:row r="753">
      <x:c r="A753" t="str">
        <x:v>USR-00752</x:v>
      </x:c>
      <x:c r="B753" t="n">
        <x:v>46131</x:v>
      </x:c>
      <x:c r="C753" t="n">
        <x:v>20</x:v>
      </x:c>
      <x:c r="D753" t="str">
        <x:v>Bucaramanga</x:v>
      </x:c>
      <x:c r="E753" t="str">
        <x:v>Santander</x:v>
      </x:c>
      <x:c r="F753" t="str">
        <x:v>Entre $1,5 M y $3 M</x:v>
      </x:c>
      <x:c r="G753" t="str">
        <x:v>Alianzas</x:v>
      </x:c>
      <x:c r="H753" t="n">
        <x:v>2583000</x:v>
      </x:c>
      <x:c r="I753" t="str">
        <x:v>Salir de deudas</x:v>
      </x:c>
      <x:c r="J753" t="str">
        <x:v>Cero</x:v>
      </x:c>
    </x:row>
    <x:row r="754">
      <x:c r="A754" t="str">
        <x:v>USR-00753</x:v>
      </x:c>
      <x:c r="B754" t="n">
        <x:v>46136</x:v>
      </x:c>
      <x:c r="C754" t="n">
        <x:v>62</x:v>
      </x:c>
      <x:c r="D754" t="str">
        <x:v>Bogotá</x:v>
      </x:c>
      <x:c r="E754" t="str">
        <x:v>Bogotá D.C.</x:v>
      </x:c>
      <x:c r="F754" t="str">
        <x:v>Entre $1,5 M y $3 M</x:v>
      </x:c>
      <x:c r="G754" t="str">
        <x:v>Redes sociales</x:v>
      </x:c>
      <x:c r="H754" t="n">
        <x:v>2714000</x:v>
      </x:c>
      <x:c r="I754" t="str">
        <x:v>Organización inicial</x:v>
      </x:c>
      <x:c r="J754" t="str">
        <x:v>Cero</x:v>
      </x:c>
    </x:row>
    <x:row r="755">
      <x:c r="A755" t="str">
        <x:v>USR-00754</x:v>
      </x:c>
      <x:c r="B755" t="n">
        <x:v>46129</x:v>
      </x:c>
      <x:c r="C755" t="n">
        <x:v>54</x:v>
      </x:c>
      <x:c r="D755" t="str">
        <x:v>Bogotá</x:v>
      </x:c>
      <x:c r="E755" t="str">
        <x:v>Bogotá D.C.</x:v>
      </x:c>
      <x:c r="F755" t="str">
        <x:v>Entre $1,5 M y $3 M</x:v>
      </x:c>
      <x:c r="G755" t="str">
        <x:v>Alianzas</x:v>
      </x:c>
      <x:c r="H755" t="n">
        <x:v>2477000</x:v>
      </x:c>
      <x:c r="I755" t="str">
        <x:v>Reducir intereses</x:v>
      </x:c>
      <x:c r="J755" t="str">
        <x:v>Plus mensual</x:v>
      </x:c>
    </x:row>
    <x:row r="756">
      <x:c r="A756" t="str">
        <x:v>USR-00755</x:v>
      </x:c>
      <x:c r="B756" t="n">
        <x:v>46123</x:v>
      </x:c>
      <x:c r="C756" t="n">
        <x:v>38</x:v>
      </x:c>
      <x:c r="D756" t="str">
        <x:v>Medellín</x:v>
      </x:c>
      <x:c r="E756" t="str">
        <x:v>Antioquia</x:v>
      </x:c>
      <x:c r="F756" t="str">
        <x:v>Entre $3 M y $5 M</x:v>
      </x:c>
      <x:c r="G756" t="str">
        <x:v>Orgánico</x:v>
      </x:c>
      <x:c r="H756" t="n">
        <x:v>4433000</x:v>
      </x:c>
      <x:c r="I756" t="str">
        <x:v>Salir de deudas</x:v>
      </x:c>
      <x:c r="J756" t="str">
        <x:v>Plus mensual</x:v>
      </x:c>
    </x:row>
    <x:row r="757">
      <x:c r="A757" t="str">
        <x:v>USR-00756</x:v>
      </x:c>
      <x:c r="B757" t="n">
        <x:v>46128</x:v>
      </x:c>
      <x:c r="C757" t="n">
        <x:v>47</x:v>
      </x:c>
      <x:c r="D757" t="str">
        <x:v>Bogotá</x:v>
      </x:c>
      <x:c r="E757" t="str">
        <x:v>Bogotá D.C.</x:v>
      </x:c>
      <x:c r="F757" t="str">
        <x:v>Menos de $1,5 M</x:v>
      </x:c>
      <x:c r="G757" t="str">
        <x:v>Redes sociales</x:v>
      </x:c>
      <x:c r="H757" t="n">
        <x:v>1259000</x:v>
      </x:c>
      <x:c r="I757" t="str">
        <x:v>Control de pagos</x:v>
      </x:c>
      <x:c r="J757" t="str">
        <x:v>Cero</x:v>
      </x:c>
    </x:row>
    <x:row r="758">
      <x:c r="A758" t="str">
        <x:v>USR-00757</x:v>
      </x:c>
      <x:c r="B758" t="n">
        <x:v>46118</x:v>
      </x:c>
      <x:c r="C758" t="n">
        <x:v>58</x:v>
      </x:c>
      <x:c r="D758" t="str">
        <x:v>Bogotá</x:v>
      </x:c>
      <x:c r="E758" t="str">
        <x:v>Bogotá D.C.</x:v>
      </x:c>
      <x:c r="F758" t="str">
        <x:v>Entre $1,5 M y $3 M</x:v>
      </x:c>
      <x:c r="G758" t="str">
        <x:v>Redes sociales</x:v>
      </x:c>
      <x:c r="H758" t="n">
        <x:v>1714000</x:v>
      </x:c>
      <x:c r="I758" t="str">
        <x:v>Control de pagos</x:v>
      </x:c>
      <x:c r="J758" t="str">
        <x:v>Plus mensual</x:v>
      </x:c>
    </x:row>
    <x:row r="759">
      <x:c r="A759" t="str">
        <x:v>USR-00758</x:v>
      </x:c>
      <x:c r="B759" t="n">
        <x:v>46126</x:v>
      </x:c>
      <x:c r="C759" t="n">
        <x:v>25</x:v>
      </x:c>
      <x:c r="D759" t="str">
        <x:v>Pereira</x:v>
      </x:c>
      <x:c r="E759" t="str">
        <x:v>Risaralda</x:v>
      </x:c>
      <x:c r="F759" t="str">
        <x:v>Entre $3 M y $5 M</x:v>
      </x:c>
      <x:c r="G759" t="str">
        <x:v>Redes sociales</x:v>
      </x:c>
      <x:c r="H759" t="n">
        <x:v>4998000</x:v>
      </x:c>
      <x:c r="I759" t="str">
        <x:v>Organización inicial</x:v>
      </x:c>
      <x:c r="J759" t="str">
        <x:v>Cero</x:v>
      </x:c>
    </x:row>
    <x:row r="760">
      <x:c r="A760" t="str">
        <x:v>USR-00759</x:v>
      </x:c>
      <x:c r="B760" t="n">
        <x:v>46138</x:v>
      </x:c>
      <x:c r="C760" t="n">
        <x:v>42</x:v>
      </x:c>
      <x:c r="D760" t="str">
        <x:v>Cartagena</x:v>
      </x:c>
      <x:c r="E760" t="str">
        <x:v>Bolívar</x:v>
      </x:c>
      <x:c r="F760" t="str">
        <x:v>Menos de $1,5 M</x:v>
      </x:c>
      <x:c r="G760" t="str">
        <x:v>Redes sociales</x:v>
      </x:c>
      <x:c r="H760" t="n">
        <x:v>1231000</x:v>
      </x:c>
      <x:c r="I760" t="str">
        <x:v>Organización inicial</x:v>
      </x:c>
      <x:c r="J760" t="str">
        <x:v>Cero</x:v>
      </x:c>
    </x:row>
    <x:row r="761">
      <x:c r="A761" t="str">
        <x:v>USR-00760</x:v>
      </x:c>
      <x:c r="B761" t="n">
        <x:v>46126</x:v>
      </x:c>
      <x:c r="C761" t="n">
        <x:v>55</x:v>
      </x:c>
      <x:c r="D761" t="str">
        <x:v>Bogotá</x:v>
      </x:c>
      <x:c r="E761" t="str">
        <x:v>Bogotá D.C.</x:v>
      </x:c>
      <x:c r="F761" t="str">
        <x:v>Entre $3 M y $5 M</x:v>
      </x:c>
      <x:c r="G761" t="str">
        <x:v>Alianzas</x:v>
      </x:c>
      <x:c r="H761" t="n">
        <x:v>3458000</x:v>
      </x:c>
      <x:c r="I761" t="str">
        <x:v>Control de pagos</x:v>
      </x:c>
      <x:c r="J761" t="str">
        <x:v>Plus anual</x:v>
      </x:c>
    </x:row>
    <x:row r="762">
      <x:c r="A762" t="str">
        <x:v>USR-00761</x:v>
      </x:c>
      <x:c r="B762" t="n">
        <x:v>46113</x:v>
      </x:c>
      <x:c r="C762" t="n">
        <x:v>46</x:v>
      </x:c>
      <x:c r="D762" t="str">
        <x:v>Bucaramanga</x:v>
      </x:c>
      <x:c r="E762" t="str">
        <x:v>Santander</x:v>
      </x:c>
      <x:c r="F762" t="str">
        <x:v>Entre $1,5 M y $3 M</x:v>
      </x:c>
      <x:c r="G762" t="str">
        <x:v>Orgánico</x:v>
      </x:c>
      <x:c r="H762" t="n">
        <x:v>2069000</x:v>
      </x:c>
      <x:c r="I762" t="str">
        <x:v>Salir de deudas</x:v>
      </x:c>
      <x:c r="J762" t="str">
        <x:v>Cero</x:v>
      </x:c>
    </x:row>
    <x:row r="763">
      <x:c r="A763" t="str">
        <x:v>USR-00762</x:v>
      </x:c>
      <x:c r="B763" t="n">
        <x:v>46119</x:v>
      </x:c>
      <x:c r="C763" t="n">
        <x:v>35</x:v>
      </x:c>
      <x:c r="D763" t="str">
        <x:v>Medellín</x:v>
      </x:c>
      <x:c r="E763" t="str">
        <x:v>Antioquia</x:v>
      </x:c>
      <x:c r="F763" t="str">
        <x:v>Entre $1,5 M y $3 M</x:v>
      </x:c>
      <x:c r="G763" t="str">
        <x:v>Orgánico</x:v>
      </x:c>
      <x:c r="H763" t="n">
        <x:v>2847000</x:v>
      </x:c>
      <x:c r="I763" t="str">
        <x:v>Reducir intereses</x:v>
      </x:c>
      <x:c r="J763" t="str">
        <x:v>Cero</x:v>
      </x:c>
    </x:row>
    <x:row r="764">
      <x:c r="A764" t="str">
        <x:v>USR-00763</x:v>
      </x:c>
      <x:c r="B764" t="n">
        <x:v>46117</x:v>
      </x:c>
      <x:c r="C764" t="n">
        <x:v>57</x:v>
      </x:c>
      <x:c r="D764" t="str">
        <x:v>Bogotá</x:v>
      </x:c>
      <x:c r="E764" t="str">
        <x:v>Bogotá D.C.</x:v>
      </x:c>
      <x:c r="F764" t="str">
        <x:v>Menos de $1,5 M</x:v>
      </x:c>
      <x:c r="G764" t="str">
        <x:v>Referidos</x:v>
      </x:c>
      <x:c r="H764" t="n">
        <x:v>1034000</x:v>
      </x:c>
      <x:c r="I764" t="str">
        <x:v>Salir de deudas</x:v>
      </x:c>
      <x:c r="J764" t="str">
        <x:v>Cero</x:v>
      </x:c>
    </x:row>
    <x:row r="765">
      <x:c r="A765" t="str">
        <x:v>USR-00764</x:v>
      </x:c>
      <x:c r="B765" t="n">
        <x:v>46113</x:v>
      </x:c>
      <x:c r="C765" t="n">
        <x:v>55</x:v>
      </x:c>
      <x:c r="D765" t="str">
        <x:v>Medellín</x:v>
      </x:c>
      <x:c r="E765" t="str">
        <x:v>Antioquia</x:v>
      </x:c>
      <x:c r="F765" t="str">
        <x:v>Entre $3 M y $5 M</x:v>
      </x:c>
      <x:c r="G765" t="str">
        <x:v>Referidos</x:v>
      </x:c>
      <x:c r="H765" t="n">
        <x:v>4160000</x:v>
      </x:c>
      <x:c r="I765" t="str">
        <x:v>Control de pagos</x:v>
      </x:c>
      <x:c r="J765" t="str">
        <x:v>Cero</x:v>
      </x:c>
    </x:row>
    <x:row r="766">
      <x:c r="A766" t="str">
        <x:v>USR-00765</x:v>
      </x:c>
      <x:c r="B766" t="n">
        <x:v>46122</x:v>
      </x:c>
      <x:c r="C766" t="n">
        <x:v>55</x:v>
      </x:c>
      <x:c r="D766" t="str">
        <x:v>Manizales</x:v>
      </x:c>
      <x:c r="E766" t="str">
        <x:v>Caldas</x:v>
      </x:c>
      <x:c r="F766" t="str">
        <x:v>Entre $1,5 M y $3 M</x:v>
      </x:c>
      <x:c r="G766" t="str">
        <x:v>Contenido educativo</x:v>
      </x:c>
      <x:c r="H766" t="n">
        <x:v>1654000</x:v>
      </x:c>
      <x:c r="I766" t="str">
        <x:v>Salir de deudas</x:v>
      </x:c>
      <x:c r="J766" t="str">
        <x:v>Cero</x:v>
      </x:c>
    </x:row>
    <x:row r="767">
      <x:c r="A767" t="str">
        <x:v>USR-00766</x:v>
      </x:c>
      <x:c r="B767" t="n">
        <x:v>46132</x:v>
      </x:c>
      <x:c r="C767" t="n">
        <x:v>25</x:v>
      </x:c>
      <x:c r="D767" t="str">
        <x:v>Bogotá</x:v>
      </x:c>
      <x:c r="E767" t="str">
        <x:v>Bogotá D.C.</x:v>
      </x:c>
      <x:c r="F767" t="str">
        <x:v>Menos de $1,5 M</x:v>
      </x:c>
      <x:c r="G767" t="str">
        <x:v>Referidos</x:v>
      </x:c>
      <x:c r="H767" t="n">
        <x:v>961000</x:v>
      </x:c>
      <x:c r="I767" t="str">
        <x:v>Reducir intereses</x:v>
      </x:c>
      <x:c r="J767" t="str">
        <x:v>Cero</x:v>
      </x:c>
    </x:row>
    <x:row r="768">
      <x:c r="A768" t="str">
        <x:v>USR-00767</x:v>
      </x:c>
      <x:c r="B768" t="n">
        <x:v>46116</x:v>
      </x:c>
      <x:c r="C768" t="n">
        <x:v>48</x:v>
      </x:c>
      <x:c r="D768" t="str">
        <x:v>Bogotá</x:v>
      </x:c>
      <x:c r="E768" t="str">
        <x:v>Bogotá D.C.</x:v>
      </x:c>
      <x:c r="F768" t="str">
        <x:v>Entre $1,5 M y $3 M</x:v>
      </x:c>
      <x:c r="G768" t="str">
        <x:v>Redes sociales</x:v>
      </x:c>
      <x:c r="H768" t="n">
        <x:v>2011000</x:v>
      </x:c>
      <x:c r="I768" t="str">
        <x:v>Control de pagos</x:v>
      </x:c>
      <x:c r="J768" t="str">
        <x:v>Plus mensual</x:v>
      </x:c>
    </x:row>
    <x:row r="769">
      <x:c r="A769" t="str">
        <x:v>USR-00768</x:v>
      </x:c>
      <x:c r="B769" t="n">
        <x:v>46139</x:v>
      </x:c>
      <x:c r="C769" t="n">
        <x:v>29</x:v>
      </x:c>
      <x:c r="D769" t="str">
        <x:v>Pereira</x:v>
      </x:c>
      <x:c r="E769" t="str">
        <x:v>Risaralda</x:v>
      </x:c>
      <x:c r="F769" t="str">
        <x:v>Entre $1,5 M y $3 M</x:v>
      </x:c>
      <x:c r="G769" t="str">
        <x:v>Búsqueda paga</x:v>
      </x:c>
      <x:c r="H769" t="n">
        <x:v>1753000</x:v>
      </x:c>
      <x:c r="I769" t="str">
        <x:v>Salir de deudas</x:v>
      </x:c>
      <x:c r="J769" t="str">
        <x:v>Plus mensual</x:v>
      </x:c>
    </x:row>
    <x:row r="770">
      <x:c r="A770" t="str">
        <x:v>USR-00769</x:v>
      </x:c>
      <x:c r="B770" t="n">
        <x:v>46126</x:v>
      </x:c>
      <x:c r="C770" t="n">
        <x:v>33</x:v>
      </x:c>
      <x:c r="D770" t="str">
        <x:v>Bogotá</x:v>
      </x:c>
      <x:c r="E770" t="str">
        <x:v>Bogotá D.C.</x:v>
      </x:c>
      <x:c r="F770" t="str">
        <x:v>Entre $3 M y $5 M</x:v>
      </x:c>
      <x:c r="G770" t="str">
        <x:v>Referidos</x:v>
      </x:c>
      <x:c r="H770" t="n">
        <x:v>3050000</x:v>
      </x:c>
      <x:c r="I770" t="str">
        <x:v>Salir de deudas</x:v>
      </x:c>
      <x:c r="J770" t="str">
        <x:v>Plus anual</x:v>
      </x:c>
    </x:row>
    <x:row r="771">
      <x:c r="A771" t="str">
        <x:v>USR-00770</x:v>
      </x:c>
      <x:c r="B771" t="n">
        <x:v>46121</x:v>
      </x:c>
      <x:c r="C771" t="n">
        <x:v>62</x:v>
      </x:c>
      <x:c r="D771" t="str">
        <x:v>Villavicencio</x:v>
      </x:c>
      <x:c r="E771" t="str">
        <x:v>Meta</x:v>
      </x:c>
      <x:c r="F771" t="str">
        <x:v>Entre $3 M y $5 M</x:v>
      </x:c>
      <x:c r="G771" t="str">
        <x:v>Búsqueda paga</x:v>
      </x:c>
      <x:c r="H771" t="n">
        <x:v>4607000</x:v>
      </x:c>
      <x:c r="I771" t="str">
        <x:v>Organización inicial</x:v>
      </x:c>
      <x:c r="J771" t="str">
        <x:v>Cero</x:v>
      </x:c>
    </x:row>
    <x:row r="772">
      <x:c r="A772" t="str">
        <x:v>USR-00771</x:v>
      </x:c>
      <x:c r="B772" t="n">
        <x:v>46114</x:v>
      </x:c>
      <x:c r="C772" t="n">
        <x:v>22</x:v>
      </x:c>
      <x:c r="D772" t="str">
        <x:v>Manizales</x:v>
      </x:c>
      <x:c r="E772" t="str">
        <x:v>Caldas</x:v>
      </x:c>
      <x:c r="F772" t="str">
        <x:v>Más de $5 M</x:v>
      </x:c>
      <x:c r="G772" t="str">
        <x:v>Orgánico</x:v>
      </x:c>
      <x:c r="H772" t="n">
        <x:v>5931000</x:v>
      </x:c>
      <x:c r="I772" t="str">
        <x:v>Control de pagos</x:v>
      </x:c>
      <x:c r="J772" t="str">
        <x:v>Cero</x:v>
      </x:c>
    </x:row>
    <x:row r="773">
      <x:c r="A773" t="str">
        <x:v>USR-00772</x:v>
      </x:c>
      <x:c r="B773" t="n">
        <x:v>46118</x:v>
      </x:c>
      <x:c r="C773" t="n">
        <x:v>58</x:v>
      </x:c>
      <x:c r="D773" t="str">
        <x:v>Bogotá</x:v>
      </x:c>
      <x:c r="E773" t="str">
        <x:v>Bogotá D.C.</x:v>
      </x:c>
      <x:c r="F773" t="str">
        <x:v>Entre $1,5 M y $3 M</x:v>
      </x:c>
      <x:c r="G773" t="str">
        <x:v>Alianzas</x:v>
      </x:c>
      <x:c r="H773" t="n">
        <x:v>1756000</x:v>
      </x:c>
      <x:c r="I773" t="str">
        <x:v>Reducir intereses</x:v>
      </x:c>
      <x:c r="J773" t="str">
        <x:v>Cero</x:v>
      </x:c>
    </x:row>
    <x:row r="774">
      <x:c r="A774" t="str">
        <x:v>USR-00773</x:v>
      </x:c>
      <x:c r="B774" t="n">
        <x:v>46133</x:v>
      </x:c>
      <x:c r="C774" t="n">
        <x:v>54</x:v>
      </x:c>
      <x:c r="D774" t="str">
        <x:v>Bogotá</x:v>
      </x:c>
      <x:c r="E774" t="str">
        <x:v>Bogotá D.C.</x:v>
      </x:c>
      <x:c r="F774" t="str">
        <x:v>Entre $3 M y $5 M</x:v>
      </x:c>
      <x:c r="G774" t="str">
        <x:v>Redes sociales</x:v>
      </x:c>
      <x:c r="H774" t="n">
        <x:v>4021000</x:v>
      </x:c>
      <x:c r="I774" t="str">
        <x:v>Control de pagos</x:v>
      </x:c>
      <x:c r="J774" t="str">
        <x:v>Plus anual</x:v>
      </x:c>
    </x:row>
    <x:row r="775">
      <x:c r="A775" t="str">
        <x:v>USR-00774</x:v>
      </x:c>
      <x:c r="B775" t="n">
        <x:v>46128</x:v>
      </x:c>
      <x:c r="C775" t="n">
        <x:v>53</x:v>
      </x:c>
      <x:c r="D775" t="str">
        <x:v>Medellín</x:v>
      </x:c>
      <x:c r="E775" t="str">
        <x:v>Antioquia</x:v>
      </x:c>
      <x:c r="F775" t="str">
        <x:v>Entre $1,5 M y $3 M</x:v>
      </x:c>
      <x:c r="G775" t="str">
        <x:v>Redes sociales</x:v>
      </x:c>
      <x:c r="H775" t="n">
        <x:v>2785000</x:v>
      </x:c>
      <x:c r="I775" t="str">
        <x:v>Organización inicial</x:v>
      </x:c>
      <x:c r="J775" t="str">
        <x:v>Cero</x:v>
      </x:c>
    </x:row>
    <x:row r="776">
      <x:c r="A776" t="str">
        <x:v>USR-00775</x:v>
      </x:c>
      <x:c r="B776" t="n">
        <x:v>46125</x:v>
      </x:c>
      <x:c r="C776" t="n">
        <x:v>48</x:v>
      </x:c>
      <x:c r="D776" t="str">
        <x:v>Medellín</x:v>
      </x:c>
      <x:c r="E776" t="str">
        <x:v>Antioquia</x:v>
      </x:c>
      <x:c r="F776" t="str">
        <x:v>Entre $1,5 M y $3 M</x:v>
      </x:c>
      <x:c r="G776" t="str">
        <x:v>Referidos</x:v>
      </x:c>
      <x:c r="H776" t="n">
        <x:v>2786000</x:v>
      </x:c>
      <x:c r="I776" t="str">
        <x:v>Control de pagos</x:v>
      </x:c>
      <x:c r="J776" t="str">
        <x:v>Plus mensual</x:v>
      </x:c>
    </x:row>
    <x:row r="777">
      <x:c r="A777" t="str">
        <x:v>USR-00776</x:v>
      </x:c>
      <x:c r="B777" t="n">
        <x:v>46122</x:v>
      </x:c>
      <x:c r="C777" t="n">
        <x:v>60</x:v>
      </x:c>
      <x:c r="D777" t="str">
        <x:v>Barranquilla</x:v>
      </x:c>
      <x:c r="E777" t="str">
        <x:v>Atlántico</x:v>
      </x:c>
      <x:c r="F777" t="str">
        <x:v>Menos de $1,5 M</x:v>
      </x:c>
      <x:c r="G777" t="str">
        <x:v>Referidos</x:v>
      </x:c>
      <x:c r="H777" t="n">
        <x:v>1290000</x:v>
      </x:c>
      <x:c r="I777" t="str">
        <x:v>Control de pagos</x:v>
      </x:c>
      <x:c r="J777" t="str">
        <x:v>Plus mensual</x:v>
      </x:c>
    </x:row>
    <x:row r="778">
      <x:c r="A778" t="str">
        <x:v>USR-00777</x:v>
      </x:c>
      <x:c r="B778" t="n">
        <x:v>46121</x:v>
      </x:c>
      <x:c r="C778" t="n">
        <x:v>25</x:v>
      </x:c>
      <x:c r="D778" t="str">
        <x:v>Bogotá</x:v>
      </x:c>
      <x:c r="E778" t="str">
        <x:v>Bogotá D.C.</x:v>
      </x:c>
      <x:c r="F778" t="str">
        <x:v>Entre $1,5 M y $3 M</x:v>
      </x:c>
      <x:c r="G778" t="str">
        <x:v>Búsqueda paga</x:v>
      </x:c>
      <x:c r="H778" t="n">
        <x:v>2385000</x:v>
      </x:c>
      <x:c r="I778" t="str">
        <x:v>Reducir intereses</x:v>
      </x:c>
      <x:c r="J778" t="str">
        <x:v>Plus mensual</x:v>
      </x:c>
    </x:row>
    <x:row r="779">
      <x:c r="A779" t="str">
        <x:v>USR-00778</x:v>
      </x:c>
      <x:c r="B779" t="n">
        <x:v>46138</x:v>
      </x:c>
      <x:c r="C779" t="n">
        <x:v>26</x:v>
      </x:c>
      <x:c r="D779" t="str">
        <x:v>Bogotá</x:v>
      </x:c>
      <x:c r="E779" t="str">
        <x:v>Bogotá D.C.</x:v>
      </x:c>
      <x:c r="F779" t="str">
        <x:v>Entre $1,5 M y $3 M</x:v>
      </x:c>
      <x:c r="G779" t="str">
        <x:v>Redes sociales</x:v>
      </x:c>
      <x:c r="H779" t="n">
        <x:v>2303000</x:v>
      </x:c>
      <x:c r="I779" t="str">
        <x:v>Organización inicial</x:v>
      </x:c>
      <x:c r="J779" t="str">
        <x:v>Plus anual</x:v>
      </x:c>
    </x:row>
    <x:row r="780">
      <x:c r="A780" t="str">
        <x:v>USR-00779</x:v>
      </x:c>
      <x:c r="B780" t="n">
        <x:v>46132</x:v>
      </x:c>
      <x:c r="C780" t="n">
        <x:v>45</x:v>
      </x:c>
      <x:c r="D780" t="str">
        <x:v>Bogotá</x:v>
      </x:c>
      <x:c r="E780" t="str">
        <x:v>Bogotá D.C.</x:v>
      </x:c>
      <x:c r="F780" t="str">
        <x:v>Entre $1,5 M y $3 M</x:v>
      </x:c>
      <x:c r="G780" t="str">
        <x:v>Orgánico</x:v>
      </x:c>
      <x:c r="H780" t="n">
        <x:v>2032000</x:v>
      </x:c>
      <x:c r="I780" t="str">
        <x:v>Organización inicial</x:v>
      </x:c>
      <x:c r="J780" t="str">
        <x:v>Cero</x:v>
      </x:c>
    </x:row>
    <x:row r="781">
      <x:c r="A781" t="str">
        <x:v>USR-00780</x:v>
      </x:c>
      <x:c r="B781" t="n">
        <x:v>46114</x:v>
      </x:c>
      <x:c r="C781" t="n">
        <x:v>38</x:v>
      </x:c>
      <x:c r="D781" t="str">
        <x:v>Cali</x:v>
      </x:c>
      <x:c r="E781" t="str">
        <x:v>Valle del Cauca</x:v>
      </x:c>
      <x:c r="F781" t="str">
        <x:v>Entre $1,5 M y $3 M</x:v>
      </x:c>
      <x:c r="G781" t="str">
        <x:v>Redes sociales</x:v>
      </x:c>
      <x:c r="H781" t="n">
        <x:v>2552000</x:v>
      </x:c>
      <x:c r="I781" t="str">
        <x:v>Reducir intereses</x:v>
      </x:c>
      <x:c r="J781" t="str">
        <x:v>Cero</x:v>
      </x:c>
    </x:row>
    <x:row r="782">
      <x:c r="A782" t="str">
        <x:v>USR-00781</x:v>
      </x:c>
      <x:c r="B782" t="n">
        <x:v>46124</x:v>
      </x:c>
      <x:c r="C782" t="n">
        <x:v>39</x:v>
      </x:c>
      <x:c r="D782" t="str">
        <x:v>Pereira</x:v>
      </x:c>
      <x:c r="E782" t="str">
        <x:v>Risaralda</x:v>
      </x:c>
      <x:c r="F782" t="str">
        <x:v>Entre $3 M y $5 M</x:v>
      </x:c>
      <x:c r="G782" t="str">
        <x:v>Redes sociales</x:v>
      </x:c>
      <x:c r="H782" t="n">
        <x:v>4035000</x:v>
      </x:c>
      <x:c r="I782" t="str">
        <x:v>Control de pagos</x:v>
      </x:c>
      <x:c r="J782" t="str">
        <x:v>Cero</x:v>
      </x:c>
    </x:row>
    <x:row r="783">
      <x:c r="A783" t="str">
        <x:v>USR-00782</x:v>
      </x:c>
      <x:c r="B783" t="n">
        <x:v>46136</x:v>
      </x:c>
      <x:c r="C783" t="n">
        <x:v>31</x:v>
      </x:c>
      <x:c r="D783" t="str">
        <x:v>Bogotá</x:v>
      </x:c>
      <x:c r="E783" t="str">
        <x:v>Bogotá D.C.</x:v>
      </x:c>
      <x:c r="F783" t="str">
        <x:v>Entre $3 M y $5 M</x:v>
      </x:c>
      <x:c r="G783" t="str">
        <x:v>Redes sociales</x:v>
      </x:c>
      <x:c r="H783" t="n">
        <x:v>4898000</x:v>
      </x:c>
      <x:c r="I783" t="str">
        <x:v>Control de pagos</x:v>
      </x:c>
      <x:c r="J783" t="str">
        <x:v>Cero</x:v>
      </x:c>
    </x:row>
    <x:row r="784">
      <x:c r="A784" t="str">
        <x:v>USR-00783</x:v>
      </x:c>
      <x:c r="B784" t="n">
        <x:v>46139</x:v>
      </x:c>
      <x:c r="C784" t="n">
        <x:v>52</x:v>
      </x:c>
      <x:c r="D784" t="str">
        <x:v>Bogotá</x:v>
      </x:c>
      <x:c r="E784" t="str">
        <x:v>Bogotá D.C.</x:v>
      </x:c>
      <x:c r="F784" t="str">
        <x:v>Entre $3 M y $5 M</x:v>
      </x:c>
      <x:c r="G784" t="str">
        <x:v>Búsqueda paga</x:v>
      </x:c>
      <x:c r="H784" t="n">
        <x:v>4047000</x:v>
      </x:c>
      <x:c r="I784" t="str">
        <x:v>Organización inicial</x:v>
      </x:c>
      <x:c r="J784" t="str">
        <x:v>Plus mensual</x:v>
      </x:c>
    </x:row>
    <x:row r="785">
      <x:c r="A785" t="str">
        <x:v>USR-00784</x:v>
      </x:c>
      <x:c r="B785" t="n">
        <x:v>46136</x:v>
      </x:c>
      <x:c r="C785" t="n">
        <x:v>59</x:v>
      </x:c>
      <x:c r="D785" t="str">
        <x:v>Bogotá</x:v>
      </x:c>
      <x:c r="E785" t="str">
        <x:v>Bogotá D.C.</x:v>
      </x:c>
      <x:c r="F785" t="str">
        <x:v>Entre $1,5 M y $3 M</x:v>
      </x:c>
      <x:c r="G785" t="str">
        <x:v>Búsqueda paga</x:v>
      </x:c>
      <x:c r="H785" t="n">
        <x:v>2017000</x:v>
      </x:c>
      <x:c r="I785" t="str">
        <x:v>Reducir intereses</x:v>
      </x:c>
      <x:c r="J785" t="str">
        <x:v>Cero</x:v>
      </x:c>
    </x:row>
    <x:row r="786">
      <x:c r="A786" t="str">
        <x:v>USR-00785</x:v>
      </x:c>
      <x:c r="B786" t="n">
        <x:v>46129</x:v>
      </x:c>
      <x:c r="C786" t="n">
        <x:v>21</x:v>
      </x:c>
      <x:c r="D786" t="str">
        <x:v>Cartagena</x:v>
      </x:c>
      <x:c r="E786" t="str">
        <x:v>Bolívar</x:v>
      </x:c>
      <x:c r="F786" t="str">
        <x:v>Menos de $1,5 M</x:v>
      </x:c>
      <x:c r="G786" t="str">
        <x:v>Orgánico</x:v>
      </x:c>
      <x:c r="H786" t="n">
        <x:v>937000</x:v>
      </x:c>
      <x:c r="I786" t="str">
        <x:v>Control de pagos</x:v>
      </x:c>
      <x:c r="J786" t="str">
        <x:v>Plus anual</x:v>
      </x:c>
    </x:row>
    <x:row r="787">
      <x:c r="A787" t="str">
        <x:v>USR-00786</x:v>
      </x:c>
      <x:c r="B787" t="n">
        <x:v>46160</x:v>
      </x:c>
      <x:c r="C787" t="n">
        <x:v>51</x:v>
      </x:c>
      <x:c r="D787" t="str">
        <x:v>Bogotá</x:v>
      </x:c>
      <x:c r="E787" t="str">
        <x:v>Bogotá D.C.</x:v>
      </x:c>
      <x:c r="F787" t="str">
        <x:v>Entre $1,5 M y $3 M</x:v>
      </x:c>
      <x:c r="G787" t="str">
        <x:v>Redes sociales</x:v>
      </x:c>
      <x:c r="H787" t="n">
        <x:v>2942000</x:v>
      </x:c>
      <x:c r="I787" t="str">
        <x:v>Organización inicial</x:v>
      </x:c>
      <x:c r="J787" t="str">
        <x:v>Plus anual</x:v>
      </x:c>
    </x:row>
    <x:row r="788">
      <x:c r="A788" t="str">
        <x:v>USR-00787</x:v>
      </x:c>
      <x:c r="B788" t="n">
        <x:v>46154</x:v>
      </x:c>
      <x:c r="C788" t="n">
        <x:v>63</x:v>
      </x:c>
      <x:c r="D788" t="str">
        <x:v>Bucaramanga</x:v>
      </x:c>
      <x:c r="E788" t="str">
        <x:v>Santander</x:v>
      </x:c>
      <x:c r="F788" t="str">
        <x:v>Entre $3 M y $5 M</x:v>
      </x:c>
      <x:c r="G788" t="str">
        <x:v>Orgánico</x:v>
      </x:c>
      <x:c r="H788" t="n">
        <x:v>3367000</x:v>
      </x:c>
      <x:c r="I788" t="str">
        <x:v>Salir de deudas</x:v>
      </x:c>
      <x:c r="J788" t="str">
        <x:v>Plus mensual</x:v>
      </x:c>
    </x:row>
    <x:row r="789">
      <x:c r="A789" t="str">
        <x:v>USR-00788</x:v>
      </x:c>
      <x:c r="B789" t="n">
        <x:v>46165</x:v>
      </x:c>
      <x:c r="C789" t="n">
        <x:v>53</x:v>
      </x:c>
      <x:c r="D789" t="str">
        <x:v>Bogotá</x:v>
      </x:c>
      <x:c r="E789" t="str">
        <x:v>Bogotá D.C.</x:v>
      </x:c>
      <x:c r="F789" t="str">
        <x:v>Entre $1,5 M y $3 M</x:v>
      </x:c>
      <x:c r="G789" t="str">
        <x:v>Búsqueda paga</x:v>
      </x:c>
      <x:c r="H789" t="n">
        <x:v>1882000</x:v>
      </x:c>
      <x:c r="I789" t="str">
        <x:v>Organización inicial</x:v>
      </x:c>
      <x:c r="J789" t="str">
        <x:v>Cero</x:v>
      </x:c>
    </x:row>
    <x:row r="790">
      <x:c r="A790" t="str">
        <x:v>USR-00789</x:v>
      </x:c>
      <x:c r="B790" t="n">
        <x:v>46150</x:v>
      </x:c>
      <x:c r="C790" t="n">
        <x:v>59</x:v>
      </x:c>
      <x:c r="D790" t="str">
        <x:v>Bogotá</x:v>
      </x:c>
      <x:c r="E790" t="str">
        <x:v>Bogotá D.C.</x:v>
      </x:c>
      <x:c r="F790" t="str">
        <x:v>Entre $1,5 M y $3 M</x:v>
      </x:c>
      <x:c r="G790" t="str">
        <x:v>Orgánico</x:v>
      </x:c>
      <x:c r="H790" t="n">
        <x:v>2731000</x:v>
      </x:c>
      <x:c r="I790" t="str">
        <x:v>Salir de deudas</x:v>
      </x:c>
      <x:c r="J790" t="str">
        <x:v>Cero</x:v>
      </x:c>
    </x:row>
    <x:row r="791">
      <x:c r="A791" t="str">
        <x:v>USR-00790</x:v>
      </x:c>
      <x:c r="B791" t="n">
        <x:v>46162</x:v>
      </x:c>
      <x:c r="C791" t="n">
        <x:v>60</x:v>
      </x:c>
      <x:c r="D791" t="str">
        <x:v>Bucaramanga</x:v>
      </x:c>
      <x:c r="E791" t="str">
        <x:v>Santander</x:v>
      </x:c>
      <x:c r="F791" t="str">
        <x:v>Entre $3 M y $5 M</x:v>
      </x:c>
      <x:c r="G791" t="str">
        <x:v>Referidos</x:v>
      </x:c>
      <x:c r="H791" t="n">
        <x:v>4868000</x:v>
      </x:c>
      <x:c r="I791" t="str">
        <x:v>Salir de deudas</x:v>
      </x:c>
      <x:c r="J791" t="str">
        <x:v>Plus mensual</x:v>
      </x:c>
    </x:row>
    <x:row r="792">
      <x:c r="A792" t="str">
        <x:v>USR-00791</x:v>
      </x:c>
      <x:c r="B792" t="n">
        <x:v>46169</x:v>
      </x:c>
      <x:c r="C792" t="n">
        <x:v>36</x:v>
      </x:c>
      <x:c r="D792" t="str">
        <x:v>Villavicencio</x:v>
      </x:c>
      <x:c r="E792" t="str">
        <x:v>Meta</x:v>
      </x:c>
      <x:c r="F792" t="str">
        <x:v>Entre $1,5 M y $3 M</x:v>
      </x:c>
      <x:c r="G792" t="str">
        <x:v>Referidos</x:v>
      </x:c>
      <x:c r="H792" t="n">
        <x:v>2326000</x:v>
      </x:c>
      <x:c r="I792" t="str">
        <x:v>Salir de deudas</x:v>
      </x:c>
      <x:c r="J792" t="str">
        <x:v>Cero</x:v>
      </x:c>
    </x:row>
    <x:row r="793">
      <x:c r="A793" t="str">
        <x:v>USR-00792</x:v>
      </x:c>
      <x:c r="B793" t="n">
        <x:v>46151</x:v>
      </x:c>
      <x:c r="C793" t="n">
        <x:v>44</x:v>
      </x:c>
      <x:c r="D793" t="str">
        <x:v>Bogotá</x:v>
      </x:c>
      <x:c r="E793" t="str">
        <x:v>Bogotá D.C.</x:v>
      </x:c>
      <x:c r="F793" t="str">
        <x:v>Entre $1,5 M y $3 M</x:v>
      </x:c>
      <x:c r="G793" t="str">
        <x:v>Búsqueda paga</x:v>
      </x:c>
      <x:c r="H793" t="n">
        <x:v>1662000</x:v>
      </x:c>
      <x:c r="I793" t="str">
        <x:v>Organización inicial</x:v>
      </x:c>
      <x:c r="J793" t="str">
        <x:v>Cero</x:v>
      </x:c>
    </x:row>
    <x:row r="794">
      <x:c r="A794" t="str">
        <x:v>USR-00793</x:v>
      </x:c>
      <x:c r="B794" t="n">
        <x:v>46149</x:v>
      </x:c>
      <x:c r="C794" t="n">
        <x:v>23</x:v>
      </x:c>
      <x:c r="D794" t="str">
        <x:v>Villavicencio</x:v>
      </x:c>
      <x:c r="E794" t="str">
        <x:v>Meta</x:v>
      </x:c>
      <x:c r="F794" t="str">
        <x:v>Entre $1,5 M y $3 M</x:v>
      </x:c>
      <x:c r="G794" t="str">
        <x:v>Orgánico</x:v>
      </x:c>
      <x:c r="H794" t="n">
        <x:v>1561000</x:v>
      </x:c>
      <x:c r="I794" t="str">
        <x:v>Organización inicial</x:v>
      </x:c>
      <x:c r="J794" t="str">
        <x:v>Cero</x:v>
      </x:c>
    </x:row>
    <x:row r="795">
      <x:c r="A795" t="str">
        <x:v>USR-00794</x:v>
      </x:c>
      <x:c r="B795" t="n">
        <x:v>46143</x:v>
      </x:c>
      <x:c r="C795" t="n">
        <x:v>63</x:v>
      </x:c>
      <x:c r="D795" t="str">
        <x:v>Bogotá</x:v>
      </x:c>
      <x:c r="E795" t="str">
        <x:v>Bogotá D.C.</x:v>
      </x:c>
      <x:c r="F795" t="str">
        <x:v>Más de $5 M</x:v>
      </x:c>
      <x:c r="G795" t="str">
        <x:v>Alianzas</x:v>
      </x:c>
      <x:c r="H795" t="n">
        <x:v>7860000</x:v>
      </x:c>
      <x:c r="I795" t="str">
        <x:v>Organización inicial</x:v>
      </x:c>
      <x:c r="J795" t="str">
        <x:v>Cero</x:v>
      </x:c>
    </x:row>
    <x:row r="796">
      <x:c r="A796" t="str">
        <x:v>USR-00795</x:v>
      </x:c>
      <x:c r="B796" t="n">
        <x:v>46157</x:v>
      </x:c>
      <x:c r="C796" t="n">
        <x:v>23</x:v>
      </x:c>
      <x:c r="D796" t="str">
        <x:v>Cali</x:v>
      </x:c>
      <x:c r="E796" t="str">
        <x:v>Valle del Cauca</x:v>
      </x:c>
      <x:c r="F796" t="str">
        <x:v>Entre $1,5 M y $3 M</x:v>
      </x:c>
      <x:c r="G796" t="str">
        <x:v>Alianzas</x:v>
      </x:c>
      <x:c r="H796" t="n">
        <x:v>1609000</x:v>
      </x:c>
      <x:c r="I796" t="str">
        <x:v>Control de pagos</x:v>
      </x:c>
      <x:c r="J796" t="str">
        <x:v>Cero</x:v>
      </x:c>
    </x:row>
    <x:row r="797">
      <x:c r="A797" t="str">
        <x:v>USR-00796</x:v>
      </x:c>
      <x:c r="B797" t="n">
        <x:v>46156</x:v>
      </x:c>
      <x:c r="C797" t="n">
        <x:v>33</x:v>
      </x:c>
      <x:c r="D797" t="str">
        <x:v>Barranquilla</x:v>
      </x:c>
      <x:c r="E797" t="str">
        <x:v>Atlántico</x:v>
      </x:c>
      <x:c r="F797" t="str">
        <x:v>Menos de $1,5 M</x:v>
      </x:c>
      <x:c r="G797" t="str">
        <x:v>Redes sociales</x:v>
      </x:c>
      <x:c r="H797" t="n">
        <x:v>1275000</x:v>
      </x:c>
      <x:c r="I797" t="str">
        <x:v>Control de pagos</x:v>
      </x:c>
      <x:c r="J797" t="str">
        <x:v>Cero</x:v>
      </x:c>
    </x:row>
    <x:row r="798">
      <x:c r="A798" t="str">
        <x:v>USR-00797</x:v>
      </x:c>
      <x:c r="B798" t="n">
        <x:v>46155</x:v>
      </x:c>
      <x:c r="C798" t="n">
        <x:v>48</x:v>
      </x:c>
      <x:c r="D798" t="str">
        <x:v>Bogotá</x:v>
      </x:c>
      <x:c r="E798" t="str">
        <x:v>Bogotá D.C.</x:v>
      </x:c>
      <x:c r="F798" t="str">
        <x:v>Entre $3 M y $5 M</x:v>
      </x:c>
      <x:c r="G798" t="str">
        <x:v>Referidos</x:v>
      </x:c>
      <x:c r="H798" t="n">
        <x:v>4247000</x:v>
      </x:c>
      <x:c r="I798" t="str">
        <x:v>Control de pagos</x:v>
      </x:c>
      <x:c r="J798" t="str">
        <x:v>Plus anual</x:v>
      </x:c>
    </x:row>
    <x:row r="799">
      <x:c r="A799" t="str">
        <x:v>USR-00798</x:v>
      </x:c>
      <x:c r="B799" t="n">
        <x:v>46144</x:v>
      </x:c>
      <x:c r="C799" t="n">
        <x:v>51</x:v>
      </x:c>
      <x:c r="D799" t="str">
        <x:v>Bogotá</x:v>
      </x:c>
      <x:c r="E799" t="str">
        <x:v>Bogotá D.C.</x:v>
      </x:c>
      <x:c r="F799" t="str">
        <x:v>Entre $3 M y $5 M</x:v>
      </x:c>
      <x:c r="G799" t="str">
        <x:v>Orgánico</x:v>
      </x:c>
      <x:c r="H799" t="n">
        <x:v>4094000</x:v>
      </x:c>
      <x:c r="I799" t="str">
        <x:v>Salir de deudas</x:v>
      </x:c>
      <x:c r="J799" t="str">
        <x:v>Cero</x:v>
      </x:c>
    </x:row>
    <x:row r="800">
      <x:c r="A800" t="str">
        <x:v>USR-00799</x:v>
      </x:c>
      <x:c r="B800" t="n">
        <x:v>46144</x:v>
      </x:c>
      <x:c r="C800" t="n">
        <x:v>54</x:v>
      </x:c>
      <x:c r="D800" t="str">
        <x:v>Bogotá</x:v>
      </x:c>
      <x:c r="E800" t="str">
        <x:v>Bogotá D.C.</x:v>
      </x:c>
      <x:c r="F800" t="str">
        <x:v>Entre $3 M y $5 M</x:v>
      </x:c>
      <x:c r="G800" t="str">
        <x:v>Orgánico</x:v>
      </x:c>
      <x:c r="H800" t="n">
        <x:v>4939000</x:v>
      </x:c>
      <x:c r="I800" t="str">
        <x:v>Reducir intereses</x:v>
      </x:c>
      <x:c r="J800" t="str">
        <x:v>Cero</x:v>
      </x:c>
    </x:row>
    <x:row r="801">
      <x:c r="A801" t="str">
        <x:v>USR-00800</x:v>
      </x:c>
      <x:c r="B801" t="n">
        <x:v>46160</x:v>
      </x:c>
      <x:c r="C801" t="n">
        <x:v>26</x:v>
      </x:c>
      <x:c r="D801" t="str">
        <x:v>Bogotá</x:v>
      </x:c>
      <x:c r="E801" t="str">
        <x:v>Bogotá D.C.</x:v>
      </x:c>
      <x:c r="F801" t="str">
        <x:v>Entre $1,5 M y $3 M</x:v>
      </x:c>
      <x:c r="G801" t="str">
        <x:v>Contenido educativo</x:v>
      </x:c>
      <x:c r="H801" t="n">
        <x:v>2105000</x:v>
      </x:c>
      <x:c r="I801" t="str">
        <x:v>Salir de deudas</x:v>
      </x:c>
      <x:c r="J801" t="str">
        <x:v>Cero</x:v>
      </x:c>
    </x:row>
    <x:row r="802">
      <x:c r="A802" t="str">
        <x:v>USR-00801</x:v>
      </x:c>
      <x:c r="B802" t="n">
        <x:v>46164</x:v>
      </x:c>
      <x:c r="C802" t="n">
        <x:v>24</x:v>
      </x:c>
      <x:c r="D802" t="str">
        <x:v>Bogotá</x:v>
      </x:c>
      <x:c r="E802" t="str">
        <x:v>Bogotá D.C.</x:v>
      </x:c>
      <x:c r="F802" t="str">
        <x:v>Entre $3 M y $5 M</x:v>
      </x:c>
      <x:c r="G802" t="str">
        <x:v>Orgánico</x:v>
      </x:c>
      <x:c r="H802" t="n">
        <x:v>3824000</x:v>
      </x:c>
      <x:c r="I802" t="str">
        <x:v>Reducir intereses</x:v>
      </x:c>
      <x:c r="J802" t="str">
        <x:v>Inactivo</x:v>
      </x:c>
    </x:row>
    <x:row r="803">
      <x:c r="A803" t="str">
        <x:v>USR-00802</x:v>
      </x:c>
      <x:c r="B803" t="n">
        <x:v>46150</x:v>
      </x:c>
      <x:c r="C803" t="n">
        <x:v>31</x:v>
      </x:c>
      <x:c r="D803" t="str">
        <x:v>Medellín</x:v>
      </x:c>
      <x:c r="E803" t="str">
        <x:v>Antioquia</x:v>
      </x:c>
      <x:c r="F803" t="str">
        <x:v>Entre $3 M y $5 M</x:v>
      </x:c>
      <x:c r="G803" t="str">
        <x:v>Alianzas</x:v>
      </x:c>
      <x:c r="H803" t="n">
        <x:v>3276000</x:v>
      </x:c>
      <x:c r="I803" t="str">
        <x:v>Control de pagos</x:v>
      </x:c>
      <x:c r="J803" t="str">
        <x:v>Cero</x:v>
      </x:c>
    </x:row>
    <x:row r="804">
      <x:c r="A804" t="str">
        <x:v>USR-00803</x:v>
      </x:c>
      <x:c r="B804" t="n">
        <x:v>46152</x:v>
      </x:c>
      <x:c r="C804" t="n">
        <x:v>36</x:v>
      </x:c>
      <x:c r="D804" t="str">
        <x:v>Cali</x:v>
      </x:c>
      <x:c r="E804" t="str">
        <x:v>Valle del Cauca</x:v>
      </x:c>
      <x:c r="F804" t="str">
        <x:v>Entre $1,5 M y $3 M</x:v>
      </x:c>
      <x:c r="G804" t="str">
        <x:v>Redes sociales</x:v>
      </x:c>
      <x:c r="H804" t="n">
        <x:v>2928000</x:v>
      </x:c>
      <x:c r="I804" t="str">
        <x:v>Salir de deudas</x:v>
      </x:c>
      <x:c r="J804" t="str">
        <x:v>Cero</x:v>
      </x:c>
    </x:row>
    <x:row r="805">
      <x:c r="A805" t="str">
        <x:v>USR-00804</x:v>
      </x:c>
      <x:c r="B805" t="n">
        <x:v>46160</x:v>
      </x:c>
      <x:c r="C805" t="n">
        <x:v>52</x:v>
      </x:c>
      <x:c r="D805" t="str">
        <x:v>Manizales</x:v>
      </x:c>
      <x:c r="E805" t="str">
        <x:v>Caldas</x:v>
      </x:c>
      <x:c r="F805" t="str">
        <x:v>Entre $1,5 M y $3 M</x:v>
      </x:c>
      <x:c r="G805" t="str">
        <x:v>Redes sociales</x:v>
      </x:c>
      <x:c r="H805" t="n">
        <x:v>2201000</x:v>
      </x:c>
      <x:c r="I805" t="str">
        <x:v>Control de pagos</x:v>
      </x:c>
      <x:c r="J805" t="str">
        <x:v>Inactivo</x:v>
      </x:c>
    </x:row>
    <x:row r="806">
      <x:c r="A806" t="str">
        <x:v>USR-00805</x:v>
      </x:c>
      <x:c r="B806" t="n">
        <x:v>46155</x:v>
      </x:c>
      <x:c r="C806" t="n">
        <x:v>49</x:v>
      </x:c>
      <x:c r="D806" t="str">
        <x:v>Bogotá</x:v>
      </x:c>
      <x:c r="E806" t="str">
        <x:v>Bogotá D.C.</x:v>
      </x:c>
      <x:c r="F806" t="str">
        <x:v>Menos de $1,5 M</x:v>
      </x:c>
      <x:c r="G806" t="str">
        <x:v>Referidos</x:v>
      </x:c>
      <x:c r="H806" t="n">
        <x:v>1407000</x:v>
      </x:c>
      <x:c r="I806" t="str">
        <x:v>Reducir intereses</x:v>
      </x:c>
      <x:c r="J806" t="str">
        <x:v>Cero</x:v>
      </x:c>
    </x:row>
    <x:row r="807">
      <x:c r="A807" t="str">
        <x:v>USR-00806</x:v>
      </x:c>
      <x:c r="B807" t="n">
        <x:v>46157</x:v>
      </x:c>
      <x:c r="C807" t="n">
        <x:v>54</x:v>
      </x:c>
      <x:c r="D807" t="str">
        <x:v>Bogotá</x:v>
      </x:c>
      <x:c r="E807" t="str">
        <x:v>Bogotá D.C.</x:v>
      </x:c>
      <x:c r="F807" t="str">
        <x:v>Entre $3 M y $5 M</x:v>
      </x:c>
      <x:c r="G807" t="str">
        <x:v>Orgánico</x:v>
      </x:c>
      <x:c r="H807" t="n">
        <x:v>3232000</x:v>
      </x:c>
      <x:c r="I807" t="str">
        <x:v>Reducir intereses</x:v>
      </x:c>
      <x:c r="J807" t="str">
        <x:v>Cero</x:v>
      </x:c>
    </x:row>
    <x:row r="808">
      <x:c r="A808" t="str">
        <x:v>USR-00807</x:v>
      </x:c>
      <x:c r="B808" t="n">
        <x:v>46169</x:v>
      </x:c>
      <x:c r="C808" t="n">
        <x:v>29</x:v>
      </x:c>
      <x:c r="D808" t="str">
        <x:v>Bogotá</x:v>
      </x:c>
      <x:c r="E808" t="str">
        <x:v>Bogotá D.C.</x:v>
      </x:c>
      <x:c r="F808" t="str">
        <x:v>Entre $3 M y $5 M</x:v>
      </x:c>
      <x:c r="G808" t="str">
        <x:v>Contenido educativo</x:v>
      </x:c>
      <x:c r="H808" t="n">
        <x:v>4619000</x:v>
      </x:c>
      <x:c r="I808" t="str">
        <x:v>Salir de deudas</x:v>
      </x:c>
      <x:c r="J808" t="str">
        <x:v>Cero</x:v>
      </x:c>
    </x:row>
    <x:row r="809">
      <x:c r="A809" t="str">
        <x:v>USR-00808</x:v>
      </x:c>
      <x:c r="B809" t="n">
        <x:v>46166</x:v>
      </x:c>
      <x:c r="C809" t="n">
        <x:v>48</x:v>
      </x:c>
      <x:c r="D809" t="str">
        <x:v>Barranquilla</x:v>
      </x:c>
      <x:c r="E809" t="str">
        <x:v>Atlántico</x:v>
      </x:c>
      <x:c r="F809" t="str">
        <x:v>Entre $3 M y $5 M</x:v>
      </x:c>
      <x:c r="G809" t="str">
        <x:v>Alianzas</x:v>
      </x:c>
      <x:c r="H809" t="n">
        <x:v>3112000</x:v>
      </x:c>
      <x:c r="I809" t="str">
        <x:v>Organización inicial</x:v>
      </x:c>
      <x:c r="J809" t="str">
        <x:v>Inactivo</x:v>
      </x:c>
    </x:row>
    <x:row r="810">
      <x:c r="A810" t="str">
        <x:v>USR-00809</x:v>
      </x:c>
      <x:c r="B810" t="n">
        <x:v>46152</x:v>
      </x:c>
      <x:c r="C810" t="n">
        <x:v>27</x:v>
      </x:c>
      <x:c r="D810" t="str">
        <x:v>Bogotá</x:v>
      </x:c>
      <x:c r="E810" t="str">
        <x:v>Bogotá D.C.</x:v>
      </x:c>
      <x:c r="F810" t="str">
        <x:v>Entre $1,5 M y $3 M</x:v>
      </x:c>
      <x:c r="G810" t="str">
        <x:v>Búsqueda paga</x:v>
      </x:c>
      <x:c r="H810" t="n">
        <x:v>1722000</x:v>
      </x:c>
      <x:c r="I810" t="str">
        <x:v>Salir de deudas</x:v>
      </x:c>
      <x:c r="J810" t="str">
        <x:v>Cero</x:v>
      </x:c>
    </x:row>
    <x:row r="811">
      <x:c r="A811" t="str">
        <x:v>USR-00810</x:v>
      </x:c>
      <x:c r="B811" t="n">
        <x:v>46158</x:v>
      </x:c>
      <x:c r="C811" t="n">
        <x:v>58</x:v>
      </x:c>
      <x:c r="D811" t="str">
        <x:v>Cali</x:v>
      </x:c>
      <x:c r="E811" t="str">
        <x:v>Valle del Cauca</x:v>
      </x:c>
      <x:c r="F811" t="str">
        <x:v>Entre $1,5 M y $3 M</x:v>
      </x:c>
      <x:c r="G811" t="str">
        <x:v>Redes sociales</x:v>
      </x:c>
      <x:c r="H811" t="n">
        <x:v>2351000</x:v>
      </x:c>
      <x:c r="I811" t="str">
        <x:v>Organización inicial</x:v>
      </x:c>
      <x:c r="J811" t="str">
        <x:v>Plus anual</x:v>
      </x:c>
    </x:row>
    <x:row r="812">
      <x:c r="A812" t="str">
        <x:v>USR-00811</x:v>
      </x:c>
      <x:c r="B812" t="n">
        <x:v>46166</x:v>
      </x:c>
      <x:c r="C812" t="n">
        <x:v>51</x:v>
      </x:c>
      <x:c r="D812" t="str">
        <x:v>Barranquilla</x:v>
      </x:c>
      <x:c r="E812" t="str">
        <x:v>Atlántico</x:v>
      </x:c>
      <x:c r="F812" t="str">
        <x:v>Menos de $1,5 M</x:v>
      </x:c>
      <x:c r="G812" t="str">
        <x:v>Alianzas</x:v>
      </x:c>
      <x:c r="H812" t="n">
        <x:v>1500000</x:v>
      </x:c>
      <x:c r="I812" t="str">
        <x:v>Reducir intereses</x:v>
      </x:c>
      <x:c r="J812" t="str">
        <x:v>Plus mensual</x:v>
      </x:c>
    </x:row>
    <x:row r="813">
      <x:c r="A813" t="str">
        <x:v>USR-00812</x:v>
      </x:c>
      <x:c r="B813" t="n">
        <x:v>46160</x:v>
      </x:c>
      <x:c r="C813" t="n">
        <x:v>53</x:v>
      </x:c>
      <x:c r="D813" t="str">
        <x:v>Medellín</x:v>
      </x:c>
      <x:c r="E813" t="str">
        <x:v>Antioquia</x:v>
      </x:c>
      <x:c r="F813" t="str">
        <x:v>Entre $1,5 M y $3 M</x:v>
      </x:c>
      <x:c r="G813" t="str">
        <x:v>Redes sociales</x:v>
      </x:c>
      <x:c r="H813" t="n">
        <x:v>2193000</x:v>
      </x:c>
      <x:c r="I813" t="str">
        <x:v>Salir de deudas</x:v>
      </x:c>
      <x:c r="J813" t="str">
        <x:v>Cero</x:v>
      </x:c>
    </x:row>
    <x:row r="814">
      <x:c r="A814" t="str">
        <x:v>USR-00813</x:v>
      </x:c>
      <x:c r="B814" t="n">
        <x:v>46164</x:v>
      </x:c>
      <x:c r="C814" t="n">
        <x:v>44</x:v>
      </x:c>
      <x:c r="D814" t="str">
        <x:v>Cali</x:v>
      </x:c>
      <x:c r="E814" t="str">
        <x:v>Valle del Cauca</x:v>
      </x:c>
      <x:c r="F814" t="str">
        <x:v>Entre $1,5 M y $3 M</x:v>
      </x:c>
      <x:c r="G814" t="str">
        <x:v>Alianzas</x:v>
      </x:c>
      <x:c r="H814" t="n">
        <x:v>1691000</x:v>
      </x:c>
      <x:c r="I814" t="str">
        <x:v>Reducir intereses</x:v>
      </x:c>
      <x:c r="J814" t="str">
        <x:v>Plus mensual</x:v>
      </x:c>
    </x:row>
    <x:row r="815">
      <x:c r="A815" t="str">
        <x:v>USR-00814</x:v>
      </x:c>
      <x:c r="B815" t="n">
        <x:v>46161</x:v>
      </x:c>
      <x:c r="C815" t="n">
        <x:v>49</x:v>
      </x:c>
      <x:c r="D815" t="str">
        <x:v>Barranquilla</x:v>
      </x:c>
      <x:c r="E815" t="str">
        <x:v>Atlántico</x:v>
      </x:c>
      <x:c r="F815" t="str">
        <x:v>Menos de $1,5 M</x:v>
      </x:c>
      <x:c r="G815" t="str">
        <x:v>Redes sociales</x:v>
      </x:c>
      <x:c r="H815" t="n">
        <x:v>1183000</x:v>
      </x:c>
      <x:c r="I815" t="str">
        <x:v>Control de pagos</x:v>
      </x:c>
      <x:c r="J815" t="str">
        <x:v>Cero</x:v>
      </x:c>
    </x:row>
    <x:row r="816">
      <x:c r="A816" t="str">
        <x:v>USR-00815</x:v>
      </x:c>
      <x:c r="B816" t="n">
        <x:v>46156</x:v>
      </x:c>
      <x:c r="C816" t="n">
        <x:v>40</x:v>
      </x:c>
      <x:c r="D816" t="str">
        <x:v>Manizales</x:v>
      </x:c>
      <x:c r="E816" t="str">
        <x:v>Caldas</x:v>
      </x:c>
      <x:c r="F816" t="str">
        <x:v>Menos de $1,5 M</x:v>
      </x:c>
      <x:c r="G816" t="str">
        <x:v>Redes sociales</x:v>
      </x:c>
      <x:c r="H816" t="n">
        <x:v>1336000</x:v>
      </x:c>
      <x:c r="I816" t="str">
        <x:v>Organización inicial</x:v>
      </x:c>
      <x:c r="J816" t="str">
        <x:v>Cero</x:v>
      </x:c>
    </x:row>
    <x:row r="817">
      <x:c r="A817" t="str">
        <x:v>USR-00816</x:v>
      </x:c>
      <x:c r="B817" t="n">
        <x:v>46155</x:v>
      </x:c>
      <x:c r="C817" t="n">
        <x:v>47</x:v>
      </x:c>
      <x:c r="D817" t="str">
        <x:v>Cartagena</x:v>
      </x:c>
      <x:c r="E817" t="str">
        <x:v>Bolívar</x:v>
      </x:c>
      <x:c r="F817" t="str">
        <x:v>Entre $1,5 M y $3 M</x:v>
      </x:c>
      <x:c r="G817" t="str">
        <x:v>Redes sociales</x:v>
      </x:c>
      <x:c r="H817" t="n">
        <x:v>1689000</x:v>
      </x:c>
      <x:c r="I817" t="str">
        <x:v>Control de pagos</x:v>
      </x:c>
      <x:c r="J817" t="str">
        <x:v>Plus mensual</x:v>
      </x:c>
    </x:row>
    <x:row r="818">
      <x:c r="A818" t="str">
        <x:v>USR-00817</x:v>
      </x:c>
      <x:c r="B818" t="n">
        <x:v>46157</x:v>
      </x:c>
      <x:c r="C818" t="n">
        <x:v>20</x:v>
      </x:c>
      <x:c r="D818" t="str">
        <x:v>Barranquilla</x:v>
      </x:c>
      <x:c r="E818" t="str">
        <x:v>Atlántico</x:v>
      </x:c>
      <x:c r="F818" t="str">
        <x:v>Más de $5 M</x:v>
      </x:c>
      <x:c r="G818" t="str">
        <x:v>Redes sociales</x:v>
      </x:c>
      <x:c r="H818" t="n">
        <x:v>5345000</x:v>
      </x:c>
      <x:c r="I818" t="str">
        <x:v>Organización inicial</x:v>
      </x:c>
      <x:c r="J818" t="str">
        <x:v>Plus anual</x:v>
      </x:c>
    </x:row>
    <x:row r="819">
      <x:c r="A819" t="str">
        <x:v>USR-00818</x:v>
      </x:c>
      <x:c r="B819" t="n">
        <x:v>46152</x:v>
      </x:c>
      <x:c r="C819" t="n">
        <x:v>46</x:v>
      </x:c>
      <x:c r="D819" t="str">
        <x:v>Barranquilla</x:v>
      </x:c>
      <x:c r="E819" t="str">
        <x:v>Atlántico</x:v>
      </x:c>
      <x:c r="F819" t="str">
        <x:v>Menos de $1,5 M</x:v>
      </x:c>
      <x:c r="G819" t="str">
        <x:v>Redes sociales</x:v>
      </x:c>
      <x:c r="H819" t="n">
        <x:v>1363000</x:v>
      </x:c>
      <x:c r="I819" t="str">
        <x:v>Reducir intereses</x:v>
      </x:c>
      <x:c r="J819" t="str">
        <x:v>Cero</x:v>
      </x:c>
    </x:row>
    <x:row r="820">
      <x:c r="A820" t="str">
        <x:v>USR-00819</x:v>
      </x:c>
      <x:c r="B820" t="n">
        <x:v>46162</x:v>
      </x:c>
      <x:c r="C820" t="n">
        <x:v>52</x:v>
      </x:c>
      <x:c r="D820" t="str">
        <x:v>Medellín</x:v>
      </x:c>
      <x:c r="E820" t="str">
        <x:v>Antioquia</x:v>
      </x:c>
      <x:c r="F820" t="str">
        <x:v>Entre $3 M y $5 M</x:v>
      </x:c>
      <x:c r="G820" t="str">
        <x:v>Búsqueda paga</x:v>
      </x:c>
      <x:c r="H820" t="n">
        <x:v>3035000</x:v>
      </x:c>
      <x:c r="I820" t="str">
        <x:v>Organización inicial</x:v>
      </x:c>
      <x:c r="J820" t="str">
        <x:v>Cero</x:v>
      </x:c>
    </x:row>
    <x:row r="821">
      <x:c r="A821" t="str">
        <x:v>USR-00820</x:v>
      </x:c>
      <x:c r="B821" t="n">
        <x:v>46149</x:v>
      </x:c>
      <x:c r="C821" t="n">
        <x:v>58</x:v>
      </x:c>
      <x:c r="D821" t="str">
        <x:v>Cali</x:v>
      </x:c>
      <x:c r="E821" t="str">
        <x:v>Valle del Cauca</x:v>
      </x:c>
      <x:c r="F821" t="str">
        <x:v>Entre $3 M y $5 M</x:v>
      </x:c>
      <x:c r="G821" t="str">
        <x:v>Alianzas</x:v>
      </x:c>
      <x:c r="H821" t="n">
        <x:v>3213000</x:v>
      </x:c>
      <x:c r="I821" t="str">
        <x:v>Control de pagos</x:v>
      </x:c>
      <x:c r="J821" t="str">
        <x:v>Cero</x:v>
      </x:c>
    </x:row>
    <x:row r="822">
      <x:c r="A822" t="str">
        <x:v>USR-00821</x:v>
      </x:c>
      <x:c r="B822" t="n">
        <x:v>46143</x:v>
      </x:c>
      <x:c r="C822" t="n">
        <x:v>25</x:v>
      </x:c>
      <x:c r="D822" t="str">
        <x:v>Pereira</x:v>
      </x:c>
      <x:c r="E822" t="str">
        <x:v>Risaralda</x:v>
      </x:c>
      <x:c r="F822" t="str">
        <x:v>Entre $1,5 M y $3 M</x:v>
      </x:c>
      <x:c r="G822" t="str">
        <x:v>Orgánico</x:v>
      </x:c>
      <x:c r="H822" t="n">
        <x:v>1794000</x:v>
      </x:c>
      <x:c r="I822" t="str">
        <x:v>Organización inicial</x:v>
      </x:c>
      <x:c r="J822" t="str">
        <x:v>Plus anual</x:v>
      </x:c>
    </x:row>
    <x:row r="823">
      <x:c r="A823" t="str">
        <x:v>USR-00822</x:v>
      </x:c>
      <x:c r="B823" t="n">
        <x:v>46152</x:v>
      </x:c>
      <x:c r="C823" t="n">
        <x:v>24</x:v>
      </x:c>
      <x:c r="D823" t="str">
        <x:v>Cali</x:v>
      </x:c>
      <x:c r="E823" t="str">
        <x:v>Valle del Cauca</x:v>
      </x:c>
      <x:c r="F823" t="str">
        <x:v>Menos de $1,5 M</x:v>
      </x:c>
      <x:c r="G823" t="str">
        <x:v>Orgánico</x:v>
      </x:c>
      <x:c r="H823" t="n">
        <x:v>1373000</x:v>
      </x:c>
      <x:c r="I823" t="str">
        <x:v>Control de pagos</x:v>
      </x:c>
      <x:c r="J823" t="str">
        <x:v>Cero</x:v>
      </x:c>
    </x:row>
    <x:row r="824">
      <x:c r="A824" t="str">
        <x:v>USR-00823</x:v>
      </x:c>
      <x:c r="B824" t="n">
        <x:v>46159</x:v>
      </x:c>
      <x:c r="C824" t="n">
        <x:v>62</x:v>
      </x:c>
      <x:c r="D824" t="str">
        <x:v>Bogotá</x:v>
      </x:c>
      <x:c r="E824" t="str">
        <x:v>Bogotá D.C.</x:v>
      </x:c>
      <x:c r="F824" t="str">
        <x:v>Entre $1,5 M y $3 M</x:v>
      </x:c>
      <x:c r="G824" t="str">
        <x:v>Referidos</x:v>
      </x:c>
      <x:c r="H824" t="n">
        <x:v>2589000</x:v>
      </x:c>
      <x:c r="I824" t="str">
        <x:v>Reducir intereses</x:v>
      </x:c>
      <x:c r="J824" t="str">
        <x:v>Cero</x:v>
      </x:c>
    </x:row>
    <x:row r="825">
      <x:c r="A825" t="str">
        <x:v>USR-00824</x:v>
      </x:c>
      <x:c r="B825" t="n">
        <x:v>46165</x:v>
      </x:c>
      <x:c r="C825" t="n">
        <x:v>34</x:v>
      </x:c>
      <x:c r="D825" t="str">
        <x:v>Cartagena</x:v>
      </x:c>
      <x:c r="E825" t="str">
        <x:v>Bolívar</x:v>
      </x:c>
      <x:c r="F825" t="str">
        <x:v>Entre $1,5 M y $3 M</x:v>
      </x:c>
      <x:c r="G825" t="str">
        <x:v>Orgánico</x:v>
      </x:c>
      <x:c r="H825" t="n">
        <x:v>1582000</x:v>
      </x:c>
      <x:c r="I825" t="str">
        <x:v>Reducir intereses</x:v>
      </x:c>
      <x:c r="J825" t="str">
        <x:v>Plus mensual</x:v>
      </x:c>
    </x:row>
    <x:row r="826">
      <x:c r="A826" t="str">
        <x:v>USR-00825</x:v>
      </x:c>
      <x:c r="B826" t="n">
        <x:v>46169</x:v>
      </x:c>
      <x:c r="C826" t="n">
        <x:v>58</x:v>
      </x:c>
      <x:c r="D826" t="str">
        <x:v>Medellín</x:v>
      </x:c>
      <x:c r="E826" t="str">
        <x:v>Antioquia</x:v>
      </x:c>
      <x:c r="F826" t="str">
        <x:v>Entre $1,5 M y $3 M</x:v>
      </x:c>
      <x:c r="G826" t="str">
        <x:v>Referidos</x:v>
      </x:c>
      <x:c r="H826" t="n">
        <x:v>2487000</x:v>
      </x:c>
      <x:c r="I826" t="str">
        <x:v>Organización inicial</x:v>
      </x:c>
      <x:c r="J826" t="str">
        <x:v>Cero</x:v>
      </x:c>
    </x:row>
    <x:row r="827">
      <x:c r="A827" t="str">
        <x:v>USR-00826</x:v>
      </x:c>
      <x:c r="B827" t="n">
        <x:v>46158</x:v>
      </x:c>
      <x:c r="C827" t="n">
        <x:v>29</x:v>
      </x:c>
      <x:c r="D827" t="str">
        <x:v>Bogotá</x:v>
      </x:c>
      <x:c r="E827" t="str">
        <x:v>Bogotá D.C.</x:v>
      </x:c>
      <x:c r="F827" t="str">
        <x:v>Más de $5 M</x:v>
      </x:c>
      <x:c r="G827" t="str">
        <x:v>Redes sociales</x:v>
      </x:c>
      <x:c r="H827" t="n">
        <x:v>6051000</x:v>
      </x:c>
      <x:c r="I827" t="str">
        <x:v>Salir de deudas</x:v>
      </x:c>
      <x:c r="J827" t="str">
        <x:v>Inactivo</x:v>
      </x:c>
    </x:row>
    <x:row r="828">
      <x:c r="A828" t="str">
        <x:v>USR-00827</x:v>
      </x:c>
      <x:c r="B828" t="n">
        <x:v>46161</x:v>
      </x:c>
      <x:c r="C828" t="n">
        <x:v>58</x:v>
      </x:c>
      <x:c r="D828" t="str">
        <x:v>Medellín</x:v>
      </x:c>
      <x:c r="E828" t="str">
        <x:v>Antioquia</x:v>
      </x:c>
      <x:c r="F828" t="str">
        <x:v>Menos de $1,5 M</x:v>
      </x:c>
      <x:c r="G828" t="str">
        <x:v>Orgánico</x:v>
      </x:c>
      <x:c r="H828" t="n">
        <x:v>1231000</x:v>
      </x:c>
      <x:c r="I828" t="str">
        <x:v>Control de pagos</x:v>
      </x:c>
      <x:c r="J828" t="str">
        <x:v>Cero</x:v>
      </x:c>
    </x:row>
    <x:row r="829">
      <x:c r="A829" t="str">
        <x:v>USR-00828</x:v>
      </x:c>
      <x:c r="B829" t="n">
        <x:v>46143</x:v>
      </x:c>
      <x:c r="C829" t="n">
        <x:v>29</x:v>
      </x:c>
      <x:c r="D829" t="str">
        <x:v>Barranquilla</x:v>
      </x:c>
      <x:c r="E829" t="str">
        <x:v>Atlántico</x:v>
      </x:c>
      <x:c r="F829" t="str">
        <x:v>Más de $5 M</x:v>
      </x:c>
      <x:c r="G829" t="str">
        <x:v>Redes sociales</x:v>
      </x:c>
      <x:c r="H829" t="n">
        <x:v>6116000</x:v>
      </x:c>
      <x:c r="I829" t="str">
        <x:v>Control de pagos</x:v>
      </x:c>
      <x:c r="J829" t="str">
        <x:v>Cero</x:v>
      </x:c>
    </x:row>
    <x:row r="830">
      <x:c r="A830" t="str">
        <x:v>USR-00829</x:v>
      </x:c>
      <x:c r="B830" t="n">
        <x:v>46165</x:v>
      </x:c>
      <x:c r="C830" t="n">
        <x:v>30</x:v>
      </x:c>
      <x:c r="D830" t="str">
        <x:v>Barranquilla</x:v>
      </x:c>
      <x:c r="E830" t="str">
        <x:v>Atlántico</x:v>
      </x:c>
      <x:c r="F830" t="str">
        <x:v>Entre $1,5 M y $3 M</x:v>
      </x:c>
      <x:c r="G830" t="str">
        <x:v>Orgánico</x:v>
      </x:c>
      <x:c r="H830" t="n">
        <x:v>2528000</x:v>
      </x:c>
      <x:c r="I830" t="str">
        <x:v>Control de pagos</x:v>
      </x:c>
      <x:c r="J830" t="str">
        <x:v>Cero</x:v>
      </x:c>
    </x:row>
    <x:row r="831">
      <x:c r="A831" t="str">
        <x:v>USR-00830</x:v>
      </x:c>
      <x:c r="B831" t="n">
        <x:v>46164</x:v>
      </x:c>
      <x:c r="C831" t="n">
        <x:v>49</x:v>
      </x:c>
      <x:c r="D831" t="str">
        <x:v>Manizales</x:v>
      </x:c>
      <x:c r="E831" t="str">
        <x:v>Caldas</x:v>
      </x:c>
      <x:c r="F831" t="str">
        <x:v>Menos de $1,5 M</x:v>
      </x:c>
      <x:c r="G831" t="str">
        <x:v>Búsqueda paga</x:v>
      </x:c>
      <x:c r="H831" t="n">
        <x:v>903000</x:v>
      </x:c>
      <x:c r="I831" t="str">
        <x:v>Control de pagos</x:v>
      </x:c>
      <x:c r="J831" t="str">
        <x:v>Cero</x:v>
      </x:c>
    </x:row>
    <x:row r="832">
      <x:c r="A832" t="str">
        <x:v>USR-00831</x:v>
      </x:c>
      <x:c r="B832" t="n">
        <x:v>46148</x:v>
      </x:c>
      <x:c r="C832" t="n">
        <x:v>41</x:v>
      </x:c>
      <x:c r="D832" t="str">
        <x:v>Bogotá</x:v>
      </x:c>
      <x:c r="E832" t="str">
        <x:v>Bogotá D.C.</x:v>
      </x:c>
      <x:c r="F832" t="str">
        <x:v>Entre $1,5 M y $3 M</x:v>
      </x:c>
      <x:c r="G832" t="str">
        <x:v>Contenido educativo</x:v>
      </x:c>
      <x:c r="H832" t="n">
        <x:v>1876000</x:v>
      </x:c>
      <x:c r="I832" t="str">
        <x:v>Reducir intereses</x:v>
      </x:c>
      <x:c r="J832" t="str">
        <x:v>Plus anual</x:v>
      </x:c>
    </x:row>
    <x:row r="833">
      <x:c r="A833" t="str">
        <x:v>USR-00832</x:v>
      </x:c>
      <x:c r="B833" t="n">
        <x:v>46146</x:v>
      </x:c>
      <x:c r="C833" t="n">
        <x:v>46</x:v>
      </x:c>
      <x:c r="D833" t="str">
        <x:v>Bogotá</x:v>
      </x:c>
      <x:c r="E833" t="str">
        <x:v>Bogotá D.C.</x:v>
      </x:c>
      <x:c r="F833" t="str">
        <x:v>Entre $3 M y $5 M</x:v>
      </x:c>
      <x:c r="G833" t="str">
        <x:v>Orgánico</x:v>
      </x:c>
      <x:c r="H833" t="n">
        <x:v>3781000</x:v>
      </x:c>
      <x:c r="I833" t="str">
        <x:v>Salir de deudas</x:v>
      </x:c>
      <x:c r="J833" t="str">
        <x:v>Plus mensual</x:v>
      </x:c>
    </x:row>
    <x:row r="834">
      <x:c r="A834" t="str">
        <x:v>USR-00833</x:v>
      </x:c>
      <x:c r="B834" t="n">
        <x:v>46166</x:v>
      </x:c>
      <x:c r="C834" t="n">
        <x:v>36</x:v>
      </x:c>
      <x:c r="D834" t="str">
        <x:v>Bogotá</x:v>
      </x:c>
      <x:c r="E834" t="str">
        <x:v>Bogotá D.C.</x:v>
      </x:c>
      <x:c r="F834" t="str">
        <x:v>Entre $3 M y $5 M</x:v>
      </x:c>
      <x:c r="G834" t="str">
        <x:v>Contenido educativo</x:v>
      </x:c>
      <x:c r="H834" t="n">
        <x:v>4068000</x:v>
      </x:c>
      <x:c r="I834" t="str">
        <x:v>Reducir intereses</x:v>
      </x:c>
      <x:c r="J834" t="str">
        <x:v>Plus mensual</x:v>
      </x:c>
    </x:row>
    <x:row r="835">
      <x:c r="A835" t="str">
        <x:v>USR-00834</x:v>
      </x:c>
      <x:c r="B835" t="n">
        <x:v>46156</x:v>
      </x:c>
      <x:c r="C835" t="n">
        <x:v>63</x:v>
      </x:c>
      <x:c r="D835" t="str">
        <x:v>Medellín</x:v>
      </x:c>
      <x:c r="E835" t="str">
        <x:v>Antioquia</x:v>
      </x:c>
      <x:c r="F835" t="str">
        <x:v>Entre $3 M y $5 M</x:v>
      </x:c>
      <x:c r="G835" t="str">
        <x:v>Orgánico</x:v>
      </x:c>
      <x:c r="H835" t="n">
        <x:v>3496000</x:v>
      </x:c>
      <x:c r="I835" t="str">
        <x:v>Organización inicial</x:v>
      </x:c>
      <x:c r="J835" t="str">
        <x:v>Cero</x:v>
      </x:c>
    </x:row>
    <x:row r="836">
      <x:c r="A836" t="str">
        <x:v>USR-00835</x:v>
      </x:c>
      <x:c r="B836" t="n">
        <x:v>46147</x:v>
      </x:c>
      <x:c r="C836" t="n">
        <x:v>48</x:v>
      </x:c>
      <x:c r="D836" t="str">
        <x:v>Bogotá</x:v>
      </x:c>
      <x:c r="E836" t="str">
        <x:v>Bogotá D.C.</x:v>
      </x:c>
      <x:c r="F836" t="str">
        <x:v>Entre $3 M y $5 M</x:v>
      </x:c>
      <x:c r="G836" t="str">
        <x:v>Redes sociales</x:v>
      </x:c>
      <x:c r="H836" t="n">
        <x:v>4172000</x:v>
      </x:c>
      <x:c r="I836" t="str">
        <x:v>Salir de deudas</x:v>
      </x:c>
      <x:c r="J836" t="str">
        <x:v>Cero</x:v>
      </x:c>
    </x:row>
    <x:row r="837">
      <x:c r="A837" t="str">
        <x:v>USR-00836</x:v>
      </x:c>
      <x:c r="B837" t="n">
        <x:v>46166</x:v>
      </x:c>
      <x:c r="C837" t="n">
        <x:v>20</x:v>
      </x:c>
      <x:c r="D837" t="str">
        <x:v>Medellín</x:v>
      </x:c>
      <x:c r="E837" t="str">
        <x:v>Antioquia</x:v>
      </x:c>
      <x:c r="F837" t="str">
        <x:v>Entre $1,5 M y $3 M</x:v>
      </x:c>
      <x:c r="G837" t="str">
        <x:v>Búsqueda paga</x:v>
      </x:c>
      <x:c r="H837" t="n">
        <x:v>1952000</x:v>
      </x:c>
      <x:c r="I837" t="str">
        <x:v>Organización inicial</x:v>
      </x:c>
      <x:c r="J837" t="str">
        <x:v>Plus mensual</x:v>
      </x:c>
    </x:row>
    <x:row r="838">
      <x:c r="A838" t="str">
        <x:v>USR-00837</x:v>
      </x:c>
      <x:c r="B838" t="n">
        <x:v>46161</x:v>
      </x:c>
      <x:c r="C838" t="n">
        <x:v>53</x:v>
      </x:c>
      <x:c r="D838" t="str">
        <x:v>Pereira</x:v>
      </x:c>
      <x:c r="E838" t="str">
        <x:v>Risaralda</x:v>
      </x:c>
      <x:c r="F838" t="str">
        <x:v>Entre $3 M y $5 M</x:v>
      </x:c>
      <x:c r="G838" t="str">
        <x:v>Contenido educativo</x:v>
      </x:c>
      <x:c r="H838" t="n">
        <x:v>3274000</x:v>
      </x:c>
      <x:c r="I838" t="str">
        <x:v>Reducir intereses</x:v>
      </x:c>
      <x:c r="J838" t="str">
        <x:v>Plus anual</x:v>
      </x:c>
    </x:row>
    <x:row r="839">
      <x:c r="A839" t="str">
        <x:v>USR-00838</x:v>
      </x:c>
      <x:c r="B839" t="n">
        <x:v>46164</x:v>
      </x:c>
      <x:c r="C839" t="n">
        <x:v>34</x:v>
      </x:c>
      <x:c r="D839" t="str">
        <x:v>Bogotá</x:v>
      </x:c>
      <x:c r="E839" t="str">
        <x:v>Bogotá D.C.</x:v>
      </x:c>
      <x:c r="F839" t="str">
        <x:v>Entre $3 M y $5 M</x:v>
      </x:c>
      <x:c r="G839" t="str">
        <x:v>Orgánico</x:v>
      </x:c>
      <x:c r="H839" t="n">
        <x:v>3894000</x:v>
      </x:c>
      <x:c r="I839" t="str">
        <x:v>Salir de deudas</x:v>
      </x:c>
      <x:c r="J839" t="str">
        <x:v>Cero</x:v>
      </x:c>
    </x:row>
    <x:row r="840">
      <x:c r="A840" t="str">
        <x:v>USR-00839</x:v>
      </x:c>
      <x:c r="B840" t="n">
        <x:v>46146</x:v>
      </x:c>
      <x:c r="C840" t="n">
        <x:v>44</x:v>
      </x:c>
      <x:c r="D840" t="str">
        <x:v>Cartagena</x:v>
      </x:c>
      <x:c r="E840" t="str">
        <x:v>Bolívar</x:v>
      </x:c>
      <x:c r="F840" t="str">
        <x:v>Entre $1,5 M y $3 M</x:v>
      </x:c>
      <x:c r="G840" t="str">
        <x:v>Alianzas</x:v>
      </x:c>
      <x:c r="H840" t="n">
        <x:v>1672000</x:v>
      </x:c>
      <x:c r="I840" t="str">
        <x:v>Salir de deudas</x:v>
      </x:c>
      <x:c r="J840" t="str">
        <x:v>Cero</x:v>
      </x:c>
    </x:row>
    <x:row r="841">
      <x:c r="A841" t="str">
        <x:v>USR-00840</x:v>
      </x:c>
      <x:c r="B841" t="n">
        <x:v>46166</x:v>
      </x:c>
      <x:c r="C841" t="n">
        <x:v>32</x:v>
      </x:c>
      <x:c r="D841" t="str">
        <x:v>Manizales</x:v>
      </x:c>
      <x:c r="E841" t="str">
        <x:v>Caldas</x:v>
      </x:c>
      <x:c r="F841" t="str">
        <x:v>Más de $5 M</x:v>
      </x:c>
      <x:c r="G841" t="str">
        <x:v>Orgánico</x:v>
      </x:c>
      <x:c r="H841" t="n">
        <x:v>7918000</x:v>
      </x:c>
      <x:c r="I841" t="str">
        <x:v>Control de pagos</x:v>
      </x:c>
      <x:c r="J841" t="str">
        <x:v>Cero</x:v>
      </x:c>
    </x:row>
    <x:row r="842">
      <x:c r="A842" t="str">
        <x:v>USR-00841</x:v>
      </x:c>
      <x:c r="B842" t="n">
        <x:v>46162</x:v>
      </x:c>
      <x:c r="C842" t="n">
        <x:v>34</x:v>
      </x:c>
      <x:c r="D842" t="str">
        <x:v>Bogotá</x:v>
      </x:c>
      <x:c r="E842" t="str">
        <x:v>Bogotá D.C.</x:v>
      </x:c>
      <x:c r="F842" t="str">
        <x:v>Entre $3 M y $5 M</x:v>
      </x:c>
      <x:c r="G842" t="str">
        <x:v>Búsqueda paga</x:v>
      </x:c>
      <x:c r="H842" t="n">
        <x:v>3382000</x:v>
      </x:c>
      <x:c r="I842" t="str">
        <x:v>Organización inicial</x:v>
      </x:c>
      <x:c r="J842" t="str">
        <x:v>Plus mensual</x:v>
      </x:c>
    </x:row>
    <x:row r="843">
      <x:c r="A843" t="str">
        <x:v>USR-00842</x:v>
      </x:c>
      <x:c r="B843" t="n">
        <x:v>46164</x:v>
      </x:c>
      <x:c r="C843" t="n">
        <x:v>43</x:v>
      </x:c>
      <x:c r="D843" t="str">
        <x:v>Medellín</x:v>
      </x:c>
      <x:c r="E843" t="str">
        <x:v>Antioquia</x:v>
      </x:c>
      <x:c r="F843" t="str">
        <x:v>Entre $1,5 M y $3 M</x:v>
      </x:c>
      <x:c r="G843" t="str">
        <x:v>Búsqueda paga</x:v>
      </x:c>
      <x:c r="H843" t="n">
        <x:v>1862000</x:v>
      </x:c>
      <x:c r="I843" t="str">
        <x:v>Control de pagos</x:v>
      </x:c>
      <x:c r="J843" t="str">
        <x:v>Cero</x:v>
      </x:c>
    </x:row>
    <x:row r="844">
      <x:c r="A844" t="str">
        <x:v>USR-00843</x:v>
      </x:c>
      <x:c r="B844" t="n">
        <x:v>46169</x:v>
      </x:c>
      <x:c r="C844" t="n">
        <x:v>53</x:v>
      </x:c>
      <x:c r="D844" t="str">
        <x:v>Bucaramanga</x:v>
      </x:c>
      <x:c r="E844" t="str">
        <x:v>Santander</x:v>
      </x:c>
      <x:c r="F844" t="str">
        <x:v>Entre $1,5 M y $3 M</x:v>
      </x:c>
      <x:c r="G844" t="str">
        <x:v>Redes sociales</x:v>
      </x:c>
      <x:c r="H844" t="n">
        <x:v>1663000</x:v>
      </x:c>
      <x:c r="I844" t="str">
        <x:v>Control de pagos</x:v>
      </x:c>
      <x:c r="J844" t="str">
        <x:v>Cero</x:v>
      </x:c>
    </x:row>
    <x:row r="845">
      <x:c r="A845" t="str">
        <x:v>USR-00844</x:v>
      </x:c>
      <x:c r="B845" t="n">
        <x:v>46144</x:v>
      </x:c>
      <x:c r="C845" t="n">
        <x:v>27</x:v>
      </x:c>
      <x:c r="D845" t="str">
        <x:v>Medellín</x:v>
      </x:c>
      <x:c r="E845" t="str">
        <x:v>Antioquia</x:v>
      </x:c>
      <x:c r="F845" t="str">
        <x:v>Entre $1,5 M y $3 M</x:v>
      </x:c>
      <x:c r="G845" t="str">
        <x:v>Redes sociales</x:v>
      </x:c>
      <x:c r="H845" t="n">
        <x:v>2652000</x:v>
      </x:c>
      <x:c r="I845" t="str">
        <x:v>Organización inicial</x:v>
      </x:c>
      <x:c r="J845" t="str">
        <x:v>Cero</x:v>
      </x:c>
    </x:row>
    <x:row r="846">
      <x:c r="A846" t="str">
        <x:v>USR-00845</x:v>
      </x:c>
      <x:c r="B846" t="n">
        <x:v>46151</x:v>
      </x:c>
      <x:c r="C846" t="n">
        <x:v>64</x:v>
      </x:c>
      <x:c r="D846" t="str">
        <x:v>Pereira</x:v>
      </x:c>
      <x:c r="E846" t="str">
        <x:v>Risaralda</x:v>
      </x:c>
      <x:c r="F846" t="str">
        <x:v>Entre $3 M y $5 M</x:v>
      </x:c>
      <x:c r="G846" t="str">
        <x:v>Redes sociales</x:v>
      </x:c>
      <x:c r="H846" t="n">
        <x:v>3060000</x:v>
      </x:c>
      <x:c r="I846" t="str">
        <x:v>Organización inicial</x:v>
      </x:c>
      <x:c r="J846" t="str">
        <x:v>Inactivo</x:v>
      </x:c>
    </x:row>
    <x:row r="847">
      <x:c r="A847" t="str">
        <x:v>USR-00846</x:v>
      </x:c>
      <x:c r="B847" t="n">
        <x:v>46157</x:v>
      </x:c>
      <x:c r="C847" t="n">
        <x:v>52</x:v>
      </x:c>
      <x:c r="D847" t="str">
        <x:v>Bogotá</x:v>
      </x:c>
      <x:c r="E847" t="str">
        <x:v>Bogotá D.C.</x:v>
      </x:c>
      <x:c r="F847" t="str">
        <x:v>Entre $1,5 M y $3 M</x:v>
      </x:c>
      <x:c r="G847" t="str">
        <x:v>Orgánico</x:v>
      </x:c>
      <x:c r="H847" t="n">
        <x:v>2066000</x:v>
      </x:c>
      <x:c r="I847" t="str">
        <x:v>Salir de deudas</x:v>
      </x:c>
      <x:c r="J847" t="str">
        <x:v>Plus mensual</x:v>
      </x:c>
    </x:row>
    <x:row r="848">
      <x:c r="A848" t="str">
        <x:v>USR-00847</x:v>
      </x:c>
      <x:c r="B848" t="n">
        <x:v>46144</x:v>
      </x:c>
      <x:c r="C848" t="n">
        <x:v>29</x:v>
      </x:c>
      <x:c r="D848" t="str">
        <x:v>Bogotá</x:v>
      </x:c>
      <x:c r="E848" t="str">
        <x:v>Bogotá D.C.</x:v>
      </x:c>
      <x:c r="F848" t="str">
        <x:v>Entre $3 M y $5 M</x:v>
      </x:c>
      <x:c r="G848" t="str">
        <x:v>Orgánico</x:v>
      </x:c>
      <x:c r="H848" t="n">
        <x:v>4091000</x:v>
      </x:c>
      <x:c r="I848" t="str">
        <x:v>Salir de deudas</x:v>
      </x:c>
      <x:c r="J848" t="str">
        <x:v>Cero</x:v>
      </x:c>
    </x:row>
    <x:row r="849">
      <x:c r="A849" t="str">
        <x:v>USR-00848</x:v>
      </x:c>
      <x:c r="B849" t="n">
        <x:v>46167</x:v>
      </x:c>
      <x:c r="C849" t="n">
        <x:v>37</x:v>
      </x:c>
      <x:c r="D849" t="str">
        <x:v>Cali</x:v>
      </x:c>
      <x:c r="E849" t="str">
        <x:v>Valle del Cauca</x:v>
      </x:c>
      <x:c r="F849" t="str">
        <x:v>Entre $3 M y $5 M</x:v>
      </x:c>
      <x:c r="G849" t="str">
        <x:v>Búsqueda paga</x:v>
      </x:c>
      <x:c r="H849" t="n">
        <x:v>4718000</x:v>
      </x:c>
      <x:c r="I849" t="str">
        <x:v>Organización inicial</x:v>
      </x:c>
      <x:c r="J849" t="str">
        <x:v>Plus anual</x:v>
      </x:c>
    </x:row>
    <x:row r="850">
      <x:c r="A850" t="str">
        <x:v>USR-00849</x:v>
      </x:c>
      <x:c r="B850" t="n">
        <x:v>46161</x:v>
      </x:c>
      <x:c r="C850" t="n">
        <x:v>45</x:v>
      </x:c>
      <x:c r="D850" t="str">
        <x:v>Cali</x:v>
      </x:c>
      <x:c r="E850" t="str">
        <x:v>Valle del Cauca</x:v>
      </x:c>
      <x:c r="F850" t="str">
        <x:v>Entre $1,5 M y $3 M</x:v>
      </x:c>
      <x:c r="G850" t="str">
        <x:v>Referidos</x:v>
      </x:c>
      <x:c r="H850" t="n">
        <x:v>2398000</x:v>
      </x:c>
      <x:c r="I850" t="str">
        <x:v>Control de pagos</x:v>
      </x:c>
      <x:c r="J850" t="str">
        <x:v>Plus mensual</x:v>
      </x:c>
    </x:row>
    <x:row r="851">
      <x:c r="A851" t="str">
        <x:v>USR-00850</x:v>
      </x:c>
      <x:c r="B851" t="n">
        <x:v>46152</x:v>
      </x:c>
      <x:c r="C851" t="n">
        <x:v>24</x:v>
      </x:c>
      <x:c r="D851" t="str">
        <x:v>Barranquilla</x:v>
      </x:c>
      <x:c r="E851" t="str">
        <x:v>Atlántico</x:v>
      </x:c>
      <x:c r="F851" t="str">
        <x:v>Entre $1,5 M y $3 M</x:v>
      </x:c>
      <x:c r="G851" t="str">
        <x:v>Alianzas</x:v>
      </x:c>
      <x:c r="H851" t="n">
        <x:v>2443000</x:v>
      </x:c>
      <x:c r="I851" t="str">
        <x:v>Salir de deudas</x:v>
      </x:c>
      <x:c r="J851" t="str">
        <x:v>Plus mensual</x:v>
      </x:c>
    </x:row>
    <x:row r="852">
      <x:c r="A852" t="str">
        <x:v>USR-00851</x:v>
      </x:c>
      <x:c r="B852" t="n">
        <x:v>46149</x:v>
      </x:c>
      <x:c r="C852" t="n">
        <x:v>61</x:v>
      </x:c>
      <x:c r="D852" t="str">
        <x:v>Bogotá</x:v>
      </x:c>
      <x:c r="E852" t="str">
        <x:v>Bogotá D.C.</x:v>
      </x:c>
      <x:c r="F852" t="str">
        <x:v>Entre $1,5 M y $3 M</x:v>
      </x:c>
      <x:c r="G852" t="str">
        <x:v>Referidos</x:v>
      </x:c>
      <x:c r="H852" t="n">
        <x:v>2027000</x:v>
      </x:c>
      <x:c r="I852" t="str">
        <x:v>Control de pagos</x:v>
      </x:c>
      <x:c r="J852" t="str">
        <x:v>Plus anual</x:v>
      </x:c>
    </x:row>
    <x:row r="853">
      <x:c r="A853" t="str">
        <x:v>USR-00852</x:v>
      </x:c>
      <x:c r="B853" t="n">
        <x:v>46146</x:v>
      </x:c>
      <x:c r="C853" t="n">
        <x:v>64</x:v>
      </x:c>
      <x:c r="D853" t="str">
        <x:v>Bogotá</x:v>
      </x:c>
      <x:c r="E853" t="str">
        <x:v>Bogotá D.C.</x:v>
      </x:c>
      <x:c r="F853" t="str">
        <x:v>Entre $1,5 M y $3 M</x:v>
      </x:c>
      <x:c r="G853" t="str">
        <x:v>Redes sociales</x:v>
      </x:c>
      <x:c r="H853" t="n">
        <x:v>2408000</x:v>
      </x:c>
      <x:c r="I853" t="str">
        <x:v>Reducir intereses</x:v>
      </x:c>
      <x:c r="J853" t="str">
        <x:v>Plus anual</x:v>
      </x:c>
    </x:row>
    <x:row r="854">
      <x:c r="A854" t="str">
        <x:v>USR-00853</x:v>
      </x:c>
      <x:c r="B854" t="n">
        <x:v>46151</x:v>
      </x:c>
      <x:c r="C854" t="n">
        <x:v>33</x:v>
      </x:c>
      <x:c r="D854" t="str">
        <x:v>Bogotá</x:v>
      </x:c>
      <x:c r="E854" t="str">
        <x:v>Bogotá D.C.</x:v>
      </x:c>
      <x:c r="F854" t="str">
        <x:v>Entre $3 M y $5 M</x:v>
      </x:c>
      <x:c r="G854" t="str">
        <x:v>Referidos</x:v>
      </x:c>
      <x:c r="H854" t="n">
        <x:v>4911000</x:v>
      </x:c>
      <x:c r="I854" t="str">
        <x:v>Reducir intereses</x:v>
      </x:c>
      <x:c r="J854" t="str">
        <x:v>Cero</x:v>
      </x:c>
    </x:row>
    <x:row r="855">
      <x:c r="A855" t="str">
        <x:v>USR-00854</x:v>
      </x:c>
      <x:c r="B855" t="n">
        <x:v>46158</x:v>
      </x:c>
      <x:c r="C855" t="n">
        <x:v>28</x:v>
      </x:c>
      <x:c r="D855" t="str">
        <x:v>Pereira</x:v>
      </x:c>
      <x:c r="E855" t="str">
        <x:v>Risaralda</x:v>
      </x:c>
      <x:c r="F855" t="str">
        <x:v>Menos de $1,5 M</x:v>
      </x:c>
      <x:c r="G855" t="str">
        <x:v>Referidos</x:v>
      </x:c>
      <x:c r="H855" t="n">
        <x:v>1347000</x:v>
      </x:c>
      <x:c r="I855" t="str">
        <x:v>Control de pagos</x:v>
      </x:c>
      <x:c r="J855" t="str">
        <x:v>Cero</x:v>
      </x:c>
    </x:row>
    <x:row r="856">
      <x:c r="A856" t="str">
        <x:v>USR-00855</x:v>
      </x:c>
      <x:c r="B856" t="n">
        <x:v>46164</x:v>
      </x:c>
      <x:c r="C856" t="n">
        <x:v>56</x:v>
      </x:c>
      <x:c r="D856" t="str">
        <x:v>Bogotá</x:v>
      </x:c>
      <x:c r="E856" t="str">
        <x:v>Bogotá D.C.</x:v>
      </x:c>
      <x:c r="F856" t="str">
        <x:v>Entre $1,5 M y $3 M</x:v>
      </x:c>
      <x:c r="G856" t="str">
        <x:v>Búsqueda paga</x:v>
      </x:c>
      <x:c r="H856" t="n">
        <x:v>2485000</x:v>
      </x:c>
      <x:c r="I856" t="str">
        <x:v>Reducir intereses</x:v>
      </x:c>
      <x:c r="J856" t="str">
        <x:v>Cero</x:v>
      </x:c>
    </x:row>
    <x:row r="857">
      <x:c r="A857" t="str">
        <x:v>USR-00856</x:v>
      </x:c>
      <x:c r="B857" t="n">
        <x:v>46167</x:v>
      </x:c>
      <x:c r="C857" t="n">
        <x:v>46</x:v>
      </x:c>
      <x:c r="D857" t="str">
        <x:v>Pereira</x:v>
      </x:c>
      <x:c r="E857" t="str">
        <x:v>Risaralda</x:v>
      </x:c>
      <x:c r="F857" t="str">
        <x:v>Entre $1,5 M y $3 M</x:v>
      </x:c>
      <x:c r="G857" t="str">
        <x:v>Orgánico</x:v>
      </x:c>
      <x:c r="H857" t="n">
        <x:v>2782000</x:v>
      </x:c>
      <x:c r="I857" t="str">
        <x:v>Salir de deudas</x:v>
      </x:c>
      <x:c r="J857" t="str">
        <x:v>Plus mensual</x:v>
      </x:c>
    </x:row>
    <x:row r="858">
      <x:c r="A858" t="str">
        <x:v>USR-00857</x:v>
      </x:c>
      <x:c r="B858" t="n">
        <x:v>46143</x:v>
      </x:c>
      <x:c r="C858" t="n">
        <x:v>40</x:v>
      </x:c>
      <x:c r="D858" t="str">
        <x:v>Bogotá</x:v>
      </x:c>
      <x:c r="E858" t="str">
        <x:v>Bogotá D.C.</x:v>
      </x:c>
      <x:c r="F858" t="str">
        <x:v>Entre $1,5 M y $3 M</x:v>
      </x:c>
      <x:c r="G858" t="str">
        <x:v>Búsqueda paga</x:v>
      </x:c>
      <x:c r="H858" t="n">
        <x:v>2052000</x:v>
      </x:c>
      <x:c r="I858" t="str">
        <x:v>Salir de deudas</x:v>
      </x:c>
      <x:c r="J858" t="str">
        <x:v>Cero</x:v>
      </x:c>
    </x:row>
    <x:row r="859">
      <x:c r="A859" t="str">
        <x:v>USR-00858</x:v>
      </x:c>
      <x:c r="B859" t="n">
        <x:v>46146</x:v>
      </x:c>
      <x:c r="C859" t="n">
        <x:v>47</x:v>
      </x:c>
      <x:c r="D859" t="str">
        <x:v>Bogotá</x:v>
      </x:c>
      <x:c r="E859" t="str">
        <x:v>Bogotá D.C.</x:v>
      </x:c>
      <x:c r="F859" t="str">
        <x:v>Entre $1,5 M y $3 M</x:v>
      </x:c>
      <x:c r="G859" t="str">
        <x:v>Búsqueda paga</x:v>
      </x:c>
      <x:c r="H859" t="n">
        <x:v>2194000</x:v>
      </x:c>
      <x:c r="I859" t="str">
        <x:v>Control de pagos</x:v>
      </x:c>
      <x:c r="J859" t="str">
        <x:v>Plus mensual</x:v>
      </x:c>
    </x:row>
    <x:row r="860">
      <x:c r="A860" t="str">
        <x:v>USR-00859</x:v>
      </x:c>
      <x:c r="B860" t="n">
        <x:v>46157</x:v>
      </x:c>
      <x:c r="C860" t="n">
        <x:v>22</x:v>
      </x:c>
      <x:c r="D860" t="str">
        <x:v>Bucaramanga</x:v>
      </x:c>
      <x:c r="E860" t="str">
        <x:v>Santander</x:v>
      </x:c>
      <x:c r="F860" t="str">
        <x:v>Entre $1,5 M y $3 M</x:v>
      </x:c>
      <x:c r="G860" t="str">
        <x:v>Referidos</x:v>
      </x:c>
      <x:c r="H860" t="n">
        <x:v>1762000</x:v>
      </x:c>
      <x:c r="I860" t="str">
        <x:v>Control de pagos</x:v>
      </x:c>
      <x:c r="J860" t="str">
        <x:v>Plus mensual</x:v>
      </x:c>
    </x:row>
    <x:row r="861">
      <x:c r="A861" t="str">
        <x:v>USR-00860</x:v>
      </x:c>
      <x:c r="B861" t="n">
        <x:v>46149</x:v>
      </x:c>
      <x:c r="C861" t="n">
        <x:v>56</x:v>
      </x:c>
      <x:c r="D861" t="str">
        <x:v>Cali</x:v>
      </x:c>
      <x:c r="E861" t="str">
        <x:v>Valle del Cauca</x:v>
      </x:c>
      <x:c r="F861" t="str">
        <x:v>Entre $3 M y $5 M</x:v>
      </x:c>
      <x:c r="G861" t="str">
        <x:v>Referidos</x:v>
      </x:c>
      <x:c r="H861" t="n">
        <x:v>3982000</x:v>
      </x:c>
      <x:c r="I861" t="str">
        <x:v>Salir de deudas</x:v>
      </x:c>
      <x:c r="J861" t="str">
        <x:v>Plus mensual</x:v>
      </x:c>
    </x:row>
    <x:row r="862">
      <x:c r="A862" t="str">
        <x:v>USR-00861</x:v>
      </x:c>
      <x:c r="B862" t="n">
        <x:v>46165</x:v>
      </x:c>
      <x:c r="C862" t="n">
        <x:v>28</x:v>
      </x:c>
      <x:c r="D862" t="str">
        <x:v>Cali</x:v>
      </x:c>
      <x:c r="E862" t="str">
        <x:v>Valle del Cauca</x:v>
      </x:c>
      <x:c r="F862" t="str">
        <x:v>Entre $3 M y $5 M</x:v>
      </x:c>
      <x:c r="G862" t="str">
        <x:v>Orgánico</x:v>
      </x:c>
      <x:c r="H862" t="n">
        <x:v>4587000</x:v>
      </x:c>
      <x:c r="I862" t="str">
        <x:v>Control de pagos</x:v>
      </x:c>
      <x:c r="J862" t="str">
        <x:v>Plus mensual</x:v>
      </x:c>
    </x:row>
    <x:row r="863">
      <x:c r="A863" t="str">
        <x:v>USR-00862</x:v>
      </x:c>
      <x:c r="B863" t="n">
        <x:v>46150</x:v>
      </x:c>
      <x:c r="C863" t="n">
        <x:v>27</x:v>
      </x:c>
      <x:c r="D863" t="str">
        <x:v>Bogotá</x:v>
      </x:c>
      <x:c r="E863" t="str">
        <x:v>Bogotá D.C.</x:v>
      </x:c>
      <x:c r="F863" t="str">
        <x:v>Entre $1,5 M y $3 M</x:v>
      </x:c>
      <x:c r="G863" t="str">
        <x:v>Búsqueda paga</x:v>
      </x:c>
      <x:c r="H863" t="n">
        <x:v>2690000</x:v>
      </x:c>
      <x:c r="I863" t="str">
        <x:v>Organización inicial</x:v>
      </x:c>
      <x:c r="J863" t="str">
        <x:v>Plus mensual</x:v>
      </x:c>
    </x:row>
    <x:row r="864">
      <x:c r="A864" t="str">
        <x:v>USR-00863</x:v>
      </x:c>
      <x:c r="B864" t="n">
        <x:v>46147</x:v>
      </x:c>
      <x:c r="C864" t="n">
        <x:v>20</x:v>
      </x:c>
      <x:c r="D864" t="str">
        <x:v>Bucaramanga</x:v>
      </x:c>
      <x:c r="E864" t="str">
        <x:v>Santander</x:v>
      </x:c>
      <x:c r="F864" t="str">
        <x:v>Entre $1,5 M y $3 M</x:v>
      </x:c>
      <x:c r="G864" t="str">
        <x:v>Referidos</x:v>
      </x:c>
      <x:c r="H864" t="n">
        <x:v>2721000</x:v>
      </x:c>
      <x:c r="I864" t="str">
        <x:v>Reducir intereses</x:v>
      </x:c>
      <x:c r="J864" t="str">
        <x:v>Cero</x:v>
      </x:c>
    </x:row>
    <x:row r="865">
      <x:c r="A865" t="str">
        <x:v>USR-00864</x:v>
      </x:c>
      <x:c r="B865" t="n">
        <x:v>46151</x:v>
      </x:c>
      <x:c r="C865" t="n">
        <x:v>42</x:v>
      </x:c>
      <x:c r="D865" t="str">
        <x:v>Cali</x:v>
      </x:c>
      <x:c r="E865" t="str">
        <x:v>Valle del Cauca</x:v>
      </x:c>
      <x:c r="F865" t="str">
        <x:v>Entre $1,5 M y $3 M</x:v>
      </x:c>
      <x:c r="G865" t="str">
        <x:v>Referidos</x:v>
      </x:c>
      <x:c r="H865" t="n">
        <x:v>1761000</x:v>
      </x:c>
      <x:c r="I865" t="str">
        <x:v>Control de pagos</x:v>
      </x:c>
      <x:c r="J865" t="str">
        <x:v>Cero</x:v>
      </x:c>
    </x:row>
    <x:row r="866">
      <x:c r="A866" t="str">
        <x:v>USR-00865</x:v>
      </x:c>
      <x:c r="B866" t="n">
        <x:v>46152</x:v>
      </x:c>
      <x:c r="C866" t="n">
        <x:v>47</x:v>
      </x:c>
      <x:c r="D866" t="str">
        <x:v>Cali</x:v>
      </x:c>
      <x:c r="E866" t="str">
        <x:v>Valle del Cauca</x:v>
      </x:c>
      <x:c r="F866" t="str">
        <x:v>Entre $3 M y $5 M</x:v>
      </x:c>
      <x:c r="G866" t="str">
        <x:v>Orgánico</x:v>
      </x:c>
      <x:c r="H866" t="n">
        <x:v>3077000</x:v>
      </x:c>
      <x:c r="I866" t="str">
        <x:v>Organización inicial</x:v>
      </x:c>
      <x:c r="J866" t="str">
        <x:v>Cero</x:v>
      </x:c>
    </x:row>
    <x:row r="867">
      <x:c r="A867" t="str">
        <x:v>USR-00866</x:v>
      </x:c>
      <x:c r="B867" t="n">
        <x:v>46157</x:v>
      </x:c>
      <x:c r="C867" t="n">
        <x:v>32</x:v>
      </x:c>
      <x:c r="D867" t="str">
        <x:v>Cali</x:v>
      </x:c>
      <x:c r="E867" t="str">
        <x:v>Valle del Cauca</x:v>
      </x:c>
      <x:c r="F867" t="str">
        <x:v>Menos de $1,5 M</x:v>
      </x:c>
      <x:c r="G867" t="str">
        <x:v>Referidos</x:v>
      </x:c>
      <x:c r="H867" t="n">
        <x:v>1189000</x:v>
      </x:c>
      <x:c r="I867" t="str">
        <x:v>Control de pagos</x:v>
      </x:c>
      <x:c r="J867" t="str">
        <x:v>Plus mensual</x:v>
      </x:c>
    </x:row>
    <x:row r="868">
      <x:c r="A868" t="str">
        <x:v>USR-00867</x:v>
      </x:c>
      <x:c r="B868" t="n">
        <x:v>46150</x:v>
      </x:c>
      <x:c r="C868" t="n">
        <x:v>24</x:v>
      </x:c>
      <x:c r="D868" t="str">
        <x:v>Medellín</x:v>
      </x:c>
      <x:c r="E868" t="str">
        <x:v>Antioquia</x:v>
      </x:c>
      <x:c r="F868" t="str">
        <x:v>Entre $1,5 M y $3 M</x:v>
      </x:c>
      <x:c r="G868" t="str">
        <x:v>Referidos</x:v>
      </x:c>
      <x:c r="H868" t="n">
        <x:v>1891000</x:v>
      </x:c>
      <x:c r="I868" t="str">
        <x:v>Reducir intereses</x:v>
      </x:c>
      <x:c r="J868" t="str">
        <x:v>Cero</x:v>
      </x:c>
    </x:row>
    <x:row r="869">
      <x:c r="A869" t="str">
        <x:v>USR-00868</x:v>
      </x:c>
      <x:c r="B869" t="n">
        <x:v>46162</x:v>
      </x:c>
      <x:c r="C869" t="n">
        <x:v>55</x:v>
      </x:c>
      <x:c r="D869" t="str">
        <x:v>Bogotá</x:v>
      </x:c>
      <x:c r="E869" t="str">
        <x:v>Bogotá D.C.</x:v>
      </x:c>
      <x:c r="F869" t="str">
        <x:v>Entre $3 M y $5 M</x:v>
      </x:c>
      <x:c r="G869" t="str">
        <x:v>Búsqueda paga</x:v>
      </x:c>
      <x:c r="H869" t="n">
        <x:v>4894000</x:v>
      </x:c>
      <x:c r="I869" t="str">
        <x:v>Salir de deudas</x:v>
      </x:c>
      <x:c r="J869" t="str">
        <x:v>Cero</x:v>
      </x:c>
    </x:row>
    <x:row r="870">
      <x:c r="A870" t="str">
        <x:v>USR-00869</x:v>
      </x:c>
      <x:c r="B870" t="n">
        <x:v>46162</x:v>
      </x:c>
      <x:c r="C870" t="n">
        <x:v>44</x:v>
      </x:c>
      <x:c r="D870" t="str">
        <x:v>Bogotá</x:v>
      </x:c>
      <x:c r="E870" t="str">
        <x:v>Bogotá D.C.</x:v>
      </x:c>
      <x:c r="F870" t="str">
        <x:v>Menos de $1,5 M</x:v>
      </x:c>
      <x:c r="G870" t="str">
        <x:v>Redes sociales</x:v>
      </x:c>
      <x:c r="H870" t="n">
        <x:v>1255000</x:v>
      </x:c>
      <x:c r="I870" t="str">
        <x:v>Salir de deudas</x:v>
      </x:c>
      <x:c r="J870" t="str">
        <x:v>Cero</x:v>
      </x:c>
    </x:row>
    <x:row r="871">
      <x:c r="A871" t="str">
        <x:v>USR-00870</x:v>
      </x:c>
      <x:c r="B871" t="n">
        <x:v>46155</x:v>
      </x:c>
      <x:c r="C871" t="n">
        <x:v>39</x:v>
      </x:c>
      <x:c r="D871" t="str">
        <x:v>Villavicencio</x:v>
      </x:c>
      <x:c r="E871" t="str">
        <x:v>Meta</x:v>
      </x:c>
      <x:c r="F871" t="str">
        <x:v>Entre $1,5 M y $3 M</x:v>
      </x:c>
      <x:c r="G871" t="str">
        <x:v>Redes sociales</x:v>
      </x:c>
      <x:c r="H871" t="n">
        <x:v>1631000</x:v>
      </x:c>
      <x:c r="I871" t="str">
        <x:v>Salir de deudas</x:v>
      </x:c>
      <x:c r="J871" t="str">
        <x:v>Cero</x:v>
      </x:c>
    </x:row>
    <x:row r="872">
      <x:c r="A872" t="str">
        <x:v>USR-00871</x:v>
      </x:c>
      <x:c r="B872" t="n">
        <x:v>46168</x:v>
      </x:c>
      <x:c r="C872" t="n">
        <x:v>31</x:v>
      </x:c>
      <x:c r="D872" t="str">
        <x:v>Barranquilla</x:v>
      </x:c>
      <x:c r="E872" t="str">
        <x:v>Atlántico</x:v>
      </x:c>
      <x:c r="F872" t="str">
        <x:v>Entre $1,5 M y $3 M</x:v>
      </x:c>
      <x:c r="G872" t="str">
        <x:v>Alianzas</x:v>
      </x:c>
      <x:c r="H872" t="n">
        <x:v>2335000</x:v>
      </x:c>
      <x:c r="I872" t="str">
        <x:v>Salir de deudas</x:v>
      </x:c>
      <x:c r="J872" t="str">
        <x:v>Plus mensual</x:v>
      </x:c>
    </x:row>
    <x:row r="873">
      <x:c r="A873" t="str">
        <x:v>USR-00872</x:v>
      </x:c>
      <x:c r="B873" t="n">
        <x:v>46144</x:v>
      </x:c>
      <x:c r="C873" t="n">
        <x:v>29</x:v>
      </x:c>
      <x:c r="D873" t="str">
        <x:v>Cali</x:v>
      </x:c>
      <x:c r="E873" t="str">
        <x:v>Valle del Cauca</x:v>
      </x:c>
      <x:c r="F873" t="str">
        <x:v>Entre $1,5 M y $3 M</x:v>
      </x:c>
      <x:c r="G873" t="str">
        <x:v>Búsqueda paga</x:v>
      </x:c>
      <x:c r="H873" t="n">
        <x:v>2282000</x:v>
      </x:c>
      <x:c r="I873" t="str">
        <x:v>Organización inicial</x:v>
      </x:c>
      <x:c r="J873" t="str">
        <x:v>Cero</x:v>
      </x:c>
    </x:row>
    <x:row r="874">
      <x:c r="A874" t="str">
        <x:v>USR-00873</x:v>
      </x:c>
      <x:c r="B874" t="n">
        <x:v>46164</x:v>
      </x:c>
      <x:c r="C874" t="n">
        <x:v>38</x:v>
      </x:c>
      <x:c r="D874" t="str">
        <x:v>Medellín</x:v>
      </x:c>
      <x:c r="E874" t="str">
        <x:v>Antioquia</x:v>
      </x:c>
      <x:c r="F874" t="str">
        <x:v>Entre $1,5 M y $3 M</x:v>
      </x:c>
      <x:c r="G874" t="str">
        <x:v>Redes sociales</x:v>
      </x:c>
      <x:c r="H874" t="n">
        <x:v>1839000</x:v>
      </x:c>
      <x:c r="I874" t="str">
        <x:v>Reducir intereses</x:v>
      </x:c>
      <x:c r="J874" t="str">
        <x:v>Cero</x:v>
      </x:c>
    </x:row>
    <x:row r="875">
      <x:c r="A875" t="str">
        <x:v>USR-00874</x:v>
      </x:c>
      <x:c r="B875" t="n">
        <x:v>46169</x:v>
      </x:c>
      <x:c r="C875" t="n">
        <x:v>57</x:v>
      </x:c>
      <x:c r="D875" t="str">
        <x:v>Medellín</x:v>
      </x:c>
      <x:c r="E875" t="str">
        <x:v>Antioquia</x:v>
      </x:c>
      <x:c r="F875" t="str">
        <x:v>Menos de $1,5 M</x:v>
      </x:c>
      <x:c r="G875" t="str">
        <x:v>Búsqueda paga</x:v>
      </x:c>
      <x:c r="H875" t="n">
        <x:v>1442000</x:v>
      </x:c>
      <x:c r="I875" t="str">
        <x:v>Control de pagos</x:v>
      </x:c>
      <x:c r="J875" t="str">
        <x:v>Cero</x:v>
      </x:c>
    </x:row>
    <x:row r="876">
      <x:c r="A876" t="str">
        <x:v>USR-00875</x:v>
      </x:c>
      <x:c r="B876" t="n">
        <x:v>46164</x:v>
      </x:c>
      <x:c r="C876" t="n">
        <x:v>29</x:v>
      </x:c>
      <x:c r="D876" t="str">
        <x:v>Bogotá</x:v>
      </x:c>
      <x:c r="E876" t="str">
        <x:v>Bogotá D.C.</x:v>
      </x:c>
      <x:c r="F876" t="str">
        <x:v>Entre $1,5 M y $3 M</x:v>
      </x:c>
      <x:c r="G876" t="str">
        <x:v>Contenido educativo</x:v>
      </x:c>
      <x:c r="H876" t="n">
        <x:v>2235000</x:v>
      </x:c>
      <x:c r="I876" t="str">
        <x:v>Salir de deudas</x:v>
      </x:c>
      <x:c r="J876" t="str">
        <x:v>Plus mensual</x:v>
      </x:c>
    </x:row>
    <x:row r="877">
      <x:c r="A877" t="str">
        <x:v>USR-00876</x:v>
      </x:c>
      <x:c r="B877" t="n">
        <x:v>46146</x:v>
      </x:c>
      <x:c r="C877" t="n">
        <x:v>25</x:v>
      </x:c>
      <x:c r="D877" t="str">
        <x:v>Medellín</x:v>
      </x:c>
      <x:c r="E877" t="str">
        <x:v>Antioquia</x:v>
      </x:c>
      <x:c r="F877" t="str">
        <x:v>Entre $1,5 M y $3 M</x:v>
      </x:c>
      <x:c r="G877" t="str">
        <x:v>Redes sociales</x:v>
      </x:c>
      <x:c r="H877" t="n">
        <x:v>2518000</x:v>
      </x:c>
      <x:c r="I877" t="str">
        <x:v>Control de pagos</x:v>
      </x:c>
      <x:c r="J877" t="str">
        <x:v>Plus mensual</x:v>
      </x:c>
    </x:row>
    <x:row r="878">
      <x:c r="A878" t="str">
        <x:v>USR-00877</x:v>
      </x:c>
      <x:c r="B878" t="n">
        <x:v>46146</x:v>
      </x:c>
      <x:c r="C878" t="n">
        <x:v>48</x:v>
      </x:c>
      <x:c r="D878" t="str">
        <x:v>Villavicencio</x:v>
      </x:c>
      <x:c r="E878" t="str">
        <x:v>Meta</x:v>
      </x:c>
      <x:c r="F878" t="str">
        <x:v>Entre $3 M y $5 M</x:v>
      </x:c>
      <x:c r="G878" t="str">
        <x:v>Orgánico</x:v>
      </x:c>
      <x:c r="H878" t="n">
        <x:v>3408000</x:v>
      </x:c>
      <x:c r="I878" t="str">
        <x:v>Reducir intereses</x:v>
      </x:c>
      <x:c r="J878" t="str">
        <x:v>Cero</x:v>
      </x:c>
    </x:row>
    <x:row r="879">
      <x:c r="A879" t="str">
        <x:v>USR-00878</x:v>
      </x:c>
      <x:c r="B879" t="n">
        <x:v>46148</x:v>
      </x:c>
      <x:c r="C879" t="n">
        <x:v>23</x:v>
      </x:c>
      <x:c r="D879" t="str">
        <x:v>Manizales</x:v>
      </x:c>
      <x:c r="E879" t="str">
        <x:v>Caldas</x:v>
      </x:c>
      <x:c r="F879" t="str">
        <x:v>Entre $1,5 M y $3 M</x:v>
      </x:c>
      <x:c r="G879" t="str">
        <x:v>Referidos</x:v>
      </x:c>
      <x:c r="H879" t="n">
        <x:v>2792000</x:v>
      </x:c>
      <x:c r="I879" t="str">
        <x:v>Reducir intereses</x:v>
      </x:c>
      <x:c r="J879" t="str">
        <x:v>Cero</x:v>
      </x:c>
    </x:row>
    <x:row r="880">
      <x:c r="A880" t="str">
        <x:v>USR-00879</x:v>
      </x:c>
      <x:c r="B880" t="n">
        <x:v>46149</x:v>
      </x:c>
      <x:c r="C880" t="n">
        <x:v>37</x:v>
      </x:c>
      <x:c r="D880" t="str">
        <x:v>Cali</x:v>
      </x:c>
      <x:c r="E880" t="str">
        <x:v>Valle del Cauca</x:v>
      </x:c>
      <x:c r="F880" t="str">
        <x:v>Menos de $1,5 M</x:v>
      </x:c>
      <x:c r="G880" t="str">
        <x:v>Orgánico</x:v>
      </x:c>
      <x:c r="H880" t="n">
        <x:v>963000</x:v>
      </x:c>
      <x:c r="I880" t="str">
        <x:v>Control de pagos</x:v>
      </x:c>
      <x:c r="J880" t="str">
        <x:v>Plus mensual</x:v>
      </x:c>
    </x:row>
    <x:row r="881">
      <x:c r="A881" t="str">
        <x:v>USR-00880</x:v>
      </x:c>
      <x:c r="B881" t="n">
        <x:v>46158</x:v>
      </x:c>
      <x:c r="C881" t="n">
        <x:v>63</x:v>
      </x:c>
      <x:c r="D881" t="str">
        <x:v>Bogotá</x:v>
      </x:c>
      <x:c r="E881" t="str">
        <x:v>Bogotá D.C.</x:v>
      </x:c>
      <x:c r="F881" t="str">
        <x:v>Más de $5 M</x:v>
      </x:c>
      <x:c r="G881" t="str">
        <x:v>Redes sociales</x:v>
      </x:c>
      <x:c r="H881" t="n">
        <x:v>6447000</x:v>
      </x:c>
      <x:c r="I881" t="str">
        <x:v>Salir de deudas</x:v>
      </x:c>
      <x:c r="J881" t="str">
        <x:v>Cero</x:v>
      </x:c>
    </x:row>
    <x:row r="882">
      <x:c r="A882" t="str">
        <x:v>USR-00881</x:v>
      </x:c>
      <x:c r="B882" t="n">
        <x:v>46164</x:v>
      </x:c>
      <x:c r="C882" t="n">
        <x:v>47</x:v>
      </x:c>
      <x:c r="D882" t="str">
        <x:v>Villavicencio</x:v>
      </x:c>
      <x:c r="E882" t="str">
        <x:v>Meta</x:v>
      </x:c>
      <x:c r="F882" t="str">
        <x:v>Entre $1,5 M y $3 M</x:v>
      </x:c>
      <x:c r="G882" t="str">
        <x:v>Redes sociales</x:v>
      </x:c>
      <x:c r="H882" t="n">
        <x:v>2182000</x:v>
      </x:c>
      <x:c r="I882" t="str">
        <x:v>Organización inicial</x:v>
      </x:c>
      <x:c r="J882" t="str">
        <x:v>Cero</x:v>
      </x:c>
    </x:row>
    <x:row r="883">
      <x:c r="A883" t="str">
        <x:v>USR-00882</x:v>
      </x:c>
      <x:c r="B883" t="n">
        <x:v>46149</x:v>
      </x:c>
      <x:c r="C883" t="n">
        <x:v>41</x:v>
      </x:c>
      <x:c r="D883" t="str">
        <x:v>Manizales</x:v>
      </x:c>
      <x:c r="E883" t="str">
        <x:v>Caldas</x:v>
      </x:c>
      <x:c r="F883" t="str">
        <x:v>Entre $1,5 M y $3 M</x:v>
      </x:c>
      <x:c r="G883" t="str">
        <x:v>Contenido educativo</x:v>
      </x:c>
      <x:c r="H883" t="n">
        <x:v>2232000</x:v>
      </x:c>
      <x:c r="I883" t="str">
        <x:v>Salir de deudas</x:v>
      </x:c>
      <x:c r="J883" t="str">
        <x:v>Cero</x:v>
      </x:c>
    </x:row>
    <x:row r="884">
      <x:c r="A884" t="str">
        <x:v>USR-00883</x:v>
      </x:c>
      <x:c r="B884" t="n">
        <x:v>46149</x:v>
      </x:c>
      <x:c r="C884" t="n">
        <x:v>27</x:v>
      </x:c>
      <x:c r="D884" t="str">
        <x:v>Bogotá</x:v>
      </x:c>
      <x:c r="E884" t="str">
        <x:v>Bogotá D.C.</x:v>
      </x:c>
      <x:c r="F884" t="str">
        <x:v>Entre $3 M y $5 M</x:v>
      </x:c>
      <x:c r="G884" t="str">
        <x:v>Contenido educativo</x:v>
      </x:c>
      <x:c r="H884" t="n">
        <x:v>3889000</x:v>
      </x:c>
      <x:c r="I884" t="str">
        <x:v>Organización inicial</x:v>
      </x:c>
      <x:c r="J884" t="str">
        <x:v>Cero</x:v>
      </x:c>
    </x:row>
    <x:row r="885">
      <x:c r="A885" t="str">
        <x:v>USR-00884</x:v>
      </x:c>
      <x:c r="B885" t="n">
        <x:v>46151</x:v>
      </x:c>
      <x:c r="C885" t="n">
        <x:v>41</x:v>
      </x:c>
      <x:c r="D885" t="str">
        <x:v>Medellín</x:v>
      </x:c>
      <x:c r="E885" t="str">
        <x:v>Antioquia</x:v>
      </x:c>
      <x:c r="F885" t="str">
        <x:v>Menos de $1,5 M</x:v>
      </x:c>
      <x:c r="G885" t="str">
        <x:v>Contenido educativo</x:v>
      </x:c>
      <x:c r="H885" t="n">
        <x:v>1249000</x:v>
      </x:c>
      <x:c r="I885" t="str">
        <x:v>Control de pagos</x:v>
      </x:c>
      <x:c r="J885" t="str">
        <x:v>Cero</x:v>
      </x:c>
    </x:row>
    <x:row r="886">
      <x:c r="A886" t="str">
        <x:v>USR-00885</x:v>
      </x:c>
      <x:c r="B886" t="n">
        <x:v>46162</x:v>
      </x:c>
      <x:c r="C886" t="n">
        <x:v>26</x:v>
      </x:c>
      <x:c r="D886" t="str">
        <x:v>Barranquilla</x:v>
      </x:c>
      <x:c r="E886" t="str">
        <x:v>Atlántico</x:v>
      </x:c>
      <x:c r="F886" t="str">
        <x:v>Menos de $1,5 M</x:v>
      </x:c>
      <x:c r="G886" t="str">
        <x:v>Alianzas</x:v>
      </x:c>
      <x:c r="H886" t="n">
        <x:v>1223000</x:v>
      </x:c>
      <x:c r="I886" t="str">
        <x:v>Reducir intereses</x:v>
      </x:c>
      <x:c r="J886" t="str">
        <x:v>Plus mensual</x:v>
      </x:c>
    </x:row>
    <x:row r="887">
      <x:c r="A887" t="str">
        <x:v>USR-00886</x:v>
      </x:c>
      <x:c r="B887" t="n">
        <x:v>46154</x:v>
      </x:c>
      <x:c r="C887" t="n">
        <x:v>22</x:v>
      </x:c>
      <x:c r="D887" t="str">
        <x:v>Cali</x:v>
      </x:c>
      <x:c r="E887" t="str">
        <x:v>Valle del Cauca</x:v>
      </x:c>
      <x:c r="F887" t="str">
        <x:v>Menos de $1,5 M</x:v>
      </x:c>
      <x:c r="G887" t="str">
        <x:v>Orgánico</x:v>
      </x:c>
      <x:c r="H887" t="n">
        <x:v>936000</x:v>
      </x:c>
      <x:c r="I887" t="str">
        <x:v>Control de pagos</x:v>
      </x:c>
      <x:c r="J887" t="str">
        <x:v>Plus mensual</x:v>
      </x:c>
    </x:row>
    <x:row r="888">
      <x:c r="A888" t="str">
        <x:v>USR-00887</x:v>
      </x:c>
      <x:c r="B888" t="n">
        <x:v>46167</x:v>
      </x:c>
      <x:c r="C888" t="n">
        <x:v>31</x:v>
      </x:c>
      <x:c r="D888" t="str">
        <x:v>Bogotá</x:v>
      </x:c>
      <x:c r="E888" t="str">
        <x:v>Bogotá D.C.</x:v>
      </x:c>
      <x:c r="F888" t="str">
        <x:v>Entre $3 M y $5 M</x:v>
      </x:c>
      <x:c r="G888" t="str">
        <x:v>Contenido educativo</x:v>
      </x:c>
      <x:c r="H888" t="n">
        <x:v>4168000</x:v>
      </x:c>
      <x:c r="I888" t="str">
        <x:v>Organización inicial</x:v>
      </x:c>
      <x:c r="J888" t="str">
        <x:v>Cero</x:v>
      </x:c>
    </x:row>
    <x:row r="889">
      <x:c r="A889" t="str">
        <x:v>USR-00888</x:v>
      </x:c>
      <x:c r="B889" t="n">
        <x:v>46154</x:v>
      </x:c>
      <x:c r="C889" t="n">
        <x:v>23</x:v>
      </x:c>
      <x:c r="D889" t="str">
        <x:v>Bogotá</x:v>
      </x:c>
      <x:c r="E889" t="str">
        <x:v>Bogotá D.C.</x:v>
      </x:c>
      <x:c r="F889" t="str">
        <x:v>Menos de $1,5 M</x:v>
      </x:c>
      <x:c r="G889" t="str">
        <x:v>Búsqueda paga</x:v>
      </x:c>
      <x:c r="H889" t="n">
        <x:v>1478000</x:v>
      </x:c>
      <x:c r="I889" t="str">
        <x:v>Reducir intereses</x:v>
      </x:c>
      <x:c r="J889" t="str">
        <x:v>Cero</x:v>
      </x:c>
    </x:row>
    <x:row r="890">
      <x:c r="A890" t="str">
        <x:v>USR-00889</x:v>
      </x:c>
      <x:c r="B890" t="n">
        <x:v>46144</x:v>
      </x:c>
      <x:c r="C890" t="n">
        <x:v>48</x:v>
      </x:c>
      <x:c r="D890" t="str">
        <x:v>Bogotá</x:v>
      </x:c>
      <x:c r="E890" t="str">
        <x:v>Bogotá D.C.</x:v>
      </x:c>
      <x:c r="F890" t="str">
        <x:v>Menos de $1,5 M</x:v>
      </x:c>
      <x:c r="G890" t="str">
        <x:v>Orgánico</x:v>
      </x:c>
      <x:c r="H890" t="n">
        <x:v>974000</x:v>
      </x:c>
      <x:c r="I890" t="str">
        <x:v>Salir de deudas</x:v>
      </x:c>
      <x:c r="J890" t="str">
        <x:v>Plus anual</x:v>
      </x:c>
    </x:row>
    <x:row r="891">
      <x:c r="A891" t="str">
        <x:v>USR-00890</x:v>
      </x:c>
      <x:c r="B891" t="n">
        <x:v>46156</x:v>
      </x:c>
      <x:c r="C891" t="n">
        <x:v>54</x:v>
      </x:c>
      <x:c r="D891" t="str">
        <x:v>Medellín</x:v>
      </x:c>
      <x:c r="E891" t="str">
        <x:v>Antioquia</x:v>
      </x:c>
      <x:c r="F891" t="str">
        <x:v>Menos de $1,5 M</x:v>
      </x:c>
      <x:c r="G891" t="str">
        <x:v>Referidos</x:v>
      </x:c>
      <x:c r="H891" t="n">
        <x:v>1224000</x:v>
      </x:c>
      <x:c r="I891" t="str">
        <x:v>Reducir intereses</x:v>
      </x:c>
      <x:c r="J891" t="str">
        <x:v>Cero</x:v>
      </x:c>
    </x:row>
    <x:row r="892">
      <x:c r="A892" t="str">
        <x:v>USR-00891</x:v>
      </x:c>
      <x:c r="B892" t="n">
        <x:v>46167</x:v>
      </x:c>
      <x:c r="C892" t="n">
        <x:v>26</x:v>
      </x:c>
      <x:c r="D892" t="str">
        <x:v>Bogotá</x:v>
      </x:c>
      <x:c r="E892" t="str">
        <x:v>Bogotá D.C.</x:v>
      </x:c>
      <x:c r="F892" t="str">
        <x:v>Más de $5 M</x:v>
      </x:c>
      <x:c r="G892" t="str">
        <x:v>Redes sociales</x:v>
      </x:c>
      <x:c r="H892" t="n">
        <x:v>8395000</x:v>
      </x:c>
      <x:c r="I892" t="str">
        <x:v>Salir de deudas</x:v>
      </x:c>
      <x:c r="J892" t="str">
        <x:v>Cero</x:v>
      </x:c>
    </x:row>
    <x:row r="893">
      <x:c r="A893" t="str">
        <x:v>USR-00892</x:v>
      </x:c>
      <x:c r="B893" t="n">
        <x:v>46177</x:v>
      </x:c>
      <x:c r="C893" t="n">
        <x:v>39</x:v>
      </x:c>
      <x:c r="D893" t="str">
        <x:v>Bogotá</x:v>
      </x:c>
      <x:c r="E893" t="str">
        <x:v>Bogotá D.C.</x:v>
      </x:c>
      <x:c r="F893" t="str">
        <x:v>Entre $1,5 M y $3 M</x:v>
      </x:c>
      <x:c r="G893" t="str">
        <x:v>Contenido educativo</x:v>
      </x:c>
      <x:c r="H893" t="n">
        <x:v>2942000</x:v>
      </x:c>
      <x:c r="I893" t="str">
        <x:v>Reducir intereses</x:v>
      </x:c>
      <x:c r="J893" t="str">
        <x:v>Plus anual</x:v>
      </x:c>
    </x:row>
    <x:row r="894">
      <x:c r="A894" t="str">
        <x:v>USR-00893</x:v>
      </x:c>
      <x:c r="B894" t="n">
        <x:v>46174</x:v>
      </x:c>
      <x:c r="C894" t="n">
        <x:v>62</x:v>
      </x:c>
      <x:c r="D894" t="str">
        <x:v>Bucaramanga</x:v>
      </x:c>
      <x:c r="E894" t="str">
        <x:v>Santander</x:v>
      </x:c>
      <x:c r="F894" t="str">
        <x:v>Entre $3 M y $5 M</x:v>
      </x:c>
      <x:c r="G894" t="str">
        <x:v>Contenido educativo</x:v>
      </x:c>
      <x:c r="H894" t="n">
        <x:v>3837000</x:v>
      </x:c>
      <x:c r="I894" t="str">
        <x:v>Organización inicial</x:v>
      </x:c>
      <x:c r="J894" t="str">
        <x:v>Cero</x:v>
      </x:c>
    </x:row>
    <x:row r="895">
      <x:c r="A895" t="str">
        <x:v>USR-00894</x:v>
      </x:c>
      <x:c r="B895" t="n">
        <x:v>46177</x:v>
      </x:c>
      <x:c r="C895" t="n">
        <x:v>21</x:v>
      </x:c>
      <x:c r="D895" t="str">
        <x:v>Bogotá</x:v>
      </x:c>
      <x:c r="E895" t="str">
        <x:v>Bogotá D.C.</x:v>
      </x:c>
      <x:c r="F895" t="str">
        <x:v>Entre $3 M y $5 M</x:v>
      </x:c>
      <x:c r="G895" t="str">
        <x:v>Orgánico</x:v>
      </x:c>
      <x:c r="H895" t="n">
        <x:v>4768000</x:v>
      </x:c>
      <x:c r="I895" t="str">
        <x:v>Salir de deudas</x:v>
      </x:c>
      <x:c r="J895" t="str">
        <x:v>Cero</x:v>
      </x:c>
    </x:row>
    <x:row r="896">
      <x:c r="A896" t="str">
        <x:v>USR-00895</x:v>
      </x:c>
      <x:c r="B896" t="n">
        <x:v>46183</x:v>
      </x:c>
      <x:c r="C896" t="n">
        <x:v>32</x:v>
      </x:c>
      <x:c r="D896" t="str">
        <x:v>Bogotá</x:v>
      </x:c>
      <x:c r="E896" t="str">
        <x:v>Bogotá D.C.</x:v>
      </x:c>
      <x:c r="F896" t="str">
        <x:v>Entre $1,5 M y $3 M</x:v>
      </x:c>
      <x:c r="G896" t="str">
        <x:v>Búsqueda paga</x:v>
      </x:c>
      <x:c r="H896" t="n">
        <x:v>1836000</x:v>
      </x:c>
      <x:c r="I896" t="str">
        <x:v>Control de pagos</x:v>
      </x:c>
      <x:c r="J896" t="str">
        <x:v>Plus mensual</x:v>
      </x:c>
    </x:row>
    <x:row r="897">
      <x:c r="A897" t="str">
        <x:v>USR-00896</x:v>
      </x:c>
      <x:c r="B897" t="n">
        <x:v>46186</x:v>
      </x:c>
      <x:c r="C897" t="n">
        <x:v>24</x:v>
      </x:c>
      <x:c r="D897" t="str">
        <x:v>Manizales</x:v>
      </x:c>
      <x:c r="E897" t="str">
        <x:v>Caldas</x:v>
      </x:c>
      <x:c r="F897" t="str">
        <x:v>Entre $1,5 M y $3 M</x:v>
      </x:c>
      <x:c r="G897" t="str">
        <x:v>Referidos</x:v>
      </x:c>
      <x:c r="H897" t="n">
        <x:v>1761000</x:v>
      </x:c>
      <x:c r="I897" t="str">
        <x:v>Reducir intereses</x:v>
      </x:c>
      <x:c r="J897" t="str">
        <x:v>Cero</x:v>
      </x:c>
    </x:row>
    <x:row r="898">
      <x:c r="A898" t="str">
        <x:v>USR-00897</x:v>
      </x:c>
      <x:c r="B898" t="n">
        <x:v>46197</x:v>
      </x:c>
      <x:c r="C898" t="n">
        <x:v>62</x:v>
      </x:c>
      <x:c r="D898" t="str">
        <x:v>Cali</x:v>
      </x:c>
      <x:c r="E898" t="str">
        <x:v>Valle del Cauca</x:v>
      </x:c>
      <x:c r="F898" t="str">
        <x:v>Entre $1,5 M y $3 M</x:v>
      </x:c>
      <x:c r="G898" t="str">
        <x:v>Redes sociales</x:v>
      </x:c>
      <x:c r="H898" t="n">
        <x:v>1523000</x:v>
      </x:c>
      <x:c r="I898" t="str">
        <x:v>Reducir intereses</x:v>
      </x:c>
      <x:c r="J898" t="str">
        <x:v>Cero</x:v>
      </x:c>
    </x:row>
    <x:row r="899">
      <x:c r="A899" t="str">
        <x:v>USR-00898</x:v>
      </x:c>
      <x:c r="B899" t="n">
        <x:v>46195</x:v>
      </x:c>
      <x:c r="C899" t="n">
        <x:v>29</x:v>
      </x:c>
      <x:c r="D899" t="str">
        <x:v>Bogotá</x:v>
      </x:c>
      <x:c r="E899" t="str">
        <x:v>Bogotá D.C.</x:v>
      </x:c>
      <x:c r="F899" t="str">
        <x:v>Entre $1,5 M y $3 M</x:v>
      </x:c>
      <x:c r="G899" t="str">
        <x:v>Orgánico</x:v>
      </x:c>
      <x:c r="H899" t="n">
        <x:v>2664000</x:v>
      </x:c>
      <x:c r="I899" t="str">
        <x:v>Control de pagos</x:v>
      </x:c>
      <x:c r="J899" t="str">
        <x:v>Inactivo</x:v>
      </x:c>
    </x:row>
    <x:row r="900">
      <x:c r="A900" t="str">
        <x:v>USR-00899</x:v>
      </x:c>
      <x:c r="B900" t="n">
        <x:v>46185</x:v>
      </x:c>
      <x:c r="C900" t="n">
        <x:v>61</x:v>
      </x:c>
      <x:c r="D900" t="str">
        <x:v>Bogotá</x:v>
      </x:c>
      <x:c r="E900" t="str">
        <x:v>Bogotá D.C.</x:v>
      </x:c>
      <x:c r="F900" t="str">
        <x:v>Entre $3 M y $5 M</x:v>
      </x:c>
      <x:c r="G900" t="str">
        <x:v>Orgánico</x:v>
      </x:c>
      <x:c r="H900" t="n">
        <x:v>4917000</x:v>
      </x:c>
      <x:c r="I900" t="str">
        <x:v>Organización inicial</x:v>
      </x:c>
      <x:c r="J900" t="str">
        <x:v>Plus mensual</x:v>
      </x:c>
    </x:row>
    <x:row r="901">
      <x:c r="A901" t="str">
        <x:v>USR-00900</x:v>
      </x:c>
      <x:c r="B901" t="n">
        <x:v>46186</x:v>
      </x:c>
      <x:c r="C901" t="n">
        <x:v>64</x:v>
      </x:c>
      <x:c r="D901" t="str">
        <x:v>Bogotá</x:v>
      </x:c>
      <x:c r="E901" t="str">
        <x:v>Bogotá D.C.</x:v>
      </x:c>
      <x:c r="F901" t="str">
        <x:v>Menos de $1,5 M</x:v>
      </x:c>
      <x:c r="G901" t="str">
        <x:v>Contenido educativo</x:v>
      </x:c>
      <x:c r="H901" t="n">
        <x:v>1103000</x:v>
      </x:c>
      <x:c r="I901" t="str">
        <x:v>Organización inicial</x:v>
      </x:c>
      <x:c r="J901" t="str">
        <x:v>Cero</x:v>
      </x:c>
    </x:row>
    <x:row r="902">
      <x:c r="A902" t="str">
        <x:v>USR-00901</x:v>
      </x:c>
      <x:c r="B902" t="n">
        <x:v>46176</x:v>
      </x:c>
      <x:c r="C902" t="n">
        <x:v>54</x:v>
      </x:c>
      <x:c r="D902" t="str">
        <x:v>Bogotá</x:v>
      </x:c>
      <x:c r="E902" t="str">
        <x:v>Bogotá D.C.</x:v>
      </x:c>
      <x:c r="F902" t="str">
        <x:v>Más de $5 M</x:v>
      </x:c>
      <x:c r="G902" t="str">
        <x:v>Orgánico</x:v>
      </x:c>
      <x:c r="H902" t="n">
        <x:v>5142000</x:v>
      </x:c>
      <x:c r="I902" t="str">
        <x:v>Salir de deudas</x:v>
      </x:c>
      <x:c r="J902" t="str">
        <x:v>Cero</x:v>
      </x:c>
    </x:row>
    <x:row r="903">
      <x:c r="A903" t="str">
        <x:v>USR-00902</x:v>
      </x:c>
      <x:c r="B903" t="n">
        <x:v>46191</x:v>
      </x:c>
      <x:c r="C903" t="n">
        <x:v>44</x:v>
      </x:c>
      <x:c r="D903" t="str">
        <x:v>Cartagena</x:v>
      </x:c>
      <x:c r="E903" t="str">
        <x:v>Bolívar</x:v>
      </x:c>
      <x:c r="F903" t="str">
        <x:v>Menos de $1,5 M</x:v>
      </x:c>
      <x:c r="G903" t="str">
        <x:v>Redes sociales</x:v>
      </x:c>
      <x:c r="H903" t="n">
        <x:v>937000</x:v>
      </x:c>
      <x:c r="I903" t="str">
        <x:v>Organización inicial</x:v>
      </x:c>
      <x:c r="J903" t="str">
        <x:v>Cero</x:v>
      </x:c>
    </x:row>
    <x:row r="904">
      <x:c r="A904" t="str">
        <x:v>USR-00903</x:v>
      </x:c>
      <x:c r="B904" t="n">
        <x:v>46186</x:v>
      </x:c>
      <x:c r="C904" t="n">
        <x:v>29</x:v>
      </x:c>
      <x:c r="D904" t="str">
        <x:v>Bucaramanga</x:v>
      </x:c>
      <x:c r="E904" t="str">
        <x:v>Santander</x:v>
      </x:c>
      <x:c r="F904" t="str">
        <x:v>Menos de $1,5 M</x:v>
      </x:c>
      <x:c r="G904" t="str">
        <x:v>Búsqueda paga</x:v>
      </x:c>
      <x:c r="H904" t="n">
        <x:v>1366000</x:v>
      </x:c>
      <x:c r="I904" t="str">
        <x:v>Organización inicial</x:v>
      </x:c>
      <x:c r="J904" t="str">
        <x:v>Cero</x:v>
      </x:c>
    </x:row>
    <x:row r="905">
      <x:c r="A905" t="str">
        <x:v>USR-00904</x:v>
      </x:c>
      <x:c r="B905" t="n">
        <x:v>46179</x:v>
      </x:c>
      <x:c r="C905" t="n">
        <x:v>33</x:v>
      </x:c>
      <x:c r="D905" t="str">
        <x:v>Bogotá</x:v>
      </x:c>
      <x:c r="E905" t="str">
        <x:v>Bogotá D.C.</x:v>
      </x:c>
      <x:c r="F905" t="str">
        <x:v>Menos de $1,5 M</x:v>
      </x:c>
      <x:c r="G905" t="str">
        <x:v>Alianzas</x:v>
      </x:c>
      <x:c r="H905" t="n">
        <x:v>1340000</x:v>
      </x:c>
      <x:c r="I905" t="str">
        <x:v>Organización inicial</x:v>
      </x:c>
      <x:c r="J905" t="str">
        <x:v>Plus mensual</x:v>
      </x:c>
    </x:row>
    <x:row r="906">
      <x:c r="A906" t="str">
        <x:v>USR-00905</x:v>
      </x:c>
      <x:c r="B906" t="n">
        <x:v>46177</x:v>
      </x:c>
      <x:c r="C906" t="n">
        <x:v>60</x:v>
      </x:c>
      <x:c r="D906" t="str">
        <x:v>Manizales</x:v>
      </x:c>
      <x:c r="E906" t="str">
        <x:v>Caldas</x:v>
      </x:c>
      <x:c r="F906" t="str">
        <x:v>Entre $3 M y $5 M</x:v>
      </x:c>
      <x:c r="G906" t="str">
        <x:v>Alianzas</x:v>
      </x:c>
      <x:c r="H906" t="n">
        <x:v>4527000</x:v>
      </x:c>
      <x:c r="I906" t="str">
        <x:v>Control de pagos</x:v>
      </x:c>
      <x:c r="J906" t="str">
        <x:v>Cero</x:v>
      </x:c>
    </x:row>
    <x:row r="907">
      <x:c r="A907" t="str">
        <x:v>USR-00906</x:v>
      </x:c>
      <x:c r="B907" t="n">
        <x:v>46183</x:v>
      </x:c>
      <x:c r="C907" t="n">
        <x:v>24</x:v>
      </x:c>
      <x:c r="D907" t="str">
        <x:v>Bogotá</x:v>
      </x:c>
      <x:c r="E907" t="str">
        <x:v>Bogotá D.C.</x:v>
      </x:c>
      <x:c r="F907" t="str">
        <x:v>Menos de $1,5 M</x:v>
      </x:c>
      <x:c r="G907" t="str">
        <x:v>Orgánico</x:v>
      </x:c>
      <x:c r="H907" t="n">
        <x:v>1217000</x:v>
      </x:c>
      <x:c r="I907" t="str">
        <x:v>Salir de deudas</x:v>
      </x:c>
      <x:c r="J907" t="str">
        <x:v>Cero</x:v>
      </x:c>
    </x:row>
    <x:row r="908">
      <x:c r="A908" t="str">
        <x:v>USR-00907</x:v>
      </x:c>
      <x:c r="B908" t="n">
        <x:v>46191</x:v>
      </x:c>
      <x:c r="C908" t="n">
        <x:v>42</x:v>
      </x:c>
      <x:c r="D908" t="str">
        <x:v>Manizales</x:v>
      </x:c>
      <x:c r="E908" t="str">
        <x:v>Caldas</x:v>
      </x:c>
      <x:c r="F908" t="str">
        <x:v>Entre $1,5 M y $3 M</x:v>
      </x:c>
      <x:c r="G908" t="str">
        <x:v>Alianzas</x:v>
      </x:c>
      <x:c r="H908" t="n">
        <x:v>2155000</x:v>
      </x:c>
      <x:c r="I908" t="str">
        <x:v>Control de pagos</x:v>
      </x:c>
      <x:c r="J908" t="str">
        <x:v>Plus mensual</x:v>
      </x:c>
    </x:row>
    <x:row r="909">
      <x:c r="A909" t="str">
        <x:v>USR-00908</x:v>
      </x:c>
      <x:c r="B909" t="n">
        <x:v>46192</x:v>
      </x:c>
      <x:c r="C909" t="n">
        <x:v>30</x:v>
      </x:c>
      <x:c r="D909" t="str">
        <x:v>Cartagena</x:v>
      </x:c>
      <x:c r="E909" t="str">
        <x:v>Bolívar</x:v>
      </x:c>
      <x:c r="F909" t="str">
        <x:v>Entre $3 M y $5 M</x:v>
      </x:c>
      <x:c r="G909" t="str">
        <x:v>Referidos</x:v>
      </x:c>
      <x:c r="H909" t="n">
        <x:v>3479000</x:v>
      </x:c>
      <x:c r="I909" t="str">
        <x:v>Organización inicial</x:v>
      </x:c>
      <x:c r="J909" t="str">
        <x:v>Plus mensual</x:v>
      </x:c>
    </x:row>
    <x:row r="910">
      <x:c r="A910" t="str">
        <x:v>USR-00909</x:v>
      </x:c>
      <x:c r="B910" t="n">
        <x:v>46195</x:v>
      </x:c>
      <x:c r="C910" t="n">
        <x:v>54</x:v>
      </x:c>
      <x:c r="D910" t="str">
        <x:v>Bogotá</x:v>
      </x:c>
      <x:c r="E910" t="str">
        <x:v>Bogotá D.C.</x:v>
      </x:c>
      <x:c r="F910" t="str">
        <x:v>Menos de $1,5 M</x:v>
      </x:c>
      <x:c r="G910" t="str">
        <x:v>Búsqueda paga</x:v>
      </x:c>
      <x:c r="H910" t="n">
        <x:v>1439000</x:v>
      </x:c>
      <x:c r="I910" t="str">
        <x:v>Control de pagos</x:v>
      </x:c>
      <x:c r="J910" t="str">
        <x:v>Cero</x:v>
      </x:c>
    </x:row>
    <x:row r="911">
      <x:c r="A911" t="str">
        <x:v>USR-00910</x:v>
      </x:c>
      <x:c r="B911" t="n">
        <x:v>46179</x:v>
      </x:c>
      <x:c r="C911" t="n">
        <x:v>61</x:v>
      </x:c>
      <x:c r="D911" t="str">
        <x:v>Bogotá</x:v>
      </x:c>
      <x:c r="E911" t="str">
        <x:v>Bogotá D.C.</x:v>
      </x:c>
      <x:c r="F911" t="str">
        <x:v>Entre $1,5 M y $3 M</x:v>
      </x:c>
      <x:c r="G911" t="str">
        <x:v>Referidos</x:v>
      </x:c>
      <x:c r="H911" t="n">
        <x:v>2420000</x:v>
      </x:c>
      <x:c r="I911" t="str">
        <x:v>Reducir intereses</x:v>
      </x:c>
      <x:c r="J911" t="str">
        <x:v>Cero</x:v>
      </x:c>
    </x:row>
    <x:row r="912">
      <x:c r="A912" t="str">
        <x:v>USR-00911</x:v>
      </x:c>
      <x:c r="B912" t="n">
        <x:v>46174</x:v>
      </x:c>
      <x:c r="C912" t="n">
        <x:v>46</x:v>
      </x:c>
      <x:c r="D912" t="str">
        <x:v>Bogotá</x:v>
      </x:c>
      <x:c r="E912" t="str">
        <x:v>Bogotá D.C.</x:v>
      </x:c>
      <x:c r="F912" t="str">
        <x:v>Entre $3 M y $5 M</x:v>
      </x:c>
      <x:c r="G912" t="str">
        <x:v>Redes sociales</x:v>
      </x:c>
      <x:c r="H912" t="n">
        <x:v>4037000</x:v>
      </x:c>
      <x:c r="I912" t="str">
        <x:v>Control de pagos</x:v>
      </x:c>
      <x:c r="J912" t="str">
        <x:v>Plus mensual</x:v>
      </x:c>
    </x:row>
    <x:row r="913">
      <x:c r="A913" t="str">
        <x:v>USR-00912</x:v>
      </x:c>
      <x:c r="B913" t="n">
        <x:v>46184</x:v>
      </x:c>
      <x:c r="C913" t="n">
        <x:v>33</x:v>
      </x:c>
      <x:c r="D913" t="str">
        <x:v>Bogotá</x:v>
      </x:c>
      <x:c r="E913" t="str">
        <x:v>Bogotá D.C.</x:v>
      </x:c>
      <x:c r="F913" t="str">
        <x:v>Menos de $1,5 M</x:v>
      </x:c>
      <x:c r="G913" t="str">
        <x:v>Orgánico</x:v>
      </x:c>
      <x:c r="H913" t="n">
        <x:v>1403000</x:v>
      </x:c>
      <x:c r="I913" t="str">
        <x:v>Salir de deudas</x:v>
      </x:c>
      <x:c r="J913" t="str">
        <x:v>Plus anual</x:v>
      </x:c>
    </x:row>
    <x:row r="914">
      <x:c r="A914" t="str">
        <x:v>USR-00913</x:v>
      </x:c>
      <x:c r="B914" t="n">
        <x:v>46178</x:v>
      </x:c>
      <x:c r="C914" t="n">
        <x:v>50</x:v>
      </x:c>
      <x:c r="D914" t="str">
        <x:v>Medellín</x:v>
      </x:c>
      <x:c r="E914" t="str">
        <x:v>Antioquia</x:v>
      </x:c>
      <x:c r="F914" t="str">
        <x:v>Menos de $1,5 M</x:v>
      </x:c>
      <x:c r="G914" t="str">
        <x:v>Contenido educativo</x:v>
      </x:c>
      <x:c r="H914" t="n">
        <x:v>1024000</x:v>
      </x:c>
      <x:c r="I914" t="str">
        <x:v>Salir de deudas</x:v>
      </x:c>
      <x:c r="J914" t="str">
        <x:v>Cero</x:v>
      </x:c>
    </x:row>
    <x:row r="915">
      <x:c r="A915" t="str">
        <x:v>USR-00914</x:v>
      </x:c>
      <x:c r="B915" t="n">
        <x:v>46184</x:v>
      </x:c>
      <x:c r="C915" t="n">
        <x:v>37</x:v>
      </x:c>
      <x:c r="D915" t="str">
        <x:v>Bogotá</x:v>
      </x:c>
      <x:c r="E915" t="str">
        <x:v>Bogotá D.C.</x:v>
      </x:c>
      <x:c r="F915" t="str">
        <x:v>Más de $5 M</x:v>
      </x:c>
      <x:c r="G915" t="str">
        <x:v>Alianzas</x:v>
      </x:c>
      <x:c r="H915" t="n">
        <x:v>7621000</x:v>
      </x:c>
      <x:c r="I915" t="str">
        <x:v>Salir de deudas</x:v>
      </x:c>
      <x:c r="J915" t="str">
        <x:v>Plus mensual</x:v>
      </x:c>
    </x:row>
    <x:row r="916">
      <x:c r="A916" t="str">
        <x:v>USR-00915</x:v>
      </x:c>
      <x:c r="B916" t="n">
        <x:v>46180</x:v>
      </x:c>
      <x:c r="C916" t="n">
        <x:v>26</x:v>
      </x:c>
      <x:c r="D916" t="str">
        <x:v>Bogotá</x:v>
      </x:c>
      <x:c r="E916" t="str">
        <x:v>Bogotá D.C.</x:v>
      </x:c>
      <x:c r="F916" t="str">
        <x:v>Entre $1,5 M y $3 M</x:v>
      </x:c>
      <x:c r="G916" t="str">
        <x:v>Orgánico</x:v>
      </x:c>
      <x:c r="H916" t="n">
        <x:v>1966000</x:v>
      </x:c>
      <x:c r="I916" t="str">
        <x:v>Salir de deudas</x:v>
      </x:c>
      <x:c r="J916" t="str">
        <x:v>Cero</x:v>
      </x:c>
    </x:row>
    <x:row r="917">
      <x:c r="A917" t="str">
        <x:v>USR-00916</x:v>
      </x:c>
      <x:c r="B917" t="n">
        <x:v>46192</x:v>
      </x:c>
      <x:c r="C917" t="n">
        <x:v>64</x:v>
      </x:c>
      <x:c r="D917" t="str">
        <x:v>Cali</x:v>
      </x:c>
      <x:c r="E917" t="str">
        <x:v>Valle del Cauca</x:v>
      </x:c>
      <x:c r="F917" t="str">
        <x:v>Entre $1,5 M y $3 M</x:v>
      </x:c>
      <x:c r="G917" t="str">
        <x:v>Referidos</x:v>
      </x:c>
      <x:c r="H917" t="n">
        <x:v>2816000</x:v>
      </x:c>
      <x:c r="I917" t="str">
        <x:v>Organización inicial</x:v>
      </x:c>
      <x:c r="J917" t="str">
        <x:v>Cero</x:v>
      </x:c>
    </x:row>
    <x:row r="918">
      <x:c r="A918" t="str">
        <x:v>USR-00917</x:v>
      </x:c>
      <x:c r="B918" t="n">
        <x:v>46195</x:v>
      </x:c>
      <x:c r="C918" t="n">
        <x:v>32</x:v>
      </x:c>
      <x:c r="D918" t="str">
        <x:v>Medellín</x:v>
      </x:c>
      <x:c r="E918" t="str">
        <x:v>Antioquia</x:v>
      </x:c>
      <x:c r="F918" t="str">
        <x:v>Entre $3 M y $5 M</x:v>
      </x:c>
      <x:c r="G918" t="str">
        <x:v>Redes sociales</x:v>
      </x:c>
      <x:c r="H918" t="n">
        <x:v>4590000</x:v>
      </x:c>
      <x:c r="I918" t="str">
        <x:v>Reducir intereses</x:v>
      </x:c>
      <x:c r="J918" t="str">
        <x:v>Cero</x:v>
      </x:c>
    </x:row>
    <x:row r="919">
      <x:c r="A919" t="str">
        <x:v>USR-00918</x:v>
      </x:c>
      <x:c r="B919" t="n">
        <x:v>46200</x:v>
      </x:c>
      <x:c r="C919" t="n">
        <x:v>34</x:v>
      </x:c>
      <x:c r="D919" t="str">
        <x:v>Medellín</x:v>
      </x:c>
      <x:c r="E919" t="str">
        <x:v>Antioquia</x:v>
      </x:c>
      <x:c r="F919" t="str">
        <x:v>Entre $1,5 M y $3 M</x:v>
      </x:c>
      <x:c r="G919" t="str">
        <x:v>Alianzas</x:v>
      </x:c>
      <x:c r="H919" t="n">
        <x:v>2850000</x:v>
      </x:c>
      <x:c r="I919" t="str">
        <x:v>Control de pagos</x:v>
      </x:c>
      <x:c r="J919" t="str">
        <x:v>Cero</x:v>
      </x:c>
    </x:row>
    <x:row r="920">
      <x:c r="A920" t="str">
        <x:v>USR-00919</x:v>
      </x:c>
      <x:c r="B920" t="n">
        <x:v>46180</x:v>
      </x:c>
      <x:c r="C920" t="n">
        <x:v>59</x:v>
      </x:c>
      <x:c r="D920" t="str">
        <x:v>Villavicencio</x:v>
      </x:c>
      <x:c r="E920" t="str">
        <x:v>Meta</x:v>
      </x:c>
      <x:c r="F920" t="str">
        <x:v>Menos de $1,5 M</x:v>
      </x:c>
      <x:c r="G920" t="str">
        <x:v>Referidos</x:v>
      </x:c>
      <x:c r="H920" t="n">
        <x:v>1280000</x:v>
      </x:c>
      <x:c r="I920" t="str">
        <x:v>Control de pagos</x:v>
      </x:c>
      <x:c r="J920" t="str">
        <x:v>Cero</x:v>
      </x:c>
    </x:row>
    <x:row r="921">
      <x:c r="A921" t="str">
        <x:v>USR-00920</x:v>
      </x:c>
      <x:c r="B921" t="n">
        <x:v>46187</x:v>
      </x:c>
      <x:c r="C921" t="n">
        <x:v>61</x:v>
      </x:c>
      <x:c r="D921" t="str">
        <x:v>Medellín</x:v>
      </x:c>
      <x:c r="E921" t="str">
        <x:v>Antioquia</x:v>
      </x:c>
      <x:c r="F921" t="str">
        <x:v>Entre $3 M y $5 M</x:v>
      </x:c>
      <x:c r="G921" t="str">
        <x:v>Orgánico</x:v>
      </x:c>
      <x:c r="H921" t="n">
        <x:v>4768000</x:v>
      </x:c>
      <x:c r="I921" t="str">
        <x:v>Reducir intereses</x:v>
      </x:c>
      <x:c r="J921" t="str">
        <x:v>Cero</x:v>
      </x:c>
    </x:row>
    <x:row r="922">
      <x:c r="A922" t="str">
        <x:v>USR-00921</x:v>
      </x:c>
      <x:c r="B922" t="n">
        <x:v>46188</x:v>
      </x:c>
      <x:c r="C922" t="n">
        <x:v>59</x:v>
      </x:c>
      <x:c r="D922" t="str">
        <x:v>Cali</x:v>
      </x:c>
      <x:c r="E922" t="str">
        <x:v>Valle del Cauca</x:v>
      </x:c>
      <x:c r="F922" t="str">
        <x:v>Entre $3 M y $5 M</x:v>
      </x:c>
      <x:c r="G922" t="str">
        <x:v>Referidos</x:v>
      </x:c>
      <x:c r="H922" t="n">
        <x:v>4560000</x:v>
      </x:c>
      <x:c r="I922" t="str">
        <x:v>Control de pagos</x:v>
      </x:c>
      <x:c r="J922" t="str">
        <x:v>Cero</x:v>
      </x:c>
    </x:row>
    <x:row r="923">
      <x:c r="A923" t="str">
        <x:v>USR-00922</x:v>
      </x:c>
      <x:c r="B923" t="n">
        <x:v>46178</x:v>
      </x:c>
      <x:c r="C923" t="n">
        <x:v>49</x:v>
      </x:c>
      <x:c r="D923" t="str">
        <x:v>Bogotá</x:v>
      </x:c>
      <x:c r="E923" t="str">
        <x:v>Bogotá D.C.</x:v>
      </x:c>
      <x:c r="F923" t="str">
        <x:v>Entre $1,5 M y $3 M</x:v>
      </x:c>
      <x:c r="G923" t="str">
        <x:v>Búsqueda paga</x:v>
      </x:c>
      <x:c r="H923" t="n">
        <x:v>2481000</x:v>
      </x:c>
      <x:c r="I923" t="str">
        <x:v>Reducir intereses</x:v>
      </x:c>
      <x:c r="J923" t="str">
        <x:v>Cero</x:v>
      </x:c>
    </x:row>
    <x:row r="924">
      <x:c r="A924" t="str">
        <x:v>USR-00923</x:v>
      </x:c>
      <x:c r="B924" t="n">
        <x:v>46189</x:v>
      </x:c>
      <x:c r="C924" t="n">
        <x:v>48</x:v>
      </x:c>
      <x:c r="D924" t="str">
        <x:v>Cali</x:v>
      </x:c>
      <x:c r="E924" t="str">
        <x:v>Valle del Cauca</x:v>
      </x:c>
      <x:c r="F924" t="str">
        <x:v>Menos de $1,5 M</x:v>
      </x:c>
      <x:c r="G924" t="str">
        <x:v>Orgánico</x:v>
      </x:c>
      <x:c r="H924" t="n">
        <x:v>1359000</x:v>
      </x:c>
      <x:c r="I924" t="str">
        <x:v>Control de pagos</x:v>
      </x:c>
      <x:c r="J924" t="str">
        <x:v>Cero</x:v>
      </x:c>
    </x:row>
    <x:row r="925">
      <x:c r="A925" t="str">
        <x:v>USR-00924</x:v>
      </x:c>
      <x:c r="B925" t="n">
        <x:v>46178</x:v>
      </x:c>
      <x:c r="C925" t="n">
        <x:v>59</x:v>
      </x:c>
      <x:c r="D925" t="str">
        <x:v>Bogotá</x:v>
      </x:c>
      <x:c r="E925" t="str">
        <x:v>Bogotá D.C.</x:v>
      </x:c>
      <x:c r="F925" t="str">
        <x:v>Entre $1,5 M y $3 M</x:v>
      </x:c>
      <x:c r="G925" t="str">
        <x:v>Búsqueda paga</x:v>
      </x:c>
      <x:c r="H925" t="n">
        <x:v>2966000</x:v>
      </x:c>
      <x:c r="I925" t="str">
        <x:v>Reducir intereses</x:v>
      </x:c>
      <x:c r="J925" t="str">
        <x:v>Plus mensual</x:v>
      </x:c>
    </x:row>
    <x:row r="926">
      <x:c r="A926" t="str">
        <x:v>USR-00925</x:v>
      </x:c>
      <x:c r="B926" t="n">
        <x:v>46199</x:v>
      </x:c>
      <x:c r="C926" t="n">
        <x:v>32</x:v>
      </x:c>
      <x:c r="D926" t="str">
        <x:v>Bogotá</x:v>
      </x:c>
      <x:c r="E926" t="str">
        <x:v>Bogotá D.C.</x:v>
      </x:c>
      <x:c r="F926" t="str">
        <x:v>Entre $1,5 M y $3 M</x:v>
      </x:c>
      <x:c r="G926" t="str">
        <x:v>Redes sociales</x:v>
      </x:c>
      <x:c r="H926" t="n">
        <x:v>2153000</x:v>
      </x:c>
      <x:c r="I926" t="str">
        <x:v>Reducir intereses</x:v>
      </x:c>
      <x:c r="J926" t="str">
        <x:v>Plus anual</x:v>
      </x:c>
    </x:row>
    <x:row r="927">
      <x:c r="A927" t="str">
        <x:v>USR-00926</x:v>
      </x:c>
      <x:c r="B927" t="n">
        <x:v>46196</x:v>
      </x:c>
      <x:c r="C927" t="n">
        <x:v>59</x:v>
      </x:c>
      <x:c r="D927" t="str">
        <x:v>Bogotá</x:v>
      </x:c>
      <x:c r="E927" t="str">
        <x:v>Bogotá D.C.</x:v>
      </x:c>
      <x:c r="F927" t="str">
        <x:v>Entre $1,5 M y $3 M</x:v>
      </x:c>
      <x:c r="G927" t="str">
        <x:v>Orgánico</x:v>
      </x:c>
      <x:c r="H927" t="n">
        <x:v>2177000</x:v>
      </x:c>
      <x:c r="I927" t="str">
        <x:v>Control de pagos</x:v>
      </x:c>
      <x:c r="J927" t="str">
        <x:v>Cero</x:v>
      </x:c>
    </x:row>
    <x:row r="928">
      <x:c r="A928" t="str">
        <x:v>USR-00927</x:v>
      </x:c>
      <x:c r="B928" t="n">
        <x:v>46186</x:v>
      </x:c>
      <x:c r="C928" t="n">
        <x:v>51</x:v>
      </x:c>
      <x:c r="D928" t="str">
        <x:v>Bogotá</x:v>
      </x:c>
      <x:c r="E928" t="str">
        <x:v>Bogotá D.C.</x:v>
      </x:c>
      <x:c r="F928" t="str">
        <x:v>Menos de $1,5 M</x:v>
      </x:c>
      <x:c r="G928" t="str">
        <x:v>Referidos</x:v>
      </x:c>
      <x:c r="H928" t="n">
        <x:v>1059000</x:v>
      </x:c>
      <x:c r="I928" t="str">
        <x:v>Control de pagos</x:v>
      </x:c>
      <x:c r="J928" t="str">
        <x:v>Cero</x:v>
      </x:c>
    </x:row>
    <x:row r="929">
      <x:c r="A929" t="str">
        <x:v>USR-00928</x:v>
      </x:c>
      <x:c r="B929" t="n">
        <x:v>46194</x:v>
      </x:c>
      <x:c r="C929" t="n">
        <x:v>42</x:v>
      </x:c>
      <x:c r="D929" t="str">
        <x:v>Medellín</x:v>
      </x:c>
      <x:c r="E929" t="str">
        <x:v>Antioquia</x:v>
      </x:c>
      <x:c r="F929" t="str">
        <x:v>Entre $1,5 M y $3 M</x:v>
      </x:c>
      <x:c r="G929" t="str">
        <x:v>Contenido educativo</x:v>
      </x:c>
      <x:c r="H929" t="n">
        <x:v>2010000</x:v>
      </x:c>
      <x:c r="I929" t="str">
        <x:v>Organización inicial</x:v>
      </x:c>
      <x:c r="J929" t="str">
        <x:v>Plus mensual</x:v>
      </x:c>
    </x:row>
    <x:row r="930">
      <x:c r="A930" t="str">
        <x:v>USR-00929</x:v>
      </x:c>
      <x:c r="B930" t="n">
        <x:v>46193</x:v>
      </x:c>
      <x:c r="C930" t="n">
        <x:v>29</x:v>
      </x:c>
      <x:c r="D930" t="str">
        <x:v>Bogotá</x:v>
      </x:c>
      <x:c r="E930" t="str">
        <x:v>Bogotá D.C.</x:v>
      </x:c>
      <x:c r="F930" t="str">
        <x:v>Menos de $1,5 M</x:v>
      </x:c>
      <x:c r="G930" t="str">
        <x:v>Alianzas</x:v>
      </x:c>
      <x:c r="H930" t="n">
        <x:v>1011000</x:v>
      </x:c>
      <x:c r="I930" t="str">
        <x:v>Salir de deudas</x:v>
      </x:c>
      <x:c r="J930" t="str">
        <x:v>Plus mensual</x:v>
      </x:c>
    </x:row>
    <x:row r="931">
      <x:c r="A931" t="str">
        <x:v>USR-00930</x:v>
      </x:c>
      <x:c r="B931" t="n">
        <x:v>46195</x:v>
      </x:c>
      <x:c r="C931" t="n">
        <x:v>26</x:v>
      </x:c>
      <x:c r="D931" t="str">
        <x:v>Bogotá</x:v>
      </x:c>
      <x:c r="E931" t="str">
        <x:v>Bogotá D.C.</x:v>
      </x:c>
      <x:c r="F931" t="str">
        <x:v>Entre $3 M y $5 M</x:v>
      </x:c>
      <x:c r="G931" t="str">
        <x:v>Orgánico</x:v>
      </x:c>
      <x:c r="H931" t="n">
        <x:v>3540000</x:v>
      </x:c>
      <x:c r="I931" t="str">
        <x:v>Salir de deudas</x:v>
      </x:c>
      <x:c r="J931" t="str">
        <x:v>Cero</x:v>
      </x:c>
    </x:row>
    <x:row r="932">
      <x:c r="A932" t="str">
        <x:v>USR-00931</x:v>
      </x:c>
      <x:c r="B932" t="n">
        <x:v>46188</x:v>
      </x:c>
      <x:c r="C932" t="n">
        <x:v>20</x:v>
      </x:c>
      <x:c r="D932" t="str">
        <x:v>Bogotá</x:v>
      </x:c>
      <x:c r="E932" t="str">
        <x:v>Bogotá D.C.</x:v>
      </x:c>
      <x:c r="F932" t="str">
        <x:v>Entre $1,5 M y $3 M</x:v>
      </x:c>
      <x:c r="G932" t="str">
        <x:v>Referidos</x:v>
      </x:c>
      <x:c r="H932" t="n">
        <x:v>1945000</x:v>
      </x:c>
      <x:c r="I932" t="str">
        <x:v>Organización inicial</x:v>
      </x:c>
      <x:c r="J932" t="str">
        <x:v>Cero</x:v>
      </x:c>
    </x:row>
    <x:row r="933">
      <x:c r="A933" t="str">
        <x:v>USR-00932</x:v>
      </x:c>
      <x:c r="B933" t="n">
        <x:v>46196</x:v>
      </x:c>
      <x:c r="C933" t="n">
        <x:v>46</x:v>
      </x:c>
      <x:c r="D933" t="str">
        <x:v>Cali</x:v>
      </x:c>
      <x:c r="E933" t="str">
        <x:v>Valle del Cauca</x:v>
      </x:c>
      <x:c r="F933" t="str">
        <x:v>Menos de $1,5 M</x:v>
      </x:c>
      <x:c r="G933" t="str">
        <x:v>Referidos</x:v>
      </x:c>
      <x:c r="H933" t="n">
        <x:v>1400000</x:v>
      </x:c>
      <x:c r="I933" t="str">
        <x:v>Organización inicial</x:v>
      </x:c>
      <x:c r="J933" t="str">
        <x:v>Cero</x:v>
      </x:c>
    </x:row>
    <x:row r="934">
      <x:c r="A934" t="str">
        <x:v>USR-00933</x:v>
      </x:c>
      <x:c r="B934" t="n">
        <x:v>46186</x:v>
      </x:c>
      <x:c r="C934" t="n">
        <x:v>20</x:v>
      </x:c>
      <x:c r="D934" t="str">
        <x:v>Bogotá</x:v>
      </x:c>
      <x:c r="E934" t="str">
        <x:v>Bogotá D.C.</x:v>
      </x:c>
      <x:c r="F934" t="str">
        <x:v>Menos de $1,5 M</x:v>
      </x:c>
      <x:c r="G934" t="str">
        <x:v>Contenido educativo</x:v>
      </x:c>
      <x:c r="H934" t="n">
        <x:v>1358000</x:v>
      </x:c>
      <x:c r="I934" t="str">
        <x:v>Control de pagos</x:v>
      </x:c>
      <x:c r="J934" t="str">
        <x:v>Cero</x:v>
      </x:c>
    </x:row>
    <x:row r="935">
      <x:c r="A935" t="str">
        <x:v>USR-00934</x:v>
      </x:c>
      <x:c r="B935" t="n">
        <x:v>46188</x:v>
      </x:c>
      <x:c r="C935" t="n">
        <x:v>54</x:v>
      </x:c>
      <x:c r="D935" t="str">
        <x:v>Bogotá</x:v>
      </x:c>
      <x:c r="E935" t="str">
        <x:v>Bogotá D.C.</x:v>
      </x:c>
      <x:c r="F935" t="str">
        <x:v>Menos de $1,5 M</x:v>
      </x:c>
      <x:c r="G935" t="str">
        <x:v>Búsqueda paga</x:v>
      </x:c>
      <x:c r="H935" t="n">
        <x:v>1154000</x:v>
      </x:c>
      <x:c r="I935" t="str">
        <x:v>Salir de deudas</x:v>
      </x:c>
      <x:c r="J935" t="str">
        <x:v>Cero</x:v>
      </x:c>
    </x:row>
    <x:row r="936">
      <x:c r="A936" t="str">
        <x:v>USR-00935</x:v>
      </x:c>
      <x:c r="B936" t="n">
        <x:v>46176</x:v>
      </x:c>
      <x:c r="C936" t="n">
        <x:v>54</x:v>
      </x:c>
      <x:c r="D936" t="str">
        <x:v>Bucaramanga</x:v>
      </x:c>
      <x:c r="E936" t="str">
        <x:v>Santander</x:v>
      </x:c>
      <x:c r="F936" t="str">
        <x:v>Entre $3 M y $5 M</x:v>
      </x:c>
      <x:c r="G936" t="str">
        <x:v>Alianzas</x:v>
      </x:c>
      <x:c r="H936" t="n">
        <x:v>4978000</x:v>
      </x:c>
      <x:c r="I936" t="str">
        <x:v>Organización inicial</x:v>
      </x:c>
      <x:c r="J936" t="str">
        <x:v>Cero</x:v>
      </x:c>
    </x:row>
    <x:row r="937">
      <x:c r="A937" t="str">
        <x:v>USR-00936</x:v>
      </x:c>
      <x:c r="B937" t="n">
        <x:v>46195</x:v>
      </x:c>
      <x:c r="C937" t="n">
        <x:v>31</x:v>
      </x:c>
      <x:c r="D937" t="str">
        <x:v>Barranquilla</x:v>
      </x:c>
      <x:c r="E937" t="str">
        <x:v>Atlántico</x:v>
      </x:c>
      <x:c r="F937" t="str">
        <x:v>Menos de $1,5 M</x:v>
      </x:c>
      <x:c r="G937" t="str">
        <x:v>Redes sociales</x:v>
      </x:c>
      <x:c r="H937" t="n">
        <x:v>1009000</x:v>
      </x:c>
      <x:c r="I937" t="str">
        <x:v>Salir de deudas</x:v>
      </x:c>
      <x:c r="J937" t="str">
        <x:v>Cero</x:v>
      </x:c>
    </x:row>
    <x:row r="938">
      <x:c r="A938" t="str">
        <x:v>USR-00937</x:v>
      </x:c>
      <x:c r="B938" t="n">
        <x:v>46192</x:v>
      </x:c>
      <x:c r="C938" t="n">
        <x:v>20</x:v>
      </x:c>
      <x:c r="D938" t="str">
        <x:v>Bogotá</x:v>
      </x:c>
      <x:c r="E938" t="str">
        <x:v>Bogotá D.C.</x:v>
      </x:c>
      <x:c r="F938" t="str">
        <x:v>Más de $5 M</x:v>
      </x:c>
      <x:c r="G938" t="str">
        <x:v>Redes sociales</x:v>
      </x:c>
      <x:c r="H938" t="n">
        <x:v>8213000</x:v>
      </x:c>
      <x:c r="I938" t="str">
        <x:v>Control de pagos</x:v>
      </x:c>
      <x:c r="J938" t="str">
        <x:v>Plus anual</x:v>
      </x:c>
    </x:row>
    <x:row r="939">
      <x:c r="A939" t="str">
        <x:v>USR-00938</x:v>
      </x:c>
      <x:c r="B939" t="n">
        <x:v>46183</x:v>
      </x:c>
      <x:c r="C939" t="n">
        <x:v>33</x:v>
      </x:c>
      <x:c r="D939" t="str">
        <x:v>Medellín</x:v>
      </x:c>
      <x:c r="E939" t="str">
        <x:v>Antioquia</x:v>
      </x:c>
      <x:c r="F939" t="str">
        <x:v>Entre $3 M y $5 M</x:v>
      </x:c>
      <x:c r="G939" t="str">
        <x:v>Referidos</x:v>
      </x:c>
      <x:c r="H939" t="n">
        <x:v>3994000</x:v>
      </x:c>
      <x:c r="I939" t="str">
        <x:v>Control de pagos</x:v>
      </x:c>
      <x:c r="J939" t="str">
        <x:v>Plus mensual</x:v>
      </x:c>
    </x:row>
    <x:row r="940">
      <x:c r="A940" t="str">
        <x:v>USR-00939</x:v>
      </x:c>
      <x:c r="B940" t="n">
        <x:v>46196</x:v>
      </x:c>
      <x:c r="C940" t="n">
        <x:v>36</x:v>
      </x:c>
      <x:c r="D940" t="str">
        <x:v>Villavicencio</x:v>
      </x:c>
      <x:c r="E940" t="str">
        <x:v>Meta</x:v>
      </x:c>
      <x:c r="F940" t="str">
        <x:v>Entre $1,5 M y $3 M</x:v>
      </x:c>
      <x:c r="G940" t="str">
        <x:v>Referidos</x:v>
      </x:c>
      <x:c r="H940" t="n">
        <x:v>2171000</x:v>
      </x:c>
      <x:c r="I940" t="str">
        <x:v>Organización inicial</x:v>
      </x:c>
      <x:c r="J940" t="str">
        <x:v>Cero</x:v>
      </x:c>
    </x:row>
    <x:row r="941">
      <x:c r="A941" t="str">
        <x:v>USR-00940</x:v>
      </x:c>
      <x:c r="B941" t="n">
        <x:v>46196</x:v>
      </x:c>
      <x:c r="C941" t="n">
        <x:v>24</x:v>
      </x:c>
      <x:c r="D941" t="str">
        <x:v>Bucaramanga</x:v>
      </x:c>
      <x:c r="E941" t="str">
        <x:v>Santander</x:v>
      </x:c>
      <x:c r="F941" t="str">
        <x:v>Entre $3 M y $5 M</x:v>
      </x:c>
      <x:c r="G941" t="str">
        <x:v>Alianzas</x:v>
      </x:c>
      <x:c r="H941" t="n">
        <x:v>3368000</x:v>
      </x:c>
      <x:c r="I941" t="str">
        <x:v>Salir de deudas</x:v>
      </x:c>
      <x:c r="J941" t="str">
        <x:v>Cero</x:v>
      </x:c>
    </x:row>
    <x:row r="942">
      <x:c r="A942" t="str">
        <x:v>USR-00941</x:v>
      </x:c>
      <x:c r="B942" t="n">
        <x:v>46193</x:v>
      </x:c>
      <x:c r="C942" t="n">
        <x:v>50</x:v>
      </x:c>
      <x:c r="D942" t="str">
        <x:v>Cartagena</x:v>
      </x:c>
      <x:c r="E942" t="str">
        <x:v>Bolívar</x:v>
      </x:c>
      <x:c r="F942" t="str">
        <x:v>Entre $1,5 M y $3 M</x:v>
      </x:c>
      <x:c r="G942" t="str">
        <x:v>Contenido educativo</x:v>
      </x:c>
      <x:c r="H942" t="n">
        <x:v>2930000</x:v>
      </x:c>
      <x:c r="I942" t="str">
        <x:v>Organización inicial</x:v>
      </x:c>
      <x:c r="J942" t="str">
        <x:v>Cero</x:v>
      </x:c>
    </x:row>
    <x:row r="943">
      <x:c r="A943" t="str">
        <x:v>USR-00942</x:v>
      </x:c>
      <x:c r="B943" t="n">
        <x:v>46189</x:v>
      </x:c>
      <x:c r="C943" t="n">
        <x:v>40</x:v>
      </x:c>
      <x:c r="D943" t="str">
        <x:v>Bogotá</x:v>
      </x:c>
      <x:c r="E943" t="str">
        <x:v>Bogotá D.C.</x:v>
      </x:c>
      <x:c r="F943" t="str">
        <x:v>Entre $3 M y $5 M</x:v>
      </x:c>
      <x:c r="G943" t="str">
        <x:v>Referidos</x:v>
      </x:c>
      <x:c r="H943" t="n">
        <x:v>3307000</x:v>
      </x:c>
      <x:c r="I943" t="str">
        <x:v>Salir de deudas</x:v>
      </x:c>
      <x:c r="J943" t="str">
        <x:v>Plus mensual</x:v>
      </x:c>
    </x:row>
    <x:row r="944">
      <x:c r="A944" t="str">
        <x:v>USR-00943</x:v>
      </x:c>
      <x:c r="B944" t="n">
        <x:v>46197</x:v>
      </x:c>
      <x:c r="C944" t="n">
        <x:v>55</x:v>
      </x:c>
      <x:c r="D944" t="str">
        <x:v>Cali</x:v>
      </x:c>
      <x:c r="E944" t="str">
        <x:v>Valle del Cauca</x:v>
      </x:c>
      <x:c r="F944" t="str">
        <x:v>Entre $3 M y $5 M</x:v>
      </x:c>
      <x:c r="G944" t="str">
        <x:v>Búsqueda paga</x:v>
      </x:c>
      <x:c r="H944" t="n">
        <x:v>3747000</x:v>
      </x:c>
      <x:c r="I944" t="str">
        <x:v>Organización inicial</x:v>
      </x:c>
      <x:c r="J944" t="str">
        <x:v>Plus mensual</x:v>
      </x:c>
    </x:row>
    <x:row r="945">
      <x:c r="A945" t="str">
        <x:v>USR-00944</x:v>
      </x:c>
      <x:c r="B945" t="n">
        <x:v>46193</x:v>
      </x:c>
      <x:c r="C945" t="n">
        <x:v>57</x:v>
      </x:c>
      <x:c r="D945" t="str">
        <x:v>Bogotá</x:v>
      </x:c>
      <x:c r="E945" t="str">
        <x:v>Bogotá D.C.</x:v>
      </x:c>
      <x:c r="F945" t="str">
        <x:v>Entre $3 M y $5 M</x:v>
      </x:c>
      <x:c r="G945" t="str">
        <x:v>Referidos</x:v>
      </x:c>
      <x:c r="H945" t="n">
        <x:v>3980000</x:v>
      </x:c>
      <x:c r="I945" t="str">
        <x:v>Control de pagos</x:v>
      </x:c>
      <x:c r="J945" t="str">
        <x:v>Cero</x:v>
      </x:c>
    </x:row>
    <x:row r="946">
      <x:c r="A946" t="str">
        <x:v>USR-00945</x:v>
      </x:c>
      <x:c r="B946" t="n">
        <x:v>46199</x:v>
      </x:c>
      <x:c r="C946" t="n">
        <x:v>55</x:v>
      </x:c>
      <x:c r="D946" t="str">
        <x:v>Cali</x:v>
      </x:c>
      <x:c r="E946" t="str">
        <x:v>Valle del Cauca</x:v>
      </x:c>
      <x:c r="F946" t="str">
        <x:v>Entre $1,5 M y $3 M</x:v>
      </x:c>
      <x:c r="G946" t="str">
        <x:v>Redes sociales</x:v>
      </x:c>
      <x:c r="H946" t="n">
        <x:v>1794000</x:v>
      </x:c>
      <x:c r="I946" t="str">
        <x:v>Salir de deudas</x:v>
      </x:c>
      <x:c r="J946" t="str">
        <x:v>Cero</x:v>
      </x:c>
    </x:row>
    <x:row r="947">
      <x:c r="A947" t="str">
        <x:v>USR-00946</x:v>
      </x:c>
      <x:c r="B947" t="n">
        <x:v>46175</x:v>
      </x:c>
      <x:c r="C947" t="n">
        <x:v>63</x:v>
      </x:c>
      <x:c r="D947" t="str">
        <x:v>Bogotá</x:v>
      </x:c>
      <x:c r="E947" t="str">
        <x:v>Bogotá D.C.</x:v>
      </x:c>
      <x:c r="F947" t="str">
        <x:v>Entre $3 M y $5 M</x:v>
      </x:c>
      <x:c r="G947" t="str">
        <x:v>Referidos</x:v>
      </x:c>
      <x:c r="H947" t="n">
        <x:v>3506000</x:v>
      </x:c>
      <x:c r="I947" t="str">
        <x:v>Reducir intereses</x:v>
      </x:c>
      <x:c r="J947" t="str">
        <x:v>Cero</x:v>
      </x:c>
    </x:row>
    <x:row r="948">
      <x:c r="A948" t="str">
        <x:v>USR-00947</x:v>
      </x:c>
      <x:c r="B948" t="n">
        <x:v>46176</x:v>
      </x:c>
      <x:c r="C948" t="n">
        <x:v>58</x:v>
      </x:c>
      <x:c r="D948" t="str">
        <x:v>Medellín</x:v>
      </x:c>
      <x:c r="E948" t="str">
        <x:v>Antioquia</x:v>
      </x:c>
      <x:c r="F948" t="str">
        <x:v>Entre $1,5 M y $3 M</x:v>
      </x:c>
      <x:c r="G948" t="str">
        <x:v>Búsqueda paga</x:v>
      </x:c>
      <x:c r="H948" t="n">
        <x:v>2437000</x:v>
      </x:c>
      <x:c r="I948" t="str">
        <x:v>Organización inicial</x:v>
      </x:c>
      <x:c r="J948" t="str">
        <x:v>Plus anual</x:v>
      </x:c>
    </x:row>
    <x:row r="949">
      <x:c r="A949" t="str">
        <x:v>USR-00948</x:v>
      </x:c>
      <x:c r="B949" t="n">
        <x:v>46194</x:v>
      </x:c>
      <x:c r="C949" t="n">
        <x:v>36</x:v>
      </x:c>
      <x:c r="D949" t="str">
        <x:v>Bogotá</x:v>
      </x:c>
      <x:c r="E949" t="str">
        <x:v>Bogotá D.C.</x:v>
      </x:c>
      <x:c r="F949" t="str">
        <x:v>Entre $3 M y $5 M</x:v>
      </x:c>
      <x:c r="G949" t="str">
        <x:v>Redes sociales</x:v>
      </x:c>
      <x:c r="H949" t="n">
        <x:v>4987000</x:v>
      </x:c>
      <x:c r="I949" t="str">
        <x:v>Organización inicial</x:v>
      </x:c>
      <x:c r="J949" t="str">
        <x:v>Plus mensual</x:v>
      </x:c>
    </x:row>
    <x:row r="950">
      <x:c r="A950" t="str">
        <x:v>USR-00949</x:v>
      </x:c>
      <x:c r="B950" t="n">
        <x:v>46194</x:v>
      </x:c>
      <x:c r="C950" t="n">
        <x:v>50</x:v>
      </x:c>
      <x:c r="D950" t="str">
        <x:v>Bogotá</x:v>
      </x:c>
      <x:c r="E950" t="str">
        <x:v>Bogotá D.C.</x:v>
      </x:c>
      <x:c r="F950" t="str">
        <x:v>Entre $3 M y $5 M</x:v>
      </x:c>
      <x:c r="G950" t="str">
        <x:v>Orgánico</x:v>
      </x:c>
      <x:c r="H950" t="n">
        <x:v>3755000</x:v>
      </x:c>
      <x:c r="I950" t="str">
        <x:v>Salir de deudas</x:v>
      </x:c>
      <x:c r="J950" t="str">
        <x:v>Cero</x:v>
      </x:c>
    </x:row>
    <x:row r="951">
      <x:c r="A951" t="str">
        <x:v>USR-00950</x:v>
      </x:c>
      <x:c r="B951" t="n">
        <x:v>46184</x:v>
      </x:c>
      <x:c r="C951" t="n">
        <x:v>64</x:v>
      </x:c>
      <x:c r="D951" t="str">
        <x:v>Barranquilla</x:v>
      </x:c>
      <x:c r="E951" t="str">
        <x:v>Atlántico</x:v>
      </x:c>
      <x:c r="F951" t="str">
        <x:v>Entre $1,5 M y $3 M</x:v>
      </x:c>
      <x:c r="G951" t="str">
        <x:v>Redes sociales</x:v>
      </x:c>
      <x:c r="H951" t="n">
        <x:v>2577000</x:v>
      </x:c>
      <x:c r="I951" t="str">
        <x:v>Salir de deudas</x:v>
      </x:c>
      <x:c r="J951" t="str">
        <x:v>Cero</x:v>
      </x:c>
    </x:row>
    <x:row r="952">
      <x:c r="A952" t="str">
        <x:v>USR-00951</x:v>
      </x:c>
      <x:c r="B952" t="n">
        <x:v>46180</x:v>
      </x:c>
      <x:c r="C952" t="n">
        <x:v>63</x:v>
      </x:c>
      <x:c r="D952" t="str">
        <x:v>Cali</x:v>
      </x:c>
      <x:c r="E952" t="str">
        <x:v>Valle del Cauca</x:v>
      </x:c>
      <x:c r="F952" t="str">
        <x:v>Más de $5 M</x:v>
      </x:c>
      <x:c r="G952" t="str">
        <x:v>Búsqueda paga</x:v>
      </x:c>
      <x:c r="H952" t="n">
        <x:v>5896000</x:v>
      </x:c>
      <x:c r="I952" t="str">
        <x:v>Control de pagos</x:v>
      </x:c>
      <x:c r="J952" t="str">
        <x:v>Plus mensual</x:v>
      </x:c>
    </x:row>
    <x:row r="953">
      <x:c r="A953" t="str">
        <x:v>USR-00952</x:v>
      </x:c>
      <x:c r="B953" t="n">
        <x:v>46174</x:v>
      </x:c>
      <x:c r="C953" t="n">
        <x:v>56</x:v>
      </x:c>
      <x:c r="D953" t="str">
        <x:v>Cartagena</x:v>
      </x:c>
      <x:c r="E953" t="str">
        <x:v>Bolívar</x:v>
      </x:c>
      <x:c r="F953" t="str">
        <x:v>Entre $1,5 M y $3 M</x:v>
      </x:c>
      <x:c r="G953" t="str">
        <x:v>Referidos</x:v>
      </x:c>
      <x:c r="H953" t="n">
        <x:v>2086000</x:v>
      </x:c>
      <x:c r="I953" t="str">
        <x:v>Control de pagos</x:v>
      </x:c>
      <x:c r="J953" t="str">
        <x:v>Cero</x:v>
      </x:c>
    </x:row>
    <x:row r="954">
      <x:c r="A954" t="str">
        <x:v>USR-00953</x:v>
      </x:c>
      <x:c r="B954" t="n">
        <x:v>46193</x:v>
      </x:c>
      <x:c r="C954" t="n">
        <x:v>35</x:v>
      </x:c>
      <x:c r="D954" t="str">
        <x:v>Bucaramanga</x:v>
      </x:c>
      <x:c r="E954" t="str">
        <x:v>Santander</x:v>
      </x:c>
      <x:c r="F954" t="str">
        <x:v>Entre $1,5 M y $3 M</x:v>
      </x:c>
      <x:c r="G954" t="str">
        <x:v>Alianzas</x:v>
      </x:c>
      <x:c r="H954" t="n">
        <x:v>2290000</x:v>
      </x:c>
      <x:c r="I954" t="str">
        <x:v>Organización inicial</x:v>
      </x:c>
      <x:c r="J954" t="str">
        <x:v>Cero</x:v>
      </x:c>
    </x:row>
    <x:row r="955">
      <x:c r="A955" t="str">
        <x:v>USR-00954</x:v>
      </x:c>
      <x:c r="B955" t="n">
        <x:v>46198</x:v>
      </x:c>
      <x:c r="C955" t="n">
        <x:v>32</x:v>
      </x:c>
      <x:c r="D955" t="str">
        <x:v>Cali</x:v>
      </x:c>
      <x:c r="E955" t="str">
        <x:v>Valle del Cauca</x:v>
      </x:c>
      <x:c r="F955" t="str">
        <x:v>Entre $1,5 M y $3 M</x:v>
      </x:c>
      <x:c r="G955" t="str">
        <x:v>Contenido educativo</x:v>
      </x:c>
      <x:c r="H955" t="n">
        <x:v>2824000</x:v>
      </x:c>
      <x:c r="I955" t="str">
        <x:v>Reducir intereses</x:v>
      </x:c>
      <x:c r="J955" t="str">
        <x:v>Cero</x:v>
      </x:c>
    </x:row>
    <x:row r="956">
      <x:c r="A956" t="str">
        <x:v>USR-00955</x:v>
      </x:c>
      <x:c r="B956" t="n">
        <x:v>46177</x:v>
      </x:c>
      <x:c r="C956" t="n">
        <x:v>56</x:v>
      </x:c>
      <x:c r="D956" t="str">
        <x:v>Bucaramanga</x:v>
      </x:c>
      <x:c r="E956" t="str">
        <x:v>Santander</x:v>
      </x:c>
      <x:c r="F956" t="str">
        <x:v>Entre $1,5 M y $3 M</x:v>
      </x:c>
      <x:c r="G956" t="str">
        <x:v>Contenido educativo</x:v>
      </x:c>
      <x:c r="H956" t="n">
        <x:v>2884000</x:v>
      </x:c>
      <x:c r="I956" t="str">
        <x:v>Organización inicial</x:v>
      </x:c>
      <x:c r="J956" t="str">
        <x:v>Plus mensual</x:v>
      </x:c>
    </x:row>
    <x:row r="957">
      <x:c r="A957" t="str">
        <x:v>USR-00956</x:v>
      </x:c>
      <x:c r="B957" t="n">
        <x:v>46192</x:v>
      </x:c>
      <x:c r="C957" t="n">
        <x:v>50</x:v>
      </x:c>
      <x:c r="D957" t="str">
        <x:v>Pereira</x:v>
      </x:c>
      <x:c r="E957" t="str">
        <x:v>Risaralda</x:v>
      </x:c>
      <x:c r="F957" t="str">
        <x:v>Menos de $1,5 M</x:v>
      </x:c>
      <x:c r="G957" t="str">
        <x:v>Redes sociales</x:v>
      </x:c>
      <x:c r="H957" t="n">
        <x:v>1179000</x:v>
      </x:c>
      <x:c r="I957" t="str">
        <x:v>Organización inicial</x:v>
      </x:c>
      <x:c r="J957" t="str">
        <x:v>Cero</x:v>
      </x:c>
    </x:row>
    <x:row r="958">
      <x:c r="A958" t="str">
        <x:v>USR-00957</x:v>
      </x:c>
      <x:c r="B958" t="n">
        <x:v>46182</x:v>
      </x:c>
      <x:c r="C958" t="n">
        <x:v>44</x:v>
      </x:c>
      <x:c r="D958" t="str">
        <x:v>Cali</x:v>
      </x:c>
      <x:c r="E958" t="str">
        <x:v>Valle del Cauca</x:v>
      </x:c>
      <x:c r="F958" t="str">
        <x:v>Entre $3 M y $5 M</x:v>
      </x:c>
      <x:c r="G958" t="str">
        <x:v>Redes sociales</x:v>
      </x:c>
      <x:c r="H958" t="n">
        <x:v>4304000</x:v>
      </x:c>
      <x:c r="I958" t="str">
        <x:v>Salir de deudas</x:v>
      </x:c>
      <x:c r="J958" t="str">
        <x:v>Cero</x:v>
      </x:c>
    </x:row>
    <x:row r="959">
      <x:c r="A959" t="str">
        <x:v>USR-00958</x:v>
      </x:c>
      <x:c r="B959" t="n">
        <x:v>46199</x:v>
      </x:c>
      <x:c r="C959" t="n">
        <x:v>64</x:v>
      </x:c>
      <x:c r="D959" t="str">
        <x:v>Bogotá</x:v>
      </x:c>
      <x:c r="E959" t="str">
        <x:v>Bogotá D.C.</x:v>
      </x:c>
      <x:c r="F959" t="str">
        <x:v>Entre $1,5 M y $3 M</x:v>
      </x:c>
      <x:c r="G959" t="str">
        <x:v>Orgánico</x:v>
      </x:c>
      <x:c r="H959" t="n">
        <x:v>2135000</x:v>
      </x:c>
      <x:c r="I959" t="str">
        <x:v>Reducir intereses</x:v>
      </x:c>
      <x:c r="J959" t="str">
        <x:v>Inactivo</x:v>
      </x:c>
    </x:row>
    <x:row r="960">
      <x:c r="A960" t="str">
        <x:v>USR-00959</x:v>
      </x:c>
      <x:c r="B960" t="n">
        <x:v>46180</x:v>
      </x:c>
      <x:c r="C960" t="n">
        <x:v>27</x:v>
      </x:c>
      <x:c r="D960" t="str">
        <x:v>Cartagena</x:v>
      </x:c>
      <x:c r="E960" t="str">
        <x:v>Bolívar</x:v>
      </x:c>
      <x:c r="F960" t="str">
        <x:v>Entre $1,5 M y $3 M</x:v>
      </x:c>
      <x:c r="G960" t="str">
        <x:v>Redes sociales</x:v>
      </x:c>
      <x:c r="H960" t="n">
        <x:v>1660000</x:v>
      </x:c>
      <x:c r="I960" t="str">
        <x:v>Reducir intereses</x:v>
      </x:c>
      <x:c r="J960" t="str">
        <x:v>Cero</x:v>
      </x:c>
    </x:row>
    <x:row r="961">
      <x:c r="A961" t="str">
        <x:v>USR-00960</x:v>
      </x:c>
      <x:c r="B961" t="n">
        <x:v>46188</x:v>
      </x:c>
      <x:c r="C961" t="n">
        <x:v>43</x:v>
      </x:c>
      <x:c r="D961" t="str">
        <x:v>Medellín</x:v>
      </x:c>
      <x:c r="E961" t="str">
        <x:v>Antioquia</x:v>
      </x:c>
      <x:c r="F961" t="str">
        <x:v>Más de $5 M</x:v>
      </x:c>
      <x:c r="G961" t="str">
        <x:v>Contenido educativo</x:v>
      </x:c>
      <x:c r="H961" t="n">
        <x:v>6837000</x:v>
      </x:c>
      <x:c r="I961" t="str">
        <x:v>Organización inicial</x:v>
      </x:c>
      <x:c r="J961" t="str">
        <x:v>Cero</x:v>
      </x:c>
    </x:row>
    <x:row r="962">
      <x:c r="A962" t="str">
        <x:v>USR-00961</x:v>
      </x:c>
      <x:c r="B962" t="n">
        <x:v>46200</x:v>
      </x:c>
      <x:c r="C962" t="n">
        <x:v>50</x:v>
      </x:c>
      <x:c r="D962" t="str">
        <x:v>Bogotá</x:v>
      </x:c>
      <x:c r="E962" t="str">
        <x:v>Bogotá D.C.</x:v>
      </x:c>
      <x:c r="F962" t="str">
        <x:v>Entre $3 M y $5 M</x:v>
      </x:c>
      <x:c r="G962" t="str">
        <x:v>Referidos</x:v>
      </x:c>
      <x:c r="H962" t="n">
        <x:v>4885000</x:v>
      </x:c>
      <x:c r="I962" t="str">
        <x:v>Salir de deudas</x:v>
      </x:c>
      <x:c r="J962" t="str">
        <x:v>Cero</x:v>
      </x:c>
    </x:row>
    <x:row r="963">
      <x:c r="A963" t="str">
        <x:v>USR-00962</x:v>
      </x:c>
      <x:c r="B963" t="n">
        <x:v>46181</x:v>
      </x:c>
      <x:c r="C963" t="n">
        <x:v>55</x:v>
      </x:c>
      <x:c r="D963" t="str">
        <x:v>Barranquilla</x:v>
      </x:c>
      <x:c r="E963" t="str">
        <x:v>Atlántico</x:v>
      </x:c>
      <x:c r="F963" t="str">
        <x:v>Entre $1,5 M y $3 M</x:v>
      </x:c>
      <x:c r="G963" t="str">
        <x:v>Búsqueda paga</x:v>
      </x:c>
      <x:c r="H963" t="n">
        <x:v>2073000</x:v>
      </x:c>
      <x:c r="I963" t="str">
        <x:v>Salir de deudas</x:v>
      </x:c>
      <x:c r="J963" t="str">
        <x:v>Cero</x:v>
      </x:c>
    </x:row>
    <x:row r="964">
      <x:c r="A964" t="str">
        <x:v>USR-00963</x:v>
      </x:c>
      <x:c r="B964" t="n">
        <x:v>46197</x:v>
      </x:c>
      <x:c r="C964" t="n">
        <x:v>49</x:v>
      </x:c>
      <x:c r="D964" t="str">
        <x:v>Villavicencio</x:v>
      </x:c>
      <x:c r="E964" t="str">
        <x:v>Meta</x:v>
      </x:c>
      <x:c r="F964" t="str">
        <x:v>Entre $1,5 M y $3 M</x:v>
      </x:c>
      <x:c r="G964" t="str">
        <x:v>Contenido educativo</x:v>
      </x:c>
      <x:c r="H964" t="n">
        <x:v>2557000</x:v>
      </x:c>
      <x:c r="I964" t="str">
        <x:v>Organización inicial</x:v>
      </x:c>
      <x:c r="J964" t="str">
        <x:v>Cero</x:v>
      </x:c>
    </x:row>
    <x:row r="965">
      <x:c r="A965" t="str">
        <x:v>USR-00964</x:v>
      </x:c>
      <x:c r="B965" t="n">
        <x:v>46189</x:v>
      </x:c>
      <x:c r="C965" t="n">
        <x:v>32</x:v>
      </x:c>
      <x:c r="D965" t="str">
        <x:v>Bogotá</x:v>
      </x:c>
      <x:c r="E965" t="str">
        <x:v>Bogotá D.C.</x:v>
      </x:c>
      <x:c r="F965" t="str">
        <x:v>Entre $1,5 M y $3 M</x:v>
      </x:c>
      <x:c r="G965" t="str">
        <x:v>Alianzas</x:v>
      </x:c>
      <x:c r="H965" t="n">
        <x:v>2383000</x:v>
      </x:c>
      <x:c r="I965" t="str">
        <x:v>Reducir intereses</x:v>
      </x:c>
      <x:c r="J965" t="str">
        <x:v>Cero</x:v>
      </x:c>
    </x:row>
    <x:row r="966">
      <x:c r="A966" t="str">
        <x:v>USR-00965</x:v>
      </x:c>
      <x:c r="B966" t="n">
        <x:v>46178</x:v>
      </x:c>
      <x:c r="C966" t="n">
        <x:v>36</x:v>
      </x:c>
      <x:c r="D966" t="str">
        <x:v>Bogotá</x:v>
      </x:c>
      <x:c r="E966" t="str">
        <x:v>Bogotá D.C.</x:v>
      </x:c>
      <x:c r="F966" t="str">
        <x:v>Entre $1,5 M y $3 M</x:v>
      </x:c>
      <x:c r="G966" t="str">
        <x:v>Referidos</x:v>
      </x:c>
      <x:c r="H966" t="n">
        <x:v>2470000</x:v>
      </x:c>
      <x:c r="I966" t="str">
        <x:v>Reducir intereses</x:v>
      </x:c>
      <x:c r="J966" t="str">
        <x:v>Cero</x:v>
      </x:c>
    </x:row>
    <x:row r="967">
      <x:c r="A967" t="str">
        <x:v>USR-00966</x:v>
      </x:c>
      <x:c r="B967" t="n">
        <x:v>46186</x:v>
      </x:c>
      <x:c r="C967" t="n">
        <x:v>50</x:v>
      </x:c>
      <x:c r="D967" t="str">
        <x:v>Bogotá</x:v>
      </x:c>
      <x:c r="E967" t="str">
        <x:v>Bogotá D.C.</x:v>
      </x:c>
      <x:c r="F967" t="str">
        <x:v>Más de $5 M</x:v>
      </x:c>
      <x:c r="G967" t="str">
        <x:v>Búsqueda paga</x:v>
      </x:c>
      <x:c r="H967" t="n">
        <x:v>8229000</x:v>
      </x:c>
      <x:c r="I967" t="str">
        <x:v>Salir de deudas</x:v>
      </x:c>
      <x:c r="J967" t="str">
        <x:v>Plus mensual</x:v>
      </x:c>
    </x:row>
    <x:row r="968">
      <x:c r="A968" t="str">
        <x:v>USR-00967</x:v>
      </x:c>
      <x:c r="B968" t="n">
        <x:v>46188</x:v>
      </x:c>
      <x:c r="C968" t="n">
        <x:v>33</x:v>
      </x:c>
      <x:c r="D968" t="str">
        <x:v>Bogotá</x:v>
      </x:c>
      <x:c r="E968" t="str">
        <x:v>Bogotá D.C.</x:v>
      </x:c>
      <x:c r="F968" t="str">
        <x:v>Menos de $1,5 M</x:v>
      </x:c>
      <x:c r="G968" t="str">
        <x:v>Orgánico</x:v>
      </x:c>
      <x:c r="H968" t="n">
        <x:v>1412000</x:v>
      </x:c>
      <x:c r="I968" t="str">
        <x:v>Control de pagos</x:v>
      </x:c>
      <x:c r="J968" t="str">
        <x:v>Cero</x:v>
      </x:c>
    </x:row>
    <x:row r="969">
      <x:c r="A969" t="str">
        <x:v>USR-00968</x:v>
      </x:c>
      <x:c r="B969" t="n">
        <x:v>46176</x:v>
      </x:c>
      <x:c r="C969" t="n">
        <x:v>40</x:v>
      </x:c>
      <x:c r="D969" t="str">
        <x:v>Bogotá</x:v>
      </x:c>
      <x:c r="E969" t="str">
        <x:v>Bogotá D.C.</x:v>
      </x:c>
      <x:c r="F969" t="str">
        <x:v>Entre $3 M y $5 M</x:v>
      </x:c>
      <x:c r="G969" t="str">
        <x:v>Redes sociales</x:v>
      </x:c>
      <x:c r="H969" t="n">
        <x:v>3205000</x:v>
      </x:c>
      <x:c r="I969" t="str">
        <x:v>Reducir intereses</x:v>
      </x:c>
      <x:c r="J969" t="str">
        <x:v>Plus mensual</x:v>
      </x:c>
    </x:row>
    <x:row r="970">
      <x:c r="A970" t="str">
        <x:v>USR-00969</x:v>
      </x:c>
      <x:c r="B970" t="n">
        <x:v>46191</x:v>
      </x:c>
      <x:c r="C970" t="n">
        <x:v>29</x:v>
      </x:c>
      <x:c r="D970" t="str">
        <x:v>Bogotá</x:v>
      </x:c>
      <x:c r="E970" t="str">
        <x:v>Bogotá D.C.</x:v>
      </x:c>
      <x:c r="F970" t="str">
        <x:v>Entre $1,5 M y $3 M</x:v>
      </x:c>
      <x:c r="G970" t="str">
        <x:v>Referidos</x:v>
      </x:c>
      <x:c r="H970" t="n">
        <x:v>2052000</x:v>
      </x:c>
      <x:c r="I970" t="str">
        <x:v>Salir de deudas</x:v>
      </x:c>
      <x:c r="J970" t="str">
        <x:v>Cero</x:v>
      </x:c>
    </x:row>
    <x:row r="971">
      <x:c r="A971" t="str">
        <x:v>USR-00970</x:v>
      </x:c>
      <x:c r="B971" t="n">
        <x:v>46195</x:v>
      </x:c>
      <x:c r="C971" t="n">
        <x:v>50</x:v>
      </x:c>
      <x:c r="D971" t="str">
        <x:v>Medellín</x:v>
      </x:c>
      <x:c r="E971" t="str">
        <x:v>Antioquia</x:v>
      </x:c>
      <x:c r="F971" t="str">
        <x:v>Menos de $1,5 M</x:v>
      </x:c>
      <x:c r="G971" t="str">
        <x:v>Contenido educativo</x:v>
      </x:c>
      <x:c r="H971" t="n">
        <x:v>1279000</x:v>
      </x:c>
      <x:c r="I971" t="str">
        <x:v>Organización inicial</x:v>
      </x:c>
      <x:c r="J971" t="str">
        <x:v>Cero</x:v>
      </x:c>
    </x:row>
    <x:row r="972">
      <x:c r="A972" t="str">
        <x:v>USR-00971</x:v>
      </x:c>
      <x:c r="B972" t="n">
        <x:v>46200</x:v>
      </x:c>
      <x:c r="C972" t="n">
        <x:v>59</x:v>
      </x:c>
      <x:c r="D972" t="str">
        <x:v>Cartagena</x:v>
      </x:c>
      <x:c r="E972" t="str">
        <x:v>Bolívar</x:v>
      </x:c>
      <x:c r="F972" t="str">
        <x:v>Entre $1,5 M y $3 M</x:v>
      </x:c>
      <x:c r="G972" t="str">
        <x:v>Búsqueda paga</x:v>
      </x:c>
      <x:c r="H972" t="n">
        <x:v>2429000</x:v>
      </x:c>
      <x:c r="I972" t="str">
        <x:v>Salir de deudas</x:v>
      </x:c>
      <x:c r="J972" t="str">
        <x:v>Cero</x:v>
      </x:c>
    </x:row>
    <x:row r="973">
      <x:c r="A973" t="str">
        <x:v>USR-00972</x:v>
      </x:c>
      <x:c r="B973" t="n">
        <x:v>46194</x:v>
      </x:c>
      <x:c r="C973" t="n">
        <x:v>38</x:v>
      </x:c>
      <x:c r="D973" t="str">
        <x:v>Cali</x:v>
      </x:c>
      <x:c r="E973" t="str">
        <x:v>Valle del Cauca</x:v>
      </x:c>
      <x:c r="F973" t="str">
        <x:v>Menos de $1,5 M</x:v>
      </x:c>
      <x:c r="G973" t="str">
        <x:v>Alianzas</x:v>
      </x:c>
      <x:c r="H973" t="n">
        <x:v>915000</x:v>
      </x:c>
      <x:c r="I973" t="str">
        <x:v>Control de pagos</x:v>
      </x:c>
      <x:c r="J973" t="str">
        <x:v>Inactivo</x:v>
      </x:c>
    </x:row>
    <x:row r="974">
      <x:c r="A974" t="str">
        <x:v>USR-00973</x:v>
      </x:c>
      <x:c r="B974" t="n">
        <x:v>46185</x:v>
      </x:c>
      <x:c r="C974" t="n">
        <x:v>38</x:v>
      </x:c>
      <x:c r="D974" t="str">
        <x:v>Bogotá</x:v>
      </x:c>
      <x:c r="E974" t="str">
        <x:v>Bogotá D.C.</x:v>
      </x:c>
      <x:c r="F974" t="str">
        <x:v>Menos de $1,5 M</x:v>
      </x:c>
      <x:c r="G974" t="str">
        <x:v>Contenido educativo</x:v>
      </x:c>
      <x:c r="H974" t="n">
        <x:v>1199000</x:v>
      </x:c>
      <x:c r="I974" t="str">
        <x:v>Salir de deudas</x:v>
      </x:c>
      <x:c r="J974" t="str">
        <x:v>Plus mensual</x:v>
      </x:c>
    </x:row>
    <x:row r="975">
      <x:c r="A975" t="str">
        <x:v>USR-00974</x:v>
      </x:c>
      <x:c r="B975" t="n">
        <x:v>46184</x:v>
      </x:c>
      <x:c r="C975" t="n">
        <x:v>32</x:v>
      </x:c>
      <x:c r="D975" t="str">
        <x:v>Medellín</x:v>
      </x:c>
      <x:c r="E975" t="str">
        <x:v>Antioquia</x:v>
      </x:c>
      <x:c r="F975" t="str">
        <x:v>Entre $1,5 M y $3 M</x:v>
      </x:c>
      <x:c r="G975" t="str">
        <x:v>Contenido educativo</x:v>
      </x:c>
      <x:c r="H975" t="n">
        <x:v>2038000</x:v>
      </x:c>
      <x:c r="I975" t="str">
        <x:v>Salir de deudas</x:v>
      </x:c>
      <x:c r="J975" t="str">
        <x:v>Cero</x:v>
      </x:c>
    </x:row>
    <x:row r="976">
      <x:c r="A976" t="str">
        <x:v>USR-00975</x:v>
      </x:c>
      <x:c r="B976" t="n">
        <x:v>46198</x:v>
      </x:c>
      <x:c r="C976" t="n">
        <x:v>47</x:v>
      </x:c>
      <x:c r="D976" t="str">
        <x:v>Bucaramanga</x:v>
      </x:c>
      <x:c r="E976" t="str">
        <x:v>Santander</x:v>
      </x:c>
      <x:c r="F976" t="str">
        <x:v>Entre $3 M y $5 M</x:v>
      </x:c>
      <x:c r="G976" t="str">
        <x:v>Orgánico</x:v>
      </x:c>
      <x:c r="H976" t="n">
        <x:v>4959000</x:v>
      </x:c>
      <x:c r="I976" t="str">
        <x:v>Control de pagos</x:v>
      </x:c>
      <x:c r="J976" t="str">
        <x:v>Plus mensual</x:v>
      </x:c>
    </x:row>
    <x:row r="977">
      <x:c r="A977" t="str">
        <x:v>USR-00976</x:v>
      </x:c>
      <x:c r="B977" t="n">
        <x:v>46189</x:v>
      </x:c>
      <x:c r="C977" t="n">
        <x:v>37</x:v>
      </x:c>
      <x:c r="D977" t="str">
        <x:v>Manizales</x:v>
      </x:c>
      <x:c r="E977" t="str">
        <x:v>Caldas</x:v>
      </x:c>
      <x:c r="F977" t="str">
        <x:v>Más de $5 M</x:v>
      </x:c>
      <x:c r="G977" t="str">
        <x:v>Orgánico</x:v>
      </x:c>
      <x:c r="H977" t="n">
        <x:v>5434000</x:v>
      </x:c>
      <x:c r="I977" t="str">
        <x:v>Salir de deudas</x:v>
      </x:c>
      <x:c r="J977" t="str">
        <x:v>Plus mensual</x:v>
      </x:c>
    </x:row>
    <x:row r="978">
      <x:c r="A978" t="str">
        <x:v>USR-00977</x:v>
      </x:c>
      <x:c r="B978" t="n">
        <x:v>46175</x:v>
      </x:c>
      <x:c r="C978" t="n">
        <x:v>61</x:v>
      </x:c>
      <x:c r="D978" t="str">
        <x:v>Bogotá</x:v>
      </x:c>
      <x:c r="E978" t="str">
        <x:v>Bogotá D.C.</x:v>
      </x:c>
      <x:c r="F978" t="str">
        <x:v>Entre $1,5 M y $3 M</x:v>
      </x:c>
      <x:c r="G978" t="str">
        <x:v>Orgánico</x:v>
      </x:c>
      <x:c r="H978" t="n">
        <x:v>1780000</x:v>
      </x:c>
      <x:c r="I978" t="str">
        <x:v>Control de pagos</x:v>
      </x:c>
      <x:c r="J978" t="str">
        <x:v>Cero</x:v>
      </x:c>
    </x:row>
    <x:row r="979">
      <x:c r="A979" t="str">
        <x:v>USR-00978</x:v>
      </x:c>
      <x:c r="B979" t="n">
        <x:v>46199</x:v>
      </x:c>
      <x:c r="C979" t="n">
        <x:v>32</x:v>
      </x:c>
      <x:c r="D979" t="str">
        <x:v>Bucaramanga</x:v>
      </x:c>
      <x:c r="E979" t="str">
        <x:v>Santander</x:v>
      </x:c>
      <x:c r="F979" t="str">
        <x:v>Menos de $1,5 M</x:v>
      </x:c>
      <x:c r="G979" t="str">
        <x:v>Redes sociales</x:v>
      </x:c>
      <x:c r="H979" t="n">
        <x:v>911000</x:v>
      </x:c>
      <x:c r="I979" t="str">
        <x:v>Reducir intereses</x:v>
      </x:c>
      <x:c r="J979" t="str">
        <x:v>Cero</x:v>
      </x:c>
    </x:row>
    <x:row r="980">
      <x:c r="A980" t="str">
        <x:v>USR-00979</x:v>
      </x:c>
      <x:c r="B980" t="n">
        <x:v>46186</x:v>
      </x:c>
      <x:c r="C980" t="n">
        <x:v>33</x:v>
      </x:c>
      <x:c r="D980" t="str">
        <x:v>Pereira</x:v>
      </x:c>
      <x:c r="E980" t="str">
        <x:v>Risaralda</x:v>
      </x:c>
      <x:c r="F980" t="str">
        <x:v>Menos de $1,5 M</x:v>
      </x:c>
      <x:c r="G980" t="str">
        <x:v>Redes sociales</x:v>
      </x:c>
      <x:c r="H980" t="n">
        <x:v>1044000</x:v>
      </x:c>
      <x:c r="I980" t="str">
        <x:v>Reducir intereses</x:v>
      </x:c>
      <x:c r="J980" t="str">
        <x:v>Cero</x:v>
      </x:c>
    </x:row>
    <x:row r="981">
      <x:c r="A981" t="str">
        <x:v>USR-00980</x:v>
      </x:c>
      <x:c r="B981" t="n">
        <x:v>46188</x:v>
      </x:c>
      <x:c r="C981" t="n">
        <x:v>35</x:v>
      </x:c>
      <x:c r="D981" t="str">
        <x:v>Medellín</x:v>
      </x:c>
      <x:c r="E981" t="str">
        <x:v>Antioquia</x:v>
      </x:c>
      <x:c r="F981" t="str">
        <x:v>Entre $3 M y $5 M</x:v>
      </x:c>
      <x:c r="G981" t="str">
        <x:v>Redes sociales</x:v>
      </x:c>
      <x:c r="H981" t="n">
        <x:v>3301000</x:v>
      </x:c>
      <x:c r="I981" t="str">
        <x:v>Salir de deudas</x:v>
      </x:c>
      <x:c r="J981" t="str">
        <x:v>Cero</x:v>
      </x:c>
    </x:row>
    <x:row r="982">
      <x:c r="A982" t="str">
        <x:v>USR-00981</x:v>
      </x:c>
      <x:c r="B982" t="n">
        <x:v>46228</x:v>
      </x:c>
      <x:c r="C982" t="n">
        <x:v>41</x:v>
      </x:c>
      <x:c r="D982" t="str">
        <x:v>Cartagena</x:v>
      </x:c>
      <x:c r="E982" t="str">
        <x:v>Bolívar</x:v>
      </x:c>
      <x:c r="F982" t="str">
        <x:v>Más de $5 M</x:v>
      </x:c>
      <x:c r="G982" t="str">
        <x:v>Alianzas</x:v>
      </x:c>
      <x:c r="H982" t="n">
        <x:v>5775000</x:v>
      </x:c>
      <x:c r="I982" t="str">
        <x:v>Salir de deudas</x:v>
      </x:c>
      <x:c r="J982" t="str">
        <x:v>Plus mensual</x:v>
      </x:c>
    </x:row>
    <x:row r="983">
      <x:c r="A983" t="str">
        <x:v>USR-00982</x:v>
      </x:c>
      <x:c r="B983" t="n">
        <x:v>46216</x:v>
      </x:c>
      <x:c r="C983" t="n">
        <x:v>60</x:v>
      </x:c>
      <x:c r="D983" t="str">
        <x:v>Bogotá</x:v>
      </x:c>
      <x:c r="E983" t="str">
        <x:v>Bogotá D.C.</x:v>
      </x:c>
      <x:c r="F983" t="str">
        <x:v>Entre $1,5 M y $3 M</x:v>
      </x:c>
      <x:c r="G983" t="str">
        <x:v>Orgánico</x:v>
      </x:c>
      <x:c r="H983" t="n">
        <x:v>2353000</x:v>
      </x:c>
      <x:c r="I983" t="str">
        <x:v>Salir de deudas</x:v>
      </x:c>
      <x:c r="J983" t="str">
        <x:v>Cero</x:v>
      </x:c>
    </x:row>
    <x:row r="984">
      <x:c r="A984" t="str">
        <x:v>USR-00983</x:v>
      </x:c>
      <x:c r="B984" t="n">
        <x:v>46211</x:v>
      </x:c>
      <x:c r="C984" t="n">
        <x:v>52</x:v>
      </x:c>
      <x:c r="D984" t="str">
        <x:v>Barranquilla</x:v>
      </x:c>
      <x:c r="E984" t="str">
        <x:v>Atlántico</x:v>
      </x:c>
      <x:c r="F984" t="str">
        <x:v>Más de $5 M</x:v>
      </x:c>
      <x:c r="G984" t="str">
        <x:v>Referidos</x:v>
      </x:c>
      <x:c r="H984" t="n">
        <x:v>5400000</x:v>
      </x:c>
      <x:c r="I984" t="str">
        <x:v>Control de pagos</x:v>
      </x:c>
      <x:c r="J984" t="str">
        <x:v>Cero</x:v>
      </x:c>
    </x:row>
    <x:row r="985">
      <x:c r="A985" t="str">
        <x:v>USR-00984</x:v>
      </x:c>
      <x:c r="B985" t="n">
        <x:v>46213</x:v>
      </x:c>
      <x:c r="C985" t="n">
        <x:v>58</x:v>
      </x:c>
      <x:c r="D985" t="str">
        <x:v>Pereira</x:v>
      </x:c>
      <x:c r="E985" t="str">
        <x:v>Risaralda</x:v>
      </x:c>
      <x:c r="F985" t="str">
        <x:v>Entre $3 M y $5 M</x:v>
      </x:c>
      <x:c r="G985" t="str">
        <x:v>Contenido educativo</x:v>
      </x:c>
      <x:c r="H985" t="n">
        <x:v>3649000</x:v>
      </x:c>
      <x:c r="I985" t="str">
        <x:v>Reducir intereses</x:v>
      </x:c>
      <x:c r="J985" t="str">
        <x:v>Cero</x:v>
      </x:c>
    </x:row>
    <x:row r="986">
      <x:c r="A986" t="str">
        <x:v>USR-00985</x:v>
      </x:c>
      <x:c r="B986" t="n">
        <x:v>46204</x:v>
      </x:c>
      <x:c r="C986" t="n">
        <x:v>27</x:v>
      </x:c>
      <x:c r="D986" t="str">
        <x:v>Pereira</x:v>
      </x:c>
      <x:c r="E986" t="str">
        <x:v>Risaralda</x:v>
      </x:c>
      <x:c r="F986" t="str">
        <x:v>Entre $1,5 M y $3 M</x:v>
      </x:c>
      <x:c r="G986" t="str">
        <x:v>Redes sociales</x:v>
      </x:c>
      <x:c r="H986" t="n">
        <x:v>2904000</x:v>
      </x:c>
      <x:c r="I986" t="str">
        <x:v>Organización inicial</x:v>
      </x:c>
      <x:c r="J986" t="str">
        <x:v>Cero</x:v>
      </x:c>
    </x:row>
    <x:row r="987">
      <x:c r="A987" t="str">
        <x:v>USR-00986</x:v>
      </x:c>
      <x:c r="B987" t="n">
        <x:v>46204</x:v>
      </x:c>
      <x:c r="C987" t="n">
        <x:v>40</x:v>
      </x:c>
      <x:c r="D987" t="str">
        <x:v>Bogotá</x:v>
      </x:c>
      <x:c r="E987" t="str">
        <x:v>Bogotá D.C.</x:v>
      </x:c>
      <x:c r="F987" t="str">
        <x:v>Más de $5 M</x:v>
      </x:c>
      <x:c r="G987" t="str">
        <x:v>Referidos</x:v>
      </x:c>
      <x:c r="H987" t="n">
        <x:v>8963000</x:v>
      </x:c>
      <x:c r="I987" t="str">
        <x:v>Organización inicial</x:v>
      </x:c>
      <x:c r="J987" t="str">
        <x:v>Plus anual</x:v>
      </x:c>
    </x:row>
    <x:row r="988">
      <x:c r="A988" t="str">
        <x:v>USR-00987</x:v>
      </x:c>
      <x:c r="B988" t="n">
        <x:v>46207</x:v>
      </x:c>
      <x:c r="C988" t="n">
        <x:v>44</x:v>
      </x:c>
      <x:c r="D988" t="str">
        <x:v>Pereira</x:v>
      </x:c>
      <x:c r="E988" t="str">
        <x:v>Risaralda</x:v>
      </x:c>
      <x:c r="F988" t="str">
        <x:v>Entre $1,5 M y $3 M</x:v>
      </x:c>
      <x:c r="G988" t="str">
        <x:v>Redes sociales</x:v>
      </x:c>
      <x:c r="H988" t="n">
        <x:v>2709000</x:v>
      </x:c>
      <x:c r="I988" t="str">
        <x:v>Organización inicial</x:v>
      </x:c>
      <x:c r="J988" t="str">
        <x:v>Cero</x:v>
      </x:c>
    </x:row>
    <x:row r="989">
      <x:c r="A989" t="str">
        <x:v>USR-00988</x:v>
      </x:c>
      <x:c r="B989" t="n">
        <x:v>46230</x:v>
      </x:c>
      <x:c r="C989" t="n">
        <x:v>46</x:v>
      </x:c>
      <x:c r="D989" t="str">
        <x:v>Bogotá</x:v>
      </x:c>
      <x:c r="E989" t="str">
        <x:v>Bogotá D.C.</x:v>
      </x:c>
      <x:c r="F989" t="str">
        <x:v>Entre $1,5 M y $3 M</x:v>
      </x:c>
      <x:c r="G989" t="str">
        <x:v>Referidos</x:v>
      </x:c>
      <x:c r="H989" t="n">
        <x:v>2023000</x:v>
      </x:c>
      <x:c r="I989" t="str">
        <x:v>Organización inicial</x:v>
      </x:c>
      <x:c r="J989" t="str">
        <x:v>Cero</x:v>
      </x:c>
    </x:row>
    <x:row r="990">
      <x:c r="A990" t="str">
        <x:v>USR-00989</x:v>
      </x:c>
      <x:c r="B990" t="n">
        <x:v>46210</x:v>
      </x:c>
      <x:c r="C990" t="n">
        <x:v>45</x:v>
      </x:c>
      <x:c r="D990" t="str">
        <x:v>Bucaramanga</x:v>
      </x:c>
      <x:c r="E990" t="str">
        <x:v>Santander</x:v>
      </x:c>
      <x:c r="F990" t="str">
        <x:v>Entre $1,5 M y $3 M</x:v>
      </x:c>
      <x:c r="G990" t="str">
        <x:v>Referidos</x:v>
      </x:c>
      <x:c r="H990" t="n">
        <x:v>1762000</x:v>
      </x:c>
      <x:c r="I990" t="str">
        <x:v>Organización inicial</x:v>
      </x:c>
      <x:c r="J990" t="str">
        <x:v>Cero</x:v>
      </x:c>
    </x:row>
    <x:row r="991">
      <x:c r="A991" t="str">
        <x:v>USR-00990</x:v>
      </x:c>
      <x:c r="B991" t="n">
        <x:v>46224</x:v>
      </x:c>
      <x:c r="C991" t="n">
        <x:v>35</x:v>
      </x:c>
      <x:c r="D991" t="str">
        <x:v>Bogotá</x:v>
      </x:c>
      <x:c r="E991" t="str">
        <x:v>Bogotá D.C.</x:v>
      </x:c>
      <x:c r="F991" t="str">
        <x:v>Entre $1,5 M y $3 M</x:v>
      </x:c>
      <x:c r="G991" t="str">
        <x:v>Referidos</x:v>
      </x:c>
      <x:c r="H991" t="n">
        <x:v>2489000</x:v>
      </x:c>
      <x:c r="I991" t="str">
        <x:v>Control de pagos</x:v>
      </x:c>
      <x:c r="J991" t="str">
        <x:v>Cero</x:v>
      </x:c>
    </x:row>
    <x:row r="992">
      <x:c r="A992" t="str">
        <x:v>USR-00991</x:v>
      </x:c>
      <x:c r="B992" t="n">
        <x:v>46205</x:v>
      </x:c>
      <x:c r="C992" t="n">
        <x:v>53</x:v>
      </x:c>
      <x:c r="D992" t="str">
        <x:v>Villavicencio</x:v>
      </x:c>
      <x:c r="E992" t="str">
        <x:v>Meta</x:v>
      </x:c>
      <x:c r="F992" t="str">
        <x:v>Entre $3 M y $5 M</x:v>
      </x:c>
      <x:c r="G992" t="str">
        <x:v>Búsqueda paga</x:v>
      </x:c>
      <x:c r="H992" t="n">
        <x:v>3333000</x:v>
      </x:c>
      <x:c r="I992" t="str">
        <x:v>Reducir intereses</x:v>
      </x:c>
      <x:c r="J992" t="str">
        <x:v>Cero</x:v>
      </x:c>
    </x:row>
    <x:row r="993">
      <x:c r="A993" t="str">
        <x:v>USR-00992</x:v>
      </x:c>
      <x:c r="B993" t="n">
        <x:v>46223</x:v>
      </x:c>
      <x:c r="C993" t="n">
        <x:v>50</x:v>
      </x:c>
      <x:c r="D993" t="str">
        <x:v>Medellín</x:v>
      </x:c>
      <x:c r="E993" t="str">
        <x:v>Antioquia</x:v>
      </x:c>
      <x:c r="F993" t="str">
        <x:v>Entre $3 M y $5 M</x:v>
      </x:c>
      <x:c r="G993" t="str">
        <x:v>Contenido educativo</x:v>
      </x:c>
      <x:c r="H993" t="n">
        <x:v>4328000</x:v>
      </x:c>
      <x:c r="I993" t="str">
        <x:v>Reducir intereses</x:v>
      </x:c>
      <x:c r="J993" t="str">
        <x:v>Cero</x:v>
      </x:c>
    </x:row>
    <x:row r="994">
      <x:c r="A994" t="str">
        <x:v>USR-00993</x:v>
      </x:c>
      <x:c r="B994" t="n">
        <x:v>46223</x:v>
      </x:c>
      <x:c r="C994" t="n">
        <x:v>51</x:v>
      </x:c>
      <x:c r="D994" t="str">
        <x:v>Bogotá</x:v>
      </x:c>
      <x:c r="E994" t="str">
        <x:v>Bogotá D.C.</x:v>
      </x:c>
      <x:c r="F994" t="str">
        <x:v>Entre $3 M y $5 M</x:v>
      </x:c>
      <x:c r="G994" t="str">
        <x:v>Redes sociales</x:v>
      </x:c>
      <x:c r="H994" t="n">
        <x:v>4611000</x:v>
      </x:c>
      <x:c r="I994" t="str">
        <x:v>Control de pagos</x:v>
      </x:c>
      <x:c r="J994" t="str">
        <x:v>Cero</x:v>
      </x:c>
    </x:row>
    <x:row r="995">
      <x:c r="A995" t="str">
        <x:v>USR-00994</x:v>
      </x:c>
      <x:c r="B995" t="n">
        <x:v>46207</x:v>
      </x:c>
      <x:c r="C995" t="n">
        <x:v>26</x:v>
      </x:c>
      <x:c r="D995" t="str">
        <x:v>Bogotá</x:v>
      </x:c>
      <x:c r="E995" t="str">
        <x:v>Bogotá D.C.</x:v>
      </x:c>
      <x:c r="F995" t="str">
        <x:v>Entre $1,5 M y $3 M</x:v>
      </x:c>
      <x:c r="G995" t="str">
        <x:v>Redes sociales</x:v>
      </x:c>
      <x:c r="H995" t="n">
        <x:v>1787000</x:v>
      </x:c>
      <x:c r="I995" t="str">
        <x:v>Organización inicial</x:v>
      </x:c>
      <x:c r="J995" t="str">
        <x:v>Cero</x:v>
      </x:c>
    </x:row>
    <x:row r="996">
      <x:c r="A996" t="str">
        <x:v>USR-00995</x:v>
      </x:c>
      <x:c r="B996" t="n">
        <x:v>46209</x:v>
      </x:c>
      <x:c r="C996" t="n">
        <x:v>64</x:v>
      </x:c>
      <x:c r="D996" t="str">
        <x:v>Cartagena</x:v>
      </x:c>
      <x:c r="E996" t="str">
        <x:v>Bolívar</x:v>
      </x:c>
      <x:c r="F996" t="str">
        <x:v>Entre $1,5 M y $3 M</x:v>
      </x:c>
      <x:c r="G996" t="str">
        <x:v>Orgánico</x:v>
      </x:c>
      <x:c r="H996" t="n">
        <x:v>2812000</x:v>
      </x:c>
      <x:c r="I996" t="str">
        <x:v>Reducir intereses</x:v>
      </x:c>
      <x:c r="J996" t="str">
        <x:v>Cero</x:v>
      </x:c>
    </x:row>
    <x:row r="997">
      <x:c r="A997" t="str">
        <x:v>USR-00996</x:v>
      </x:c>
      <x:c r="B997" t="n">
        <x:v>46230</x:v>
      </x:c>
      <x:c r="C997" t="n">
        <x:v>41</x:v>
      </x:c>
      <x:c r="D997" t="str">
        <x:v>Bogotá</x:v>
      </x:c>
      <x:c r="E997" t="str">
        <x:v>Bogotá D.C.</x:v>
      </x:c>
      <x:c r="F997" t="str">
        <x:v>Entre $1,5 M y $3 M</x:v>
      </x:c>
      <x:c r="G997" t="str">
        <x:v>Orgánico</x:v>
      </x:c>
      <x:c r="H997" t="n">
        <x:v>2748000</x:v>
      </x:c>
      <x:c r="I997" t="str">
        <x:v>Control de pagos</x:v>
      </x:c>
      <x:c r="J997" t="str">
        <x:v>Cero</x:v>
      </x:c>
    </x:row>
    <x:row r="998">
      <x:c r="A998" t="str">
        <x:v>USR-00997</x:v>
      </x:c>
      <x:c r="B998" t="n">
        <x:v>46223</x:v>
      </x:c>
      <x:c r="C998" t="n">
        <x:v>27</x:v>
      </x:c>
      <x:c r="D998" t="str">
        <x:v>Bogotá</x:v>
      </x:c>
      <x:c r="E998" t="str">
        <x:v>Bogotá D.C.</x:v>
      </x:c>
      <x:c r="F998" t="str">
        <x:v>Entre $1,5 M y $3 M</x:v>
      </x:c>
      <x:c r="G998" t="str">
        <x:v>Contenido educativo</x:v>
      </x:c>
      <x:c r="H998" t="n">
        <x:v>2297000</x:v>
      </x:c>
      <x:c r="I998" t="str">
        <x:v>Control de pagos</x:v>
      </x:c>
      <x:c r="J998" t="str">
        <x:v>Cero</x:v>
      </x:c>
    </x:row>
    <x:row r="999">
      <x:c r="A999" t="str">
        <x:v>USR-00998</x:v>
      </x:c>
      <x:c r="B999" t="n">
        <x:v>46220</x:v>
      </x:c>
      <x:c r="C999" t="n">
        <x:v>29</x:v>
      </x:c>
      <x:c r="D999" t="str">
        <x:v>Cali</x:v>
      </x:c>
      <x:c r="E999" t="str">
        <x:v>Valle del Cauca</x:v>
      </x:c>
      <x:c r="F999" t="str">
        <x:v>Entre $1,5 M y $3 M</x:v>
      </x:c>
      <x:c r="G999" t="str">
        <x:v>Referidos</x:v>
      </x:c>
      <x:c r="H999" t="n">
        <x:v>1713000</x:v>
      </x:c>
      <x:c r="I999" t="str">
        <x:v>Salir de deudas</x:v>
      </x:c>
      <x:c r="J999" t="str">
        <x:v>Cero</x:v>
      </x:c>
    </x:row>
    <x:row r="1000">
      <x:c r="A1000" t="str">
        <x:v>USR-00999</x:v>
      </x:c>
      <x:c r="B1000" t="n">
        <x:v>46222</x:v>
      </x:c>
      <x:c r="C1000" t="n">
        <x:v>23</x:v>
      </x:c>
      <x:c r="D1000" t="str">
        <x:v>Bogotá</x:v>
      </x:c>
      <x:c r="E1000" t="str">
        <x:v>Bogotá D.C.</x:v>
      </x:c>
      <x:c r="F1000" t="str">
        <x:v>Entre $1,5 M y $3 M</x:v>
      </x:c>
      <x:c r="G1000" t="str">
        <x:v>Búsqueda paga</x:v>
      </x:c>
      <x:c r="H1000" t="n">
        <x:v>2799000</x:v>
      </x:c>
      <x:c r="I1000" t="str">
        <x:v>Organización inicial</x:v>
      </x:c>
      <x:c r="J1000" t="str">
        <x:v>Cero</x:v>
      </x:c>
    </x:row>
    <x:row r="1001">
      <x:c r="A1001" t="str">
        <x:v>USR-01000</x:v>
      </x:c>
      <x:c r="B1001" t="n">
        <x:v>46227</x:v>
      </x:c>
      <x:c r="C1001" t="n">
        <x:v>42</x:v>
      </x:c>
      <x:c r="D1001" t="str">
        <x:v>Villavicencio</x:v>
      </x:c>
      <x:c r="E1001" t="str">
        <x:v>Meta</x:v>
      </x:c>
      <x:c r="F1001" t="str">
        <x:v>Entre $3 M y $5 M</x:v>
      </x:c>
      <x:c r="G1001" t="str">
        <x:v>Referidos</x:v>
      </x:c>
      <x:c r="H1001" t="n">
        <x:v>4303000</x:v>
      </x:c>
      <x:c r="I1001" t="str">
        <x:v>Organización inicial</x:v>
      </x:c>
      <x:c r="J1001" t="str">
        <x:v>Plus anual</x:v>
      </x:c>
    </x:row>
    <x:row r="1002">
      <x:c r="A1002" t="str">
        <x:v>USR-01001</x:v>
      </x:c>
      <x:c r="B1002" t="n">
        <x:v>46212</x:v>
      </x:c>
      <x:c r="C1002" t="n">
        <x:v>43</x:v>
      </x:c>
      <x:c r="D1002" t="str">
        <x:v>Bogotá</x:v>
      </x:c>
      <x:c r="E1002" t="str">
        <x:v>Bogotá D.C.</x:v>
      </x:c>
      <x:c r="F1002" t="str">
        <x:v>Entre $1,5 M y $3 M</x:v>
      </x:c>
      <x:c r="G1002" t="str">
        <x:v>Redes sociales</x:v>
      </x:c>
      <x:c r="H1002" t="n">
        <x:v>1722000</x:v>
      </x:c>
      <x:c r="I1002" t="str">
        <x:v>Organización inicial</x:v>
      </x:c>
      <x:c r="J1002" t="str">
        <x:v>Plus anual</x:v>
      </x:c>
    </x:row>
    <x:row r="1003">
      <x:c r="A1003" t="str">
        <x:v>USR-01002</x:v>
      </x:c>
      <x:c r="B1003" t="n">
        <x:v>46218</x:v>
      </x:c>
      <x:c r="C1003" t="n">
        <x:v>56</x:v>
      </x:c>
      <x:c r="D1003" t="str">
        <x:v>Cartagena</x:v>
      </x:c>
      <x:c r="E1003" t="str">
        <x:v>Bolívar</x:v>
      </x:c>
      <x:c r="F1003" t="str">
        <x:v>Entre $1,5 M y $3 M</x:v>
      </x:c>
      <x:c r="G1003" t="str">
        <x:v>Alianzas</x:v>
      </x:c>
      <x:c r="H1003" t="n">
        <x:v>2533000</x:v>
      </x:c>
      <x:c r="I1003" t="str">
        <x:v>Salir de deudas</x:v>
      </x:c>
      <x:c r="J1003" t="str">
        <x:v>Cero</x:v>
      </x:c>
    </x:row>
    <x:row r="1004">
      <x:c r="A1004" t="str">
        <x:v>USR-01003</x:v>
      </x:c>
      <x:c r="B1004" t="n">
        <x:v>46225</x:v>
      </x:c>
      <x:c r="C1004" t="n">
        <x:v>25</x:v>
      </x:c>
      <x:c r="D1004" t="str">
        <x:v>Barranquilla</x:v>
      </x:c>
      <x:c r="E1004" t="str">
        <x:v>Atlántico</x:v>
      </x:c>
      <x:c r="F1004" t="str">
        <x:v>Entre $3 M y $5 M</x:v>
      </x:c>
      <x:c r="G1004" t="str">
        <x:v>Redes sociales</x:v>
      </x:c>
      <x:c r="H1004" t="n">
        <x:v>4540000</x:v>
      </x:c>
      <x:c r="I1004" t="str">
        <x:v>Control de pagos</x:v>
      </x:c>
      <x:c r="J1004" t="str">
        <x:v>Cero</x:v>
      </x:c>
    </x:row>
    <x:row r="1005">
      <x:c r="A1005" t="str">
        <x:v>USR-01004</x:v>
      </x:c>
      <x:c r="B1005" t="n">
        <x:v>46209</x:v>
      </x:c>
      <x:c r="C1005" t="n">
        <x:v>33</x:v>
      </x:c>
      <x:c r="D1005" t="str">
        <x:v>Medellín</x:v>
      </x:c>
      <x:c r="E1005" t="str">
        <x:v>Antioquia</x:v>
      </x:c>
      <x:c r="F1005" t="str">
        <x:v>Entre $1,5 M y $3 M</x:v>
      </x:c>
      <x:c r="G1005" t="str">
        <x:v>Orgánico</x:v>
      </x:c>
      <x:c r="H1005" t="n">
        <x:v>1779000</x:v>
      </x:c>
      <x:c r="I1005" t="str">
        <x:v>Organización inicial</x:v>
      </x:c>
      <x:c r="J1005" t="str">
        <x:v>Cero</x:v>
      </x:c>
    </x:row>
    <x:row r="1006">
      <x:c r="A1006" t="str">
        <x:v>USR-01005</x:v>
      </x:c>
      <x:c r="B1006" t="n">
        <x:v>46220</x:v>
      </x:c>
      <x:c r="C1006" t="n">
        <x:v>35</x:v>
      </x:c>
      <x:c r="D1006" t="str">
        <x:v>Cali</x:v>
      </x:c>
      <x:c r="E1006" t="str">
        <x:v>Valle del Cauca</x:v>
      </x:c>
      <x:c r="F1006" t="str">
        <x:v>Entre $1,5 M y $3 M</x:v>
      </x:c>
      <x:c r="G1006" t="str">
        <x:v>Redes sociales</x:v>
      </x:c>
      <x:c r="H1006" t="n">
        <x:v>1517000</x:v>
      </x:c>
      <x:c r="I1006" t="str">
        <x:v>Control de pagos</x:v>
      </x:c>
      <x:c r="J1006" t="str">
        <x:v>Plus anual</x:v>
      </x:c>
    </x:row>
    <x:row r="1007">
      <x:c r="A1007" t="str">
        <x:v>USR-01006</x:v>
      </x:c>
      <x:c r="B1007" t="n">
        <x:v>46223</x:v>
      </x:c>
      <x:c r="C1007" t="n">
        <x:v>28</x:v>
      </x:c>
      <x:c r="D1007" t="str">
        <x:v>Bogotá</x:v>
      </x:c>
      <x:c r="E1007" t="str">
        <x:v>Bogotá D.C.</x:v>
      </x:c>
      <x:c r="F1007" t="str">
        <x:v>Entre $1,5 M y $3 M</x:v>
      </x:c>
      <x:c r="G1007" t="str">
        <x:v>Búsqueda paga</x:v>
      </x:c>
      <x:c r="H1007" t="n">
        <x:v>2604000</x:v>
      </x:c>
      <x:c r="I1007" t="str">
        <x:v>Control de pagos</x:v>
      </x:c>
      <x:c r="J1007" t="str">
        <x:v>Cero</x:v>
      </x:c>
    </x:row>
    <x:row r="1008">
      <x:c r="A1008" t="str">
        <x:v>USR-01007</x:v>
      </x:c>
      <x:c r="B1008" t="n">
        <x:v>46228</x:v>
      </x:c>
      <x:c r="C1008" t="n">
        <x:v>21</x:v>
      </x:c>
      <x:c r="D1008" t="str">
        <x:v>Bogotá</x:v>
      </x:c>
      <x:c r="E1008" t="str">
        <x:v>Bogotá D.C.</x:v>
      </x:c>
      <x:c r="F1008" t="str">
        <x:v>Entre $3 M y $5 M</x:v>
      </x:c>
      <x:c r="G1008" t="str">
        <x:v>Orgánico</x:v>
      </x:c>
      <x:c r="H1008" t="n">
        <x:v>4401000</x:v>
      </x:c>
      <x:c r="I1008" t="str">
        <x:v>Control de pagos</x:v>
      </x:c>
      <x:c r="J1008" t="str">
        <x:v>Cero</x:v>
      </x:c>
    </x:row>
    <x:row r="1009">
      <x:c r="A1009" t="str">
        <x:v>USR-01008</x:v>
      </x:c>
      <x:c r="B1009" t="n">
        <x:v>46216</x:v>
      </x:c>
      <x:c r="C1009" t="n">
        <x:v>58</x:v>
      </x:c>
      <x:c r="D1009" t="str">
        <x:v>Manizales</x:v>
      </x:c>
      <x:c r="E1009" t="str">
        <x:v>Caldas</x:v>
      </x:c>
      <x:c r="F1009" t="str">
        <x:v>Menos de $1,5 M</x:v>
      </x:c>
      <x:c r="G1009" t="str">
        <x:v>Redes sociales</x:v>
      </x:c>
      <x:c r="H1009" t="n">
        <x:v>1317000</x:v>
      </x:c>
      <x:c r="I1009" t="str">
        <x:v>Salir de deudas</x:v>
      </x:c>
      <x:c r="J1009" t="str">
        <x:v>Cero</x:v>
      </x:c>
    </x:row>
    <x:row r="1010">
      <x:c r="A1010" t="str">
        <x:v>USR-01009</x:v>
      </x:c>
      <x:c r="B1010" t="n">
        <x:v>46212</x:v>
      </x:c>
      <x:c r="C1010" t="n">
        <x:v>59</x:v>
      </x:c>
      <x:c r="D1010" t="str">
        <x:v>Medellín</x:v>
      </x:c>
      <x:c r="E1010" t="str">
        <x:v>Antioquia</x:v>
      </x:c>
      <x:c r="F1010" t="str">
        <x:v>Entre $1,5 M y $3 M</x:v>
      </x:c>
      <x:c r="G1010" t="str">
        <x:v>Referidos</x:v>
      </x:c>
      <x:c r="H1010" t="n">
        <x:v>2752000</x:v>
      </x:c>
      <x:c r="I1010" t="str">
        <x:v>Salir de deudas</x:v>
      </x:c>
      <x:c r="J1010" t="str">
        <x:v>Cero</x:v>
      </x:c>
    </x:row>
    <x:row r="1011">
      <x:c r="A1011" t="str">
        <x:v>USR-01010</x:v>
      </x:c>
      <x:c r="B1011" t="n">
        <x:v>46210</x:v>
      </x:c>
      <x:c r="C1011" t="n">
        <x:v>62</x:v>
      </x:c>
      <x:c r="D1011" t="str">
        <x:v>Pereira</x:v>
      </x:c>
      <x:c r="E1011" t="str">
        <x:v>Risaralda</x:v>
      </x:c>
      <x:c r="F1011" t="str">
        <x:v>Entre $1,5 M y $3 M</x:v>
      </x:c>
      <x:c r="G1011" t="str">
        <x:v>Referidos</x:v>
      </x:c>
      <x:c r="H1011" t="n">
        <x:v>2869000</x:v>
      </x:c>
      <x:c r="I1011" t="str">
        <x:v>Organización inicial</x:v>
      </x:c>
      <x:c r="J1011" t="str">
        <x:v>Cero</x:v>
      </x:c>
    </x:row>
    <x:row r="1012">
      <x:c r="A1012" t="str">
        <x:v>USR-01011</x:v>
      </x:c>
      <x:c r="B1012" t="n">
        <x:v>46226</x:v>
      </x:c>
      <x:c r="C1012" t="n">
        <x:v>27</x:v>
      </x:c>
      <x:c r="D1012" t="str">
        <x:v>Bogotá</x:v>
      </x:c>
      <x:c r="E1012" t="str">
        <x:v>Bogotá D.C.</x:v>
      </x:c>
      <x:c r="F1012" t="str">
        <x:v>Entre $1,5 M y $3 M</x:v>
      </x:c>
      <x:c r="G1012" t="str">
        <x:v>Orgánico</x:v>
      </x:c>
      <x:c r="H1012" t="n">
        <x:v>2182000</x:v>
      </x:c>
      <x:c r="I1012" t="str">
        <x:v>Reducir intereses</x:v>
      </x:c>
      <x:c r="J1012" t="str">
        <x:v>Cero</x:v>
      </x:c>
    </x:row>
    <x:row r="1013">
      <x:c r="A1013" t="str">
        <x:v>USR-01012</x:v>
      </x:c>
      <x:c r="B1013" t="n">
        <x:v>46214</x:v>
      </x:c>
      <x:c r="C1013" t="n">
        <x:v>21</x:v>
      </x:c>
      <x:c r="D1013" t="str">
        <x:v>Bogotá</x:v>
      </x:c>
      <x:c r="E1013" t="str">
        <x:v>Bogotá D.C.</x:v>
      </x:c>
      <x:c r="F1013" t="str">
        <x:v>Entre $3 M y $5 M</x:v>
      </x:c>
      <x:c r="G1013" t="str">
        <x:v>Alianzas</x:v>
      </x:c>
      <x:c r="H1013" t="n">
        <x:v>4068000</x:v>
      </x:c>
      <x:c r="I1013" t="str">
        <x:v>Reducir intereses</x:v>
      </x:c>
      <x:c r="J1013" t="str">
        <x:v>Cero</x:v>
      </x:c>
    </x:row>
    <x:row r="1014">
      <x:c r="A1014" t="str">
        <x:v>USR-01013</x:v>
      </x:c>
      <x:c r="B1014" t="n">
        <x:v>46228</x:v>
      </x:c>
      <x:c r="C1014" t="n">
        <x:v>48</x:v>
      </x:c>
      <x:c r="D1014" t="str">
        <x:v>Cartagena</x:v>
      </x:c>
      <x:c r="E1014" t="str">
        <x:v>Bolívar</x:v>
      </x:c>
      <x:c r="F1014" t="str">
        <x:v>Entre $1,5 M y $3 M</x:v>
      </x:c>
      <x:c r="G1014" t="str">
        <x:v>Referidos</x:v>
      </x:c>
      <x:c r="H1014" t="n">
        <x:v>2084000</x:v>
      </x:c>
      <x:c r="I1014" t="str">
        <x:v>Reducir intereses</x:v>
      </x:c>
      <x:c r="J1014" t="str">
        <x:v>Cero</x:v>
      </x:c>
    </x:row>
    <x:row r="1015">
      <x:c r="A1015" t="str">
        <x:v>USR-01014</x:v>
      </x:c>
      <x:c r="B1015" t="n">
        <x:v>46221</x:v>
      </x:c>
      <x:c r="C1015" t="n">
        <x:v>31</x:v>
      </x:c>
      <x:c r="D1015" t="str">
        <x:v>Bogotá</x:v>
      </x:c>
      <x:c r="E1015" t="str">
        <x:v>Bogotá D.C.</x:v>
      </x:c>
      <x:c r="F1015" t="str">
        <x:v>Entre $1,5 M y $3 M</x:v>
      </x:c>
      <x:c r="G1015" t="str">
        <x:v>Referidos</x:v>
      </x:c>
      <x:c r="H1015" t="n">
        <x:v>1551000</x:v>
      </x:c>
      <x:c r="I1015" t="str">
        <x:v>Salir de deudas</x:v>
      </x:c>
      <x:c r="J1015" t="str">
        <x:v>Cero</x:v>
      </x:c>
    </x:row>
    <x:row r="1016">
      <x:c r="A1016" t="str">
        <x:v>USR-01015</x:v>
      </x:c>
      <x:c r="B1016" t="n">
        <x:v>46230</x:v>
      </x:c>
      <x:c r="C1016" t="n">
        <x:v>59</x:v>
      </x:c>
      <x:c r="D1016" t="str">
        <x:v>Cali</x:v>
      </x:c>
      <x:c r="E1016" t="str">
        <x:v>Valle del Cauca</x:v>
      </x:c>
      <x:c r="F1016" t="str">
        <x:v>Entre $1,5 M y $3 M</x:v>
      </x:c>
      <x:c r="G1016" t="str">
        <x:v>Orgánico</x:v>
      </x:c>
      <x:c r="H1016" t="n">
        <x:v>1650000</x:v>
      </x:c>
      <x:c r="I1016" t="str">
        <x:v>Reducir intereses</x:v>
      </x:c>
      <x:c r="J1016" t="str">
        <x:v>Cero</x:v>
      </x:c>
    </x:row>
    <x:row r="1017">
      <x:c r="A1017" t="str">
        <x:v>USR-01016</x:v>
      </x:c>
      <x:c r="B1017" t="n">
        <x:v>46206</x:v>
      </x:c>
      <x:c r="C1017" t="n">
        <x:v>28</x:v>
      </x:c>
      <x:c r="D1017" t="str">
        <x:v>Bogotá</x:v>
      </x:c>
      <x:c r="E1017" t="str">
        <x:v>Bogotá D.C.</x:v>
      </x:c>
      <x:c r="F1017" t="str">
        <x:v>Entre $1,5 M y $3 M</x:v>
      </x:c>
      <x:c r="G1017" t="str">
        <x:v>Contenido educativo</x:v>
      </x:c>
      <x:c r="H1017" t="n">
        <x:v>2933000</x:v>
      </x:c>
      <x:c r="I1017" t="str">
        <x:v>Reducir intereses</x:v>
      </x:c>
      <x:c r="J1017" t="str">
        <x:v>Cero</x:v>
      </x:c>
    </x:row>
    <x:row r="1018">
      <x:c r="A1018" t="str">
        <x:v>USR-01017</x:v>
      </x:c>
      <x:c r="B1018" t="n">
        <x:v>46205</x:v>
      </x:c>
      <x:c r="C1018" t="n">
        <x:v>27</x:v>
      </x:c>
      <x:c r="D1018" t="str">
        <x:v>Bogotá</x:v>
      </x:c>
      <x:c r="E1018" t="str">
        <x:v>Bogotá D.C.</x:v>
      </x:c>
      <x:c r="F1018" t="str">
        <x:v>Entre $3 M y $5 M</x:v>
      </x:c>
      <x:c r="G1018" t="str">
        <x:v>Referidos</x:v>
      </x:c>
      <x:c r="H1018" t="n">
        <x:v>3046000</x:v>
      </x:c>
      <x:c r="I1018" t="str">
        <x:v>Control de pagos</x:v>
      </x:c>
      <x:c r="J1018" t="str">
        <x:v>Plus mensual</x:v>
      </x:c>
    </x:row>
    <x:row r="1019">
      <x:c r="A1019" t="str">
        <x:v>USR-01018</x:v>
      </x:c>
      <x:c r="B1019" t="n">
        <x:v>46212</x:v>
      </x:c>
      <x:c r="C1019" t="n">
        <x:v>22</x:v>
      </x:c>
      <x:c r="D1019" t="str">
        <x:v>Villavicencio</x:v>
      </x:c>
      <x:c r="E1019" t="str">
        <x:v>Meta</x:v>
      </x:c>
      <x:c r="F1019" t="str">
        <x:v>Entre $3 M y $5 M</x:v>
      </x:c>
      <x:c r="G1019" t="str">
        <x:v>Redes sociales</x:v>
      </x:c>
      <x:c r="H1019" t="n">
        <x:v>4653000</x:v>
      </x:c>
      <x:c r="I1019" t="str">
        <x:v>Reducir intereses</x:v>
      </x:c>
      <x:c r="J1019" t="str">
        <x:v>Cero</x:v>
      </x:c>
    </x:row>
    <x:row r="1020">
      <x:c r="A1020" t="str">
        <x:v>USR-01019</x:v>
      </x:c>
      <x:c r="B1020" t="n">
        <x:v>46211</x:v>
      </x:c>
      <x:c r="C1020" t="n">
        <x:v>62</x:v>
      </x:c>
      <x:c r="D1020" t="str">
        <x:v>Pereira</x:v>
      </x:c>
      <x:c r="E1020" t="str">
        <x:v>Risaralda</x:v>
      </x:c>
      <x:c r="F1020" t="str">
        <x:v>Entre $3 M y $5 M</x:v>
      </x:c>
      <x:c r="G1020" t="str">
        <x:v>Orgánico</x:v>
      </x:c>
      <x:c r="H1020" t="n">
        <x:v>3903000</x:v>
      </x:c>
      <x:c r="I1020" t="str">
        <x:v>Organización inicial</x:v>
      </x:c>
      <x:c r="J1020" t="str">
        <x:v>Plus mensual</x:v>
      </x:c>
    </x:row>
    <x:row r="1021">
      <x:c r="A1021" t="str">
        <x:v>USR-01020</x:v>
      </x:c>
      <x:c r="B1021" t="n">
        <x:v>46206</x:v>
      </x:c>
      <x:c r="C1021" t="n">
        <x:v>53</x:v>
      </x:c>
      <x:c r="D1021" t="str">
        <x:v>Cartagena</x:v>
      </x:c>
      <x:c r="E1021" t="str">
        <x:v>Bolívar</x:v>
      </x:c>
      <x:c r="F1021" t="str">
        <x:v>Entre $3 M y $5 M</x:v>
      </x:c>
      <x:c r="G1021" t="str">
        <x:v>Redes sociales</x:v>
      </x:c>
      <x:c r="H1021" t="n">
        <x:v>3762000</x:v>
      </x:c>
      <x:c r="I1021" t="str">
        <x:v>Control de pagos</x:v>
      </x:c>
      <x:c r="J1021" t="str">
        <x:v>Cero</x:v>
      </x:c>
    </x:row>
    <x:row r="1022">
      <x:c r="A1022" t="str">
        <x:v>USR-01021</x:v>
      </x:c>
      <x:c r="B1022" t="n">
        <x:v>46218</x:v>
      </x:c>
      <x:c r="C1022" t="n">
        <x:v>26</x:v>
      </x:c>
      <x:c r="D1022" t="str">
        <x:v>Bogotá</x:v>
      </x:c>
      <x:c r="E1022" t="str">
        <x:v>Bogotá D.C.</x:v>
      </x:c>
      <x:c r="F1022" t="str">
        <x:v>Menos de $1,5 M</x:v>
      </x:c>
      <x:c r="G1022" t="str">
        <x:v>Orgánico</x:v>
      </x:c>
      <x:c r="H1022" t="n">
        <x:v>1397000</x:v>
      </x:c>
      <x:c r="I1022" t="str">
        <x:v>Salir de deudas</x:v>
      </x:c>
      <x:c r="J1022" t="str">
        <x:v>Plus anual</x:v>
      </x:c>
    </x:row>
    <x:row r="1023">
      <x:c r="A1023" t="str">
        <x:v>USR-01022</x:v>
      </x:c>
      <x:c r="B1023" t="n">
        <x:v>46214</x:v>
      </x:c>
      <x:c r="C1023" t="n">
        <x:v>26</x:v>
      </x:c>
      <x:c r="D1023" t="str">
        <x:v>Villavicencio</x:v>
      </x:c>
      <x:c r="E1023" t="str">
        <x:v>Meta</x:v>
      </x:c>
      <x:c r="F1023" t="str">
        <x:v>Más de $5 M</x:v>
      </x:c>
      <x:c r="G1023" t="str">
        <x:v>Referidos</x:v>
      </x:c>
      <x:c r="H1023" t="n">
        <x:v>6692000</x:v>
      </x:c>
      <x:c r="I1023" t="str">
        <x:v>Reducir intereses</x:v>
      </x:c>
      <x:c r="J1023" t="str">
        <x:v>Cero</x:v>
      </x:c>
    </x:row>
    <x:row r="1024">
      <x:c r="A1024" t="str">
        <x:v>USR-01023</x:v>
      </x:c>
      <x:c r="B1024" t="n">
        <x:v>46225</x:v>
      </x:c>
      <x:c r="C1024" t="n">
        <x:v>52</x:v>
      </x:c>
      <x:c r="D1024" t="str">
        <x:v>Villavicencio</x:v>
      </x:c>
      <x:c r="E1024" t="str">
        <x:v>Meta</x:v>
      </x:c>
      <x:c r="F1024" t="str">
        <x:v>Entre $3 M y $5 M</x:v>
      </x:c>
      <x:c r="G1024" t="str">
        <x:v>Redes sociales</x:v>
      </x:c>
      <x:c r="H1024" t="n">
        <x:v>4224000</x:v>
      </x:c>
      <x:c r="I1024" t="str">
        <x:v>Reducir intereses</x:v>
      </x:c>
      <x:c r="J1024" t="str">
        <x:v>Cero</x:v>
      </x:c>
    </x:row>
    <x:row r="1025">
      <x:c r="A1025" t="str">
        <x:v>USR-01024</x:v>
      </x:c>
      <x:c r="B1025" t="n">
        <x:v>46229</x:v>
      </x:c>
      <x:c r="C1025" t="n">
        <x:v>31</x:v>
      </x:c>
      <x:c r="D1025" t="str">
        <x:v>Bogotá</x:v>
      </x:c>
      <x:c r="E1025" t="str">
        <x:v>Bogotá D.C.</x:v>
      </x:c>
      <x:c r="F1025" t="str">
        <x:v>Entre $1,5 M y $3 M</x:v>
      </x:c>
      <x:c r="G1025" t="str">
        <x:v>Orgánico</x:v>
      </x:c>
      <x:c r="H1025" t="n">
        <x:v>2657000</x:v>
      </x:c>
      <x:c r="I1025" t="str">
        <x:v>Salir de deudas</x:v>
      </x:c>
      <x:c r="J1025" t="str">
        <x:v>Plus mensual</x:v>
      </x:c>
    </x:row>
    <x:row r="1026">
      <x:c r="A1026" t="str">
        <x:v>USR-01025</x:v>
      </x:c>
      <x:c r="B1026" t="n">
        <x:v>46213</x:v>
      </x:c>
      <x:c r="C1026" t="n">
        <x:v>25</x:v>
      </x:c>
      <x:c r="D1026" t="str">
        <x:v>Bogotá</x:v>
      </x:c>
      <x:c r="E1026" t="str">
        <x:v>Bogotá D.C.</x:v>
      </x:c>
      <x:c r="F1026" t="str">
        <x:v>Entre $1,5 M y $3 M</x:v>
      </x:c>
      <x:c r="G1026" t="str">
        <x:v>Redes sociales</x:v>
      </x:c>
      <x:c r="H1026" t="n">
        <x:v>2101000</x:v>
      </x:c>
      <x:c r="I1026" t="str">
        <x:v>Organización inicial</x:v>
      </x:c>
      <x:c r="J1026" t="str">
        <x:v>Cero</x:v>
      </x:c>
    </x:row>
    <x:row r="1027">
      <x:c r="A1027" t="str">
        <x:v>USR-01026</x:v>
      </x:c>
      <x:c r="B1027" t="n">
        <x:v>46209</x:v>
      </x:c>
      <x:c r="C1027" t="n">
        <x:v>56</x:v>
      </x:c>
      <x:c r="D1027" t="str">
        <x:v>Bogotá</x:v>
      </x:c>
      <x:c r="E1027" t="str">
        <x:v>Bogotá D.C.</x:v>
      </x:c>
      <x:c r="F1027" t="str">
        <x:v>Menos de $1,5 M</x:v>
      </x:c>
      <x:c r="G1027" t="str">
        <x:v>Contenido educativo</x:v>
      </x:c>
      <x:c r="H1027" t="n">
        <x:v>1034000</x:v>
      </x:c>
      <x:c r="I1027" t="str">
        <x:v>Reducir intereses</x:v>
      </x:c>
      <x:c r="J1027" t="str">
        <x:v>Cero</x:v>
      </x:c>
    </x:row>
    <x:row r="1028">
      <x:c r="A1028" t="str">
        <x:v>USR-01027</x:v>
      </x:c>
      <x:c r="B1028" t="n">
        <x:v>46228</x:v>
      </x:c>
      <x:c r="C1028" t="n">
        <x:v>60</x:v>
      </x:c>
      <x:c r="D1028" t="str">
        <x:v>Bogotá</x:v>
      </x:c>
      <x:c r="E1028" t="str">
        <x:v>Bogotá D.C.</x:v>
      </x:c>
      <x:c r="F1028" t="str">
        <x:v>Entre $1,5 M y $3 M</x:v>
      </x:c>
      <x:c r="G1028" t="str">
        <x:v>Referidos</x:v>
      </x:c>
      <x:c r="H1028" t="n">
        <x:v>2977000</x:v>
      </x:c>
      <x:c r="I1028" t="str">
        <x:v>Salir de deudas</x:v>
      </x:c>
      <x:c r="J1028" t="str">
        <x:v>Cero</x:v>
      </x:c>
    </x:row>
    <x:row r="1029">
      <x:c r="A1029" t="str">
        <x:v>USR-01028</x:v>
      </x:c>
      <x:c r="B1029" t="n">
        <x:v>46204</x:v>
      </x:c>
      <x:c r="C1029" t="n">
        <x:v>32</x:v>
      </x:c>
      <x:c r="D1029" t="str">
        <x:v>Cartagena</x:v>
      </x:c>
      <x:c r="E1029" t="str">
        <x:v>Bolívar</x:v>
      </x:c>
      <x:c r="F1029" t="str">
        <x:v>Entre $3 M y $5 M</x:v>
      </x:c>
      <x:c r="G1029" t="str">
        <x:v>Redes sociales</x:v>
      </x:c>
      <x:c r="H1029" t="n">
        <x:v>3505000</x:v>
      </x:c>
      <x:c r="I1029" t="str">
        <x:v>Control de pagos</x:v>
      </x:c>
      <x:c r="J1029" t="str">
        <x:v>Plus mensual</x:v>
      </x:c>
    </x:row>
    <x:row r="1030">
      <x:c r="A1030" t="str">
        <x:v>USR-01029</x:v>
      </x:c>
      <x:c r="B1030" t="n">
        <x:v>46217</x:v>
      </x:c>
      <x:c r="C1030" t="n">
        <x:v>37</x:v>
      </x:c>
      <x:c r="D1030" t="str">
        <x:v>Medellín</x:v>
      </x:c>
      <x:c r="E1030" t="str">
        <x:v>Antioquia</x:v>
      </x:c>
      <x:c r="F1030" t="str">
        <x:v>Entre $3 M y $5 M</x:v>
      </x:c>
      <x:c r="G1030" t="str">
        <x:v>Orgánico</x:v>
      </x:c>
      <x:c r="H1030" t="n">
        <x:v>4922000</x:v>
      </x:c>
      <x:c r="I1030" t="str">
        <x:v>Organización inicial</x:v>
      </x:c>
      <x:c r="J1030" t="str">
        <x:v>Plus mensual</x:v>
      </x:c>
    </x:row>
    <x:row r="1031">
      <x:c r="A1031" t="str">
        <x:v>USR-01030</x:v>
      </x:c>
      <x:c r="B1031" t="n">
        <x:v>46209</x:v>
      </x:c>
      <x:c r="C1031" t="n">
        <x:v>41</x:v>
      </x:c>
      <x:c r="D1031" t="str">
        <x:v>Bogotá</x:v>
      </x:c>
      <x:c r="E1031" t="str">
        <x:v>Bogotá D.C.</x:v>
      </x:c>
      <x:c r="F1031" t="str">
        <x:v>Entre $3 M y $5 M</x:v>
      </x:c>
      <x:c r="G1031" t="str">
        <x:v>Orgánico</x:v>
      </x:c>
      <x:c r="H1031" t="n">
        <x:v>4658000</x:v>
      </x:c>
      <x:c r="I1031" t="str">
        <x:v>Organización inicial</x:v>
      </x:c>
      <x:c r="J1031" t="str">
        <x:v>Cero</x:v>
      </x:c>
    </x:row>
    <x:row r="1032">
      <x:c r="A1032" t="str">
        <x:v>USR-01031</x:v>
      </x:c>
      <x:c r="B1032" t="n">
        <x:v>46221</x:v>
      </x:c>
      <x:c r="C1032" t="n">
        <x:v>51</x:v>
      </x:c>
      <x:c r="D1032" t="str">
        <x:v>Bogotá</x:v>
      </x:c>
      <x:c r="E1032" t="str">
        <x:v>Bogotá D.C.</x:v>
      </x:c>
      <x:c r="F1032" t="str">
        <x:v>Entre $1,5 M y $3 M</x:v>
      </x:c>
      <x:c r="G1032" t="str">
        <x:v>Referidos</x:v>
      </x:c>
      <x:c r="H1032" t="n">
        <x:v>2433000</x:v>
      </x:c>
      <x:c r="I1032" t="str">
        <x:v>Control de pagos</x:v>
      </x:c>
      <x:c r="J1032" t="str">
        <x:v>Plus anual</x:v>
      </x:c>
    </x:row>
    <x:row r="1033">
      <x:c r="A1033" t="str">
        <x:v>USR-01032</x:v>
      </x:c>
      <x:c r="B1033" t="n">
        <x:v>46219</x:v>
      </x:c>
      <x:c r="C1033" t="n">
        <x:v>35</x:v>
      </x:c>
      <x:c r="D1033" t="str">
        <x:v>Cali</x:v>
      </x:c>
      <x:c r="E1033" t="str">
        <x:v>Valle del Cauca</x:v>
      </x:c>
      <x:c r="F1033" t="str">
        <x:v>Entre $1,5 M y $3 M</x:v>
      </x:c>
      <x:c r="G1033" t="str">
        <x:v>Redes sociales</x:v>
      </x:c>
      <x:c r="H1033" t="n">
        <x:v>1812000</x:v>
      </x:c>
      <x:c r="I1033" t="str">
        <x:v>Salir de deudas</x:v>
      </x:c>
      <x:c r="J1033" t="str">
        <x:v>Cero</x:v>
      </x:c>
    </x:row>
    <x:row r="1034">
      <x:c r="A1034" t="str">
        <x:v>USR-01033</x:v>
      </x:c>
      <x:c r="B1034" t="n">
        <x:v>46229</x:v>
      </x:c>
      <x:c r="C1034" t="n">
        <x:v>28</x:v>
      </x:c>
      <x:c r="D1034" t="str">
        <x:v>Bogotá</x:v>
      </x:c>
      <x:c r="E1034" t="str">
        <x:v>Bogotá D.C.</x:v>
      </x:c>
      <x:c r="F1034" t="str">
        <x:v>Entre $1,5 M y $3 M</x:v>
      </x:c>
      <x:c r="G1034" t="str">
        <x:v>Redes sociales</x:v>
      </x:c>
      <x:c r="H1034" t="n">
        <x:v>1756000</x:v>
      </x:c>
      <x:c r="I1034" t="str">
        <x:v>Organización inicial</x:v>
      </x:c>
      <x:c r="J1034" t="str">
        <x:v>Cero</x:v>
      </x:c>
    </x:row>
    <x:row r="1035">
      <x:c r="A1035" t="str">
        <x:v>USR-01034</x:v>
      </x:c>
      <x:c r="B1035" t="n">
        <x:v>46228</x:v>
      </x:c>
      <x:c r="C1035" t="n">
        <x:v>57</x:v>
      </x:c>
      <x:c r="D1035" t="str">
        <x:v>Bogotá</x:v>
      </x:c>
      <x:c r="E1035" t="str">
        <x:v>Bogotá D.C.</x:v>
      </x:c>
      <x:c r="F1035" t="str">
        <x:v>Menos de $1,5 M</x:v>
      </x:c>
      <x:c r="G1035" t="str">
        <x:v>Redes sociales</x:v>
      </x:c>
      <x:c r="H1035" t="n">
        <x:v>1296000</x:v>
      </x:c>
      <x:c r="I1035" t="str">
        <x:v>Reducir intereses</x:v>
      </x:c>
      <x:c r="J1035" t="str">
        <x:v>Cero</x:v>
      </x:c>
    </x:row>
    <x:row r="1036">
      <x:c r="A1036" t="str">
        <x:v>USR-01035</x:v>
      </x:c>
      <x:c r="B1036" t="n">
        <x:v>46218</x:v>
      </x:c>
      <x:c r="C1036" t="n">
        <x:v>34</x:v>
      </x:c>
      <x:c r="D1036" t="str">
        <x:v>Medellín</x:v>
      </x:c>
      <x:c r="E1036" t="str">
        <x:v>Antioquia</x:v>
      </x:c>
      <x:c r="F1036" t="str">
        <x:v>Entre $3 M y $5 M</x:v>
      </x:c>
      <x:c r="G1036" t="str">
        <x:v>Alianzas</x:v>
      </x:c>
      <x:c r="H1036" t="n">
        <x:v>4639000</x:v>
      </x:c>
      <x:c r="I1036" t="str">
        <x:v>Salir de deudas</x:v>
      </x:c>
      <x:c r="J1036" t="str">
        <x:v>Cero</x:v>
      </x:c>
    </x:row>
    <x:row r="1037">
      <x:c r="A1037" t="str">
        <x:v>USR-01036</x:v>
      </x:c>
      <x:c r="B1037" t="n">
        <x:v>46217</x:v>
      </x:c>
      <x:c r="C1037" t="n">
        <x:v>42</x:v>
      </x:c>
      <x:c r="D1037" t="str">
        <x:v>Medellín</x:v>
      </x:c>
      <x:c r="E1037" t="str">
        <x:v>Antioquia</x:v>
      </x:c>
      <x:c r="F1037" t="str">
        <x:v>Entre $1,5 M y $3 M</x:v>
      </x:c>
      <x:c r="G1037" t="str">
        <x:v>Orgánico</x:v>
      </x:c>
      <x:c r="H1037" t="n">
        <x:v>2420000</x:v>
      </x:c>
      <x:c r="I1037" t="str">
        <x:v>Control de pagos</x:v>
      </x:c>
      <x:c r="J1037" t="str">
        <x:v>Plus anual</x:v>
      </x:c>
    </x:row>
    <x:row r="1038">
      <x:c r="A1038" t="str">
        <x:v>USR-01037</x:v>
      </x:c>
      <x:c r="B1038" t="n">
        <x:v>46213</x:v>
      </x:c>
      <x:c r="C1038" t="n">
        <x:v>31</x:v>
      </x:c>
      <x:c r="D1038" t="str">
        <x:v>Barranquilla</x:v>
      </x:c>
      <x:c r="E1038" t="str">
        <x:v>Atlántico</x:v>
      </x:c>
      <x:c r="F1038" t="str">
        <x:v>Entre $3 M y $5 M</x:v>
      </x:c>
      <x:c r="G1038" t="str">
        <x:v>Referidos</x:v>
      </x:c>
      <x:c r="H1038" t="n">
        <x:v>4964000</x:v>
      </x:c>
      <x:c r="I1038" t="str">
        <x:v>Organización inicial</x:v>
      </x:c>
      <x:c r="J1038" t="str">
        <x:v>Cero</x:v>
      </x:c>
    </x:row>
    <x:row r="1039">
      <x:c r="A1039" t="str">
        <x:v>USR-01038</x:v>
      </x:c>
      <x:c r="B1039" t="n">
        <x:v>46210</x:v>
      </x:c>
      <x:c r="C1039" t="n">
        <x:v>39</x:v>
      </x:c>
      <x:c r="D1039" t="str">
        <x:v>Manizales</x:v>
      </x:c>
      <x:c r="E1039" t="str">
        <x:v>Caldas</x:v>
      </x:c>
      <x:c r="F1039" t="str">
        <x:v>Menos de $1,5 M</x:v>
      </x:c>
      <x:c r="G1039" t="str">
        <x:v>Búsqueda paga</x:v>
      </x:c>
      <x:c r="H1039" t="n">
        <x:v>1217000</x:v>
      </x:c>
      <x:c r="I1039" t="str">
        <x:v>Organización inicial</x:v>
      </x:c>
      <x:c r="J1039" t="str">
        <x:v>Plus mensual</x:v>
      </x:c>
    </x:row>
    <x:row r="1040">
      <x:c r="A1040" t="str">
        <x:v>USR-01039</x:v>
      </x:c>
      <x:c r="B1040" t="n">
        <x:v>46230</x:v>
      </x:c>
      <x:c r="C1040" t="n">
        <x:v>40</x:v>
      </x:c>
      <x:c r="D1040" t="str">
        <x:v>Villavicencio</x:v>
      </x:c>
      <x:c r="E1040" t="str">
        <x:v>Meta</x:v>
      </x:c>
      <x:c r="F1040" t="str">
        <x:v>Menos de $1,5 M</x:v>
      </x:c>
      <x:c r="G1040" t="str">
        <x:v>Alianzas</x:v>
      </x:c>
      <x:c r="H1040" t="n">
        <x:v>1304000</x:v>
      </x:c>
      <x:c r="I1040" t="str">
        <x:v>Control de pagos</x:v>
      </x:c>
      <x:c r="J1040" t="str">
        <x:v>Cero</x:v>
      </x:c>
    </x:row>
    <x:row r="1041">
      <x:c r="A1041" t="str">
        <x:v>USR-01040</x:v>
      </x:c>
      <x:c r="B1041" t="n">
        <x:v>46230</x:v>
      </x:c>
      <x:c r="C1041" t="n">
        <x:v>28</x:v>
      </x:c>
      <x:c r="D1041" t="str">
        <x:v>Barranquilla</x:v>
      </x:c>
      <x:c r="E1041" t="str">
        <x:v>Atlántico</x:v>
      </x:c>
      <x:c r="F1041" t="str">
        <x:v>Entre $3 M y $5 M</x:v>
      </x:c>
      <x:c r="G1041" t="str">
        <x:v>Búsqueda paga</x:v>
      </x:c>
      <x:c r="H1041" t="n">
        <x:v>4838000</x:v>
      </x:c>
      <x:c r="I1041" t="str">
        <x:v>Salir de deudas</x:v>
      </x:c>
      <x:c r="J1041" t="str">
        <x:v>Cero</x:v>
      </x:c>
    </x:row>
    <x:row r="1042">
      <x:c r="A1042" t="str">
        <x:v>USR-01041</x:v>
      </x:c>
      <x:c r="B1042" t="n">
        <x:v>46225</x:v>
      </x:c>
      <x:c r="C1042" t="n">
        <x:v>56</x:v>
      </x:c>
      <x:c r="D1042" t="str">
        <x:v>Medellín</x:v>
      </x:c>
      <x:c r="E1042" t="str">
        <x:v>Antioquia</x:v>
      </x:c>
      <x:c r="F1042" t="str">
        <x:v>Entre $1,5 M y $3 M</x:v>
      </x:c>
      <x:c r="G1042" t="str">
        <x:v>Alianzas</x:v>
      </x:c>
      <x:c r="H1042" t="n">
        <x:v>1810000</x:v>
      </x:c>
      <x:c r="I1042" t="str">
        <x:v>Organización inicial</x:v>
      </x:c>
      <x:c r="J1042" t="str">
        <x:v>Plus mensual</x:v>
      </x:c>
    </x:row>
    <x:row r="1043">
      <x:c r="A1043" t="str">
        <x:v>USR-01042</x:v>
      </x:c>
      <x:c r="B1043" t="n">
        <x:v>46211</x:v>
      </x:c>
      <x:c r="C1043" t="n">
        <x:v>62</x:v>
      </x:c>
      <x:c r="D1043" t="str">
        <x:v>Bucaramanga</x:v>
      </x:c>
      <x:c r="E1043" t="str">
        <x:v>Santander</x:v>
      </x:c>
      <x:c r="F1043" t="str">
        <x:v>Entre $1,5 M y $3 M</x:v>
      </x:c>
      <x:c r="G1043" t="str">
        <x:v>Alianzas</x:v>
      </x:c>
      <x:c r="H1043" t="n">
        <x:v>2957000</x:v>
      </x:c>
      <x:c r="I1043" t="str">
        <x:v>Organización inicial</x:v>
      </x:c>
      <x:c r="J1043" t="str">
        <x:v>Cero</x:v>
      </x:c>
    </x:row>
    <x:row r="1044">
      <x:c r="A1044" t="str">
        <x:v>USR-01043</x:v>
      </x:c>
      <x:c r="B1044" t="n">
        <x:v>46221</x:v>
      </x:c>
      <x:c r="C1044" t="n">
        <x:v>37</x:v>
      </x:c>
      <x:c r="D1044" t="str">
        <x:v>Medellín</x:v>
      </x:c>
      <x:c r="E1044" t="str">
        <x:v>Antioquia</x:v>
      </x:c>
      <x:c r="F1044" t="str">
        <x:v>Menos de $1,5 M</x:v>
      </x:c>
      <x:c r="G1044" t="str">
        <x:v>Búsqueda paga</x:v>
      </x:c>
      <x:c r="H1044" t="n">
        <x:v>1010000</x:v>
      </x:c>
      <x:c r="I1044" t="str">
        <x:v>Organización inicial</x:v>
      </x:c>
      <x:c r="J1044" t="str">
        <x:v>Cero</x:v>
      </x:c>
    </x:row>
    <x:row r="1045">
      <x:c r="A1045" t="str">
        <x:v>USR-01044</x:v>
      </x:c>
      <x:c r="B1045" t="n">
        <x:v>46208</x:v>
      </x:c>
      <x:c r="C1045" t="n">
        <x:v>50</x:v>
      </x:c>
      <x:c r="D1045" t="str">
        <x:v>Bogotá</x:v>
      </x:c>
      <x:c r="E1045" t="str">
        <x:v>Bogotá D.C.</x:v>
      </x:c>
      <x:c r="F1045" t="str">
        <x:v>Entre $1,5 M y $3 M</x:v>
      </x:c>
      <x:c r="G1045" t="str">
        <x:v>Referidos</x:v>
      </x:c>
      <x:c r="H1045" t="n">
        <x:v>1940000</x:v>
      </x:c>
      <x:c r="I1045" t="str">
        <x:v>Reducir intereses</x:v>
      </x:c>
      <x:c r="J1045" t="str">
        <x:v>Cero</x:v>
      </x:c>
    </x:row>
    <x:row r="1046">
      <x:c r="A1046" t="str">
        <x:v>USR-01045</x:v>
      </x:c>
      <x:c r="B1046" t="n">
        <x:v>46223</x:v>
      </x:c>
      <x:c r="C1046" t="n">
        <x:v>51</x:v>
      </x:c>
      <x:c r="D1046" t="str">
        <x:v>Bogotá</x:v>
      </x:c>
      <x:c r="E1046" t="str">
        <x:v>Bogotá D.C.</x:v>
      </x:c>
      <x:c r="F1046" t="str">
        <x:v>Entre $3 M y $5 M</x:v>
      </x:c>
      <x:c r="G1046" t="str">
        <x:v>Orgánico</x:v>
      </x:c>
      <x:c r="H1046" t="n">
        <x:v>4720000</x:v>
      </x:c>
      <x:c r="I1046" t="str">
        <x:v>Control de pagos</x:v>
      </x:c>
      <x:c r="J1046" t="str">
        <x:v>Cero</x:v>
      </x:c>
    </x:row>
    <x:row r="1047">
      <x:c r="A1047" t="str">
        <x:v>USR-01046</x:v>
      </x:c>
      <x:c r="B1047" t="n">
        <x:v>46206</x:v>
      </x:c>
      <x:c r="C1047" t="n">
        <x:v>32</x:v>
      </x:c>
      <x:c r="D1047" t="str">
        <x:v>Medellín</x:v>
      </x:c>
      <x:c r="E1047" t="str">
        <x:v>Antioquia</x:v>
      </x:c>
      <x:c r="F1047" t="str">
        <x:v>Más de $5 M</x:v>
      </x:c>
      <x:c r="G1047" t="str">
        <x:v>Orgánico</x:v>
      </x:c>
      <x:c r="H1047" t="n">
        <x:v>6443000</x:v>
      </x:c>
      <x:c r="I1047" t="str">
        <x:v>Control de pagos</x:v>
      </x:c>
      <x:c r="J1047" t="str">
        <x:v>Plus anual</x:v>
      </x:c>
    </x:row>
    <x:row r="1048">
      <x:c r="A1048" t="str">
        <x:v>USR-01047</x:v>
      </x:c>
      <x:c r="B1048" t="n">
        <x:v>46229</x:v>
      </x:c>
      <x:c r="C1048" t="n">
        <x:v>22</x:v>
      </x:c>
      <x:c r="D1048" t="str">
        <x:v>Bogotá</x:v>
      </x:c>
      <x:c r="E1048" t="str">
        <x:v>Bogotá D.C.</x:v>
      </x:c>
      <x:c r="F1048" t="str">
        <x:v>Más de $5 M</x:v>
      </x:c>
      <x:c r="G1048" t="str">
        <x:v>Contenido educativo</x:v>
      </x:c>
      <x:c r="H1048" t="n">
        <x:v>7260000</x:v>
      </x:c>
      <x:c r="I1048" t="str">
        <x:v>Control de pagos</x:v>
      </x:c>
      <x:c r="J1048" t="str">
        <x:v>Plus mensual</x:v>
      </x:c>
    </x:row>
    <x:row r="1049">
      <x:c r="A1049" t="str">
        <x:v>USR-01048</x:v>
      </x:c>
      <x:c r="B1049" t="n">
        <x:v>46211</x:v>
      </x:c>
      <x:c r="C1049" t="n">
        <x:v>36</x:v>
      </x:c>
      <x:c r="D1049" t="str">
        <x:v>Barranquilla</x:v>
      </x:c>
      <x:c r="E1049" t="str">
        <x:v>Atlántico</x:v>
      </x:c>
      <x:c r="F1049" t="str">
        <x:v>Entre $3 M y $5 M</x:v>
      </x:c>
      <x:c r="G1049" t="str">
        <x:v>Contenido educativo</x:v>
      </x:c>
      <x:c r="H1049" t="n">
        <x:v>3576000</x:v>
      </x:c>
      <x:c r="I1049" t="str">
        <x:v>Salir de deudas</x:v>
      </x:c>
      <x:c r="J1049" t="str">
        <x:v>Cero</x:v>
      </x:c>
    </x:row>
    <x:row r="1050">
      <x:c r="A1050" t="str">
        <x:v>USR-01049</x:v>
      </x:c>
      <x:c r="B1050" t="n">
        <x:v>46204</x:v>
      </x:c>
      <x:c r="C1050" t="n">
        <x:v>35</x:v>
      </x:c>
      <x:c r="D1050" t="str">
        <x:v>Barranquilla</x:v>
      </x:c>
      <x:c r="E1050" t="str">
        <x:v>Atlántico</x:v>
      </x:c>
      <x:c r="F1050" t="str">
        <x:v>Entre $3 M y $5 M</x:v>
      </x:c>
      <x:c r="G1050" t="str">
        <x:v>Orgánico</x:v>
      </x:c>
      <x:c r="H1050" t="n">
        <x:v>3736000</x:v>
      </x:c>
      <x:c r="I1050" t="str">
        <x:v>Control de pagos</x:v>
      </x:c>
      <x:c r="J1050" t="str">
        <x:v>Cero</x:v>
      </x:c>
    </x:row>
    <x:row r="1051">
      <x:c r="A1051" t="str">
        <x:v>USR-01050</x:v>
      </x:c>
      <x:c r="B1051" t="n">
        <x:v>46224</x:v>
      </x:c>
      <x:c r="C1051" t="n">
        <x:v>43</x:v>
      </x:c>
      <x:c r="D1051" t="str">
        <x:v>Medellín</x:v>
      </x:c>
      <x:c r="E1051" t="str">
        <x:v>Antioquia</x:v>
      </x:c>
      <x:c r="F1051" t="str">
        <x:v>Menos de $1,5 M</x:v>
      </x:c>
      <x:c r="G1051" t="str">
        <x:v>Orgánico</x:v>
      </x:c>
      <x:c r="H1051" t="n">
        <x:v>1120000</x:v>
      </x:c>
      <x:c r="I1051" t="str">
        <x:v>Organización inicial</x:v>
      </x:c>
      <x:c r="J1051" t="str">
        <x:v>Cero</x:v>
      </x:c>
    </x:row>
    <x:row r="1052">
      <x:c r="A1052" t="str">
        <x:v>USR-01051</x:v>
      </x:c>
      <x:c r="B1052" t="n">
        <x:v>46204</x:v>
      </x:c>
      <x:c r="C1052" t="n">
        <x:v>25</x:v>
      </x:c>
      <x:c r="D1052" t="str">
        <x:v>Bogotá</x:v>
      </x:c>
      <x:c r="E1052" t="str">
        <x:v>Bogotá D.C.</x:v>
      </x:c>
      <x:c r="F1052" t="str">
        <x:v>Entre $1,5 M y $3 M</x:v>
      </x:c>
      <x:c r="G1052" t="str">
        <x:v>Referidos</x:v>
      </x:c>
      <x:c r="H1052" t="n">
        <x:v>2164000</x:v>
      </x:c>
      <x:c r="I1052" t="str">
        <x:v>Control de pagos</x:v>
      </x:c>
      <x:c r="J1052" t="str">
        <x:v>Cero</x:v>
      </x:c>
    </x:row>
    <x:row r="1053">
      <x:c r="A1053" t="str">
        <x:v>USR-01052</x:v>
      </x:c>
      <x:c r="B1053" t="n">
        <x:v>46222</x:v>
      </x:c>
      <x:c r="C1053" t="n">
        <x:v>49</x:v>
      </x:c>
      <x:c r="D1053" t="str">
        <x:v>Barranquilla</x:v>
      </x:c>
      <x:c r="E1053" t="str">
        <x:v>Atlántico</x:v>
      </x:c>
      <x:c r="F1053" t="str">
        <x:v>Entre $1,5 M y $3 M</x:v>
      </x:c>
      <x:c r="G1053" t="str">
        <x:v>Referidos</x:v>
      </x:c>
      <x:c r="H1053" t="n">
        <x:v>2379000</x:v>
      </x:c>
      <x:c r="I1053" t="str">
        <x:v>Salir de deudas</x:v>
      </x:c>
      <x:c r="J1053" t="str">
        <x:v>Cero</x:v>
      </x:c>
    </x:row>
    <x:row r="1054">
      <x:c r="A1054" t="str">
        <x:v>USR-01053</x:v>
      </x:c>
      <x:c r="B1054" t="n">
        <x:v>46223</x:v>
      </x:c>
      <x:c r="C1054" t="n">
        <x:v>28</x:v>
      </x:c>
      <x:c r="D1054" t="str">
        <x:v>Bogotá</x:v>
      </x:c>
      <x:c r="E1054" t="str">
        <x:v>Bogotá D.C.</x:v>
      </x:c>
      <x:c r="F1054" t="str">
        <x:v>Menos de $1,5 M</x:v>
      </x:c>
      <x:c r="G1054" t="str">
        <x:v>Orgánico</x:v>
      </x:c>
      <x:c r="H1054" t="n">
        <x:v>1439000</x:v>
      </x:c>
      <x:c r="I1054" t="str">
        <x:v>Organización inicial</x:v>
      </x:c>
      <x:c r="J1054" t="str">
        <x:v>Cero</x:v>
      </x:c>
    </x:row>
    <x:row r="1055">
      <x:c r="A1055" t="str">
        <x:v>USR-01054</x:v>
      </x:c>
      <x:c r="B1055" t="n">
        <x:v>46207</x:v>
      </x:c>
      <x:c r="C1055" t="n">
        <x:v>40</x:v>
      </x:c>
      <x:c r="D1055" t="str">
        <x:v>Medellín</x:v>
      </x:c>
      <x:c r="E1055" t="str">
        <x:v>Antioquia</x:v>
      </x:c>
      <x:c r="F1055" t="str">
        <x:v>Entre $3 M y $5 M</x:v>
      </x:c>
      <x:c r="G1055" t="str">
        <x:v>Redes sociales</x:v>
      </x:c>
      <x:c r="H1055" t="n">
        <x:v>3204000</x:v>
      </x:c>
      <x:c r="I1055" t="str">
        <x:v>Salir de deudas</x:v>
      </x:c>
      <x:c r="J1055" t="str">
        <x:v>Cero</x:v>
      </x:c>
    </x:row>
    <x:row r="1056">
      <x:c r="A1056" t="str">
        <x:v>USR-01055</x:v>
      </x:c>
      <x:c r="B1056" t="n">
        <x:v>46220</x:v>
      </x:c>
      <x:c r="C1056" t="n">
        <x:v>36</x:v>
      </x:c>
      <x:c r="D1056" t="str">
        <x:v>Bogotá</x:v>
      </x:c>
      <x:c r="E1056" t="str">
        <x:v>Bogotá D.C.</x:v>
      </x:c>
      <x:c r="F1056" t="str">
        <x:v>Menos de $1,5 M</x:v>
      </x:c>
      <x:c r="G1056" t="str">
        <x:v>Referidos</x:v>
      </x:c>
      <x:c r="H1056" t="n">
        <x:v>991000</x:v>
      </x:c>
      <x:c r="I1056" t="str">
        <x:v>Salir de deudas</x:v>
      </x:c>
      <x:c r="J1056" t="str">
        <x:v>Plus mensual</x:v>
      </x:c>
    </x:row>
    <x:row r="1057">
      <x:c r="A1057" t="str">
        <x:v>USR-01056</x:v>
      </x:c>
      <x:c r="B1057" t="n">
        <x:v>46207</x:v>
      </x:c>
      <x:c r="C1057" t="n">
        <x:v>61</x:v>
      </x:c>
      <x:c r="D1057" t="str">
        <x:v>Bogotá</x:v>
      </x:c>
      <x:c r="E1057" t="str">
        <x:v>Bogotá D.C.</x:v>
      </x:c>
      <x:c r="F1057" t="str">
        <x:v>Entre $3 M y $5 M</x:v>
      </x:c>
      <x:c r="G1057" t="str">
        <x:v>Búsqueda paga</x:v>
      </x:c>
      <x:c r="H1057" t="n">
        <x:v>4620000</x:v>
      </x:c>
      <x:c r="I1057" t="str">
        <x:v>Reducir intereses</x:v>
      </x:c>
      <x:c r="J1057" t="str">
        <x:v>Cero</x:v>
      </x:c>
    </x:row>
    <x:row r="1058">
      <x:c r="A1058" t="str">
        <x:v>USR-01057</x:v>
      </x:c>
      <x:c r="B1058" t="n">
        <x:v>46225</x:v>
      </x:c>
      <x:c r="C1058" t="n">
        <x:v>43</x:v>
      </x:c>
      <x:c r="D1058" t="str">
        <x:v>Cartagena</x:v>
      </x:c>
      <x:c r="E1058" t="str">
        <x:v>Bolívar</x:v>
      </x:c>
      <x:c r="F1058" t="str">
        <x:v>Entre $1,5 M y $3 M</x:v>
      </x:c>
      <x:c r="G1058" t="str">
        <x:v>Alianzas</x:v>
      </x:c>
      <x:c r="H1058" t="n">
        <x:v>2611000</x:v>
      </x:c>
      <x:c r="I1058" t="str">
        <x:v>Organización inicial</x:v>
      </x:c>
      <x:c r="J1058" t="str">
        <x:v>Cero</x:v>
      </x:c>
    </x:row>
    <x:row r="1059">
      <x:c r="A1059" t="str">
        <x:v>USR-01058</x:v>
      </x:c>
      <x:c r="B1059" t="n">
        <x:v>46230</x:v>
      </x:c>
      <x:c r="C1059" t="n">
        <x:v>50</x:v>
      </x:c>
      <x:c r="D1059" t="str">
        <x:v>Bogotá</x:v>
      </x:c>
      <x:c r="E1059" t="str">
        <x:v>Bogotá D.C.</x:v>
      </x:c>
      <x:c r="F1059" t="str">
        <x:v>Entre $3 M y $5 M</x:v>
      </x:c>
      <x:c r="G1059" t="str">
        <x:v>Redes sociales</x:v>
      </x:c>
      <x:c r="H1059" t="n">
        <x:v>4462000</x:v>
      </x:c>
      <x:c r="I1059" t="str">
        <x:v>Salir de deudas</x:v>
      </x:c>
      <x:c r="J1059" t="str">
        <x:v>Cero</x:v>
      </x:c>
    </x:row>
    <x:row r="1060">
      <x:c r="A1060" t="str">
        <x:v>USR-01059</x:v>
      </x:c>
      <x:c r="B1060" t="n">
        <x:v>46216</x:v>
      </x:c>
      <x:c r="C1060" t="n">
        <x:v>20</x:v>
      </x:c>
      <x:c r="D1060" t="str">
        <x:v>Pereira</x:v>
      </x:c>
      <x:c r="E1060" t="str">
        <x:v>Risaralda</x:v>
      </x:c>
      <x:c r="F1060" t="str">
        <x:v>Entre $1,5 M y $3 M</x:v>
      </x:c>
      <x:c r="G1060" t="str">
        <x:v>Contenido educativo</x:v>
      </x:c>
      <x:c r="H1060" t="n">
        <x:v>1867000</x:v>
      </x:c>
      <x:c r="I1060" t="str">
        <x:v>Control de pagos</x:v>
      </x:c>
      <x:c r="J1060" t="str">
        <x:v>Cero</x:v>
      </x:c>
    </x:row>
    <x:row r="1061">
      <x:c r="A1061" t="str">
        <x:v>USR-01060</x:v>
      </x:c>
      <x:c r="B1061" t="n">
        <x:v>46210</x:v>
      </x:c>
      <x:c r="C1061" t="n">
        <x:v>29</x:v>
      </x:c>
      <x:c r="D1061" t="str">
        <x:v>Medellín</x:v>
      </x:c>
      <x:c r="E1061" t="str">
        <x:v>Antioquia</x:v>
      </x:c>
      <x:c r="F1061" t="str">
        <x:v>Entre $1,5 M y $3 M</x:v>
      </x:c>
      <x:c r="G1061" t="str">
        <x:v>Redes sociales</x:v>
      </x:c>
      <x:c r="H1061" t="n">
        <x:v>2584000</x:v>
      </x:c>
      <x:c r="I1061" t="str">
        <x:v>Salir de deudas</x:v>
      </x:c>
      <x:c r="J1061" t="str">
        <x:v>Cero</x:v>
      </x:c>
    </x:row>
    <x:row r="1062">
      <x:c r="A1062" t="str">
        <x:v>USR-01061</x:v>
      </x:c>
      <x:c r="B1062" t="n">
        <x:v>46243</x:v>
      </x:c>
      <x:c r="C1062" t="n">
        <x:v>56</x:v>
      </x:c>
      <x:c r="D1062" t="str">
        <x:v>Villavicencio</x:v>
      </x:c>
      <x:c r="E1062" t="str">
        <x:v>Meta</x:v>
      </x:c>
      <x:c r="F1062" t="str">
        <x:v>Entre $3 M y $5 M</x:v>
      </x:c>
      <x:c r="G1062" t="str">
        <x:v>Búsqueda paga</x:v>
      </x:c>
      <x:c r="H1062" t="n">
        <x:v>4880000</x:v>
      </x:c>
      <x:c r="I1062" t="str">
        <x:v>Salir de deudas</x:v>
      </x:c>
      <x:c r="J1062" t="str">
        <x:v>Plus anual</x:v>
      </x:c>
    </x:row>
    <x:row r="1063">
      <x:c r="A1063" t="str">
        <x:v>USR-01062</x:v>
      </x:c>
      <x:c r="B1063" t="n">
        <x:v>46248</x:v>
      </x:c>
      <x:c r="C1063" t="n">
        <x:v>41</x:v>
      </x:c>
      <x:c r="D1063" t="str">
        <x:v>Manizales</x:v>
      </x:c>
      <x:c r="E1063" t="str">
        <x:v>Caldas</x:v>
      </x:c>
      <x:c r="F1063" t="str">
        <x:v>Menos de $1,5 M</x:v>
      </x:c>
      <x:c r="G1063" t="str">
        <x:v>Búsqueda paga</x:v>
      </x:c>
      <x:c r="H1063" t="n">
        <x:v>1253000</x:v>
      </x:c>
      <x:c r="I1063" t="str">
        <x:v>Salir de deudas</x:v>
      </x:c>
      <x:c r="J1063" t="str">
        <x:v>Cero</x:v>
      </x:c>
    </x:row>
    <x:row r="1064">
      <x:c r="A1064" t="str">
        <x:v>USR-01063</x:v>
      </x:c>
      <x:c r="B1064" t="n">
        <x:v>46258</x:v>
      </x:c>
      <x:c r="C1064" t="n">
        <x:v>55</x:v>
      </x:c>
      <x:c r="D1064" t="str">
        <x:v>Cali</x:v>
      </x:c>
      <x:c r="E1064" t="str">
        <x:v>Valle del Cauca</x:v>
      </x:c>
      <x:c r="F1064" t="str">
        <x:v>Más de $5 M</x:v>
      </x:c>
      <x:c r="G1064" t="str">
        <x:v>Orgánico</x:v>
      </x:c>
      <x:c r="H1064" t="n">
        <x:v>8063000</x:v>
      </x:c>
      <x:c r="I1064" t="str">
        <x:v>Salir de deudas</x:v>
      </x:c>
      <x:c r="J1064" t="str">
        <x:v>Cero</x:v>
      </x:c>
    </x:row>
    <x:row r="1065">
      <x:c r="A1065" t="str">
        <x:v>USR-01064</x:v>
      </x:c>
      <x:c r="B1065" t="n">
        <x:v>46237</x:v>
      </x:c>
      <x:c r="C1065" t="n">
        <x:v>31</x:v>
      </x:c>
      <x:c r="D1065" t="str">
        <x:v>Cartagena</x:v>
      </x:c>
      <x:c r="E1065" t="str">
        <x:v>Bolívar</x:v>
      </x:c>
      <x:c r="F1065" t="str">
        <x:v>Entre $1,5 M y $3 M</x:v>
      </x:c>
      <x:c r="G1065" t="str">
        <x:v>Contenido educativo</x:v>
      </x:c>
      <x:c r="H1065" t="n">
        <x:v>2234000</x:v>
      </x:c>
      <x:c r="I1065" t="str">
        <x:v>Reducir intereses</x:v>
      </x:c>
      <x:c r="J1065" t="str">
        <x:v>Cero</x:v>
      </x:c>
    </x:row>
    <x:row r="1066">
      <x:c r="A1066" t="str">
        <x:v>USR-01065</x:v>
      </x:c>
      <x:c r="B1066" t="n">
        <x:v>46238</x:v>
      </x:c>
      <x:c r="C1066" t="n">
        <x:v>28</x:v>
      </x:c>
      <x:c r="D1066" t="str">
        <x:v>Bogotá</x:v>
      </x:c>
      <x:c r="E1066" t="str">
        <x:v>Bogotá D.C.</x:v>
      </x:c>
      <x:c r="F1066" t="str">
        <x:v>Entre $1,5 M y $3 M</x:v>
      </x:c>
      <x:c r="G1066" t="str">
        <x:v>Alianzas</x:v>
      </x:c>
      <x:c r="H1066" t="n">
        <x:v>2371000</x:v>
      </x:c>
      <x:c r="I1066" t="str">
        <x:v>Reducir intereses</x:v>
      </x:c>
      <x:c r="J1066" t="str">
        <x:v>Plus anual</x:v>
      </x:c>
    </x:row>
    <x:row r="1067">
      <x:c r="A1067" t="str">
        <x:v>USR-01066</x:v>
      </x:c>
      <x:c r="B1067" t="n">
        <x:v>46256</x:v>
      </x:c>
      <x:c r="C1067" t="n">
        <x:v>32</x:v>
      </x:c>
      <x:c r="D1067" t="str">
        <x:v>Bogotá</x:v>
      </x:c>
      <x:c r="E1067" t="str">
        <x:v>Bogotá D.C.</x:v>
      </x:c>
      <x:c r="F1067" t="str">
        <x:v>Entre $3 M y $5 M</x:v>
      </x:c>
      <x:c r="G1067" t="str">
        <x:v>Alianzas</x:v>
      </x:c>
      <x:c r="H1067" t="n">
        <x:v>4009000</x:v>
      </x:c>
      <x:c r="I1067" t="str">
        <x:v>Organización inicial</x:v>
      </x:c>
      <x:c r="J1067" t="str">
        <x:v>Plus mensual</x:v>
      </x:c>
    </x:row>
    <x:row r="1068">
      <x:c r="A1068" t="str">
        <x:v>USR-01067</x:v>
      </x:c>
      <x:c r="B1068" t="n">
        <x:v>46255</x:v>
      </x:c>
      <x:c r="C1068" t="n">
        <x:v>26</x:v>
      </x:c>
      <x:c r="D1068" t="str">
        <x:v>Medellín</x:v>
      </x:c>
      <x:c r="E1068" t="str">
        <x:v>Antioquia</x:v>
      </x:c>
      <x:c r="F1068" t="str">
        <x:v>Entre $1,5 M y $3 M</x:v>
      </x:c>
      <x:c r="G1068" t="str">
        <x:v>Alianzas</x:v>
      </x:c>
      <x:c r="H1068" t="n">
        <x:v>1610000</x:v>
      </x:c>
      <x:c r="I1068" t="str">
        <x:v>Reducir intereses</x:v>
      </x:c>
      <x:c r="J1068" t="str">
        <x:v>Cero</x:v>
      </x:c>
    </x:row>
    <x:row r="1069">
      <x:c r="A1069" t="str">
        <x:v>USR-01068</x:v>
      </x:c>
      <x:c r="B1069" t="n">
        <x:v>46243</x:v>
      </x:c>
      <x:c r="C1069" t="n">
        <x:v>64</x:v>
      </x:c>
      <x:c r="D1069" t="str">
        <x:v>Villavicencio</x:v>
      </x:c>
      <x:c r="E1069" t="str">
        <x:v>Meta</x:v>
      </x:c>
      <x:c r="F1069" t="str">
        <x:v>Entre $3 M y $5 M</x:v>
      </x:c>
      <x:c r="G1069" t="str">
        <x:v>Redes sociales</x:v>
      </x:c>
      <x:c r="H1069" t="n">
        <x:v>4608000</x:v>
      </x:c>
      <x:c r="I1069" t="str">
        <x:v>Control de pagos</x:v>
      </x:c>
      <x:c r="J1069" t="str">
        <x:v>Cero</x:v>
      </x:c>
    </x:row>
    <x:row r="1070">
      <x:c r="A1070" t="str">
        <x:v>USR-01069</x:v>
      </x:c>
      <x:c r="B1070" t="n">
        <x:v>46259</x:v>
      </x:c>
      <x:c r="C1070" t="n">
        <x:v>43</x:v>
      </x:c>
      <x:c r="D1070" t="str">
        <x:v>Bogotá</x:v>
      </x:c>
      <x:c r="E1070" t="str">
        <x:v>Bogotá D.C.</x:v>
      </x:c>
      <x:c r="F1070" t="str">
        <x:v>Entre $3 M y $5 M</x:v>
      </x:c>
      <x:c r="G1070" t="str">
        <x:v>Búsqueda paga</x:v>
      </x:c>
      <x:c r="H1070" t="n">
        <x:v>3120000</x:v>
      </x:c>
      <x:c r="I1070" t="str">
        <x:v>Organización inicial</x:v>
      </x:c>
      <x:c r="J1070" t="str">
        <x:v>Plus mensual</x:v>
      </x:c>
    </x:row>
    <x:row r="1071">
      <x:c r="A1071" t="str">
        <x:v>USR-01070</x:v>
      </x:c>
      <x:c r="B1071" t="n">
        <x:v>46247</x:v>
      </x:c>
      <x:c r="C1071" t="n">
        <x:v>54</x:v>
      </x:c>
      <x:c r="D1071" t="str">
        <x:v>Medellín</x:v>
      </x:c>
      <x:c r="E1071" t="str">
        <x:v>Antioquia</x:v>
      </x:c>
      <x:c r="F1071" t="str">
        <x:v>Entre $1,5 M y $3 M</x:v>
      </x:c>
      <x:c r="G1071" t="str">
        <x:v>Contenido educativo</x:v>
      </x:c>
      <x:c r="H1071" t="n">
        <x:v>2167000</x:v>
      </x:c>
      <x:c r="I1071" t="str">
        <x:v>Reducir intereses</x:v>
      </x:c>
      <x:c r="J1071" t="str">
        <x:v>Cero</x:v>
      </x:c>
    </x:row>
    <x:row r="1072">
      <x:c r="A1072" t="str">
        <x:v>USR-01071</x:v>
      </x:c>
      <x:c r="B1072" t="n">
        <x:v>46251</x:v>
      </x:c>
      <x:c r="C1072" t="n">
        <x:v>43</x:v>
      </x:c>
      <x:c r="D1072" t="str">
        <x:v>Cali</x:v>
      </x:c>
      <x:c r="E1072" t="str">
        <x:v>Valle del Cauca</x:v>
      </x:c>
      <x:c r="F1072" t="str">
        <x:v>Menos de $1,5 M</x:v>
      </x:c>
      <x:c r="G1072" t="str">
        <x:v>Alianzas</x:v>
      </x:c>
      <x:c r="H1072" t="n">
        <x:v>1253000</x:v>
      </x:c>
      <x:c r="I1072" t="str">
        <x:v>Control de pagos</x:v>
      </x:c>
      <x:c r="J1072" t="str">
        <x:v>Cero</x:v>
      </x:c>
    </x:row>
    <x:row r="1073">
      <x:c r="A1073" t="str">
        <x:v>USR-01072</x:v>
      </x:c>
      <x:c r="B1073" t="n">
        <x:v>46249</x:v>
      </x:c>
      <x:c r="C1073" t="n">
        <x:v>37</x:v>
      </x:c>
      <x:c r="D1073" t="str">
        <x:v>Bogotá</x:v>
      </x:c>
      <x:c r="E1073" t="str">
        <x:v>Bogotá D.C.</x:v>
      </x:c>
      <x:c r="F1073" t="str">
        <x:v>Menos de $1,5 M</x:v>
      </x:c>
      <x:c r="G1073" t="str">
        <x:v>Redes sociales</x:v>
      </x:c>
      <x:c r="H1073" t="n">
        <x:v>985000</x:v>
      </x:c>
      <x:c r="I1073" t="str">
        <x:v>Control de pagos</x:v>
      </x:c>
      <x:c r="J1073" t="str">
        <x:v>Plus mensual</x:v>
      </x:c>
    </x:row>
    <x:row r="1074">
      <x:c r="A1074" t="str">
        <x:v>USR-01073</x:v>
      </x:c>
      <x:c r="B1074" t="n">
        <x:v>46252</x:v>
      </x:c>
      <x:c r="C1074" t="n">
        <x:v>42</x:v>
      </x:c>
      <x:c r="D1074" t="str">
        <x:v>Medellín</x:v>
      </x:c>
      <x:c r="E1074" t="str">
        <x:v>Antioquia</x:v>
      </x:c>
      <x:c r="F1074" t="str">
        <x:v>Menos de $1,5 M</x:v>
      </x:c>
      <x:c r="G1074" t="str">
        <x:v>Orgánico</x:v>
      </x:c>
      <x:c r="H1074" t="n">
        <x:v>1365000</x:v>
      </x:c>
      <x:c r="I1074" t="str">
        <x:v>Reducir intereses</x:v>
      </x:c>
      <x:c r="J1074" t="str">
        <x:v>Cero</x:v>
      </x:c>
    </x:row>
    <x:row r="1075">
      <x:c r="A1075" t="str">
        <x:v>USR-01074</x:v>
      </x:c>
      <x:c r="B1075" t="n">
        <x:v>46254</x:v>
      </x:c>
      <x:c r="C1075" t="n">
        <x:v>24</x:v>
      </x:c>
      <x:c r="D1075" t="str">
        <x:v>Barranquilla</x:v>
      </x:c>
      <x:c r="E1075" t="str">
        <x:v>Atlántico</x:v>
      </x:c>
      <x:c r="F1075" t="str">
        <x:v>Entre $3 M y $5 M</x:v>
      </x:c>
      <x:c r="G1075" t="str">
        <x:v>Orgánico</x:v>
      </x:c>
      <x:c r="H1075" t="n">
        <x:v>4304000</x:v>
      </x:c>
      <x:c r="I1075" t="str">
        <x:v>Salir de deudas</x:v>
      </x:c>
      <x:c r="J1075" t="str">
        <x:v>Cero</x:v>
      </x:c>
    </x:row>
    <x:row r="1076">
      <x:c r="A1076" t="str">
        <x:v>USR-01075</x:v>
      </x:c>
      <x:c r="B1076" t="n">
        <x:v>46242</x:v>
      </x:c>
      <x:c r="C1076" t="n">
        <x:v>55</x:v>
      </x:c>
      <x:c r="D1076" t="str">
        <x:v>Bogotá</x:v>
      </x:c>
      <x:c r="E1076" t="str">
        <x:v>Bogotá D.C.</x:v>
      </x:c>
      <x:c r="F1076" t="str">
        <x:v>Entre $1,5 M y $3 M</x:v>
      </x:c>
      <x:c r="G1076" t="str">
        <x:v>Redes sociales</x:v>
      </x:c>
      <x:c r="H1076" t="n">
        <x:v>2298000</x:v>
      </x:c>
      <x:c r="I1076" t="str">
        <x:v>Reducir intereses</x:v>
      </x:c>
      <x:c r="J1076" t="str">
        <x:v>Cero</x:v>
      </x:c>
    </x:row>
    <x:row r="1077">
      <x:c r="A1077" t="str">
        <x:v>USR-01076</x:v>
      </x:c>
      <x:c r="B1077" t="n">
        <x:v>46261</x:v>
      </x:c>
      <x:c r="C1077" t="n">
        <x:v>57</x:v>
      </x:c>
      <x:c r="D1077" t="str">
        <x:v>Bogotá</x:v>
      </x:c>
      <x:c r="E1077" t="str">
        <x:v>Bogotá D.C.</x:v>
      </x:c>
      <x:c r="F1077" t="str">
        <x:v>Menos de $1,5 M</x:v>
      </x:c>
      <x:c r="G1077" t="str">
        <x:v>Orgánico</x:v>
      </x:c>
      <x:c r="H1077" t="n">
        <x:v>1072000</x:v>
      </x:c>
      <x:c r="I1077" t="str">
        <x:v>Reducir intereses</x:v>
      </x:c>
      <x:c r="J1077" t="str">
        <x:v>Cero</x:v>
      </x:c>
    </x:row>
    <x:row r="1078">
      <x:c r="A1078" t="str">
        <x:v>USR-01077</x:v>
      </x:c>
      <x:c r="B1078" t="n">
        <x:v>46246</x:v>
      </x:c>
      <x:c r="C1078" t="n">
        <x:v>56</x:v>
      </x:c>
      <x:c r="D1078" t="str">
        <x:v>Barranquilla</x:v>
      </x:c>
      <x:c r="E1078" t="str">
        <x:v>Atlántico</x:v>
      </x:c>
      <x:c r="F1078" t="str">
        <x:v>Menos de $1,5 M</x:v>
      </x:c>
      <x:c r="G1078" t="str">
        <x:v>Alianzas</x:v>
      </x:c>
      <x:c r="H1078" t="n">
        <x:v>1279000</x:v>
      </x:c>
      <x:c r="I1078" t="str">
        <x:v>Control de pagos</x:v>
      </x:c>
      <x:c r="J1078" t="str">
        <x:v>Plus mensual</x:v>
      </x:c>
    </x:row>
    <x:row r="1079">
      <x:c r="A1079" t="str">
        <x:v>USR-01078</x:v>
      </x:c>
      <x:c r="B1079" t="n">
        <x:v>46241</x:v>
      </x:c>
      <x:c r="C1079" t="n">
        <x:v>20</x:v>
      </x:c>
      <x:c r="D1079" t="str">
        <x:v>Cali</x:v>
      </x:c>
      <x:c r="E1079" t="str">
        <x:v>Valle del Cauca</x:v>
      </x:c>
      <x:c r="F1079" t="str">
        <x:v>Menos de $1,5 M</x:v>
      </x:c>
      <x:c r="G1079" t="str">
        <x:v>Redes sociales</x:v>
      </x:c>
      <x:c r="H1079" t="n">
        <x:v>1076000</x:v>
      </x:c>
      <x:c r="I1079" t="str">
        <x:v>Salir de deudas</x:v>
      </x:c>
      <x:c r="J1079" t="str">
        <x:v>Cero</x:v>
      </x:c>
    </x:row>
    <x:row r="1080">
      <x:c r="A1080" t="str">
        <x:v>USR-01079</x:v>
      </x:c>
      <x:c r="B1080" t="n">
        <x:v>46246</x:v>
      </x:c>
      <x:c r="C1080" t="n">
        <x:v>62</x:v>
      </x:c>
      <x:c r="D1080" t="str">
        <x:v>Bogotá</x:v>
      </x:c>
      <x:c r="E1080" t="str">
        <x:v>Bogotá D.C.</x:v>
      </x:c>
      <x:c r="F1080" t="str">
        <x:v>Entre $1,5 M y $3 M</x:v>
      </x:c>
      <x:c r="G1080" t="str">
        <x:v>Redes sociales</x:v>
      </x:c>
      <x:c r="H1080" t="n">
        <x:v>2628000</x:v>
      </x:c>
      <x:c r="I1080" t="str">
        <x:v>Reducir intereses</x:v>
      </x:c>
      <x:c r="J1080" t="str">
        <x:v>Cero</x:v>
      </x:c>
    </x:row>
    <x:row r="1081">
      <x:c r="A1081" t="str">
        <x:v>USR-01080</x:v>
      </x:c>
      <x:c r="B1081" t="n">
        <x:v>46235</x:v>
      </x:c>
      <x:c r="C1081" t="n">
        <x:v>60</x:v>
      </x:c>
      <x:c r="D1081" t="str">
        <x:v>Bucaramanga</x:v>
      </x:c>
      <x:c r="E1081" t="str">
        <x:v>Santander</x:v>
      </x:c>
      <x:c r="F1081" t="str">
        <x:v>Entre $3 M y $5 M</x:v>
      </x:c>
      <x:c r="G1081" t="str">
        <x:v>Redes sociales</x:v>
      </x:c>
      <x:c r="H1081" t="n">
        <x:v>4540000</x:v>
      </x:c>
      <x:c r="I1081" t="str">
        <x:v>Salir de deudas</x:v>
      </x:c>
      <x:c r="J1081" t="str">
        <x:v>Cero</x:v>
      </x:c>
    </x:row>
    <x:row r="1082">
      <x:c r="A1082" t="str">
        <x:v>USR-01081</x:v>
      </x:c>
      <x:c r="B1082" t="n">
        <x:v>46240</x:v>
      </x:c>
      <x:c r="C1082" t="n">
        <x:v>64</x:v>
      </x:c>
      <x:c r="D1082" t="str">
        <x:v>Villavicencio</x:v>
      </x:c>
      <x:c r="E1082" t="str">
        <x:v>Meta</x:v>
      </x:c>
      <x:c r="F1082" t="str">
        <x:v>Entre $1,5 M y $3 M</x:v>
      </x:c>
      <x:c r="G1082" t="str">
        <x:v>Redes sociales</x:v>
      </x:c>
      <x:c r="H1082" t="n">
        <x:v>2530000</x:v>
      </x:c>
      <x:c r="I1082" t="str">
        <x:v>Control de pagos</x:v>
      </x:c>
      <x:c r="J1082" t="str">
        <x:v>Plus mensual</x:v>
      </x:c>
    </x:row>
    <x:row r="1083">
      <x:c r="A1083" t="str">
        <x:v>USR-01082</x:v>
      </x:c>
      <x:c r="B1083" t="n">
        <x:v>46251</x:v>
      </x:c>
      <x:c r="C1083" t="n">
        <x:v>62</x:v>
      </x:c>
      <x:c r="D1083" t="str">
        <x:v>Medellín</x:v>
      </x:c>
      <x:c r="E1083" t="str">
        <x:v>Antioquia</x:v>
      </x:c>
      <x:c r="F1083" t="str">
        <x:v>Entre $1,5 M y $3 M</x:v>
      </x:c>
      <x:c r="G1083" t="str">
        <x:v>Orgánico</x:v>
      </x:c>
      <x:c r="H1083" t="n">
        <x:v>2682000</x:v>
      </x:c>
      <x:c r="I1083" t="str">
        <x:v>Reducir intereses</x:v>
      </x:c>
      <x:c r="J1083" t="str">
        <x:v>Plus mensual</x:v>
      </x:c>
    </x:row>
    <x:row r="1084">
      <x:c r="A1084" t="str">
        <x:v>USR-01083</x:v>
      </x:c>
      <x:c r="B1084" t="n">
        <x:v>46251</x:v>
      </x:c>
      <x:c r="C1084" t="n">
        <x:v>48</x:v>
      </x:c>
      <x:c r="D1084" t="str">
        <x:v>Bogotá</x:v>
      </x:c>
      <x:c r="E1084" t="str">
        <x:v>Bogotá D.C.</x:v>
      </x:c>
      <x:c r="F1084" t="str">
        <x:v>Entre $1,5 M y $3 M</x:v>
      </x:c>
      <x:c r="G1084" t="str">
        <x:v>Redes sociales</x:v>
      </x:c>
      <x:c r="H1084" t="n">
        <x:v>2920000</x:v>
      </x:c>
      <x:c r="I1084" t="str">
        <x:v>Organización inicial</x:v>
      </x:c>
      <x:c r="J1084" t="str">
        <x:v>Cero</x:v>
      </x:c>
    </x:row>
    <x:row r="1085">
      <x:c r="A1085" t="str">
        <x:v>USR-01084</x:v>
      </x:c>
      <x:c r="B1085" t="n">
        <x:v>46240</x:v>
      </x:c>
      <x:c r="C1085" t="n">
        <x:v>60</x:v>
      </x:c>
      <x:c r="D1085" t="str">
        <x:v>Bogotá</x:v>
      </x:c>
      <x:c r="E1085" t="str">
        <x:v>Bogotá D.C.</x:v>
      </x:c>
      <x:c r="F1085" t="str">
        <x:v>Menos de $1,5 M</x:v>
      </x:c>
      <x:c r="G1085" t="str">
        <x:v>Orgánico</x:v>
      </x:c>
      <x:c r="H1085" t="n">
        <x:v>1123000</x:v>
      </x:c>
      <x:c r="I1085" t="str">
        <x:v>Reducir intereses</x:v>
      </x:c>
      <x:c r="J1085" t="str">
        <x:v>Cero</x:v>
      </x:c>
    </x:row>
    <x:row r="1086">
      <x:c r="A1086" t="str">
        <x:v>USR-01085</x:v>
      </x:c>
      <x:c r="B1086" t="n">
        <x:v>46243</x:v>
      </x:c>
      <x:c r="C1086" t="n">
        <x:v>53</x:v>
      </x:c>
      <x:c r="D1086" t="str">
        <x:v>Pereira</x:v>
      </x:c>
      <x:c r="E1086" t="str">
        <x:v>Risaralda</x:v>
      </x:c>
      <x:c r="F1086" t="str">
        <x:v>Entre $1,5 M y $3 M</x:v>
      </x:c>
      <x:c r="G1086" t="str">
        <x:v>Contenido educativo</x:v>
      </x:c>
      <x:c r="H1086" t="n">
        <x:v>2848000</x:v>
      </x:c>
      <x:c r="I1086" t="str">
        <x:v>Control de pagos</x:v>
      </x:c>
      <x:c r="J1086" t="str">
        <x:v>Plus anual</x:v>
      </x:c>
    </x:row>
    <x:row r="1087">
      <x:c r="A1087" t="str">
        <x:v>USR-01086</x:v>
      </x:c>
      <x:c r="B1087" t="n">
        <x:v>46256</x:v>
      </x:c>
      <x:c r="C1087" t="n">
        <x:v>31</x:v>
      </x:c>
      <x:c r="D1087" t="str">
        <x:v>Cali</x:v>
      </x:c>
      <x:c r="E1087" t="str">
        <x:v>Valle del Cauca</x:v>
      </x:c>
      <x:c r="F1087" t="str">
        <x:v>Entre $1,5 M y $3 M</x:v>
      </x:c>
      <x:c r="G1087" t="str">
        <x:v>Contenido educativo</x:v>
      </x:c>
      <x:c r="H1087" t="n">
        <x:v>2887000</x:v>
      </x:c>
      <x:c r="I1087" t="str">
        <x:v>Reducir intereses</x:v>
      </x:c>
      <x:c r="J1087" t="str">
        <x:v>Plus anual</x:v>
      </x:c>
    </x:row>
    <x:row r="1088">
      <x:c r="A1088" t="str">
        <x:v>USR-01087</x:v>
      </x:c>
      <x:c r="B1088" t="n">
        <x:v>46237</x:v>
      </x:c>
      <x:c r="C1088" t="n">
        <x:v>27</x:v>
      </x:c>
      <x:c r="D1088" t="str">
        <x:v>Bogotá</x:v>
      </x:c>
      <x:c r="E1088" t="str">
        <x:v>Bogotá D.C.</x:v>
      </x:c>
      <x:c r="F1088" t="str">
        <x:v>Entre $1,5 M y $3 M</x:v>
      </x:c>
      <x:c r="G1088" t="str">
        <x:v>Redes sociales</x:v>
      </x:c>
      <x:c r="H1088" t="n">
        <x:v>2238000</x:v>
      </x:c>
      <x:c r="I1088" t="str">
        <x:v>Salir de deudas</x:v>
      </x:c>
      <x:c r="J1088" t="str">
        <x:v>Cero</x:v>
      </x:c>
    </x:row>
    <x:row r="1089">
      <x:c r="A1089" t="str">
        <x:v>USR-01088</x:v>
      </x:c>
      <x:c r="B1089" t="n">
        <x:v>46260</x:v>
      </x:c>
      <x:c r="C1089" t="n">
        <x:v>25</x:v>
      </x:c>
      <x:c r="D1089" t="str">
        <x:v>Medellín</x:v>
      </x:c>
      <x:c r="E1089" t="str">
        <x:v>Antioquia</x:v>
      </x:c>
      <x:c r="F1089" t="str">
        <x:v>Entre $1,5 M y $3 M</x:v>
      </x:c>
      <x:c r="G1089" t="str">
        <x:v>Redes sociales</x:v>
      </x:c>
      <x:c r="H1089" t="n">
        <x:v>2161000</x:v>
      </x:c>
      <x:c r="I1089" t="str">
        <x:v>Reducir intereses</x:v>
      </x:c>
      <x:c r="J1089" t="str">
        <x:v>Cero</x:v>
      </x:c>
    </x:row>
    <x:row r="1090">
      <x:c r="A1090" t="str">
        <x:v>USR-01089</x:v>
      </x:c>
      <x:c r="B1090" t="n">
        <x:v>46256</x:v>
      </x:c>
      <x:c r="C1090" t="n">
        <x:v>32</x:v>
      </x:c>
      <x:c r="D1090" t="str">
        <x:v>Bogotá</x:v>
      </x:c>
      <x:c r="E1090" t="str">
        <x:v>Bogotá D.C.</x:v>
      </x:c>
      <x:c r="F1090" t="str">
        <x:v>Entre $1,5 M y $3 M</x:v>
      </x:c>
      <x:c r="G1090" t="str">
        <x:v>Orgánico</x:v>
      </x:c>
      <x:c r="H1090" t="n">
        <x:v>2855000</x:v>
      </x:c>
      <x:c r="I1090" t="str">
        <x:v>Reducir intereses</x:v>
      </x:c>
      <x:c r="J1090" t="str">
        <x:v>Cero</x:v>
      </x:c>
    </x:row>
    <x:row r="1091">
      <x:c r="A1091" t="str">
        <x:v>USR-01090</x:v>
      </x:c>
      <x:c r="B1091" t="n">
        <x:v>46238</x:v>
      </x:c>
      <x:c r="C1091" t="n">
        <x:v>51</x:v>
      </x:c>
      <x:c r="D1091" t="str">
        <x:v>Bogotá</x:v>
      </x:c>
      <x:c r="E1091" t="str">
        <x:v>Bogotá D.C.</x:v>
      </x:c>
      <x:c r="F1091" t="str">
        <x:v>Entre $3 M y $5 M</x:v>
      </x:c>
      <x:c r="G1091" t="str">
        <x:v>Contenido educativo</x:v>
      </x:c>
      <x:c r="H1091" t="n">
        <x:v>3902000</x:v>
      </x:c>
      <x:c r="I1091" t="str">
        <x:v>Reducir intereses</x:v>
      </x:c>
      <x:c r="J1091" t="str">
        <x:v>Cero</x:v>
      </x:c>
    </x:row>
    <x:row r="1092">
      <x:c r="A1092" t="str">
        <x:v>USR-01091</x:v>
      </x:c>
      <x:c r="B1092" t="n">
        <x:v>46256</x:v>
      </x:c>
      <x:c r="C1092" t="n">
        <x:v>20</x:v>
      </x:c>
      <x:c r="D1092" t="str">
        <x:v>Pereira</x:v>
      </x:c>
      <x:c r="E1092" t="str">
        <x:v>Risaralda</x:v>
      </x:c>
      <x:c r="F1092" t="str">
        <x:v>Menos de $1,5 M</x:v>
      </x:c>
      <x:c r="G1092" t="str">
        <x:v>Referidos</x:v>
      </x:c>
      <x:c r="H1092" t="n">
        <x:v>1473000</x:v>
      </x:c>
      <x:c r="I1092" t="str">
        <x:v>Salir de deudas</x:v>
      </x:c>
      <x:c r="J1092" t="str">
        <x:v>Cero</x:v>
      </x:c>
    </x:row>
    <x:row r="1093">
      <x:c r="A1093" t="str">
        <x:v>USR-01092</x:v>
      </x:c>
      <x:c r="B1093" t="n">
        <x:v>46238</x:v>
      </x:c>
      <x:c r="C1093" t="n">
        <x:v>20</x:v>
      </x:c>
      <x:c r="D1093" t="str">
        <x:v>Barranquilla</x:v>
      </x:c>
      <x:c r="E1093" t="str">
        <x:v>Atlántico</x:v>
      </x:c>
      <x:c r="F1093" t="str">
        <x:v>Más de $5 M</x:v>
      </x:c>
      <x:c r="G1093" t="str">
        <x:v>Redes sociales</x:v>
      </x:c>
      <x:c r="H1093" t="n">
        <x:v>8645000</x:v>
      </x:c>
      <x:c r="I1093" t="str">
        <x:v>Organización inicial</x:v>
      </x:c>
      <x:c r="J1093" t="str">
        <x:v>Cero</x:v>
      </x:c>
    </x:row>
    <x:row r="1094">
      <x:c r="A1094" t="str">
        <x:v>USR-01093</x:v>
      </x:c>
      <x:c r="B1094" t="n">
        <x:v>46261</x:v>
      </x:c>
      <x:c r="C1094" t="n">
        <x:v>39</x:v>
      </x:c>
      <x:c r="D1094" t="str">
        <x:v>Villavicencio</x:v>
      </x:c>
      <x:c r="E1094" t="str">
        <x:v>Meta</x:v>
      </x:c>
      <x:c r="F1094" t="str">
        <x:v>Entre $3 M y $5 M</x:v>
      </x:c>
      <x:c r="G1094" t="str">
        <x:v>Alianzas</x:v>
      </x:c>
      <x:c r="H1094" t="n">
        <x:v>4299000</x:v>
      </x:c>
      <x:c r="I1094" t="str">
        <x:v>Salir de deudas</x:v>
      </x:c>
      <x:c r="J1094" t="str">
        <x:v>Plus mensual</x:v>
      </x:c>
    </x:row>
    <x:row r="1095">
      <x:c r="A1095" t="str">
        <x:v>USR-01094</x:v>
      </x:c>
      <x:c r="B1095" t="n">
        <x:v>46254</x:v>
      </x:c>
      <x:c r="C1095" t="n">
        <x:v>60</x:v>
      </x:c>
      <x:c r="D1095" t="str">
        <x:v>Cartagena</x:v>
      </x:c>
      <x:c r="E1095" t="str">
        <x:v>Bolívar</x:v>
      </x:c>
      <x:c r="F1095" t="str">
        <x:v>Menos de $1,5 M</x:v>
      </x:c>
      <x:c r="G1095" t="str">
        <x:v>Alianzas</x:v>
      </x:c>
      <x:c r="H1095" t="n">
        <x:v>985000</x:v>
      </x:c>
      <x:c r="I1095" t="str">
        <x:v>Control de pagos</x:v>
      </x:c>
      <x:c r="J1095" t="str">
        <x:v>Cero</x:v>
      </x:c>
    </x:row>
    <x:row r="1096">
      <x:c r="A1096" t="str">
        <x:v>USR-01095</x:v>
      </x:c>
      <x:c r="B1096" t="n">
        <x:v>46237</x:v>
      </x:c>
      <x:c r="C1096" t="n">
        <x:v>40</x:v>
      </x:c>
      <x:c r="D1096" t="str">
        <x:v>Bogotá</x:v>
      </x:c>
      <x:c r="E1096" t="str">
        <x:v>Bogotá D.C.</x:v>
      </x:c>
      <x:c r="F1096" t="str">
        <x:v>Entre $3 M y $5 M</x:v>
      </x:c>
      <x:c r="G1096" t="str">
        <x:v>Alianzas</x:v>
      </x:c>
      <x:c r="H1096" t="n">
        <x:v>3848000</x:v>
      </x:c>
      <x:c r="I1096" t="str">
        <x:v>Control de pagos</x:v>
      </x:c>
      <x:c r="J1096" t="str">
        <x:v>Cero</x:v>
      </x:c>
    </x:row>
    <x:row r="1097">
      <x:c r="A1097" t="str">
        <x:v>USR-01096</x:v>
      </x:c>
      <x:c r="B1097" t="n">
        <x:v>46259</x:v>
      </x:c>
      <x:c r="C1097" t="n">
        <x:v>47</x:v>
      </x:c>
      <x:c r="D1097" t="str">
        <x:v>Bucaramanga</x:v>
      </x:c>
      <x:c r="E1097" t="str">
        <x:v>Santander</x:v>
      </x:c>
      <x:c r="F1097" t="str">
        <x:v>Entre $3 M y $5 M</x:v>
      </x:c>
      <x:c r="G1097" t="str">
        <x:v>Orgánico</x:v>
      </x:c>
      <x:c r="H1097" t="n">
        <x:v>4417000</x:v>
      </x:c>
      <x:c r="I1097" t="str">
        <x:v>Reducir intereses</x:v>
      </x:c>
      <x:c r="J1097" t="str">
        <x:v>Cero</x:v>
      </x:c>
    </x:row>
    <x:row r="1098">
      <x:c r="A1098" t="str">
        <x:v>USR-01097</x:v>
      </x:c>
      <x:c r="B1098" t="n">
        <x:v>46255</x:v>
      </x:c>
      <x:c r="C1098" t="n">
        <x:v>57</x:v>
      </x:c>
      <x:c r="D1098" t="str">
        <x:v>Manizales</x:v>
      </x:c>
      <x:c r="E1098" t="str">
        <x:v>Caldas</x:v>
      </x:c>
      <x:c r="F1098" t="str">
        <x:v>Entre $3 M y $5 M</x:v>
      </x:c>
      <x:c r="G1098" t="str">
        <x:v>Redes sociales</x:v>
      </x:c>
      <x:c r="H1098" t="n">
        <x:v>3196000</x:v>
      </x:c>
      <x:c r="I1098" t="str">
        <x:v>Organización inicial</x:v>
      </x:c>
      <x:c r="J1098" t="str">
        <x:v>Cero</x:v>
      </x:c>
    </x:row>
    <x:row r="1099">
      <x:c r="A1099" t="str">
        <x:v>USR-01098</x:v>
      </x:c>
      <x:c r="B1099" t="n">
        <x:v>46237</x:v>
      </x:c>
      <x:c r="C1099" t="n">
        <x:v>51</x:v>
      </x:c>
      <x:c r="D1099" t="str">
        <x:v>Bucaramanga</x:v>
      </x:c>
      <x:c r="E1099" t="str">
        <x:v>Santander</x:v>
      </x:c>
      <x:c r="F1099" t="str">
        <x:v>Entre $1,5 M y $3 M</x:v>
      </x:c>
      <x:c r="G1099" t="str">
        <x:v>Redes sociales</x:v>
      </x:c>
      <x:c r="H1099" t="n">
        <x:v>2551000</x:v>
      </x:c>
      <x:c r="I1099" t="str">
        <x:v>Salir de deudas</x:v>
      </x:c>
      <x:c r="J1099" t="str">
        <x:v>Cero</x:v>
      </x:c>
    </x:row>
    <x:row r="1100">
      <x:c r="A1100" t="str">
        <x:v>USR-01099</x:v>
      </x:c>
      <x:c r="B1100" t="n">
        <x:v>46254</x:v>
      </x:c>
      <x:c r="C1100" t="n">
        <x:v>64</x:v>
      </x:c>
      <x:c r="D1100" t="str">
        <x:v>Cali</x:v>
      </x:c>
      <x:c r="E1100" t="str">
        <x:v>Valle del Cauca</x:v>
      </x:c>
      <x:c r="F1100" t="str">
        <x:v>Entre $1,5 M y $3 M</x:v>
      </x:c>
      <x:c r="G1100" t="str">
        <x:v>Orgánico</x:v>
      </x:c>
      <x:c r="H1100" t="n">
        <x:v>1939000</x:v>
      </x:c>
      <x:c r="I1100" t="str">
        <x:v>Reducir intereses</x:v>
      </x:c>
      <x:c r="J1100" t="str">
        <x:v>Cero</x:v>
      </x:c>
    </x:row>
    <x:row r="1101">
      <x:c r="A1101" t="str">
        <x:v>USR-01100</x:v>
      </x:c>
      <x:c r="B1101" t="n">
        <x:v>46251</x:v>
      </x:c>
      <x:c r="C1101" t="n">
        <x:v>24</x:v>
      </x:c>
      <x:c r="D1101" t="str">
        <x:v>Bogotá</x:v>
      </x:c>
      <x:c r="E1101" t="str">
        <x:v>Bogotá D.C.</x:v>
      </x:c>
      <x:c r="F1101" t="str">
        <x:v>Menos de $1,5 M</x:v>
      </x:c>
      <x:c r="G1101" t="str">
        <x:v>Alianzas</x:v>
      </x:c>
      <x:c r="H1101" t="n">
        <x:v>1002000</x:v>
      </x:c>
      <x:c r="I1101" t="str">
        <x:v>Salir de deudas</x:v>
      </x:c>
      <x:c r="J1101" t="str">
        <x:v>Cero</x:v>
      </x:c>
    </x:row>
    <x:row r="1102">
      <x:c r="A1102" t="str">
        <x:v>USR-01101</x:v>
      </x:c>
      <x:c r="B1102" t="n">
        <x:v>46249</x:v>
      </x:c>
      <x:c r="C1102" t="n">
        <x:v>36</x:v>
      </x:c>
      <x:c r="D1102" t="str">
        <x:v>Cali</x:v>
      </x:c>
      <x:c r="E1102" t="str">
        <x:v>Valle del Cauca</x:v>
      </x:c>
      <x:c r="F1102" t="str">
        <x:v>Menos de $1,5 M</x:v>
      </x:c>
      <x:c r="G1102" t="str">
        <x:v>Orgánico</x:v>
      </x:c>
      <x:c r="H1102" t="n">
        <x:v>1294000</x:v>
      </x:c>
      <x:c r="I1102" t="str">
        <x:v>Organización inicial</x:v>
      </x:c>
      <x:c r="J1102" t="str">
        <x:v>Cero</x:v>
      </x:c>
    </x:row>
    <x:row r="1103">
      <x:c r="A1103" t="str">
        <x:v>USR-01102</x:v>
      </x:c>
      <x:c r="B1103" t="n">
        <x:v>46237</x:v>
      </x:c>
      <x:c r="C1103" t="n">
        <x:v>57</x:v>
      </x:c>
      <x:c r="D1103" t="str">
        <x:v>Bogotá</x:v>
      </x:c>
      <x:c r="E1103" t="str">
        <x:v>Bogotá D.C.</x:v>
      </x:c>
      <x:c r="F1103" t="str">
        <x:v>Entre $3 M y $5 M</x:v>
      </x:c>
      <x:c r="G1103" t="str">
        <x:v>Referidos</x:v>
      </x:c>
      <x:c r="H1103" t="n">
        <x:v>4682000</x:v>
      </x:c>
      <x:c r="I1103" t="str">
        <x:v>Salir de deudas</x:v>
      </x:c>
      <x:c r="J1103" t="str">
        <x:v>Cero</x:v>
      </x:c>
    </x:row>
    <x:row r="1104">
      <x:c r="A1104" t="str">
        <x:v>USR-01103</x:v>
      </x:c>
      <x:c r="B1104" t="n">
        <x:v>46248</x:v>
      </x:c>
      <x:c r="C1104" t="n">
        <x:v>58</x:v>
      </x:c>
      <x:c r="D1104" t="str">
        <x:v>Bogotá</x:v>
      </x:c>
      <x:c r="E1104" t="str">
        <x:v>Bogotá D.C.</x:v>
      </x:c>
      <x:c r="F1104" t="str">
        <x:v>Entre $1,5 M y $3 M</x:v>
      </x:c>
      <x:c r="G1104" t="str">
        <x:v>Referidos</x:v>
      </x:c>
      <x:c r="H1104" t="n">
        <x:v>2155000</x:v>
      </x:c>
      <x:c r="I1104" t="str">
        <x:v>Salir de deudas</x:v>
      </x:c>
      <x:c r="J1104" t="str">
        <x:v>Cero</x:v>
      </x:c>
    </x:row>
    <x:row r="1105">
      <x:c r="A1105" t="str">
        <x:v>USR-01104</x:v>
      </x:c>
      <x:c r="B1105" t="n">
        <x:v>46261</x:v>
      </x:c>
      <x:c r="C1105" t="n">
        <x:v>37</x:v>
      </x:c>
      <x:c r="D1105" t="str">
        <x:v>Cali</x:v>
      </x:c>
      <x:c r="E1105" t="str">
        <x:v>Valle del Cauca</x:v>
      </x:c>
      <x:c r="F1105" t="str">
        <x:v>Menos de $1,5 M</x:v>
      </x:c>
      <x:c r="G1105" t="str">
        <x:v>Orgánico</x:v>
      </x:c>
      <x:c r="H1105" t="n">
        <x:v>1321000</x:v>
      </x:c>
      <x:c r="I1105" t="str">
        <x:v>Control de pagos</x:v>
      </x:c>
      <x:c r="J1105" t="str">
        <x:v>Plus anual</x:v>
      </x:c>
    </x:row>
    <x:row r="1106">
      <x:c r="A1106" t="str">
        <x:v>USR-01105</x:v>
      </x:c>
      <x:c r="B1106" t="n">
        <x:v>46257</x:v>
      </x:c>
      <x:c r="C1106" t="n">
        <x:v>20</x:v>
      </x:c>
      <x:c r="D1106" t="str">
        <x:v>Bogotá</x:v>
      </x:c>
      <x:c r="E1106" t="str">
        <x:v>Bogotá D.C.</x:v>
      </x:c>
      <x:c r="F1106" t="str">
        <x:v>Entre $1,5 M y $3 M</x:v>
      </x:c>
      <x:c r="G1106" t="str">
        <x:v>Referidos</x:v>
      </x:c>
      <x:c r="H1106" t="n">
        <x:v>2708000</x:v>
      </x:c>
      <x:c r="I1106" t="str">
        <x:v>Salir de deudas</x:v>
      </x:c>
      <x:c r="J1106" t="str">
        <x:v>Plus mensual</x:v>
      </x:c>
    </x:row>
    <x:row r="1107">
      <x:c r="A1107" t="str">
        <x:v>USR-01106</x:v>
      </x:c>
      <x:c r="B1107" t="n">
        <x:v>46236</x:v>
      </x:c>
      <x:c r="C1107" t="n">
        <x:v>36</x:v>
      </x:c>
      <x:c r="D1107" t="str">
        <x:v>Cali</x:v>
      </x:c>
      <x:c r="E1107" t="str">
        <x:v>Valle del Cauca</x:v>
      </x:c>
      <x:c r="F1107" t="str">
        <x:v>Entre $1,5 M y $3 M</x:v>
      </x:c>
      <x:c r="G1107" t="str">
        <x:v>Referidos</x:v>
      </x:c>
      <x:c r="H1107" t="n">
        <x:v>2049000</x:v>
      </x:c>
      <x:c r="I1107" t="str">
        <x:v>Control de pagos</x:v>
      </x:c>
      <x:c r="J1107" t="str">
        <x:v>Plus mensual</x:v>
      </x:c>
    </x:row>
    <x:row r="1108">
      <x:c r="A1108" t="str">
        <x:v>USR-01107</x:v>
      </x:c>
      <x:c r="B1108" t="n">
        <x:v>46254</x:v>
      </x:c>
      <x:c r="C1108" t="n">
        <x:v>43</x:v>
      </x:c>
      <x:c r="D1108" t="str">
        <x:v>Manizales</x:v>
      </x:c>
      <x:c r="E1108" t="str">
        <x:v>Caldas</x:v>
      </x:c>
      <x:c r="F1108" t="str">
        <x:v>Entre $1,5 M y $3 M</x:v>
      </x:c>
      <x:c r="G1108" t="str">
        <x:v>Orgánico</x:v>
      </x:c>
      <x:c r="H1108" t="n">
        <x:v>2256000</x:v>
      </x:c>
      <x:c r="I1108" t="str">
        <x:v>Organización inicial</x:v>
      </x:c>
      <x:c r="J1108" t="str">
        <x:v>Cero</x:v>
      </x:c>
    </x:row>
    <x:row r="1109">
      <x:c r="A1109" t="str">
        <x:v>USR-01108</x:v>
      </x:c>
      <x:c r="B1109" t="n">
        <x:v>46257</x:v>
      </x:c>
      <x:c r="C1109" t="n">
        <x:v>50</x:v>
      </x:c>
      <x:c r="D1109" t="str">
        <x:v>Bogotá</x:v>
      </x:c>
      <x:c r="E1109" t="str">
        <x:v>Bogotá D.C.</x:v>
      </x:c>
      <x:c r="F1109" t="str">
        <x:v>Entre $1,5 M y $3 M</x:v>
      </x:c>
      <x:c r="G1109" t="str">
        <x:v>Redes sociales</x:v>
      </x:c>
      <x:c r="H1109" t="n">
        <x:v>1941000</x:v>
      </x:c>
      <x:c r="I1109" t="str">
        <x:v>Organización inicial</x:v>
      </x:c>
      <x:c r="J1109" t="str">
        <x:v>Cero</x:v>
      </x:c>
    </x:row>
    <x:row r="1110">
      <x:c r="A1110" t="str">
        <x:v>USR-01109</x:v>
      </x:c>
      <x:c r="B1110" t="n">
        <x:v>46246</x:v>
      </x:c>
      <x:c r="C1110" t="n">
        <x:v>60</x:v>
      </x:c>
      <x:c r="D1110" t="str">
        <x:v>Bogotá</x:v>
      </x:c>
      <x:c r="E1110" t="str">
        <x:v>Bogotá D.C.</x:v>
      </x:c>
      <x:c r="F1110" t="str">
        <x:v>Entre $1,5 M y $3 M</x:v>
      </x:c>
      <x:c r="G1110" t="str">
        <x:v>Búsqueda paga</x:v>
      </x:c>
      <x:c r="H1110" t="n">
        <x:v>1657000</x:v>
      </x:c>
      <x:c r="I1110" t="str">
        <x:v>Control de pagos</x:v>
      </x:c>
      <x:c r="J1110" t="str">
        <x:v>Cero</x:v>
      </x:c>
    </x:row>
    <x:row r="1111">
      <x:c r="A1111" t="str">
        <x:v>USR-01110</x:v>
      </x:c>
      <x:c r="B1111" t="n">
        <x:v>46259</x:v>
      </x:c>
      <x:c r="C1111" t="n">
        <x:v>44</x:v>
      </x:c>
      <x:c r="D1111" t="str">
        <x:v>Bucaramanga</x:v>
      </x:c>
      <x:c r="E1111" t="str">
        <x:v>Santander</x:v>
      </x:c>
      <x:c r="F1111" t="str">
        <x:v>Más de $5 M</x:v>
      </x:c>
      <x:c r="G1111" t="str">
        <x:v>Alianzas</x:v>
      </x:c>
      <x:c r="H1111" t="n">
        <x:v>8916000</x:v>
      </x:c>
      <x:c r="I1111" t="str">
        <x:v>Control de pagos</x:v>
      </x:c>
      <x:c r="J1111" t="str">
        <x:v>Cero</x:v>
      </x:c>
    </x:row>
    <x:row r="1112">
      <x:c r="A1112" t="str">
        <x:v>USR-01111</x:v>
      </x:c>
      <x:c r="B1112" t="n">
        <x:v>46252</x:v>
      </x:c>
      <x:c r="C1112" t="n">
        <x:v>22</x:v>
      </x:c>
      <x:c r="D1112" t="str">
        <x:v>Bucaramanga</x:v>
      </x:c>
      <x:c r="E1112" t="str">
        <x:v>Santander</x:v>
      </x:c>
      <x:c r="F1112" t="str">
        <x:v>Entre $3 M y $5 M</x:v>
      </x:c>
      <x:c r="G1112" t="str">
        <x:v>Orgánico</x:v>
      </x:c>
      <x:c r="H1112" t="n">
        <x:v>4773000</x:v>
      </x:c>
      <x:c r="I1112" t="str">
        <x:v>Reducir intereses</x:v>
      </x:c>
      <x:c r="J1112" t="str">
        <x:v>Cero</x:v>
      </x:c>
    </x:row>
    <x:row r="1113">
      <x:c r="A1113" t="str">
        <x:v>USR-01112</x:v>
      </x:c>
      <x:c r="B1113" t="n">
        <x:v>46258</x:v>
      </x:c>
      <x:c r="C1113" t="n">
        <x:v>35</x:v>
      </x:c>
      <x:c r="D1113" t="str">
        <x:v>Cali</x:v>
      </x:c>
      <x:c r="E1113" t="str">
        <x:v>Valle del Cauca</x:v>
      </x:c>
      <x:c r="F1113" t="str">
        <x:v>Entre $1,5 M y $3 M</x:v>
      </x:c>
      <x:c r="G1113" t="str">
        <x:v>Alianzas</x:v>
      </x:c>
      <x:c r="H1113" t="n">
        <x:v>2924000</x:v>
      </x:c>
      <x:c r="I1113" t="str">
        <x:v>Organización inicial</x:v>
      </x:c>
      <x:c r="J1113" t="str">
        <x:v>Cero</x:v>
      </x:c>
    </x:row>
    <x:row r="1114">
      <x:c r="A1114" t="str">
        <x:v>USR-01113</x:v>
      </x:c>
      <x:c r="B1114" t="n">
        <x:v>46255</x:v>
      </x:c>
      <x:c r="C1114" t="n">
        <x:v>37</x:v>
      </x:c>
      <x:c r="D1114" t="str">
        <x:v>Bogotá</x:v>
      </x:c>
      <x:c r="E1114" t="str">
        <x:v>Bogotá D.C.</x:v>
      </x:c>
      <x:c r="F1114" t="str">
        <x:v>Entre $1,5 M y $3 M</x:v>
      </x:c>
      <x:c r="G1114" t="str">
        <x:v>Alianzas</x:v>
      </x:c>
      <x:c r="H1114" t="n">
        <x:v>2987000</x:v>
      </x:c>
      <x:c r="I1114" t="str">
        <x:v>Salir de deudas</x:v>
      </x:c>
      <x:c r="J1114" t="str">
        <x:v>Cero</x:v>
      </x:c>
    </x:row>
    <x:row r="1115">
      <x:c r="A1115" t="str">
        <x:v>USR-01114</x:v>
      </x:c>
      <x:c r="B1115" t="n">
        <x:v>46245</x:v>
      </x:c>
      <x:c r="C1115" t="n">
        <x:v>43</x:v>
      </x:c>
      <x:c r="D1115" t="str">
        <x:v>Cali</x:v>
      </x:c>
      <x:c r="E1115" t="str">
        <x:v>Valle del Cauca</x:v>
      </x:c>
      <x:c r="F1115" t="str">
        <x:v>Entre $3 M y $5 M</x:v>
      </x:c>
      <x:c r="G1115" t="str">
        <x:v>Redes sociales</x:v>
      </x:c>
      <x:c r="H1115" t="n">
        <x:v>4892000</x:v>
      </x:c>
      <x:c r="I1115" t="str">
        <x:v>Salir de deudas</x:v>
      </x:c>
      <x:c r="J1115" t="str">
        <x:v>Cero</x:v>
      </x:c>
    </x:row>
    <x:row r="1116">
      <x:c r="A1116" t="str">
        <x:v>USR-01115</x:v>
      </x:c>
      <x:c r="B1116" t="n">
        <x:v>46239</x:v>
      </x:c>
      <x:c r="C1116" t="n">
        <x:v>45</x:v>
      </x:c>
      <x:c r="D1116" t="str">
        <x:v>Villavicencio</x:v>
      </x:c>
      <x:c r="E1116" t="str">
        <x:v>Meta</x:v>
      </x:c>
      <x:c r="F1116" t="str">
        <x:v>Entre $1,5 M y $3 M</x:v>
      </x:c>
      <x:c r="G1116" t="str">
        <x:v>Orgánico</x:v>
      </x:c>
      <x:c r="H1116" t="n">
        <x:v>2466000</x:v>
      </x:c>
      <x:c r="I1116" t="str">
        <x:v>Organización inicial</x:v>
      </x:c>
      <x:c r="J1116" t="str">
        <x:v>Plus mensual</x:v>
      </x:c>
    </x:row>
    <x:row r="1117">
      <x:c r="A1117" t="str">
        <x:v>USR-01116</x:v>
      </x:c>
      <x:c r="B1117" t="n">
        <x:v>46244</x:v>
      </x:c>
      <x:c r="C1117" t="n">
        <x:v>44</x:v>
      </x:c>
      <x:c r="D1117" t="str">
        <x:v>Bogotá</x:v>
      </x:c>
      <x:c r="E1117" t="str">
        <x:v>Bogotá D.C.</x:v>
      </x:c>
      <x:c r="F1117" t="str">
        <x:v>Menos de $1,5 M</x:v>
      </x:c>
      <x:c r="G1117" t="str">
        <x:v>Contenido educativo</x:v>
      </x:c>
      <x:c r="H1117" t="n">
        <x:v>1214000</x:v>
      </x:c>
      <x:c r="I1117" t="str">
        <x:v>Reducir intereses</x:v>
      </x:c>
      <x:c r="J1117" t="str">
        <x:v>Cero</x:v>
      </x:c>
    </x:row>
    <x:row r="1118">
      <x:c r="A1118" t="str">
        <x:v>USR-01117</x:v>
      </x:c>
      <x:c r="B1118" t="n">
        <x:v>46250</x:v>
      </x:c>
      <x:c r="C1118" t="n">
        <x:v>61</x:v>
      </x:c>
      <x:c r="D1118" t="str">
        <x:v>Cartagena</x:v>
      </x:c>
      <x:c r="E1118" t="str">
        <x:v>Bolívar</x:v>
      </x:c>
      <x:c r="F1118" t="str">
        <x:v>Entre $1,5 M y $3 M</x:v>
      </x:c>
      <x:c r="G1118" t="str">
        <x:v>Búsqueda paga</x:v>
      </x:c>
      <x:c r="H1118" t="n">
        <x:v>2311000</x:v>
      </x:c>
      <x:c r="I1118" t="str">
        <x:v>Control de pagos</x:v>
      </x:c>
      <x:c r="J1118" t="str">
        <x:v>Plus mensual</x:v>
      </x:c>
    </x:row>
    <x:row r="1119">
      <x:c r="A1119" t="str">
        <x:v>USR-01118</x:v>
      </x:c>
      <x:c r="B1119" t="n">
        <x:v>46251</x:v>
      </x:c>
      <x:c r="C1119" t="n">
        <x:v>28</x:v>
      </x:c>
      <x:c r="D1119" t="str">
        <x:v>Bogotá</x:v>
      </x:c>
      <x:c r="E1119" t="str">
        <x:v>Bogotá D.C.</x:v>
      </x:c>
      <x:c r="F1119" t="str">
        <x:v>Entre $1,5 M y $3 M</x:v>
      </x:c>
      <x:c r="G1119" t="str">
        <x:v>Búsqueda paga</x:v>
      </x:c>
      <x:c r="H1119" t="n">
        <x:v>2824000</x:v>
      </x:c>
      <x:c r="I1119" t="str">
        <x:v>Reducir intereses</x:v>
      </x:c>
      <x:c r="J1119" t="str">
        <x:v>Cero</x:v>
      </x:c>
    </x:row>
    <x:row r="1120">
      <x:c r="A1120" t="str">
        <x:v>USR-01119</x:v>
      </x:c>
      <x:c r="B1120" t="n">
        <x:v>46255</x:v>
      </x:c>
      <x:c r="C1120" t="n">
        <x:v>34</x:v>
      </x:c>
      <x:c r="D1120" t="str">
        <x:v>Cali</x:v>
      </x:c>
      <x:c r="E1120" t="str">
        <x:v>Valle del Cauca</x:v>
      </x:c>
      <x:c r="F1120" t="str">
        <x:v>Menos de $1,5 M</x:v>
      </x:c>
      <x:c r="G1120" t="str">
        <x:v>Orgánico</x:v>
      </x:c>
      <x:c r="H1120" t="n">
        <x:v>1470000</x:v>
      </x:c>
      <x:c r="I1120" t="str">
        <x:v>Salir de deudas</x:v>
      </x:c>
      <x:c r="J1120" t="str">
        <x:v>Cero</x:v>
      </x:c>
    </x:row>
    <x:row r="1121">
      <x:c r="A1121" t="str">
        <x:v>USR-01120</x:v>
      </x:c>
      <x:c r="B1121" t="n">
        <x:v>46259</x:v>
      </x:c>
      <x:c r="C1121" t="n">
        <x:v>38</x:v>
      </x:c>
      <x:c r="D1121" t="str">
        <x:v>Bogotá</x:v>
      </x:c>
      <x:c r="E1121" t="str">
        <x:v>Bogotá D.C.</x:v>
      </x:c>
      <x:c r="F1121" t="str">
        <x:v>Entre $3 M y $5 M</x:v>
      </x:c>
      <x:c r="G1121" t="str">
        <x:v>Búsqueda paga</x:v>
      </x:c>
      <x:c r="H1121" t="n">
        <x:v>4480000</x:v>
      </x:c>
      <x:c r="I1121" t="str">
        <x:v>Salir de deudas</x:v>
      </x:c>
      <x:c r="J1121" t="str">
        <x:v>Cero</x:v>
      </x:c>
    </x:row>
    <x:row r="1122">
      <x:c r="A1122" t="str">
        <x:v>USR-01121</x:v>
      </x:c>
      <x:c r="B1122" t="n">
        <x:v>46253</x:v>
      </x:c>
      <x:c r="C1122" t="n">
        <x:v>34</x:v>
      </x:c>
      <x:c r="D1122" t="str">
        <x:v>Cartagena</x:v>
      </x:c>
      <x:c r="E1122" t="str">
        <x:v>Bolívar</x:v>
      </x:c>
      <x:c r="F1122" t="str">
        <x:v>Entre $3 M y $5 M</x:v>
      </x:c>
      <x:c r="G1122" t="str">
        <x:v>Redes sociales</x:v>
      </x:c>
      <x:c r="H1122" t="n">
        <x:v>4745000</x:v>
      </x:c>
      <x:c r="I1122" t="str">
        <x:v>Control de pagos</x:v>
      </x:c>
      <x:c r="J1122" t="str">
        <x:v>Plus mensual</x:v>
      </x:c>
    </x:row>
    <x:row r="1123">
      <x:c r="A1123" t="str">
        <x:v>USR-01122</x:v>
      </x:c>
      <x:c r="B1123" t="n">
        <x:v>46259</x:v>
      </x:c>
      <x:c r="C1123" t="n">
        <x:v>28</x:v>
      </x:c>
      <x:c r="D1123" t="str">
        <x:v>Bogotá</x:v>
      </x:c>
      <x:c r="E1123" t="str">
        <x:v>Bogotá D.C.</x:v>
      </x:c>
      <x:c r="F1123" t="str">
        <x:v>Entre $1,5 M y $3 M</x:v>
      </x:c>
      <x:c r="G1123" t="str">
        <x:v>Contenido educativo</x:v>
      </x:c>
      <x:c r="H1123" t="n">
        <x:v>2473000</x:v>
      </x:c>
      <x:c r="I1123" t="str">
        <x:v>Salir de deudas</x:v>
      </x:c>
      <x:c r="J1123" t="str">
        <x:v>Cero</x:v>
      </x:c>
    </x:row>
    <x:row r="1124">
      <x:c r="A1124" t="str">
        <x:v>USR-01123</x:v>
      </x:c>
      <x:c r="B1124" t="n">
        <x:v>46238</x:v>
      </x:c>
      <x:c r="C1124" t="n">
        <x:v>43</x:v>
      </x:c>
      <x:c r="D1124" t="str">
        <x:v>Villavicencio</x:v>
      </x:c>
      <x:c r="E1124" t="str">
        <x:v>Meta</x:v>
      </x:c>
      <x:c r="F1124" t="str">
        <x:v>Más de $5 M</x:v>
      </x:c>
      <x:c r="G1124" t="str">
        <x:v>Búsqueda paga</x:v>
      </x:c>
      <x:c r="H1124" t="n">
        <x:v>6189000</x:v>
      </x:c>
      <x:c r="I1124" t="str">
        <x:v>Control de pagos</x:v>
      </x:c>
      <x:c r="J1124" t="str">
        <x:v>Cero</x:v>
      </x:c>
    </x:row>
    <x:row r="1125">
      <x:c r="A1125" t="str">
        <x:v>USR-01124</x:v>
      </x:c>
      <x:c r="B1125" t="n">
        <x:v>46248</x:v>
      </x:c>
      <x:c r="C1125" t="n">
        <x:v>61</x:v>
      </x:c>
      <x:c r="D1125" t="str">
        <x:v>Barranquilla</x:v>
      </x:c>
      <x:c r="E1125" t="str">
        <x:v>Atlántico</x:v>
      </x:c>
      <x:c r="F1125" t="str">
        <x:v>Entre $3 M y $5 M</x:v>
      </x:c>
      <x:c r="G1125" t="str">
        <x:v>Alianzas</x:v>
      </x:c>
      <x:c r="H1125" t="n">
        <x:v>3708000</x:v>
      </x:c>
      <x:c r="I1125" t="str">
        <x:v>Control de pagos</x:v>
      </x:c>
      <x:c r="J1125" t="str">
        <x:v>Cero</x:v>
      </x:c>
    </x:row>
    <x:row r="1126">
      <x:c r="A1126" t="str">
        <x:v>USR-01125</x:v>
      </x:c>
      <x:c r="B1126" t="n">
        <x:v>46235</x:v>
      </x:c>
      <x:c r="C1126" t="n">
        <x:v>51</x:v>
      </x:c>
      <x:c r="D1126" t="str">
        <x:v>Bogotá</x:v>
      </x:c>
      <x:c r="E1126" t="str">
        <x:v>Bogotá D.C.</x:v>
      </x:c>
      <x:c r="F1126" t="str">
        <x:v>Entre $3 M y $5 M</x:v>
      </x:c>
      <x:c r="G1126" t="str">
        <x:v>Orgánico</x:v>
      </x:c>
      <x:c r="H1126" t="n">
        <x:v>4068000</x:v>
      </x:c>
      <x:c r="I1126" t="str">
        <x:v>Reducir intereses</x:v>
      </x:c>
      <x:c r="J1126" t="str">
        <x:v>Cero</x:v>
      </x:c>
    </x:row>
    <x:row r="1127">
      <x:c r="A1127" t="str">
        <x:v>USR-01126</x:v>
      </x:c>
      <x:c r="B1127" t="n">
        <x:v>46253</x:v>
      </x:c>
      <x:c r="C1127" t="n">
        <x:v>61</x:v>
      </x:c>
      <x:c r="D1127" t="str">
        <x:v>Manizales</x:v>
      </x:c>
      <x:c r="E1127" t="str">
        <x:v>Caldas</x:v>
      </x:c>
      <x:c r="F1127" t="str">
        <x:v>Entre $1,5 M y $3 M</x:v>
      </x:c>
      <x:c r="G1127" t="str">
        <x:v>Redes sociales</x:v>
      </x:c>
      <x:c r="H1127" t="n">
        <x:v>2947000</x:v>
      </x:c>
      <x:c r="I1127" t="str">
        <x:v>Control de pagos</x:v>
      </x:c>
      <x:c r="J1127" t="str">
        <x:v>Plus mensual</x:v>
      </x:c>
    </x:row>
    <x:row r="1128">
      <x:c r="A1128" t="str">
        <x:v>USR-01127</x:v>
      </x:c>
      <x:c r="B1128" t="n">
        <x:v>46250</x:v>
      </x:c>
      <x:c r="C1128" t="n">
        <x:v>56</x:v>
      </x:c>
      <x:c r="D1128" t="str">
        <x:v>Manizales</x:v>
      </x:c>
      <x:c r="E1128" t="str">
        <x:v>Caldas</x:v>
      </x:c>
      <x:c r="F1128" t="str">
        <x:v>Entre $1,5 M y $3 M</x:v>
      </x:c>
      <x:c r="G1128" t="str">
        <x:v>Orgánico</x:v>
      </x:c>
      <x:c r="H1128" t="n">
        <x:v>2208000</x:v>
      </x:c>
      <x:c r="I1128" t="str">
        <x:v>Control de pagos</x:v>
      </x:c>
      <x:c r="J1128" t="str">
        <x:v>Cero</x:v>
      </x:c>
    </x:row>
    <x:row r="1129">
      <x:c r="A1129" t="str">
        <x:v>USR-01128</x:v>
      </x:c>
      <x:c r="B1129" t="n">
        <x:v>46240</x:v>
      </x:c>
      <x:c r="C1129" t="n">
        <x:v>56</x:v>
      </x:c>
      <x:c r="D1129" t="str">
        <x:v>Bogotá</x:v>
      </x:c>
      <x:c r="E1129" t="str">
        <x:v>Bogotá D.C.</x:v>
      </x:c>
      <x:c r="F1129" t="str">
        <x:v>Menos de $1,5 M</x:v>
      </x:c>
      <x:c r="G1129" t="str">
        <x:v>Búsqueda paga</x:v>
      </x:c>
      <x:c r="H1129" t="n">
        <x:v>1169000</x:v>
      </x:c>
      <x:c r="I1129" t="str">
        <x:v>Organización inicial</x:v>
      </x:c>
      <x:c r="J1129" t="str">
        <x:v>Cero</x:v>
      </x:c>
    </x:row>
    <x:row r="1130">
      <x:c r="A1130" t="str">
        <x:v>USR-01129</x:v>
      </x:c>
      <x:c r="B1130" t="n">
        <x:v>46251</x:v>
      </x:c>
      <x:c r="C1130" t="n">
        <x:v>39</x:v>
      </x:c>
      <x:c r="D1130" t="str">
        <x:v>Barranquilla</x:v>
      </x:c>
      <x:c r="E1130" t="str">
        <x:v>Atlántico</x:v>
      </x:c>
      <x:c r="F1130" t="str">
        <x:v>Entre $1,5 M y $3 M</x:v>
      </x:c>
      <x:c r="G1130" t="str">
        <x:v>Búsqueda paga</x:v>
      </x:c>
      <x:c r="H1130" t="n">
        <x:v>2832000</x:v>
      </x:c>
      <x:c r="I1130" t="str">
        <x:v>Control de pagos</x:v>
      </x:c>
      <x:c r="J1130" t="str">
        <x:v>Cero</x:v>
      </x:c>
    </x:row>
    <x:row r="1131">
      <x:c r="A1131" t="str">
        <x:v>USR-01130</x:v>
      </x:c>
      <x:c r="B1131" t="n">
        <x:v>46253</x:v>
      </x:c>
      <x:c r="C1131" t="n">
        <x:v>36</x:v>
      </x:c>
      <x:c r="D1131" t="str">
        <x:v>Cartagena</x:v>
      </x:c>
      <x:c r="E1131" t="str">
        <x:v>Bolívar</x:v>
      </x:c>
      <x:c r="F1131" t="str">
        <x:v>Menos de $1,5 M</x:v>
      </x:c>
      <x:c r="G1131" t="str">
        <x:v>Redes sociales</x:v>
      </x:c>
      <x:c r="H1131" t="n">
        <x:v>1357000</x:v>
      </x:c>
      <x:c r="I1131" t="str">
        <x:v>Reducir intereses</x:v>
      </x:c>
      <x:c r="J1131" t="str">
        <x:v>Cero</x:v>
      </x:c>
    </x:row>
    <x:row r="1132">
      <x:c r="A1132" t="str">
        <x:v>USR-01131</x:v>
      </x:c>
      <x:c r="B1132" t="n">
        <x:v>46252</x:v>
      </x:c>
      <x:c r="C1132" t="n">
        <x:v>39</x:v>
      </x:c>
      <x:c r="D1132" t="str">
        <x:v>Bogotá</x:v>
      </x:c>
      <x:c r="E1132" t="str">
        <x:v>Bogotá D.C.</x:v>
      </x:c>
      <x:c r="F1132" t="str">
        <x:v>Entre $3 M y $5 M</x:v>
      </x:c>
      <x:c r="G1132" t="str">
        <x:v>Contenido educativo</x:v>
      </x:c>
      <x:c r="H1132" t="n">
        <x:v>4285000</x:v>
      </x:c>
      <x:c r="I1132" t="str">
        <x:v>Reducir intereses</x:v>
      </x:c>
      <x:c r="J1132" t="str">
        <x:v>Cero</x:v>
      </x:c>
    </x:row>
    <x:row r="1133">
      <x:c r="A1133" t="str">
        <x:v>USR-01132</x:v>
      </x:c>
      <x:c r="B1133" t="n">
        <x:v>46253</x:v>
      </x:c>
      <x:c r="C1133" t="n">
        <x:v>54</x:v>
      </x:c>
      <x:c r="D1133" t="str">
        <x:v>Bogotá</x:v>
      </x:c>
      <x:c r="E1133" t="str">
        <x:v>Bogotá D.C.</x:v>
      </x:c>
      <x:c r="F1133" t="str">
        <x:v>Entre $3 M y $5 M</x:v>
      </x:c>
      <x:c r="G1133" t="str">
        <x:v>Orgánico</x:v>
      </x:c>
      <x:c r="H1133" t="n">
        <x:v>4327000</x:v>
      </x:c>
      <x:c r="I1133" t="str">
        <x:v>Organización inicial</x:v>
      </x:c>
      <x:c r="J1133" t="str">
        <x:v>Cero</x:v>
      </x:c>
    </x:row>
    <x:row r="1134">
      <x:c r="A1134" t="str">
        <x:v>USR-01133</x:v>
      </x:c>
      <x:c r="B1134" t="n">
        <x:v>46238</x:v>
      </x:c>
      <x:c r="C1134" t="n">
        <x:v>25</x:v>
      </x:c>
      <x:c r="D1134" t="str">
        <x:v>Manizales</x:v>
      </x:c>
      <x:c r="E1134" t="str">
        <x:v>Caldas</x:v>
      </x:c>
      <x:c r="F1134" t="str">
        <x:v>Entre $3 M y $5 M</x:v>
      </x:c>
      <x:c r="G1134" t="str">
        <x:v>Alianzas</x:v>
      </x:c>
      <x:c r="H1134" t="n">
        <x:v>3802000</x:v>
      </x:c>
      <x:c r="I1134" t="str">
        <x:v>Salir de deudas</x:v>
      </x:c>
      <x:c r="J1134" t="str">
        <x:v>Cero</x:v>
      </x:c>
    </x:row>
    <x:row r="1135">
      <x:c r="A1135" t="str">
        <x:v>USR-01134</x:v>
      </x:c>
      <x:c r="B1135" t="n">
        <x:v>46238</x:v>
      </x:c>
      <x:c r="C1135" t="n">
        <x:v>30</x:v>
      </x:c>
      <x:c r="D1135" t="str">
        <x:v>Bogotá</x:v>
      </x:c>
      <x:c r="E1135" t="str">
        <x:v>Bogotá D.C.</x:v>
      </x:c>
      <x:c r="F1135" t="str">
        <x:v>Entre $3 M y $5 M</x:v>
      </x:c>
      <x:c r="G1135" t="str">
        <x:v>Referidos</x:v>
      </x:c>
      <x:c r="H1135" t="n">
        <x:v>4555000</x:v>
      </x:c>
      <x:c r="I1135" t="str">
        <x:v>Control de pagos</x:v>
      </x:c>
      <x:c r="J1135" t="str">
        <x:v>Cero</x:v>
      </x:c>
    </x:row>
    <x:row r="1136">
      <x:c r="A1136" t="str">
        <x:v>USR-01135</x:v>
      </x:c>
      <x:c r="B1136" t="n">
        <x:v>46238</x:v>
      </x:c>
      <x:c r="C1136" t="n">
        <x:v>53</x:v>
      </x:c>
      <x:c r="D1136" t="str">
        <x:v>Bogotá</x:v>
      </x:c>
      <x:c r="E1136" t="str">
        <x:v>Bogotá D.C.</x:v>
      </x:c>
      <x:c r="F1136" t="str">
        <x:v>Más de $5 M</x:v>
      </x:c>
      <x:c r="G1136" t="str">
        <x:v>Referidos</x:v>
      </x:c>
      <x:c r="H1136" t="n">
        <x:v>5915000</x:v>
      </x:c>
      <x:c r="I1136" t="str">
        <x:v>Control de pagos</x:v>
      </x:c>
      <x:c r="J1136" t="str">
        <x:v>Cero</x:v>
      </x:c>
    </x:row>
    <x:row r="1137">
      <x:c r="A1137" t="str">
        <x:v>USR-01136</x:v>
      </x:c>
      <x:c r="B1137" t="n">
        <x:v>46257</x:v>
      </x:c>
      <x:c r="C1137" t="n">
        <x:v>55</x:v>
      </x:c>
      <x:c r="D1137" t="str">
        <x:v>Bogotá</x:v>
      </x:c>
      <x:c r="E1137" t="str">
        <x:v>Bogotá D.C.</x:v>
      </x:c>
      <x:c r="F1137" t="str">
        <x:v>Menos de $1,5 M</x:v>
      </x:c>
      <x:c r="G1137" t="str">
        <x:v>Contenido educativo</x:v>
      </x:c>
      <x:c r="H1137" t="n">
        <x:v>1375000</x:v>
      </x:c>
      <x:c r="I1137" t="str">
        <x:v>Salir de deudas</x:v>
      </x:c>
      <x:c r="J1137" t="str">
        <x:v>Cero</x:v>
      </x:c>
    </x:row>
    <x:row r="1138">
      <x:c r="A1138" t="str">
        <x:v>USR-01137</x:v>
      </x:c>
      <x:c r="B1138" t="n">
        <x:v>46240</x:v>
      </x:c>
      <x:c r="C1138" t="n">
        <x:v>53</x:v>
      </x:c>
      <x:c r="D1138" t="str">
        <x:v>Cali</x:v>
      </x:c>
      <x:c r="E1138" t="str">
        <x:v>Valle del Cauca</x:v>
      </x:c>
      <x:c r="F1138" t="str">
        <x:v>Más de $5 M</x:v>
      </x:c>
      <x:c r="G1138" t="str">
        <x:v>Búsqueda paga</x:v>
      </x:c>
      <x:c r="H1138" t="n">
        <x:v>8561000</x:v>
      </x:c>
      <x:c r="I1138" t="str">
        <x:v>Salir de deudas</x:v>
      </x:c>
      <x:c r="J1138" t="str">
        <x:v>Plus mensual</x:v>
      </x:c>
    </x:row>
    <x:row r="1139">
      <x:c r="A1139" t="str">
        <x:v>USR-01138</x:v>
      </x:c>
      <x:c r="B1139" t="n">
        <x:v>46243</x:v>
      </x:c>
      <x:c r="C1139" t="n">
        <x:v>34</x:v>
      </x:c>
      <x:c r="D1139" t="str">
        <x:v>Bucaramanga</x:v>
      </x:c>
      <x:c r="E1139" t="str">
        <x:v>Santander</x:v>
      </x:c>
      <x:c r="F1139" t="str">
        <x:v>Entre $1,5 M y $3 M</x:v>
      </x:c>
      <x:c r="G1139" t="str">
        <x:v>Alianzas</x:v>
      </x:c>
      <x:c r="H1139" t="n">
        <x:v>2292000</x:v>
      </x:c>
      <x:c r="I1139" t="str">
        <x:v>Reducir intereses</x:v>
      </x:c>
      <x:c r="J1139" t="str">
        <x:v>Cero</x:v>
      </x:c>
    </x:row>
    <x:row r="1140">
      <x:c r="A1140" t="str">
        <x:v>USR-01139</x:v>
      </x:c>
      <x:c r="B1140" t="n">
        <x:v>46238</x:v>
      </x:c>
      <x:c r="C1140" t="n">
        <x:v>30</x:v>
      </x:c>
      <x:c r="D1140" t="str">
        <x:v>Bogotá</x:v>
      </x:c>
      <x:c r="E1140" t="str">
        <x:v>Bogotá D.C.</x:v>
      </x:c>
      <x:c r="F1140" t="str">
        <x:v>Entre $1,5 M y $3 M</x:v>
      </x:c>
      <x:c r="G1140" t="str">
        <x:v>Referidos</x:v>
      </x:c>
      <x:c r="H1140" t="n">
        <x:v>2197000</x:v>
      </x:c>
      <x:c r="I1140" t="str">
        <x:v>Organización inicial</x:v>
      </x:c>
      <x:c r="J1140" t="str">
        <x:v>Plus anual</x:v>
      </x:c>
    </x:row>
    <x:row r="1141">
      <x:c r="A1141" t="str">
        <x:v>USR-01140</x:v>
      </x:c>
      <x:c r="B1141" t="n">
        <x:v>46251</x:v>
      </x:c>
      <x:c r="C1141" t="n">
        <x:v>28</x:v>
      </x:c>
      <x:c r="D1141" t="str">
        <x:v>Bogotá</x:v>
      </x:c>
      <x:c r="E1141" t="str">
        <x:v>Bogotá D.C.</x:v>
      </x:c>
      <x:c r="F1141" t="str">
        <x:v>Menos de $1,5 M</x:v>
      </x:c>
      <x:c r="G1141" t="str">
        <x:v>Alianzas</x:v>
      </x:c>
      <x:c r="H1141" t="n">
        <x:v>1335000</x:v>
      </x:c>
      <x:c r="I1141" t="str">
        <x:v>Organización inicial</x:v>
      </x:c>
      <x:c r="J1141" t="str">
        <x:v>Plus mensual</x:v>
      </x:c>
    </x:row>
    <x:row r="1142">
      <x:c r="A1142" t="str">
        <x:v>USR-01141</x:v>
      </x:c>
      <x:c r="B1142" t="n">
        <x:v>46246</x:v>
      </x:c>
      <x:c r="C1142" t="n">
        <x:v>29</x:v>
      </x:c>
      <x:c r="D1142" t="str">
        <x:v>Cali</x:v>
      </x:c>
      <x:c r="E1142" t="str">
        <x:v>Valle del Cauca</x:v>
      </x:c>
      <x:c r="F1142" t="str">
        <x:v>Entre $1,5 M y $3 M</x:v>
      </x:c>
      <x:c r="G1142" t="str">
        <x:v>Redes sociales</x:v>
      </x:c>
      <x:c r="H1142" t="n">
        <x:v>2453000</x:v>
      </x:c>
      <x:c r="I1142" t="str">
        <x:v>Reducir intereses</x:v>
      </x:c>
      <x:c r="J1142" t="str">
        <x:v>Cero</x:v>
      </x:c>
    </x:row>
    <x:row r="1143">
      <x:c r="A1143" t="str">
        <x:v>USR-01142</x:v>
      </x:c>
      <x:c r="B1143" t="n">
        <x:v>46238</x:v>
      </x:c>
      <x:c r="C1143" t="n">
        <x:v>56</x:v>
      </x:c>
      <x:c r="D1143" t="str">
        <x:v>Bogotá</x:v>
      </x:c>
      <x:c r="E1143" t="str">
        <x:v>Bogotá D.C.</x:v>
      </x:c>
      <x:c r="F1143" t="str">
        <x:v>Entre $3 M y $5 M</x:v>
      </x:c>
      <x:c r="G1143" t="str">
        <x:v>Referidos</x:v>
      </x:c>
      <x:c r="H1143" t="n">
        <x:v>3078000</x:v>
      </x:c>
      <x:c r="I1143" t="str">
        <x:v>Reducir intereses</x:v>
      </x:c>
      <x:c r="J1143" t="str">
        <x:v>Cero</x:v>
      </x:c>
    </x:row>
    <x:row r="1144">
      <x:c r="A1144" t="str">
        <x:v>USR-01143</x:v>
      </x:c>
      <x:c r="B1144" t="n">
        <x:v>46261</x:v>
      </x:c>
      <x:c r="C1144" t="n">
        <x:v>60</x:v>
      </x:c>
      <x:c r="D1144" t="str">
        <x:v>Barranquilla</x:v>
      </x:c>
      <x:c r="E1144" t="str">
        <x:v>Atlántico</x:v>
      </x:c>
      <x:c r="F1144" t="str">
        <x:v>Menos de $1,5 M</x:v>
      </x:c>
      <x:c r="G1144" t="str">
        <x:v>Referidos</x:v>
      </x:c>
      <x:c r="H1144" t="n">
        <x:v>1302000</x:v>
      </x:c>
      <x:c r="I1144" t="str">
        <x:v>Salir de deudas</x:v>
      </x:c>
      <x:c r="J1144" t="str">
        <x:v>Plus mensual</x:v>
      </x:c>
    </x:row>
    <x:row r="1145">
      <x:c r="A1145" t="str">
        <x:v>USR-01144</x:v>
      </x:c>
      <x:c r="B1145" t="n">
        <x:v>46241</x:v>
      </x:c>
      <x:c r="C1145" t="n">
        <x:v>25</x:v>
      </x:c>
      <x:c r="D1145" t="str">
        <x:v>Manizales</x:v>
      </x:c>
      <x:c r="E1145" t="str">
        <x:v>Caldas</x:v>
      </x:c>
      <x:c r="F1145" t="str">
        <x:v>Entre $1,5 M y $3 M</x:v>
      </x:c>
      <x:c r="G1145" t="str">
        <x:v>Contenido educativo</x:v>
      </x:c>
      <x:c r="H1145" t="n">
        <x:v>2562000</x:v>
      </x:c>
      <x:c r="I1145" t="str">
        <x:v>Salir de deudas</x:v>
      </x:c>
      <x:c r="J1145" t="str">
        <x:v>Plus mensual</x:v>
      </x:c>
    </x:row>
    <x:row r="1146">
      <x:c r="A1146" t="str">
        <x:v>USR-01145</x:v>
      </x:c>
      <x:c r="B1146" t="n">
        <x:v>46252</x:v>
      </x:c>
      <x:c r="C1146" t="n">
        <x:v>20</x:v>
      </x:c>
      <x:c r="D1146" t="str">
        <x:v>Medellín</x:v>
      </x:c>
      <x:c r="E1146" t="str">
        <x:v>Antioquia</x:v>
      </x:c>
      <x:c r="F1146" t="str">
        <x:v>Entre $1,5 M y $3 M</x:v>
      </x:c>
      <x:c r="G1146" t="str">
        <x:v>Referidos</x:v>
      </x:c>
      <x:c r="H1146" t="n">
        <x:v>1580000</x:v>
      </x:c>
      <x:c r="I1146" t="str">
        <x:v>Organización inicial</x:v>
      </x:c>
      <x:c r="J1146" t="str">
        <x:v>Cero</x:v>
      </x:c>
    </x:row>
    <x:row r="1147">
      <x:c r="A1147" t="str">
        <x:v>USR-01146</x:v>
      </x:c>
      <x:c r="B1147" t="n">
        <x:v>46252</x:v>
      </x:c>
      <x:c r="C1147" t="n">
        <x:v>53</x:v>
      </x:c>
      <x:c r="D1147" t="str">
        <x:v>Medellín</x:v>
      </x:c>
      <x:c r="E1147" t="str">
        <x:v>Antioquia</x:v>
      </x:c>
      <x:c r="F1147" t="str">
        <x:v>Menos de $1,5 M</x:v>
      </x:c>
      <x:c r="G1147" t="str">
        <x:v>Orgánico</x:v>
      </x:c>
      <x:c r="H1147" t="n">
        <x:v>1383000</x:v>
      </x:c>
      <x:c r="I1147" t="str">
        <x:v>Control de pagos</x:v>
      </x:c>
      <x:c r="J1147" t="str">
        <x:v>Cero</x:v>
      </x:c>
    </x:row>
    <x:row r="1148">
      <x:c r="A1148" t="str">
        <x:v>USR-01147</x:v>
      </x:c>
      <x:c r="B1148" t="n">
        <x:v>46247</x:v>
      </x:c>
      <x:c r="C1148" t="n">
        <x:v>29</x:v>
      </x:c>
      <x:c r="D1148" t="str">
        <x:v>Bucaramanga</x:v>
      </x:c>
      <x:c r="E1148" t="str">
        <x:v>Santander</x:v>
      </x:c>
      <x:c r="F1148" t="str">
        <x:v>Más de $5 M</x:v>
      </x:c>
      <x:c r="G1148" t="str">
        <x:v>Referidos</x:v>
      </x:c>
      <x:c r="H1148" t="n">
        <x:v>7697000</x:v>
      </x:c>
      <x:c r="I1148" t="str">
        <x:v>Organización inicial</x:v>
      </x:c>
      <x:c r="J1148" t="str">
        <x:v>Cero</x:v>
      </x:c>
    </x:row>
    <x:row r="1149">
      <x:c r="A1149" t="str">
        <x:v>USR-01148</x:v>
      </x:c>
      <x:c r="B1149" t="n">
        <x:v>46253</x:v>
      </x:c>
      <x:c r="C1149" t="n">
        <x:v>33</x:v>
      </x:c>
      <x:c r="D1149" t="str">
        <x:v>Bogotá</x:v>
      </x:c>
      <x:c r="E1149" t="str">
        <x:v>Bogotá D.C.</x:v>
      </x:c>
      <x:c r="F1149" t="str">
        <x:v>Entre $1,5 M y $3 M</x:v>
      </x:c>
      <x:c r="G1149" t="str">
        <x:v>Referidos</x:v>
      </x:c>
      <x:c r="H1149" t="n">
        <x:v>2169000</x:v>
      </x:c>
      <x:c r="I1149" t="str">
        <x:v>Salir de deudas</x:v>
      </x:c>
      <x:c r="J1149" t="str">
        <x:v>Cero</x:v>
      </x:c>
    </x:row>
    <x:row r="1150">
      <x:c r="A1150" t="str">
        <x:v>USR-01149</x:v>
      </x:c>
      <x:c r="B1150" t="n">
        <x:v>46253</x:v>
      </x:c>
      <x:c r="C1150" t="n">
        <x:v>31</x:v>
      </x:c>
      <x:c r="D1150" t="str">
        <x:v>Cali</x:v>
      </x:c>
      <x:c r="E1150" t="str">
        <x:v>Valle del Cauca</x:v>
      </x:c>
      <x:c r="F1150" t="str">
        <x:v>Entre $1,5 M y $3 M</x:v>
      </x:c>
      <x:c r="G1150" t="str">
        <x:v>Alianzas</x:v>
      </x:c>
      <x:c r="H1150" t="n">
        <x:v>2961000</x:v>
      </x:c>
      <x:c r="I1150" t="str">
        <x:v>Salir de deudas</x:v>
      </x:c>
      <x:c r="J1150" t="str">
        <x:v>Cero</x:v>
      </x:c>
    </x:row>
    <x:row r="1151">
      <x:c r="A1151" t="str">
        <x:v>USR-01150</x:v>
      </x:c>
      <x:c r="B1151" t="n">
        <x:v>46239</x:v>
      </x:c>
      <x:c r="C1151" t="n">
        <x:v>30</x:v>
      </x:c>
      <x:c r="D1151" t="str">
        <x:v>Pereira</x:v>
      </x:c>
      <x:c r="E1151" t="str">
        <x:v>Risaralda</x:v>
      </x:c>
      <x:c r="F1151" t="str">
        <x:v>Menos de $1,5 M</x:v>
      </x:c>
      <x:c r="G1151" t="str">
        <x:v>Redes sociales</x:v>
      </x:c>
      <x:c r="H1151" t="n">
        <x:v>1139000</x:v>
      </x:c>
      <x:c r="I1151" t="str">
        <x:v>Organización inicial</x:v>
      </x:c>
      <x:c r="J1151" t="str">
        <x:v>Cero</x:v>
      </x:c>
    </x:row>
    <x:row r="1152">
      <x:c r="A1152" t="str">
        <x:v>USR-01151</x:v>
      </x:c>
      <x:c r="B1152" t="n">
        <x:v>46242</x:v>
      </x:c>
      <x:c r="C1152" t="n">
        <x:v>39</x:v>
      </x:c>
      <x:c r="D1152" t="str">
        <x:v>Manizales</x:v>
      </x:c>
      <x:c r="E1152" t="str">
        <x:v>Caldas</x:v>
      </x:c>
      <x:c r="F1152" t="str">
        <x:v>Más de $5 M</x:v>
      </x:c>
      <x:c r="G1152" t="str">
        <x:v>Redes sociales</x:v>
      </x:c>
      <x:c r="H1152" t="n">
        <x:v>7965000</x:v>
      </x:c>
      <x:c r="I1152" t="str">
        <x:v>Organización inicial</x:v>
      </x:c>
      <x:c r="J1152" t="str">
        <x:v>Cero</x:v>
      </x:c>
    </x:row>
    <x:row r="1153">
      <x:c r="A1153" t="str">
        <x:v>USR-01152</x:v>
      </x:c>
      <x:c r="B1153" t="n">
        <x:v>46269</x:v>
      </x:c>
      <x:c r="C1153" t="n">
        <x:v>52</x:v>
      </x:c>
      <x:c r="D1153" t="str">
        <x:v>Bogotá</x:v>
      </x:c>
      <x:c r="E1153" t="str">
        <x:v>Bogotá D.C.</x:v>
      </x:c>
      <x:c r="F1153" t="str">
        <x:v>Más de $5 M</x:v>
      </x:c>
      <x:c r="G1153" t="str">
        <x:v>Alianzas</x:v>
      </x:c>
      <x:c r="H1153" t="n">
        <x:v>8272000</x:v>
      </x:c>
      <x:c r="I1153" t="str">
        <x:v>Control de pagos</x:v>
      </x:c>
      <x:c r="J1153" t="str">
        <x:v>Cero</x:v>
      </x:c>
    </x:row>
    <x:row r="1154">
      <x:c r="A1154" t="str">
        <x:v>USR-01153</x:v>
      </x:c>
      <x:c r="B1154" t="n">
        <x:v>46289</x:v>
      </x:c>
      <x:c r="C1154" t="n">
        <x:v>40</x:v>
      </x:c>
      <x:c r="D1154" t="str">
        <x:v>Bogotá</x:v>
      </x:c>
      <x:c r="E1154" t="str">
        <x:v>Bogotá D.C.</x:v>
      </x:c>
      <x:c r="F1154" t="str">
        <x:v>Entre $1,5 M y $3 M</x:v>
      </x:c>
      <x:c r="G1154" t="str">
        <x:v>Redes sociales</x:v>
      </x:c>
      <x:c r="H1154" t="n">
        <x:v>2337000</x:v>
      </x:c>
      <x:c r="I1154" t="str">
        <x:v>Organización inicial</x:v>
      </x:c>
      <x:c r="J1154" t="str">
        <x:v>Cero</x:v>
      </x:c>
    </x:row>
    <x:row r="1155">
      <x:c r="A1155" t="str">
        <x:v>USR-01154</x:v>
      </x:c>
      <x:c r="B1155" t="n">
        <x:v>46286</x:v>
      </x:c>
      <x:c r="C1155" t="n">
        <x:v>30</x:v>
      </x:c>
      <x:c r="D1155" t="str">
        <x:v>Bogotá</x:v>
      </x:c>
      <x:c r="E1155" t="str">
        <x:v>Bogotá D.C.</x:v>
      </x:c>
      <x:c r="F1155" t="str">
        <x:v>Entre $1,5 M y $3 M</x:v>
      </x:c>
      <x:c r="G1155" t="str">
        <x:v>Contenido educativo</x:v>
      </x:c>
      <x:c r="H1155" t="n">
        <x:v>1908000</x:v>
      </x:c>
      <x:c r="I1155" t="str">
        <x:v>Salir de deudas</x:v>
      </x:c>
      <x:c r="J1155" t="str">
        <x:v>Plus mensual</x:v>
      </x:c>
    </x:row>
    <x:row r="1156">
      <x:c r="A1156" t="str">
        <x:v>USR-01155</x:v>
      </x:c>
      <x:c r="B1156" t="n">
        <x:v>46280</x:v>
      </x:c>
      <x:c r="C1156" t="n">
        <x:v>29</x:v>
      </x:c>
      <x:c r="D1156" t="str">
        <x:v>Bogotá</x:v>
      </x:c>
      <x:c r="E1156" t="str">
        <x:v>Bogotá D.C.</x:v>
      </x:c>
      <x:c r="F1156" t="str">
        <x:v>Menos de $1,5 M</x:v>
      </x:c>
      <x:c r="G1156" t="str">
        <x:v>Referidos</x:v>
      </x:c>
      <x:c r="H1156" t="n">
        <x:v>1227000</x:v>
      </x:c>
      <x:c r="I1156" t="str">
        <x:v>Salir de deudas</x:v>
      </x:c>
      <x:c r="J1156" t="str">
        <x:v>Cero</x:v>
      </x:c>
    </x:row>
    <x:row r="1157">
      <x:c r="A1157" t="str">
        <x:v>USR-01156</x:v>
      </x:c>
      <x:c r="B1157" t="n">
        <x:v>46283</x:v>
      </x:c>
      <x:c r="C1157" t="n">
        <x:v>27</x:v>
      </x:c>
      <x:c r="D1157" t="str">
        <x:v>Manizales</x:v>
      </x:c>
      <x:c r="E1157" t="str">
        <x:v>Caldas</x:v>
      </x:c>
      <x:c r="F1157" t="str">
        <x:v>Entre $1,5 M y $3 M</x:v>
      </x:c>
      <x:c r="G1157" t="str">
        <x:v>Contenido educativo</x:v>
      </x:c>
      <x:c r="H1157" t="n">
        <x:v>2824000</x:v>
      </x:c>
      <x:c r="I1157" t="str">
        <x:v>Reducir intereses</x:v>
      </x:c>
      <x:c r="J1157" t="str">
        <x:v>Cero</x:v>
      </x:c>
    </x:row>
    <x:row r="1158">
      <x:c r="A1158" t="str">
        <x:v>USR-01157</x:v>
      </x:c>
      <x:c r="B1158" t="n">
        <x:v>46273</x:v>
      </x:c>
      <x:c r="C1158" t="n">
        <x:v>60</x:v>
      </x:c>
      <x:c r="D1158" t="str">
        <x:v>Bogotá</x:v>
      </x:c>
      <x:c r="E1158" t="str">
        <x:v>Bogotá D.C.</x:v>
      </x:c>
      <x:c r="F1158" t="str">
        <x:v>Más de $5 M</x:v>
      </x:c>
      <x:c r="G1158" t="str">
        <x:v>Redes sociales</x:v>
      </x:c>
      <x:c r="H1158" t="n">
        <x:v>5372000</x:v>
      </x:c>
      <x:c r="I1158" t="str">
        <x:v>Control de pagos</x:v>
      </x:c>
      <x:c r="J1158" t="str">
        <x:v>Plus mensual</x:v>
      </x:c>
    </x:row>
    <x:row r="1159">
      <x:c r="A1159" t="str">
        <x:v>USR-01158</x:v>
      </x:c>
      <x:c r="B1159" t="n">
        <x:v>46277</x:v>
      </x:c>
      <x:c r="C1159" t="n">
        <x:v>31</x:v>
      </x:c>
      <x:c r="D1159" t="str">
        <x:v>Pereira</x:v>
      </x:c>
      <x:c r="E1159" t="str">
        <x:v>Risaralda</x:v>
      </x:c>
      <x:c r="F1159" t="str">
        <x:v>Entre $3 M y $5 M</x:v>
      </x:c>
      <x:c r="G1159" t="str">
        <x:v>Alianzas</x:v>
      </x:c>
      <x:c r="H1159" t="n">
        <x:v>4754000</x:v>
      </x:c>
      <x:c r="I1159" t="str">
        <x:v>Reducir intereses</x:v>
      </x:c>
      <x:c r="J1159" t="str">
        <x:v>Cero</x:v>
      </x:c>
    </x:row>
    <x:row r="1160">
      <x:c r="A1160" t="str">
        <x:v>USR-01159</x:v>
      </x:c>
      <x:c r="B1160" t="n">
        <x:v>46279</x:v>
      </x:c>
      <x:c r="C1160" t="n">
        <x:v>50</x:v>
      </x:c>
      <x:c r="D1160" t="str">
        <x:v>Barranquilla</x:v>
      </x:c>
      <x:c r="E1160" t="str">
        <x:v>Atlántico</x:v>
      </x:c>
      <x:c r="F1160" t="str">
        <x:v>Más de $5 M</x:v>
      </x:c>
      <x:c r="G1160" t="str">
        <x:v>Contenido educativo</x:v>
      </x:c>
      <x:c r="H1160" t="n">
        <x:v>8790000</x:v>
      </x:c>
      <x:c r="I1160" t="str">
        <x:v>Reducir intereses</x:v>
      </x:c>
      <x:c r="J1160" t="str">
        <x:v>Plus mensual</x:v>
      </x:c>
    </x:row>
    <x:row r="1161">
      <x:c r="A1161" t="str">
        <x:v>USR-01160</x:v>
      </x:c>
      <x:c r="B1161" t="n">
        <x:v>46292</x:v>
      </x:c>
      <x:c r="C1161" t="n">
        <x:v>43</x:v>
      </x:c>
      <x:c r="D1161" t="str">
        <x:v>Cali</x:v>
      </x:c>
      <x:c r="E1161" t="str">
        <x:v>Valle del Cauca</x:v>
      </x:c>
      <x:c r="F1161" t="str">
        <x:v>Entre $1,5 M y $3 M</x:v>
      </x:c>
      <x:c r="G1161" t="str">
        <x:v>Orgánico</x:v>
      </x:c>
      <x:c r="H1161" t="n">
        <x:v>2175000</x:v>
      </x:c>
      <x:c r="I1161" t="str">
        <x:v>Salir de deudas</x:v>
      </x:c>
      <x:c r="J1161" t="str">
        <x:v>Cero</x:v>
      </x:c>
    </x:row>
    <x:row r="1162">
      <x:c r="A1162" t="str">
        <x:v>USR-01161</x:v>
      </x:c>
      <x:c r="B1162" t="n">
        <x:v>46290</x:v>
      </x:c>
      <x:c r="C1162" t="n">
        <x:v>31</x:v>
      </x:c>
      <x:c r="D1162" t="str">
        <x:v>Villavicencio</x:v>
      </x:c>
      <x:c r="E1162" t="str">
        <x:v>Meta</x:v>
      </x:c>
      <x:c r="F1162" t="str">
        <x:v>Entre $3 M y $5 M</x:v>
      </x:c>
      <x:c r="G1162" t="str">
        <x:v>Redes sociales</x:v>
      </x:c>
      <x:c r="H1162" t="n">
        <x:v>3619000</x:v>
      </x:c>
      <x:c r="I1162" t="str">
        <x:v>Salir de deudas</x:v>
      </x:c>
      <x:c r="J1162" t="str">
        <x:v>Cero</x:v>
      </x:c>
    </x:row>
    <x:row r="1163">
      <x:c r="A1163" t="str">
        <x:v>USR-01162</x:v>
      </x:c>
      <x:c r="B1163" t="n">
        <x:v>46273</x:v>
      </x:c>
      <x:c r="C1163" t="n">
        <x:v>38</x:v>
      </x:c>
      <x:c r="D1163" t="str">
        <x:v>Bucaramanga</x:v>
      </x:c>
      <x:c r="E1163" t="str">
        <x:v>Santander</x:v>
      </x:c>
      <x:c r="F1163" t="str">
        <x:v>Entre $1,5 M y $3 M</x:v>
      </x:c>
      <x:c r="G1163" t="str">
        <x:v>Contenido educativo</x:v>
      </x:c>
      <x:c r="H1163" t="n">
        <x:v>2698000</x:v>
      </x:c>
      <x:c r="I1163" t="str">
        <x:v>Control de pagos</x:v>
      </x:c>
      <x:c r="J1163" t="str">
        <x:v>Cero</x:v>
      </x:c>
    </x:row>
    <x:row r="1164">
      <x:c r="A1164" t="str">
        <x:v>USR-01163</x:v>
      </x:c>
      <x:c r="B1164" t="n">
        <x:v>46266</x:v>
      </x:c>
      <x:c r="C1164" t="n">
        <x:v>30</x:v>
      </x:c>
      <x:c r="D1164" t="str">
        <x:v>Cartagena</x:v>
      </x:c>
      <x:c r="E1164" t="str">
        <x:v>Bolívar</x:v>
      </x:c>
      <x:c r="F1164" t="str">
        <x:v>Entre $1,5 M y $3 M</x:v>
      </x:c>
      <x:c r="G1164" t="str">
        <x:v>Contenido educativo</x:v>
      </x:c>
      <x:c r="H1164" t="n">
        <x:v>1578000</x:v>
      </x:c>
      <x:c r="I1164" t="str">
        <x:v>Organización inicial</x:v>
      </x:c>
      <x:c r="J1164" t="str">
        <x:v>Cero</x:v>
      </x:c>
    </x:row>
    <x:row r="1165">
      <x:c r="A1165" t="str">
        <x:v>USR-01164</x:v>
      </x:c>
      <x:c r="B1165" t="n">
        <x:v>46281</x:v>
      </x:c>
      <x:c r="C1165" t="n">
        <x:v>22</x:v>
      </x:c>
      <x:c r="D1165" t="str">
        <x:v>Cali</x:v>
      </x:c>
      <x:c r="E1165" t="str">
        <x:v>Valle del Cauca</x:v>
      </x:c>
      <x:c r="F1165" t="str">
        <x:v>Entre $1,5 M y $3 M</x:v>
      </x:c>
      <x:c r="G1165" t="str">
        <x:v>Búsqueda paga</x:v>
      </x:c>
      <x:c r="H1165" t="n">
        <x:v>2658000</x:v>
      </x:c>
      <x:c r="I1165" t="str">
        <x:v>Salir de deudas</x:v>
      </x:c>
      <x:c r="J1165" t="str">
        <x:v>Cero</x:v>
      </x:c>
    </x:row>
    <x:row r="1166">
      <x:c r="A1166" t="str">
        <x:v>USR-01165</x:v>
      </x:c>
      <x:c r="B1166" t="n">
        <x:v>46290</x:v>
      </x:c>
      <x:c r="C1166" t="n">
        <x:v>54</x:v>
      </x:c>
      <x:c r="D1166" t="str">
        <x:v>Bogotá</x:v>
      </x:c>
      <x:c r="E1166" t="str">
        <x:v>Bogotá D.C.</x:v>
      </x:c>
      <x:c r="F1166" t="str">
        <x:v>Entre $1,5 M y $3 M</x:v>
      </x:c>
      <x:c r="G1166" t="str">
        <x:v>Redes sociales</x:v>
      </x:c>
      <x:c r="H1166" t="n">
        <x:v>2073000</x:v>
      </x:c>
      <x:c r="I1166" t="str">
        <x:v>Organización inicial</x:v>
      </x:c>
      <x:c r="J1166" t="str">
        <x:v>Plus mensual</x:v>
      </x:c>
    </x:row>
    <x:row r="1167">
      <x:c r="A1167" t="str">
        <x:v>USR-01166</x:v>
      </x:c>
      <x:c r="B1167" t="n">
        <x:v>46272</x:v>
      </x:c>
      <x:c r="C1167" t="n">
        <x:v>60</x:v>
      </x:c>
      <x:c r="D1167" t="str">
        <x:v>Bogotá</x:v>
      </x:c>
      <x:c r="E1167" t="str">
        <x:v>Bogotá D.C.</x:v>
      </x:c>
      <x:c r="F1167" t="str">
        <x:v>Entre $1,5 M y $3 M</x:v>
      </x:c>
      <x:c r="G1167" t="str">
        <x:v>Referidos</x:v>
      </x:c>
      <x:c r="H1167" t="n">
        <x:v>2882000</x:v>
      </x:c>
      <x:c r="I1167" t="str">
        <x:v>Organización inicial</x:v>
      </x:c>
      <x:c r="J1167" t="str">
        <x:v>Plus mensual</x:v>
      </x:c>
    </x:row>
    <x:row r="1168">
      <x:c r="A1168" t="str">
        <x:v>USR-01167</x:v>
      </x:c>
      <x:c r="B1168" t="n">
        <x:v>46274</x:v>
      </x:c>
      <x:c r="C1168" t="n">
        <x:v>28</x:v>
      </x:c>
      <x:c r="D1168" t="str">
        <x:v>Cali</x:v>
      </x:c>
      <x:c r="E1168" t="str">
        <x:v>Valle del Cauca</x:v>
      </x:c>
      <x:c r="F1168" t="str">
        <x:v>Entre $1,5 M y $3 M</x:v>
      </x:c>
      <x:c r="G1168" t="str">
        <x:v>Referidos</x:v>
      </x:c>
      <x:c r="H1168" t="n">
        <x:v>2582000</x:v>
      </x:c>
      <x:c r="I1168" t="str">
        <x:v>Organización inicial</x:v>
      </x:c>
      <x:c r="J1168" t="str">
        <x:v>Cero</x:v>
      </x:c>
    </x:row>
    <x:row r="1169">
      <x:c r="A1169" t="str">
        <x:v>USR-01168</x:v>
      </x:c>
      <x:c r="B1169" t="n">
        <x:v>46287</x:v>
      </x:c>
      <x:c r="C1169" t="n">
        <x:v>56</x:v>
      </x:c>
      <x:c r="D1169" t="str">
        <x:v>Manizales</x:v>
      </x:c>
      <x:c r="E1169" t="str">
        <x:v>Caldas</x:v>
      </x:c>
      <x:c r="F1169" t="str">
        <x:v>Entre $1,5 M y $3 M</x:v>
      </x:c>
      <x:c r="G1169" t="str">
        <x:v>Referidos</x:v>
      </x:c>
      <x:c r="H1169" t="n">
        <x:v>1718000</x:v>
      </x:c>
      <x:c r="I1169" t="str">
        <x:v>Salir de deudas</x:v>
      </x:c>
      <x:c r="J1169" t="str">
        <x:v>Cero</x:v>
      </x:c>
    </x:row>
    <x:row r="1170">
      <x:c r="A1170" t="str">
        <x:v>USR-01169</x:v>
      </x:c>
      <x:c r="B1170" t="n">
        <x:v>46286</x:v>
      </x:c>
      <x:c r="C1170" t="n">
        <x:v>43</x:v>
      </x:c>
      <x:c r="D1170" t="str">
        <x:v>Medellín</x:v>
      </x:c>
      <x:c r="E1170" t="str">
        <x:v>Antioquia</x:v>
      </x:c>
      <x:c r="F1170" t="str">
        <x:v>Entre $1,5 M y $3 M</x:v>
      </x:c>
      <x:c r="G1170" t="str">
        <x:v>Orgánico</x:v>
      </x:c>
      <x:c r="H1170" t="n">
        <x:v>2398000</x:v>
      </x:c>
      <x:c r="I1170" t="str">
        <x:v>Reducir intereses</x:v>
      </x:c>
      <x:c r="J1170" t="str">
        <x:v>Cero</x:v>
      </x:c>
    </x:row>
    <x:row r="1171">
      <x:c r="A1171" t="str">
        <x:v>USR-01170</x:v>
      </x:c>
      <x:c r="B1171" t="n">
        <x:v>46290</x:v>
      </x:c>
      <x:c r="C1171" t="n">
        <x:v>39</x:v>
      </x:c>
      <x:c r="D1171" t="str">
        <x:v>Barranquilla</x:v>
      </x:c>
      <x:c r="E1171" t="str">
        <x:v>Atlántico</x:v>
      </x:c>
      <x:c r="F1171" t="str">
        <x:v>Más de $5 M</x:v>
      </x:c>
      <x:c r="G1171" t="str">
        <x:v>Búsqueda paga</x:v>
      </x:c>
      <x:c r="H1171" t="n">
        <x:v>6439000</x:v>
      </x:c>
      <x:c r="I1171" t="str">
        <x:v>Salir de deudas</x:v>
      </x:c>
      <x:c r="J1171" t="str">
        <x:v>Cero</x:v>
      </x:c>
    </x:row>
    <x:row r="1172">
      <x:c r="A1172" t="str">
        <x:v>USR-01171</x:v>
      </x:c>
      <x:c r="B1172" t="n">
        <x:v>46272</x:v>
      </x:c>
      <x:c r="C1172" t="n">
        <x:v>54</x:v>
      </x:c>
      <x:c r="D1172" t="str">
        <x:v>Bogotá</x:v>
      </x:c>
      <x:c r="E1172" t="str">
        <x:v>Bogotá D.C.</x:v>
      </x:c>
      <x:c r="F1172" t="str">
        <x:v>Entre $1,5 M y $3 M</x:v>
      </x:c>
      <x:c r="G1172" t="str">
        <x:v>Búsqueda paga</x:v>
      </x:c>
      <x:c r="H1172" t="n">
        <x:v>2477000</x:v>
      </x:c>
      <x:c r="I1172" t="str">
        <x:v>Reducir intereses</x:v>
      </x:c>
      <x:c r="J1172" t="str">
        <x:v>Cero</x:v>
      </x:c>
    </x:row>
    <x:row r="1173">
      <x:c r="A1173" t="str">
        <x:v>USR-01172</x:v>
      </x:c>
      <x:c r="B1173" t="n">
        <x:v>46274</x:v>
      </x:c>
      <x:c r="C1173" t="n">
        <x:v>39</x:v>
      </x:c>
      <x:c r="D1173" t="str">
        <x:v>Bogotá</x:v>
      </x:c>
      <x:c r="E1173" t="str">
        <x:v>Bogotá D.C.</x:v>
      </x:c>
      <x:c r="F1173" t="str">
        <x:v>Menos de $1,5 M</x:v>
      </x:c>
      <x:c r="G1173" t="str">
        <x:v>Redes sociales</x:v>
      </x:c>
      <x:c r="H1173" t="n">
        <x:v>1371000</x:v>
      </x:c>
      <x:c r="I1173" t="str">
        <x:v>Salir de deudas</x:v>
      </x:c>
      <x:c r="J1173" t="str">
        <x:v>Cero</x:v>
      </x:c>
    </x:row>
    <x:row r="1174">
      <x:c r="A1174" t="str">
        <x:v>USR-01173</x:v>
      </x:c>
      <x:c r="B1174" t="n">
        <x:v>46268</x:v>
      </x:c>
      <x:c r="C1174" t="n">
        <x:v>36</x:v>
      </x:c>
      <x:c r="D1174" t="str">
        <x:v>Barranquilla</x:v>
      </x:c>
      <x:c r="E1174" t="str">
        <x:v>Atlántico</x:v>
      </x:c>
      <x:c r="F1174" t="str">
        <x:v>Menos de $1,5 M</x:v>
      </x:c>
      <x:c r="G1174" t="str">
        <x:v>Orgánico</x:v>
      </x:c>
      <x:c r="H1174" t="n">
        <x:v>1421000</x:v>
      </x:c>
      <x:c r="I1174" t="str">
        <x:v>Control de pagos</x:v>
      </x:c>
      <x:c r="J1174" t="str">
        <x:v>Cero</x:v>
      </x:c>
    </x:row>
    <x:row r="1175">
      <x:c r="A1175" t="str">
        <x:v>USR-01174</x:v>
      </x:c>
      <x:c r="B1175" t="n">
        <x:v>46278</x:v>
      </x:c>
      <x:c r="C1175" t="n">
        <x:v>64</x:v>
      </x:c>
      <x:c r="D1175" t="str">
        <x:v>Bogotá</x:v>
      </x:c>
      <x:c r="E1175" t="str">
        <x:v>Bogotá D.C.</x:v>
      </x:c>
      <x:c r="F1175" t="str">
        <x:v>Entre $1,5 M y $3 M</x:v>
      </x:c>
      <x:c r="G1175" t="str">
        <x:v>Referidos</x:v>
      </x:c>
      <x:c r="H1175" t="n">
        <x:v>1631000</x:v>
      </x:c>
      <x:c r="I1175" t="str">
        <x:v>Reducir intereses</x:v>
      </x:c>
      <x:c r="J1175" t="str">
        <x:v>Cero</x:v>
      </x:c>
    </x:row>
    <x:row r="1176">
      <x:c r="A1176" t="str">
        <x:v>USR-01175</x:v>
      </x:c>
      <x:c r="B1176" t="n">
        <x:v>46288</x:v>
      </x:c>
      <x:c r="C1176" t="n">
        <x:v>35</x:v>
      </x:c>
      <x:c r="D1176" t="str">
        <x:v>Barranquilla</x:v>
      </x:c>
      <x:c r="E1176" t="str">
        <x:v>Atlántico</x:v>
      </x:c>
      <x:c r="F1176" t="str">
        <x:v>Entre $3 M y $5 M</x:v>
      </x:c>
      <x:c r="G1176" t="str">
        <x:v>Redes sociales</x:v>
      </x:c>
      <x:c r="H1176" t="n">
        <x:v>4157000</x:v>
      </x:c>
      <x:c r="I1176" t="str">
        <x:v>Organización inicial</x:v>
      </x:c>
      <x:c r="J1176" t="str">
        <x:v>Plus anual</x:v>
      </x:c>
    </x:row>
    <x:row r="1177">
      <x:c r="A1177" t="str">
        <x:v>USR-01176</x:v>
      </x:c>
      <x:c r="B1177" t="n">
        <x:v>46267</x:v>
      </x:c>
      <x:c r="C1177" t="n">
        <x:v>50</x:v>
      </x:c>
      <x:c r="D1177" t="str">
        <x:v>Barranquilla</x:v>
      </x:c>
      <x:c r="E1177" t="str">
        <x:v>Atlántico</x:v>
      </x:c>
      <x:c r="F1177" t="str">
        <x:v>Entre $1,5 M y $3 M</x:v>
      </x:c>
      <x:c r="G1177" t="str">
        <x:v>Redes sociales</x:v>
      </x:c>
      <x:c r="H1177" t="n">
        <x:v>2815000</x:v>
      </x:c>
      <x:c r="I1177" t="str">
        <x:v>Control de pagos</x:v>
      </x:c>
      <x:c r="J1177" t="str">
        <x:v>Plus mensual</x:v>
      </x:c>
    </x:row>
    <x:row r="1178">
      <x:c r="A1178" t="str">
        <x:v>USR-01177</x:v>
      </x:c>
      <x:c r="B1178" t="n">
        <x:v>46284</x:v>
      </x:c>
      <x:c r="C1178" t="n">
        <x:v>40</x:v>
      </x:c>
      <x:c r="D1178" t="str">
        <x:v>Barranquilla</x:v>
      </x:c>
      <x:c r="E1178" t="str">
        <x:v>Atlántico</x:v>
      </x:c>
      <x:c r="F1178" t="str">
        <x:v>Entre $3 M y $5 M</x:v>
      </x:c>
      <x:c r="G1178" t="str">
        <x:v>Orgánico</x:v>
      </x:c>
      <x:c r="H1178" t="n">
        <x:v>4999000</x:v>
      </x:c>
      <x:c r="I1178" t="str">
        <x:v>Control de pagos</x:v>
      </x:c>
      <x:c r="J1178" t="str">
        <x:v>Cero</x:v>
      </x:c>
    </x:row>
    <x:row r="1179">
      <x:c r="A1179" t="str">
        <x:v>USR-01178</x:v>
      </x:c>
      <x:c r="B1179" t="n">
        <x:v>46273</x:v>
      </x:c>
      <x:c r="C1179" t="n">
        <x:v>45</x:v>
      </x:c>
      <x:c r="D1179" t="str">
        <x:v>Villavicencio</x:v>
      </x:c>
      <x:c r="E1179" t="str">
        <x:v>Meta</x:v>
      </x:c>
      <x:c r="F1179" t="str">
        <x:v>Entre $1,5 M y $3 M</x:v>
      </x:c>
      <x:c r="G1179" t="str">
        <x:v>Contenido educativo</x:v>
      </x:c>
      <x:c r="H1179" t="n">
        <x:v>2551000</x:v>
      </x:c>
      <x:c r="I1179" t="str">
        <x:v>Salir de deudas</x:v>
      </x:c>
      <x:c r="J1179" t="str">
        <x:v>Cero</x:v>
      </x:c>
    </x:row>
    <x:row r="1180">
      <x:c r="A1180" t="str">
        <x:v>USR-01179</x:v>
      </x:c>
      <x:c r="B1180" t="n">
        <x:v>46292</x:v>
      </x:c>
      <x:c r="C1180" t="n">
        <x:v>32</x:v>
      </x:c>
      <x:c r="D1180" t="str">
        <x:v>Bogotá</x:v>
      </x:c>
      <x:c r="E1180" t="str">
        <x:v>Bogotá D.C.</x:v>
      </x:c>
      <x:c r="F1180" t="str">
        <x:v>Entre $3 M y $5 M</x:v>
      </x:c>
      <x:c r="G1180" t="str">
        <x:v>Referidos</x:v>
      </x:c>
      <x:c r="H1180" t="n">
        <x:v>3613000</x:v>
      </x:c>
      <x:c r="I1180" t="str">
        <x:v>Reducir intereses</x:v>
      </x:c>
      <x:c r="J1180" t="str">
        <x:v>Cero</x:v>
      </x:c>
    </x:row>
    <x:row r="1181">
      <x:c r="A1181" t="str">
        <x:v>USR-01180</x:v>
      </x:c>
      <x:c r="B1181" t="n">
        <x:v>46267</x:v>
      </x:c>
      <x:c r="C1181" t="n">
        <x:v>53</x:v>
      </x:c>
      <x:c r="D1181" t="str">
        <x:v>Cartagena</x:v>
      </x:c>
      <x:c r="E1181" t="str">
        <x:v>Bolívar</x:v>
      </x:c>
      <x:c r="F1181" t="str">
        <x:v>Menos de $1,5 M</x:v>
      </x:c>
      <x:c r="G1181" t="str">
        <x:v>Contenido educativo</x:v>
      </x:c>
      <x:c r="H1181" t="n">
        <x:v>984000</x:v>
      </x:c>
      <x:c r="I1181" t="str">
        <x:v>Reducir intereses</x:v>
      </x:c>
      <x:c r="J1181" t="str">
        <x:v>Plus mensual</x:v>
      </x:c>
    </x:row>
    <x:row r="1182">
      <x:c r="A1182" t="str">
        <x:v>USR-01181</x:v>
      </x:c>
      <x:c r="B1182" t="n">
        <x:v>46270</x:v>
      </x:c>
      <x:c r="C1182" t="n">
        <x:v>64</x:v>
      </x:c>
      <x:c r="D1182" t="str">
        <x:v>Manizales</x:v>
      </x:c>
      <x:c r="E1182" t="str">
        <x:v>Caldas</x:v>
      </x:c>
      <x:c r="F1182" t="str">
        <x:v>Entre $1,5 M y $3 M</x:v>
      </x:c>
      <x:c r="G1182" t="str">
        <x:v>Alianzas</x:v>
      </x:c>
      <x:c r="H1182" t="n">
        <x:v>1704000</x:v>
      </x:c>
      <x:c r="I1182" t="str">
        <x:v>Control de pagos</x:v>
      </x:c>
      <x:c r="J1182" t="str">
        <x:v>Cero</x:v>
      </x:c>
    </x:row>
    <x:row r="1183">
      <x:c r="A1183" t="str">
        <x:v>USR-01182</x:v>
      </x:c>
      <x:c r="B1183" t="n">
        <x:v>46287</x:v>
      </x:c>
      <x:c r="C1183" t="n">
        <x:v>60</x:v>
      </x:c>
      <x:c r="D1183" t="str">
        <x:v>Bogotá</x:v>
      </x:c>
      <x:c r="E1183" t="str">
        <x:v>Bogotá D.C.</x:v>
      </x:c>
      <x:c r="F1183" t="str">
        <x:v>Menos de $1,5 M</x:v>
      </x:c>
      <x:c r="G1183" t="str">
        <x:v>Orgánico</x:v>
      </x:c>
      <x:c r="H1183" t="n">
        <x:v>1316000</x:v>
      </x:c>
      <x:c r="I1183" t="str">
        <x:v>Control de pagos</x:v>
      </x:c>
      <x:c r="J1183" t="str">
        <x:v>Cero</x:v>
      </x:c>
    </x:row>
    <x:row r="1184">
      <x:c r="A1184" t="str">
        <x:v>USR-01183</x:v>
      </x:c>
      <x:c r="B1184" t="n">
        <x:v>46269</x:v>
      </x:c>
      <x:c r="C1184" t="n">
        <x:v>59</x:v>
      </x:c>
      <x:c r="D1184" t="str">
        <x:v>Pereira</x:v>
      </x:c>
      <x:c r="E1184" t="str">
        <x:v>Risaralda</x:v>
      </x:c>
      <x:c r="F1184" t="str">
        <x:v>Menos de $1,5 M</x:v>
      </x:c>
      <x:c r="G1184" t="str">
        <x:v>Referidos</x:v>
      </x:c>
      <x:c r="H1184" t="n">
        <x:v>1500000</x:v>
      </x:c>
      <x:c r="I1184" t="str">
        <x:v>Organización inicial</x:v>
      </x:c>
      <x:c r="J1184" t="str">
        <x:v>Cero</x:v>
      </x:c>
    </x:row>
    <x:row r="1185">
      <x:c r="A1185" t="str">
        <x:v>USR-01184</x:v>
      </x:c>
      <x:c r="B1185" t="n">
        <x:v>46291</x:v>
      </x:c>
      <x:c r="C1185" t="n">
        <x:v>44</x:v>
      </x:c>
      <x:c r="D1185" t="str">
        <x:v>Bogotá</x:v>
      </x:c>
      <x:c r="E1185" t="str">
        <x:v>Bogotá D.C.</x:v>
      </x:c>
      <x:c r="F1185" t="str">
        <x:v>Menos de $1,5 M</x:v>
      </x:c>
      <x:c r="G1185" t="str">
        <x:v>Contenido educativo</x:v>
      </x:c>
      <x:c r="H1185" t="n">
        <x:v>941000</x:v>
      </x:c>
      <x:c r="I1185" t="str">
        <x:v>Salir de deudas</x:v>
      </x:c>
      <x:c r="J1185" t="str">
        <x:v>Cero</x:v>
      </x:c>
    </x:row>
    <x:row r="1186">
      <x:c r="A1186" t="str">
        <x:v>USR-01185</x:v>
      </x:c>
      <x:c r="B1186" t="n">
        <x:v>46270</x:v>
      </x:c>
      <x:c r="C1186" t="n">
        <x:v>45</x:v>
      </x:c>
      <x:c r="D1186" t="str">
        <x:v>Manizales</x:v>
      </x:c>
      <x:c r="E1186" t="str">
        <x:v>Caldas</x:v>
      </x:c>
      <x:c r="F1186" t="str">
        <x:v>Menos de $1,5 M</x:v>
      </x:c>
      <x:c r="G1186" t="str">
        <x:v>Redes sociales</x:v>
      </x:c>
      <x:c r="H1186" t="n">
        <x:v>1007000</x:v>
      </x:c>
      <x:c r="I1186" t="str">
        <x:v>Salir de deudas</x:v>
      </x:c>
      <x:c r="J1186" t="str">
        <x:v>Cero</x:v>
      </x:c>
    </x:row>
    <x:row r="1187">
      <x:c r="A1187" t="str">
        <x:v>USR-01186</x:v>
      </x:c>
      <x:c r="B1187" t="n">
        <x:v>46271</x:v>
      </x:c>
      <x:c r="C1187" t="n">
        <x:v>48</x:v>
      </x:c>
      <x:c r="D1187" t="str">
        <x:v>Bogotá</x:v>
      </x:c>
      <x:c r="E1187" t="str">
        <x:v>Bogotá D.C.</x:v>
      </x:c>
      <x:c r="F1187" t="str">
        <x:v>Entre $1,5 M y $3 M</x:v>
      </x:c>
      <x:c r="G1187" t="str">
        <x:v>Orgánico</x:v>
      </x:c>
      <x:c r="H1187" t="n">
        <x:v>2793000</x:v>
      </x:c>
      <x:c r="I1187" t="str">
        <x:v>Reducir intereses</x:v>
      </x:c>
      <x:c r="J1187" t="str">
        <x:v>Cero</x:v>
      </x:c>
    </x:row>
    <x:row r="1188">
      <x:c r="A1188" t="str">
        <x:v>USR-01187</x:v>
      </x:c>
      <x:c r="B1188" t="n">
        <x:v>46266</x:v>
      </x:c>
      <x:c r="C1188" t="n">
        <x:v>28</x:v>
      </x:c>
      <x:c r="D1188" t="str">
        <x:v>Bogotá</x:v>
      </x:c>
      <x:c r="E1188" t="str">
        <x:v>Bogotá D.C.</x:v>
      </x:c>
      <x:c r="F1188" t="str">
        <x:v>Entre $3 M y $5 M</x:v>
      </x:c>
      <x:c r="G1188" t="str">
        <x:v>Búsqueda paga</x:v>
      </x:c>
      <x:c r="H1188" t="n">
        <x:v>3866000</x:v>
      </x:c>
      <x:c r="I1188" t="str">
        <x:v>Control de pagos</x:v>
      </x:c>
      <x:c r="J1188" t="str">
        <x:v>Plus mensual</x:v>
      </x:c>
    </x:row>
    <x:row r="1189">
      <x:c r="A1189" t="str">
        <x:v>USR-01188</x:v>
      </x:c>
      <x:c r="B1189" t="n">
        <x:v>46289</x:v>
      </x:c>
      <x:c r="C1189" t="n">
        <x:v>46</x:v>
      </x:c>
      <x:c r="D1189" t="str">
        <x:v>Bogotá</x:v>
      </x:c>
      <x:c r="E1189" t="str">
        <x:v>Bogotá D.C.</x:v>
      </x:c>
      <x:c r="F1189" t="str">
        <x:v>Entre $1,5 M y $3 M</x:v>
      </x:c>
      <x:c r="G1189" t="str">
        <x:v>Orgánico</x:v>
      </x:c>
      <x:c r="H1189" t="n">
        <x:v>1693000</x:v>
      </x:c>
      <x:c r="I1189" t="str">
        <x:v>Control de pagos</x:v>
      </x:c>
      <x:c r="J1189" t="str">
        <x:v>Cero</x:v>
      </x:c>
    </x:row>
    <x:row r="1190">
      <x:c r="A1190" t="str">
        <x:v>USR-01189</x:v>
      </x:c>
      <x:c r="B1190" t="n">
        <x:v>46289</x:v>
      </x:c>
      <x:c r="C1190" t="n">
        <x:v>57</x:v>
      </x:c>
      <x:c r="D1190" t="str">
        <x:v>Bucaramanga</x:v>
      </x:c>
      <x:c r="E1190" t="str">
        <x:v>Santander</x:v>
      </x:c>
      <x:c r="F1190" t="str">
        <x:v>Entre $1,5 M y $3 M</x:v>
      </x:c>
      <x:c r="G1190" t="str">
        <x:v>Redes sociales</x:v>
      </x:c>
      <x:c r="H1190" t="n">
        <x:v>1968000</x:v>
      </x:c>
      <x:c r="I1190" t="str">
        <x:v>Control de pagos</x:v>
      </x:c>
      <x:c r="J1190" t="str">
        <x:v>Plus anual</x:v>
      </x:c>
    </x:row>
    <x:row r="1191">
      <x:c r="A1191" t="str">
        <x:v>USR-01190</x:v>
      </x:c>
      <x:c r="B1191" t="n">
        <x:v>46283</x:v>
      </x:c>
      <x:c r="C1191" t="n">
        <x:v>58</x:v>
      </x:c>
      <x:c r="D1191" t="str">
        <x:v>Medellín</x:v>
      </x:c>
      <x:c r="E1191" t="str">
        <x:v>Antioquia</x:v>
      </x:c>
      <x:c r="F1191" t="str">
        <x:v>Entre $1,5 M y $3 M</x:v>
      </x:c>
      <x:c r="G1191" t="str">
        <x:v>Orgánico</x:v>
      </x:c>
      <x:c r="H1191" t="n">
        <x:v>2620000</x:v>
      </x:c>
      <x:c r="I1191" t="str">
        <x:v>Control de pagos</x:v>
      </x:c>
      <x:c r="J1191" t="str">
        <x:v>Cero</x:v>
      </x:c>
    </x:row>
    <x:row r="1192">
      <x:c r="A1192" t="str">
        <x:v>USR-01191</x:v>
      </x:c>
      <x:c r="B1192" t="n">
        <x:v>46272</x:v>
      </x:c>
      <x:c r="C1192" t="n">
        <x:v>34</x:v>
      </x:c>
      <x:c r="D1192" t="str">
        <x:v>Bogotá</x:v>
      </x:c>
      <x:c r="E1192" t="str">
        <x:v>Bogotá D.C.</x:v>
      </x:c>
      <x:c r="F1192" t="str">
        <x:v>Entre $3 M y $5 M</x:v>
      </x:c>
      <x:c r="G1192" t="str">
        <x:v>Referidos</x:v>
      </x:c>
      <x:c r="H1192" t="n">
        <x:v>4789000</x:v>
      </x:c>
      <x:c r="I1192" t="str">
        <x:v>Salir de deudas</x:v>
      </x:c>
      <x:c r="J1192" t="str">
        <x:v>Cero</x:v>
      </x:c>
    </x:row>
    <x:row r="1193">
      <x:c r="A1193" t="str">
        <x:v>USR-01192</x:v>
      </x:c>
      <x:c r="B1193" t="n">
        <x:v>46266</x:v>
      </x:c>
      <x:c r="C1193" t="n">
        <x:v>30</x:v>
      </x:c>
      <x:c r="D1193" t="str">
        <x:v>Bogotá</x:v>
      </x:c>
      <x:c r="E1193" t="str">
        <x:v>Bogotá D.C.</x:v>
      </x:c>
      <x:c r="F1193" t="str">
        <x:v>Entre $1,5 M y $3 M</x:v>
      </x:c>
      <x:c r="G1193" t="str">
        <x:v>Búsqueda paga</x:v>
      </x:c>
      <x:c r="H1193" t="n">
        <x:v>1873000</x:v>
      </x:c>
      <x:c r="I1193" t="str">
        <x:v>Control de pagos</x:v>
      </x:c>
      <x:c r="J1193" t="str">
        <x:v>Cero</x:v>
      </x:c>
    </x:row>
    <x:row r="1194">
      <x:c r="A1194" t="str">
        <x:v>USR-01193</x:v>
      </x:c>
      <x:c r="B1194" t="n">
        <x:v>46275</x:v>
      </x:c>
      <x:c r="C1194" t="n">
        <x:v>51</x:v>
      </x:c>
      <x:c r="D1194" t="str">
        <x:v>Bogotá</x:v>
      </x:c>
      <x:c r="E1194" t="str">
        <x:v>Bogotá D.C.</x:v>
      </x:c>
      <x:c r="F1194" t="str">
        <x:v>Entre $3 M y $5 M</x:v>
      </x:c>
      <x:c r="G1194" t="str">
        <x:v>Redes sociales</x:v>
      </x:c>
      <x:c r="H1194" t="n">
        <x:v>4241000</x:v>
      </x:c>
      <x:c r="I1194" t="str">
        <x:v>Organización inicial</x:v>
      </x:c>
      <x:c r="J1194" t="str">
        <x:v>Cero</x:v>
      </x:c>
    </x:row>
    <x:row r="1195">
      <x:c r="A1195" t="str">
        <x:v>USR-01194</x:v>
      </x:c>
      <x:c r="B1195" t="n">
        <x:v>46273</x:v>
      </x:c>
      <x:c r="C1195" t="n">
        <x:v>39</x:v>
      </x:c>
      <x:c r="D1195" t="str">
        <x:v>Bogotá</x:v>
      </x:c>
      <x:c r="E1195" t="str">
        <x:v>Bogotá D.C.</x:v>
      </x:c>
      <x:c r="F1195" t="str">
        <x:v>Entre $1,5 M y $3 M</x:v>
      </x:c>
      <x:c r="G1195" t="str">
        <x:v>Orgánico</x:v>
      </x:c>
      <x:c r="H1195" t="n">
        <x:v>1947000</x:v>
      </x:c>
      <x:c r="I1195" t="str">
        <x:v>Reducir intereses</x:v>
      </x:c>
      <x:c r="J1195" t="str">
        <x:v>Cero</x:v>
      </x:c>
    </x:row>
    <x:row r="1196">
      <x:c r="A1196" t="str">
        <x:v>USR-01195</x:v>
      </x:c>
      <x:c r="B1196" t="n">
        <x:v>46288</x:v>
      </x:c>
      <x:c r="C1196" t="n">
        <x:v>30</x:v>
      </x:c>
      <x:c r="D1196" t="str">
        <x:v>Bogotá</x:v>
      </x:c>
      <x:c r="E1196" t="str">
        <x:v>Bogotá D.C.</x:v>
      </x:c>
      <x:c r="F1196" t="str">
        <x:v>Menos de $1,5 M</x:v>
      </x:c>
      <x:c r="G1196" t="str">
        <x:v>Referidos</x:v>
      </x:c>
      <x:c r="H1196" t="n">
        <x:v>1231000</x:v>
      </x:c>
      <x:c r="I1196" t="str">
        <x:v>Control de pagos</x:v>
      </x:c>
      <x:c r="J1196" t="str">
        <x:v>Plus mensual</x:v>
      </x:c>
    </x:row>
    <x:row r="1197">
      <x:c r="A1197" t="str">
        <x:v>USR-01196</x:v>
      </x:c>
      <x:c r="B1197" t="n">
        <x:v>46278</x:v>
      </x:c>
      <x:c r="C1197" t="n">
        <x:v>38</x:v>
      </x:c>
      <x:c r="D1197" t="str">
        <x:v>Bogotá</x:v>
      </x:c>
      <x:c r="E1197" t="str">
        <x:v>Bogotá D.C.</x:v>
      </x:c>
      <x:c r="F1197" t="str">
        <x:v>Entre $1,5 M y $3 M</x:v>
      </x:c>
      <x:c r="G1197" t="str">
        <x:v>Contenido educativo</x:v>
      </x:c>
      <x:c r="H1197" t="n">
        <x:v>2585000</x:v>
      </x:c>
      <x:c r="I1197" t="str">
        <x:v>Control de pagos</x:v>
      </x:c>
      <x:c r="J1197" t="str">
        <x:v>Cero</x:v>
      </x:c>
    </x:row>
    <x:row r="1198">
      <x:c r="A1198" t="str">
        <x:v>USR-01197</x:v>
      </x:c>
      <x:c r="B1198" t="n">
        <x:v>46276</x:v>
      </x:c>
      <x:c r="C1198" t="n">
        <x:v>64</x:v>
      </x:c>
      <x:c r="D1198" t="str">
        <x:v>Bogotá</x:v>
      </x:c>
      <x:c r="E1198" t="str">
        <x:v>Bogotá D.C.</x:v>
      </x:c>
      <x:c r="F1198" t="str">
        <x:v>Entre $1,5 M y $3 M</x:v>
      </x:c>
      <x:c r="G1198" t="str">
        <x:v>Búsqueda paga</x:v>
      </x:c>
      <x:c r="H1198" t="n">
        <x:v>2265000</x:v>
      </x:c>
      <x:c r="I1198" t="str">
        <x:v>Control de pagos</x:v>
      </x:c>
      <x:c r="J1198" t="str">
        <x:v>Cero</x:v>
      </x:c>
    </x:row>
    <x:row r="1199">
      <x:c r="A1199" t="str">
        <x:v>USR-01198</x:v>
      </x:c>
      <x:c r="B1199" t="n">
        <x:v>46279</x:v>
      </x:c>
      <x:c r="C1199" t="n">
        <x:v>39</x:v>
      </x:c>
      <x:c r="D1199" t="str">
        <x:v>Pereira</x:v>
      </x:c>
      <x:c r="E1199" t="str">
        <x:v>Risaralda</x:v>
      </x:c>
      <x:c r="F1199" t="str">
        <x:v>Entre $3 M y $5 M</x:v>
      </x:c>
      <x:c r="G1199" t="str">
        <x:v>Alianzas</x:v>
      </x:c>
      <x:c r="H1199" t="n">
        <x:v>4393000</x:v>
      </x:c>
      <x:c r="I1199" t="str">
        <x:v>Salir de deudas</x:v>
      </x:c>
      <x:c r="J1199" t="str">
        <x:v>Plus anual</x:v>
      </x:c>
    </x:row>
    <x:row r="1200">
      <x:c r="A1200" t="str">
        <x:v>USR-01199</x:v>
      </x:c>
      <x:c r="B1200" t="n">
        <x:v>46286</x:v>
      </x:c>
      <x:c r="C1200" t="n">
        <x:v>49</x:v>
      </x:c>
      <x:c r="D1200" t="str">
        <x:v>Manizales</x:v>
      </x:c>
      <x:c r="E1200" t="str">
        <x:v>Caldas</x:v>
      </x:c>
      <x:c r="F1200" t="str">
        <x:v>Menos de $1,5 M</x:v>
      </x:c>
      <x:c r="G1200" t="str">
        <x:v>Redes sociales</x:v>
      </x:c>
      <x:c r="H1200" t="n">
        <x:v>1481000</x:v>
      </x:c>
      <x:c r="I1200" t="str">
        <x:v>Reducir intereses</x:v>
      </x:c>
      <x:c r="J1200" t="str">
        <x:v>Cero</x:v>
      </x:c>
    </x:row>
    <x:row r="1201">
      <x:c r="A1201" t="str">
        <x:v>USR-01200</x:v>
      </x:c>
      <x:c r="B1201" t="n">
        <x:v>46273</x:v>
      </x:c>
      <x:c r="C1201" t="n">
        <x:v>61</x:v>
      </x:c>
      <x:c r="D1201" t="str">
        <x:v>Bogotá</x:v>
      </x:c>
      <x:c r="E1201" t="str">
        <x:v>Bogotá D.C.</x:v>
      </x:c>
      <x:c r="F1201" t="str">
        <x:v>Más de $5 M</x:v>
      </x:c>
      <x:c r="G1201" t="str">
        <x:v>Búsqueda paga</x:v>
      </x:c>
      <x:c r="H1201" t="n">
        <x:v>8121000</x:v>
      </x:c>
      <x:c r="I1201" t="str">
        <x:v>Reducir intereses</x:v>
      </x:c>
      <x:c r="J1201" t="str">
        <x:v>Cero</x:v>
      </x:c>
    </x:row>
    <x:row r="1202">
      <x:c r="A1202" t="str">
        <x:v>USR-01201</x:v>
      </x:c>
      <x:c r="B1202" t="n">
        <x:v>46268</x:v>
      </x:c>
      <x:c r="C1202" t="n">
        <x:v>59</x:v>
      </x:c>
      <x:c r="D1202" t="str">
        <x:v>Barranquilla</x:v>
      </x:c>
      <x:c r="E1202" t="str">
        <x:v>Atlántico</x:v>
      </x:c>
      <x:c r="F1202" t="str">
        <x:v>Entre $1,5 M y $3 M</x:v>
      </x:c>
      <x:c r="G1202" t="str">
        <x:v>Contenido educativo</x:v>
      </x:c>
      <x:c r="H1202" t="n">
        <x:v>1682000</x:v>
      </x:c>
      <x:c r="I1202" t="str">
        <x:v>Control de pagos</x:v>
      </x:c>
      <x:c r="J1202" t="str">
        <x:v>Cero</x:v>
      </x:c>
    </x:row>
    <x:row r="1203">
      <x:c r="A1203" t="str">
        <x:v>USR-01202</x:v>
      </x:c>
      <x:c r="B1203" t="n">
        <x:v>46275</x:v>
      </x:c>
      <x:c r="C1203" t="n">
        <x:v>40</x:v>
      </x:c>
      <x:c r="D1203" t="str">
        <x:v>Bogotá</x:v>
      </x:c>
      <x:c r="E1203" t="str">
        <x:v>Bogotá D.C.</x:v>
      </x:c>
      <x:c r="F1203" t="str">
        <x:v>Entre $1,5 M y $3 M</x:v>
      </x:c>
      <x:c r="G1203" t="str">
        <x:v>Orgánico</x:v>
      </x:c>
      <x:c r="H1203" t="n">
        <x:v>2987000</x:v>
      </x:c>
      <x:c r="I1203" t="str">
        <x:v>Organización inicial</x:v>
      </x:c>
      <x:c r="J1203" t="str">
        <x:v>Cero</x:v>
      </x:c>
    </x:row>
    <x:row r="1204">
      <x:c r="A1204" t="str">
        <x:v>USR-01203</x:v>
      </x:c>
      <x:c r="B1204" t="n">
        <x:v>46286</x:v>
      </x:c>
      <x:c r="C1204" t="n">
        <x:v>24</x:v>
      </x:c>
      <x:c r="D1204" t="str">
        <x:v>Cali</x:v>
      </x:c>
      <x:c r="E1204" t="str">
        <x:v>Valle del Cauca</x:v>
      </x:c>
      <x:c r="F1204" t="str">
        <x:v>Entre $1,5 M y $3 M</x:v>
      </x:c>
      <x:c r="G1204" t="str">
        <x:v>Contenido educativo</x:v>
      </x:c>
      <x:c r="H1204" t="n">
        <x:v>1968000</x:v>
      </x:c>
      <x:c r="I1204" t="str">
        <x:v>Reducir intereses</x:v>
      </x:c>
      <x:c r="J1204" t="str">
        <x:v>Cero</x:v>
      </x:c>
    </x:row>
    <x:row r="1205">
      <x:c r="A1205" t="str">
        <x:v>USR-01204</x:v>
      </x:c>
      <x:c r="B1205" t="n">
        <x:v>46274</x:v>
      </x:c>
      <x:c r="C1205" t="n">
        <x:v>37</x:v>
      </x:c>
      <x:c r="D1205" t="str">
        <x:v>Cartagena</x:v>
      </x:c>
      <x:c r="E1205" t="str">
        <x:v>Bolívar</x:v>
      </x:c>
      <x:c r="F1205" t="str">
        <x:v>Menos de $1,5 M</x:v>
      </x:c>
      <x:c r="G1205" t="str">
        <x:v>Orgánico</x:v>
      </x:c>
      <x:c r="H1205" t="n">
        <x:v>926000</x:v>
      </x:c>
      <x:c r="I1205" t="str">
        <x:v>Reducir intereses</x:v>
      </x:c>
      <x:c r="J1205" t="str">
        <x:v>Plus mensual</x:v>
      </x:c>
    </x:row>
    <x:row r="1206">
      <x:c r="A1206" t="str">
        <x:v>USR-01205</x:v>
      </x:c>
      <x:c r="B1206" t="n">
        <x:v>46276</x:v>
      </x:c>
      <x:c r="C1206" t="n">
        <x:v>22</x:v>
      </x:c>
      <x:c r="D1206" t="str">
        <x:v>Medellín</x:v>
      </x:c>
      <x:c r="E1206" t="str">
        <x:v>Antioquia</x:v>
      </x:c>
      <x:c r="F1206" t="str">
        <x:v>Entre $1,5 M y $3 M</x:v>
      </x:c>
      <x:c r="G1206" t="str">
        <x:v>Contenido educativo</x:v>
      </x:c>
      <x:c r="H1206" t="n">
        <x:v>2346000</x:v>
      </x:c>
      <x:c r="I1206" t="str">
        <x:v>Salir de deudas</x:v>
      </x:c>
      <x:c r="J1206" t="str">
        <x:v>Cero</x:v>
      </x:c>
    </x:row>
    <x:row r="1207">
      <x:c r="A1207" t="str">
        <x:v>USR-01206</x:v>
      </x:c>
      <x:c r="B1207" t="n">
        <x:v>46292</x:v>
      </x:c>
      <x:c r="C1207" t="n">
        <x:v>40</x:v>
      </x:c>
      <x:c r="D1207" t="str">
        <x:v>Bogotá</x:v>
      </x:c>
      <x:c r="E1207" t="str">
        <x:v>Bogotá D.C.</x:v>
      </x:c>
      <x:c r="F1207" t="str">
        <x:v>Entre $1,5 M y $3 M</x:v>
      </x:c>
      <x:c r="G1207" t="str">
        <x:v>Búsqueda paga</x:v>
      </x:c>
      <x:c r="H1207" t="n">
        <x:v>2059000</x:v>
      </x:c>
      <x:c r="I1207" t="str">
        <x:v>Organización inicial</x:v>
      </x:c>
      <x:c r="J1207" t="str">
        <x:v>Cero</x:v>
      </x:c>
    </x:row>
    <x:row r="1208">
      <x:c r="A1208" t="str">
        <x:v>USR-01207</x:v>
      </x:c>
      <x:c r="B1208" t="n">
        <x:v>46280</x:v>
      </x:c>
      <x:c r="C1208" t="n">
        <x:v>44</x:v>
      </x:c>
      <x:c r="D1208" t="str">
        <x:v>Cartagena</x:v>
      </x:c>
      <x:c r="E1208" t="str">
        <x:v>Bolívar</x:v>
      </x:c>
      <x:c r="F1208" t="str">
        <x:v>Entre $3 M y $5 M</x:v>
      </x:c>
      <x:c r="G1208" t="str">
        <x:v>Redes sociales</x:v>
      </x:c>
      <x:c r="H1208" t="n">
        <x:v>4936000</x:v>
      </x:c>
      <x:c r="I1208" t="str">
        <x:v>Organización inicial</x:v>
      </x:c>
      <x:c r="J1208" t="str">
        <x:v>Cero</x:v>
      </x:c>
    </x:row>
    <x:row r="1209">
      <x:c r="A1209" t="str">
        <x:v>USR-01208</x:v>
      </x:c>
      <x:c r="B1209" t="n">
        <x:v>46269</x:v>
      </x:c>
      <x:c r="C1209" t="n">
        <x:v>37</x:v>
      </x:c>
      <x:c r="D1209" t="str">
        <x:v>Bogotá</x:v>
      </x:c>
      <x:c r="E1209" t="str">
        <x:v>Bogotá D.C.</x:v>
      </x:c>
      <x:c r="F1209" t="str">
        <x:v>Entre $1,5 M y $3 M</x:v>
      </x:c>
      <x:c r="G1209" t="str">
        <x:v>Búsqueda paga</x:v>
      </x:c>
      <x:c r="H1209" t="n">
        <x:v>2766000</x:v>
      </x:c>
      <x:c r="I1209" t="str">
        <x:v>Organización inicial</x:v>
      </x:c>
      <x:c r="J1209" t="str">
        <x:v>Cero</x:v>
      </x:c>
    </x:row>
    <x:row r="1210">
      <x:c r="A1210" t="str">
        <x:v>USR-01209</x:v>
      </x:c>
      <x:c r="B1210" t="n">
        <x:v>46276</x:v>
      </x:c>
      <x:c r="C1210" t="n">
        <x:v>51</x:v>
      </x:c>
      <x:c r="D1210" t="str">
        <x:v>Bogotá</x:v>
      </x:c>
      <x:c r="E1210" t="str">
        <x:v>Bogotá D.C.</x:v>
      </x:c>
      <x:c r="F1210" t="str">
        <x:v>Entre $1,5 M y $3 M</x:v>
      </x:c>
      <x:c r="G1210" t="str">
        <x:v>Orgánico</x:v>
      </x:c>
      <x:c r="H1210" t="n">
        <x:v>2260000</x:v>
      </x:c>
      <x:c r="I1210" t="str">
        <x:v>Organización inicial</x:v>
      </x:c>
      <x:c r="J1210" t="str">
        <x:v>Cero</x:v>
      </x:c>
    </x:row>
    <x:row r="1211">
      <x:c r="A1211" t="str">
        <x:v>USR-01210</x:v>
      </x:c>
      <x:c r="B1211" t="n">
        <x:v>46286</x:v>
      </x:c>
      <x:c r="C1211" t="n">
        <x:v>23</x:v>
      </x:c>
      <x:c r="D1211" t="str">
        <x:v>Medellín</x:v>
      </x:c>
      <x:c r="E1211" t="str">
        <x:v>Antioquia</x:v>
      </x:c>
      <x:c r="F1211" t="str">
        <x:v>Entre $1,5 M y $3 M</x:v>
      </x:c>
      <x:c r="G1211" t="str">
        <x:v>Contenido educativo</x:v>
      </x:c>
      <x:c r="H1211" t="n">
        <x:v>1952000</x:v>
      </x:c>
      <x:c r="I1211" t="str">
        <x:v>Organización inicial</x:v>
      </x:c>
      <x:c r="J1211" t="str">
        <x:v>Cero</x:v>
      </x:c>
    </x:row>
    <x:row r="1212">
      <x:c r="A1212" t="str">
        <x:v>USR-01211</x:v>
      </x:c>
      <x:c r="B1212" t="n">
        <x:v>46277</x:v>
      </x:c>
      <x:c r="C1212" t="n">
        <x:v>50</x:v>
      </x:c>
      <x:c r="D1212" t="str">
        <x:v>Bogotá</x:v>
      </x:c>
      <x:c r="E1212" t="str">
        <x:v>Bogotá D.C.</x:v>
      </x:c>
      <x:c r="F1212" t="str">
        <x:v>Entre $1,5 M y $3 M</x:v>
      </x:c>
      <x:c r="G1212" t="str">
        <x:v>Contenido educativo</x:v>
      </x:c>
      <x:c r="H1212" t="n">
        <x:v>2637000</x:v>
      </x:c>
      <x:c r="I1212" t="str">
        <x:v>Organización inicial</x:v>
      </x:c>
      <x:c r="J1212" t="str">
        <x:v>Cero</x:v>
      </x:c>
    </x:row>
    <x:row r="1213">
      <x:c r="A1213" t="str">
        <x:v>USR-01212</x:v>
      </x:c>
      <x:c r="B1213" t="n">
        <x:v>46277</x:v>
      </x:c>
      <x:c r="C1213" t="n">
        <x:v>30</x:v>
      </x:c>
      <x:c r="D1213" t="str">
        <x:v>Bogotá</x:v>
      </x:c>
      <x:c r="E1213" t="str">
        <x:v>Bogotá D.C.</x:v>
      </x:c>
      <x:c r="F1213" t="str">
        <x:v>Entre $1,5 M y $3 M</x:v>
      </x:c>
      <x:c r="G1213" t="str">
        <x:v>Búsqueda paga</x:v>
      </x:c>
      <x:c r="H1213" t="n">
        <x:v>2570000</x:v>
      </x:c>
      <x:c r="I1213" t="str">
        <x:v>Organización inicial</x:v>
      </x:c>
      <x:c r="J1213" t="str">
        <x:v>Cero</x:v>
      </x:c>
    </x:row>
    <x:row r="1214">
      <x:c r="A1214" t="str">
        <x:v>USR-01213</x:v>
      </x:c>
      <x:c r="B1214" t="n">
        <x:v>46279</x:v>
      </x:c>
      <x:c r="C1214" t="n">
        <x:v>28</x:v>
      </x:c>
      <x:c r="D1214" t="str">
        <x:v>Bogotá</x:v>
      </x:c>
      <x:c r="E1214" t="str">
        <x:v>Bogotá D.C.</x:v>
      </x:c>
      <x:c r="F1214" t="str">
        <x:v>Entre $1,5 M y $3 M</x:v>
      </x:c>
      <x:c r="G1214" t="str">
        <x:v>Referidos</x:v>
      </x:c>
      <x:c r="H1214" t="n">
        <x:v>1628000</x:v>
      </x:c>
      <x:c r="I1214" t="str">
        <x:v>Reducir intereses</x:v>
      </x:c>
      <x:c r="J1214" t="str">
        <x:v>Cero</x:v>
      </x:c>
    </x:row>
    <x:row r="1215">
      <x:c r="A1215" t="str">
        <x:v>USR-01214</x:v>
      </x:c>
      <x:c r="B1215" t="n">
        <x:v>46266</x:v>
      </x:c>
      <x:c r="C1215" t="n">
        <x:v>28</x:v>
      </x:c>
      <x:c r="D1215" t="str">
        <x:v>Cartagena</x:v>
      </x:c>
      <x:c r="E1215" t="str">
        <x:v>Bolívar</x:v>
      </x:c>
      <x:c r="F1215" t="str">
        <x:v>Entre $1,5 M y $3 M</x:v>
      </x:c>
      <x:c r="G1215" t="str">
        <x:v>Búsqueda paga</x:v>
      </x:c>
      <x:c r="H1215" t="n">
        <x:v>1803000</x:v>
      </x:c>
      <x:c r="I1215" t="str">
        <x:v>Reducir intereses</x:v>
      </x:c>
      <x:c r="J1215" t="str">
        <x:v>Cero</x:v>
      </x:c>
    </x:row>
    <x:row r="1216">
      <x:c r="A1216" t="str">
        <x:v>USR-01215</x:v>
      </x:c>
      <x:c r="B1216" t="n">
        <x:v>46286</x:v>
      </x:c>
      <x:c r="C1216" t="n">
        <x:v>24</x:v>
      </x:c>
      <x:c r="D1216" t="str">
        <x:v>Bogotá</x:v>
      </x:c>
      <x:c r="E1216" t="str">
        <x:v>Bogotá D.C.</x:v>
      </x:c>
      <x:c r="F1216" t="str">
        <x:v>Entre $3 M y $5 M</x:v>
      </x:c>
      <x:c r="G1216" t="str">
        <x:v>Referidos</x:v>
      </x:c>
      <x:c r="H1216" t="n">
        <x:v>4494000</x:v>
      </x:c>
      <x:c r="I1216" t="str">
        <x:v>Control de pagos</x:v>
      </x:c>
      <x:c r="J1216" t="str">
        <x:v>Plus mensual</x:v>
      </x:c>
    </x:row>
    <x:row r="1217">
      <x:c r="A1217" t="str">
        <x:v>USR-01216</x:v>
      </x:c>
      <x:c r="B1217" t="n">
        <x:v>46272</x:v>
      </x:c>
      <x:c r="C1217" t="n">
        <x:v>20</x:v>
      </x:c>
      <x:c r="D1217" t="str">
        <x:v>Medellín</x:v>
      </x:c>
      <x:c r="E1217" t="str">
        <x:v>Antioquia</x:v>
      </x:c>
      <x:c r="F1217" t="str">
        <x:v>Entre $1,5 M y $3 M</x:v>
      </x:c>
      <x:c r="G1217" t="str">
        <x:v>Referidos</x:v>
      </x:c>
      <x:c r="H1217" t="n">
        <x:v>1595000</x:v>
      </x:c>
      <x:c r="I1217" t="str">
        <x:v>Organización inicial</x:v>
      </x:c>
      <x:c r="J1217" t="str">
        <x:v>Cero</x:v>
      </x:c>
    </x:row>
    <x:row r="1218">
      <x:c r="A1218" t="str">
        <x:v>USR-01217</x:v>
      </x:c>
      <x:c r="B1218" t="n">
        <x:v>46290</x:v>
      </x:c>
      <x:c r="C1218" t="n">
        <x:v>37</x:v>
      </x:c>
      <x:c r="D1218" t="str">
        <x:v>Bucaramanga</x:v>
      </x:c>
      <x:c r="E1218" t="str">
        <x:v>Santander</x:v>
      </x:c>
      <x:c r="F1218" t="str">
        <x:v>Menos de $1,5 M</x:v>
      </x:c>
      <x:c r="G1218" t="str">
        <x:v>Referidos</x:v>
      </x:c>
      <x:c r="H1218" t="n">
        <x:v>1169000</x:v>
      </x:c>
      <x:c r="I1218" t="str">
        <x:v>Salir de deudas</x:v>
      </x:c>
      <x:c r="J1218" t="str">
        <x:v>Cero</x:v>
      </x:c>
    </x:row>
    <x:row r="1219">
      <x:c r="A1219" t="str">
        <x:v>USR-01218</x:v>
      </x:c>
      <x:c r="B1219" t="n">
        <x:v>46274</x:v>
      </x:c>
      <x:c r="C1219" t="n">
        <x:v>44</x:v>
      </x:c>
      <x:c r="D1219" t="str">
        <x:v>Bogotá</x:v>
      </x:c>
      <x:c r="E1219" t="str">
        <x:v>Bogotá D.C.</x:v>
      </x:c>
      <x:c r="F1219" t="str">
        <x:v>Menos de $1,5 M</x:v>
      </x:c>
      <x:c r="G1219" t="str">
        <x:v>Búsqueda paga</x:v>
      </x:c>
      <x:c r="H1219" t="n">
        <x:v>1471000</x:v>
      </x:c>
      <x:c r="I1219" t="str">
        <x:v>Salir de deudas</x:v>
      </x:c>
      <x:c r="J1219" t="str">
        <x:v>Cero</x:v>
      </x:c>
    </x:row>
    <x:row r="1220">
      <x:c r="A1220" t="str">
        <x:v>USR-01219</x:v>
      </x:c>
      <x:c r="B1220" t="n">
        <x:v>46291</x:v>
      </x:c>
      <x:c r="C1220" t="n">
        <x:v>63</x:v>
      </x:c>
      <x:c r="D1220" t="str">
        <x:v>Cali</x:v>
      </x:c>
      <x:c r="E1220" t="str">
        <x:v>Valle del Cauca</x:v>
      </x:c>
      <x:c r="F1220" t="str">
        <x:v>Menos de $1,5 M</x:v>
      </x:c>
      <x:c r="G1220" t="str">
        <x:v>Referidos</x:v>
      </x:c>
      <x:c r="H1220" t="n">
        <x:v>1073000</x:v>
      </x:c>
      <x:c r="I1220" t="str">
        <x:v>Organización inicial</x:v>
      </x:c>
      <x:c r="J1220" t="str">
        <x:v>Cero</x:v>
      </x:c>
    </x:row>
    <x:row r="1221">
      <x:c r="A1221" t="str">
        <x:v>USR-01220</x:v>
      </x:c>
      <x:c r="B1221" t="n">
        <x:v>46283</x:v>
      </x:c>
      <x:c r="C1221" t="n">
        <x:v>59</x:v>
      </x:c>
      <x:c r="D1221" t="str">
        <x:v>Bogotá</x:v>
      </x:c>
      <x:c r="E1221" t="str">
        <x:v>Bogotá D.C.</x:v>
      </x:c>
      <x:c r="F1221" t="str">
        <x:v>Entre $1,5 M y $3 M</x:v>
      </x:c>
      <x:c r="G1221" t="str">
        <x:v>Orgánico</x:v>
      </x:c>
      <x:c r="H1221" t="n">
        <x:v>2373000</x:v>
      </x:c>
      <x:c r="I1221" t="str">
        <x:v>Salir de deudas</x:v>
      </x:c>
      <x:c r="J1221" t="str">
        <x:v>Cero</x:v>
      </x:c>
    </x:row>
    <x:row r="1222">
      <x:c r="A1222" t="str">
        <x:v>USR-01221</x:v>
      </x:c>
      <x:c r="B1222" t="n">
        <x:v>46285</x:v>
      </x:c>
      <x:c r="C1222" t="n">
        <x:v>41</x:v>
      </x:c>
      <x:c r="D1222" t="str">
        <x:v>Bogotá</x:v>
      </x:c>
      <x:c r="E1222" t="str">
        <x:v>Bogotá D.C.</x:v>
      </x:c>
      <x:c r="F1222" t="str">
        <x:v>Entre $1,5 M y $3 M</x:v>
      </x:c>
      <x:c r="G1222" t="str">
        <x:v>Búsqueda paga</x:v>
      </x:c>
      <x:c r="H1222" t="n">
        <x:v>1669000</x:v>
      </x:c>
      <x:c r="I1222" t="str">
        <x:v>Control de pagos</x:v>
      </x:c>
      <x:c r="J1222" t="str">
        <x:v>Cero</x:v>
      </x:c>
    </x:row>
    <x:row r="1223">
      <x:c r="A1223" t="str">
        <x:v>USR-01222</x:v>
      </x:c>
      <x:c r="B1223" t="n">
        <x:v>46272</x:v>
      </x:c>
      <x:c r="C1223" t="n">
        <x:v>45</x:v>
      </x:c>
      <x:c r="D1223" t="str">
        <x:v>Bogotá</x:v>
      </x:c>
      <x:c r="E1223" t="str">
        <x:v>Bogotá D.C.</x:v>
      </x:c>
      <x:c r="F1223" t="str">
        <x:v>Menos de $1,5 M</x:v>
      </x:c>
      <x:c r="G1223" t="str">
        <x:v>Búsqueda paga</x:v>
      </x:c>
      <x:c r="H1223" t="n">
        <x:v>1134000</x:v>
      </x:c>
      <x:c r="I1223" t="str">
        <x:v>Reducir intereses</x:v>
      </x:c>
      <x:c r="J1223" t="str">
        <x:v>Cero</x:v>
      </x:c>
    </x:row>
    <x:row r="1224">
      <x:c r="A1224" t="str">
        <x:v>USR-01223</x:v>
      </x:c>
      <x:c r="B1224" t="n">
        <x:v>46272</x:v>
      </x:c>
      <x:c r="C1224" t="n">
        <x:v>63</x:v>
      </x:c>
      <x:c r="D1224" t="str">
        <x:v>Medellín</x:v>
      </x:c>
      <x:c r="E1224" t="str">
        <x:v>Antioquia</x:v>
      </x:c>
      <x:c r="F1224" t="str">
        <x:v>Menos de $1,5 M</x:v>
      </x:c>
      <x:c r="G1224" t="str">
        <x:v>Referidos</x:v>
      </x:c>
      <x:c r="H1224" t="n">
        <x:v>1006000</x:v>
      </x:c>
      <x:c r="I1224" t="str">
        <x:v>Salir de deudas</x:v>
      </x:c>
      <x:c r="J1224" t="str">
        <x:v>Cero</x:v>
      </x:c>
    </x:row>
    <x:row r="1225">
      <x:c r="A1225" t="str">
        <x:v>USR-01224</x:v>
      </x:c>
      <x:c r="B1225" t="n">
        <x:v>46270</x:v>
      </x:c>
      <x:c r="C1225" t="n">
        <x:v>47</x:v>
      </x:c>
      <x:c r="D1225" t="str">
        <x:v>Medellín</x:v>
      </x:c>
      <x:c r="E1225" t="str">
        <x:v>Antioquia</x:v>
      </x:c>
      <x:c r="F1225" t="str">
        <x:v>Entre $3 M y $5 M</x:v>
      </x:c>
      <x:c r="G1225" t="str">
        <x:v>Orgánico</x:v>
      </x:c>
      <x:c r="H1225" t="n">
        <x:v>3923000</x:v>
      </x:c>
      <x:c r="I1225" t="str">
        <x:v>Reducir intereses</x:v>
      </x:c>
      <x:c r="J1225" t="str">
        <x:v>Cero</x:v>
      </x:c>
    </x:row>
    <x:row r="1226">
      <x:c r="A1226" t="str">
        <x:v>USR-01225</x:v>
      </x:c>
      <x:c r="B1226" t="n">
        <x:v>46278</x:v>
      </x:c>
      <x:c r="C1226" t="n">
        <x:v>60</x:v>
      </x:c>
      <x:c r="D1226" t="str">
        <x:v>Medellín</x:v>
      </x:c>
      <x:c r="E1226" t="str">
        <x:v>Antioquia</x:v>
      </x:c>
      <x:c r="F1226" t="str">
        <x:v>Entre $1,5 M y $3 M</x:v>
      </x:c>
      <x:c r="G1226" t="str">
        <x:v>Alianzas</x:v>
      </x:c>
      <x:c r="H1226" t="n">
        <x:v>2543000</x:v>
      </x:c>
      <x:c r="I1226" t="str">
        <x:v>Organización inicial</x:v>
      </x:c>
      <x:c r="J1226" t="str">
        <x:v>Cero</x:v>
      </x:c>
    </x:row>
    <x:row r="1227">
      <x:c r="A1227" t="str">
        <x:v>USR-01226</x:v>
      </x:c>
      <x:c r="B1227" t="n">
        <x:v>46286</x:v>
      </x:c>
      <x:c r="C1227" t="n">
        <x:v>23</x:v>
      </x:c>
      <x:c r="D1227" t="str">
        <x:v>Bucaramanga</x:v>
      </x:c>
      <x:c r="E1227" t="str">
        <x:v>Santander</x:v>
      </x:c>
      <x:c r="F1227" t="str">
        <x:v>Entre $3 M y $5 M</x:v>
      </x:c>
      <x:c r="G1227" t="str">
        <x:v>Orgánico</x:v>
      </x:c>
      <x:c r="H1227" t="n">
        <x:v>4440000</x:v>
      </x:c>
      <x:c r="I1227" t="str">
        <x:v>Organización inicial</x:v>
      </x:c>
      <x:c r="J1227" t="str">
        <x:v>Cero</x:v>
      </x:c>
    </x:row>
    <x:row r="1228">
      <x:c r="A1228" t="str">
        <x:v>USR-01227</x:v>
      </x:c>
      <x:c r="B1228" t="n">
        <x:v>46269</x:v>
      </x:c>
      <x:c r="C1228" t="n">
        <x:v>38</x:v>
      </x:c>
      <x:c r="D1228" t="str">
        <x:v>Medellín</x:v>
      </x:c>
      <x:c r="E1228" t="str">
        <x:v>Antioquia</x:v>
      </x:c>
      <x:c r="F1228" t="str">
        <x:v>Más de $5 M</x:v>
      </x:c>
      <x:c r="G1228" t="str">
        <x:v>Contenido educativo</x:v>
      </x:c>
      <x:c r="H1228" t="n">
        <x:v>8620000</x:v>
      </x:c>
      <x:c r="I1228" t="str">
        <x:v>Organización inicial</x:v>
      </x:c>
      <x:c r="J1228" t="str">
        <x:v>Plus anual</x:v>
      </x:c>
    </x:row>
    <x:row r="1229">
      <x:c r="A1229" t="str">
        <x:v>USR-01228</x:v>
      </x:c>
      <x:c r="B1229" t="n">
        <x:v>46273</x:v>
      </x:c>
      <x:c r="C1229" t="n">
        <x:v>32</x:v>
      </x:c>
      <x:c r="D1229" t="str">
        <x:v>Cali</x:v>
      </x:c>
      <x:c r="E1229" t="str">
        <x:v>Valle del Cauca</x:v>
      </x:c>
      <x:c r="F1229" t="str">
        <x:v>Menos de $1,5 M</x:v>
      </x:c>
      <x:c r="G1229" t="str">
        <x:v>Referidos</x:v>
      </x:c>
      <x:c r="H1229" t="n">
        <x:v>1438000</x:v>
      </x:c>
      <x:c r="I1229" t="str">
        <x:v>Control de pagos</x:v>
      </x:c>
      <x:c r="J1229" t="str">
        <x:v>Cero</x:v>
      </x:c>
    </x:row>
    <x:row r="1230">
      <x:c r="A1230" t="str">
        <x:v>USR-01229</x:v>
      </x:c>
      <x:c r="B1230" t="n">
        <x:v>46284</x:v>
      </x:c>
      <x:c r="C1230" t="n">
        <x:v>56</x:v>
      </x:c>
      <x:c r="D1230" t="str">
        <x:v>Villavicencio</x:v>
      </x:c>
      <x:c r="E1230" t="str">
        <x:v>Meta</x:v>
      </x:c>
      <x:c r="F1230" t="str">
        <x:v>Más de $5 M</x:v>
      </x:c>
      <x:c r="G1230" t="str">
        <x:v>Redes sociales</x:v>
      </x:c>
      <x:c r="H1230" t="n">
        <x:v>5172000</x:v>
      </x:c>
      <x:c r="I1230" t="str">
        <x:v>Control de pagos</x:v>
      </x:c>
      <x:c r="J1230" t="str">
        <x:v>Cero</x:v>
      </x:c>
    </x:row>
    <x:row r="1231">
      <x:c r="A1231" t="str">
        <x:v>USR-01230</x:v>
      </x:c>
      <x:c r="B1231" t="n">
        <x:v>46266</x:v>
      </x:c>
      <x:c r="C1231" t="n">
        <x:v>59</x:v>
      </x:c>
      <x:c r="D1231" t="str">
        <x:v>Bogotá</x:v>
      </x:c>
      <x:c r="E1231" t="str">
        <x:v>Bogotá D.C.</x:v>
      </x:c>
      <x:c r="F1231" t="str">
        <x:v>Entre $3 M y $5 M</x:v>
      </x:c>
      <x:c r="G1231" t="str">
        <x:v>Orgánico</x:v>
      </x:c>
      <x:c r="H1231" t="n">
        <x:v>3659000</x:v>
      </x:c>
      <x:c r="I1231" t="str">
        <x:v>Control de pagos</x:v>
      </x:c>
      <x:c r="J1231" t="str">
        <x:v>Plus mensual</x:v>
      </x:c>
    </x:row>
    <x:row r="1232">
      <x:c r="A1232" t="str">
        <x:v>USR-01231</x:v>
      </x:c>
      <x:c r="B1232" t="n">
        <x:v>46290</x:v>
      </x:c>
      <x:c r="C1232" t="n">
        <x:v>56</x:v>
      </x:c>
      <x:c r="D1232" t="str">
        <x:v>Bogotá</x:v>
      </x:c>
      <x:c r="E1232" t="str">
        <x:v>Bogotá D.C.</x:v>
      </x:c>
      <x:c r="F1232" t="str">
        <x:v>Entre $3 M y $5 M</x:v>
      </x:c>
      <x:c r="G1232" t="str">
        <x:v>Orgánico</x:v>
      </x:c>
      <x:c r="H1232" t="n">
        <x:v>3060000</x:v>
      </x:c>
      <x:c r="I1232" t="str">
        <x:v>Reducir intereses</x:v>
      </x:c>
      <x:c r="J1232" t="str">
        <x:v>Plus mensual</x:v>
      </x:c>
    </x:row>
    <x:row r="1233">
      <x:c r="A1233" t="str">
        <x:v>USR-01232</x:v>
      </x:c>
      <x:c r="B1233" t="n">
        <x:v>46281</x:v>
      </x:c>
      <x:c r="C1233" t="n">
        <x:v>39</x:v>
      </x:c>
      <x:c r="D1233" t="str">
        <x:v>Bogotá</x:v>
      </x:c>
      <x:c r="E1233" t="str">
        <x:v>Bogotá D.C.</x:v>
      </x:c>
      <x:c r="F1233" t="str">
        <x:v>Entre $3 M y $5 M</x:v>
      </x:c>
      <x:c r="G1233" t="str">
        <x:v>Redes sociales</x:v>
      </x:c>
      <x:c r="H1233" t="n">
        <x:v>4159000</x:v>
      </x:c>
      <x:c r="I1233" t="str">
        <x:v>Organización inicial</x:v>
      </x:c>
      <x:c r="J1233" t="str">
        <x:v>Plus mensual</x:v>
      </x:c>
    </x:row>
    <x:row r="1234">
      <x:c r="A1234" t="str">
        <x:v>USR-01233</x:v>
      </x:c>
      <x:c r="B1234" t="n">
        <x:v>46276</x:v>
      </x:c>
      <x:c r="C1234" t="n">
        <x:v>32</x:v>
      </x:c>
      <x:c r="D1234" t="str">
        <x:v>Bogotá</x:v>
      </x:c>
      <x:c r="E1234" t="str">
        <x:v>Bogotá D.C.</x:v>
      </x:c>
      <x:c r="F1234" t="str">
        <x:v>Entre $3 M y $5 M</x:v>
      </x:c>
      <x:c r="G1234" t="str">
        <x:v>Referidos</x:v>
      </x:c>
      <x:c r="H1234" t="n">
        <x:v>4212000</x:v>
      </x:c>
      <x:c r="I1234" t="str">
        <x:v>Organización inicial</x:v>
      </x:c>
      <x:c r="J1234" t="str">
        <x:v>Plus mensual</x:v>
      </x:c>
    </x:row>
    <x:row r="1235">
      <x:c r="A1235" t="str">
        <x:v>USR-01234</x:v>
      </x:c>
      <x:c r="B1235" t="n">
        <x:v>46287</x:v>
      </x:c>
      <x:c r="C1235" t="n">
        <x:v>33</x:v>
      </x:c>
      <x:c r="D1235" t="str">
        <x:v>Manizales</x:v>
      </x:c>
      <x:c r="E1235" t="str">
        <x:v>Caldas</x:v>
      </x:c>
      <x:c r="F1235" t="str">
        <x:v>Entre $1,5 M y $3 M</x:v>
      </x:c>
      <x:c r="G1235" t="str">
        <x:v>Alianzas</x:v>
      </x:c>
      <x:c r="H1235" t="n">
        <x:v>2617000</x:v>
      </x:c>
      <x:c r="I1235" t="str">
        <x:v>Salir de deudas</x:v>
      </x:c>
      <x:c r="J1235" t="str">
        <x:v>Cero</x:v>
      </x:c>
    </x:row>
    <x:row r="1236">
      <x:c r="A1236" t="str">
        <x:v>USR-01235</x:v>
      </x:c>
      <x:c r="B1236" t="n">
        <x:v>46292</x:v>
      </x:c>
      <x:c r="C1236" t="n">
        <x:v>55</x:v>
      </x:c>
      <x:c r="D1236" t="str">
        <x:v>Bogotá</x:v>
      </x:c>
      <x:c r="E1236" t="str">
        <x:v>Bogotá D.C.</x:v>
      </x:c>
      <x:c r="F1236" t="str">
        <x:v>Entre $1,5 M y $3 M</x:v>
      </x:c>
      <x:c r="G1236" t="str">
        <x:v>Orgánico</x:v>
      </x:c>
      <x:c r="H1236" t="n">
        <x:v>2123000</x:v>
      </x:c>
      <x:c r="I1236" t="str">
        <x:v>Organización inicial</x:v>
      </x:c>
      <x:c r="J1236" t="str">
        <x:v>Cero</x:v>
      </x:c>
    </x:row>
    <x:row r="1237">
      <x:c r="A1237" t="str">
        <x:v>USR-01236</x:v>
      </x:c>
      <x:c r="B1237" t="n">
        <x:v>46274</x:v>
      </x:c>
      <x:c r="C1237" t="n">
        <x:v>60</x:v>
      </x:c>
      <x:c r="D1237" t="str">
        <x:v>Barranquilla</x:v>
      </x:c>
      <x:c r="E1237" t="str">
        <x:v>Atlántico</x:v>
      </x:c>
      <x:c r="F1237" t="str">
        <x:v>Menos de $1,5 M</x:v>
      </x:c>
      <x:c r="G1237" t="str">
        <x:v>Redes sociales</x:v>
      </x:c>
      <x:c r="H1237" t="n">
        <x:v>951000</x:v>
      </x:c>
      <x:c r="I1237" t="str">
        <x:v>Reducir intereses</x:v>
      </x:c>
      <x:c r="J1237" t="str">
        <x:v>Cero</x:v>
      </x:c>
    </x:row>
    <x:row r="1238">
      <x:c r="A1238" t="str">
        <x:v>USR-01237</x:v>
      </x:c>
      <x:c r="B1238" t="n">
        <x:v>46290</x:v>
      </x:c>
      <x:c r="C1238" t="n">
        <x:v>56</x:v>
      </x:c>
      <x:c r="D1238" t="str">
        <x:v>Cali</x:v>
      </x:c>
      <x:c r="E1238" t="str">
        <x:v>Valle del Cauca</x:v>
      </x:c>
      <x:c r="F1238" t="str">
        <x:v>Entre $1,5 M y $3 M</x:v>
      </x:c>
      <x:c r="G1238" t="str">
        <x:v>Orgánico</x:v>
      </x:c>
      <x:c r="H1238" t="n">
        <x:v>2272000</x:v>
      </x:c>
      <x:c r="I1238" t="str">
        <x:v>Control de pagos</x:v>
      </x:c>
      <x:c r="J1238" t="str">
        <x:v>Plus anual</x:v>
      </x:c>
    </x:row>
    <x:row r="1239">
      <x:c r="A1239" t="str">
        <x:v>USR-01238</x:v>
      </x:c>
      <x:c r="B1239" t="n">
        <x:v>46272</x:v>
      </x:c>
      <x:c r="C1239" t="n">
        <x:v>50</x:v>
      </x:c>
      <x:c r="D1239" t="str">
        <x:v>Barranquilla</x:v>
      </x:c>
      <x:c r="E1239" t="str">
        <x:v>Atlántico</x:v>
      </x:c>
      <x:c r="F1239" t="str">
        <x:v>Menos de $1,5 M</x:v>
      </x:c>
      <x:c r="G1239" t="str">
        <x:v>Búsqueda paga</x:v>
      </x:c>
      <x:c r="H1239" t="n">
        <x:v>1399000</x:v>
      </x:c>
      <x:c r="I1239" t="str">
        <x:v>Salir de deudas</x:v>
      </x:c>
      <x:c r="J1239" t="str">
        <x:v>Cero</x:v>
      </x:c>
    </x:row>
    <x:row r="1240">
      <x:c r="A1240" t="str">
        <x:v>USR-01239</x:v>
      </x:c>
      <x:c r="B1240" t="n">
        <x:v>46283</x:v>
      </x:c>
      <x:c r="C1240" t="n">
        <x:v>64</x:v>
      </x:c>
      <x:c r="D1240" t="str">
        <x:v>Barranquilla</x:v>
      </x:c>
      <x:c r="E1240" t="str">
        <x:v>Atlántico</x:v>
      </x:c>
      <x:c r="F1240" t="str">
        <x:v>Entre $3 M y $5 M</x:v>
      </x:c>
      <x:c r="G1240" t="str">
        <x:v>Orgánico</x:v>
      </x:c>
      <x:c r="H1240" t="n">
        <x:v>4151000</x:v>
      </x:c>
      <x:c r="I1240" t="str">
        <x:v>Reducir intereses</x:v>
      </x:c>
      <x:c r="J1240" t="str">
        <x:v>Cero</x:v>
      </x:c>
    </x:row>
    <x:row r="1241">
      <x:c r="A1241" t="str">
        <x:v>USR-01240</x:v>
      </x:c>
      <x:c r="B1241" t="n">
        <x:v>46271</x:v>
      </x:c>
      <x:c r="C1241" t="n">
        <x:v>48</x:v>
      </x:c>
      <x:c r="D1241" t="str">
        <x:v>Barranquilla</x:v>
      </x:c>
      <x:c r="E1241" t="str">
        <x:v>Atlántico</x:v>
      </x:c>
      <x:c r="F1241" t="str">
        <x:v>Entre $1,5 M y $3 M</x:v>
      </x:c>
      <x:c r="G1241" t="str">
        <x:v>Orgánico</x:v>
      </x:c>
      <x:c r="H1241" t="n">
        <x:v>1620000</x:v>
      </x:c>
      <x:c r="I1241" t="str">
        <x:v>Control de pagos</x:v>
      </x:c>
      <x:c r="J1241" t="str">
        <x:v>Plus anual</x:v>
      </x:c>
    </x:row>
    <x:row r="1242">
      <x:c r="A1242" t="str">
        <x:v>USR-01241</x:v>
      </x:c>
      <x:c r="B1242" t="n">
        <x:v>46289</x:v>
      </x:c>
      <x:c r="C1242" t="n">
        <x:v>59</x:v>
      </x:c>
      <x:c r="D1242" t="str">
        <x:v>Manizales</x:v>
      </x:c>
      <x:c r="E1242" t="str">
        <x:v>Caldas</x:v>
      </x:c>
      <x:c r="F1242" t="str">
        <x:v>Entre $1,5 M y $3 M</x:v>
      </x:c>
      <x:c r="G1242" t="str">
        <x:v>Orgánico</x:v>
      </x:c>
      <x:c r="H1242" t="n">
        <x:v>2177000</x:v>
      </x:c>
      <x:c r="I1242" t="str">
        <x:v>Salir de deudas</x:v>
      </x:c>
      <x:c r="J1242" t="str">
        <x:v>Cero</x:v>
      </x:c>
    </x:row>
    <x:row r="1243">
      <x:c r="A1243" t="str">
        <x:v>USR-01242</x:v>
      </x:c>
      <x:c r="B1243" t="n">
        <x:v>46292</x:v>
      </x:c>
      <x:c r="C1243" t="n">
        <x:v>53</x:v>
      </x:c>
      <x:c r="D1243" t="str">
        <x:v>Pereira</x:v>
      </x:c>
      <x:c r="E1243" t="str">
        <x:v>Risaralda</x:v>
      </x:c>
      <x:c r="F1243" t="str">
        <x:v>Entre $3 M y $5 M</x:v>
      </x:c>
      <x:c r="G1243" t="str">
        <x:v>Contenido educativo</x:v>
      </x:c>
      <x:c r="H1243" t="n">
        <x:v>4863000</x:v>
      </x:c>
      <x:c r="I1243" t="str">
        <x:v>Reducir intereses</x:v>
      </x:c>
      <x:c r="J1243" t="str">
        <x:v>Cero</x:v>
      </x:c>
    </x:row>
    <x:row r="1244">
      <x:c r="A1244" t="str">
        <x:v>USR-01243</x:v>
      </x:c>
      <x:c r="B1244" t="n">
        <x:v>46291</x:v>
      </x:c>
      <x:c r="C1244" t="n">
        <x:v>57</x:v>
      </x:c>
      <x:c r="D1244" t="str">
        <x:v>Cali</x:v>
      </x:c>
      <x:c r="E1244" t="str">
        <x:v>Valle del Cauca</x:v>
      </x:c>
      <x:c r="F1244" t="str">
        <x:v>Más de $5 M</x:v>
      </x:c>
      <x:c r="G1244" t="str">
        <x:v>Referidos</x:v>
      </x:c>
      <x:c r="H1244" t="n">
        <x:v>6415000</x:v>
      </x:c>
      <x:c r="I1244" t="str">
        <x:v>Organización inicial</x:v>
      </x:c>
      <x:c r="J1244" t="str">
        <x:v>Cero</x:v>
      </x:c>
    </x:row>
    <x:row r="1245">
      <x:c r="A1245" t="str">
        <x:v>USR-01244</x:v>
      </x:c>
      <x:c r="B1245" t="n">
        <x:v>46287</x:v>
      </x:c>
      <x:c r="C1245" t="n">
        <x:v>55</x:v>
      </x:c>
      <x:c r="D1245" t="str">
        <x:v>Medellín</x:v>
      </x:c>
      <x:c r="E1245" t="str">
        <x:v>Antioquia</x:v>
      </x:c>
      <x:c r="F1245" t="str">
        <x:v>Entre $1,5 M y $3 M</x:v>
      </x:c>
      <x:c r="G1245" t="str">
        <x:v>Búsqueda paga</x:v>
      </x:c>
      <x:c r="H1245" t="n">
        <x:v>2676000</x:v>
      </x:c>
      <x:c r="I1245" t="str">
        <x:v>Organización inicial</x:v>
      </x:c>
      <x:c r="J1245" t="str">
        <x:v>Cero</x:v>
      </x:c>
    </x:row>
    <x:row r="1246">
      <x:c r="A1246" t="str">
        <x:v>USR-01245</x:v>
      </x:c>
      <x:c r="B1246" t="n">
        <x:v>46289</x:v>
      </x:c>
      <x:c r="C1246" t="n">
        <x:v>21</x:v>
      </x:c>
      <x:c r="D1246" t="str">
        <x:v>Cartagena</x:v>
      </x:c>
      <x:c r="E1246" t="str">
        <x:v>Bolívar</x:v>
      </x:c>
      <x:c r="F1246" t="str">
        <x:v>Más de $5 M</x:v>
      </x:c>
      <x:c r="G1246" t="str">
        <x:v>Redes sociales</x:v>
      </x:c>
      <x:c r="H1246" t="n">
        <x:v>7565000</x:v>
      </x:c>
      <x:c r="I1246" t="str">
        <x:v>Reducir intereses</x:v>
      </x:c>
      <x:c r="J1246" t="str">
        <x:v>Cero</x:v>
      </x:c>
    </x:row>
    <x:row r="1247">
      <x:c r="A1247" t="str">
        <x:v>USR-01246</x:v>
      </x:c>
      <x:c r="B1247" t="n">
        <x:v>46274</x:v>
      </x:c>
      <x:c r="C1247" t="n">
        <x:v>30</x:v>
      </x:c>
      <x:c r="D1247" t="str">
        <x:v>Cali</x:v>
      </x:c>
      <x:c r="E1247" t="str">
        <x:v>Valle del Cauca</x:v>
      </x:c>
      <x:c r="F1247" t="str">
        <x:v>Menos de $1,5 M</x:v>
      </x:c>
      <x:c r="G1247" t="str">
        <x:v>Orgánico</x:v>
      </x:c>
      <x:c r="H1247" t="n">
        <x:v>917000</x:v>
      </x:c>
      <x:c r="I1247" t="str">
        <x:v>Salir de deudas</x:v>
      </x:c>
      <x:c r="J1247" t="str">
        <x:v>Cero</x:v>
      </x:c>
    </x:row>
    <x:row r="1248">
      <x:c r="A1248" t="str">
        <x:v>USR-01247</x:v>
      </x:c>
      <x:c r="B1248" t="n">
        <x:v>46267</x:v>
      </x:c>
      <x:c r="C1248" t="n">
        <x:v>37</x:v>
      </x:c>
      <x:c r="D1248" t="str">
        <x:v>Cartagena</x:v>
      </x:c>
      <x:c r="E1248" t="str">
        <x:v>Bolívar</x:v>
      </x:c>
      <x:c r="F1248" t="str">
        <x:v>Menos de $1,5 M</x:v>
      </x:c>
      <x:c r="G1248" t="str">
        <x:v>Redes sociales</x:v>
      </x:c>
      <x:c r="H1248" t="n">
        <x:v>1369000</x:v>
      </x:c>
      <x:c r="I1248" t="str">
        <x:v>Organización inicial</x:v>
      </x:c>
      <x:c r="J1248" t="str">
        <x:v>Cero</x:v>
      </x:c>
    </x:row>
    <x:row r="1249">
      <x:c r="A1249" t="str">
        <x:v>USR-01248</x:v>
      </x:c>
      <x:c r="B1249" t="n">
        <x:v>46281</x:v>
      </x:c>
      <x:c r="C1249" t="n">
        <x:v>32</x:v>
      </x:c>
      <x:c r="D1249" t="str">
        <x:v>Bogotá</x:v>
      </x:c>
      <x:c r="E1249" t="str">
        <x:v>Bogotá D.C.</x:v>
      </x:c>
      <x:c r="F1249" t="str">
        <x:v>Más de $5 M</x:v>
      </x:c>
      <x:c r="G1249" t="str">
        <x:v>Redes sociales</x:v>
      </x:c>
      <x:c r="H1249" t="n">
        <x:v>6416000</x:v>
      </x:c>
      <x:c r="I1249" t="str">
        <x:v>Control de pagos</x:v>
      </x:c>
      <x:c r="J1249" t="str">
        <x:v>Cero</x:v>
      </x:c>
    </x:row>
    <x:row r="1250">
      <x:c r="A1250" t="str">
        <x:v>USR-01249</x:v>
      </x:c>
      <x:c r="B1250" t="n">
        <x:v>46286</x:v>
      </x:c>
      <x:c r="C1250" t="n">
        <x:v>63</x:v>
      </x:c>
      <x:c r="D1250" t="str">
        <x:v>Cali</x:v>
      </x:c>
      <x:c r="E1250" t="str">
        <x:v>Valle del Cauca</x:v>
      </x:c>
      <x:c r="F1250" t="str">
        <x:v>Más de $5 M</x:v>
      </x:c>
      <x:c r="G1250" t="str">
        <x:v>Orgánico</x:v>
      </x:c>
      <x:c r="H1250" t="n">
        <x:v>6615000</x:v>
      </x:c>
      <x:c r="I1250" t="str">
        <x:v>Organización inicial</x:v>
      </x:c>
      <x:c r="J1250" t="str">
        <x:v>Plus anual</x:v>
      </x:c>
    </x:row>
    <x:row r="1251">
      <x:c r="A1251" t="str">
        <x:v>USR-01250</x:v>
      </x:c>
      <x:c r="B1251" t="n">
        <x:v>46287</x:v>
      </x:c>
      <x:c r="C1251" t="n">
        <x:v>57</x:v>
      </x:c>
      <x:c r="D1251" t="str">
        <x:v>Medellín</x:v>
      </x:c>
      <x:c r="E1251" t="str">
        <x:v>Antioquia</x:v>
      </x:c>
      <x:c r="F1251" t="str">
        <x:v>Entre $3 M y $5 M</x:v>
      </x:c>
      <x:c r="G1251" t="str">
        <x:v>Contenido educativo</x:v>
      </x:c>
      <x:c r="H1251" t="n">
        <x:v>4345000</x:v>
      </x:c>
      <x:c r="I1251" t="str">
        <x:v>Reducir intereses</x:v>
      </x:c>
      <x:c r="J1251" t="str">
        <x:v>Cero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3" hidden="0" customWidth="1"/>
    <x:col min="4" max="4" width="15" hidden="0" customWidth="1"/>
    <x:col min="5" max="5" width="21" hidden="0" customWidth="1"/>
    <x:col min="6" max="6" width="15" hidden="0" customWidth="1"/>
    <x:col min="7" max="7" width="19" hidden="0" customWidth="1"/>
    <x:col min="8" max="8" width="16" hidden="0" customWidth="1"/>
  </x:cols>
  <x:sheetData>
    <x:row r="1" ht="34" customHeight="1">
      <x:c r="A1" s="36" t="str">
        <x:v>suscripcion_id</x:v>
      </x:c>
      <x:c r="B1" s="36" t="str">
        <x:v>usuario_id</x:v>
      </x:c>
      <x:c r="C1" s="36" t="str">
        <x:v>plan</x:v>
      </x:c>
      <x:c r="D1" s="36" t="str">
        <x:v>fecha_inicio</x:v>
      </x:c>
      <x:c r="E1" s="36" t="str">
        <x:v>ultimo_mes_en_plan</x:v>
      </x:c>
      <x:c r="F1" s="36" t="str">
        <x:v>estado_final</x:v>
      </x:c>
      <x:c r="G1" s="36" t="str">
        <x:v>periodicidad</x:v>
      </x:c>
      <x:c r="H1" s="36" t="str">
        <x:v>meses_en_plan</x:v>
      </x:c>
    </x:row>
    <x:row r="2">
      <x:c r="A2" t="str">
        <x:v>SUS-000001</x:v>
      </x:c>
      <x:c r="B2" t="str">
        <x:v>USR-00001</x:v>
      </x:c>
      <x:c r="C2" t="str">
        <x:v>Cero</x:v>
      </x:c>
      <x:c r="D2" t="n">
        <x:v>45658</x:v>
      </x:c>
      <x:c r="E2" t="n">
        <x:v>46082</x:v>
      </x:c>
      <x:c r="F2" t="str">
        <x:v>Finalizada</x:v>
      </x:c>
      <x:c r="G2" t="str">
        <x:v>Gratuita</x:v>
      </x:c>
      <x:c r="H2" t="n">
        <x:v>15</x:v>
      </x:c>
    </x:row>
    <x:row r="3">
      <x:c r="A3" t="str">
        <x:v>SUS-000002</x:v>
      </x:c>
      <x:c r="B3" t="str">
        <x:v>USR-00002</x:v>
      </x:c>
      <x:c r="C3" t="str">
        <x:v>Cero</x:v>
      </x:c>
      <x:c r="D3" t="n">
        <x:v>45658</x:v>
      </x:c>
      <x:c r="E3" t="n">
        <x:v>45809</x:v>
      </x:c>
      <x:c r="F3" t="str">
        <x:v>Finalizada</x:v>
      </x:c>
      <x:c r="G3" t="str">
        <x:v>Gratuita</x:v>
      </x:c>
      <x:c r="H3" t="n">
        <x:v>6</x:v>
      </x:c>
    </x:row>
    <x:row r="4">
      <x:c r="A4" t="str">
        <x:v>SUS-000003</x:v>
      </x:c>
      <x:c r="B4" t="str">
        <x:v>USR-00003</x:v>
      </x:c>
      <x:c r="C4" t="str">
        <x:v>Cero</x:v>
      </x:c>
      <x:c r="D4" t="n">
        <x:v>45658</x:v>
      </x:c>
      <x:c r="E4" t="n">
        <x:v>45778</x:v>
      </x:c>
      <x:c r="F4" t="str">
        <x:v>Finalizada</x:v>
      </x:c>
      <x:c r="G4" t="str">
        <x:v>Gratuita</x:v>
      </x:c>
      <x:c r="H4" t="n">
        <x:v>5</x:v>
      </x:c>
    </x:row>
    <x:row r="5">
      <x:c r="A5" t="str">
        <x:v>SUS-000004</x:v>
      </x:c>
      <x:c r="B5" t="str">
        <x:v>USR-00004</x:v>
      </x:c>
      <x:c r="C5" t="str">
        <x:v>Plus mensual</x:v>
      </x:c>
      <x:c r="D5" t="n">
        <x:v>45658</x:v>
      </x:c>
      <x:c r="E5" t="n">
        <x:v>45658</x:v>
      </x:c>
      <x:c r="F5" t="str">
        <x:v>Finalizada</x:v>
      </x:c>
      <x:c r="G5" t="str">
        <x:v>Mensual</x:v>
      </x:c>
      <x:c r="H5" t="n">
        <x:v>1</x:v>
      </x:c>
    </x:row>
    <x:row r="6">
      <x:c r="A6" t="str">
        <x:v>SUS-000005</x:v>
      </x:c>
      <x:c r="B6" t="str">
        <x:v>USR-00005</x:v>
      </x:c>
      <x:c r="C6" t="str">
        <x:v>Cero</x:v>
      </x:c>
      <x:c r="D6" t="n">
        <x:v>45658</x:v>
      </x:c>
      <x:c r="E6" t="n">
        <x:v>45658</x:v>
      </x:c>
      <x:c r="F6" t="str">
        <x:v>Finalizada</x:v>
      </x:c>
      <x:c r="G6" t="str">
        <x:v>Gratuita</x:v>
      </x:c>
      <x:c r="H6" t="n">
        <x:v>1</x:v>
      </x:c>
    </x:row>
    <x:row r="7">
      <x:c r="A7" t="str">
        <x:v>SUS-000006</x:v>
      </x:c>
      <x:c r="B7" t="str">
        <x:v>USR-00006</x:v>
      </x:c>
      <x:c r="C7" t="str">
        <x:v>Cero</x:v>
      </x:c>
      <x:c r="D7" t="n">
        <x:v>45658</x:v>
      </x:c>
      <x:c r="E7" t="n">
        <x:v>46174</x:v>
      </x:c>
      <x:c r="F7" t="str">
        <x:v>Finalizada</x:v>
      </x:c>
      <x:c r="G7" t="str">
        <x:v>Gratuita</x:v>
      </x:c>
      <x:c r="H7" t="n">
        <x:v>18</x:v>
      </x:c>
    </x:row>
    <x:row r="8">
      <x:c r="A8" t="str">
        <x:v>SUS-000007</x:v>
      </x:c>
      <x:c r="B8" t="str">
        <x:v>USR-00007</x:v>
      </x:c>
      <x:c r="C8" t="str">
        <x:v>Plus mensual</x:v>
      </x:c>
      <x:c r="D8" t="n">
        <x:v>45658</x:v>
      </x:c>
      <x:c r="E8" t="n">
        <x:v>45717</x:v>
      </x:c>
      <x:c r="F8" t="str">
        <x:v>Finalizada</x:v>
      </x:c>
      <x:c r="G8" t="str">
        <x:v>Mensual</x:v>
      </x:c>
      <x:c r="H8" t="n">
        <x:v>3</x:v>
      </x:c>
    </x:row>
    <x:row r="9">
      <x:c r="A9" t="str">
        <x:v>SUS-000008</x:v>
      </x:c>
      <x:c r="B9" t="str">
        <x:v>USR-00008</x:v>
      </x:c>
      <x:c r="C9" t="str">
        <x:v>Cero</x:v>
      </x:c>
      <x:c r="D9" t="n">
        <x:v>45658</x:v>
      </x:c>
      <x:c r="E9" t="n">
        <x:v>46266</x:v>
      </x:c>
      <x:c r="F9" t="str">
        <x:v>Activa</x:v>
      </x:c>
      <x:c r="G9" t="str">
        <x:v>Gratuita</x:v>
      </x:c>
      <x:c r="H9" t="n">
        <x:v>21</x:v>
      </x:c>
    </x:row>
    <x:row r="10">
      <x:c r="A10" t="str">
        <x:v>SUS-000009</x:v>
      </x:c>
      <x:c r="B10" t="str">
        <x:v>USR-00009</x:v>
      </x:c>
      <x:c r="C10" t="str">
        <x:v>Cero</x:v>
      </x:c>
      <x:c r="D10" t="n">
        <x:v>45658</x:v>
      </x:c>
      <x:c r="E10" t="n">
        <x:v>45809</x:v>
      </x:c>
      <x:c r="F10" t="str">
        <x:v>Finalizada</x:v>
      </x:c>
      <x:c r="G10" t="str">
        <x:v>Gratuita</x:v>
      </x:c>
      <x:c r="H10" t="n">
        <x:v>6</x:v>
      </x:c>
    </x:row>
    <x:row r="11">
      <x:c r="A11" t="str">
        <x:v>SUS-000010</x:v>
      </x:c>
      <x:c r="B11" t="str">
        <x:v>USR-00010</x:v>
      </x:c>
      <x:c r="C11" t="str">
        <x:v>Cero</x:v>
      </x:c>
      <x:c r="D11" t="n">
        <x:v>45658</x:v>
      </x:c>
      <x:c r="E11" t="n">
        <x:v>45870</x:v>
      </x:c>
      <x:c r="F11" t="str">
        <x:v>Finalizada</x:v>
      </x:c>
      <x:c r="G11" t="str">
        <x:v>Gratuita</x:v>
      </x:c>
      <x:c r="H11" t="n">
        <x:v>8</x:v>
      </x:c>
    </x:row>
    <x:row r="12">
      <x:c r="A12" t="str">
        <x:v>SUS-000011</x:v>
      </x:c>
      <x:c r="B12" t="str">
        <x:v>USR-00011</x:v>
      </x:c>
      <x:c r="C12" t="str">
        <x:v>Cero</x:v>
      </x:c>
      <x:c r="D12" t="n">
        <x:v>45658</x:v>
      </x:c>
      <x:c r="E12" t="n">
        <x:v>46082</x:v>
      </x:c>
      <x:c r="F12" t="str">
        <x:v>Finalizada</x:v>
      </x:c>
      <x:c r="G12" t="str">
        <x:v>Gratuita</x:v>
      </x:c>
      <x:c r="H12" t="n">
        <x:v>15</x:v>
      </x:c>
    </x:row>
    <x:row r="13">
      <x:c r="A13" t="str">
        <x:v>SUS-000012</x:v>
      </x:c>
      <x:c r="B13" t="str">
        <x:v>USR-00012</x:v>
      </x:c>
      <x:c r="C13" t="str">
        <x:v>Cero</x:v>
      </x:c>
      <x:c r="D13" t="n">
        <x:v>45658</x:v>
      </x:c>
      <x:c r="E13" t="n">
        <x:v>46054</x:v>
      </x:c>
      <x:c r="F13" t="str">
        <x:v>Finalizada</x:v>
      </x:c>
      <x:c r="G13" t="str">
        <x:v>Gratuita</x:v>
      </x:c>
      <x:c r="H13" t="n">
        <x:v>14</x:v>
      </x:c>
    </x:row>
    <x:row r="14">
      <x:c r="A14" t="str">
        <x:v>SUS-000013</x:v>
      </x:c>
      <x:c r="B14" t="str">
        <x:v>USR-00013</x:v>
      </x:c>
      <x:c r="C14" t="str">
        <x:v>Cero</x:v>
      </x:c>
      <x:c r="D14" t="n">
        <x:v>45658</x:v>
      </x:c>
      <x:c r="E14" t="n">
        <x:v>45931</x:v>
      </x:c>
      <x:c r="F14" t="str">
        <x:v>Finalizada</x:v>
      </x:c>
      <x:c r="G14" t="str">
        <x:v>Gratuita</x:v>
      </x:c>
      <x:c r="H14" t="n">
        <x:v>10</x:v>
      </x:c>
    </x:row>
    <x:row r="15">
      <x:c r="A15" t="str">
        <x:v>SUS-000014</x:v>
      </x:c>
      <x:c r="B15" t="str">
        <x:v>USR-00014</x:v>
      </x:c>
      <x:c r="C15" t="str">
        <x:v>Cero</x:v>
      </x:c>
      <x:c r="D15" t="n">
        <x:v>45658</x:v>
      </x:c>
      <x:c r="E15" t="n">
        <x:v>46266</x:v>
      </x:c>
      <x:c r="F15" t="str">
        <x:v>Activa</x:v>
      </x:c>
      <x:c r="G15" t="str">
        <x:v>Gratuita</x:v>
      </x:c>
      <x:c r="H15" t="n">
        <x:v>21</x:v>
      </x:c>
    </x:row>
    <x:row r="16">
      <x:c r="A16" t="str">
        <x:v>SUS-000015</x:v>
      </x:c>
      <x:c r="B16" t="str">
        <x:v>USR-00015</x:v>
      </x:c>
      <x:c r="C16" t="str">
        <x:v>Cero</x:v>
      </x:c>
      <x:c r="D16" t="n">
        <x:v>45658</x:v>
      </x:c>
      <x:c r="E16" t="n">
        <x:v>46113</x:v>
      </x:c>
      <x:c r="F16" t="str">
        <x:v>Finalizada</x:v>
      </x:c>
      <x:c r="G16" t="str">
        <x:v>Gratuita</x:v>
      </x:c>
      <x:c r="H16" t="n">
        <x:v>16</x:v>
      </x:c>
    </x:row>
    <x:row r="17">
      <x:c r="A17" t="str">
        <x:v>SUS-000016</x:v>
      </x:c>
      <x:c r="B17" t="str">
        <x:v>USR-00016</x:v>
      </x:c>
      <x:c r="C17" t="str">
        <x:v>Cero</x:v>
      </x:c>
      <x:c r="D17" t="n">
        <x:v>45658</x:v>
      </x:c>
      <x:c r="E17" t="n">
        <x:v>45992</x:v>
      </x:c>
      <x:c r="F17" t="str">
        <x:v>Finalizada</x:v>
      </x:c>
      <x:c r="G17" t="str">
        <x:v>Gratuita</x:v>
      </x:c>
      <x:c r="H17" t="n">
        <x:v>12</x:v>
      </x:c>
    </x:row>
    <x:row r="18">
      <x:c r="A18" t="str">
        <x:v>SUS-000017</x:v>
      </x:c>
      <x:c r="B18" t="str">
        <x:v>USR-00017</x:v>
      </x:c>
      <x:c r="C18" t="str">
        <x:v>Cero</x:v>
      </x:c>
      <x:c r="D18" t="n">
        <x:v>45658</x:v>
      </x:c>
      <x:c r="E18" t="n">
        <x:v>45658</x:v>
      </x:c>
      <x:c r="F18" t="str">
        <x:v>Finalizada</x:v>
      </x:c>
      <x:c r="G18" t="str">
        <x:v>Gratuita</x:v>
      </x:c>
      <x:c r="H18" t="n">
        <x:v>1</x:v>
      </x:c>
    </x:row>
    <x:row r="19">
      <x:c r="A19" t="str">
        <x:v>SUS-000018</x:v>
      </x:c>
      <x:c r="B19" t="str">
        <x:v>USR-00018</x:v>
      </x:c>
      <x:c r="C19" t="str">
        <x:v>Cero</x:v>
      </x:c>
      <x:c r="D19" t="n">
        <x:v>45658</x:v>
      </x:c>
      <x:c r="E19" t="n">
        <x:v>45778</x:v>
      </x:c>
      <x:c r="F19" t="str">
        <x:v>Finalizada</x:v>
      </x:c>
      <x:c r="G19" t="str">
        <x:v>Gratuita</x:v>
      </x:c>
      <x:c r="H19" t="n">
        <x:v>5</x:v>
      </x:c>
    </x:row>
    <x:row r="20">
      <x:c r="A20" t="str">
        <x:v>SUS-000019</x:v>
      </x:c>
      <x:c r="B20" t="str">
        <x:v>USR-00019</x:v>
      </x:c>
      <x:c r="C20" t="str">
        <x:v>Cero</x:v>
      </x:c>
      <x:c r="D20" t="n">
        <x:v>45658</x:v>
      </x:c>
      <x:c r="E20" t="n">
        <x:v>45778</x:v>
      </x:c>
      <x:c r="F20" t="str">
        <x:v>Finalizada</x:v>
      </x:c>
      <x:c r="G20" t="str">
        <x:v>Gratuita</x:v>
      </x:c>
      <x:c r="H20" t="n">
        <x:v>5</x:v>
      </x:c>
    </x:row>
    <x:row r="21">
      <x:c r="A21" t="str">
        <x:v>SUS-000020</x:v>
      </x:c>
      <x:c r="B21" t="str">
        <x:v>USR-00020</x:v>
      </x:c>
      <x:c r="C21" t="str">
        <x:v>Cero</x:v>
      </x:c>
      <x:c r="D21" t="n">
        <x:v>45658</x:v>
      </x:c>
      <x:c r="E21" t="n">
        <x:v>45658</x:v>
      </x:c>
      <x:c r="F21" t="str">
        <x:v>Finalizada</x:v>
      </x:c>
      <x:c r="G21" t="str">
        <x:v>Gratuita</x:v>
      </x:c>
      <x:c r="H21" t="n">
        <x:v>1</x:v>
      </x:c>
    </x:row>
    <x:row r="22">
      <x:c r="A22" t="str">
        <x:v>SUS-000021</x:v>
      </x:c>
      <x:c r="B22" t="str">
        <x:v>USR-00021</x:v>
      </x:c>
      <x:c r="C22" t="str">
        <x:v>Cero</x:v>
      </x:c>
      <x:c r="D22" t="n">
        <x:v>45658</x:v>
      </x:c>
      <x:c r="E22" t="n">
        <x:v>45870</x:v>
      </x:c>
      <x:c r="F22" t="str">
        <x:v>Finalizada</x:v>
      </x:c>
      <x:c r="G22" t="str">
        <x:v>Gratuita</x:v>
      </x:c>
      <x:c r="H22" t="n">
        <x:v>8</x:v>
      </x:c>
    </x:row>
    <x:row r="23">
      <x:c r="A23" t="str">
        <x:v>SUS-000022</x:v>
      </x:c>
      <x:c r="B23" t="str">
        <x:v>USR-00022</x:v>
      </x:c>
      <x:c r="C23" t="str">
        <x:v>Cero</x:v>
      </x:c>
      <x:c r="D23" t="n">
        <x:v>45658</x:v>
      </x:c>
      <x:c r="E23" t="n">
        <x:v>46235</x:v>
      </x:c>
      <x:c r="F23" t="str">
        <x:v>Finalizada</x:v>
      </x:c>
      <x:c r="G23" t="str">
        <x:v>Gratuita</x:v>
      </x:c>
      <x:c r="H23" t="n">
        <x:v>20</x:v>
      </x:c>
    </x:row>
    <x:row r="24">
      <x:c r="A24" t="str">
        <x:v>SUS-000023</x:v>
      </x:c>
      <x:c r="B24" t="str">
        <x:v>USR-00023</x:v>
      </x:c>
      <x:c r="C24" t="str">
        <x:v>Cero</x:v>
      </x:c>
      <x:c r="D24" t="n">
        <x:v>45658</x:v>
      </x:c>
      <x:c r="E24" t="n">
        <x:v>46266</x:v>
      </x:c>
      <x:c r="F24" t="str">
        <x:v>Activa</x:v>
      </x:c>
      <x:c r="G24" t="str">
        <x:v>Gratuita</x:v>
      </x:c>
      <x:c r="H24" t="n">
        <x:v>21</x:v>
      </x:c>
    </x:row>
    <x:row r="25">
      <x:c r="A25" t="str">
        <x:v>SUS-000024</x:v>
      </x:c>
      <x:c r="B25" t="str">
        <x:v>USR-00024</x:v>
      </x:c>
      <x:c r="C25" t="str">
        <x:v>Cero</x:v>
      </x:c>
      <x:c r="D25" t="n">
        <x:v>45658</x:v>
      </x:c>
      <x:c r="E25" t="n">
        <x:v>46082</x:v>
      </x:c>
      <x:c r="F25" t="str">
        <x:v>Finalizada</x:v>
      </x:c>
      <x:c r="G25" t="str">
        <x:v>Gratuita</x:v>
      </x:c>
      <x:c r="H25" t="n">
        <x:v>15</x:v>
      </x:c>
    </x:row>
    <x:row r="26">
      <x:c r="A26" t="str">
        <x:v>SUS-000025</x:v>
      </x:c>
      <x:c r="B26" t="str">
        <x:v>USR-00025</x:v>
      </x:c>
      <x:c r="C26" t="str">
        <x:v>Plus anual</x:v>
      </x:c>
      <x:c r="D26" t="n">
        <x:v>45658</x:v>
      </x:c>
      <x:c r="E26" t="n">
        <x:v>46266</x:v>
      </x:c>
      <x:c r="F26" t="str">
        <x:v>Activa</x:v>
      </x:c>
      <x:c r="G26" t="str">
        <x:v>Anual</x:v>
      </x:c>
      <x:c r="H26" t="n">
        <x:v>21</x:v>
      </x:c>
    </x:row>
    <x:row r="27">
      <x:c r="A27" t="str">
        <x:v>SUS-000026</x:v>
      </x:c>
      <x:c r="B27" t="str">
        <x:v>USR-00026</x:v>
      </x:c>
      <x:c r="C27" t="str">
        <x:v>Cero</x:v>
      </x:c>
      <x:c r="D27" t="n">
        <x:v>45658</x:v>
      </x:c>
      <x:c r="E27" t="n">
        <x:v>45717</x:v>
      </x:c>
      <x:c r="F27" t="str">
        <x:v>Finalizada</x:v>
      </x:c>
      <x:c r="G27" t="str">
        <x:v>Gratuita</x:v>
      </x:c>
      <x:c r="H27" t="n">
        <x:v>3</x:v>
      </x:c>
    </x:row>
    <x:row r="28">
      <x:c r="A28" t="str">
        <x:v>SUS-000027</x:v>
      </x:c>
      <x:c r="B28" t="str">
        <x:v>USR-00027</x:v>
      </x:c>
      <x:c r="C28" t="str">
        <x:v>Plus mensual</x:v>
      </x:c>
      <x:c r="D28" t="n">
        <x:v>45658</x:v>
      </x:c>
      <x:c r="E28" t="n">
        <x:v>45689</x:v>
      </x:c>
      <x:c r="F28" t="str">
        <x:v>Finalizada</x:v>
      </x:c>
      <x:c r="G28" t="str">
        <x:v>Mensual</x:v>
      </x:c>
      <x:c r="H28" t="n">
        <x:v>2</x:v>
      </x:c>
    </x:row>
    <x:row r="29">
      <x:c r="A29" t="str">
        <x:v>SUS-000028</x:v>
      </x:c>
      <x:c r="B29" t="str">
        <x:v>USR-00028</x:v>
      </x:c>
      <x:c r="C29" t="str">
        <x:v>Cero</x:v>
      </x:c>
      <x:c r="D29" t="n">
        <x:v>45658</x:v>
      </x:c>
      <x:c r="E29" t="n">
        <x:v>46266</x:v>
      </x:c>
      <x:c r="F29" t="str">
        <x:v>Activa</x:v>
      </x:c>
      <x:c r="G29" t="str">
        <x:v>Gratuita</x:v>
      </x:c>
      <x:c r="H29" t="n">
        <x:v>21</x:v>
      </x:c>
    </x:row>
    <x:row r="30">
      <x:c r="A30" t="str">
        <x:v>SUS-000029</x:v>
      </x:c>
      <x:c r="B30" t="str">
        <x:v>USR-00029</x:v>
      </x:c>
      <x:c r="C30" t="str">
        <x:v>Cero</x:v>
      </x:c>
      <x:c r="D30" t="n">
        <x:v>45658</x:v>
      </x:c>
      <x:c r="E30" t="n">
        <x:v>45778</x:v>
      </x:c>
      <x:c r="F30" t="str">
        <x:v>Finalizada</x:v>
      </x:c>
      <x:c r="G30" t="str">
        <x:v>Gratuita</x:v>
      </x:c>
      <x:c r="H30" t="n">
        <x:v>5</x:v>
      </x:c>
    </x:row>
    <x:row r="31">
      <x:c r="A31" t="str">
        <x:v>SUS-000030</x:v>
      </x:c>
      <x:c r="B31" t="str">
        <x:v>USR-00030</x:v>
      </x:c>
      <x:c r="C31" t="str">
        <x:v>Cero</x:v>
      </x:c>
      <x:c r="D31" t="n">
        <x:v>45658</x:v>
      </x:c>
      <x:c r="E31" t="n">
        <x:v>46266</x:v>
      </x:c>
      <x:c r="F31" t="str">
        <x:v>Activa</x:v>
      </x:c>
      <x:c r="G31" t="str">
        <x:v>Gratuita</x:v>
      </x:c>
      <x:c r="H31" t="n">
        <x:v>21</x:v>
      </x:c>
    </x:row>
    <x:row r="32">
      <x:c r="A32" t="str">
        <x:v>SUS-000031</x:v>
      </x:c>
      <x:c r="B32" t="str">
        <x:v>USR-00031</x:v>
      </x:c>
      <x:c r="C32" t="str">
        <x:v>Cero</x:v>
      </x:c>
      <x:c r="D32" t="n">
        <x:v>45658</x:v>
      </x:c>
      <x:c r="E32" t="n">
        <x:v>45901</x:v>
      </x:c>
      <x:c r="F32" t="str">
        <x:v>Finalizada</x:v>
      </x:c>
      <x:c r="G32" t="str">
        <x:v>Gratuita</x:v>
      </x:c>
      <x:c r="H32" t="n">
        <x:v>9</x:v>
      </x:c>
    </x:row>
    <x:row r="33">
      <x:c r="A33" t="str">
        <x:v>SUS-000032</x:v>
      </x:c>
      <x:c r="B33" t="str">
        <x:v>USR-00004</x:v>
      </x:c>
      <x:c r="C33" t="str">
        <x:v>Plus anual</x:v>
      </x:c>
      <x:c r="D33" t="n">
        <x:v>45689</x:v>
      </x:c>
      <x:c r="E33" t="n">
        <x:v>46266</x:v>
      </x:c>
      <x:c r="F33" t="str">
        <x:v>Activa</x:v>
      </x:c>
      <x:c r="G33" t="str">
        <x:v>Anual</x:v>
      </x:c>
      <x:c r="H33" t="n">
        <x:v>20</x:v>
      </x:c>
    </x:row>
    <x:row r="34">
      <x:c r="A34" t="str">
        <x:v>SUS-000033</x:v>
      </x:c>
      <x:c r="B34" t="str">
        <x:v>USR-00005</x:v>
      </x:c>
      <x:c r="C34" t="str">
        <x:v>Plus anual</x:v>
      </x:c>
      <x:c r="D34" t="n">
        <x:v>45689</x:v>
      </x:c>
      <x:c r="E34" t="n">
        <x:v>46266</x:v>
      </x:c>
      <x:c r="F34" t="str">
        <x:v>Activa</x:v>
      </x:c>
      <x:c r="G34" t="str">
        <x:v>Anual</x:v>
      </x:c>
      <x:c r="H34" t="n">
        <x:v>20</x:v>
      </x:c>
    </x:row>
    <x:row r="35">
      <x:c r="A35" t="str">
        <x:v>SUS-000034</x:v>
      </x:c>
      <x:c r="B35" t="str">
        <x:v>USR-00017</x:v>
      </x:c>
      <x:c r="C35" t="str">
        <x:v>Plus anual</x:v>
      </x:c>
      <x:c r="D35" t="n">
        <x:v>45689</x:v>
      </x:c>
      <x:c r="E35" t="n">
        <x:v>46266</x:v>
      </x:c>
      <x:c r="F35" t="str">
        <x:v>Activa</x:v>
      </x:c>
      <x:c r="G35" t="str">
        <x:v>Anual</x:v>
      </x:c>
      <x:c r="H35" t="n">
        <x:v>20</x:v>
      </x:c>
    </x:row>
    <x:row r="36">
      <x:c r="A36" t="str">
        <x:v>SUS-000035</x:v>
      </x:c>
      <x:c r="B36" t="str">
        <x:v>USR-00020</x:v>
      </x:c>
      <x:c r="C36" t="str">
        <x:v>Plus mensual</x:v>
      </x:c>
      <x:c r="D36" t="n">
        <x:v>45689</x:v>
      </x:c>
      <x:c r="E36" t="n">
        <x:v>45689</x:v>
      </x:c>
      <x:c r="F36" t="str">
        <x:v>Finalizada</x:v>
      </x:c>
      <x:c r="G36" t="str">
        <x:v>Mensual</x:v>
      </x:c>
      <x:c r="H36" t="n">
        <x:v>1</x:v>
      </x:c>
    </x:row>
    <x:row r="37">
      <x:c r="A37" t="str">
        <x:v>SUS-000036</x:v>
      </x:c>
      <x:c r="B37" t="str">
        <x:v>USR-00032</x:v>
      </x:c>
      <x:c r="C37" t="str">
        <x:v>Cero</x:v>
      </x:c>
      <x:c r="D37" t="n">
        <x:v>45689</x:v>
      </x:c>
      <x:c r="E37" t="n">
        <x:v>46174</x:v>
      </x:c>
      <x:c r="F37" t="str">
        <x:v>Finalizada</x:v>
      </x:c>
      <x:c r="G37" t="str">
        <x:v>Gratuita</x:v>
      </x:c>
      <x:c r="H37" t="n">
        <x:v>17</x:v>
      </x:c>
    </x:row>
    <x:row r="38">
      <x:c r="A38" t="str">
        <x:v>SUS-000037</x:v>
      </x:c>
      <x:c r="B38" t="str">
        <x:v>USR-00033</x:v>
      </x:c>
      <x:c r="C38" t="str">
        <x:v>Cero</x:v>
      </x:c>
      <x:c r="D38" t="n">
        <x:v>45689</x:v>
      </x:c>
      <x:c r="E38" t="n">
        <x:v>46266</x:v>
      </x:c>
      <x:c r="F38" t="str">
        <x:v>Activa</x:v>
      </x:c>
      <x:c r="G38" t="str">
        <x:v>Gratuita</x:v>
      </x:c>
      <x:c r="H38" t="n">
        <x:v>20</x:v>
      </x:c>
    </x:row>
    <x:row r="39">
      <x:c r="A39" t="str">
        <x:v>SUS-000038</x:v>
      </x:c>
      <x:c r="B39" t="str">
        <x:v>USR-00034</x:v>
      </x:c>
      <x:c r="C39" t="str">
        <x:v>Cero</x:v>
      </x:c>
      <x:c r="D39" t="n">
        <x:v>45689</x:v>
      </x:c>
      <x:c r="E39" t="n">
        <x:v>46023</x:v>
      </x:c>
      <x:c r="F39" t="str">
        <x:v>Finalizada</x:v>
      </x:c>
      <x:c r="G39" t="str">
        <x:v>Gratuita</x:v>
      </x:c>
      <x:c r="H39" t="n">
        <x:v>12</x:v>
      </x:c>
    </x:row>
    <x:row r="40">
      <x:c r="A40" t="str">
        <x:v>SUS-000039</x:v>
      </x:c>
      <x:c r="B40" t="str">
        <x:v>USR-00035</x:v>
      </x:c>
      <x:c r="C40" t="str">
        <x:v>Cero</x:v>
      </x:c>
      <x:c r="D40" t="n">
        <x:v>45689</x:v>
      </x:c>
      <x:c r="E40" t="n">
        <x:v>45748</x:v>
      </x:c>
      <x:c r="F40" t="str">
        <x:v>Finalizada</x:v>
      </x:c>
      <x:c r="G40" t="str">
        <x:v>Gratuita</x:v>
      </x:c>
      <x:c r="H40" t="n">
        <x:v>3</x:v>
      </x:c>
    </x:row>
    <x:row r="41">
      <x:c r="A41" t="str">
        <x:v>SUS-000040</x:v>
      </x:c>
      <x:c r="B41" t="str">
        <x:v>USR-00036</x:v>
      </x:c>
      <x:c r="C41" t="str">
        <x:v>Cero</x:v>
      </x:c>
      <x:c r="D41" t="n">
        <x:v>45689</x:v>
      </x:c>
      <x:c r="E41" t="n">
        <x:v>45870</x:v>
      </x:c>
      <x:c r="F41" t="str">
        <x:v>Finalizada</x:v>
      </x:c>
      <x:c r="G41" t="str">
        <x:v>Gratuita</x:v>
      </x:c>
      <x:c r="H41" t="n">
        <x:v>7</x:v>
      </x:c>
    </x:row>
    <x:row r="42">
      <x:c r="A42" t="str">
        <x:v>SUS-000041</x:v>
      </x:c>
      <x:c r="B42" t="str">
        <x:v>USR-00037</x:v>
      </x:c>
      <x:c r="C42" t="str">
        <x:v>Cero</x:v>
      </x:c>
      <x:c r="D42" t="n">
        <x:v>45689</x:v>
      </x:c>
      <x:c r="E42" t="n">
        <x:v>45931</x:v>
      </x:c>
      <x:c r="F42" t="str">
        <x:v>Finalizada</x:v>
      </x:c>
      <x:c r="G42" t="str">
        <x:v>Gratuita</x:v>
      </x:c>
      <x:c r="H42" t="n">
        <x:v>9</x:v>
      </x:c>
    </x:row>
    <x:row r="43">
      <x:c r="A43" t="str">
        <x:v>SUS-000042</x:v>
      </x:c>
      <x:c r="B43" t="str">
        <x:v>USR-00038</x:v>
      </x:c>
      <x:c r="C43" t="str">
        <x:v>Plus anual</x:v>
      </x:c>
      <x:c r="D43" t="n">
        <x:v>45689</x:v>
      </x:c>
      <x:c r="E43" t="n">
        <x:v>46266</x:v>
      </x:c>
      <x:c r="F43" t="str">
        <x:v>Activa</x:v>
      </x:c>
      <x:c r="G43" t="str">
        <x:v>Anual</x:v>
      </x:c>
      <x:c r="H43" t="n">
        <x:v>20</x:v>
      </x:c>
    </x:row>
    <x:row r="44">
      <x:c r="A44" t="str">
        <x:v>SUS-000043</x:v>
      </x:c>
      <x:c r="B44" t="str">
        <x:v>USR-00039</x:v>
      </x:c>
      <x:c r="C44" t="str">
        <x:v>Cero</x:v>
      </x:c>
      <x:c r="D44" t="n">
        <x:v>45689</x:v>
      </x:c>
      <x:c r="E44" t="n">
        <x:v>46266</x:v>
      </x:c>
      <x:c r="F44" t="str">
        <x:v>Activa</x:v>
      </x:c>
      <x:c r="G44" t="str">
        <x:v>Gratuita</x:v>
      </x:c>
      <x:c r="H44" t="n">
        <x:v>20</x:v>
      </x:c>
    </x:row>
    <x:row r="45">
      <x:c r="A45" t="str">
        <x:v>SUS-000044</x:v>
      </x:c>
      <x:c r="B45" t="str">
        <x:v>USR-00040</x:v>
      </x:c>
      <x:c r="C45" t="str">
        <x:v>Cero</x:v>
      </x:c>
      <x:c r="D45" t="n">
        <x:v>45689</x:v>
      </x:c>
      <x:c r="E45" t="n">
        <x:v>45931</x:v>
      </x:c>
      <x:c r="F45" t="str">
        <x:v>Finalizada</x:v>
      </x:c>
      <x:c r="G45" t="str">
        <x:v>Gratuita</x:v>
      </x:c>
      <x:c r="H45" t="n">
        <x:v>9</x:v>
      </x:c>
    </x:row>
    <x:row r="46">
      <x:c r="A46" t="str">
        <x:v>SUS-000045</x:v>
      </x:c>
      <x:c r="B46" t="str">
        <x:v>USR-00041</x:v>
      </x:c>
      <x:c r="C46" t="str">
        <x:v>Cero</x:v>
      </x:c>
      <x:c r="D46" t="n">
        <x:v>45689</x:v>
      </x:c>
      <x:c r="E46" t="n">
        <x:v>46266</x:v>
      </x:c>
      <x:c r="F46" t="str">
        <x:v>Activa</x:v>
      </x:c>
      <x:c r="G46" t="str">
        <x:v>Gratuita</x:v>
      </x:c>
      <x:c r="H46" t="n">
        <x:v>20</x:v>
      </x:c>
    </x:row>
    <x:row r="47">
      <x:c r="A47" t="str">
        <x:v>SUS-000046</x:v>
      </x:c>
      <x:c r="B47" t="str">
        <x:v>USR-00042</x:v>
      </x:c>
      <x:c r="C47" t="str">
        <x:v>Cero</x:v>
      </x:c>
      <x:c r="D47" t="n">
        <x:v>45689</x:v>
      </x:c>
      <x:c r="E47" t="n">
        <x:v>45809</x:v>
      </x:c>
      <x:c r="F47" t="str">
        <x:v>Finalizada</x:v>
      </x:c>
      <x:c r="G47" t="str">
        <x:v>Gratuita</x:v>
      </x:c>
      <x:c r="H47" t="n">
        <x:v>5</x:v>
      </x:c>
    </x:row>
    <x:row r="48">
      <x:c r="A48" t="str">
        <x:v>SUS-000047</x:v>
      </x:c>
      <x:c r="B48" t="str">
        <x:v>USR-00043</x:v>
      </x:c>
      <x:c r="C48" t="str">
        <x:v>Cero</x:v>
      </x:c>
      <x:c r="D48" t="n">
        <x:v>45689</x:v>
      </x:c>
      <x:c r="E48" t="n">
        <x:v>46204</x:v>
      </x:c>
      <x:c r="F48" t="str">
        <x:v>Finalizada</x:v>
      </x:c>
      <x:c r="G48" t="str">
        <x:v>Gratuita</x:v>
      </x:c>
      <x:c r="H48" t="n">
        <x:v>18</x:v>
      </x:c>
    </x:row>
    <x:row r="49">
      <x:c r="A49" t="str">
        <x:v>SUS-000048</x:v>
      </x:c>
      <x:c r="B49" t="str">
        <x:v>USR-00044</x:v>
      </x:c>
      <x:c r="C49" t="str">
        <x:v>Cero</x:v>
      </x:c>
      <x:c r="D49" t="n">
        <x:v>45689</x:v>
      </x:c>
      <x:c r="E49" t="n">
        <x:v>46266</x:v>
      </x:c>
      <x:c r="F49" t="str">
        <x:v>Activa</x:v>
      </x:c>
      <x:c r="G49" t="str">
        <x:v>Gratuita</x:v>
      </x:c>
      <x:c r="H49" t="n">
        <x:v>20</x:v>
      </x:c>
    </x:row>
    <x:row r="50">
      <x:c r="A50" t="str">
        <x:v>SUS-000049</x:v>
      </x:c>
      <x:c r="B50" t="str">
        <x:v>USR-00045</x:v>
      </x:c>
      <x:c r="C50" t="str">
        <x:v>Cero</x:v>
      </x:c>
      <x:c r="D50" t="n">
        <x:v>45689</x:v>
      </x:c>
      <x:c r="E50" t="n">
        <x:v>46266</x:v>
      </x:c>
      <x:c r="F50" t="str">
        <x:v>Activa</x:v>
      </x:c>
      <x:c r="G50" t="str">
        <x:v>Gratuita</x:v>
      </x:c>
      <x:c r="H50" t="n">
        <x:v>20</x:v>
      </x:c>
    </x:row>
    <x:row r="51">
      <x:c r="A51" t="str">
        <x:v>SUS-000050</x:v>
      </x:c>
      <x:c r="B51" t="str">
        <x:v>USR-00046</x:v>
      </x:c>
      <x:c r="C51" t="str">
        <x:v>Cero</x:v>
      </x:c>
      <x:c r="D51" t="n">
        <x:v>45689</x:v>
      </x:c>
      <x:c r="E51" t="n">
        <x:v>45962</x:v>
      </x:c>
      <x:c r="F51" t="str">
        <x:v>Finalizada</x:v>
      </x:c>
      <x:c r="G51" t="str">
        <x:v>Gratuita</x:v>
      </x:c>
      <x:c r="H51" t="n">
        <x:v>10</x:v>
      </x:c>
    </x:row>
    <x:row r="52">
      <x:c r="A52" t="str">
        <x:v>SUS-000051</x:v>
      </x:c>
      <x:c r="B52" t="str">
        <x:v>USR-00047</x:v>
      </x:c>
      <x:c r="C52" t="str">
        <x:v>Cero</x:v>
      </x:c>
      <x:c r="D52" t="n">
        <x:v>45689</x:v>
      </x:c>
      <x:c r="E52" t="n">
        <x:v>45962</x:v>
      </x:c>
      <x:c r="F52" t="str">
        <x:v>Finalizada</x:v>
      </x:c>
      <x:c r="G52" t="str">
        <x:v>Gratuita</x:v>
      </x:c>
      <x:c r="H52" t="n">
        <x:v>10</x:v>
      </x:c>
    </x:row>
    <x:row r="53">
      <x:c r="A53" t="str">
        <x:v>SUS-000052</x:v>
      </x:c>
      <x:c r="B53" t="str">
        <x:v>USR-00048</x:v>
      </x:c>
      <x:c r="C53" t="str">
        <x:v>Cero</x:v>
      </x:c>
      <x:c r="D53" t="n">
        <x:v>45689</x:v>
      </x:c>
      <x:c r="E53" t="n">
        <x:v>45778</x:v>
      </x:c>
      <x:c r="F53" t="str">
        <x:v>Finalizada</x:v>
      </x:c>
      <x:c r="G53" t="str">
        <x:v>Gratuita</x:v>
      </x:c>
      <x:c r="H53" t="n">
        <x:v>4</x:v>
      </x:c>
    </x:row>
    <x:row r="54">
      <x:c r="A54" t="str">
        <x:v>SUS-000053</x:v>
      </x:c>
      <x:c r="B54" t="str">
        <x:v>USR-00049</x:v>
      </x:c>
      <x:c r="C54" t="str">
        <x:v>Cero</x:v>
      </x:c>
      <x:c r="D54" t="n">
        <x:v>45689</x:v>
      </x:c>
      <x:c r="E54" t="n">
        <x:v>45870</x:v>
      </x:c>
      <x:c r="F54" t="str">
        <x:v>Finalizada</x:v>
      </x:c>
      <x:c r="G54" t="str">
        <x:v>Gratuita</x:v>
      </x:c>
      <x:c r="H54" t="n">
        <x:v>7</x:v>
      </x:c>
    </x:row>
    <x:row r="55">
      <x:c r="A55" t="str">
        <x:v>SUS-000054</x:v>
      </x:c>
      <x:c r="B55" t="str">
        <x:v>USR-00050</x:v>
      </x:c>
      <x:c r="C55" t="str">
        <x:v>Cero</x:v>
      </x:c>
      <x:c r="D55" t="n">
        <x:v>45689</x:v>
      </x:c>
      <x:c r="E55" t="n">
        <x:v>45962</x:v>
      </x:c>
      <x:c r="F55" t="str">
        <x:v>Finalizada</x:v>
      </x:c>
      <x:c r="G55" t="str">
        <x:v>Gratuita</x:v>
      </x:c>
      <x:c r="H55" t="n">
        <x:v>10</x:v>
      </x:c>
    </x:row>
    <x:row r="56">
      <x:c r="A56" t="str">
        <x:v>SUS-000055</x:v>
      </x:c>
      <x:c r="B56" t="str">
        <x:v>USR-00051</x:v>
      </x:c>
      <x:c r="C56" t="str">
        <x:v>Plus mensual</x:v>
      </x:c>
      <x:c r="D56" t="n">
        <x:v>45689</x:v>
      </x:c>
      <x:c r="E56" t="n">
        <x:v>45992</x:v>
      </x:c>
      <x:c r="F56" t="str">
        <x:v>Finalizada</x:v>
      </x:c>
      <x:c r="G56" t="str">
        <x:v>Mensual</x:v>
      </x:c>
      <x:c r="H56" t="n">
        <x:v>11</x:v>
      </x:c>
    </x:row>
    <x:row r="57">
      <x:c r="A57" t="str">
        <x:v>SUS-000056</x:v>
      </x:c>
      <x:c r="B57" t="str">
        <x:v>USR-00052</x:v>
      </x:c>
      <x:c r="C57" t="str">
        <x:v>Cero</x:v>
      </x:c>
      <x:c r="D57" t="n">
        <x:v>45689</x:v>
      </x:c>
      <x:c r="E57" t="n">
        <x:v>45901</x:v>
      </x:c>
      <x:c r="F57" t="str">
        <x:v>Finalizada</x:v>
      </x:c>
      <x:c r="G57" t="str">
        <x:v>Gratuita</x:v>
      </x:c>
      <x:c r="H57" t="n">
        <x:v>8</x:v>
      </x:c>
    </x:row>
    <x:row r="58">
      <x:c r="A58" t="str">
        <x:v>SUS-000057</x:v>
      </x:c>
      <x:c r="B58" t="str">
        <x:v>USR-00053</x:v>
      </x:c>
      <x:c r="C58" t="str">
        <x:v>Plus mensual</x:v>
      </x:c>
      <x:c r="D58" t="n">
        <x:v>45689</x:v>
      </x:c>
      <x:c r="E58" t="n">
        <x:v>45962</x:v>
      </x:c>
      <x:c r="F58" t="str">
        <x:v>Finalizada</x:v>
      </x:c>
      <x:c r="G58" t="str">
        <x:v>Mensual</x:v>
      </x:c>
      <x:c r="H58" t="n">
        <x:v>10</x:v>
      </x:c>
    </x:row>
    <x:row r="59">
      <x:c r="A59" t="str">
        <x:v>SUS-000058</x:v>
      </x:c>
      <x:c r="B59" t="str">
        <x:v>USR-00054</x:v>
      </x:c>
      <x:c r="C59" t="str">
        <x:v>Plus mensual</x:v>
      </x:c>
      <x:c r="D59" t="n">
        <x:v>45689</x:v>
      </x:c>
      <x:c r="E59" t="n">
        <x:v>45870</x:v>
      </x:c>
      <x:c r="F59" t="str">
        <x:v>Finalizada</x:v>
      </x:c>
      <x:c r="G59" t="str">
        <x:v>Mensual</x:v>
      </x:c>
      <x:c r="H59" t="n">
        <x:v>7</x:v>
      </x:c>
    </x:row>
    <x:row r="60">
      <x:c r="A60" t="str">
        <x:v>SUS-000059</x:v>
      </x:c>
      <x:c r="B60" t="str">
        <x:v>USR-00055</x:v>
      </x:c>
      <x:c r="C60" t="str">
        <x:v>Cero</x:v>
      </x:c>
      <x:c r="D60" t="n">
        <x:v>45689</x:v>
      </x:c>
      <x:c r="E60" t="n">
        <x:v>46113</x:v>
      </x:c>
      <x:c r="F60" t="str">
        <x:v>Finalizada</x:v>
      </x:c>
      <x:c r="G60" t="str">
        <x:v>Gratuita</x:v>
      </x:c>
      <x:c r="H60" t="n">
        <x:v>15</x:v>
      </x:c>
    </x:row>
    <x:row r="61">
      <x:c r="A61" t="str">
        <x:v>SUS-000060</x:v>
      </x:c>
      <x:c r="B61" t="str">
        <x:v>USR-00020</x:v>
      </x:c>
      <x:c r="C61" t="str">
        <x:v>Cero</x:v>
      </x:c>
      <x:c r="D61" t="n">
        <x:v>45717</x:v>
      </x:c>
      <x:c r="E61" t="n">
        <x:v>46266</x:v>
      </x:c>
      <x:c r="F61" t="str">
        <x:v>Activa</x:v>
      </x:c>
      <x:c r="G61" t="str">
        <x:v>Gratuita</x:v>
      </x:c>
      <x:c r="H61" t="n">
        <x:v>19</x:v>
      </x:c>
    </x:row>
    <x:row r="62">
      <x:c r="A62" t="str">
        <x:v>SUS-000061</x:v>
      </x:c>
      <x:c r="B62" t="str">
        <x:v>USR-00056</x:v>
      </x:c>
      <x:c r="C62" t="str">
        <x:v>Cero</x:v>
      </x:c>
      <x:c r="D62" t="n">
        <x:v>45717</x:v>
      </x:c>
      <x:c r="E62" t="n">
        <x:v>45931</x:v>
      </x:c>
      <x:c r="F62" t="str">
        <x:v>Finalizada</x:v>
      </x:c>
      <x:c r="G62" t="str">
        <x:v>Gratuita</x:v>
      </x:c>
      <x:c r="H62" t="n">
        <x:v>8</x:v>
      </x:c>
    </x:row>
    <x:row r="63">
      <x:c r="A63" t="str">
        <x:v>SUS-000062</x:v>
      </x:c>
      <x:c r="B63" t="str">
        <x:v>USR-00057</x:v>
      </x:c>
      <x:c r="C63" t="str">
        <x:v>Cero</x:v>
      </x:c>
      <x:c r="D63" t="n">
        <x:v>45717</x:v>
      </x:c>
      <x:c r="E63" t="n">
        <x:v>45901</x:v>
      </x:c>
      <x:c r="F63" t="str">
        <x:v>Finalizada</x:v>
      </x:c>
      <x:c r="G63" t="str">
        <x:v>Gratuita</x:v>
      </x:c>
      <x:c r="H63" t="n">
        <x:v>7</x:v>
      </x:c>
    </x:row>
    <x:row r="64">
      <x:c r="A64" t="str">
        <x:v>SUS-000063</x:v>
      </x:c>
      <x:c r="B64" t="str">
        <x:v>USR-00058</x:v>
      </x:c>
      <x:c r="C64" t="str">
        <x:v>Cero</x:v>
      </x:c>
      <x:c r="D64" t="n">
        <x:v>45717</x:v>
      </x:c>
      <x:c r="E64" t="n">
        <x:v>46082</x:v>
      </x:c>
      <x:c r="F64" t="str">
        <x:v>Finalizada</x:v>
      </x:c>
      <x:c r="G64" t="str">
        <x:v>Gratuita</x:v>
      </x:c>
      <x:c r="H64" t="n">
        <x:v>13</x:v>
      </x:c>
    </x:row>
    <x:row r="65">
      <x:c r="A65" t="str">
        <x:v>SUS-000064</x:v>
      </x:c>
      <x:c r="B65" t="str">
        <x:v>USR-00059</x:v>
      </x:c>
      <x:c r="C65" t="str">
        <x:v>Cero</x:v>
      </x:c>
      <x:c r="D65" t="n">
        <x:v>45717</x:v>
      </x:c>
      <x:c r="E65" t="n">
        <x:v>46266</x:v>
      </x:c>
      <x:c r="F65" t="str">
        <x:v>Activa</x:v>
      </x:c>
      <x:c r="G65" t="str">
        <x:v>Gratuita</x:v>
      </x:c>
      <x:c r="H65" t="n">
        <x:v>19</x:v>
      </x:c>
    </x:row>
    <x:row r="66">
      <x:c r="A66" t="str">
        <x:v>SUS-000065</x:v>
      </x:c>
      <x:c r="B66" t="str">
        <x:v>USR-00060</x:v>
      </x:c>
      <x:c r="C66" t="str">
        <x:v>Cero</x:v>
      </x:c>
      <x:c r="D66" t="n">
        <x:v>45717</x:v>
      </x:c>
      <x:c r="E66" t="n">
        <x:v>46266</x:v>
      </x:c>
      <x:c r="F66" t="str">
        <x:v>Activa</x:v>
      </x:c>
      <x:c r="G66" t="str">
        <x:v>Gratuita</x:v>
      </x:c>
      <x:c r="H66" t="n">
        <x:v>19</x:v>
      </x:c>
    </x:row>
    <x:row r="67">
      <x:c r="A67" t="str">
        <x:v>SUS-000066</x:v>
      </x:c>
      <x:c r="B67" t="str">
        <x:v>USR-00061</x:v>
      </x:c>
      <x:c r="C67" t="str">
        <x:v>Cero</x:v>
      </x:c>
      <x:c r="D67" t="n">
        <x:v>45717</x:v>
      </x:c>
      <x:c r="E67" t="n">
        <x:v>45839</x:v>
      </x:c>
      <x:c r="F67" t="str">
        <x:v>Finalizada</x:v>
      </x:c>
      <x:c r="G67" t="str">
        <x:v>Gratuita</x:v>
      </x:c>
      <x:c r="H67" t="n">
        <x:v>5</x:v>
      </x:c>
    </x:row>
    <x:row r="68">
      <x:c r="A68" t="str">
        <x:v>SUS-000067</x:v>
      </x:c>
      <x:c r="B68" t="str">
        <x:v>USR-00062</x:v>
      </x:c>
      <x:c r="C68" t="str">
        <x:v>Cero</x:v>
      </x:c>
      <x:c r="D68" t="n">
        <x:v>45717</x:v>
      </x:c>
      <x:c r="E68" t="n">
        <x:v>45870</x:v>
      </x:c>
      <x:c r="F68" t="str">
        <x:v>Finalizada</x:v>
      </x:c>
      <x:c r="G68" t="str">
        <x:v>Gratuita</x:v>
      </x:c>
      <x:c r="H68" t="n">
        <x:v>6</x:v>
      </x:c>
    </x:row>
    <x:row r="69">
      <x:c r="A69" t="str">
        <x:v>SUS-000068</x:v>
      </x:c>
      <x:c r="B69" t="str">
        <x:v>USR-00063</x:v>
      </x:c>
      <x:c r="C69" t="str">
        <x:v>Cero</x:v>
      </x:c>
      <x:c r="D69" t="n">
        <x:v>45717</x:v>
      </x:c>
      <x:c r="E69" t="n">
        <x:v>45839</x:v>
      </x:c>
      <x:c r="F69" t="str">
        <x:v>Finalizada</x:v>
      </x:c>
      <x:c r="G69" t="str">
        <x:v>Gratuita</x:v>
      </x:c>
      <x:c r="H69" t="n">
        <x:v>5</x:v>
      </x:c>
    </x:row>
    <x:row r="70">
      <x:c r="A70" t="str">
        <x:v>SUS-000069</x:v>
      </x:c>
      <x:c r="B70" t="str">
        <x:v>USR-00064</x:v>
      </x:c>
      <x:c r="C70" t="str">
        <x:v>Cero</x:v>
      </x:c>
      <x:c r="D70" t="n">
        <x:v>45717</x:v>
      </x:c>
      <x:c r="E70" t="n">
        <x:v>45870</x:v>
      </x:c>
      <x:c r="F70" t="str">
        <x:v>Finalizada</x:v>
      </x:c>
      <x:c r="G70" t="str">
        <x:v>Gratuita</x:v>
      </x:c>
      <x:c r="H70" t="n">
        <x:v>6</x:v>
      </x:c>
    </x:row>
    <x:row r="71">
      <x:c r="A71" t="str">
        <x:v>SUS-000070</x:v>
      </x:c>
      <x:c r="B71" t="str">
        <x:v>USR-00065</x:v>
      </x:c>
      <x:c r="C71" t="str">
        <x:v>Plus mensual</x:v>
      </x:c>
      <x:c r="D71" t="n">
        <x:v>45717</x:v>
      </x:c>
      <x:c r="E71" t="n">
        <x:v>45901</x:v>
      </x:c>
      <x:c r="F71" t="str">
        <x:v>Finalizada</x:v>
      </x:c>
      <x:c r="G71" t="str">
        <x:v>Mensual</x:v>
      </x:c>
      <x:c r="H71" t="n">
        <x:v>7</x:v>
      </x:c>
    </x:row>
    <x:row r="72">
      <x:c r="A72" t="str">
        <x:v>SUS-000071</x:v>
      </x:c>
      <x:c r="B72" t="str">
        <x:v>USR-00066</x:v>
      </x:c>
      <x:c r="C72" t="str">
        <x:v>Plus mensual</x:v>
      </x:c>
      <x:c r="D72" t="n">
        <x:v>45717</x:v>
      </x:c>
      <x:c r="E72" t="n">
        <x:v>45809</x:v>
      </x:c>
      <x:c r="F72" t="str">
        <x:v>Finalizada</x:v>
      </x:c>
      <x:c r="G72" t="str">
        <x:v>Mensual</x:v>
      </x:c>
      <x:c r="H72" t="n">
        <x:v>4</x:v>
      </x:c>
    </x:row>
    <x:row r="73">
      <x:c r="A73" t="str">
        <x:v>SUS-000072</x:v>
      </x:c>
      <x:c r="B73" t="str">
        <x:v>USR-00067</x:v>
      </x:c>
      <x:c r="C73" t="str">
        <x:v>Plus mensual</x:v>
      </x:c>
      <x:c r="D73" t="n">
        <x:v>45717</x:v>
      </x:c>
      <x:c r="E73" t="n">
        <x:v>45839</x:v>
      </x:c>
      <x:c r="F73" t="str">
        <x:v>Finalizada</x:v>
      </x:c>
      <x:c r="G73" t="str">
        <x:v>Mensual</x:v>
      </x:c>
      <x:c r="H73" t="n">
        <x:v>5</x:v>
      </x:c>
    </x:row>
    <x:row r="74">
      <x:c r="A74" t="str">
        <x:v>SUS-000073</x:v>
      </x:c>
      <x:c r="B74" t="str">
        <x:v>USR-00068</x:v>
      </x:c>
      <x:c r="C74" t="str">
        <x:v>Cero</x:v>
      </x:c>
      <x:c r="D74" t="n">
        <x:v>45717</x:v>
      </x:c>
      <x:c r="E74" t="n">
        <x:v>46266</x:v>
      </x:c>
      <x:c r="F74" t="str">
        <x:v>Activa</x:v>
      </x:c>
      <x:c r="G74" t="str">
        <x:v>Gratuita</x:v>
      </x:c>
      <x:c r="H74" t="n">
        <x:v>19</x:v>
      </x:c>
    </x:row>
    <x:row r="75">
      <x:c r="A75" t="str">
        <x:v>SUS-000074</x:v>
      </x:c>
      <x:c r="B75" t="str">
        <x:v>USR-00069</x:v>
      </x:c>
      <x:c r="C75" t="str">
        <x:v>Cero</x:v>
      </x:c>
      <x:c r="D75" t="n">
        <x:v>45717</x:v>
      </x:c>
      <x:c r="E75" t="n">
        <x:v>45901</x:v>
      </x:c>
      <x:c r="F75" t="str">
        <x:v>Finalizada</x:v>
      </x:c>
      <x:c r="G75" t="str">
        <x:v>Gratuita</x:v>
      </x:c>
      <x:c r="H75" t="n">
        <x:v>7</x:v>
      </x:c>
    </x:row>
    <x:row r="76">
      <x:c r="A76" t="str">
        <x:v>SUS-000075</x:v>
      </x:c>
      <x:c r="B76" t="str">
        <x:v>USR-00070</x:v>
      </x:c>
      <x:c r="C76" t="str">
        <x:v>Plus mensual</x:v>
      </x:c>
      <x:c r="D76" t="n">
        <x:v>45717</x:v>
      </x:c>
      <x:c r="E76" t="n">
        <x:v>45870</x:v>
      </x:c>
      <x:c r="F76" t="str">
        <x:v>Finalizada</x:v>
      </x:c>
      <x:c r="G76" t="str">
        <x:v>Mensual</x:v>
      </x:c>
      <x:c r="H76" t="n">
        <x:v>6</x:v>
      </x:c>
    </x:row>
    <x:row r="77">
      <x:c r="A77" t="str">
        <x:v>SUS-000076</x:v>
      </x:c>
      <x:c r="B77" t="str">
        <x:v>USR-00071</x:v>
      </x:c>
      <x:c r="C77" t="str">
        <x:v>Cero</x:v>
      </x:c>
      <x:c r="D77" t="n">
        <x:v>45717</x:v>
      </x:c>
      <x:c r="E77" t="n">
        <x:v>45809</x:v>
      </x:c>
      <x:c r="F77" t="str">
        <x:v>Finalizada</x:v>
      </x:c>
      <x:c r="G77" t="str">
        <x:v>Gratuita</x:v>
      </x:c>
      <x:c r="H77" t="n">
        <x:v>4</x:v>
      </x:c>
    </x:row>
    <x:row r="78">
      <x:c r="A78" t="str">
        <x:v>SUS-000077</x:v>
      </x:c>
      <x:c r="B78" t="str">
        <x:v>USR-00072</x:v>
      </x:c>
      <x:c r="C78" t="str">
        <x:v>Cero</x:v>
      </x:c>
      <x:c r="D78" t="n">
        <x:v>45717</x:v>
      </x:c>
      <x:c r="E78" t="n">
        <x:v>45901</x:v>
      </x:c>
      <x:c r="F78" t="str">
        <x:v>Finalizada</x:v>
      </x:c>
      <x:c r="G78" t="str">
        <x:v>Gratuita</x:v>
      </x:c>
      <x:c r="H78" t="n">
        <x:v>7</x:v>
      </x:c>
    </x:row>
    <x:row r="79">
      <x:c r="A79" t="str">
        <x:v>SUS-000078</x:v>
      </x:c>
      <x:c r="B79" t="str">
        <x:v>USR-00073</x:v>
      </x:c>
      <x:c r="C79" t="str">
        <x:v>Cero</x:v>
      </x:c>
      <x:c r="D79" t="n">
        <x:v>45717</x:v>
      </x:c>
      <x:c r="E79" t="n">
        <x:v>45870</x:v>
      </x:c>
      <x:c r="F79" t="str">
        <x:v>Finalizada</x:v>
      </x:c>
      <x:c r="G79" t="str">
        <x:v>Gratuita</x:v>
      </x:c>
      <x:c r="H79" t="n">
        <x:v>6</x:v>
      </x:c>
    </x:row>
    <x:row r="80">
      <x:c r="A80" t="str">
        <x:v>SUS-000079</x:v>
      </x:c>
      <x:c r="B80" t="str">
        <x:v>USR-00074</x:v>
      </x:c>
      <x:c r="C80" t="str">
        <x:v>Cero</x:v>
      </x:c>
      <x:c r="D80" t="n">
        <x:v>45717</x:v>
      </x:c>
      <x:c r="E80" t="n">
        <x:v>45778</x:v>
      </x:c>
      <x:c r="F80" t="str">
        <x:v>Finalizada</x:v>
      </x:c>
      <x:c r="G80" t="str">
        <x:v>Gratuita</x:v>
      </x:c>
      <x:c r="H80" t="n">
        <x:v>3</x:v>
      </x:c>
    </x:row>
    <x:row r="81">
      <x:c r="A81" t="str">
        <x:v>SUS-000080</x:v>
      </x:c>
      <x:c r="B81" t="str">
        <x:v>USR-00075</x:v>
      </x:c>
      <x:c r="C81" t="str">
        <x:v>Cero</x:v>
      </x:c>
      <x:c r="D81" t="n">
        <x:v>45717</x:v>
      </x:c>
      <x:c r="E81" t="n">
        <x:v>46235</x:v>
      </x:c>
      <x:c r="F81" t="str">
        <x:v>Finalizada</x:v>
      </x:c>
      <x:c r="G81" t="str">
        <x:v>Gratuita</x:v>
      </x:c>
      <x:c r="H81" t="n">
        <x:v>18</x:v>
      </x:c>
    </x:row>
    <x:row r="82">
      <x:c r="A82" t="str">
        <x:v>SUS-000081</x:v>
      </x:c>
      <x:c r="B82" t="str">
        <x:v>USR-00076</x:v>
      </x:c>
      <x:c r="C82" t="str">
        <x:v>Plus mensual</x:v>
      </x:c>
      <x:c r="D82" t="n">
        <x:v>45717</x:v>
      </x:c>
      <x:c r="E82" t="n">
        <x:v>45717</x:v>
      </x:c>
      <x:c r="F82" t="str">
        <x:v>Finalizada</x:v>
      </x:c>
      <x:c r="G82" t="str">
        <x:v>Mensual</x:v>
      </x:c>
      <x:c r="H82" t="n">
        <x:v>1</x:v>
      </x:c>
    </x:row>
    <x:row r="83">
      <x:c r="A83" t="str">
        <x:v>SUS-000082</x:v>
      </x:c>
      <x:c r="B83" t="str">
        <x:v>USR-00077</x:v>
      </x:c>
      <x:c r="C83" t="str">
        <x:v>Cero</x:v>
      </x:c>
      <x:c r="D83" t="n">
        <x:v>45717</x:v>
      </x:c>
      <x:c r="E83" t="n">
        <x:v>46266</x:v>
      </x:c>
      <x:c r="F83" t="str">
        <x:v>Activa</x:v>
      </x:c>
      <x:c r="G83" t="str">
        <x:v>Gratuita</x:v>
      </x:c>
      <x:c r="H83" t="n">
        <x:v>19</x:v>
      </x:c>
    </x:row>
    <x:row r="84">
      <x:c r="A84" t="str">
        <x:v>SUS-000083</x:v>
      </x:c>
      <x:c r="B84" t="str">
        <x:v>USR-00078</x:v>
      </x:c>
      <x:c r="C84" t="str">
        <x:v>Plus mensual</x:v>
      </x:c>
      <x:c r="D84" t="n">
        <x:v>45717</x:v>
      </x:c>
      <x:c r="E84" t="n">
        <x:v>46266</x:v>
      </x:c>
      <x:c r="F84" t="str">
        <x:v>Activa</x:v>
      </x:c>
      <x:c r="G84" t="str">
        <x:v>Mensual</x:v>
      </x:c>
      <x:c r="H84" t="n">
        <x:v>19</x:v>
      </x:c>
    </x:row>
    <x:row r="85">
      <x:c r="A85" t="str">
        <x:v>SUS-000084</x:v>
      </x:c>
      <x:c r="B85" t="str">
        <x:v>USR-00079</x:v>
      </x:c>
      <x:c r="C85" t="str">
        <x:v>Cero</x:v>
      </x:c>
      <x:c r="D85" t="n">
        <x:v>45717</x:v>
      </x:c>
      <x:c r="E85" t="n">
        <x:v>45870</x:v>
      </x:c>
      <x:c r="F85" t="str">
        <x:v>Finalizada</x:v>
      </x:c>
      <x:c r="G85" t="str">
        <x:v>Gratuita</x:v>
      </x:c>
      <x:c r="H85" t="n">
        <x:v>6</x:v>
      </x:c>
    </x:row>
    <x:row r="86">
      <x:c r="A86" t="str">
        <x:v>SUS-000085</x:v>
      </x:c>
      <x:c r="B86" t="str">
        <x:v>USR-00080</x:v>
      </x:c>
      <x:c r="C86" t="str">
        <x:v>Cero</x:v>
      </x:c>
      <x:c r="D86" t="n">
        <x:v>45717</x:v>
      </x:c>
      <x:c r="E86" t="n">
        <x:v>45778</x:v>
      </x:c>
      <x:c r="F86" t="str">
        <x:v>Finalizada</x:v>
      </x:c>
      <x:c r="G86" t="str">
        <x:v>Gratuita</x:v>
      </x:c>
      <x:c r="H86" t="n">
        <x:v>3</x:v>
      </x:c>
    </x:row>
    <x:row r="87">
      <x:c r="A87" t="str">
        <x:v>SUS-000086</x:v>
      </x:c>
      <x:c r="B87" t="str">
        <x:v>USR-00081</x:v>
      </x:c>
      <x:c r="C87" t="str">
        <x:v>Cero</x:v>
      </x:c>
      <x:c r="D87" t="n">
        <x:v>45717</x:v>
      </x:c>
      <x:c r="E87" t="n">
        <x:v>46266</x:v>
      </x:c>
      <x:c r="F87" t="str">
        <x:v>Activa</x:v>
      </x:c>
      <x:c r="G87" t="str">
        <x:v>Gratuita</x:v>
      </x:c>
      <x:c r="H87" t="n">
        <x:v>19</x:v>
      </x:c>
    </x:row>
    <x:row r="88">
      <x:c r="A88" t="str">
        <x:v>SUS-000087</x:v>
      </x:c>
      <x:c r="B88" t="str">
        <x:v>USR-00082</x:v>
      </x:c>
      <x:c r="C88" t="str">
        <x:v>Cero</x:v>
      </x:c>
      <x:c r="D88" t="n">
        <x:v>45717</x:v>
      </x:c>
      <x:c r="E88" t="n">
        <x:v>45962</x:v>
      </x:c>
      <x:c r="F88" t="str">
        <x:v>Finalizada</x:v>
      </x:c>
      <x:c r="G88" t="str">
        <x:v>Gratuita</x:v>
      </x:c>
      <x:c r="H88" t="n">
        <x:v>9</x:v>
      </x:c>
    </x:row>
    <x:row r="89">
      <x:c r="A89" t="str">
        <x:v>SUS-000088</x:v>
      </x:c>
      <x:c r="B89" t="str">
        <x:v>USR-00083</x:v>
      </x:c>
      <x:c r="C89" t="str">
        <x:v>Cero</x:v>
      </x:c>
      <x:c r="D89" t="n">
        <x:v>45717</x:v>
      </x:c>
      <x:c r="E89" t="n">
        <x:v>45809</x:v>
      </x:c>
      <x:c r="F89" t="str">
        <x:v>Finalizada</x:v>
      </x:c>
      <x:c r="G89" t="str">
        <x:v>Gratuita</x:v>
      </x:c>
      <x:c r="H89" t="n">
        <x:v>4</x:v>
      </x:c>
    </x:row>
    <x:row r="90">
      <x:c r="A90" t="str">
        <x:v>SUS-000089</x:v>
      </x:c>
      <x:c r="B90" t="str">
        <x:v>USR-00084</x:v>
      </x:c>
      <x:c r="C90" t="str">
        <x:v>Cero</x:v>
      </x:c>
      <x:c r="D90" t="n">
        <x:v>45717</x:v>
      </x:c>
      <x:c r="E90" t="n">
        <x:v>46266</x:v>
      </x:c>
      <x:c r="F90" t="str">
        <x:v>Activa</x:v>
      </x:c>
      <x:c r="G90" t="str">
        <x:v>Gratuita</x:v>
      </x:c>
      <x:c r="H90" t="n">
        <x:v>19</x:v>
      </x:c>
    </x:row>
    <x:row r="91">
      <x:c r="A91" t="str">
        <x:v>SUS-000090</x:v>
      </x:c>
      <x:c r="B91" t="str">
        <x:v>USR-00085</x:v>
      </x:c>
      <x:c r="C91" t="str">
        <x:v>Cero</x:v>
      </x:c>
      <x:c r="D91" t="n">
        <x:v>45717</x:v>
      </x:c>
      <x:c r="E91" t="n">
        <x:v>45778</x:v>
      </x:c>
      <x:c r="F91" t="str">
        <x:v>Finalizada</x:v>
      </x:c>
      <x:c r="G91" t="str">
        <x:v>Gratuita</x:v>
      </x:c>
      <x:c r="H91" t="n">
        <x:v>3</x:v>
      </x:c>
    </x:row>
    <x:row r="92">
      <x:c r="A92" t="str">
        <x:v>SUS-000091</x:v>
      </x:c>
      <x:c r="B92" t="str">
        <x:v>USR-00086</x:v>
      </x:c>
      <x:c r="C92" t="str">
        <x:v>Cero</x:v>
      </x:c>
      <x:c r="D92" t="n">
        <x:v>45717</x:v>
      </x:c>
      <x:c r="E92" t="n">
        <x:v>46266</x:v>
      </x:c>
      <x:c r="F92" t="str">
        <x:v>Activa</x:v>
      </x:c>
      <x:c r="G92" t="str">
        <x:v>Gratuita</x:v>
      </x:c>
      <x:c r="H92" t="n">
        <x:v>19</x:v>
      </x:c>
    </x:row>
    <x:row r="93">
      <x:c r="A93" t="str">
        <x:v>SUS-000092</x:v>
      </x:c>
      <x:c r="B93" t="str">
        <x:v>USR-00087</x:v>
      </x:c>
      <x:c r="C93" t="str">
        <x:v>Cero</x:v>
      </x:c>
      <x:c r="D93" t="n">
        <x:v>45717</x:v>
      </x:c>
      <x:c r="E93" t="n">
        <x:v>45809</x:v>
      </x:c>
      <x:c r="F93" t="str">
        <x:v>Finalizada</x:v>
      </x:c>
      <x:c r="G93" t="str">
        <x:v>Gratuita</x:v>
      </x:c>
      <x:c r="H93" t="n">
        <x:v>4</x:v>
      </x:c>
    </x:row>
    <x:row r="94">
      <x:c r="A94" t="str">
        <x:v>SUS-000093</x:v>
      </x:c>
      <x:c r="B94" t="str">
        <x:v>USR-00088</x:v>
      </x:c>
      <x:c r="C94" t="str">
        <x:v>Cero</x:v>
      </x:c>
      <x:c r="D94" t="n">
        <x:v>45717</x:v>
      </x:c>
      <x:c r="E94" t="n">
        <x:v>46266</x:v>
      </x:c>
      <x:c r="F94" t="str">
        <x:v>Activa</x:v>
      </x:c>
      <x:c r="G94" t="str">
        <x:v>Gratuita</x:v>
      </x:c>
      <x:c r="H94" t="n">
        <x:v>19</x:v>
      </x:c>
    </x:row>
    <x:row r="95">
      <x:c r="A95" t="str">
        <x:v>SUS-000094</x:v>
      </x:c>
      <x:c r="B95" t="str">
        <x:v>USR-00089</x:v>
      </x:c>
      <x:c r="C95" t="str">
        <x:v>Cero</x:v>
      </x:c>
      <x:c r="D95" t="n">
        <x:v>45717</x:v>
      </x:c>
      <x:c r="E95" t="n">
        <x:v>46266</x:v>
      </x:c>
      <x:c r="F95" t="str">
        <x:v>Activa</x:v>
      </x:c>
      <x:c r="G95" t="str">
        <x:v>Gratuita</x:v>
      </x:c>
      <x:c r="H95" t="n">
        <x:v>19</x:v>
      </x:c>
    </x:row>
    <x:row r="96">
      <x:c r="A96" t="str">
        <x:v>SUS-000095</x:v>
      </x:c>
      <x:c r="B96" t="str">
        <x:v>USR-00090</x:v>
      </x:c>
      <x:c r="C96" t="str">
        <x:v>Cero</x:v>
      </x:c>
      <x:c r="D96" t="n">
        <x:v>45717</x:v>
      </x:c>
      <x:c r="E96" t="n">
        <x:v>46266</x:v>
      </x:c>
      <x:c r="F96" t="str">
        <x:v>Activa</x:v>
      </x:c>
      <x:c r="G96" t="str">
        <x:v>Gratuita</x:v>
      </x:c>
      <x:c r="H96" t="n">
        <x:v>19</x:v>
      </x:c>
    </x:row>
    <x:row r="97">
      <x:c r="A97" t="str">
        <x:v>SUS-000096</x:v>
      </x:c>
      <x:c r="B97" t="str">
        <x:v>USR-00091</x:v>
      </x:c>
      <x:c r="C97" t="str">
        <x:v>Plus mensual</x:v>
      </x:c>
      <x:c r="D97" t="n">
        <x:v>45717</x:v>
      </x:c>
      <x:c r="E97" t="n">
        <x:v>45992</x:v>
      </x:c>
      <x:c r="F97" t="str">
        <x:v>Finalizada</x:v>
      </x:c>
      <x:c r="G97" t="str">
        <x:v>Mensual</x:v>
      </x:c>
      <x:c r="H97" t="n">
        <x:v>10</x:v>
      </x:c>
    </x:row>
    <x:row r="98">
      <x:c r="A98" t="str">
        <x:v>SUS-000097</x:v>
      </x:c>
      <x:c r="B98" t="str">
        <x:v>USR-00092</x:v>
      </x:c>
      <x:c r="C98" t="str">
        <x:v>Cero</x:v>
      </x:c>
      <x:c r="D98" t="n">
        <x:v>45717</x:v>
      </x:c>
      <x:c r="E98" t="n">
        <x:v>46266</x:v>
      </x:c>
      <x:c r="F98" t="str">
        <x:v>Activa</x:v>
      </x:c>
      <x:c r="G98" t="str">
        <x:v>Gratuita</x:v>
      </x:c>
      <x:c r="H98" t="n">
        <x:v>19</x:v>
      </x:c>
    </x:row>
    <x:row r="99">
      <x:c r="A99" t="str">
        <x:v>SUS-000098</x:v>
      </x:c>
      <x:c r="B99" t="str">
        <x:v>USR-00093</x:v>
      </x:c>
      <x:c r="C99" t="str">
        <x:v>Plus anual</x:v>
      </x:c>
      <x:c r="D99" t="n">
        <x:v>45717</x:v>
      </x:c>
      <x:c r="E99" t="n">
        <x:v>46266</x:v>
      </x:c>
      <x:c r="F99" t="str">
        <x:v>Activa</x:v>
      </x:c>
      <x:c r="G99" t="str">
        <x:v>Anual</x:v>
      </x:c>
      <x:c r="H99" t="n">
        <x:v>19</x:v>
      </x:c>
    </x:row>
    <x:row r="100">
      <x:c r="A100" t="str">
        <x:v>SUS-000099</x:v>
      </x:c>
      <x:c r="B100" t="str">
        <x:v>USR-00094</x:v>
      </x:c>
      <x:c r="C100" t="str">
        <x:v>Cero</x:v>
      </x:c>
      <x:c r="D100" t="n">
        <x:v>45717</x:v>
      </x:c>
      <x:c r="E100" t="n">
        <x:v>46266</x:v>
      </x:c>
      <x:c r="F100" t="str">
        <x:v>Activa</x:v>
      </x:c>
      <x:c r="G100" t="str">
        <x:v>Gratuita</x:v>
      </x:c>
      <x:c r="H100" t="n">
        <x:v>19</x:v>
      </x:c>
    </x:row>
    <x:row r="101">
      <x:c r="A101" t="str">
        <x:v>SUS-000100</x:v>
      </x:c>
      <x:c r="B101" t="str">
        <x:v>USR-00007</x:v>
      </x:c>
      <x:c r="C101" t="str">
        <x:v>Cero</x:v>
      </x:c>
      <x:c r="D101" t="n">
        <x:v>45748</x:v>
      </x:c>
      <x:c r="E101" t="n">
        <x:v>45778</x:v>
      </x:c>
      <x:c r="F101" t="str">
        <x:v>Finalizada</x:v>
      </x:c>
      <x:c r="G101" t="str">
        <x:v>Gratuita</x:v>
      </x:c>
      <x:c r="H101" t="n">
        <x:v>2</x:v>
      </x:c>
    </x:row>
    <x:row r="102">
      <x:c r="A102" t="str">
        <x:v>SUS-000101</x:v>
      </x:c>
      <x:c r="B102" t="str">
        <x:v>USR-00026</x:v>
      </x:c>
      <x:c r="C102" t="str">
        <x:v>Plus mensual</x:v>
      </x:c>
      <x:c r="D102" t="n">
        <x:v>45748</x:v>
      </x:c>
      <x:c r="E102" t="n">
        <x:v>46082</x:v>
      </x:c>
      <x:c r="F102" t="str">
        <x:v>Finalizada</x:v>
      </x:c>
      <x:c r="G102" t="str">
        <x:v>Mensual</x:v>
      </x:c>
      <x:c r="H102" t="n">
        <x:v>12</x:v>
      </x:c>
    </x:row>
    <x:row r="103">
      <x:c r="A103" t="str">
        <x:v>SUS-000102</x:v>
      </x:c>
      <x:c r="B103" t="str">
        <x:v>USR-00076</x:v>
      </x:c>
      <x:c r="C103" t="str">
        <x:v>Cero</x:v>
      </x:c>
      <x:c r="D103" t="n">
        <x:v>45748</x:v>
      </x:c>
      <x:c r="E103" t="n">
        <x:v>46082</x:v>
      </x:c>
      <x:c r="F103" t="str">
        <x:v>Finalizada</x:v>
      </x:c>
      <x:c r="G103" t="str">
        <x:v>Gratuita</x:v>
      </x:c>
      <x:c r="H103" t="n">
        <x:v>12</x:v>
      </x:c>
    </x:row>
    <x:row r="104">
      <x:c r="A104" t="str">
        <x:v>SUS-000103</x:v>
      </x:c>
      <x:c r="B104" t="str">
        <x:v>USR-00095</x:v>
      </x:c>
      <x:c r="C104" t="str">
        <x:v>Plus mensual</x:v>
      </x:c>
      <x:c r="D104" t="n">
        <x:v>45748</x:v>
      </x:c>
      <x:c r="E104" t="n">
        <x:v>45839</x:v>
      </x:c>
      <x:c r="F104" t="str">
        <x:v>Finalizada</x:v>
      </x:c>
      <x:c r="G104" t="str">
        <x:v>Mensual</x:v>
      </x:c>
      <x:c r="H104" t="n">
        <x:v>4</x:v>
      </x:c>
    </x:row>
    <x:row r="105">
      <x:c r="A105" t="str">
        <x:v>SUS-000104</x:v>
      </x:c>
      <x:c r="B105" t="str">
        <x:v>USR-00096</x:v>
      </x:c>
      <x:c r="C105" t="str">
        <x:v>Cero</x:v>
      </x:c>
      <x:c r="D105" t="n">
        <x:v>45748</x:v>
      </x:c>
      <x:c r="E105" t="n">
        <x:v>45839</x:v>
      </x:c>
      <x:c r="F105" t="str">
        <x:v>Finalizada</x:v>
      </x:c>
      <x:c r="G105" t="str">
        <x:v>Gratuita</x:v>
      </x:c>
      <x:c r="H105" t="n">
        <x:v>4</x:v>
      </x:c>
    </x:row>
    <x:row r="106">
      <x:c r="A106" t="str">
        <x:v>SUS-000105</x:v>
      </x:c>
      <x:c r="B106" t="str">
        <x:v>USR-00097</x:v>
      </x:c>
      <x:c r="C106" t="str">
        <x:v>Cero</x:v>
      </x:c>
      <x:c r="D106" t="n">
        <x:v>45748</x:v>
      </x:c>
      <x:c r="E106" t="n">
        <x:v>45962</x:v>
      </x:c>
      <x:c r="F106" t="str">
        <x:v>Finalizada</x:v>
      </x:c>
      <x:c r="G106" t="str">
        <x:v>Gratuita</x:v>
      </x:c>
      <x:c r="H106" t="n">
        <x:v>8</x:v>
      </x:c>
    </x:row>
    <x:row r="107">
      <x:c r="A107" t="str">
        <x:v>SUS-000106</x:v>
      </x:c>
      <x:c r="B107" t="str">
        <x:v>USR-00098</x:v>
      </x:c>
      <x:c r="C107" t="str">
        <x:v>Cero</x:v>
      </x:c>
      <x:c r="D107" t="n">
        <x:v>45748</x:v>
      </x:c>
      <x:c r="E107" t="n">
        <x:v>46174</x:v>
      </x:c>
      <x:c r="F107" t="str">
        <x:v>Finalizada</x:v>
      </x:c>
      <x:c r="G107" t="str">
        <x:v>Gratuita</x:v>
      </x:c>
      <x:c r="H107" t="n">
        <x:v>15</x:v>
      </x:c>
    </x:row>
    <x:row r="108">
      <x:c r="A108" t="str">
        <x:v>SUS-000107</x:v>
      </x:c>
      <x:c r="B108" t="str">
        <x:v>USR-00099</x:v>
      </x:c>
      <x:c r="C108" t="str">
        <x:v>Cero</x:v>
      </x:c>
      <x:c r="D108" t="n">
        <x:v>45748</x:v>
      </x:c>
      <x:c r="E108" t="n">
        <x:v>45870</x:v>
      </x:c>
      <x:c r="F108" t="str">
        <x:v>Finalizada</x:v>
      </x:c>
      <x:c r="G108" t="str">
        <x:v>Gratuita</x:v>
      </x:c>
      <x:c r="H108" t="n">
        <x:v>5</x:v>
      </x:c>
    </x:row>
    <x:row r="109">
      <x:c r="A109" t="str">
        <x:v>SUS-000108</x:v>
      </x:c>
      <x:c r="B109" t="str">
        <x:v>USR-00100</x:v>
      </x:c>
      <x:c r="C109" t="str">
        <x:v>Plus mensual</x:v>
      </x:c>
      <x:c r="D109" t="n">
        <x:v>45748</x:v>
      </x:c>
      <x:c r="E109" t="n">
        <x:v>46054</x:v>
      </x:c>
      <x:c r="F109" t="str">
        <x:v>Finalizada</x:v>
      </x:c>
      <x:c r="G109" t="str">
        <x:v>Mensual</x:v>
      </x:c>
      <x:c r="H109" t="n">
        <x:v>11</x:v>
      </x:c>
    </x:row>
    <x:row r="110">
      <x:c r="A110" t="str">
        <x:v>SUS-000109</x:v>
      </x:c>
      <x:c r="B110" t="str">
        <x:v>USR-00101</x:v>
      </x:c>
      <x:c r="C110" t="str">
        <x:v>Plus mensual</x:v>
      </x:c>
      <x:c r="D110" t="n">
        <x:v>45748</x:v>
      </x:c>
      <x:c r="E110" t="n">
        <x:v>45809</x:v>
      </x:c>
      <x:c r="F110" t="str">
        <x:v>Finalizada</x:v>
      </x:c>
      <x:c r="G110" t="str">
        <x:v>Mensual</x:v>
      </x:c>
      <x:c r="H110" t="n">
        <x:v>3</x:v>
      </x:c>
    </x:row>
    <x:row r="111">
      <x:c r="A111" t="str">
        <x:v>SUS-000110</x:v>
      </x:c>
      <x:c r="B111" t="str">
        <x:v>USR-00102</x:v>
      </x:c>
      <x:c r="C111" t="str">
        <x:v>Cero</x:v>
      </x:c>
      <x:c r="D111" t="n">
        <x:v>45748</x:v>
      </x:c>
      <x:c r="E111" t="n">
        <x:v>46054</x:v>
      </x:c>
      <x:c r="F111" t="str">
        <x:v>Finalizada</x:v>
      </x:c>
      <x:c r="G111" t="str">
        <x:v>Gratuita</x:v>
      </x:c>
      <x:c r="H111" t="n">
        <x:v>11</x:v>
      </x:c>
    </x:row>
    <x:row r="112">
      <x:c r="A112" t="str">
        <x:v>SUS-000111</x:v>
      </x:c>
      <x:c r="B112" t="str">
        <x:v>USR-00103</x:v>
      </x:c>
      <x:c r="C112" t="str">
        <x:v>Cero</x:v>
      </x:c>
      <x:c r="D112" t="n">
        <x:v>45748</x:v>
      </x:c>
      <x:c r="E112" t="n">
        <x:v>46266</x:v>
      </x:c>
      <x:c r="F112" t="str">
        <x:v>Activa</x:v>
      </x:c>
      <x:c r="G112" t="str">
        <x:v>Gratuita</x:v>
      </x:c>
      <x:c r="H112" t="n">
        <x:v>18</x:v>
      </x:c>
    </x:row>
    <x:row r="113">
      <x:c r="A113" t="str">
        <x:v>SUS-000112</x:v>
      </x:c>
      <x:c r="B113" t="str">
        <x:v>USR-00104</x:v>
      </x:c>
      <x:c r="C113" t="str">
        <x:v>Cero</x:v>
      </x:c>
      <x:c r="D113" t="n">
        <x:v>45748</x:v>
      </x:c>
      <x:c r="E113" t="n">
        <x:v>46174</x:v>
      </x:c>
      <x:c r="F113" t="str">
        <x:v>Finalizada</x:v>
      </x:c>
      <x:c r="G113" t="str">
        <x:v>Gratuita</x:v>
      </x:c>
      <x:c r="H113" t="n">
        <x:v>15</x:v>
      </x:c>
    </x:row>
    <x:row r="114">
      <x:c r="A114" t="str">
        <x:v>SUS-000113</x:v>
      </x:c>
      <x:c r="B114" t="str">
        <x:v>USR-00105</x:v>
      </x:c>
      <x:c r="C114" t="str">
        <x:v>Cero</x:v>
      </x:c>
      <x:c r="D114" t="n">
        <x:v>45748</x:v>
      </x:c>
      <x:c r="E114" t="n">
        <x:v>46266</x:v>
      </x:c>
      <x:c r="F114" t="str">
        <x:v>Activa</x:v>
      </x:c>
      <x:c r="G114" t="str">
        <x:v>Gratuita</x:v>
      </x:c>
      <x:c r="H114" t="n">
        <x:v>18</x:v>
      </x:c>
    </x:row>
    <x:row r="115">
      <x:c r="A115" t="str">
        <x:v>SUS-000114</x:v>
      </x:c>
      <x:c r="B115" t="str">
        <x:v>USR-00106</x:v>
      </x:c>
      <x:c r="C115" t="str">
        <x:v>Cero</x:v>
      </x:c>
      <x:c r="D115" t="n">
        <x:v>45748</x:v>
      </x:c>
      <x:c r="E115" t="n">
        <x:v>46174</x:v>
      </x:c>
      <x:c r="F115" t="str">
        <x:v>Finalizada</x:v>
      </x:c>
      <x:c r="G115" t="str">
        <x:v>Gratuita</x:v>
      </x:c>
      <x:c r="H115" t="n">
        <x:v>15</x:v>
      </x:c>
    </x:row>
    <x:row r="116">
      <x:c r="A116" t="str">
        <x:v>SUS-000115</x:v>
      </x:c>
      <x:c r="B116" t="str">
        <x:v>USR-00107</x:v>
      </x:c>
      <x:c r="C116" t="str">
        <x:v>Cero</x:v>
      </x:c>
      <x:c r="D116" t="n">
        <x:v>45748</x:v>
      </x:c>
      <x:c r="E116" t="n">
        <x:v>45839</x:v>
      </x:c>
      <x:c r="F116" t="str">
        <x:v>Finalizada</x:v>
      </x:c>
      <x:c r="G116" t="str">
        <x:v>Gratuita</x:v>
      </x:c>
      <x:c r="H116" t="n">
        <x:v>4</x:v>
      </x:c>
    </x:row>
    <x:row r="117">
      <x:c r="A117" t="str">
        <x:v>SUS-000116</x:v>
      </x:c>
      <x:c r="B117" t="str">
        <x:v>USR-00108</x:v>
      </x:c>
      <x:c r="C117" t="str">
        <x:v>Cero</x:v>
      </x:c>
      <x:c r="D117" t="n">
        <x:v>45748</x:v>
      </x:c>
      <x:c r="E117" t="n">
        <x:v>46113</x:v>
      </x:c>
      <x:c r="F117" t="str">
        <x:v>Finalizada</x:v>
      </x:c>
      <x:c r="G117" t="str">
        <x:v>Gratuita</x:v>
      </x:c>
      <x:c r="H117" t="n">
        <x:v>13</x:v>
      </x:c>
    </x:row>
    <x:row r="118">
      <x:c r="A118" t="str">
        <x:v>SUS-000117</x:v>
      </x:c>
      <x:c r="B118" t="str">
        <x:v>USR-00109</x:v>
      </x:c>
      <x:c r="C118" t="str">
        <x:v>Cero</x:v>
      </x:c>
      <x:c r="D118" t="n">
        <x:v>45748</x:v>
      </x:c>
      <x:c r="E118" t="n">
        <x:v>46266</x:v>
      </x:c>
      <x:c r="F118" t="str">
        <x:v>Activa</x:v>
      </x:c>
      <x:c r="G118" t="str">
        <x:v>Gratuita</x:v>
      </x:c>
      <x:c r="H118" t="n">
        <x:v>18</x:v>
      </x:c>
    </x:row>
    <x:row r="119">
      <x:c r="A119" t="str">
        <x:v>SUS-000118</x:v>
      </x:c>
      <x:c r="B119" t="str">
        <x:v>USR-00110</x:v>
      </x:c>
      <x:c r="C119" t="str">
        <x:v>Cero</x:v>
      </x:c>
      <x:c r="D119" t="n">
        <x:v>45748</x:v>
      </x:c>
      <x:c r="E119" t="n">
        <x:v>46266</x:v>
      </x:c>
      <x:c r="F119" t="str">
        <x:v>Activa</x:v>
      </x:c>
      <x:c r="G119" t="str">
        <x:v>Gratuita</x:v>
      </x:c>
      <x:c r="H119" t="n">
        <x:v>18</x:v>
      </x:c>
    </x:row>
    <x:row r="120">
      <x:c r="A120" t="str">
        <x:v>SUS-000119</x:v>
      </x:c>
      <x:c r="B120" t="str">
        <x:v>USR-00111</x:v>
      </x:c>
      <x:c r="C120" t="str">
        <x:v>Cero</x:v>
      </x:c>
      <x:c r="D120" t="n">
        <x:v>45748</x:v>
      </x:c>
      <x:c r="E120" t="n">
        <x:v>46266</x:v>
      </x:c>
      <x:c r="F120" t="str">
        <x:v>Activa</x:v>
      </x:c>
      <x:c r="G120" t="str">
        <x:v>Gratuita</x:v>
      </x:c>
      <x:c r="H120" t="n">
        <x:v>18</x:v>
      </x:c>
    </x:row>
    <x:row r="121">
      <x:c r="A121" t="str">
        <x:v>SUS-000120</x:v>
      </x:c>
      <x:c r="B121" t="str">
        <x:v>USR-00112</x:v>
      </x:c>
      <x:c r="C121" t="str">
        <x:v>Cero</x:v>
      </x:c>
      <x:c r="D121" t="n">
        <x:v>45748</x:v>
      </x:c>
      <x:c r="E121" t="n">
        <x:v>45870</x:v>
      </x:c>
      <x:c r="F121" t="str">
        <x:v>Finalizada</x:v>
      </x:c>
      <x:c r="G121" t="str">
        <x:v>Gratuita</x:v>
      </x:c>
      <x:c r="H121" t="n">
        <x:v>5</x:v>
      </x:c>
    </x:row>
    <x:row r="122">
      <x:c r="A122" t="str">
        <x:v>SUS-000121</x:v>
      </x:c>
      <x:c r="B122" t="str">
        <x:v>USR-00113</x:v>
      </x:c>
      <x:c r="C122" t="str">
        <x:v>Cero</x:v>
      </x:c>
      <x:c r="D122" t="n">
        <x:v>45748</x:v>
      </x:c>
      <x:c r="E122" t="n">
        <x:v>46266</x:v>
      </x:c>
      <x:c r="F122" t="str">
        <x:v>Activa</x:v>
      </x:c>
      <x:c r="G122" t="str">
        <x:v>Gratuita</x:v>
      </x:c>
      <x:c r="H122" t="n">
        <x:v>18</x:v>
      </x:c>
    </x:row>
    <x:row r="123">
      <x:c r="A123" t="str">
        <x:v>SUS-000122</x:v>
      </x:c>
      <x:c r="B123" t="str">
        <x:v>USR-00114</x:v>
      </x:c>
      <x:c r="C123" t="str">
        <x:v>Cero</x:v>
      </x:c>
      <x:c r="D123" t="n">
        <x:v>45748</x:v>
      </x:c>
      <x:c r="E123" t="n">
        <x:v>46266</x:v>
      </x:c>
      <x:c r="F123" t="str">
        <x:v>Activa</x:v>
      </x:c>
      <x:c r="G123" t="str">
        <x:v>Gratuita</x:v>
      </x:c>
      <x:c r="H123" t="n">
        <x:v>18</x:v>
      </x:c>
    </x:row>
    <x:row r="124">
      <x:c r="A124" t="str">
        <x:v>SUS-000123</x:v>
      </x:c>
      <x:c r="B124" t="str">
        <x:v>USR-00115</x:v>
      </x:c>
      <x:c r="C124" t="str">
        <x:v>Cero</x:v>
      </x:c>
      <x:c r="D124" t="n">
        <x:v>45748</x:v>
      </x:c>
      <x:c r="E124" t="n">
        <x:v>46266</x:v>
      </x:c>
      <x:c r="F124" t="str">
        <x:v>Activa</x:v>
      </x:c>
      <x:c r="G124" t="str">
        <x:v>Gratuita</x:v>
      </x:c>
      <x:c r="H124" t="n">
        <x:v>18</x:v>
      </x:c>
    </x:row>
    <x:row r="125">
      <x:c r="A125" t="str">
        <x:v>SUS-000124</x:v>
      </x:c>
      <x:c r="B125" t="str">
        <x:v>USR-00116</x:v>
      </x:c>
      <x:c r="C125" t="str">
        <x:v>Cero</x:v>
      </x:c>
      <x:c r="D125" t="n">
        <x:v>45748</x:v>
      </x:c>
      <x:c r="E125" t="n">
        <x:v>45901</x:v>
      </x:c>
      <x:c r="F125" t="str">
        <x:v>Finalizada</x:v>
      </x:c>
      <x:c r="G125" t="str">
        <x:v>Gratuita</x:v>
      </x:c>
      <x:c r="H125" t="n">
        <x:v>6</x:v>
      </x:c>
    </x:row>
    <x:row r="126">
      <x:c r="A126" t="str">
        <x:v>SUS-000125</x:v>
      </x:c>
      <x:c r="B126" t="str">
        <x:v>USR-00117</x:v>
      </x:c>
      <x:c r="C126" t="str">
        <x:v>Cero</x:v>
      </x:c>
      <x:c r="D126" t="n">
        <x:v>45748</x:v>
      </x:c>
      <x:c r="E126" t="n">
        <x:v>45778</x:v>
      </x:c>
      <x:c r="F126" t="str">
        <x:v>Finalizada</x:v>
      </x:c>
      <x:c r="G126" t="str">
        <x:v>Gratuita</x:v>
      </x:c>
      <x:c r="H126" t="n">
        <x:v>2</x:v>
      </x:c>
    </x:row>
    <x:row r="127">
      <x:c r="A127" t="str">
        <x:v>SUS-000126</x:v>
      </x:c>
      <x:c r="B127" t="str">
        <x:v>USR-00118</x:v>
      </x:c>
      <x:c r="C127" t="str">
        <x:v>Cero</x:v>
      </x:c>
      <x:c r="D127" t="n">
        <x:v>45748</x:v>
      </x:c>
      <x:c r="E127" t="n">
        <x:v>46174</x:v>
      </x:c>
      <x:c r="F127" t="str">
        <x:v>Finalizada</x:v>
      </x:c>
      <x:c r="G127" t="str">
        <x:v>Gratuita</x:v>
      </x:c>
      <x:c r="H127" t="n">
        <x:v>15</x:v>
      </x:c>
    </x:row>
    <x:row r="128">
      <x:c r="A128" t="str">
        <x:v>SUS-000127</x:v>
      </x:c>
      <x:c r="B128" t="str">
        <x:v>USR-00119</x:v>
      </x:c>
      <x:c r="C128" t="str">
        <x:v>Cero</x:v>
      </x:c>
      <x:c r="D128" t="n">
        <x:v>45748</x:v>
      </x:c>
      <x:c r="E128" t="n">
        <x:v>45870</x:v>
      </x:c>
      <x:c r="F128" t="str">
        <x:v>Finalizada</x:v>
      </x:c>
      <x:c r="G128" t="str">
        <x:v>Gratuita</x:v>
      </x:c>
      <x:c r="H128" t="n">
        <x:v>5</x:v>
      </x:c>
    </x:row>
    <x:row r="129">
      <x:c r="A129" t="str">
        <x:v>SUS-000128</x:v>
      </x:c>
      <x:c r="B129" t="str">
        <x:v>USR-00120</x:v>
      </x:c>
      <x:c r="C129" t="str">
        <x:v>Cero</x:v>
      </x:c>
      <x:c r="D129" t="n">
        <x:v>45748</x:v>
      </x:c>
      <x:c r="E129" t="n">
        <x:v>45778</x:v>
      </x:c>
      <x:c r="F129" t="str">
        <x:v>Finalizada</x:v>
      </x:c>
      <x:c r="G129" t="str">
        <x:v>Gratuita</x:v>
      </x:c>
      <x:c r="H129" t="n">
        <x:v>2</x:v>
      </x:c>
    </x:row>
    <x:row r="130">
      <x:c r="A130" t="str">
        <x:v>SUS-000129</x:v>
      </x:c>
      <x:c r="B130" t="str">
        <x:v>USR-00121</x:v>
      </x:c>
      <x:c r="C130" t="str">
        <x:v>Cero</x:v>
      </x:c>
      <x:c r="D130" t="n">
        <x:v>45748</x:v>
      </x:c>
      <x:c r="E130" t="n">
        <x:v>45809</x:v>
      </x:c>
      <x:c r="F130" t="str">
        <x:v>Finalizada</x:v>
      </x:c>
      <x:c r="G130" t="str">
        <x:v>Gratuita</x:v>
      </x:c>
      <x:c r="H130" t="n">
        <x:v>3</x:v>
      </x:c>
    </x:row>
    <x:row r="131">
      <x:c r="A131" t="str">
        <x:v>SUS-000130</x:v>
      </x:c>
      <x:c r="B131" t="str">
        <x:v>USR-00035</x:v>
      </x:c>
      <x:c r="C131" t="str">
        <x:v>Plus mensual</x:v>
      </x:c>
      <x:c r="D131" t="n">
        <x:v>45778</x:v>
      </x:c>
      <x:c r="E131" t="n">
        <x:v>45992</x:v>
      </x:c>
      <x:c r="F131" t="str">
        <x:v>Finalizada</x:v>
      </x:c>
      <x:c r="G131" t="str">
        <x:v>Mensual</x:v>
      </x:c>
      <x:c r="H131" t="n">
        <x:v>8</x:v>
      </x:c>
    </x:row>
    <x:row r="132">
      <x:c r="A132" t="str">
        <x:v>SUS-000131</x:v>
      </x:c>
      <x:c r="B132" t="str">
        <x:v>USR-00122</x:v>
      </x:c>
      <x:c r="C132" t="str">
        <x:v>Plus mensual</x:v>
      </x:c>
      <x:c r="D132" t="n">
        <x:v>45778</x:v>
      </x:c>
      <x:c r="E132" t="n">
        <x:v>45778</x:v>
      </x:c>
      <x:c r="F132" t="str">
        <x:v>Finalizada</x:v>
      </x:c>
      <x:c r="G132" t="str">
        <x:v>Mensual</x:v>
      </x:c>
      <x:c r="H132" t="n">
        <x:v>1</x:v>
      </x:c>
    </x:row>
    <x:row r="133">
      <x:c r="A133" t="str">
        <x:v>SUS-000132</x:v>
      </x:c>
      <x:c r="B133" t="str">
        <x:v>USR-00123</x:v>
      </x:c>
      <x:c r="C133" t="str">
        <x:v>Cero</x:v>
      </x:c>
      <x:c r="D133" t="n">
        <x:v>45778</x:v>
      </x:c>
      <x:c r="E133" t="n">
        <x:v>45809</x:v>
      </x:c>
      <x:c r="F133" t="str">
        <x:v>Finalizada</x:v>
      </x:c>
      <x:c r="G133" t="str">
        <x:v>Gratuita</x:v>
      </x:c>
      <x:c r="H133" t="n">
        <x:v>2</x:v>
      </x:c>
    </x:row>
    <x:row r="134">
      <x:c r="A134" t="str">
        <x:v>SUS-000133</x:v>
      </x:c>
      <x:c r="B134" t="str">
        <x:v>USR-00124</x:v>
      </x:c>
      <x:c r="C134" t="str">
        <x:v>Cero</x:v>
      </x:c>
      <x:c r="D134" t="n">
        <x:v>45778</x:v>
      </x:c>
      <x:c r="E134" t="n">
        <x:v>46266</x:v>
      </x:c>
      <x:c r="F134" t="str">
        <x:v>Activa</x:v>
      </x:c>
      <x:c r="G134" t="str">
        <x:v>Gratuita</x:v>
      </x:c>
      <x:c r="H134" t="n">
        <x:v>17</x:v>
      </x:c>
    </x:row>
    <x:row r="135">
      <x:c r="A135" t="str">
        <x:v>SUS-000134</x:v>
      </x:c>
      <x:c r="B135" t="str">
        <x:v>USR-00125</x:v>
      </x:c>
      <x:c r="C135" t="str">
        <x:v>Cero</x:v>
      </x:c>
      <x:c r="D135" t="n">
        <x:v>45778</x:v>
      </x:c>
      <x:c r="E135" t="n">
        <x:v>46266</x:v>
      </x:c>
      <x:c r="F135" t="str">
        <x:v>Activa</x:v>
      </x:c>
      <x:c r="G135" t="str">
        <x:v>Gratuita</x:v>
      </x:c>
      <x:c r="H135" t="n">
        <x:v>17</x:v>
      </x:c>
    </x:row>
    <x:row r="136">
      <x:c r="A136" t="str">
        <x:v>SUS-000135</x:v>
      </x:c>
      <x:c r="B136" t="str">
        <x:v>USR-00126</x:v>
      </x:c>
      <x:c r="C136" t="str">
        <x:v>Cero</x:v>
      </x:c>
      <x:c r="D136" t="n">
        <x:v>45778</x:v>
      </x:c>
      <x:c r="E136" t="n">
        <x:v>46266</x:v>
      </x:c>
      <x:c r="F136" t="str">
        <x:v>Activa</x:v>
      </x:c>
      <x:c r="G136" t="str">
        <x:v>Gratuita</x:v>
      </x:c>
      <x:c r="H136" t="n">
        <x:v>17</x:v>
      </x:c>
    </x:row>
    <x:row r="137">
      <x:c r="A137" t="str">
        <x:v>SUS-000136</x:v>
      </x:c>
      <x:c r="B137" t="str">
        <x:v>USR-00127</x:v>
      </x:c>
      <x:c r="C137" t="str">
        <x:v>Cero</x:v>
      </x:c>
      <x:c r="D137" t="n">
        <x:v>45778</x:v>
      </x:c>
      <x:c r="E137" t="n">
        <x:v>46266</x:v>
      </x:c>
      <x:c r="F137" t="str">
        <x:v>Activa</x:v>
      </x:c>
      <x:c r="G137" t="str">
        <x:v>Gratuita</x:v>
      </x:c>
      <x:c r="H137" t="n">
        <x:v>17</x:v>
      </x:c>
    </x:row>
    <x:row r="138">
      <x:c r="A138" t="str">
        <x:v>SUS-000137</x:v>
      </x:c>
      <x:c r="B138" t="str">
        <x:v>USR-00128</x:v>
      </x:c>
      <x:c r="C138" t="str">
        <x:v>Cero</x:v>
      </x:c>
      <x:c r="D138" t="n">
        <x:v>45778</x:v>
      </x:c>
      <x:c r="E138" t="n">
        <x:v>46266</x:v>
      </x:c>
      <x:c r="F138" t="str">
        <x:v>Activa</x:v>
      </x:c>
      <x:c r="G138" t="str">
        <x:v>Gratuita</x:v>
      </x:c>
      <x:c r="H138" t="n">
        <x:v>17</x:v>
      </x:c>
    </x:row>
    <x:row r="139">
      <x:c r="A139" t="str">
        <x:v>SUS-000138</x:v>
      </x:c>
      <x:c r="B139" t="str">
        <x:v>USR-00129</x:v>
      </x:c>
      <x:c r="C139" t="str">
        <x:v>Cero</x:v>
      </x:c>
      <x:c r="D139" t="n">
        <x:v>45778</x:v>
      </x:c>
      <x:c r="E139" t="n">
        <x:v>45901</x:v>
      </x:c>
      <x:c r="F139" t="str">
        <x:v>Finalizada</x:v>
      </x:c>
      <x:c r="G139" t="str">
        <x:v>Gratuita</x:v>
      </x:c>
      <x:c r="H139" t="n">
        <x:v>5</x:v>
      </x:c>
    </x:row>
    <x:row r="140">
      <x:c r="A140" t="str">
        <x:v>SUS-000139</x:v>
      </x:c>
      <x:c r="B140" t="str">
        <x:v>USR-00130</x:v>
      </x:c>
      <x:c r="C140" t="str">
        <x:v>Cero</x:v>
      </x:c>
      <x:c r="D140" t="n">
        <x:v>45778</x:v>
      </x:c>
      <x:c r="E140" t="n">
        <x:v>46266</x:v>
      </x:c>
      <x:c r="F140" t="str">
        <x:v>Activa</x:v>
      </x:c>
      <x:c r="G140" t="str">
        <x:v>Gratuita</x:v>
      </x:c>
      <x:c r="H140" t="n">
        <x:v>17</x:v>
      </x:c>
    </x:row>
    <x:row r="141">
      <x:c r="A141" t="str">
        <x:v>SUS-000140</x:v>
      </x:c>
      <x:c r="B141" t="str">
        <x:v>USR-00131</x:v>
      </x:c>
      <x:c r="C141" t="str">
        <x:v>Cero</x:v>
      </x:c>
      <x:c r="D141" t="n">
        <x:v>45778</x:v>
      </x:c>
      <x:c r="E141" t="n">
        <x:v>45992</x:v>
      </x:c>
      <x:c r="F141" t="str">
        <x:v>Finalizada</x:v>
      </x:c>
      <x:c r="G141" t="str">
        <x:v>Gratuita</x:v>
      </x:c>
      <x:c r="H141" t="n">
        <x:v>8</x:v>
      </x:c>
    </x:row>
    <x:row r="142">
      <x:c r="A142" t="str">
        <x:v>SUS-000141</x:v>
      </x:c>
      <x:c r="B142" t="str">
        <x:v>USR-00132</x:v>
      </x:c>
      <x:c r="C142" t="str">
        <x:v>Cero</x:v>
      </x:c>
      <x:c r="D142" t="n">
        <x:v>45778</x:v>
      </x:c>
      <x:c r="E142" t="n">
        <x:v>46113</x:v>
      </x:c>
      <x:c r="F142" t="str">
        <x:v>Finalizada</x:v>
      </x:c>
      <x:c r="G142" t="str">
        <x:v>Gratuita</x:v>
      </x:c>
      <x:c r="H142" t="n">
        <x:v>12</x:v>
      </x:c>
    </x:row>
    <x:row r="143">
      <x:c r="A143" t="str">
        <x:v>SUS-000142</x:v>
      </x:c>
      <x:c r="B143" t="str">
        <x:v>USR-00133</x:v>
      </x:c>
      <x:c r="C143" t="str">
        <x:v>Cero</x:v>
      </x:c>
      <x:c r="D143" t="n">
        <x:v>45778</x:v>
      </x:c>
      <x:c r="E143" t="n">
        <x:v>46235</x:v>
      </x:c>
      <x:c r="F143" t="str">
        <x:v>Finalizada</x:v>
      </x:c>
      <x:c r="G143" t="str">
        <x:v>Gratuita</x:v>
      </x:c>
      <x:c r="H143" t="n">
        <x:v>16</x:v>
      </x:c>
    </x:row>
    <x:row r="144">
      <x:c r="A144" t="str">
        <x:v>SUS-000143</x:v>
      </x:c>
      <x:c r="B144" t="str">
        <x:v>USR-00134</x:v>
      </x:c>
      <x:c r="C144" t="str">
        <x:v>Plus mensual</x:v>
      </x:c>
      <x:c r="D144" t="n">
        <x:v>45778</x:v>
      </x:c>
      <x:c r="E144" t="n">
        <x:v>45778</x:v>
      </x:c>
      <x:c r="F144" t="str">
        <x:v>Finalizada</x:v>
      </x:c>
      <x:c r="G144" t="str">
        <x:v>Mensual</x:v>
      </x:c>
      <x:c r="H144" t="n">
        <x:v>1</x:v>
      </x:c>
    </x:row>
    <x:row r="145">
      <x:c r="A145" t="str">
        <x:v>SUS-000144</x:v>
      </x:c>
      <x:c r="B145" t="str">
        <x:v>USR-00135</x:v>
      </x:c>
      <x:c r="C145" t="str">
        <x:v>Cero</x:v>
      </x:c>
      <x:c r="D145" t="n">
        <x:v>45778</x:v>
      </x:c>
      <x:c r="E145" t="n">
        <x:v>46266</x:v>
      </x:c>
      <x:c r="F145" t="str">
        <x:v>Activa</x:v>
      </x:c>
      <x:c r="G145" t="str">
        <x:v>Gratuita</x:v>
      </x:c>
      <x:c r="H145" t="n">
        <x:v>17</x:v>
      </x:c>
    </x:row>
    <x:row r="146">
      <x:c r="A146" t="str">
        <x:v>SUS-000145</x:v>
      </x:c>
      <x:c r="B146" t="str">
        <x:v>USR-00136</x:v>
      </x:c>
      <x:c r="C146" t="str">
        <x:v>Cero</x:v>
      </x:c>
      <x:c r="D146" t="n">
        <x:v>45778</x:v>
      </x:c>
      <x:c r="E146" t="n">
        <x:v>46143</x:v>
      </x:c>
      <x:c r="F146" t="str">
        <x:v>Finalizada</x:v>
      </x:c>
      <x:c r="G146" t="str">
        <x:v>Gratuita</x:v>
      </x:c>
      <x:c r="H146" t="n">
        <x:v>13</x:v>
      </x:c>
    </x:row>
    <x:row r="147">
      <x:c r="A147" t="str">
        <x:v>SUS-000146</x:v>
      </x:c>
      <x:c r="B147" t="str">
        <x:v>USR-00137</x:v>
      </x:c>
      <x:c r="C147" t="str">
        <x:v>Cero</x:v>
      </x:c>
      <x:c r="D147" t="n">
        <x:v>45778</x:v>
      </x:c>
      <x:c r="E147" t="n">
        <x:v>45839</x:v>
      </x:c>
      <x:c r="F147" t="str">
        <x:v>Finalizada</x:v>
      </x:c>
      <x:c r="G147" t="str">
        <x:v>Gratuita</x:v>
      </x:c>
      <x:c r="H147" t="n">
        <x:v>3</x:v>
      </x:c>
    </x:row>
    <x:row r="148">
      <x:c r="A148" t="str">
        <x:v>SUS-000147</x:v>
      </x:c>
      <x:c r="B148" t="str">
        <x:v>USR-00138</x:v>
      </x:c>
      <x:c r="C148" t="str">
        <x:v>Cero</x:v>
      </x:c>
      <x:c r="D148" t="n">
        <x:v>45778</x:v>
      </x:c>
      <x:c r="E148" t="n">
        <x:v>46266</x:v>
      </x:c>
      <x:c r="F148" t="str">
        <x:v>Activa</x:v>
      </x:c>
      <x:c r="G148" t="str">
        <x:v>Gratuita</x:v>
      </x:c>
      <x:c r="H148" t="n">
        <x:v>17</x:v>
      </x:c>
    </x:row>
    <x:row r="149">
      <x:c r="A149" t="str">
        <x:v>SUS-000148</x:v>
      </x:c>
      <x:c r="B149" t="str">
        <x:v>USR-00139</x:v>
      </x:c>
      <x:c r="C149" t="str">
        <x:v>Cero</x:v>
      </x:c>
      <x:c r="D149" t="n">
        <x:v>45778</x:v>
      </x:c>
      <x:c r="E149" t="n">
        <x:v>46174</x:v>
      </x:c>
      <x:c r="F149" t="str">
        <x:v>Finalizada</x:v>
      </x:c>
      <x:c r="G149" t="str">
        <x:v>Gratuita</x:v>
      </x:c>
      <x:c r="H149" t="n">
        <x:v>14</x:v>
      </x:c>
    </x:row>
    <x:row r="150">
      <x:c r="A150" t="str">
        <x:v>SUS-000149</x:v>
      </x:c>
      <x:c r="B150" t="str">
        <x:v>USR-00140</x:v>
      </x:c>
      <x:c r="C150" t="str">
        <x:v>Plus mensual</x:v>
      </x:c>
      <x:c r="D150" t="n">
        <x:v>45778</x:v>
      </x:c>
      <x:c r="E150" t="n">
        <x:v>45839</x:v>
      </x:c>
      <x:c r="F150" t="str">
        <x:v>Finalizada</x:v>
      </x:c>
      <x:c r="G150" t="str">
        <x:v>Mensual</x:v>
      </x:c>
      <x:c r="H150" t="n">
        <x:v>3</x:v>
      </x:c>
    </x:row>
    <x:row r="151">
      <x:c r="A151" t="str">
        <x:v>SUS-000150</x:v>
      </x:c>
      <x:c r="B151" t="str">
        <x:v>USR-00141</x:v>
      </x:c>
      <x:c r="C151" t="str">
        <x:v>Plus anual</x:v>
      </x:c>
      <x:c r="D151" t="n">
        <x:v>45778</x:v>
      </x:c>
      <x:c r="E151" t="n">
        <x:v>46266</x:v>
      </x:c>
      <x:c r="F151" t="str">
        <x:v>Activa</x:v>
      </x:c>
      <x:c r="G151" t="str">
        <x:v>Anual</x:v>
      </x:c>
      <x:c r="H151" t="n">
        <x:v>17</x:v>
      </x:c>
    </x:row>
    <x:row r="152">
      <x:c r="A152" t="str">
        <x:v>SUS-000151</x:v>
      </x:c>
      <x:c r="B152" t="str">
        <x:v>USR-00142</x:v>
      </x:c>
      <x:c r="C152" t="str">
        <x:v>Cero</x:v>
      </x:c>
      <x:c r="D152" t="n">
        <x:v>45778</x:v>
      </x:c>
      <x:c r="E152" t="n">
        <x:v>46174</x:v>
      </x:c>
      <x:c r="F152" t="str">
        <x:v>Finalizada</x:v>
      </x:c>
      <x:c r="G152" t="str">
        <x:v>Gratuita</x:v>
      </x:c>
      <x:c r="H152" t="n">
        <x:v>14</x:v>
      </x:c>
    </x:row>
    <x:row r="153">
      <x:c r="A153" t="str">
        <x:v>SUS-000152</x:v>
      </x:c>
      <x:c r="B153" t="str">
        <x:v>USR-00143</x:v>
      </x:c>
      <x:c r="C153" t="str">
        <x:v>Cero</x:v>
      </x:c>
      <x:c r="D153" t="n">
        <x:v>45778</x:v>
      </x:c>
      <x:c r="E153" t="n">
        <x:v>45839</x:v>
      </x:c>
      <x:c r="F153" t="str">
        <x:v>Finalizada</x:v>
      </x:c>
      <x:c r="G153" t="str">
        <x:v>Gratuita</x:v>
      </x:c>
      <x:c r="H153" t="n">
        <x:v>3</x:v>
      </x:c>
    </x:row>
    <x:row r="154">
      <x:c r="A154" t="str">
        <x:v>SUS-000153</x:v>
      </x:c>
      <x:c r="B154" t="str">
        <x:v>USR-00144</x:v>
      </x:c>
      <x:c r="C154" t="str">
        <x:v>Cero</x:v>
      </x:c>
      <x:c r="D154" t="n">
        <x:v>45778</x:v>
      </x:c>
      <x:c r="E154" t="n">
        <x:v>46266</x:v>
      </x:c>
      <x:c r="F154" t="str">
        <x:v>Activa</x:v>
      </x:c>
      <x:c r="G154" t="str">
        <x:v>Gratuita</x:v>
      </x:c>
      <x:c r="H154" t="n">
        <x:v>17</x:v>
      </x:c>
    </x:row>
    <x:row r="155">
      <x:c r="A155" t="str">
        <x:v>SUS-000154</x:v>
      </x:c>
      <x:c r="B155" t="str">
        <x:v>USR-00145</x:v>
      </x:c>
      <x:c r="C155" t="str">
        <x:v>Cero</x:v>
      </x:c>
      <x:c r="D155" t="n">
        <x:v>45778</x:v>
      </x:c>
      <x:c r="E155" t="n">
        <x:v>45778</x:v>
      </x:c>
      <x:c r="F155" t="str">
        <x:v>Finalizada</x:v>
      </x:c>
      <x:c r="G155" t="str">
        <x:v>Gratuita</x:v>
      </x:c>
      <x:c r="H155" t="n">
        <x:v>1</x:v>
      </x:c>
    </x:row>
    <x:row r="156">
      <x:c r="A156" t="str">
        <x:v>SUS-000155</x:v>
      </x:c>
      <x:c r="B156" t="str">
        <x:v>USR-00003</x:v>
      </x:c>
      <x:c r="C156" t="str">
        <x:v>Plus mensual</x:v>
      </x:c>
      <x:c r="D156" t="n">
        <x:v>45809</x:v>
      </x:c>
      <x:c r="E156" t="n">
        <x:v>45870</x:v>
      </x:c>
      <x:c r="F156" t="str">
        <x:v>Finalizada</x:v>
      </x:c>
      <x:c r="G156" t="str">
        <x:v>Mensual</x:v>
      </x:c>
      <x:c r="H156" t="n">
        <x:v>3</x:v>
      </x:c>
    </x:row>
    <x:row r="157">
      <x:c r="A157" t="str">
        <x:v>SUS-000156</x:v>
      </x:c>
      <x:c r="B157" t="str">
        <x:v>USR-00007</x:v>
      </x:c>
      <x:c r="C157" t="str">
        <x:v>Plus anual</x:v>
      </x:c>
      <x:c r="D157" t="n">
        <x:v>45809</x:v>
      </x:c>
      <x:c r="E157" t="n">
        <x:v>46143</x:v>
      </x:c>
      <x:c r="F157" t="str">
        <x:v>Finalizada</x:v>
      </x:c>
      <x:c r="G157" t="str">
        <x:v>Anual</x:v>
      </x:c>
      <x:c r="H157" t="n">
        <x:v>12</x:v>
      </x:c>
    </x:row>
    <x:row r="158">
      <x:c r="A158" t="str">
        <x:v>SUS-000157</x:v>
      </x:c>
      <x:c r="B158" t="str">
        <x:v>USR-00018</x:v>
      </x:c>
      <x:c r="C158" t="str">
        <x:v>Plus mensual</x:v>
      </x:c>
      <x:c r="D158" t="n">
        <x:v>45809</x:v>
      </x:c>
      <x:c r="E158" t="n">
        <x:v>46266</x:v>
      </x:c>
      <x:c r="F158" t="str">
        <x:v>Activa</x:v>
      </x:c>
      <x:c r="G158" t="str">
        <x:v>Mensual</x:v>
      </x:c>
      <x:c r="H158" t="n">
        <x:v>16</x:v>
      </x:c>
    </x:row>
    <x:row r="159">
      <x:c r="A159" t="str">
        <x:v>SUS-000158</x:v>
      </x:c>
      <x:c r="B159" t="str">
        <x:v>USR-00019</x:v>
      </x:c>
      <x:c r="C159" t="str">
        <x:v>Plus mensual</x:v>
      </x:c>
      <x:c r="D159" t="n">
        <x:v>45809</x:v>
      </x:c>
      <x:c r="E159" t="n">
        <x:v>46266</x:v>
      </x:c>
      <x:c r="F159" t="str">
        <x:v>Activa</x:v>
      </x:c>
      <x:c r="G159" t="str">
        <x:v>Mensual</x:v>
      </x:c>
      <x:c r="H159" t="n">
        <x:v>16</x:v>
      </x:c>
    </x:row>
    <x:row r="160">
      <x:c r="A160" t="str">
        <x:v>SUS-000159</x:v>
      </x:c>
      <x:c r="B160" t="str">
        <x:v>USR-00029</x:v>
      </x:c>
      <x:c r="C160" t="str">
        <x:v>Plus mensual</x:v>
      </x:c>
      <x:c r="D160" t="n">
        <x:v>45809</x:v>
      </x:c>
      <x:c r="E160" t="n">
        <x:v>45809</x:v>
      </x:c>
      <x:c r="F160" t="str">
        <x:v>Finalizada</x:v>
      </x:c>
      <x:c r="G160" t="str">
        <x:v>Mensual</x:v>
      </x:c>
      <x:c r="H160" t="n">
        <x:v>1</x:v>
      </x:c>
    </x:row>
    <x:row r="161">
      <x:c r="A161" t="str">
        <x:v>SUS-000160</x:v>
      </x:c>
      <x:c r="B161" t="str">
        <x:v>USR-00048</x:v>
      </x:c>
      <x:c r="C161" t="str">
        <x:v>Plus mensual</x:v>
      </x:c>
      <x:c r="D161" t="n">
        <x:v>45809</x:v>
      </x:c>
      <x:c r="E161" t="n">
        <x:v>46113</x:v>
      </x:c>
      <x:c r="F161" t="str">
        <x:v>Finalizada</x:v>
      </x:c>
      <x:c r="G161" t="str">
        <x:v>Mensual</x:v>
      </x:c>
      <x:c r="H161" t="n">
        <x:v>11</x:v>
      </x:c>
    </x:row>
    <x:row r="162">
      <x:c r="A162" t="str">
        <x:v>SUS-000161</x:v>
      </x:c>
      <x:c r="B162" t="str">
        <x:v>USR-00074</x:v>
      </x:c>
      <x:c r="C162" t="str">
        <x:v>Plus mensual</x:v>
      </x:c>
      <x:c r="D162" t="n">
        <x:v>45809</x:v>
      </x:c>
      <x:c r="E162" t="n">
        <x:v>45839</x:v>
      </x:c>
      <x:c r="F162" t="str">
        <x:v>Finalizada</x:v>
      </x:c>
      <x:c r="G162" t="str">
        <x:v>Mensual</x:v>
      </x:c>
      <x:c r="H162" t="n">
        <x:v>2</x:v>
      </x:c>
    </x:row>
    <x:row r="163">
      <x:c r="A163" t="str">
        <x:v>SUS-000162</x:v>
      </x:c>
      <x:c r="B163" t="str">
        <x:v>USR-00080</x:v>
      </x:c>
      <x:c r="C163" t="str">
        <x:v>Plus anual</x:v>
      </x:c>
      <x:c r="D163" t="n">
        <x:v>45809</x:v>
      </x:c>
      <x:c r="E163" t="n">
        <x:v>46266</x:v>
      </x:c>
      <x:c r="F163" t="str">
        <x:v>Activa</x:v>
      </x:c>
      <x:c r="G163" t="str">
        <x:v>Anual</x:v>
      </x:c>
      <x:c r="H163" t="n">
        <x:v>16</x:v>
      </x:c>
    </x:row>
    <x:row r="164">
      <x:c r="A164" t="str">
        <x:v>SUS-000163</x:v>
      </x:c>
      <x:c r="B164" t="str">
        <x:v>USR-00085</x:v>
      </x:c>
      <x:c r="C164" t="str">
        <x:v>Plus mensual</x:v>
      </x:c>
      <x:c r="D164" t="n">
        <x:v>45809</x:v>
      </x:c>
      <x:c r="E164" t="n">
        <x:v>45839</x:v>
      </x:c>
      <x:c r="F164" t="str">
        <x:v>Finalizada</x:v>
      </x:c>
      <x:c r="G164" t="str">
        <x:v>Mensual</x:v>
      </x:c>
      <x:c r="H164" t="n">
        <x:v>2</x:v>
      </x:c>
    </x:row>
    <x:row r="165">
      <x:c r="A165" t="str">
        <x:v>SUS-000164</x:v>
      </x:c>
      <x:c r="B165" t="str">
        <x:v>USR-00117</x:v>
      </x:c>
      <x:c r="C165" t="str">
        <x:v>Plus mensual</x:v>
      </x:c>
      <x:c r="D165" t="n">
        <x:v>45809</x:v>
      </x:c>
      <x:c r="E165" t="n">
        <x:v>45809</x:v>
      </x:c>
      <x:c r="F165" t="str">
        <x:v>Finalizada</x:v>
      </x:c>
      <x:c r="G165" t="str">
        <x:v>Mensual</x:v>
      </x:c>
      <x:c r="H165" t="n">
        <x:v>1</x:v>
      </x:c>
    </x:row>
    <x:row r="166">
      <x:c r="A166" t="str">
        <x:v>SUS-000165</x:v>
      </x:c>
      <x:c r="B166" t="str">
        <x:v>USR-00120</x:v>
      </x:c>
      <x:c r="C166" t="str">
        <x:v>Plus anual</x:v>
      </x:c>
      <x:c r="D166" t="n">
        <x:v>45809</x:v>
      </x:c>
      <x:c r="E166" t="n">
        <x:v>46266</x:v>
      </x:c>
      <x:c r="F166" t="str">
        <x:v>Activa</x:v>
      </x:c>
      <x:c r="G166" t="str">
        <x:v>Anual</x:v>
      </x:c>
      <x:c r="H166" t="n">
        <x:v>16</x:v>
      </x:c>
    </x:row>
    <x:row r="167">
      <x:c r="A167" t="str">
        <x:v>SUS-000166</x:v>
      </x:c>
      <x:c r="B167" t="str">
        <x:v>USR-00122</x:v>
      </x:c>
      <x:c r="C167" t="str">
        <x:v>Cero</x:v>
      </x:c>
      <x:c r="D167" t="n">
        <x:v>45809</x:v>
      </x:c>
      <x:c r="E167" t="n">
        <x:v>46054</x:v>
      </x:c>
      <x:c r="F167" t="str">
        <x:v>Finalizada</x:v>
      </x:c>
      <x:c r="G167" t="str">
        <x:v>Gratuita</x:v>
      </x:c>
      <x:c r="H167" t="n">
        <x:v>9</x:v>
      </x:c>
    </x:row>
    <x:row r="168">
      <x:c r="A168" t="str">
        <x:v>SUS-000167</x:v>
      </x:c>
      <x:c r="B168" t="str">
        <x:v>USR-00134</x:v>
      </x:c>
      <x:c r="C168" t="str">
        <x:v>Cero</x:v>
      </x:c>
      <x:c r="D168" t="n">
        <x:v>45809</x:v>
      </x:c>
      <x:c r="E168" t="n">
        <x:v>46266</x:v>
      </x:c>
      <x:c r="F168" t="str">
        <x:v>Activa</x:v>
      </x:c>
      <x:c r="G168" t="str">
        <x:v>Gratuita</x:v>
      </x:c>
      <x:c r="H168" t="n">
        <x:v>16</x:v>
      </x:c>
    </x:row>
    <x:row r="169">
      <x:c r="A169" t="str">
        <x:v>SUS-000168</x:v>
      </x:c>
      <x:c r="B169" t="str">
        <x:v>USR-00145</x:v>
      </x:c>
      <x:c r="C169" t="str">
        <x:v>Plus mensual</x:v>
      </x:c>
      <x:c r="D169" t="n">
        <x:v>45809</x:v>
      </x:c>
      <x:c r="E169" t="n">
        <x:v>46266</x:v>
      </x:c>
      <x:c r="F169" t="str">
        <x:v>Activa</x:v>
      </x:c>
      <x:c r="G169" t="str">
        <x:v>Mensual</x:v>
      </x:c>
      <x:c r="H169" t="n">
        <x:v>16</x:v>
      </x:c>
    </x:row>
    <x:row r="170">
      <x:c r="A170" t="str">
        <x:v>SUS-000169</x:v>
      </x:c>
      <x:c r="B170" t="str">
        <x:v>USR-00146</x:v>
      </x:c>
      <x:c r="C170" t="str">
        <x:v>Plus mensual</x:v>
      </x:c>
      <x:c r="D170" t="n">
        <x:v>45809</x:v>
      </x:c>
      <x:c r="E170" t="n">
        <x:v>46023</x:v>
      </x:c>
      <x:c r="F170" t="str">
        <x:v>Finalizada</x:v>
      </x:c>
      <x:c r="G170" t="str">
        <x:v>Mensual</x:v>
      </x:c>
      <x:c r="H170" t="n">
        <x:v>8</x:v>
      </x:c>
    </x:row>
    <x:row r="171">
      <x:c r="A171" t="str">
        <x:v>SUS-000170</x:v>
      </x:c>
      <x:c r="B171" t="str">
        <x:v>USR-00147</x:v>
      </x:c>
      <x:c r="C171" t="str">
        <x:v>Cero</x:v>
      </x:c>
      <x:c r="D171" t="n">
        <x:v>45809</x:v>
      </x:c>
      <x:c r="E171" t="n">
        <x:v>46266</x:v>
      </x:c>
      <x:c r="F171" t="str">
        <x:v>Activa</x:v>
      </x:c>
      <x:c r="G171" t="str">
        <x:v>Gratuita</x:v>
      </x:c>
      <x:c r="H171" t="n">
        <x:v>16</x:v>
      </x:c>
    </x:row>
    <x:row r="172">
      <x:c r="A172" t="str">
        <x:v>SUS-000171</x:v>
      </x:c>
      <x:c r="B172" t="str">
        <x:v>USR-00148</x:v>
      </x:c>
      <x:c r="C172" t="str">
        <x:v>Cero</x:v>
      </x:c>
      <x:c r="D172" t="n">
        <x:v>45809</x:v>
      </x:c>
      <x:c r="E172" t="n">
        <x:v>46023</x:v>
      </x:c>
      <x:c r="F172" t="str">
        <x:v>Finalizada</x:v>
      </x:c>
      <x:c r="G172" t="str">
        <x:v>Gratuita</x:v>
      </x:c>
      <x:c r="H172" t="n">
        <x:v>8</x:v>
      </x:c>
    </x:row>
    <x:row r="173">
      <x:c r="A173" t="str">
        <x:v>SUS-000172</x:v>
      </x:c>
      <x:c r="B173" t="str">
        <x:v>USR-00149</x:v>
      </x:c>
      <x:c r="C173" t="str">
        <x:v>Cero</x:v>
      </x:c>
      <x:c r="D173" t="n">
        <x:v>45809</x:v>
      </x:c>
      <x:c r="E173" t="n">
        <x:v>46266</x:v>
      </x:c>
      <x:c r="F173" t="str">
        <x:v>Activa</x:v>
      </x:c>
      <x:c r="G173" t="str">
        <x:v>Gratuita</x:v>
      </x:c>
      <x:c r="H173" t="n">
        <x:v>16</x:v>
      </x:c>
    </x:row>
    <x:row r="174">
      <x:c r="A174" t="str">
        <x:v>SUS-000173</x:v>
      </x:c>
      <x:c r="B174" t="str">
        <x:v>USR-00150</x:v>
      </x:c>
      <x:c r="C174" t="str">
        <x:v>Cero</x:v>
      </x:c>
      <x:c r="D174" t="n">
        <x:v>45809</x:v>
      </x:c>
      <x:c r="E174" t="n">
        <x:v>46082</x:v>
      </x:c>
      <x:c r="F174" t="str">
        <x:v>Finalizada</x:v>
      </x:c>
      <x:c r="G174" t="str">
        <x:v>Gratuita</x:v>
      </x:c>
      <x:c r="H174" t="n">
        <x:v>10</x:v>
      </x:c>
    </x:row>
    <x:row r="175">
      <x:c r="A175" t="str">
        <x:v>SUS-000174</x:v>
      </x:c>
      <x:c r="B175" t="str">
        <x:v>USR-00151</x:v>
      </x:c>
      <x:c r="C175" t="str">
        <x:v>Plus anual</x:v>
      </x:c>
      <x:c r="D175" t="n">
        <x:v>45809</x:v>
      </x:c>
      <x:c r="E175" t="n">
        <x:v>46143</x:v>
      </x:c>
      <x:c r="F175" t="str">
        <x:v>Finalizada</x:v>
      </x:c>
      <x:c r="G175" t="str">
        <x:v>Anual</x:v>
      </x:c>
      <x:c r="H175" t="n">
        <x:v>12</x:v>
      </x:c>
    </x:row>
    <x:row r="176">
      <x:c r="A176" t="str">
        <x:v>SUS-000175</x:v>
      </x:c>
      <x:c r="B176" t="str">
        <x:v>USR-00152</x:v>
      </x:c>
      <x:c r="C176" t="str">
        <x:v>Cero</x:v>
      </x:c>
      <x:c r="D176" t="n">
        <x:v>45809</x:v>
      </x:c>
      <x:c r="E176" t="n">
        <x:v>45870</x:v>
      </x:c>
      <x:c r="F176" t="str">
        <x:v>Finalizada</x:v>
      </x:c>
      <x:c r="G176" t="str">
        <x:v>Gratuita</x:v>
      </x:c>
      <x:c r="H176" t="n">
        <x:v>3</x:v>
      </x:c>
    </x:row>
    <x:row r="177">
      <x:c r="A177" t="str">
        <x:v>SUS-000176</x:v>
      </x:c>
      <x:c r="B177" t="str">
        <x:v>USR-00153</x:v>
      </x:c>
      <x:c r="C177" t="str">
        <x:v>Cero</x:v>
      </x:c>
      <x:c r="D177" t="n">
        <x:v>45809</x:v>
      </x:c>
      <x:c r="E177" t="n">
        <x:v>46266</x:v>
      </x:c>
      <x:c r="F177" t="str">
        <x:v>Activa</x:v>
      </x:c>
      <x:c r="G177" t="str">
        <x:v>Gratuita</x:v>
      </x:c>
      <x:c r="H177" t="n">
        <x:v>16</x:v>
      </x:c>
    </x:row>
    <x:row r="178">
      <x:c r="A178" t="str">
        <x:v>SUS-000177</x:v>
      </x:c>
      <x:c r="B178" t="str">
        <x:v>USR-00154</x:v>
      </x:c>
      <x:c r="C178" t="str">
        <x:v>Cero</x:v>
      </x:c>
      <x:c r="D178" t="n">
        <x:v>45809</x:v>
      </x:c>
      <x:c r="E178" t="n">
        <x:v>45839</x:v>
      </x:c>
      <x:c r="F178" t="str">
        <x:v>Finalizada</x:v>
      </x:c>
      <x:c r="G178" t="str">
        <x:v>Gratuita</x:v>
      </x:c>
      <x:c r="H178" t="n">
        <x:v>2</x:v>
      </x:c>
    </x:row>
    <x:row r="179">
      <x:c r="A179" t="str">
        <x:v>SUS-000178</x:v>
      </x:c>
      <x:c r="B179" t="str">
        <x:v>USR-00155</x:v>
      </x:c>
      <x:c r="C179" t="str">
        <x:v>Cero</x:v>
      </x:c>
      <x:c r="D179" t="n">
        <x:v>45809</x:v>
      </x:c>
      <x:c r="E179" t="n">
        <x:v>45931</x:v>
      </x:c>
      <x:c r="F179" t="str">
        <x:v>Finalizada</x:v>
      </x:c>
      <x:c r="G179" t="str">
        <x:v>Gratuita</x:v>
      </x:c>
      <x:c r="H179" t="n">
        <x:v>5</x:v>
      </x:c>
    </x:row>
    <x:row r="180">
      <x:c r="A180" t="str">
        <x:v>SUS-000179</x:v>
      </x:c>
      <x:c r="B180" t="str">
        <x:v>USR-00156</x:v>
      </x:c>
      <x:c r="C180" t="str">
        <x:v>Cero</x:v>
      </x:c>
      <x:c r="D180" t="n">
        <x:v>45809</x:v>
      </x:c>
      <x:c r="E180" t="n">
        <x:v>45809</x:v>
      </x:c>
      <x:c r="F180" t="str">
        <x:v>Finalizada</x:v>
      </x:c>
      <x:c r="G180" t="str">
        <x:v>Gratuita</x:v>
      </x:c>
      <x:c r="H180" t="n">
        <x:v>1</x:v>
      </x:c>
    </x:row>
    <x:row r="181">
      <x:c r="A181" t="str">
        <x:v>SUS-000180</x:v>
      </x:c>
      <x:c r="B181" t="str">
        <x:v>USR-00157</x:v>
      </x:c>
      <x:c r="C181" t="str">
        <x:v>Cero</x:v>
      </x:c>
      <x:c r="D181" t="n">
        <x:v>45809</x:v>
      </x:c>
      <x:c r="E181" t="n">
        <x:v>45870</x:v>
      </x:c>
      <x:c r="F181" t="str">
        <x:v>Finalizada</x:v>
      </x:c>
      <x:c r="G181" t="str">
        <x:v>Gratuita</x:v>
      </x:c>
      <x:c r="H181" t="n">
        <x:v>3</x:v>
      </x:c>
    </x:row>
    <x:row r="182">
      <x:c r="A182" t="str">
        <x:v>SUS-000181</x:v>
      </x:c>
      <x:c r="B182" t="str">
        <x:v>USR-00158</x:v>
      </x:c>
      <x:c r="C182" t="str">
        <x:v>Plus mensual</x:v>
      </x:c>
      <x:c r="D182" t="n">
        <x:v>45809</x:v>
      </x:c>
      <x:c r="E182" t="n">
        <x:v>45901</x:v>
      </x:c>
      <x:c r="F182" t="str">
        <x:v>Finalizada</x:v>
      </x:c>
      <x:c r="G182" t="str">
        <x:v>Mensual</x:v>
      </x:c>
      <x:c r="H182" t="n">
        <x:v>4</x:v>
      </x:c>
    </x:row>
    <x:row r="183">
      <x:c r="A183" t="str">
        <x:v>SUS-000182</x:v>
      </x:c>
      <x:c r="B183" t="str">
        <x:v>USR-00159</x:v>
      </x:c>
      <x:c r="C183" t="str">
        <x:v>Cero</x:v>
      </x:c>
      <x:c r="D183" t="n">
        <x:v>45809</x:v>
      </x:c>
      <x:c r="E183" t="n">
        <x:v>45870</x:v>
      </x:c>
      <x:c r="F183" t="str">
        <x:v>Finalizada</x:v>
      </x:c>
      <x:c r="G183" t="str">
        <x:v>Gratuita</x:v>
      </x:c>
      <x:c r="H183" t="n">
        <x:v>3</x:v>
      </x:c>
    </x:row>
    <x:row r="184">
      <x:c r="A184" t="str">
        <x:v>SUS-000183</x:v>
      </x:c>
      <x:c r="B184" t="str">
        <x:v>USR-00160</x:v>
      </x:c>
      <x:c r="C184" t="str">
        <x:v>Cero</x:v>
      </x:c>
      <x:c r="D184" t="n">
        <x:v>45809</x:v>
      </x:c>
      <x:c r="E184" t="n">
        <x:v>45839</x:v>
      </x:c>
      <x:c r="F184" t="str">
        <x:v>Finalizada</x:v>
      </x:c>
      <x:c r="G184" t="str">
        <x:v>Gratuita</x:v>
      </x:c>
      <x:c r="H184" t="n">
        <x:v>2</x:v>
      </x:c>
    </x:row>
    <x:row r="185">
      <x:c r="A185" t="str">
        <x:v>SUS-000184</x:v>
      </x:c>
      <x:c r="B185" t="str">
        <x:v>USR-00161</x:v>
      </x:c>
      <x:c r="C185" t="str">
        <x:v>Cero</x:v>
      </x:c>
      <x:c r="D185" t="n">
        <x:v>45809</x:v>
      </x:c>
      <x:c r="E185" t="n">
        <x:v>46204</x:v>
      </x:c>
      <x:c r="F185" t="str">
        <x:v>Finalizada</x:v>
      </x:c>
      <x:c r="G185" t="str">
        <x:v>Gratuita</x:v>
      </x:c>
      <x:c r="H185" t="n">
        <x:v>14</x:v>
      </x:c>
    </x:row>
    <x:row r="186">
      <x:c r="A186" t="str">
        <x:v>SUS-000185</x:v>
      </x:c>
      <x:c r="B186" t="str">
        <x:v>USR-00162</x:v>
      </x:c>
      <x:c r="C186" t="str">
        <x:v>Cero</x:v>
      </x:c>
      <x:c r="D186" t="n">
        <x:v>45809</x:v>
      </x:c>
      <x:c r="E186" t="n">
        <x:v>45809</x:v>
      </x:c>
      <x:c r="F186" t="str">
        <x:v>Finalizada</x:v>
      </x:c>
      <x:c r="G186" t="str">
        <x:v>Gratuita</x:v>
      </x:c>
      <x:c r="H186" t="n">
        <x:v>1</x:v>
      </x:c>
    </x:row>
    <x:row r="187">
      <x:c r="A187" t="str">
        <x:v>SUS-000186</x:v>
      </x:c>
      <x:c r="B187" t="str">
        <x:v>USR-00163</x:v>
      </x:c>
      <x:c r="C187" t="str">
        <x:v>Cero</x:v>
      </x:c>
      <x:c r="D187" t="n">
        <x:v>45809</x:v>
      </x:c>
      <x:c r="E187" t="n">
        <x:v>46204</x:v>
      </x:c>
      <x:c r="F187" t="str">
        <x:v>Finalizada</x:v>
      </x:c>
      <x:c r="G187" t="str">
        <x:v>Gratuita</x:v>
      </x:c>
      <x:c r="H187" t="n">
        <x:v>14</x:v>
      </x:c>
    </x:row>
    <x:row r="188">
      <x:c r="A188" t="str">
        <x:v>SUS-000187</x:v>
      </x:c>
      <x:c r="B188" t="str">
        <x:v>USR-00164</x:v>
      </x:c>
      <x:c r="C188" t="str">
        <x:v>Cero</x:v>
      </x:c>
      <x:c r="D188" t="n">
        <x:v>45809</x:v>
      </x:c>
      <x:c r="E188" t="n">
        <x:v>45962</x:v>
      </x:c>
      <x:c r="F188" t="str">
        <x:v>Finalizada</x:v>
      </x:c>
      <x:c r="G188" t="str">
        <x:v>Gratuita</x:v>
      </x:c>
      <x:c r="H188" t="n">
        <x:v>6</x:v>
      </x:c>
    </x:row>
    <x:row r="189">
      <x:c r="A189" t="str">
        <x:v>SUS-000188</x:v>
      </x:c>
      <x:c r="B189" t="str">
        <x:v>USR-00165</x:v>
      </x:c>
      <x:c r="C189" t="str">
        <x:v>Cero</x:v>
      </x:c>
      <x:c r="D189" t="n">
        <x:v>45809</x:v>
      </x:c>
      <x:c r="E189" t="n">
        <x:v>46113</x:v>
      </x:c>
      <x:c r="F189" t="str">
        <x:v>Finalizada</x:v>
      </x:c>
      <x:c r="G189" t="str">
        <x:v>Gratuita</x:v>
      </x:c>
      <x:c r="H189" t="n">
        <x:v>11</x:v>
      </x:c>
    </x:row>
    <x:row r="190">
      <x:c r="A190" t="str">
        <x:v>SUS-000189</x:v>
      </x:c>
      <x:c r="B190" t="str">
        <x:v>USR-00166</x:v>
      </x:c>
      <x:c r="C190" t="str">
        <x:v>Cero</x:v>
      </x:c>
      <x:c r="D190" t="n">
        <x:v>45809</x:v>
      </x:c>
      <x:c r="E190" t="n">
        <x:v>46266</x:v>
      </x:c>
      <x:c r="F190" t="str">
        <x:v>Activa</x:v>
      </x:c>
      <x:c r="G190" t="str">
        <x:v>Gratuita</x:v>
      </x:c>
      <x:c r="H190" t="n">
        <x:v>16</x:v>
      </x:c>
    </x:row>
    <x:row r="191">
      <x:c r="A191" t="str">
        <x:v>SUS-000190</x:v>
      </x:c>
      <x:c r="B191" t="str">
        <x:v>USR-00167</x:v>
      </x:c>
      <x:c r="C191" t="str">
        <x:v>Cero</x:v>
      </x:c>
      <x:c r="D191" t="n">
        <x:v>45809</x:v>
      </x:c>
      <x:c r="E191" t="n">
        <x:v>45809</x:v>
      </x:c>
      <x:c r="F191" t="str">
        <x:v>Finalizada</x:v>
      </x:c>
      <x:c r="G191" t="str">
        <x:v>Gratuita</x:v>
      </x:c>
      <x:c r="H191" t="n">
        <x:v>1</x:v>
      </x:c>
    </x:row>
    <x:row r="192">
      <x:c r="A192" t="str">
        <x:v>SUS-000191</x:v>
      </x:c>
      <x:c r="B192" t="str">
        <x:v>USR-00168</x:v>
      </x:c>
      <x:c r="C192" t="str">
        <x:v>Plus mensual</x:v>
      </x:c>
      <x:c r="D192" t="n">
        <x:v>45809</x:v>
      </x:c>
      <x:c r="E192" t="n">
        <x:v>45992</x:v>
      </x:c>
      <x:c r="F192" t="str">
        <x:v>Finalizada</x:v>
      </x:c>
      <x:c r="G192" t="str">
        <x:v>Mensual</x:v>
      </x:c>
      <x:c r="H192" t="n">
        <x:v>7</x:v>
      </x:c>
    </x:row>
    <x:row r="193">
      <x:c r="A193" t="str">
        <x:v>SUS-000192</x:v>
      </x:c>
      <x:c r="B193" t="str">
        <x:v>USR-00169</x:v>
      </x:c>
      <x:c r="C193" t="str">
        <x:v>Cero</x:v>
      </x:c>
      <x:c r="D193" t="n">
        <x:v>45809</x:v>
      </x:c>
      <x:c r="E193" t="n">
        <x:v>46266</x:v>
      </x:c>
      <x:c r="F193" t="str">
        <x:v>Activa</x:v>
      </x:c>
      <x:c r="G193" t="str">
        <x:v>Gratuita</x:v>
      </x:c>
      <x:c r="H193" t="n">
        <x:v>16</x:v>
      </x:c>
    </x:row>
    <x:row r="194">
      <x:c r="A194" t="str">
        <x:v>SUS-000193</x:v>
      </x:c>
      <x:c r="B194" t="str">
        <x:v>USR-00170</x:v>
      </x:c>
      <x:c r="C194" t="str">
        <x:v>Cero</x:v>
      </x:c>
      <x:c r="D194" t="n">
        <x:v>45809</x:v>
      </x:c>
      <x:c r="E194" t="n">
        <x:v>45901</x:v>
      </x:c>
      <x:c r="F194" t="str">
        <x:v>Finalizada</x:v>
      </x:c>
      <x:c r="G194" t="str">
        <x:v>Gratuita</x:v>
      </x:c>
      <x:c r="H194" t="n">
        <x:v>4</x:v>
      </x:c>
    </x:row>
    <x:row r="195">
      <x:c r="A195" t="str">
        <x:v>SUS-000194</x:v>
      </x:c>
      <x:c r="B195" t="str">
        <x:v>USR-00171</x:v>
      </x:c>
      <x:c r="C195" t="str">
        <x:v>Cero</x:v>
      </x:c>
      <x:c r="D195" t="n">
        <x:v>45809</x:v>
      </x:c>
      <x:c r="E195" t="n">
        <x:v>45962</x:v>
      </x:c>
      <x:c r="F195" t="str">
        <x:v>Finalizada</x:v>
      </x:c>
      <x:c r="G195" t="str">
        <x:v>Gratuita</x:v>
      </x:c>
      <x:c r="H195" t="n">
        <x:v>6</x:v>
      </x:c>
    </x:row>
    <x:row r="196">
      <x:c r="A196" t="str">
        <x:v>SUS-000195</x:v>
      </x:c>
      <x:c r="B196" t="str">
        <x:v>USR-00172</x:v>
      </x:c>
      <x:c r="C196" t="str">
        <x:v>Cero</x:v>
      </x:c>
      <x:c r="D196" t="n">
        <x:v>45809</x:v>
      </x:c>
      <x:c r="E196" t="n">
        <x:v>46023</x:v>
      </x:c>
      <x:c r="F196" t="str">
        <x:v>Finalizada</x:v>
      </x:c>
      <x:c r="G196" t="str">
        <x:v>Gratuita</x:v>
      </x:c>
      <x:c r="H196" t="n">
        <x:v>8</x:v>
      </x:c>
    </x:row>
    <x:row r="197">
      <x:c r="A197" t="str">
        <x:v>SUS-000196</x:v>
      </x:c>
      <x:c r="B197" t="str">
        <x:v>USR-00173</x:v>
      </x:c>
      <x:c r="C197" t="str">
        <x:v>Cero</x:v>
      </x:c>
      <x:c r="D197" t="n">
        <x:v>45809</x:v>
      </x:c>
      <x:c r="E197" t="n">
        <x:v>46266</x:v>
      </x:c>
      <x:c r="F197" t="str">
        <x:v>Activa</x:v>
      </x:c>
      <x:c r="G197" t="str">
        <x:v>Gratuita</x:v>
      </x:c>
      <x:c r="H197" t="n">
        <x:v>16</x:v>
      </x:c>
    </x:row>
    <x:row r="198">
      <x:c r="A198" t="str">
        <x:v>SUS-000197</x:v>
      </x:c>
      <x:c r="B198" t="str">
        <x:v>USR-00174</x:v>
      </x:c>
      <x:c r="C198" t="str">
        <x:v>Cero</x:v>
      </x:c>
      <x:c r="D198" t="n">
        <x:v>45809</x:v>
      </x:c>
      <x:c r="E198" t="n">
        <x:v>45839</x:v>
      </x:c>
      <x:c r="F198" t="str">
        <x:v>Finalizada</x:v>
      </x:c>
      <x:c r="G198" t="str">
        <x:v>Gratuita</x:v>
      </x:c>
      <x:c r="H198" t="n">
        <x:v>2</x:v>
      </x:c>
    </x:row>
    <x:row r="199">
      <x:c r="A199" t="str">
        <x:v>SUS-000198</x:v>
      </x:c>
      <x:c r="B199" t="str">
        <x:v>USR-00175</x:v>
      </x:c>
      <x:c r="C199" t="str">
        <x:v>Cero</x:v>
      </x:c>
      <x:c r="D199" t="n">
        <x:v>45809</x:v>
      </x:c>
      <x:c r="E199" t="n">
        <x:v>46143</x:v>
      </x:c>
      <x:c r="F199" t="str">
        <x:v>Finalizada</x:v>
      </x:c>
      <x:c r="G199" t="str">
        <x:v>Gratuita</x:v>
      </x:c>
      <x:c r="H199" t="n">
        <x:v>12</x:v>
      </x:c>
    </x:row>
    <x:row r="200">
      <x:c r="A200" t="str">
        <x:v>SUS-000199</x:v>
      </x:c>
      <x:c r="B200" t="str">
        <x:v>USR-00176</x:v>
      </x:c>
      <x:c r="C200" t="str">
        <x:v>Plus mensual</x:v>
      </x:c>
      <x:c r="D200" t="n">
        <x:v>45809</x:v>
      </x:c>
      <x:c r="E200" t="n">
        <x:v>45809</x:v>
      </x:c>
      <x:c r="F200" t="str">
        <x:v>Finalizada</x:v>
      </x:c>
      <x:c r="G200" t="str">
        <x:v>Mensual</x:v>
      </x:c>
      <x:c r="H200" t="n">
        <x:v>1</x:v>
      </x:c>
    </x:row>
    <x:row r="201">
      <x:c r="A201" t="str">
        <x:v>SUS-000200</x:v>
      </x:c>
      <x:c r="B201" t="str">
        <x:v>USR-00177</x:v>
      </x:c>
      <x:c r="C201" t="str">
        <x:v>Plus mensual</x:v>
      </x:c>
      <x:c r="D201" t="n">
        <x:v>45809</x:v>
      </x:c>
      <x:c r="E201" t="n">
        <x:v>45931</x:v>
      </x:c>
      <x:c r="F201" t="str">
        <x:v>Finalizada</x:v>
      </x:c>
      <x:c r="G201" t="str">
        <x:v>Mensual</x:v>
      </x:c>
      <x:c r="H201" t="n">
        <x:v>5</x:v>
      </x:c>
    </x:row>
    <x:row r="202">
      <x:c r="A202" t="str">
        <x:v>SUS-000201</x:v>
      </x:c>
      <x:c r="B202" t="str">
        <x:v>USR-00178</x:v>
      </x:c>
      <x:c r="C202" t="str">
        <x:v>Plus mensual</x:v>
      </x:c>
      <x:c r="D202" t="n">
        <x:v>45809</x:v>
      </x:c>
      <x:c r="E202" t="n">
        <x:v>45809</x:v>
      </x:c>
      <x:c r="F202" t="str">
        <x:v>Finalizada</x:v>
      </x:c>
      <x:c r="G202" t="str">
        <x:v>Mensual</x:v>
      </x:c>
      <x:c r="H202" t="n">
        <x:v>1</x:v>
      </x:c>
    </x:row>
    <x:row r="203">
      <x:c r="A203" t="str">
        <x:v>SUS-000202</x:v>
      </x:c>
      <x:c r="B203" t="str">
        <x:v>USR-00179</x:v>
      </x:c>
      <x:c r="C203" t="str">
        <x:v>Cero</x:v>
      </x:c>
      <x:c r="D203" t="n">
        <x:v>45809</x:v>
      </x:c>
      <x:c r="E203" t="n">
        <x:v>46143</x:v>
      </x:c>
      <x:c r="F203" t="str">
        <x:v>Finalizada</x:v>
      </x:c>
      <x:c r="G203" t="str">
        <x:v>Gratuita</x:v>
      </x:c>
      <x:c r="H203" t="n">
        <x:v>12</x:v>
      </x:c>
    </x:row>
    <x:row r="204">
      <x:c r="A204" t="str">
        <x:v>SUS-000203</x:v>
      </x:c>
      <x:c r="B204" t="str">
        <x:v>USR-00180</x:v>
      </x:c>
      <x:c r="C204" t="str">
        <x:v>Cero</x:v>
      </x:c>
      <x:c r="D204" t="n">
        <x:v>45809</x:v>
      </x:c>
      <x:c r="E204" t="n">
        <x:v>46266</x:v>
      </x:c>
      <x:c r="F204" t="str">
        <x:v>Activa</x:v>
      </x:c>
      <x:c r="G204" t="str">
        <x:v>Gratuita</x:v>
      </x:c>
      <x:c r="H204" t="n">
        <x:v>16</x:v>
      </x:c>
    </x:row>
    <x:row r="205">
      <x:c r="A205" t="str">
        <x:v>SUS-000204</x:v>
      </x:c>
      <x:c r="B205" t="str">
        <x:v>USR-00181</x:v>
      </x:c>
      <x:c r="C205" t="str">
        <x:v>Cero</x:v>
      </x:c>
      <x:c r="D205" t="n">
        <x:v>45809</x:v>
      </x:c>
      <x:c r="E205" t="n">
        <x:v>45962</x:v>
      </x:c>
      <x:c r="F205" t="str">
        <x:v>Finalizada</x:v>
      </x:c>
      <x:c r="G205" t="str">
        <x:v>Gratuita</x:v>
      </x:c>
      <x:c r="H205" t="n">
        <x:v>6</x:v>
      </x:c>
    </x:row>
    <x:row r="206">
      <x:c r="A206" t="str">
        <x:v>SUS-000205</x:v>
      </x:c>
      <x:c r="B206" t="str">
        <x:v>USR-00182</x:v>
      </x:c>
      <x:c r="C206" t="str">
        <x:v>Cero</x:v>
      </x:c>
      <x:c r="D206" t="n">
        <x:v>45809</x:v>
      </x:c>
      <x:c r="E206" t="n">
        <x:v>46266</x:v>
      </x:c>
      <x:c r="F206" t="str">
        <x:v>Activa</x:v>
      </x:c>
      <x:c r="G206" t="str">
        <x:v>Gratuita</x:v>
      </x:c>
      <x:c r="H206" t="n">
        <x:v>16</x:v>
      </x:c>
    </x:row>
    <x:row r="207">
      <x:c r="A207" t="str">
        <x:v>SUS-000206</x:v>
      </x:c>
      <x:c r="B207" t="str">
        <x:v>USR-00183</x:v>
      </x:c>
      <x:c r="C207" t="str">
        <x:v>Cero</x:v>
      </x:c>
      <x:c r="D207" t="n">
        <x:v>45809</x:v>
      </x:c>
      <x:c r="E207" t="n">
        <x:v>46266</x:v>
      </x:c>
      <x:c r="F207" t="str">
        <x:v>Activa</x:v>
      </x:c>
      <x:c r="G207" t="str">
        <x:v>Gratuita</x:v>
      </x:c>
      <x:c r="H207" t="n">
        <x:v>16</x:v>
      </x:c>
    </x:row>
    <x:row r="208">
      <x:c r="A208" t="str">
        <x:v>SUS-000207</x:v>
      </x:c>
      <x:c r="B208" t="str">
        <x:v>USR-00184</x:v>
      </x:c>
      <x:c r="C208" t="str">
        <x:v>Cero</x:v>
      </x:c>
      <x:c r="D208" t="n">
        <x:v>45809</x:v>
      </x:c>
      <x:c r="E208" t="n">
        <x:v>45839</x:v>
      </x:c>
      <x:c r="F208" t="str">
        <x:v>Finalizada</x:v>
      </x:c>
      <x:c r="G208" t="str">
        <x:v>Gratuita</x:v>
      </x:c>
      <x:c r="H208" t="n">
        <x:v>2</x:v>
      </x:c>
    </x:row>
    <x:row r="209">
      <x:c r="A209" t="str">
        <x:v>SUS-000208</x:v>
      </x:c>
      <x:c r="B209" t="str">
        <x:v>USR-00185</x:v>
      </x:c>
      <x:c r="C209" t="str">
        <x:v>Cero</x:v>
      </x:c>
      <x:c r="D209" t="n">
        <x:v>45809</x:v>
      </x:c>
      <x:c r="E209" t="n">
        <x:v>45809</x:v>
      </x:c>
      <x:c r="F209" t="str">
        <x:v>Finalizada</x:v>
      </x:c>
      <x:c r="G209" t="str">
        <x:v>Gratuita</x:v>
      </x:c>
      <x:c r="H209" t="n">
        <x:v>1</x:v>
      </x:c>
    </x:row>
    <x:row r="210">
      <x:c r="A210" t="str">
        <x:v>SUS-000209</x:v>
      </x:c>
      <x:c r="B210" t="str">
        <x:v>USR-00186</x:v>
      </x:c>
      <x:c r="C210" t="str">
        <x:v>Cero</x:v>
      </x:c>
      <x:c r="D210" t="n">
        <x:v>45809</x:v>
      </x:c>
      <x:c r="E210" t="n">
        <x:v>46082</x:v>
      </x:c>
      <x:c r="F210" t="str">
        <x:v>Finalizada</x:v>
      </x:c>
      <x:c r="G210" t="str">
        <x:v>Gratuita</x:v>
      </x:c>
      <x:c r="H210" t="n">
        <x:v>10</x:v>
      </x:c>
    </x:row>
    <x:row r="211">
      <x:c r="A211" t="str">
        <x:v>SUS-000210</x:v>
      </x:c>
      <x:c r="B211" t="str">
        <x:v>USR-00187</x:v>
      </x:c>
      <x:c r="C211" t="str">
        <x:v>Cero</x:v>
      </x:c>
      <x:c r="D211" t="n">
        <x:v>45809</x:v>
      </x:c>
      <x:c r="E211" t="n">
        <x:v>46266</x:v>
      </x:c>
      <x:c r="F211" t="str">
        <x:v>Activa</x:v>
      </x:c>
      <x:c r="G211" t="str">
        <x:v>Gratuita</x:v>
      </x:c>
      <x:c r="H211" t="n">
        <x:v>16</x:v>
      </x:c>
    </x:row>
    <x:row r="212">
      <x:c r="A212" t="str">
        <x:v>SUS-000211</x:v>
      </x:c>
      <x:c r="B212" t="str">
        <x:v>USR-00188</x:v>
      </x:c>
      <x:c r="C212" t="str">
        <x:v>Cero</x:v>
      </x:c>
      <x:c r="D212" t="n">
        <x:v>45809</x:v>
      </x:c>
      <x:c r="E212" t="n">
        <x:v>45809</x:v>
      </x:c>
      <x:c r="F212" t="str">
        <x:v>Finalizada</x:v>
      </x:c>
      <x:c r="G212" t="str">
        <x:v>Gratuita</x:v>
      </x:c>
      <x:c r="H212" t="n">
        <x:v>1</x:v>
      </x:c>
    </x:row>
    <x:row r="213">
      <x:c r="A213" t="str">
        <x:v>SUS-000212</x:v>
      </x:c>
      <x:c r="B213" t="str">
        <x:v>USR-00002</x:v>
      </x:c>
      <x:c r="C213" t="str">
        <x:v>Plus mensual</x:v>
      </x:c>
      <x:c r="D213" t="n">
        <x:v>45839</x:v>
      </x:c>
      <x:c r="E213" t="n">
        <x:v>46113</x:v>
      </x:c>
      <x:c r="F213" t="str">
        <x:v>Finalizada</x:v>
      </x:c>
      <x:c r="G213" t="str">
        <x:v>Mensual</x:v>
      </x:c>
      <x:c r="H213" t="n">
        <x:v>10</x:v>
      </x:c>
    </x:row>
    <x:row r="214">
      <x:c r="A214" t="str">
        <x:v>SUS-000213</x:v>
      </x:c>
      <x:c r="B214" t="str">
        <x:v>USR-00009</x:v>
      </x:c>
      <x:c r="C214" t="str">
        <x:v>Plus anual</x:v>
      </x:c>
      <x:c r="D214" t="n">
        <x:v>45839</x:v>
      </x:c>
      <x:c r="E214" t="n">
        <x:v>46174</x:v>
      </x:c>
      <x:c r="F214" t="str">
        <x:v>Finalizada</x:v>
      </x:c>
      <x:c r="G214" t="str">
        <x:v>Anual</x:v>
      </x:c>
      <x:c r="H214" t="n">
        <x:v>12</x:v>
      </x:c>
    </x:row>
    <x:row r="215">
      <x:c r="A215" t="str">
        <x:v>SUS-000214</x:v>
      </x:c>
      <x:c r="B215" t="str">
        <x:v>USR-00029</x:v>
      </x:c>
      <x:c r="C215" t="str">
        <x:v>Cero</x:v>
      </x:c>
      <x:c r="D215" t="n">
        <x:v>45839</x:v>
      </x:c>
      <x:c r="E215" t="n">
        <x:v>46174</x:v>
      </x:c>
      <x:c r="F215" t="str">
        <x:v>Finalizada</x:v>
      </x:c>
      <x:c r="G215" t="str">
        <x:v>Gratuita</x:v>
      </x:c>
      <x:c r="H215" t="n">
        <x:v>12</x:v>
      </x:c>
    </x:row>
    <x:row r="216">
      <x:c r="A216" t="str">
        <x:v>SUS-000215</x:v>
      </x:c>
      <x:c r="B216" t="str">
        <x:v>USR-00042</x:v>
      </x:c>
      <x:c r="C216" t="str">
        <x:v>Plus mensual</x:v>
      </x:c>
      <x:c r="D216" t="n">
        <x:v>45839</x:v>
      </x:c>
      <x:c r="E216" t="n">
        <x:v>46054</x:v>
      </x:c>
      <x:c r="F216" t="str">
        <x:v>Finalizada</x:v>
      </x:c>
      <x:c r="G216" t="str">
        <x:v>Mensual</x:v>
      </x:c>
      <x:c r="H216" t="n">
        <x:v>8</x:v>
      </x:c>
    </x:row>
    <x:row r="217">
      <x:c r="A217" t="str">
        <x:v>SUS-000216</x:v>
      </x:c>
      <x:c r="B217" t="str">
        <x:v>USR-00066</x:v>
      </x:c>
      <x:c r="C217" t="str">
        <x:v>Plus anual</x:v>
      </x:c>
      <x:c r="D217" t="n">
        <x:v>45839</x:v>
      </x:c>
      <x:c r="E217" t="n">
        <x:v>46266</x:v>
      </x:c>
      <x:c r="F217" t="str">
        <x:v>Activa</x:v>
      </x:c>
      <x:c r="G217" t="str">
        <x:v>Anual</x:v>
      </x:c>
      <x:c r="H217" t="n">
        <x:v>15</x:v>
      </x:c>
    </x:row>
    <x:row r="218">
      <x:c r="A218" t="str">
        <x:v>SUS-000217</x:v>
      </x:c>
      <x:c r="B218" t="str">
        <x:v>USR-00071</x:v>
      </x:c>
      <x:c r="C218" t="str">
        <x:v>Plus mensual</x:v>
      </x:c>
      <x:c r="D218" t="n">
        <x:v>45839</x:v>
      </x:c>
      <x:c r="E218" t="n">
        <x:v>46113</x:v>
      </x:c>
      <x:c r="F218" t="str">
        <x:v>Finalizada</x:v>
      </x:c>
      <x:c r="G218" t="str">
        <x:v>Mensual</x:v>
      </x:c>
      <x:c r="H218" t="n">
        <x:v>10</x:v>
      </x:c>
    </x:row>
    <x:row r="219">
      <x:c r="A219" t="str">
        <x:v>SUS-000218</x:v>
      </x:c>
      <x:c r="B219" t="str">
        <x:v>USR-00083</x:v>
      </x:c>
      <x:c r="C219" t="str">
        <x:v>Plus mensual</x:v>
      </x:c>
      <x:c r="D219" t="n">
        <x:v>45839</x:v>
      </x:c>
      <x:c r="E219" t="n">
        <x:v>46113</x:v>
      </x:c>
      <x:c r="F219" t="str">
        <x:v>Finalizada</x:v>
      </x:c>
      <x:c r="G219" t="str">
        <x:v>Mensual</x:v>
      </x:c>
      <x:c r="H219" t="n">
        <x:v>10</x:v>
      </x:c>
    </x:row>
    <x:row r="220">
      <x:c r="A220" t="str">
        <x:v>SUS-000219</x:v>
      </x:c>
      <x:c r="B220" t="str">
        <x:v>USR-00087</x:v>
      </x:c>
      <x:c r="C220" t="str">
        <x:v>Plus mensual</x:v>
      </x:c>
      <x:c r="D220" t="n">
        <x:v>45839</x:v>
      </x:c>
      <x:c r="E220" t="n">
        <x:v>46054</x:v>
      </x:c>
      <x:c r="F220" t="str">
        <x:v>Finalizada</x:v>
      </x:c>
      <x:c r="G220" t="str">
        <x:v>Mensual</x:v>
      </x:c>
      <x:c r="H220" t="n">
        <x:v>8</x:v>
      </x:c>
    </x:row>
    <x:row r="221">
      <x:c r="A221" t="str">
        <x:v>SUS-000220</x:v>
      </x:c>
      <x:c r="B221" t="str">
        <x:v>USR-00101</x:v>
      </x:c>
      <x:c r="C221" t="str">
        <x:v>Plus anual</x:v>
      </x:c>
      <x:c r="D221" t="n">
        <x:v>45839</x:v>
      </x:c>
      <x:c r="E221" t="n">
        <x:v>46266</x:v>
      </x:c>
      <x:c r="F221" t="str">
        <x:v>Activa</x:v>
      </x:c>
      <x:c r="G221" t="str">
        <x:v>Anual</x:v>
      </x:c>
      <x:c r="H221" t="n">
        <x:v>15</x:v>
      </x:c>
    </x:row>
    <x:row r="222">
      <x:c r="A222" t="str">
        <x:v>SUS-000221</x:v>
      </x:c>
      <x:c r="B222" t="str">
        <x:v>USR-00117</x:v>
      </x:c>
      <x:c r="C222" t="str">
        <x:v>Cero</x:v>
      </x:c>
      <x:c r="D222" t="n">
        <x:v>45839</x:v>
      </x:c>
      <x:c r="E222" t="n">
        <x:v>45962</x:v>
      </x:c>
      <x:c r="F222" t="str">
        <x:v>Finalizada</x:v>
      </x:c>
      <x:c r="G222" t="str">
        <x:v>Gratuita</x:v>
      </x:c>
      <x:c r="H222" t="n">
        <x:v>5</x:v>
      </x:c>
    </x:row>
    <x:row r="223">
      <x:c r="A223" t="str">
        <x:v>SUS-000222</x:v>
      </x:c>
      <x:c r="B223" t="str">
        <x:v>USR-00121</x:v>
      </x:c>
      <x:c r="C223" t="str">
        <x:v>Plus mensual</x:v>
      </x:c>
      <x:c r="D223" t="n">
        <x:v>45839</x:v>
      </x:c>
      <x:c r="E223" t="n">
        <x:v>46082</x:v>
      </x:c>
      <x:c r="F223" t="str">
        <x:v>Finalizada</x:v>
      </x:c>
      <x:c r="G223" t="str">
        <x:v>Mensual</x:v>
      </x:c>
      <x:c r="H223" t="n">
        <x:v>9</x:v>
      </x:c>
    </x:row>
    <x:row r="224">
      <x:c r="A224" t="str">
        <x:v>SUS-000223</x:v>
      </x:c>
      <x:c r="B224" t="str">
        <x:v>USR-00123</x:v>
      </x:c>
      <x:c r="C224" t="str">
        <x:v>Plus mensual</x:v>
      </x:c>
      <x:c r="D224" t="n">
        <x:v>45839</x:v>
      </x:c>
      <x:c r="E224" t="n">
        <x:v>46023</x:v>
      </x:c>
      <x:c r="F224" t="str">
        <x:v>Finalizada</x:v>
      </x:c>
      <x:c r="G224" t="str">
        <x:v>Mensual</x:v>
      </x:c>
      <x:c r="H224" t="n">
        <x:v>7</x:v>
      </x:c>
    </x:row>
    <x:row r="225">
      <x:c r="A225" t="str">
        <x:v>SUS-000224</x:v>
      </x:c>
      <x:c r="B225" t="str">
        <x:v>USR-00156</x:v>
      </x:c>
      <x:c r="C225" t="str">
        <x:v>Plus mensual</x:v>
      </x:c>
      <x:c r="D225" t="n">
        <x:v>45839</x:v>
      </x:c>
      <x:c r="E225" t="n">
        <x:v>45962</x:v>
      </x:c>
      <x:c r="F225" t="str">
        <x:v>Finalizada</x:v>
      </x:c>
      <x:c r="G225" t="str">
        <x:v>Mensual</x:v>
      </x:c>
      <x:c r="H225" t="n">
        <x:v>5</x:v>
      </x:c>
    </x:row>
    <x:row r="226">
      <x:c r="A226" t="str">
        <x:v>SUS-000225</x:v>
      </x:c>
      <x:c r="B226" t="str">
        <x:v>USR-00162</x:v>
      </x:c>
      <x:c r="C226" t="str">
        <x:v>Plus mensual</x:v>
      </x:c>
      <x:c r="D226" t="n">
        <x:v>45839</x:v>
      </x:c>
      <x:c r="E226" t="n">
        <x:v>46266</x:v>
      </x:c>
      <x:c r="F226" t="str">
        <x:v>Activa</x:v>
      </x:c>
      <x:c r="G226" t="str">
        <x:v>Mensual</x:v>
      </x:c>
      <x:c r="H226" t="n">
        <x:v>15</x:v>
      </x:c>
    </x:row>
    <x:row r="227">
      <x:c r="A227" t="str">
        <x:v>SUS-000226</x:v>
      </x:c>
      <x:c r="B227" t="str">
        <x:v>USR-00167</x:v>
      </x:c>
      <x:c r="C227" t="str">
        <x:v>Plus mensual</x:v>
      </x:c>
      <x:c r="D227" t="n">
        <x:v>45839</x:v>
      </x:c>
      <x:c r="E227" t="n">
        <x:v>46266</x:v>
      </x:c>
      <x:c r="F227" t="str">
        <x:v>Activa</x:v>
      </x:c>
      <x:c r="G227" t="str">
        <x:v>Mensual</x:v>
      </x:c>
      <x:c r="H227" t="n">
        <x:v>15</x:v>
      </x:c>
    </x:row>
    <x:row r="228">
      <x:c r="A228" t="str">
        <x:v>SUS-000227</x:v>
      </x:c>
      <x:c r="B228" t="str">
        <x:v>USR-00176</x:v>
      </x:c>
      <x:c r="C228" t="str">
        <x:v>Cero</x:v>
      </x:c>
      <x:c r="D228" t="n">
        <x:v>45839</x:v>
      </x:c>
      <x:c r="E228" t="n">
        <x:v>46266</x:v>
      </x:c>
      <x:c r="F228" t="str">
        <x:v>Activa</x:v>
      </x:c>
      <x:c r="G228" t="str">
        <x:v>Gratuita</x:v>
      </x:c>
      <x:c r="H228" t="n">
        <x:v>15</x:v>
      </x:c>
    </x:row>
    <x:row r="229">
      <x:c r="A229" t="str">
        <x:v>SUS-000228</x:v>
      </x:c>
      <x:c r="B229" t="str">
        <x:v>USR-00185</x:v>
      </x:c>
      <x:c r="C229" t="str">
        <x:v>Plus anual</x:v>
      </x:c>
      <x:c r="D229" t="n">
        <x:v>45839</x:v>
      </x:c>
      <x:c r="E229" t="n">
        <x:v>46266</x:v>
      </x:c>
      <x:c r="F229" t="str">
        <x:v>Activa</x:v>
      </x:c>
      <x:c r="G229" t="str">
        <x:v>Anual</x:v>
      </x:c>
      <x:c r="H229" t="n">
        <x:v>15</x:v>
      </x:c>
    </x:row>
    <x:row r="230">
      <x:c r="A230" t="str">
        <x:v>SUS-000229</x:v>
      </x:c>
      <x:c r="B230" t="str">
        <x:v>USR-00188</x:v>
      </x:c>
      <x:c r="C230" t="str">
        <x:v>Plus mensual</x:v>
      </x:c>
      <x:c r="D230" t="n">
        <x:v>45839</x:v>
      </x:c>
      <x:c r="E230" t="n">
        <x:v>46266</x:v>
      </x:c>
      <x:c r="F230" t="str">
        <x:v>Activa</x:v>
      </x:c>
      <x:c r="G230" t="str">
        <x:v>Mensual</x:v>
      </x:c>
      <x:c r="H230" t="n">
        <x:v>15</x:v>
      </x:c>
    </x:row>
    <x:row r="231">
      <x:c r="A231" t="str">
        <x:v>SUS-000230</x:v>
      </x:c>
      <x:c r="B231" t="str">
        <x:v>USR-00189</x:v>
      </x:c>
      <x:c r="C231" t="str">
        <x:v>Plus mensual</x:v>
      </x:c>
      <x:c r="D231" t="n">
        <x:v>45839</x:v>
      </x:c>
      <x:c r="E231" t="n">
        <x:v>45839</x:v>
      </x:c>
      <x:c r="F231" t="str">
        <x:v>Finalizada</x:v>
      </x:c>
      <x:c r="G231" t="str">
        <x:v>Mensual</x:v>
      </x:c>
      <x:c r="H231" t="n">
        <x:v>1</x:v>
      </x:c>
    </x:row>
    <x:row r="232">
      <x:c r="A232" t="str">
        <x:v>SUS-000231</x:v>
      </x:c>
      <x:c r="B232" t="str">
        <x:v>USR-00190</x:v>
      </x:c>
      <x:c r="C232" t="str">
        <x:v>Cero</x:v>
      </x:c>
      <x:c r="D232" t="n">
        <x:v>45839</x:v>
      </x:c>
      <x:c r="E232" t="n">
        <x:v>45901</x:v>
      </x:c>
      <x:c r="F232" t="str">
        <x:v>Finalizada</x:v>
      </x:c>
      <x:c r="G232" t="str">
        <x:v>Gratuita</x:v>
      </x:c>
      <x:c r="H232" t="n">
        <x:v>3</x:v>
      </x:c>
    </x:row>
    <x:row r="233">
      <x:c r="A233" t="str">
        <x:v>SUS-000232</x:v>
      </x:c>
      <x:c r="B233" t="str">
        <x:v>USR-00191</x:v>
      </x:c>
      <x:c r="C233" t="str">
        <x:v>Cero</x:v>
      </x:c>
      <x:c r="D233" t="n">
        <x:v>45839</x:v>
      </x:c>
      <x:c r="E233" t="n">
        <x:v>45870</x:v>
      </x:c>
      <x:c r="F233" t="str">
        <x:v>Finalizada</x:v>
      </x:c>
      <x:c r="G233" t="str">
        <x:v>Gratuita</x:v>
      </x:c>
      <x:c r="H233" t="n">
        <x:v>2</x:v>
      </x:c>
    </x:row>
    <x:row r="234">
      <x:c r="A234" t="str">
        <x:v>SUS-000233</x:v>
      </x:c>
      <x:c r="B234" t="str">
        <x:v>USR-00192</x:v>
      </x:c>
      <x:c r="C234" t="str">
        <x:v>Cero</x:v>
      </x:c>
      <x:c r="D234" t="n">
        <x:v>45839</x:v>
      </x:c>
      <x:c r="E234" t="n">
        <x:v>46266</x:v>
      </x:c>
      <x:c r="F234" t="str">
        <x:v>Activa</x:v>
      </x:c>
      <x:c r="G234" t="str">
        <x:v>Gratuita</x:v>
      </x:c>
      <x:c r="H234" t="n">
        <x:v>15</x:v>
      </x:c>
    </x:row>
    <x:row r="235">
      <x:c r="A235" t="str">
        <x:v>SUS-000234</x:v>
      </x:c>
      <x:c r="B235" t="str">
        <x:v>USR-00193</x:v>
      </x:c>
      <x:c r="C235" t="str">
        <x:v>Cero</x:v>
      </x:c>
      <x:c r="D235" t="n">
        <x:v>45839</x:v>
      </x:c>
      <x:c r="E235" t="n">
        <x:v>46266</x:v>
      </x:c>
      <x:c r="F235" t="str">
        <x:v>Activa</x:v>
      </x:c>
      <x:c r="G235" t="str">
        <x:v>Gratuita</x:v>
      </x:c>
      <x:c r="H235" t="n">
        <x:v>15</x:v>
      </x:c>
    </x:row>
    <x:row r="236">
      <x:c r="A236" t="str">
        <x:v>SUS-000235</x:v>
      </x:c>
      <x:c r="B236" t="str">
        <x:v>USR-00194</x:v>
      </x:c>
      <x:c r="C236" t="str">
        <x:v>Cero</x:v>
      </x:c>
      <x:c r="D236" t="n">
        <x:v>45839</x:v>
      </x:c>
      <x:c r="E236" t="n">
        <x:v>46266</x:v>
      </x:c>
      <x:c r="F236" t="str">
        <x:v>Activa</x:v>
      </x:c>
      <x:c r="G236" t="str">
        <x:v>Gratuita</x:v>
      </x:c>
      <x:c r="H236" t="n">
        <x:v>15</x:v>
      </x:c>
    </x:row>
    <x:row r="237">
      <x:c r="A237" t="str">
        <x:v>SUS-000236</x:v>
      </x:c>
      <x:c r="B237" t="str">
        <x:v>USR-00195</x:v>
      </x:c>
      <x:c r="C237" t="str">
        <x:v>Cero</x:v>
      </x:c>
      <x:c r="D237" t="n">
        <x:v>45839</x:v>
      </x:c>
      <x:c r="E237" t="n">
        <x:v>45992</x:v>
      </x:c>
      <x:c r="F237" t="str">
        <x:v>Finalizada</x:v>
      </x:c>
      <x:c r="G237" t="str">
        <x:v>Gratuita</x:v>
      </x:c>
      <x:c r="H237" t="n">
        <x:v>6</x:v>
      </x:c>
    </x:row>
    <x:row r="238">
      <x:c r="A238" t="str">
        <x:v>SUS-000237</x:v>
      </x:c>
      <x:c r="B238" t="str">
        <x:v>USR-00196</x:v>
      </x:c>
      <x:c r="C238" t="str">
        <x:v>Cero</x:v>
      </x:c>
      <x:c r="D238" t="n">
        <x:v>45839</x:v>
      </x:c>
      <x:c r="E238" t="n">
        <x:v>46266</x:v>
      </x:c>
      <x:c r="F238" t="str">
        <x:v>Activa</x:v>
      </x:c>
      <x:c r="G238" t="str">
        <x:v>Gratuita</x:v>
      </x:c>
      <x:c r="H238" t="n">
        <x:v>15</x:v>
      </x:c>
    </x:row>
    <x:row r="239">
      <x:c r="A239" t="str">
        <x:v>SUS-000238</x:v>
      </x:c>
      <x:c r="B239" t="str">
        <x:v>USR-00197</x:v>
      </x:c>
      <x:c r="C239" t="str">
        <x:v>Cero</x:v>
      </x:c>
      <x:c r="D239" t="n">
        <x:v>45839</x:v>
      </x:c>
      <x:c r="E239" t="n">
        <x:v>46023</x:v>
      </x:c>
      <x:c r="F239" t="str">
        <x:v>Finalizada</x:v>
      </x:c>
      <x:c r="G239" t="str">
        <x:v>Gratuita</x:v>
      </x:c>
      <x:c r="H239" t="n">
        <x:v>7</x:v>
      </x:c>
    </x:row>
    <x:row r="240">
      <x:c r="A240" t="str">
        <x:v>SUS-000239</x:v>
      </x:c>
      <x:c r="B240" t="str">
        <x:v>USR-00198</x:v>
      </x:c>
      <x:c r="C240" t="str">
        <x:v>Cero</x:v>
      </x:c>
      <x:c r="D240" t="n">
        <x:v>45839</x:v>
      </x:c>
      <x:c r="E240" t="n">
        <x:v>46266</x:v>
      </x:c>
      <x:c r="F240" t="str">
        <x:v>Activa</x:v>
      </x:c>
      <x:c r="G240" t="str">
        <x:v>Gratuita</x:v>
      </x:c>
      <x:c r="H240" t="n">
        <x:v>15</x:v>
      </x:c>
    </x:row>
    <x:row r="241">
      <x:c r="A241" t="str">
        <x:v>SUS-000240</x:v>
      </x:c>
      <x:c r="B241" t="str">
        <x:v>USR-00199</x:v>
      </x:c>
      <x:c r="C241" t="str">
        <x:v>Plus mensual</x:v>
      </x:c>
      <x:c r="D241" t="n">
        <x:v>45839</x:v>
      </x:c>
      <x:c r="E241" t="n">
        <x:v>45962</x:v>
      </x:c>
      <x:c r="F241" t="str">
        <x:v>Finalizada</x:v>
      </x:c>
      <x:c r="G241" t="str">
        <x:v>Mensual</x:v>
      </x:c>
      <x:c r="H241" t="n">
        <x:v>5</x:v>
      </x:c>
    </x:row>
    <x:row r="242">
      <x:c r="A242" t="str">
        <x:v>SUS-000241</x:v>
      </x:c>
      <x:c r="B242" t="str">
        <x:v>USR-00200</x:v>
      </x:c>
      <x:c r="C242" t="str">
        <x:v>Cero</x:v>
      </x:c>
      <x:c r="D242" t="n">
        <x:v>45839</x:v>
      </x:c>
      <x:c r="E242" t="n">
        <x:v>45901</x:v>
      </x:c>
      <x:c r="F242" t="str">
        <x:v>Finalizada</x:v>
      </x:c>
      <x:c r="G242" t="str">
        <x:v>Gratuita</x:v>
      </x:c>
      <x:c r="H242" t="n">
        <x:v>3</x:v>
      </x:c>
    </x:row>
    <x:row r="243">
      <x:c r="A243" t="str">
        <x:v>SUS-000242</x:v>
      </x:c>
      <x:c r="B243" t="str">
        <x:v>USR-00201</x:v>
      </x:c>
      <x:c r="C243" t="str">
        <x:v>Plus mensual</x:v>
      </x:c>
      <x:c r="D243" t="n">
        <x:v>45839</x:v>
      </x:c>
      <x:c r="E243" t="n">
        <x:v>46204</x:v>
      </x:c>
      <x:c r="F243" t="str">
        <x:v>Finalizada</x:v>
      </x:c>
      <x:c r="G243" t="str">
        <x:v>Mensual</x:v>
      </x:c>
      <x:c r="H243" t="n">
        <x:v>13</x:v>
      </x:c>
    </x:row>
    <x:row r="244">
      <x:c r="A244" t="str">
        <x:v>SUS-000243</x:v>
      </x:c>
      <x:c r="B244" t="str">
        <x:v>USR-00202</x:v>
      </x:c>
      <x:c r="C244" t="str">
        <x:v>Cero</x:v>
      </x:c>
      <x:c r="D244" t="n">
        <x:v>45839</x:v>
      </x:c>
      <x:c r="E244" t="n">
        <x:v>46266</x:v>
      </x:c>
      <x:c r="F244" t="str">
        <x:v>Activa</x:v>
      </x:c>
      <x:c r="G244" t="str">
        <x:v>Gratuita</x:v>
      </x:c>
      <x:c r="H244" t="n">
        <x:v>15</x:v>
      </x:c>
    </x:row>
    <x:row r="245">
      <x:c r="A245" t="str">
        <x:v>SUS-000244</x:v>
      </x:c>
      <x:c r="B245" t="str">
        <x:v>USR-00203</x:v>
      </x:c>
      <x:c r="C245" t="str">
        <x:v>Cero</x:v>
      </x:c>
      <x:c r="D245" t="n">
        <x:v>45839</x:v>
      </x:c>
      <x:c r="E245" t="n">
        <x:v>45839</x:v>
      </x:c>
      <x:c r="F245" t="str">
        <x:v>Finalizada</x:v>
      </x:c>
      <x:c r="G245" t="str">
        <x:v>Gratuita</x:v>
      </x:c>
      <x:c r="H245" t="n">
        <x:v>1</x:v>
      </x:c>
    </x:row>
    <x:row r="246">
      <x:c r="A246" t="str">
        <x:v>SUS-000245</x:v>
      </x:c>
      <x:c r="B246" t="str">
        <x:v>USR-00204</x:v>
      </x:c>
      <x:c r="C246" t="str">
        <x:v>Plus mensual</x:v>
      </x:c>
      <x:c r="D246" t="n">
        <x:v>45839</x:v>
      </x:c>
      <x:c r="E246" t="n">
        <x:v>45839</x:v>
      </x:c>
      <x:c r="F246" t="str">
        <x:v>Finalizada</x:v>
      </x:c>
      <x:c r="G246" t="str">
        <x:v>Mensual</x:v>
      </x:c>
      <x:c r="H246" t="n">
        <x:v>1</x:v>
      </x:c>
    </x:row>
    <x:row r="247">
      <x:c r="A247" t="str">
        <x:v>SUS-000246</x:v>
      </x:c>
      <x:c r="B247" t="str">
        <x:v>USR-00205</x:v>
      </x:c>
      <x:c r="C247" t="str">
        <x:v>Cero</x:v>
      </x:c>
      <x:c r="D247" t="n">
        <x:v>45839</x:v>
      </x:c>
      <x:c r="E247" t="n">
        <x:v>45839</x:v>
      </x:c>
      <x:c r="F247" t="str">
        <x:v>Finalizada</x:v>
      </x:c>
      <x:c r="G247" t="str">
        <x:v>Gratuita</x:v>
      </x:c>
      <x:c r="H247" t="n">
        <x:v>1</x:v>
      </x:c>
    </x:row>
    <x:row r="248">
      <x:c r="A248" t="str">
        <x:v>SUS-000247</x:v>
      </x:c>
      <x:c r="B248" t="str">
        <x:v>USR-00206</x:v>
      </x:c>
      <x:c r="C248" t="str">
        <x:v>Cero</x:v>
      </x:c>
      <x:c r="D248" t="n">
        <x:v>45839</x:v>
      </x:c>
      <x:c r="E248" t="n">
        <x:v>45992</x:v>
      </x:c>
      <x:c r="F248" t="str">
        <x:v>Finalizada</x:v>
      </x:c>
      <x:c r="G248" t="str">
        <x:v>Gratuita</x:v>
      </x:c>
      <x:c r="H248" t="n">
        <x:v>6</x:v>
      </x:c>
    </x:row>
    <x:row r="249">
      <x:c r="A249" t="str">
        <x:v>SUS-000248</x:v>
      </x:c>
      <x:c r="B249" t="str">
        <x:v>USR-00207</x:v>
      </x:c>
      <x:c r="C249" t="str">
        <x:v>Cero</x:v>
      </x:c>
      <x:c r="D249" t="n">
        <x:v>45839</x:v>
      </x:c>
      <x:c r="E249" t="n">
        <x:v>45992</x:v>
      </x:c>
      <x:c r="F249" t="str">
        <x:v>Finalizada</x:v>
      </x:c>
      <x:c r="G249" t="str">
        <x:v>Gratuita</x:v>
      </x:c>
      <x:c r="H249" t="n">
        <x:v>6</x:v>
      </x:c>
    </x:row>
    <x:row r="250">
      <x:c r="A250" t="str">
        <x:v>SUS-000249</x:v>
      </x:c>
      <x:c r="B250" t="str">
        <x:v>USR-00208</x:v>
      </x:c>
      <x:c r="C250" t="str">
        <x:v>Cero</x:v>
      </x:c>
      <x:c r="D250" t="n">
        <x:v>45839</x:v>
      </x:c>
      <x:c r="E250" t="n">
        <x:v>45901</x:v>
      </x:c>
      <x:c r="F250" t="str">
        <x:v>Finalizada</x:v>
      </x:c>
      <x:c r="G250" t="str">
        <x:v>Gratuita</x:v>
      </x:c>
      <x:c r="H250" t="n">
        <x:v>3</x:v>
      </x:c>
    </x:row>
    <x:row r="251">
      <x:c r="A251" t="str">
        <x:v>SUS-000250</x:v>
      </x:c>
      <x:c r="B251" t="str">
        <x:v>USR-00209</x:v>
      </x:c>
      <x:c r="C251" t="str">
        <x:v>Cero</x:v>
      </x:c>
      <x:c r="D251" t="n">
        <x:v>45839</x:v>
      </x:c>
      <x:c r="E251" t="n">
        <x:v>46266</x:v>
      </x:c>
      <x:c r="F251" t="str">
        <x:v>Activa</x:v>
      </x:c>
      <x:c r="G251" t="str">
        <x:v>Gratuita</x:v>
      </x:c>
      <x:c r="H251" t="n">
        <x:v>15</x:v>
      </x:c>
    </x:row>
    <x:row r="252">
      <x:c r="A252" t="str">
        <x:v>SUS-000251</x:v>
      </x:c>
      <x:c r="B252" t="str">
        <x:v>USR-00210</x:v>
      </x:c>
      <x:c r="C252" t="str">
        <x:v>Cero</x:v>
      </x:c>
      <x:c r="D252" t="n">
        <x:v>45839</x:v>
      </x:c>
      <x:c r="E252" t="n">
        <x:v>46266</x:v>
      </x:c>
      <x:c r="F252" t="str">
        <x:v>Activa</x:v>
      </x:c>
      <x:c r="G252" t="str">
        <x:v>Gratuita</x:v>
      </x:c>
      <x:c r="H252" t="n">
        <x:v>15</x:v>
      </x:c>
    </x:row>
    <x:row r="253">
      <x:c r="A253" t="str">
        <x:v>SUS-000252</x:v>
      </x:c>
      <x:c r="B253" t="str">
        <x:v>USR-00211</x:v>
      </x:c>
      <x:c r="C253" t="str">
        <x:v>Cero</x:v>
      </x:c>
      <x:c r="D253" t="n">
        <x:v>45839</x:v>
      </x:c>
      <x:c r="E253" t="n">
        <x:v>46023</x:v>
      </x:c>
      <x:c r="F253" t="str">
        <x:v>Finalizada</x:v>
      </x:c>
      <x:c r="G253" t="str">
        <x:v>Gratuita</x:v>
      </x:c>
      <x:c r="H253" t="n">
        <x:v>7</x:v>
      </x:c>
    </x:row>
    <x:row r="254">
      <x:c r="A254" t="str">
        <x:v>SUS-000253</x:v>
      </x:c>
      <x:c r="B254" t="str">
        <x:v>USR-00212</x:v>
      </x:c>
      <x:c r="C254" t="str">
        <x:v>Cero</x:v>
      </x:c>
      <x:c r="D254" t="n">
        <x:v>45839</x:v>
      </x:c>
      <x:c r="E254" t="n">
        <x:v>46266</x:v>
      </x:c>
      <x:c r="F254" t="str">
        <x:v>Activa</x:v>
      </x:c>
      <x:c r="G254" t="str">
        <x:v>Gratuita</x:v>
      </x:c>
      <x:c r="H254" t="n">
        <x:v>15</x:v>
      </x:c>
    </x:row>
    <x:row r="255">
      <x:c r="A255" t="str">
        <x:v>SUS-000254</x:v>
      </x:c>
      <x:c r="B255" t="str">
        <x:v>USR-00213</x:v>
      </x:c>
      <x:c r="C255" t="str">
        <x:v>Cero</x:v>
      </x:c>
      <x:c r="D255" t="n">
        <x:v>45839</x:v>
      </x:c>
      <x:c r="E255" t="n">
        <x:v>46082</x:v>
      </x:c>
      <x:c r="F255" t="str">
        <x:v>Finalizada</x:v>
      </x:c>
      <x:c r="G255" t="str">
        <x:v>Gratuita</x:v>
      </x:c>
      <x:c r="H255" t="n">
        <x:v>9</x:v>
      </x:c>
    </x:row>
    <x:row r="256">
      <x:c r="A256" t="str">
        <x:v>SUS-000255</x:v>
      </x:c>
      <x:c r="B256" t="str">
        <x:v>USR-00214</x:v>
      </x:c>
      <x:c r="C256" t="str">
        <x:v>Plus mensual</x:v>
      </x:c>
      <x:c r="D256" t="n">
        <x:v>45839</x:v>
      </x:c>
      <x:c r="E256" t="n">
        <x:v>45870</x:v>
      </x:c>
      <x:c r="F256" t="str">
        <x:v>Finalizada</x:v>
      </x:c>
      <x:c r="G256" t="str">
        <x:v>Mensual</x:v>
      </x:c>
      <x:c r="H256" t="n">
        <x:v>2</x:v>
      </x:c>
    </x:row>
    <x:row r="257">
      <x:c r="A257" t="str">
        <x:v>SUS-000256</x:v>
      </x:c>
      <x:c r="B257" t="str">
        <x:v>USR-00215</x:v>
      </x:c>
      <x:c r="C257" t="str">
        <x:v>Plus anual</x:v>
      </x:c>
      <x:c r="D257" t="n">
        <x:v>45839</x:v>
      </x:c>
      <x:c r="E257" t="n">
        <x:v>46174</x:v>
      </x:c>
      <x:c r="F257" t="str">
        <x:v>Finalizada</x:v>
      </x:c>
      <x:c r="G257" t="str">
        <x:v>Anual</x:v>
      </x:c>
      <x:c r="H257" t="n">
        <x:v>12</x:v>
      </x:c>
    </x:row>
    <x:row r="258">
      <x:c r="A258" t="str">
        <x:v>SUS-000257</x:v>
      </x:c>
      <x:c r="B258" t="str">
        <x:v>USR-00216</x:v>
      </x:c>
      <x:c r="C258" t="str">
        <x:v>Cero</x:v>
      </x:c>
      <x:c r="D258" t="n">
        <x:v>45839</x:v>
      </x:c>
      <x:c r="E258" t="n">
        <x:v>46204</x:v>
      </x:c>
      <x:c r="F258" t="str">
        <x:v>Finalizada</x:v>
      </x:c>
      <x:c r="G258" t="str">
        <x:v>Gratuita</x:v>
      </x:c>
      <x:c r="H258" t="n">
        <x:v>13</x:v>
      </x:c>
    </x:row>
    <x:row r="259">
      <x:c r="A259" t="str">
        <x:v>SUS-000258</x:v>
      </x:c>
      <x:c r="B259" t="str">
        <x:v>USR-00217</x:v>
      </x:c>
      <x:c r="C259" t="str">
        <x:v>Cero</x:v>
      </x:c>
      <x:c r="D259" t="n">
        <x:v>45839</x:v>
      </x:c>
      <x:c r="E259" t="n">
        <x:v>46266</x:v>
      </x:c>
      <x:c r="F259" t="str">
        <x:v>Activa</x:v>
      </x:c>
      <x:c r="G259" t="str">
        <x:v>Gratuita</x:v>
      </x:c>
      <x:c r="H259" t="n">
        <x:v>15</x:v>
      </x:c>
    </x:row>
    <x:row r="260">
      <x:c r="A260" t="str">
        <x:v>SUS-000259</x:v>
      </x:c>
      <x:c r="B260" t="str">
        <x:v>USR-00218</x:v>
      </x:c>
      <x:c r="C260" t="str">
        <x:v>Cero</x:v>
      </x:c>
      <x:c r="D260" t="n">
        <x:v>45839</x:v>
      </x:c>
      <x:c r="E260" t="n">
        <x:v>46266</x:v>
      </x:c>
      <x:c r="F260" t="str">
        <x:v>Activa</x:v>
      </x:c>
      <x:c r="G260" t="str">
        <x:v>Gratuita</x:v>
      </x:c>
      <x:c r="H260" t="n">
        <x:v>15</x:v>
      </x:c>
    </x:row>
    <x:row r="261">
      <x:c r="A261" t="str">
        <x:v>SUS-000260</x:v>
      </x:c>
      <x:c r="B261" t="str">
        <x:v>USR-00219</x:v>
      </x:c>
      <x:c r="C261" t="str">
        <x:v>Cero</x:v>
      </x:c>
      <x:c r="D261" t="n">
        <x:v>45839</x:v>
      </x:c>
      <x:c r="E261" t="n">
        <x:v>46266</x:v>
      </x:c>
      <x:c r="F261" t="str">
        <x:v>Activa</x:v>
      </x:c>
      <x:c r="G261" t="str">
        <x:v>Gratuita</x:v>
      </x:c>
      <x:c r="H261" t="n">
        <x:v>15</x:v>
      </x:c>
    </x:row>
    <x:row r="262">
      <x:c r="A262" t="str">
        <x:v>SUS-000261</x:v>
      </x:c>
      <x:c r="B262" t="str">
        <x:v>USR-00220</x:v>
      </x:c>
      <x:c r="C262" t="str">
        <x:v>Plus mensual</x:v>
      </x:c>
      <x:c r="D262" t="n">
        <x:v>45839</x:v>
      </x:c>
      <x:c r="E262" t="n">
        <x:v>46174</x:v>
      </x:c>
      <x:c r="F262" t="str">
        <x:v>Finalizada</x:v>
      </x:c>
      <x:c r="G262" t="str">
        <x:v>Mensual</x:v>
      </x:c>
      <x:c r="H262" t="n">
        <x:v>12</x:v>
      </x:c>
    </x:row>
    <x:row r="263">
      <x:c r="A263" t="str">
        <x:v>SUS-000262</x:v>
      </x:c>
      <x:c r="B263" t="str">
        <x:v>USR-00221</x:v>
      </x:c>
      <x:c r="C263" t="str">
        <x:v>Cero</x:v>
      </x:c>
      <x:c r="D263" t="n">
        <x:v>45839</x:v>
      </x:c>
      <x:c r="E263" t="n">
        <x:v>46266</x:v>
      </x:c>
      <x:c r="F263" t="str">
        <x:v>Activa</x:v>
      </x:c>
      <x:c r="G263" t="str">
        <x:v>Gratuita</x:v>
      </x:c>
      <x:c r="H263" t="n">
        <x:v>15</x:v>
      </x:c>
    </x:row>
    <x:row r="264">
      <x:c r="A264" t="str">
        <x:v>SUS-000263</x:v>
      </x:c>
      <x:c r="B264" t="str">
        <x:v>USR-00222</x:v>
      </x:c>
      <x:c r="C264" t="str">
        <x:v>Cero</x:v>
      </x:c>
      <x:c r="D264" t="n">
        <x:v>45839</x:v>
      </x:c>
      <x:c r="E264" t="n">
        <x:v>45962</x:v>
      </x:c>
      <x:c r="F264" t="str">
        <x:v>Finalizada</x:v>
      </x:c>
      <x:c r="G264" t="str">
        <x:v>Gratuita</x:v>
      </x:c>
      <x:c r="H264" t="n">
        <x:v>5</x:v>
      </x:c>
    </x:row>
    <x:row r="265">
      <x:c r="A265" t="str">
        <x:v>SUS-000264</x:v>
      </x:c>
      <x:c r="B265" t="str">
        <x:v>USR-00223</x:v>
      </x:c>
      <x:c r="C265" t="str">
        <x:v>Cero</x:v>
      </x:c>
      <x:c r="D265" t="n">
        <x:v>45839</x:v>
      </x:c>
      <x:c r="E265" t="n">
        <x:v>45839</x:v>
      </x:c>
      <x:c r="F265" t="str">
        <x:v>Finalizada</x:v>
      </x:c>
      <x:c r="G265" t="str">
        <x:v>Gratuita</x:v>
      </x:c>
      <x:c r="H265" t="n">
        <x:v>1</x:v>
      </x:c>
    </x:row>
    <x:row r="266">
      <x:c r="A266" t="str">
        <x:v>SUS-000265</x:v>
      </x:c>
      <x:c r="B266" t="str">
        <x:v>USR-00224</x:v>
      </x:c>
      <x:c r="C266" t="str">
        <x:v>Plus mensual</x:v>
      </x:c>
      <x:c r="D266" t="n">
        <x:v>45839</x:v>
      </x:c>
      <x:c r="E266" t="n">
        <x:v>46143</x:v>
      </x:c>
      <x:c r="F266" t="str">
        <x:v>Finalizada</x:v>
      </x:c>
      <x:c r="G266" t="str">
        <x:v>Mensual</x:v>
      </x:c>
      <x:c r="H266" t="n">
        <x:v>11</x:v>
      </x:c>
    </x:row>
    <x:row r="267">
      <x:c r="A267" t="str">
        <x:v>SUS-000266</x:v>
      </x:c>
      <x:c r="B267" t="str">
        <x:v>USR-00225</x:v>
      </x:c>
      <x:c r="C267" t="str">
        <x:v>Plus mensual</x:v>
      </x:c>
      <x:c r="D267" t="n">
        <x:v>45839</x:v>
      </x:c>
      <x:c r="E267" t="n">
        <x:v>45931</x:v>
      </x:c>
      <x:c r="F267" t="str">
        <x:v>Finalizada</x:v>
      </x:c>
      <x:c r="G267" t="str">
        <x:v>Mensual</x:v>
      </x:c>
      <x:c r="H267" t="n">
        <x:v>4</x:v>
      </x:c>
    </x:row>
    <x:row r="268">
      <x:c r="A268" t="str">
        <x:v>SUS-000267</x:v>
      </x:c>
      <x:c r="B268" t="str">
        <x:v>USR-00061</x:v>
      </x:c>
      <x:c r="C268" t="str">
        <x:v>Plus mensual</x:v>
      </x:c>
      <x:c r="D268" t="n">
        <x:v>45870</x:v>
      </x:c>
      <x:c r="E268" t="n">
        <x:v>45962</x:v>
      </x:c>
      <x:c r="F268" t="str">
        <x:v>Finalizada</x:v>
      </x:c>
      <x:c r="G268" t="str">
        <x:v>Mensual</x:v>
      </x:c>
      <x:c r="H268" t="n">
        <x:v>4</x:v>
      </x:c>
    </x:row>
    <x:row r="269">
      <x:c r="A269" t="str">
        <x:v>SUS-000268</x:v>
      </x:c>
      <x:c r="B269" t="str">
        <x:v>USR-00063</x:v>
      </x:c>
      <x:c r="C269" t="str">
        <x:v>Plus anual</x:v>
      </x:c>
      <x:c r="D269" t="n">
        <x:v>45870</x:v>
      </x:c>
      <x:c r="E269" t="n">
        <x:v>46266</x:v>
      </x:c>
      <x:c r="F269" t="str">
        <x:v>Activa</x:v>
      </x:c>
      <x:c r="G269" t="str">
        <x:v>Anual</x:v>
      </x:c>
      <x:c r="H269" t="n">
        <x:v>14</x:v>
      </x:c>
    </x:row>
    <x:row r="270">
      <x:c r="A270" t="str">
        <x:v>SUS-000269</x:v>
      </x:c>
      <x:c r="B270" t="str">
        <x:v>USR-00067</x:v>
      </x:c>
      <x:c r="C270" t="str">
        <x:v>Cero</x:v>
      </x:c>
      <x:c r="D270" t="n">
        <x:v>45870</x:v>
      </x:c>
      <x:c r="E270" t="n">
        <x:v>45931</x:v>
      </x:c>
      <x:c r="F270" t="str">
        <x:v>Finalizada</x:v>
      </x:c>
      <x:c r="G270" t="str">
        <x:v>Gratuita</x:v>
      </x:c>
      <x:c r="H270" t="n">
        <x:v>3</x:v>
      </x:c>
    </x:row>
    <x:row r="271">
      <x:c r="A271" t="str">
        <x:v>SUS-000270</x:v>
      </x:c>
      <x:c r="B271" t="str">
        <x:v>USR-00074</x:v>
      </x:c>
      <x:c r="C271" t="str">
        <x:v>Plus anual</x:v>
      </x:c>
      <x:c r="D271" t="n">
        <x:v>45870</x:v>
      </x:c>
      <x:c r="E271" t="n">
        <x:v>46266</x:v>
      </x:c>
      <x:c r="F271" t="str">
        <x:v>Activa</x:v>
      </x:c>
      <x:c r="G271" t="str">
        <x:v>Anual</x:v>
      </x:c>
      <x:c r="H271" t="n">
        <x:v>14</x:v>
      </x:c>
    </x:row>
    <x:row r="272">
      <x:c r="A272" t="str">
        <x:v>SUS-000271</x:v>
      </x:c>
      <x:c r="B272" t="str">
        <x:v>USR-00085</x:v>
      </x:c>
      <x:c r="C272" t="str">
        <x:v>Cero</x:v>
      </x:c>
      <x:c r="D272" t="n">
        <x:v>45870</x:v>
      </x:c>
      <x:c r="E272" t="n">
        <x:v>46266</x:v>
      </x:c>
      <x:c r="F272" t="str">
        <x:v>Activa</x:v>
      </x:c>
      <x:c r="G272" t="str">
        <x:v>Gratuita</x:v>
      </x:c>
      <x:c r="H272" t="n">
        <x:v>14</x:v>
      </x:c>
    </x:row>
    <x:row r="273">
      <x:c r="A273" t="str">
        <x:v>SUS-000272</x:v>
      </x:c>
      <x:c r="B273" t="str">
        <x:v>USR-00095</x:v>
      </x:c>
      <x:c r="C273" t="str">
        <x:v>Cero</x:v>
      </x:c>
      <x:c r="D273" t="n">
        <x:v>45870</x:v>
      </x:c>
      <x:c r="E273" t="n">
        <x:v>46266</x:v>
      </x:c>
      <x:c r="F273" t="str">
        <x:v>Activa</x:v>
      </x:c>
      <x:c r="G273" t="str">
        <x:v>Gratuita</x:v>
      </x:c>
      <x:c r="H273" t="n">
        <x:v>14</x:v>
      </x:c>
    </x:row>
    <x:row r="274">
      <x:c r="A274" t="str">
        <x:v>SUS-000273</x:v>
      </x:c>
      <x:c r="B274" t="str">
        <x:v>USR-00096</x:v>
      </x:c>
      <x:c r="C274" t="str">
        <x:v>Plus mensual</x:v>
      </x:c>
      <x:c r="D274" t="n">
        <x:v>45870</x:v>
      </x:c>
      <x:c r="E274" t="n">
        <x:v>46266</x:v>
      </x:c>
      <x:c r="F274" t="str">
        <x:v>Activa</x:v>
      </x:c>
      <x:c r="G274" t="str">
        <x:v>Mensual</x:v>
      </x:c>
      <x:c r="H274" t="n">
        <x:v>14</x:v>
      </x:c>
    </x:row>
    <x:row r="275">
      <x:c r="A275" t="str">
        <x:v>SUS-000274</x:v>
      </x:c>
      <x:c r="B275" t="str">
        <x:v>USR-00107</x:v>
      </x:c>
      <x:c r="C275" t="str">
        <x:v>Plus mensual</x:v>
      </x:c>
      <x:c r="D275" t="n">
        <x:v>45870</x:v>
      </x:c>
      <x:c r="E275" t="n">
        <x:v>45870</x:v>
      </x:c>
      <x:c r="F275" t="str">
        <x:v>Finalizada</x:v>
      </x:c>
      <x:c r="G275" t="str">
        <x:v>Mensual</x:v>
      </x:c>
      <x:c r="H275" t="n">
        <x:v>1</x:v>
      </x:c>
    </x:row>
    <x:row r="276">
      <x:c r="A276" t="str">
        <x:v>SUS-000275</x:v>
      </x:c>
      <x:c r="B276" t="str">
        <x:v>USR-00137</x:v>
      </x:c>
      <x:c r="C276" t="str">
        <x:v>Plus anual</x:v>
      </x:c>
      <x:c r="D276" t="n">
        <x:v>45870</x:v>
      </x:c>
      <x:c r="E276" t="n">
        <x:v>46266</x:v>
      </x:c>
      <x:c r="F276" t="str">
        <x:v>Activa</x:v>
      </x:c>
      <x:c r="G276" t="str">
        <x:v>Anual</x:v>
      </x:c>
      <x:c r="H276" t="n">
        <x:v>14</x:v>
      </x:c>
    </x:row>
    <x:row r="277">
      <x:c r="A277" t="str">
        <x:v>SUS-000276</x:v>
      </x:c>
      <x:c r="B277" t="str">
        <x:v>USR-00140</x:v>
      </x:c>
      <x:c r="C277" t="str">
        <x:v>Cero</x:v>
      </x:c>
      <x:c r="D277" t="n">
        <x:v>45870</x:v>
      </x:c>
      <x:c r="E277" t="n">
        <x:v>45992</x:v>
      </x:c>
      <x:c r="F277" t="str">
        <x:v>Finalizada</x:v>
      </x:c>
      <x:c r="G277" t="str">
        <x:v>Gratuita</x:v>
      </x:c>
      <x:c r="H277" t="n">
        <x:v>5</x:v>
      </x:c>
    </x:row>
    <x:row r="278">
      <x:c r="A278" t="str">
        <x:v>SUS-000277</x:v>
      </x:c>
      <x:c r="B278" t="str">
        <x:v>USR-00143</x:v>
      </x:c>
      <x:c r="C278" t="str">
        <x:v>Plus mensual</x:v>
      </x:c>
      <x:c r="D278" t="n">
        <x:v>45870</x:v>
      </x:c>
      <x:c r="E278" t="n">
        <x:v>45962</x:v>
      </x:c>
      <x:c r="F278" t="str">
        <x:v>Finalizada</x:v>
      </x:c>
      <x:c r="G278" t="str">
        <x:v>Mensual</x:v>
      </x:c>
      <x:c r="H278" t="n">
        <x:v>4</x:v>
      </x:c>
    </x:row>
    <x:row r="279">
      <x:c r="A279" t="str">
        <x:v>SUS-000278</x:v>
      </x:c>
      <x:c r="B279" t="str">
        <x:v>USR-00154</x:v>
      </x:c>
      <x:c r="C279" t="str">
        <x:v>Plus mensual</x:v>
      </x:c>
      <x:c r="D279" t="n">
        <x:v>45870</x:v>
      </x:c>
      <x:c r="E279" t="n">
        <x:v>46204</x:v>
      </x:c>
      <x:c r="F279" t="str">
        <x:v>Finalizada</x:v>
      </x:c>
      <x:c r="G279" t="str">
        <x:v>Mensual</x:v>
      </x:c>
      <x:c r="H279" t="n">
        <x:v>12</x:v>
      </x:c>
    </x:row>
    <x:row r="280">
      <x:c r="A280" t="str">
        <x:v>SUS-000279</x:v>
      </x:c>
      <x:c r="B280" t="str">
        <x:v>USR-00160</x:v>
      </x:c>
      <x:c r="C280" t="str">
        <x:v>Plus anual</x:v>
      </x:c>
      <x:c r="D280" t="n">
        <x:v>45870</x:v>
      </x:c>
      <x:c r="E280" t="n">
        <x:v>46266</x:v>
      </x:c>
      <x:c r="F280" t="str">
        <x:v>Activa</x:v>
      </x:c>
      <x:c r="G280" t="str">
        <x:v>Anual</x:v>
      </x:c>
      <x:c r="H280" t="n">
        <x:v>14</x:v>
      </x:c>
    </x:row>
    <x:row r="281">
      <x:c r="A281" t="str">
        <x:v>SUS-000280</x:v>
      </x:c>
      <x:c r="B281" t="str">
        <x:v>USR-00174</x:v>
      </x:c>
      <x:c r="C281" t="str">
        <x:v>Plus mensual</x:v>
      </x:c>
      <x:c r="D281" t="n">
        <x:v>45870</x:v>
      </x:c>
      <x:c r="E281" t="n">
        <x:v>46054</x:v>
      </x:c>
      <x:c r="F281" t="str">
        <x:v>Finalizada</x:v>
      </x:c>
      <x:c r="G281" t="str">
        <x:v>Mensual</x:v>
      </x:c>
      <x:c r="H281" t="n">
        <x:v>7</x:v>
      </x:c>
    </x:row>
    <x:row r="282">
      <x:c r="A282" t="str">
        <x:v>SUS-000281</x:v>
      </x:c>
      <x:c r="B282" t="str">
        <x:v>USR-00184</x:v>
      </x:c>
      <x:c r="C282" t="str">
        <x:v>Plus mensual</x:v>
      </x:c>
      <x:c r="D282" t="n">
        <x:v>45870</x:v>
      </x:c>
      <x:c r="E282" t="n">
        <x:v>46266</x:v>
      </x:c>
      <x:c r="F282" t="str">
        <x:v>Activa</x:v>
      </x:c>
      <x:c r="G282" t="str">
        <x:v>Mensual</x:v>
      </x:c>
      <x:c r="H282" t="n">
        <x:v>14</x:v>
      </x:c>
    </x:row>
    <x:row r="283">
      <x:c r="A283" t="str">
        <x:v>SUS-000282</x:v>
      </x:c>
      <x:c r="B283" t="str">
        <x:v>USR-00189</x:v>
      </x:c>
      <x:c r="C283" t="str">
        <x:v>Cero</x:v>
      </x:c>
      <x:c r="D283" t="n">
        <x:v>45870</x:v>
      </x:c>
      <x:c r="E283" t="n">
        <x:v>45901</x:v>
      </x:c>
      <x:c r="F283" t="str">
        <x:v>Finalizada</x:v>
      </x:c>
      <x:c r="G283" t="str">
        <x:v>Gratuita</x:v>
      </x:c>
      <x:c r="H283" t="n">
        <x:v>2</x:v>
      </x:c>
    </x:row>
    <x:row r="284">
      <x:c r="A284" t="str">
        <x:v>SUS-000283</x:v>
      </x:c>
      <x:c r="B284" t="str">
        <x:v>USR-00203</x:v>
      </x:c>
      <x:c r="C284" t="str">
        <x:v>Plus mensual</x:v>
      </x:c>
      <x:c r="D284" t="n">
        <x:v>45870</x:v>
      </x:c>
      <x:c r="E284" t="n">
        <x:v>45931</x:v>
      </x:c>
      <x:c r="F284" t="str">
        <x:v>Finalizada</x:v>
      </x:c>
      <x:c r="G284" t="str">
        <x:v>Mensual</x:v>
      </x:c>
      <x:c r="H284" t="n">
        <x:v>3</x:v>
      </x:c>
    </x:row>
    <x:row r="285">
      <x:c r="A285" t="str">
        <x:v>SUS-000284</x:v>
      </x:c>
      <x:c r="B285" t="str">
        <x:v>USR-00204</x:v>
      </x:c>
      <x:c r="C285" t="str">
        <x:v>Cero</x:v>
      </x:c>
      <x:c r="D285" t="n">
        <x:v>45870</x:v>
      </x:c>
      <x:c r="E285" t="n">
        <x:v>46266</x:v>
      </x:c>
      <x:c r="F285" t="str">
        <x:v>Activa</x:v>
      </x:c>
      <x:c r="G285" t="str">
        <x:v>Gratuita</x:v>
      </x:c>
      <x:c r="H285" t="n">
        <x:v>14</x:v>
      </x:c>
    </x:row>
    <x:row r="286">
      <x:c r="A286" t="str">
        <x:v>SUS-000285</x:v>
      </x:c>
      <x:c r="B286" t="str">
        <x:v>USR-00205</x:v>
      </x:c>
      <x:c r="C286" t="str">
        <x:v>Plus mensual</x:v>
      </x:c>
      <x:c r="D286" t="n">
        <x:v>45870</x:v>
      </x:c>
      <x:c r="E286" t="n">
        <x:v>45870</x:v>
      </x:c>
      <x:c r="F286" t="str">
        <x:v>Finalizada</x:v>
      </x:c>
      <x:c r="G286" t="str">
        <x:v>Mensual</x:v>
      </x:c>
      <x:c r="H286" t="n">
        <x:v>1</x:v>
      </x:c>
    </x:row>
    <x:row r="287">
      <x:c r="A287" t="str">
        <x:v>SUS-000286</x:v>
      </x:c>
      <x:c r="B287" t="str">
        <x:v>USR-00223</x:v>
      </x:c>
      <x:c r="C287" t="str">
        <x:v>Plus anual</x:v>
      </x:c>
      <x:c r="D287" t="n">
        <x:v>45870</x:v>
      </x:c>
      <x:c r="E287" t="n">
        <x:v>46266</x:v>
      </x:c>
      <x:c r="F287" t="str">
        <x:v>Activa</x:v>
      </x:c>
      <x:c r="G287" t="str">
        <x:v>Anual</x:v>
      </x:c>
      <x:c r="H287" t="n">
        <x:v>14</x:v>
      </x:c>
    </x:row>
    <x:row r="288">
      <x:c r="A288" t="str">
        <x:v>SUS-000287</x:v>
      </x:c>
      <x:c r="B288" t="str">
        <x:v>USR-00226</x:v>
      </x:c>
      <x:c r="C288" t="str">
        <x:v>Cero</x:v>
      </x:c>
      <x:c r="D288" t="n">
        <x:v>45870</x:v>
      </x:c>
      <x:c r="E288" t="n">
        <x:v>45992</x:v>
      </x:c>
      <x:c r="F288" t="str">
        <x:v>Finalizada</x:v>
      </x:c>
      <x:c r="G288" t="str">
        <x:v>Gratuita</x:v>
      </x:c>
      <x:c r="H288" t="n">
        <x:v>5</x:v>
      </x:c>
    </x:row>
    <x:row r="289">
      <x:c r="A289" t="str">
        <x:v>SUS-000288</x:v>
      </x:c>
      <x:c r="B289" t="str">
        <x:v>USR-00227</x:v>
      </x:c>
      <x:c r="C289" t="str">
        <x:v>Cero</x:v>
      </x:c>
      <x:c r="D289" t="n">
        <x:v>45870</x:v>
      </x:c>
      <x:c r="E289" t="n">
        <x:v>46266</x:v>
      </x:c>
      <x:c r="F289" t="str">
        <x:v>Activa</x:v>
      </x:c>
      <x:c r="G289" t="str">
        <x:v>Gratuita</x:v>
      </x:c>
      <x:c r="H289" t="n">
        <x:v>14</x:v>
      </x:c>
    </x:row>
    <x:row r="290">
      <x:c r="A290" t="str">
        <x:v>SUS-000289</x:v>
      </x:c>
      <x:c r="B290" t="str">
        <x:v>USR-00228</x:v>
      </x:c>
      <x:c r="C290" t="str">
        <x:v>Cero</x:v>
      </x:c>
      <x:c r="D290" t="n">
        <x:v>45870</x:v>
      </x:c>
      <x:c r="E290" t="n">
        <x:v>46266</x:v>
      </x:c>
      <x:c r="F290" t="str">
        <x:v>Activa</x:v>
      </x:c>
      <x:c r="G290" t="str">
        <x:v>Gratuita</x:v>
      </x:c>
      <x:c r="H290" t="n">
        <x:v>14</x:v>
      </x:c>
    </x:row>
    <x:row r="291">
      <x:c r="A291" t="str">
        <x:v>SUS-000290</x:v>
      </x:c>
      <x:c r="B291" t="str">
        <x:v>USR-00229</x:v>
      </x:c>
      <x:c r="C291" t="str">
        <x:v>Cero</x:v>
      </x:c>
      <x:c r="D291" t="n">
        <x:v>45870</x:v>
      </x:c>
      <x:c r="E291" t="n">
        <x:v>46266</x:v>
      </x:c>
      <x:c r="F291" t="str">
        <x:v>Activa</x:v>
      </x:c>
      <x:c r="G291" t="str">
        <x:v>Gratuita</x:v>
      </x:c>
      <x:c r="H291" t="n">
        <x:v>14</x:v>
      </x:c>
    </x:row>
    <x:row r="292">
      <x:c r="A292" t="str">
        <x:v>SUS-000291</x:v>
      </x:c>
      <x:c r="B292" t="str">
        <x:v>USR-00230</x:v>
      </x:c>
      <x:c r="C292" t="str">
        <x:v>Cero</x:v>
      </x:c>
      <x:c r="D292" t="n">
        <x:v>45870</x:v>
      </x:c>
      <x:c r="E292" t="n">
        <x:v>46235</x:v>
      </x:c>
      <x:c r="F292" t="str">
        <x:v>Finalizada</x:v>
      </x:c>
      <x:c r="G292" t="str">
        <x:v>Gratuita</x:v>
      </x:c>
      <x:c r="H292" t="n">
        <x:v>13</x:v>
      </x:c>
    </x:row>
    <x:row r="293">
      <x:c r="A293" t="str">
        <x:v>SUS-000292</x:v>
      </x:c>
      <x:c r="B293" t="str">
        <x:v>USR-00231</x:v>
      </x:c>
      <x:c r="C293" t="str">
        <x:v>Cero</x:v>
      </x:c>
      <x:c r="D293" t="n">
        <x:v>45870</x:v>
      </x:c>
      <x:c r="E293" t="n">
        <x:v>45962</x:v>
      </x:c>
      <x:c r="F293" t="str">
        <x:v>Finalizada</x:v>
      </x:c>
      <x:c r="G293" t="str">
        <x:v>Gratuita</x:v>
      </x:c>
      <x:c r="H293" t="n">
        <x:v>4</x:v>
      </x:c>
    </x:row>
    <x:row r="294">
      <x:c r="A294" t="str">
        <x:v>SUS-000293</x:v>
      </x:c>
      <x:c r="B294" t="str">
        <x:v>USR-00232</x:v>
      </x:c>
      <x:c r="C294" t="str">
        <x:v>Plus mensual</x:v>
      </x:c>
      <x:c r="D294" t="n">
        <x:v>45870</x:v>
      </x:c>
      <x:c r="E294" t="n">
        <x:v>45992</x:v>
      </x:c>
      <x:c r="F294" t="str">
        <x:v>Finalizada</x:v>
      </x:c>
      <x:c r="G294" t="str">
        <x:v>Mensual</x:v>
      </x:c>
      <x:c r="H294" t="n">
        <x:v>5</x:v>
      </x:c>
    </x:row>
    <x:row r="295">
      <x:c r="A295" t="str">
        <x:v>SUS-000294</x:v>
      </x:c>
      <x:c r="B295" t="str">
        <x:v>USR-00233</x:v>
      </x:c>
      <x:c r="C295" t="str">
        <x:v>Cero</x:v>
      </x:c>
      <x:c r="D295" t="n">
        <x:v>45870</x:v>
      </x:c>
      <x:c r="E295" t="n">
        <x:v>46023</x:v>
      </x:c>
      <x:c r="F295" t="str">
        <x:v>Finalizada</x:v>
      </x:c>
      <x:c r="G295" t="str">
        <x:v>Gratuita</x:v>
      </x:c>
      <x:c r="H295" t="n">
        <x:v>6</x:v>
      </x:c>
    </x:row>
    <x:row r="296">
      <x:c r="A296" t="str">
        <x:v>SUS-000295</x:v>
      </x:c>
      <x:c r="B296" t="str">
        <x:v>USR-00234</x:v>
      </x:c>
      <x:c r="C296" t="str">
        <x:v>Cero</x:v>
      </x:c>
      <x:c r="D296" t="n">
        <x:v>45870</x:v>
      </x:c>
      <x:c r="E296" t="n">
        <x:v>46204</x:v>
      </x:c>
      <x:c r="F296" t="str">
        <x:v>Finalizada</x:v>
      </x:c>
      <x:c r="G296" t="str">
        <x:v>Gratuita</x:v>
      </x:c>
      <x:c r="H296" t="n">
        <x:v>12</x:v>
      </x:c>
    </x:row>
    <x:row r="297">
      <x:c r="A297" t="str">
        <x:v>SUS-000296</x:v>
      </x:c>
      <x:c r="B297" t="str">
        <x:v>USR-00235</x:v>
      </x:c>
      <x:c r="C297" t="str">
        <x:v>Cero</x:v>
      </x:c>
      <x:c r="D297" t="n">
        <x:v>45870</x:v>
      </x:c>
      <x:c r="E297" t="n">
        <x:v>46023</x:v>
      </x:c>
      <x:c r="F297" t="str">
        <x:v>Finalizada</x:v>
      </x:c>
      <x:c r="G297" t="str">
        <x:v>Gratuita</x:v>
      </x:c>
      <x:c r="H297" t="n">
        <x:v>6</x:v>
      </x:c>
    </x:row>
    <x:row r="298">
      <x:c r="A298" t="str">
        <x:v>SUS-000297</x:v>
      </x:c>
      <x:c r="B298" t="str">
        <x:v>USR-00236</x:v>
      </x:c>
      <x:c r="C298" t="str">
        <x:v>Cero</x:v>
      </x:c>
      <x:c r="D298" t="n">
        <x:v>45870</x:v>
      </x:c>
      <x:c r="E298" t="n">
        <x:v>46266</x:v>
      </x:c>
      <x:c r="F298" t="str">
        <x:v>Activa</x:v>
      </x:c>
      <x:c r="G298" t="str">
        <x:v>Gratuita</x:v>
      </x:c>
      <x:c r="H298" t="n">
        <x:v>14</x:v>
      </x:c>
    </x:row>
    <x:row r="299">
      <x:c r="A299" t="str">
        <x:v>SUS-000298</x:v>
      </x:c>
      <x:c r="B299" t="str">
        <x:v>USR-00237</x:v>
      </x:c>
      <x:c r="C299" t="str">
        <x:v>Cero</x:v>
      </x:c>
      <x:c r="D299" t="n">
        <x:v>45870</x:v>
      </x:c>
      <x:c r="E299" t="n">
        <x:v>46113</x:v>
      </x:c>
      <x:c r="F299" t="str">
        <x:v>Finalizada</x:v>
      </x:c>
      <x:c r="G299" t="str">
        <x:v>Gratuita</x:v>
      </x:c>
      <x:c r="H299" t="n">
        <x:v>9</x:v>
      </x:c>
    </x:row>
    <x:row r="300">
      <x:c r="A300" t="str">
        <x:v>SUS-000299</x:v>
      </x:c>
      <x:c r="B300" t="str">
        <x:v>USR-00238</x:v>
      </x:c>
      <x:c r="C300" t="str">
        <x:v>Plus mensual</x:v>
      </x:c>
      <x:c r="D300" t="n">
        <x:v>45870</x:v>
      </x:c>
      <x:c r="E300" t="n">
        <x:v>46204</x:v>
      </x:c>
      <x:c r="F300" t="str">
        <x:v>Finalizada</x:v>
      </x:c>
      <x:c r="G300" t="str">
        <x:v>Mensual</x:v>
      </x:c>
      <x:c r="H300" t="n">
        <x:v>12</x:v>
      </x:c>
    </x:row>
    <x:row r="301">
      <x:c r="A301" t="str">
        <x:v>SUS-000300</x:v>
      </x:c>
      <x:c r="B301" t="str">
        <x:v>USR-00239</x:v>
      </x:c>
      <x:c r="C301" t="str">
        <x:v>Cero</x:v>
      </x:c>
      <x:c r="D301" t="n">
        <x:v>45870</x:v>
      </x:c>
      <x:c r="E301" t="n">
        <x:v>46266</x:v>
      </x:c>
      <x:c r="F301" t="str">
        <x:v>Activa</x:v>
      </x:c>
      <x:c r="G301" t="str">
        <x:v>Gratuita</x:v>
      </x:c>
      <x:c r="H301" t="n">
        <x:v>14</x:v>
      </x:c>
    </x:row>
    <x:row r="302">
      <x:c r="A302" t="str">
        <x:v>SUS-000301</x:v>
      </x:c>
      <x:c r="B302" t="str">
        <x:v>USR-00240</x:v>
      </x:c>
      <x:c r="C302" t="str">
        <x:v>Cero</x:v>
      </x:c>
      <x:c r="D302" t="n">
        <x:v>45870</x:v>
      </x:c>
      <x:c r="E302" t="n">
        <x:v>46266</x:v>
      </x:c>
      <x:c r="F302" t="str">
        <x:v>Activa</x:v>
      </x:c>
      <x:c r="G302" t="str">
        <x:v>Gratuita</x:v>
      </x:c>
      <x:c r="H302" t="n">
        <x:v>14</x:v>
      </x:c>
    </x:row>
    <x:row r="303">
      <x:c r="A303" t="str">
        <x:v>SUS-000302</x:v>
      </x:c>
      <x:c r="B303" t="str">
        <x:v>USR-00241</x:v>
      </x:c>
      <x:c r="C303" t="str">
        <x:v>Cero</x:v>
      </x:c>
      <x:c r="D303" t="n">
        <x:v>45870</x:v>
      </x:c>
      <x:c r="E303" t="n">
        <x:v>46023</x:v>
      </x:c>
      <x:c r="F303" t="str">
        <x:v>Finalizada</x:v>
      </x:c>
      <x:c r="G303" t="str">
        <x:v>Gratuita</x:v>
      </x:c>
      <x:c r="H303" t="n">
        <x:v>6</x:v>
      </x:c>
    </x:row>
    <x:row r="304">
      <x:c r="A304" t="str">
        <x:v>SUS-000303</x:v>
      </x:c>
      <x:c r="B304" t="str">
        <x:v>USR-00242</x:v>
      </x:c>
      <x:c r="C304" t="str">
        <x:v>Cero</x:v>
      </x:c>
      <x:c r="D304" t="n">
        <x:v>45870</x:v>
      </x:c>
      <x:c r="E304" t="n">
        <x:v>46266</x:v>
      </x:c>
      <x:c r="F304" t="str">
        <x:v>Activa</x:v>
      </x:c>
      <x:c r="G304" t="str">
        <x:v>Gratuita</x:v>
      </x:c>
      <x:c r="H304" t="n">
        <x:v>14</x:v>
      </x:c>
    </x:row>
    <x:row r="305">
      <x:c r="A305" t="str">
        <x:v>SUS-000304</x:v>
      </x:c>
      <x:c r="B305" t="str">
        <x:v>USR-00243</x:v>
      </x:c>
      <x:c r="C305" t="str">
        <x:v>Cero</x:v>
      </x:c>
      <x:c r="D305" t="n">
        <x:v>45870</x:v>
      </x:c>
      <x:c r="E305" t="n">
        <x:v>46266</x:v>
      </x:c>
      <x:c r="F305" t="str">
        <x:v>Activa</x:v>
      </x:c>
      <x:c r="G305" t="str">
        <x:v>Gratuita</x:v>
      </x:c>
      <x:c r="H305" t="n">
        <x:v>14</x:v>
      </x:c>
    </x:row>
    <x:row r="306">
      <x:c r="A306" t="str">
        <x:v>SUS-000305</x:v>
      </x:c>
      <x:c r="B306" t="str">
        <x:v>USR-00244</x:v>
      </x:c>
      <x:c r="C306" t="str">
        <x:v>Cero</x:v>
      </x:c>
      <x:c r="D306" t="n">
        <x:v>45870</x:v>
      </x:c>
      <x:c r="E306" t="n">
        <x:v>46266</x:v>
      </x:c>
      <x:c r="F306" t="str">
        <x:v>Activa</x:v>
      </x:c>
      <x:c r="G306" t="str">
        <x:v>Gratuita</x:v>
      </x:c>
      <x:c r="H306" t="n">
        <x:v>14</x:v>
      </x:c>
    </x:row>
    <x:row r="307">
      <x:c r="A307" t="str">
        <x:v>SUS-000306</x:v>
      </x:c>
      <x:c r="B307" t="str">
        <x:v>USR-00245</x:v>
      </x:c>
      <x:c r="C307" t="str">
        <x:v>Cero</x:v>
      </x:c>
      <x:c r="D307" t="n">
        <x:v>45870</x:v>
      </x:c>
      <x:c r="E307" t="n">
        <x:v>46266</x:v>
      </x:c>
      <x:c r="F307" t="str">
        <x:v>Activa</x:v>
      </x:c>
      <x:c r="G307" t="str">
        <x:v>Gratuita</x:v>
      </x:c>
      <x:c r="H307" t="n">
        <x:v>14</x:v>
      </x:c>
    </x:row>
    <x:row r="308">
      <x:c r="A308" t="str">
        <x:v>SUS-000307</x:v>
      </x:c>
      <x:c r="B308" t="str">
        <x:v>USR-00246</x:v>
      </x:c>
      <x:c r="C308" t="str">
        <x:v>Cero</x:v>
      </x:c>
      <x:c r="D308" t="n">
        <x:v>45870</x:v>
      </x:c>
      <x:c r="E308" t="n">
        <x:v>46266</x:v>
      </x:c>
      <x:c r="F308" t="str">
        <x:v>Activa</x:v>
      </x:c>
      <x:c r="G308" t="str">
        <x:v>Gratuita</x:v>
      </x:c>
      <x:c r="H308" t="n">
        <x:v>14</x:v>
      </x:c>
    </x:row>
    <x:row r="309">
      <x:c r="A309" t="str">
        <x:v>SUS-000308</x:v>
      </x:c>
      <x:c r="B309" t="str">
        <x:v>USR-00247</x:v>
      </x:c>
      <x:c r="C309" t="str">
        <x:v>Cero</x:v>
      </x:c>
      <x:c r="D309" t="n">
        <x:v>45870</x:v>
      </x:c>
      <x:c r="E309" t="n">
        <x:v>45992</x:v>
      </x:c>
      <x:c r="F309" t="str">
        <x:v>Finalizada</x:v>
      </x:c>
      <x:c r="G309" t="str">
        <x:v>Gratuita</x:v>
      </x:c>
      <x:c r="H309" t="n">
        <x:v>5</x:v>
      </x:c>
    </x:row>
    <x:row r="310">
      <x:c r="A310" t="str">
        <x:v>SUS-000309</x:v>
      </x:c>
      <x:c r="B310" t="str">
        <x:v>USR-00248</x:v>
      </x:c>
      <x:c r="C310" t="str">
        <x:v>Cero</x:v>
      </x:c>
      <x:c r="D310" t="n">
        <x:v>45870</x:v>
      </x:c>
      <x:c r="E310" t="n">
        <x:v>46174</x:v>
      </x:c>
      <x:c r="F310" t="str">
        <x:v>Finalizada</x:v>
      </x:c>
      <x:c r="G310" t="str">
        <x:v>Gratuita</x:v>
      </x:c>
      <x:c r="H310" t="n">
        <x:v>11</x:v>
      </x:c>
    </x:row>
    <x:row r="311">
      <x:c r="A311" t="str">
        <x:v>SUS-000310</x:v>
      </x:c>
      <x:c r="B311" t="str">
        <x:v>USR-00249</x:v>
      </x:c>
      <x:c r="C311" t="str">
        <x:v>Plus mensual</x:v>
      </x:c>
      <x:c r="D311" t="n">
        <x:v>45870</x:v>
      </x:c>
      <x:c r="E311" t="n">
        <x:v>46266</x:v>
      </x:c>
      <x:c r="F311" t="str">
        <x:v>Activa</x:v>
      </x:c>
      <x:c r="G311" t="str">
        <x:v>Mensual</x:v>
      </x:c>
      <x:c r="H311" t="n">
        <x:v>14</x:v>
      </x:c>
    </x:row>
    <x:row r="312">
      <x:c r="A312" t="str">
        <x:v>SUS-000311</x:v>
      </x:c>
      <x:c r="B312" t="str">
        <x:v>USR-00250</x:v>
      </x:c>
      <x:c r="C312" t="str">
        <x:v>Cero</x:v>
      </x:c>
      <x:c r="D312" t="n">
        <x:v>45870</x:v>
      </x:c>
      <x:c r="E312" t="n">
        <x:v>45962</x:v>
      </x:c>
      <x:c r="F312" t="str">
        <x:v>Finalizada</x:v>
      </x:c>
      <x:c r="G312" t="str">
        <x:v>Gratuita</x:v>
      </x:c>
      <x:c r="H312" t="n">
        <x:v>4</x:v>
      </x:c>
    </x:row>
    <x:row r="313">
      <x:c r="A313" t="str">
        <x:v>SUS-000312</x:v>
      </x:c>
      <x:c r="B313" t="str">
        <x:v>USR-00251</x:v>
      </x:c>
      <x:c r="C313" t="str">
        <x:v>Cero</x:v>
      </x:c>
      <x:c r="D313" t="n">
        <x:v>45870</x:v>
      </x:c>
      <x:c r="E313" t="n">
        <x:v>45931</x:v>
      </x:c>
      <x:c r="F313" t="str">
        <x:v>Finalizada</x:v>
      </x:c>
      <x:c r="G313" t="str">
        <x:v>Gratuita</x:v>
      </x:c>
      <x:c r="H313" t="n">
        <x:v>3</x:v>
      </x:c>
    </x:row>
    <x:row r="314">
      <x:c r="A314" t="str">
        <x:v>SUS-000313</x:v>
      </x:c>
      <x:c r="B314" t="str">
        <x:v>USR-00252</x:v>
      </x:c>
      <x:c r="C314" t="str">
        <x:v>Cero</x:v>
      </x:c>
      <x:c r="D314" t="n">
        <x:v>45870</x:v>
      </x:c>
      <x:c r="E314" t="n">
        <x:v>46054</x:v>
      </x:c>
      <x:c r="F314" t="str">
        <x:v>Finalizada</x:v>
      </x:c>
      <x:c r="G314" t="str">
        <x:v>Gratuita</x:v>
      </x:c>
      <x:c r="H314" t="n">
        <x:v>7</x:v>
      </x:c>
    </x:row>
    <x:row r="315">
      <x:c r="A315" t="str">
        <x:v>SUS-000314</x:v>
      </x:c>
      <x:c r="B315" t="str">
        <x:v>USR-00253</x:v>
      </x:c>
      <x:c r="C315" t="str">
        <x:v>Cero</x:v>
      </x:c>
      <x:c r="D315" t="n">
        <x:v>45870</x:v>
      </x:c>
      <x:c r="E315" t="n">
        <x:v>45931</x:v>
      </x:c>
      <x:c r="F315" t="str">
        <x:v>Finalizada</x:v>
      </x:c>
      <x:c r="G315" t="str">
        <x:v>Gratuita</x:v>
      </x:c>
      <x:c r="H315" t="n">
        <x:v>3</x:v>
      </x:c>
    </x:row>
    <x:row r="316">
      <x:c r="A316" t="str">
        <x:v>SUS-000315</x:v>
      </x:c>
      <x:c r="B316" t="str">
        <x:v>USR-00254</x:v>
      </x:c>
      <x:c r="C316" t="str">
        <x:v>Plus mensual</x:v>
      </x:c>
      <x:c r="D316" t="n">
        <x:v>45870</x:v>
      </x:c>
      <x:c r="E316" t="n">
        <x:v>45962</x:v>
      </x:c>
      <x:c r="F316" t="str">
        <x:v>Finalizada</x:v>
      </x:c>
      <x:c r="G316" t="str">
        <x:v>Mensual</x:v>
      </x:c>
      <x:c r="H316" t="n">
        <x:v>4</x:v>
      </x:c>
    </x:row>
    <x:row r="317">
      <x:c r="A317" t="str">
        <x:v>SUS-000316</x:v>
      </x:c>
      <x:c r="B317" t="str">
        <x:v>USR-00255</x:v>
      </x:c>
      <x:c r="C317" t="str">
        <x:v>Plus mensual</x:v>
      </x:c>
      <x:c r="D317" t="n">
        <x:v>45870</x:v>
      </x:c>
      <x:c r="E317" t="n">
        <x:v>45901</x:v>
      </x:c>
      <x:c r="F317" t="str">
        <x:v>Finalizada</x:v>
      </x:c>
      <x:c r="G317" t="str">
        <x:v>Mensual</x:v>
      </x:c>
      <x:c r="H317" t="n">
        <x:v>2</x:v>
      </x:c>
    </x:row>
    <x:row r="318">
      <x:c r="A318" t="str">
        <x:v>SUS-000317</x:v>
      </x:c>
      <x:c r="B318" t="str">
        <x:v>USR-00256</x:v>
      </x:c>
      <x:c r="C318" t="str">
        <x:v>Cero</x:v>
      </x:c>
      <x:c r="D318" t="n">
        <x:v>45870</x:v>
      </x:c>
      <x:c r="E318" t="n">
        <x:v>46235</x:v>
      </x:c>
      <x:c r="F318" t="str">
        <x:v>Finalizada</x:v>
      </x:c>
      <x:c r="G318" t="str">
        <x:v>Gratuita</x:v>
      </x:c>
      <x:c r="H318" t="n">
        <x:v>13</x:v>
      </x:c>
    </x:row>
    <x:row r="319">
      <x:c r="A319" t="str">
        <x:v>SUS-000318</x:v>
      </x:c>
      <x:c r="B319" t="str">
        <x:v>USR-00257</x:v>
      </x:c>
      <x:c r="C319" t="str">
        <x:v>Cero</x:v>
      </x:c>
      <x:c r="D319" t="n">
        <x:v>45870</x:v>
      </x:c>
      <x:c r="E319" t="n">
        <x:v>46266</x:v>
      </x:c>
      <x:c r="F319" t="str">
        <x:v>Activa</x:v>
      </x:c>
      <x:c r="G319" t="str">
        <x:v>Gratuita</x:v>
      </x:c>
      <x:c r="H319" t="n">
        <x:v>14</x:v>
      </x:c>
    </x:row>
    <x:row r="320">
      <x:c r="A320" t="str">
        <x:v>SUS-000319</x:v>
      </x:c>
      <x:c r="B320" t="str">
        <x:v>USR-00258</x:v>
      </x:c>
      <x:c r="C320" t="str">
        <x:v>Cero</x:v>
      </x:c>
      <x:c r="D320" t="n">
        <x:v>45870</x:v>
      </x:c>
      <x:c r="E320" t="n">
        <x:v>46143</x:v>
      </x:c>
      <x:c r="F320" t="str">
        <x:v>Finalizada</x:v>
      </x:c>
      <x:c r="G320" t="str">
        <x:v>Gratuita</x:v>
      </x:c>
      <x:c r="H320" t="n">
        <x:v>10</x:v>
      </x:c>
    </x:row>
    <x:row r="321">
      <x:c r="A321" t="str">
        <x:v>SUS-000320</x:v>
      </x:c>
      <x:c r="B321" t="str">
        <x:v>USR-00259</x:v>
      </x:c>
      <x:c r="C321" t="str">
        <x:v>Cero</x:v>
      </x:c>
      <x:c r="D321" t="n">
        <x:v>45870</x:v>
      </x:c>
      <x:c r="E321" t="n">
        <x:v>45931</x:v>
      </x:c>
      <x:c r="F321" t="str">
        <x:v>Finalizada</x:v>
      </x:c>
      <x:c r="G321" t="str">
        <x:v>Gratuita</x:v>
      </x:c>
      <x:c r="H321" t="n">
        <x:v>3</x:v>
      </x:c>
    </x:row>
    <x:row r="322">
      <x:c r="A322" t="str">
        <x:v>SUS-000321</x:v>
      </x:c>
      <x:c r="B322" t="str">
        <x:v>USR-00260</x:v>
      </x:c>
      <x:c r="C322" t="str">
        <x:v>Cero</x:v>
      </x:c>
      <x:c r="D322" t="n">
        <x:v>45870</x:v>
      </x:c>
      <x:c r="E322" t="n">
        <x:v>45931</x:v>
      </x:c>
      <x:c r="F322" t="str">
        <x:v>Finalizada</x:v>
      </x:c>
      <x:c r="G322" t="str">
        <x:v>Gratuita</x:v>
      </x:c>
      <x:c r="H322" t="n">
        <x:v>3</x:v>
      </x:c>
    </x:row>
    <x:row r="323">
      <x:c r="A323" t="str">
        <x:v>SUS-000322</x:v>
      </x:c>
      <x:c r="B323" t="str">
        <x:v>USR-00261</x:v>
      </x:c>
      <x:c r="C323" t="str">
        <x:v>Cero</x:v>
      </x:c>
      <x:c r="D323" t="n">
        <x:v>45870</x:v>
      </x:c>
      <x:c r="E323" t="n">
        <x:v>46113</x:v>
      </x:c>
      <x:c r="F323" t="str">
        <x:v>Finalizada</x:v>
      </x:c>
      <x:c r="G323" t="str">
        <x:v>Gratuita</x:v>
      </x:c>
      <x:c r="H323" t="n">
        <x:v>9</x:v>
      </x:c>
    </x:row>
    <x:row r="324">
      <x:c r="A324" t="str">
        <x:v>SUS-000323</x:v>
      </x:c>
      <x:c r="B324" t="str">
        <x:v>USR-00262</x:v>
      </x:c>
      <x:c r="C324" t="str">
        <x:v>Cero</x:v>
      </x:c>
      <x:c r="D324" t="n">
        <x:v>45870</x:v>
      </x:c>
      <x:c r="E324" t="n">
        <x:v>45931</x:v>
      </x:c>
      <x:c r="F324" t="str">
        <x:v>Finalizada</x:v>
      </x:c>
      <x:c r="G324" t="str">
        <x:v>Gratuita</x:v>
      </x:c>
      <x:c r="H324" t="n">
        <x:v>3</x:v>
      </x:c>
    </x:row>
    <x:row r="325">
      <x:c r="A325" t="str">
        <x:v>SUS-000324</x:v>
      </x:c>
      <x:c r="B325" t="str">
        <x:v>USR-00263</x:v>
      </x:c>
      <x:c r="C325" t="str">
        <x:v>Cero</x:v>
      </x:c>
      <x:c r="D325" t="n">
        <x:v>45870</x:v>
      </x:c>
      <x:c r="E325" t="n">
        <x:v>46174</x:v>
      </x:c>
      <x:c r="F325" t="str">
        <x:v>Finalizada</x:v>
      </x:c>
      <x:c r="G325" t="str">
        <x:v>Gratuita</x:v>
      </x:c>
      <x:c r="H325" t="n">
        <x:v>11</x:v>
      </x:c>
    </x:row>
    <x:row r="326">
      <x:c r="A326" t="str">
        <x:v>SUS-000325</x:v>
      </x:c>
      <x:c r="B326" t="str">
        <x:v>USR-00264</x:v>
      </x:c>
      <x:c r="C326" t="str">
        <x:v>Cero</x:v>
      </x:c>
      <x:c r="D326" t="n">
        <x:v>45870</x:v>
      </x:c>
      <x:c r="E326" t="n">
        <x:v>46266</x:v>
      </x:c>
      <x:c r="F326" t="str">
        <x:v>Activa</x:v>
      </x:c>
      <x:c r="G326" t="str">
        <x:v>Gratuita</x:v>
      </x:c>
      <x:c r="H326" t="n">
        <x:v>14</x:v>
      </x:c>
    </x:row>
    <x:row r="327">
      <x:c r="A327" t="str">
        <x:v>SUS-000326</x:v>
      </x:c>
      <x:c r="B327" t="str">
        <x:v>USR-00003</x:v>
      </x:c>
      <x:c r="C327" t="str">
        <x:v>Plus anual</x:v>
      </x:c>
      <x:c r="D327" t="n">
        <x:v>45901</x:v>
      </x:c>
      <x:c r="E327" t="n">
        <x:v>46266</x:v>
      </x:c>
      <x:c r="F327" t="str">
        <x:v>Activa</x:v>
      </x:c>
      <x:c r="G327" t="str">
        <x:v>Anual</x:v>
      </x:c>
      <x:c r="H327" t="n">
        <x:v>13</x:v>
      </x:c>
    </x:row>
    <x:row r="328">
      <x:c r="A328" t="str">
        <x:v>SUS-000327</x:v>
      </x:c>
      <x:c r="B328" t="str">
        <x:v>USR-00010</x:v>
      </x:c>
      <x:c r="C328" t="str">
        <x:v>Plus mensual</x:v>
      </x:c>
      <x:c r="D328" t="n">
        <x:v>45901</x:v>
      </x:c>
      <x:c r="E328" t="n">
        <x:v>45962</x:v>
      </x:c>
      <x:c r="F328" t="str">
        <x:v>Finalizada</x:v>
      </x:c>
      <x:c r="G328" t="str">
        <x:v>Mensual</x:v>
      </x:c>
      <x:c r="H328" t="n">
        <x:v>3</x:v>
      </x:c>
    </x:row>
    <x:row r="329">
      <x:c r="A329" t="str">
        <x:v>SUS-000328</x:v>
      </x:c>
      <x:c r="B329" t="str">
        <x:v>USR-00021</x:v>
      </x:c>
      <x:c r="C329" t="str">
        <x:v>Plus anual</x:v>
      </x:c>
      <x:c r="D329" t="n">
        <x:v>45901</x:v>
      </x:c>
      <x:c r="E329" t="n">
        <x:v>46266</x:v>
      </x:c>
      <x:c r="F329" t="str">
        <x:v>Activa</x:v>
      </x:c>
      <x:c r="G329" t="str">
        <x:v>Anual</x:v>
      </x:c>
      <x:c r="H329" t="n">
        <x:v>13</x:v>
      </x:c>
    </x:row>
    <x:row r="330">
      <x:c r="A330" t="str">
        <x:v>SUS-000329</x:v>
      </x:c>
      <x:c r="B330" t="str">
        <x:v>USR-00036</x:v>
      </x:c>
      <x:c r="C330" t="str">
        <x:v>Plus mensual</x:v>
      </x:c>
      <x:c r="D330" t="n">
        <x:v>45901</x:v>
      </x:c>
      <x:c r="E330" t="n">
        <x:v>45992</x:v>
      </x:c>
      <x:c r="F330" t="str">
        <x:v>Finalizada</x:v>
      </x:c>
      <x:c r="G330" t="str">
        <x:v>Mensual</x:v>
      </x:c>
      <x:c r="H330" t="n">
        <x:v>4</x:v>
      </x:c>
    </x:row>
    <x:row r="331">
      <x:c r="A331" t="str">
        <x:v>SUS-000330</x:v>
      </x:c>
      <x:c r="B331" t="str">
        <x:v>USR-00049</x:v>
      </x:c>
      <x:c r="C331" t="str">
        <x:v>Plus mensual</x:v>
      </x:c>
      <x:c r="D331" t="n">
        <x:v>45901</x:v>
      </x:c>
      <x:c r="E331" t="n">
        <x:v>45931</x:v>
      </x:c>
      <x:c r="F331" t="str">
        <x:v>Finalizada</x:v>
      </x:c>
      <x:c r="G331" t="str">
        <x:v>Mensual</x:v>
      </x:c>
      <x:c r="H331" t="n">
        <x:v>2</x:v>
      </x:c>
    </x:row>
    <x:row r="332">
      <x:c r="A332" t="str">
        <x:v>SUS-000331</x:v>
      </x:c>
      <x:c r="B332" t="str">
        <x:v>USR-00054</x:v>
      </x:c>
      <x:c r="C332" t="str">
        <x:v>Cero</x:v>
      </x:c>
      <x:c r="D332" t="n">
        <x:v>45901</x:v>
      </x:c>
      <x:c r="E332" t="n">
        <x:v>46266</x:v>
      </x:c>
      <x:c r="F332" t="str">
        <x:v>Activa</x:v>
      </x:c>
      <x:c r="G332" t="str">
        <x:v>Gratuita</x:v>
      </x:c>
      <x:c r="H332" t="n">
        <x:v>13</x:v>
      </x:c>
    </x:row>
    <x:row r="333">
      <x:c r="A333" t="str">
        <x:v>SUS-000332</x:v>
      </x:c>
      <x:c r="B333" t="str">
        <x:v>USR-00062</x:v>
      </x:c>
      <x:c r="C333" t="str">
        <x:v>Plus anual</x:v>
      </x:c>
      <x:c r="D333" t="n">
        <x:v>45901</x:v>
      </x:c>
      <x:c r="E333" t="n">
        <x:v>46235</x:v>
      </x:c>
      <x:c r="F333" t="str">
        <x:v>Finalizada</x:v>
      </x:c>
      <x:c r="G333" t="str">
        <x:v>Anual</x:v>
      </x:c>
      <x:c r="H333" t="n">
        <x:v>12</x:v>
      </x:c>
    </x:row>
    <x:row r="334">
      <x:c r="A334" t="str">
        <x:v>SUS-000333</x:v>
      </x:c>
      <x:c r="B334" t="str">
        <x:v>USR-00064</x:v>
      </x:c>
      <x:c r="C334" t="str">
        <x:v>Plus mensual</x:v>
      </x:c>
      <x:c r="D334" t="n">
        <x:v>45901</x:v>
      </x:c>
      <x:c r="E334" t="n">
        <x:v>46266</x:v>
      </x:c>
      <x:c r="F334" t="str">
        <x:v>Activa</x:v>
      </x:c>
      <x:c r="G334" t="str">
        <x:v>Mensual</x:v>
      </x:c>
      <x:c r="H334" t="n">
        <x:v>13</x:v>
      </x:c>
    </x:row>
    <x:row r="335">
      <x:c r="A335" t="str">
        <x:v>SUS-000334</x:v>
      </x:c>
      <x:c r="B335" t="str">
        <x:v>USR-00070</x:v>
      </x:c>
      <x:c r="C335" t="str">
        <x:v>Cero</x:v>
      </x:c>
      <x:c r="D335" t="n">
        <x:v>45901</x:v>
      </x:c>
      <x:c r="E335" t="n">
        <x:v>45962</x:v>
      </x:c>
      <x:c r="F335" t="str">
        <x:v>Finalizada</x:v>
      </x:c>
      <x:c r="G335" t="str">
        <x:v>Gratuita</x:v>
      </x:c>
      <x:c r="H335" t="n">
        <x:v>3</x:v>
      </x:c>
    </x:row>
    <x:row r="336">
      <x:c r="A336" t="str">
        <x:v>SUS-000335</x:v>
      </x:c>
      <x:c r="B336" t="str">
        <x:v>USR-00073</x:v>
      </x:c>
      <x:c r="C336" t="str">
        <x:v>Plus mensual</x:v>
      </x:c>
      <x:c r="D336" t="n">
        <x:v>45901</x:v>
      </x:c>
      <x:c r="E336" t="n">
        <x:v>45992</x:v>
      </x:c>
      <x:c r="F336" t="str">
        <x:v>Finalizada</x:v>
      </x:c>
      <x:c r="G336" t="str">
        <x:v>Mensual</x:v>
      </x:c>
      <x:c r="H336" t="n">
        <x:v>4</x:v>
      </x:c>
    </x:row>
    <x:row r="337">
      <x:c r="A337" t="str">
        <x:v>SUS-000336</x:v>
      </x:c>
      <x:c r="B337" t="str">
        <x:v>USR-00079</x:v>
      </x:c>
      <x:c r="C337" t="str">
        <x:v>Plus mensual</x:v>
      </x:c>
      <x:c r="D337" t="n">
        <x:v>45901</x:v>
      </x:c>
      <x:c r="E337" t="n">
        <x:v>46266</x:v>
      </x:c>
      <x:c r="F337" t="str">
        <x:v>Activa</x:v>
      </x:c>
      <x:c r="G337" t="str">
        <x:v>Mensual</x:v>
      </x:c>
      <x:c r="H337" t="n">
        <x:v>13</x:v>
      </x:c>
    </x:row>
    <x:row r="338">
      <x:c r="A338" t="str">
        <x:v>SUS-000337</x:v>
      </x:c>
      <x:c r="B338" t="str">
        <x:v>USR-00099</x:v>
      </x:c>
      <x:c r="C338" t="str">
        <x:v>Plus mensual</x:v>
      </x:c>
      <x:c r="D338" t="n">
        <x:v>45901</x:v>
      </x:c>
      <x:c r="E338" t="n">
        <x:v>46266</x:v>
      </x:c>
      <x:c r="F338" t="str">
        <x:v>Activa</x:v>
      </x:c>
      <x:c r="G338" t="str">
        <x:v>Mensual</x:v>
      </x:c>
      <x:c r="H338" t="n">
        <x:v>13</x:v>
      </x:c>
    </x:row>
    <x:row r="339">
      <x:c r="A339" t="str">
        <x:v>SUS-000338</x:v>
      </x:c>
      <x:c r="B339" t="str">
        <x:v>USR-00107</x:v>
      </x:c>
      <x:c r="C339" t="str">
        <x:v>Plus anual</x:v>
      </x:c>
      <x:c r="D339" t="n">
        <x:v>45901</x:v>
      </x:c>
      <x:c r="E339" t="n">
        <x:v>46266</x:v>
      </x:c>
      <x:c r="F339" t="str">
        <x:v>Activa</x:v>
      </x:c>
      <x:c r="G339" t="str">
        <x:v>Anual</x:v>
      </x:c>
      <x:c r="H339" t="n">
        <x:v>13</x:v>
      </x:c>
    </x:row>
    <x:row r="340">
      <x:c r="A340" t="str">
        <x:v>SUS-000339</x:v>
      </x:c>
      <x:c r="B340" t="str">
        <x:v>USR-00112</x:v>
      </x:c>
      <x:c r="C340" t="str">
        <x:v>Plus anual</x:v>
      </x:c>
      <x:c r="D340" t="n">
        <x:v>45901</x:v>
      </x:c>
      <x:c r="E340" t="n">
        <x:v>46266</x:v>
      </x:c>
      <x:c r="F340" t="str">
        <x:v>Activa</x:v>
      </x:c>
      <x:c r="G340" t="str">
        <x:v>Anual</x:v>
      </x:c>
      <x:c r="H340" t="n">
        <x:v>13</x:v>
      </x:c>
    </x:row>
    <x:row r="341">
      <x:c r="A341" t="str">
        <x:v>SUS-000340</x:v>
      </x:c>
      <x:c r="B341" t="str">
        <x:v>USR-00119</x:v>
      </x:c>
      <x:c r="C341" t="str">
        <x:v>Plus mensual</x:v>
      </x:c>
      <x:c r="D341" t="n">
        <x:v>45901</x:v>
      </x:c>
      <x:c r="E341" t="n">
        <x:v>45962</x:v>
      </x:c>
      <x:c r="F341" t="str">
        <x:v>Finalizada</x:v>
      </x:c>
      <x:c r="G341" t="str">
        <x:v>Mensual</x:v>
      </x:c>
      <x:c r="H341" t="n">
        <x:v>3</x:v>
      </x:c>
    </x:row>
    <x:row r="342">
      <x:c r="A342" t="str">
        <x:v>SUS-000341</x:v>
      </x:c>
      <x:c r="B342" t="str">
        <x:v>USR-00152</x:v>
      </x:c>
      <x:c r="C342" t="str">
        <x:v>Plus mensual</x:v>
      </x:c>
      <x:c r="D342" t="n">
        <x:v>45901</x:v>
      </x:c>
      <x:c r="E342" t="n">
        <x:v>45931</x:v>
      </x:c>
      <x:c r="F342" t="str">
        <x:v>Finalizada</x:v>
      </x:c>
      <x:c r="G342" t="str">
        <x:v>Mensual</x:v>
      </x:c>
      <x:c r="H342" t="n">
        <x:v>2</x:v>
      </x:c>
    </x:row>
    <x:row r="343">
      <x:c r="A343" t="str">
        <x:v>SUS-000342</x:v>
      </x:c>
      <x:c r="B343" t="str">
        <x:v>USR-00157</x:v>
      </x:c>
      <x:c r="C343" t="str">
        <x:v>Plus anual</x:v>
      </x:c>
      <x:c r="D343" t="n">
        <x:v>45901</x:v>
      </x:c>
      <x:c r="E343" t="n">
        <x:v>46266</x:v>
      </x:c>
      <x:c r="F343" t="str">
        <x:v>Activa</x:v>
      </x:c>
      <x:c r="G343" t="str">
        <x:v>Anual</x:v>
      </x:c>
      <x:c r="H343" t="n">
        <x:v>13</x:v>
      </x:c>
    </x:row>
    <x:row r="344">
      <x:c r="A344" t="str">
        <x:v>SUS-000343</x:v>
      </x:c>
      <x:c r="B344" t="str">
        <x:v>USR-00159</x:v>
      </x:c>
      <x:c r="C344" t="str">
        <x:v>Plus anual</x:v>
      </x:c>
      <x:c r="D344" t="n">
        <x:v>45901</x:v>
      </x:c>
      <x:c r="E344" t="n">
        <x:v>46266</x:v>
      </x:c>
      <x:c r="F344" t="str">
        <x:v>Activa</x:v>
      </x:c>
      <x:c r="G344" t="str">
        <x:v>Anual</x:v>
      </x:c>
      <x:c r="H344" t="n">
        <x:v>13</x:v>
      </x:c>
    </x:row>
    <x:row r="345">
      <x:c r="A345" t="str">
        <x:v>SUS-000344</x:v>
      </x:c>
      <x:c r="B345" t="str">
        <x:v>USR-00191</x:v>
      </x:c>
      <x:c r="C345" t="str">
        <x:v>Plus mensual</x:v>
      </x:c>
      <x:c r="D345" t="n">
        <x:v>45901</x:v>
      </x:c>
      <x:c r="E345" t="n">
        <x:v>46023</x:v>
      </x:c>
      <x:c r="F345" t="str">
        <x:v>Finalizada</x:v>
      </x:c>
      <x:c r="G345" t="str">
        <x:v>Mensual</x:v>
      </x:c>
      <x:c r="H345" t="n">
        <x:v>5</x:v>
      </x:c>
    </x:row>
    <x:row r="346">
      <x:c r="A346" t="str">
        <x:v>SUS-000345</x:v>
      </x:c>
      <x:c r="B346" t="str">
        <x:v>USR-00205</x:v>
      </x:c>
      <x:c r="C346" t="str">
        <x:v>Cero</x:v>
      </x:c>
      <x:c r="D346" t="n">
        <x:v>45901</x:v>
      </x:c>
      <x:c r="E346" t="n">
        <x:v>46023</x:v>
      </x:c>
      <x:c r="F346" t="str">
        <x:v>Finalizada</x:v>
      </x:c>
      <x:c r="G346" t="str">
        <x:v>Gratuita</x:v>
      </x:c>
      <x:c r="H346" t="n">
        <x:v>5</x:v>
      </x:c>
    </x:row>
    <x:row r="347">
      <x:c r="A347" t="str">
        <x:v>SUS-000346</x:v>
      </x:c>
      <x:c r="B347" t="str">
        <x:v>USR-00214</x:v>
      </x:c>
      <x:c r="C347" t="str">
        <x:v>Cero</x:v>
      </x:c>
      <x:c r="D347" t="n">
        <x:v>45901</x:v>
      </x:c>
      <x:c r="E347" t="n">
        <x:v>46023</x:v>
      </x:c>
      <x:c r="F347" t="str">
        <x:v>Finalizada</x:v>
      </x:c>
      <x:c r="G347" t="str">
        <x:v>Gratuita</x:v>
      </x:c>
      <x:c r="H347" t="n">
        <x:v>5</x:v>
      </x:c>
    </x:row>
    <x:row r="348">
      <x:c r="A348" t="str">
        <x:v>SUS-000347</x:v>
      </x:c>
      <x:c r="B348" t="str">
        <x:v>USR-00265</x:v>
      </x:c>
      <x:c r="C348" t="str">
        <x:v>Cero</x:v>
      </x:c>
      <x:c r="D348" t="n">
        <x:v>45901</x:v>
      </x:c>
      <x:c r="E348" t="n">
        <x:v>45931</x:v>
      </x:c>
      <x:c r="F348" t="str">
        <x:v>Finalizada</x:v>
      </x:c>
      <x:c r="G348" t="str">
        <x:v>Gratuita</x:v>
      </x:c>
      <x:c r="H348" t="n">
        <x:v>2</x:v>
      </x:c>
    </x:row>
    <x:row r="349">
      <x:c r="A349" t="str">
        <x:v>SUS-000348</x:v>
      </x:c>
      <x:c r="B349" t="str">
        <x:v>USR-00266</x:v>
      </x:c>
      <x:c r="C349" t="str">
        <x:v>Cero</x:v>
      </x:c>
      <x:c r="D349" t="n">
        <x:v>45901</x:v>
      </x:c>
      <x:c r="E349" t="n">
        <x:v>45901</x:v>
      </x:c>
      <x:c r="F349" t="str">
        <x:v>Finalizada</x:v>
      </x:c>
      <x:c r="G349" t="str">
        <x:v>Gratuita</x:v>
      </x:c>
      <x:c r="H349" t="n">
        <x:v>1</x:v>
      </x:c>
    </x:row>
    <x:row r="350">
      <x:c r="A350" t="str">
        <x:v>SUS-000349</x:v>
      </x:c>
      <x:c r="B350" t="str">
        <x:v>USR-00267</x:v>
      </x:c>
      <x:c r="C350" t="str">
        <x:v>Plus mensual</x:v>
      </x:c>
      <x:c r="D350" t="n">
        <x:v>45901</x:v>
      </x:c>
      <x:c r="E350" t="n">
        <x:v>45992</x:v>
      </x:c>
      <x:c r="F350" t="str">
        <x:v>Finalizada</x:v>
      </x:c>
      <x:c r="G350" t="str">
        <x:v>Mensual</x:v>
      </x:c>
      <x:c r="H350" t="n">
        <x:v>4</x:v>
      </x:c>
    </x:row>
    <x:row r="351">
      <x:c r="A351" t="str">
        <x:v>SUS-000350</x:v>
      </x:c>
      <x:c r="B351" t="str">
        <x:v>USR-00268</x:v>
      </x:c>
      <x:c r="C351" t="str">
        <x:v>Cero</x:v>
      </x:c>
      <x:c r="D351" t="n">
        <x:v>45901</x:v>
      </x:c>
      <x:c r="E351" t="n">
        <x:v>45992</x:v>
      </x:c>
      <x:c r="F351" t="str">
        <x:v>Finalizada</x:v>
      </x:c>
      <x:c r="G351" t="str">
        <x:v>Gratuita</x:v>
      </x:c>
      <x:c r="H351" t="n">
        <x:v>4</x:v>
      </x:c>
    </x:row>
    <x:row r="352">
      <x:c r="A352" t="str">
        <x:v>SUS-000351</x:v>
      </x:c>
      <x:c r="B352" t="str">
        <x:v>USR-00269</x:v>
      </x:c>
      <x:c r="C352" t="str">
        <x:v>Cero</x:v>
      </x:c>
      <x:c r="D352" t="n">
        <x:v>45901</x:v>
      </x:c>
      <x:c r="E352" t="n">
        <x:v>46174</x:v>
      </x:c>
      <x:c r="F352" t="str">
        <x:v>Finalizada</x:v>
      </x:c>
      <x:c r="G352" t="str">
        <x:v>Gratuita</x:v>
      </x:c>
      <x:c r="H352" t="n">
        <x:v>10</x:v>
      </x:c>
    </x:row>
    <x:row r="353">
      <x:c r="A353" t="str">
        <x:v>SUS-000352</x:v>
      </x:c>
      <x:c r="B353" t="str">
        <x:v>USR-00270</x:v>
      </x:c>
      <x:c r="C353" t="str">
        <x:v>Cero</x:v>
      </x:c>
      <x:c r="D353" t="n">
        <x:v>45901</x:v>
      </x:c>
      <x:c r="E353" t="n">
        <x:v>46266</x:v>
      </x:c>
      <x:c r="F353" t="str">
        <x:v>Activa</x:v>
      </x:c>
      <x:c r="G353" t="str">
        <x:v>Gratuita</x:v>
      </x:c>
      <x:c r="H353" t="n">
        <x:v>13</x:v>
      </x:c>
    </x:row>
    <x:row r="354">
      <x:c r="A354" t="str">
        <x:v>SUS-000353</x:v>
      </x:c>
      <x:c r="B354" t="str">
        <x:v>USR-00271</x:v>
      </x:c>
      <x:c r="C354" t="str">
        <x:v>Cero</x:v>
      </x:c>
      <x:c r="D354" t="n">
        <x:v>45901</x:v>
      </x:c>
      <x:c r="E354" t="n">
        <x:v>45962</x:v>
      </x:c>
      <x:c r="F354" t="str">
        <x:v>Finalizada</x:v>
      </x:c>
      <x:c r="G354" t="str">
        <x:v>Gratuita</x:v>
      </x:c>
      <x:c r="H354" t="n">
        <x:v>3</x:v>
      </x:c>
    </x:row>
    <x:row r="355">
      <x:c r="A355" t="str">
        <x:v>SUS-000354</x:v>
      </x:c>
      <x:c r="B355" t="str">
        <x:v>USR-00272</x:v>
      </x:c>
      <x:c r="C355" t="str">
        <x:v>Cero</x:v>
      </x:c>
      <x:c r="D355" t="n">
        <x:v>45901</x:v>
      </x:c>
      <x:c r="E355" t="n">
        <x:v>46235</x:v>
      </x:c>
      <x:c r="F355" t="str">
        <x:v>Finalizada</x:v>
      </x:c>
      <x:c r="G355" t="str">
        <x:v>Gratuita</x:v>
      </x:c>
      <x:c r="H355" t="n">
        <x:v>12</x:v>
      </x:c>
    </x:row>
    <x:row r="356">
      <x:c r="A356" t="str">
        <x:v>SUS-000355</x:v>
      </x:c>
      <x:c r="B356" t="str">
        <x:v>USR-00273</x:v>
      </x:c>
      <x:c r="C356" t="str">
        <x:v>Cero</x:v>
      </x:c>
      <x:c r="D356" t="n">
        <x:v>45901</x:v>
      </x:c>
      <x:c r="E356" t="n">
        <x:v>46054</x:v>
      </x:c>
      <x:c r="F356" t="str">
        <x:v>Finalizada</x:v>
      </x:c>
      <x:c r="G356" t="str">
        <x:v>Gratuita</x:v>
      </x:c>
      <x:c r="H356" t="n">
        <x:v>6</x:v>
      </x:c>
    </x:row>
    <x:row r="357">
      <x:c r="A357" t="str">
        <x:v>SUS-000356</x:v>
      </x:c>
      <x:c r="B357" t="str">
        <x:v>USR-00274</x:v>
      </x:c>
      <x:c r="C357" t="str">
        <x:v>Plus anual</x:v>
      </x:c>
      <x:c r="D357" t="n">
        <x:v>45901</x:v>
      </x:c>
      <x:c r="E357" t="n">
        <x:v>46266</x:v>
      </x:c>
      <x:c r="F357" t="str">
        <x:v>Activa</x:v>
      </x:c>
      <x:c r="G357" t="str">
        <x:v>Anual</x:v>
      </x:c>
      <x:c r="H357" t="n">
        <x:v>13</x:v>
      </x:c>
    </x:row>
    <x:row r="358">
      <x:c r="A358" t="str">
        <x:v>SUS-000357</x:v>
      </x:c>
      <x:c r="B358" t="str">
        <x:v>USR-00275</x:v>
      </x:c>
      <x:c r="C358" t="str">
        <x:v>Plus mensual</x:v>
      </x:c>
      <x:c r="D358" t="n">
        <x:v>45901</x:v>
      </x:c>
      <x:c r="E358" t="n">
        <x:v>45901</x:v>
      </x:c>
      <x:c r="F358" t="str">
        <x:v>Finalizada</x:v>
      </x:c>
      <x:c r="G358" t="str">
        <x:v>Mensual</x:v>
      </x:c>
      <x:c r="H358" t="n">
        <x:v>1</x:v>
      </x:c>
    </x:row>
    <x:row r="359">
      <x:c r="A359" t="str">
        <x:v>SUS-000358</x:v>
      </x:c>
      <x:c r="B359" t="str">
        <x:v>USR-00276</x:v>
      </x:c>
      <x:c r="C359" t="str">
        <x:v>Cero</x:v>
      </x:c>
      <x:c r="D359" t="n">
        <x:v>45901</x:v>
      </x:c>
      <x:c r="E359" t="n">
        <x:v>46266</x:v>
      </x:c>
      <x:c r="F359" t="str">
        <x:v>Activa</x:v>
      </x:c>
      <x:c r="G359" t="str">
        <x:v>Gratuita</x:v>
      </x:c>
      <x:c r="H359" t="n">
        <x:v>13</x:v>
      </x:c>
    </x:row>
    <x:row r="360">
      <x:c r="A360" t="str">
        <x:v>SUS-000359</x:v>
      </x:c>
      <x:c r="B360" t="str">
        <x:v>USR-00277</x:v>
      </x:c>
      <x:c r="C360" t="str">
        <x:v>Cero</x:v>
      </x:c>
      <x:c r="D360" t="n">
        <x:v>45901</x:v>
      </x:c>
      <x:c r="E360" t="n">
        <x:v>46266</x:v>
      </x:c>
      <x:c r="F360" t="str">
        <x:v>Activa</x:v>
      </x:c>
      <x:c r="G360" t="str">
        <x:v>Gratuita</x:v>
      </x:c>
      <x:c r="H360" t="n">
        <x:v>13</x:v>
      </x:c>
    </x:row>
    <x:row r="361">
      <x:c r="A361" t="str">
        <x:v>SUS-000360</x:v>
      </x:c>
      <x:c r="B361" t="str">
        <x:v>USR-00278</x:v>
      </x:c>
      <x:c r="C361" t="str">
        <x:v>Cero</x:v>
      </x:c>
      <x:c r="D361" t="n">
        <x:v>45901</x:v>
      </x:c>
      <x:c r="E361" t="n">
        <x:v>46266</x:v>
      </x:c>
      <x:c r="F361" t="str">
        <x:v>Activa</x:v>
      </x:c>
      <x:c r="G361" t="str">
        <x:v>Gratuita</x:v>
      </x:c>
      <x:c r="H361" t="n">
        <x:v>13</x:v>
      </x:c>
    </x:row>
    <x:row r="362">
      <x:c r="A362" t="str">
        <x:v>SUS-000361</x:v>
      </x:c>
      <x:c r="B362" t="str">
        <x:v>USR-00279</x:v>
      </x:c>
      <x:c r="C362" t="str">
        <x:v>Cero</x:v>
      </x:c>
      <x:c r="D362" t="n">
        <x:v>45901</x:v>
      </x:c>
      <x:c r="E362" t="n">
        <x:v>45962</x:v>
      </x:c>
      <x:c r="F362" t="str">
        <x:v>Finalizada</x:v>
      </x:c>
      <x:c r="G362" t="str">
        <x:v>Gratuita</x:v>
      </x:c>
      <x:c r="H362" t="n">
        <x:v>3</x:v>
      </x:c>
    </x:row>
    <x:row r="363">
      <x:c r="A363" t="str">
        <x:v>SUS-000362</x:v>
      </x:c>
      <x:c r="B363" t="str">
        <x:v>USR-00280</x:v>
      </x:c>
      <x:c r="C363" t="str">
        <x:v>Cero</x:v>
      </x:c>
      <x:c r="D363" t="n">
        <x:v>45901</x:v>
      </x:c>
      <x:c r="E363" t="n">
        <x:v>46266</x:v>
      </x:c>
      <x:c r="F363" t="str">
        <x:v>Activa</x:v>
      </x:c>
      <x:c r="G363" t="str">
        <x:v>Gratuita</x:v>
      </x:c>
      <x:c r="H363" t="n">
        <x:v>13</x:v>
      </x:c>
    </x:row>
    <x:row r="364">
      <x:c r="A364" t="str">
        <x:v>SUS-000363</x:v>
      </x:c>
      <x:c r="B364" t="str">
        <x:v>USR-00281</x:v>
      </x:c>
      <x:c r="C364" t="str">
        <x:v>Cero</x:v>
      </x:c>
      <x:c r="D364" t="n">
        <x:v>45901</x:v>
      </x:c>
      <x:c r="E364" t="n">
        <x:v>46143</x:v>
      </x:c>
      <x:c r="F364" t="str">
        <x:v>Finalizada</x:v>
      </x:c>
      <x:c r="G364" t="str">
        <x:v>Gratuita</x:v>
      </x:c>
      <x:c r="H364" t="n">
        <x:v>9</x:v>
      </x:c>
    </x:row>
    <x:row r="365">
      <x:c r="A365" t="str">
        <x:v>SUS-000364</x:v>
      </x:c>
      <x:c r="B365" t="str">
        <x:v>USR-00282</x:v>
      </x:c>
      <x:c r="C365" t="str">
        <x:v>Cero</x:v>
      </x:c>
      <x:c r="D365" t="n">
        <x:v>45901</x:v>
      </x:c>
      <x:c r="E365" t="n">
        <x:v>46054</x:v>
      </x:c>
      <x:c r="F365" t="str">
        <x:v>Finalizada</x:v>
      </x:c>
      <x:c r="G365" t="str">
        <x:v>Gratuita</x:v>
      </x:c>
      <x:c r="H365" t="n">
        <x:v>6</x:v>
      </x:c>
    </x:row>
    <x:row r="366">
      <x:c r="A366" t="str">
        <x:v>SUS-000365</x:v>
      </x:c>
      <x:c r="B366" t="str">
        <x:v>USR-00283</x:v>
      </x:c>
      <x:c r="C366" t="str">
        <x:v>Cero</x:v>
      </x:c>
      <x:c r="D366" t="n">
        <x:v>45901</x:v>
      </x:c>
      <x:c r="E366" t="n">
        <x:v>46266</x:v>
      </x:c>
      <x:c r="F366" t="str">
        <x:v>Activa</x:v>
      </x:c>
      <x:c r="G366" t="str">
        <x:v>Gratuita</x:v>
      </x:c>
      <x:c r="H366" t="n">
        <x:v>13</x:v>
      </x:c>
    </x:row>
    <x:row r="367">
      <x:c r="A367" t="str">
        <x:v>SUS-000366</x:v>
      </x:c>
      <x:c r="B367" t="str">
        <x:v>USR-00284</x:v>
      </x:c>
      <x:c r="C367" t="str">
        <x:v>Cero</x:v>
      </x:c>
      <x:c r="D367" t="n">
        <x:v>45901</x:v>
      </x:c>
      <x:c r="E367" t="n">
        <x:v>46082</x:v>
      </x:c>
      <x:c r="F367" t="str">
        <x:v>Finalizada</x:v>
      </x:c>
      <x:c r="G367" t="str">
        <x:v>Gratuita</x:v>
      </x:c>
      <x:c r="H367" t="n">
        <x:v>7</x:v>
      </x:c>
    </x:row>
    <x:row r="368">
      <x:c r="A368" t="str">
        <x:v>SUS-000367</x:v>
      </x:c>
      <x:c r="B368" t="str">
        <x:v>USR-00285</x:v>
      </x:c>
      <x:c r="C368" t="str">
        <x:v>Cero</x:v>
      </x:c>
      <x:c r="D368" t="n">
        <x:v>45901</x:v>
      </x:c>
      <x:c r="E368" t="n">
        <x:v>45901</x:v>
      </x:c>
      <x:c r="F368" t="str">
        <x:v>Finalizada</x:v>
      </x:c>
      <x:c r="G368" t="str">
        <x:v>Gratuita</x:v>
      </x:c>
      <x:c r="H368" t="n">
        <x:v>1</x:v>
      </x:c>
    </x:row>
    <x:row r="369">
      <x:c r="A369" t="str">
        <x:v>SUS-000368</x:v>
      </x:c>
      <x:c r="B369" t="str">
        <x:v>USR-00286</x:v>
      </x:c>
      <x:c r="C369" t="str">
        <x:v>Plus mensual</x:v>
      </x:c>
      <x:c r="D369" t="n">
        <x:v>45901</x:v>
      </x:c>
      <x:c r="E369" t="n">
        <x:v>46082</x:v>
      </x:c>
      <x:c r="F369" t="str">
        <x:v>Finalizada</x:v>
      </x:c>
      <x:c r="G369" t="str">
        <x:v>Mensual</x:v>
      </x:c>
      <x:c r="H369" t="n">
        <x:v>7</x:v>
      </x:c>
    </x:row>
    <x:row r="370">
      <x:c r="A370" t="str">
        <x:v>SUS-000369</x:v>
      </x:c>
      <x:c r="B370" t="str">
        <x:v>USR-00287</x:v>
      </x:c>
      <x:c r="C370" t="str">
        <x:v>Cero</x:v>
      </x:c>
      <x:c r="D370" t="n">
        <x:v>45901</x:v>
      </x:c>
      <x:c r="E370" t="n">
        <x:v>46266</x:v>
      </x:c>
      <x:c r="F370" t="str">
        <x:v>Activa</x:v>
      </x:c>
      <x:c r="G370" t="str">
        <x:v>Gratuita</x:v>
      </x:c>
      <x:c r="H370" t="n">
        <x:v>13</x:v>
      </x:c>
    </x:row>
    <x:row r="371">
      <x:c r="A371" t="str">
        <x:v>SUS-000370</x:v>
      </x:c>
      <x:c r="B371" t="str">
        <x:v>USR-00288</x:v>
      </x:c>
      <x:c r="C371" t="str">
        <x:v>Cero</x:v>
      </x:c>
      <x:c r="D371" t="n">
        <x:v>45901</x:v>
      </x:c>
      <x:c r="E371" t="n">
        <x:v>46266</x:v>
      </x:c>
      <x:c r="F371" t="str">
        <x:v>Activa</x:v>
      </x:c>
      <x:c r="G371" t="str">
        <x:v>Gratuita</x:v>
      </x:c>
      <x:c r="H371" t="n">
        <x:v>13</x:v>
      </x:c>
    </x:row>
    <x:row r="372">
      <x:c r="A372" t="str">
        <x:v>SUS-000371</x:v>
      </x:c>
      <x:c r="B372" t="str">
        <x:v>USR-00289</x:v>
      </x:c>
      <x:c r="C372" t="str">
        <x:v>Plus mensual</x:v>
      </x:c>
      <x:c r="D372" t="n">
        <x:v>45901</x:v>
      </x:c>
      <x:c r="E372" t="n">
        <x:v>45992</x:v>
      </x:c>
      <x:c r="F372" t="str">
        <x:v>Finalizada</x:v>
      </x:c>
      <x:c r="G372" t="str">
        <x:v>Mensual</x:v>
      </x:c>
      <x:c r="H372" t="n">
        <x:v>4</x:v>
      </x:c>
    </x:row>
    <x:row r="373">
      <x:c r="A373" t="str">
        <x:v>SUS-000372</x:v>
      </x:c>
      <x:c r="B373" t="str">
        <x:v>USR-00290</x:v>
      </x:c>
      <x:c r="C373" t="str">
        <x:v>Cero</x:v>
      </x:c>
      <x:c r="D373" t="n">
        <x:v>45901</x:v>
      </x:c>
      <x:c r="E373" t="n">
        <x:v>46113</x:v>
      </x:c>
      <x:c r="F373" t="str">
        <x:v>Finalizada</x:v>
      </x:c>
      <x:c r="G373" t="str">
        <x:v>Gratuita</x:v>
      </x:c>
      <x:c r="H373" t="n">
        <x:v>8</x:v>
      </x:c>
    </x:row>
    <x:row r="374">
      <x:c r="A374" t="str">
        <x:v>SUS-000373</x:v>
      </x:c>
      <x:c r="B374" t="str">
        <x:v>USR-00291</x:v>
      </x:c>
      <x:c r="C374" t="str">
        <x:v>Cero</x:v>
      </x:c>
      <x:c r="D374" t="n">
        <x:v>45901</x:v>
      </x:c>
      <x:c r="E374" t="n">
        <x:v>46266</x:v>
      </x:c>
      <x:c r="F374" t="str">
        <x:v>Activa</x:v>
      </x:c>
      <x:c r="G374" t="str">
        <x:v>Gratuita</x:v>
      </x:c>
      <x:c r="H374" t="n">
        <x:v>13</x:v>
      </x:c>
    </x:row>
    <x:row r="375">
      <x:c r="A375" t="str">
        <x:v>SUS-000374</x:v>
      </x:c>
      <x:c r="B375" t="str">
        <x:v>USR-00292</x:v>
      </x:c>
      <x:c r="C375" t="str">
        <x:v>Cero</x:v>
      </x:c>
      <x:c r="D375" t="n">
        <x:v>45901</x:v>
      </x:c>
      <x:c r="E375" t="n">
        <x:v>46054</x:v>
      </x:c>
      <x:c r="F375" t="str">
        <x:v>Finalizada</x:v>
      </x:c>
      <x:c r="G375" t="str">
        <x:v>Gratuita</x:v>
      </x:c>
      <x:c r="H375" t="n">
        <x:v>6</x:v>
      </x:c>
    </x:row>
    <x:row r="376">
      <x:c r="A376" t="str">
        <x:v>SUS-000375</x:v>
      </x:c>
      <x:c r="B376" t="str">
        <x:v>USR-00293</x:v>
      </x:c>
      <x:c r="C376" t="str">
        <x:v>Cero</x:v>
      </x:c>
      <x:c r="D376" t="n">
        <x:v>45901</x:v>
      </x:c>
      <x:c r="E376" t="n">
        <x:v>46023</x:v>
      </x:c>
      <x:c r="F376" t="str">
        <x:v>Finalizada</x:v>
      </x:c>
      <x:c r="G376" t="str">
        <x:v>Gratuita</x:v>
      </x:c>
      <x:c r="H376" t="n">
        <x:v>5</x:v>
      </x:c>
    </x:row>
    <x:row r="377">
      <x:c r="A377" t="str">
        <x:v>SUS-000376</x:v>
      </x:c>
      <x:c r="B377" t="str">
        <x:v>USR-00294</x:v>
      </x:c>
      <x:c r="C377" t="str">
        <x:v>Cero</x:v>
      </x:c>
      <x:c r="D377" t="n">
        <x:v>45901</x:v>
      </x:c>
      <x:c r="E377" t="n">
        <x:v>45992</x:v>
      </x:c>
      <x:c r="F377" t="str">
        <x:v>Finalizada</x:v>
      </x:c>
      <x:c r="G377" t="str">
        <x:v>Gratuita</x:v>
      </x:c>
      <x:c r="H377" t="n">
        <x:v>4</x:v>
      </x:c>
    </x:row>
    <x:row r="378">
      <x:c r="A378" t="str">
        <x:v>SUS-000377</x:v>
      </x:c>
      <x:c r="B378" t="str">
        <x:v>USR-00295</x:v>
      </x:c>
      <x:c r="C378" t="str">
        <x:v>Cero</x:v>
      </x:c>
      <x:c r="D378" t="n">
        <x:v>45901</x:v>
      </x:c>
      <x:c r="E378" t="n">
        <x:v>46204</x:v>
      </x:c>
      <x:c r="F378" t="str">
        <x:v>Finalizada</x:v>
      </x:c>
      <x:c r="G378" t="str">
        <x:v>Gratuita</x:v>
      </x:c>
      <x:c r="H378" t="n">
        <x:v>11</x:v>
      </x:c>
    </x:row>
    <x:row r="379">
      <x:c r="A379" t="str">
        <x:v>SUS-000378</x:v>
      </x:c>
      <x:c r="B379" t="str">
        <x:v>USR-00296</x:v>
      </x:c>
      <x:c r="C379" t="str">
        <x:v>Cero</x:v>
      </x:c>
      <x:c r="D379" t="n">
        <x:v>45901</x:v>
      </x:c>
      <x:c r="E379" t="n">
        <x:v>45992</x:v>
      </x:c>
      <x:c r="F379" t="str">
        <x:v>Finalizada</x:v>
      </x:c>
      <x:c r="G379" t="str">
        <x:v>Gratuita</x:v>
      </x:c>
      <x:c r="H379" t="n">
        <x:v>4</x:v>
      </x:c>
    </x:row>
    <x:row r="380">
      <x:c r="A380" t="str">
        <x:v>SUS-000379</x:v>
      </x:c>
      <x:c r="B380" t="str">
        <x:v>USR-00297</x:v>
      </x:c>
      <x:c r="C380" t="str">
        <x:v>Cero</x:v>
      </x:c>
      <x:c r="D380" t="n">
        <x:v>45901</x:v>
      </x:c>
      <x:c r="E380" t="n">
        <x:v>46113</x:v>
      </x:c>
      <x:c r="F380" t="str">
        <x:v>Finalizada</x:v>
      </x:c>
      <x:c r="G380" t="str">
        <x:v>Gratuita</x:v>
      </x:c>
      <x:c r="H380" t="n">
        <x:v>8</x:v>
      </x:c>
    </x:row>
    <x:row r="381">
      <x:c r="A381" t="str">
        <x:v>SUS-000380</x:v>
      </x:c>
      <x:c r="B381" t="str">
        <x:v>USR-00298</x:v>
      </x:c>
      <x:c r="C381" t="str">
        <x:v>Cero</x:v>
      </x:c>
      <x:c r="D381" t="n">
        <x:v>45901</x:v>
      </x:c>
      <x:c r="E381" t="n">
        <x:v>46204</x:v>
      </x:c>
      <x:c r="F381" t="str">
        <x:v>Finalizada</x:v>
      </x:c>
      <x:c r="G381" t="str">
        <x:v>Gratuita</x:v>
      </x:c>
      <x:c r="H381" t="n">
        <x:v>11</x:v>
      </x:c>
    </x:row>
    <x:row r="382">
      <x:c r="A382" t="str">
        <x:v>SUS-000381</x:v>
      </x:c>
      <x:c r="B382" t="str">
        <x:v>USR-00299</x:v>
      </x:c>
      <x:c r="C382" t="str">
        <x:v>Cero</x:v>
      </x:c>
      <x:c r="D382" t="n">
        <x:v>45901</x:v>
      </x:c>
      <x:c r="E382" t="n">
        <x:v>46266</x:v>
      </x:c>
      <x:c r="F382" t="str">
        <x:v>Activa</x:v>
      </x:c>
      <x:c r="G382" t="str">
        <x:v>Gratuita</x:v>
      </x:c>
      <x:c r="H382" t="n">
        <x:v>13</x:v>
      </x:c>
    </x:row>
    <x:row r="383">
      <x:c r="A383" t="str">
        <x:v>SUS-000382</x:v>
      </x:c>
      <x:c r="B383" t="str">
        <x:v>USR-00300</x:v>
      </x:c>
      <x:c r="C383" t="str">
        <x:v>Cero</x:v>
      </x:c>
      <x:c r="D383" t="n">
        <x:v>45901</x:v>
      </x:c>
      <x:c r="E383" t="n">
        <x:v>45992</x:v>
      </x:c>
      <x:c r="F383" t="str">
        <x:v>Finalizada</x:v>
      </x:c>
      <x:c r="G383" t="str">
        <x:v>Gratuita</x:v>
      </x:c>
      <x:c r="H383" t="n">
        <x:v>4</x:v>
      </x:c>
    </x:row>
    <x:row r="384">
      <x:c r="A384" t="str">
        <x:v>SUS-000383</x:v>
      </x:c>
      <x:c r="B384" t="str">
        <x:v>USR-00301</x:v>
      </x:c>
      <x:c r="C384" t="str">
        <x:v>Cero</x:v>
      </x:c>
      <x:c r="D384" t="n">
        <x:v>45901</x:v>
      </x:c>
      <x:c r="E384" t="n">
        <x:v>46204</x:v>
      </x:c>
      <x:c r="F384" t="str">
        <x:v>Finalizada</x:v>
      </x:c>
      <x:c r="G384" t="str">
        <x:v>Gratuita</x:v>
      </x:c>
      <x:c r="H384" t="n">
        <x:v>11</x:v>
      </x:c>
    </x:row>
    <x:row r="385">
      <x:c r="A385" t="str">
        <x:v>SUS-000384</x:v>
      </x:c>
      <x:c r="B385" t="str">
        <x:v>USR-00031</x:v>
      </x:c>
      <x:c r="C385" t="str">
        <x:v>Plus anual</x:v>
      </x:c>
      <x:c r="D385" t="n">
        <x:v>45931</x:v>
      </x:c>
      <x:c r="E385" t="n">
        <x:v>46266</x:v>
      </x:c>
      <x:c r="F385" t="str">
        <x:v>Activa</x:v>
      </x:c>
      <x:c r="G385" t="str">
        <x:v>Anual</x:v>
      </x:c>
      <x:c r="H385" t="n">
        <x:v>12</x:v>
      </x:c>
    </x:row>
    <x:row r="386">
      <x:c r="A386" t="str">
        <x:v>SUS-000385</x:v>
      </x:c>
      <x:c r="B386" t="str">
        <x:v>USR-00052</x:v>
      </x:c>
      <x:c r="C386" t="str">
        <x:v>Plus mensual</x:v>
      </x:c>
      <x:c r="D386" t="n">
        <x:v>45931</x:v>
      </x:c>
      <x:c r="E386" t="n">
        <x:v>46023</x:v>
      </x:c>
      <x:c r="F386" t="str">
        <x:v>Finalizada</x:v>
      </x:c>
      <x:c r="G386" t="str">
        <x:v>Mensual</x:v>
      </x:c>
      <x:c r="H386" t="n">
        <x:v>4</x:v>
      </x:c>
    </x:row>
    <x:row r="387">
      <x:c r="A387" t="str">
        <x:v>SUS-000386</x:v>
      </x:c>
      <x:c r="B387" t="str">
        <x:v>USR-00057</x:v>
      </x:c>
      <x:c r="C387" t="str">
        <x:v>Plus mensual</x:v>
      </x:c>
      <x:c r="D387" t="n">
        <x:v>45931</x:v>
      </x:c>
      <x:c r="E387" t="n">
        <x:v>46113</x:v>
      </x:c>
      <x:c r="F387" t="str">
        <x:v>Finalizada</x:v>
      </x:c>
      <x:c r="G387" t="str">
        <x:v>Mensual</x:v>
      </x:c>
      <x:c r="H387" t="n">
        <x:v>7</x:v>
      </x:c>
    </x:row>
    <x:row r="388">
      <x:c r="A388" t="str">
        <x:v>SUS-000387</x:v>
      </x:c>
      <x:c r="B388" t="str">
        <x:v>USR-00065</x:v>
      </x:c>
      <x:c r="C388" t="str">
        <x:v>Cero</x:v>
      </x:c>
      <x:c r="D388" t="n">
        <x:v>45931</x:v>
      </x:c>
      <x:c r="E388" t="n">
        <x:v>46266</x:v>
      </x:c>
      <x:c r="F388" t="str">
        <x:v>Activa</x:v>
      </x:c>
      <x:c r="G388" t="str">
        <x:v>Gratuita</x:v>
      </x:c>
      <x:c r="H388" t="n">
        <x:v>12</x:v>
      </x:c>
    </x:row>
    <x:row r="389">
      <x:c r="A389" t="str">
        <x:v>SUS-000388</x:v>
      </x:c>
      <x:c r="B389" t="str">
        <x:v>USR-00069</x:v>
      </x:c>
      <x:c r="C389" t="str">
        <x:v>Plus anual</x:v>
      </x:c>
      <x:c r="D389" t="n">
        <x:v>45931</x:v>
      </x:c>
      <x:c r="E389" t="n">
        <x:v>46266</x:v>
      </x:c>
      <x:c r="F389" t="str">
        <x:v>Activa</x:v>
      </x:c>
      <x:c r="G389" t="str">
        <x:v>Anual</x:v>
      </x:c>
      <x:c r="H389" t="n">
        <x:v>12</x:v>
      </x:c>
    </x:row>
    <x:row r="390">
      <x:c r="A390" t="str">
        <x:v>SUS-000389</x:v>
      </x:c>
      <x:c r="B390" t="str">
        <x:v>USR-00072</x:v>
      </x:c>
      <x:c r="C390" t="str">
        <x:v>Plus anual</x:v>
      </x:c>
      <x:c r="D390" t="n">
        <x:v>45931</x:v>
      </x:c>
      <x:c r="E390" t="n">
        <x:v>46266</x:v>
      </x:c>
      <x:c r="F390" t="str">
        <x:v>Activa</x:v>
      </x:c>
      <x:c r="G390" t="str">
        <x:v>Anual</x:v>
      </x:c>
      <x:c r="H390" t="n">
        <x:v>12</x:v>
      </x:c>
    </x:row>
    <x:row r="391">
      <x:c r="A391" t="str">
        <x:v>SUS-000390</x:v>
      </x:c>
      <x:c r="B391" t="str">
        <x:v>USR-00116</x:v>
      </x:c>
      <x:c r="C391" t="str">
        <x:v>Plus mensual</x:v>
      </x:c>
      <x:c r="D391" t="n">
        <x:v>45931</x:v>
      </x:c>
      <x:c r="E391" t="n">
        <x:v>46113</x:v>
      </x:c>
      <x:c r="F391" t="str">
        <x:v>Finalizada</x:v>
      </x:c>
      <x:c r="G391" t="str">
        <x:v>Mensual</x:v>
      </x:c>
      <x:c r="H391" t="n">
        <x:v>7</x:v>
      </x:c>
    </x:row>
    <x:row r="392">
      <x:c r="A392" t="str">
        <x:v>SUS-000391</x:v>
      </x:c>
      <x:c r="B392" t="str">
        <x:v>USR-00158</x:v>
      </x:c>
      <x:c r="C392" t="str">
        <x:v>Cero</x:v>
      </x:c>
      <x:c r="D392" t="n">
        <x:v>45931</x:v>
      </x:c>
      <x:c r="E392" t="n">
        <x:v>46113</x:v>
      </x:c>
      <x:c r="F392" t="str">
        <x:v>Finalizada</x:v>
      </x:c>
      <x:c r="G392" t="str">
        <x:v>Gratuita</x:v>
      </x:c>
      <x:c r="H392" t="n">
        <x:v>7</x:v>
      </x:c>
    </x:row>
    <x:row r="393">
      <x:c r="A393" t="str">
        <x:v>SUS-000392</x:v>
      </x:c>
      <x:c r="B393" t="str">
        <x:v>USR-00170</x:v>
      </x:c>
      <x:c r="C393" t="str">
        <x:v>Plus mensual</x:v>
      </x:c>
      <x:c r="D393" t="n">
        <x:v>45931</x:v>
      </x:c>
      <x:c r="E393" t="n">
        <x:v>46082</x:v>
      </x:c>
      <x:c r="F393" t="str">
        <x:v>Finalizada</x:v>
      </x:c>
      <x:c r="G393" t="str">
        <x:v>Mensual</x:v>
      </x:c>
      <x:c r="H393" t="n">
        <x:v>6</x:v>
      </x:c>
    </x:row>
    <x:row r="394">
      <x:c r="A394" t="str">
        <x:v>SUS-000393</x:v>
      </x:c>
      <x:c r="B394" t="str">
        <x:v>USR-00189</x:v>
      </x:c>
      <x:c r="C394" t="str">
        <x:v>Plus mensual</x:v>
      </x:c>
      <x:c r="D394" t="n">
        <x:v>45931</x:v>
      </x:c>
      <x:c r="E394" t="n">
        <x:v>46023</x:v>
      </x:c>
      <x:c r="F394" t="str">
        <x:v>Finalizada</x:v>
      </x:c>
      <x:c r="G394" t="str">
        <x:v>Mensual</x:v>
      </x:c>
      <x:c r="H394" t="n">
        <x:v>4</x:v>
      </x:c>
    </x:row>
    <x:row r="395">
      <x:c r="A395" t="str">
        <x:v>SUS-000394</x:v>
      </x:c>
      <x:c r="B395" t="str">
        <x:v>USR-00190</x:v>
      </x:c>
      <x:c r="C395" t="str">
        <x:v>Plus anual</x:v>
      </x:c>
      <x:c r="D395" t="n">
        <x:v>45931</x:v>
      </x:c>
      <x:c r="E395" t="n">
        <x:v>46266</x:v>
      </x:c>
      <x:c r="F395" t="str">
        <x:v>Activa</x:v>
      </x:c>
      <x:c r="G395" t="str">
        <x:v>Anual</x:v>
      </x:c>
      <x:c r="H395" t="n">
        <x:v>12</x:v>
      </x:c>
    </x:row>
    <x:row r="396">
      <x:c r="A396" t="str">
        <x:v>SUS-000395</x:v>
      </x:c>
      <x:c r="B396" t="str">
        <x:v>USR-00200</x:v>
      </x:c>
      <x:c r="C396" t="str">
        <x:v>Plus mensual</x:v>
      </x:c>
      <x:c r="D396" t="n">
        <x:v>45931</x:v>
      </x:c>
      <x:c r="E396" t="n">
        <x:v>46023</x:v>
      </x:c>
      <x:c r="F396" t="str">
        <x:v>Finalizada</x:v>
      </x:c>
      <x:c r="G396" t="str">
        <x:v>Mensual</x:v>
      </x:c>
      <x:c r="H396" t="n">
        <x:v>4</x:v>
      </x:c>
    </x:row>
    <x:row r="397">
      <x:c r="A397" t="str">
        <x:v>SUS-000396</x:v>
      </x:c>
      <x:c r="B397" t="str">
        <x:v>USR-00208</x:v>
      </x:c>
      <x:c r="C397" t="str">
        <x:v>Plus anual</x:v>
      </x:c>
      <x:c r="D397" t="n">
        <x:v>45931</x:v>
      </x:c>
      <x:c r="E397" t="n">
        <x:v>46266</x:v>
      </x:c>
      <x:c r="F397" t="str">
        <x:v>Activa</x:v>
      </x:c>
      <x:c r="G397" t="str">
        <x:v>Anual</x:v>
      </x:c>
      <x:c r="H397" t="n">
        <x:v>12</x:v>
      </x:c>
    </x:row>
    <x:row r="398">
      <x:c r="A398" t="str">
        <x:v>SUS-000397</x:v>
      </x:c>
      <x:c r="B398" t="str">
        <x:v>USR-00255</x:v>
      </x:c>
      <x:c r="C398" t="str">
        <x:v>Cero</x:v>
      </x:c>
      <x:c r="D398" t="n">
        <x:v>45931</x:v>
      </x:c>
      <x:c r="E398" t="n">
        <x:v>46266</x:v>
      </x:c>
      <x:c r="F398" t="str">
        <x:v>Activa</x:v>
      </x:c>
      <x:c r="G398" t="str">
        <x:v>Gratuita</x:v>
      </x:c>
      <x:c r="H398" t="n">
        <x:v>12</x:v>
      </x:c>
    </x:row>
    <x:row r="399">
      <x:c r="A399" t="str">
        <x:v>SUS-000398</x:v>
      </x:c>
      <x:c r="B399" t="str">
        <x:v>USR-00266</x:v>
      </x:c>
      <x:c r="C399" t="str">
        <x:v>Plus mensual</x:v>
      </x:c>
      <x:c r="D399" t="n">
        <x:v>45931</x:v>
      </x:c>
      <x:c r="E399" t="n">
        <x:v>45931</x:v>
      </x:c>
      <x:c r="F399" t="str">
        <x:v>Finalizada</x:v>
      </x:c>
      <x:c r="G399" t="str">
        <x:v>Mensual</x:v>
      </x:c>
      <x:c r="H399" t="n">
        <x:v>1</x:v>
      </x:c>
    </x:row>
    <x:row r="400">
      <x:c r="A400" t="str">
        <x:v>SUS-000399</x:v>
      </x:c>
      <x:c r="B400" t="str">
        <x:v>USR-00275</x:v>
      </x:c>
      <x:c r="C400" t="str">
        <x:v>Cero</x:v>
      </x:c>
      <x:c r="D400" t="n">
        <x:v>45931</x:v>
      </x:c>
      <x:c r="E400" t="n">
        <x:v>46266</x:v>
      </x:c>
      <x:c r="F400" t="str">
        <x:v>Activa</x:v>
      </x:c>
      <x:c r="G400" t="str">
        <x:v>Gratuita</x:v>
      </x:c>
      <x:c r="H400" t="n">
        <x:v>12</x:v>
      </x:c>
    </x:row>
    <x:row r="401">
      <x:c r="A401" t="str">
        <x:v>SUS-000400</x:v>
      </x:c>
      <x:c r="B401" t="str">
        <x:v>USR-00285</x:v>
      </x:c>
      <x:c r="C401" t="str">
        <x:v>Plus anual</x:v>
      </x:c>
      <x:c r="D401" t="n">
        <x:v>45931</x:v>
      </x:c>
      <x:c r="E401" t="n">
        <x:v>46266</x:v>
      </x:c>
      <x:c r="F401" t="str">
        <x:v>Activa</x:v>
      </x:c>
      <x:c r="G401" t="str">
        <x:v>Anual</x:v>
      </x:c>
      <x:c r="H401" t="n">
        <x:v>12</x:v>
      </x:c>
    </x:row>
    <x:row r="402">
      <x:c r="A402" t="str">
        <x:v>SUS-000401</x:v>
      </x:c>
      <x:c r="B402" t="str">
        <x:v>USR-00302</x:v>
      </x:c>
      <x:c r="C402" t="str">
        <x:v>Cero</x:v>
      </x:c>
      <x:c r="D402" t="n">
        <x:v>45931</x:v>
      </x:c>
      <x:c r="E402" t="n">
        <x:v>45931</x:v>
      </x:c>
      <x:c r="F402" t="str">
        <x:v>Finalizada</x:v>
      </x:c>
      <x:c r="G402" t="str">
        <x:v>Gratuita</x:v>
      </x:c>
      <x:c r="H402" t="n">
        <x:v>1</x:v>
      </x:c>
    </x:row>
    <x:row r="403">
      <x:c r="A403" t="str">
        <x:v>SUS-000402</x:v>
      </x:c>
      <x:c r="B403" t="str">
        <x:v>USR-00303</x:v>
      </x:c>
      <x:c r="C403" t="str">
        <x:v>Cero</x:v>
      </x:c>
      <x:c r="D403" t="n">
        <x:v>45931</x:v>
      </x:c>
      <x:c r="E403" t="n">
        <x:v>46266</x:v>
      </x:c>
      <x:c r="F403" t="str">
        <x:v>Activa</x:v>
      </x:c>
      <x:c r="G403" t="str">
        <x:v>Gratuita</x:v>
      </x:c>
      <x:c r="H403" t="n">
        <x:v>12</x:v>
      </x:c>
    </x:row>
    <x:row r="404">
      <x:c r="A404" t="str">
        <x:v>SUS-000403</x:v>
      </x:c>
      <x:c r="B404" t="str">
        <x:v>USR-00304</x:v>
      </x:c>
      <x:c r="C404" t="str">
        <x:v>Cero</x:v>
      </x:c>
      <x:c r="D404" t="n">
        <x:v>45931</x:v>
      </x:c>
      <x:c r="E404" t="n">
        <x:v>45962</x:v>
      </x:c>
      <x:c r="F404" t="str">
        <x:v>Finalizada</x:v>
      </x:c>
      <x:c r="G404" t="str">
        <x:v>Gratuita</x:v>
      </x:c>
      <x:c r="H404" t="n">
        <x:v>2</x:v>
      </x:c>
    </x:row>
    <x:row r="405">
      <x:c r="A405" t="str">
        <x:v>SUS-000404</x:v>
      </x:c>
      <x:c r="B405" t="str">
        <x:v>USR-00305</x:v>
      </x:c>
      <x:c r="C405" t="str">
        <x:v>Cero</x:v>
      </x:c>
      <x:c r="D405" t="n">
        <x:v>45931</x:v>
      </x:c>
      <x:c r="E405" t="n">
        <x:v>46235</x:v>
      </x:c>
      <x:c r="F405" t="str">
        <x:v>Finalizada</x:v>
      </x:c>
      <x:c r="G405" t="str">
        <x:v>Gratuita</x:v>
      </x:c>
      <x:c r="H405" t="n">
        <x:v>11</x:v>
      </x:c>
    </x:row>
    <x:row r="406">
      <x:c r="A406" t="str">
        <x:v>SUS-000405</x:v>
      </x:c>
      <x:c r="B406" t="str">
        <x:v>USR-00306</x:v>
      </x:c>
      <x:c r="C406" t="str">
        <x:v>Cero</x:v>
      </x:c>
      <x:c r="D406" t="n">
        <x:v>45931</x:v>
      </x:c>
      <x:c r="E406" t="n">
        <x:v>46054</x:v>
      </x:c>
      <x:c r="F406" t="str">
        <x:v>Finalizada</x:v>
      </x:c>
      <x:c r="G406" t="str">
        <x:v>Gratuita</x:v>
      </x:c>
      <x:c r="H406" t="n">
        <x:v>5</x:v>
      </x:c>
    </x:row>
    <x:row r="407">
      <x:c r="A407" t="str">
        <x:v>SUS-000406</x:v>
      </x:c>
      <x:c r="B407" t="str">
        <x:v>USR-00307</x:v>
      </x:c>
      <x:c r="C407" t="str">
        <x:v>Plus mensual</x:v>
      </x:c>
      <x:c r="D407" t="n">
        <x:v>45931</x:v>
      </x:c>
      <x:c r="E407" t="n">
        <x:v>45962</x:v>
      </x:c>
      <x:c r="F407" t="str">
        <x:v>Finalizada</x:v>
      </x:c>
      <x:c r="G407" t="str">
        <x:v>Mensual</x:v>
      </x:c>
      <x:c r="H407" t="n">
        <x:v>2</x:v>
      </x:c>
    </x:row>
    <x:row r="408">
      <x:c r="A408" t="str">
        <x:v>SUS-000407</x:v>
      </x:c>
      <x:c r="B408" t="str">
        <x:v>USR-00308</x:v>
      </x:c>
      <x:c r="C408" t="str">
        <x:v>Cero</x:v>
      </x:c>
      <x:c r="D408" t="n">
        <x:v>45931</x:v>
      </x:c>
      <x:c r="E408" t="n">
        <x:v>46266</x:v>
      </x:c>
      <x:c r="F408" t="str">
        <x:v>Activa</x:v>
      </x:c>
      <x:c r="G408" t="str">
        <x:v>Gratuita</x:v>
      </x:c>
      <x:c r="H408" t="n">
        <x:v>12</x:v>
      </x:c>
    </x:row>
    <x:row r="409">
      <x:c r="A409" t="str">
        <x:v>SUS-000408</x:v>
      </x:c>
      <x:c r="B409" t="str">
        <x:v>USR-00309</x:v>
      </x:c>
      <x:c r="C409" t="str">
        <x:v>Cero</x:v>
      </x:c>
      <x:c r="D409" t="n">
        <x:v>45931</x:v>
      </x:c>
      <x:c r="E409" t="n">
        <x:v>46266</x:v>
      </x:c>
      <x:c r="F409" t="str">
        <x:v>Activa</x:v>
      </x:c>
      <x:c r="G409" t="str">
        <x:v>Gratuita</x:v>
      </x:c>
      <x:c r="H409" t="n">
        <x:v>12</x:v>
      </x:c>
    </x:row>
    <x:row r="410">
      <x:c r="A410" t="str">
        <x:v>SUS-000409</x:v>
      </x:c>
      <x:c r="B410" t="str">
        <x:v>USR-00310</x:v>
      </x:c>
      <x:c r="C410" t="str">
        <x:v>Cero</x:v>
      </x:c>
      <x:c r="D410" t="n">
        <x:v>45931</x:v>
      </x:c>
      <x:c r="E410" t="n">
        <x:v>46082</x:v>
      </x:c>
      <x:c r="F410" t="str">
        <x:v>Finalizada</x:v>
      </x:c>
      <x:c r="G410" t="str">
        <x:v>Gratuita</x:v>
      </x:c>
      <x:c r="H410" t="n">
        <x:v>6</x:v>
      </x:c>
    </x:row>
    <x:row r="411">
      <x:c r="A411" t="str">
        <x:v>SUS-000410</x:v>
      </x:c>
      <x:c r="B411" t="str">
        <x:v>USR-00311</x:v>
      </x:c>
      <x:c r="C411" t="str">
        <x:v>Cero</x:v>
      </x:c>
      <x:c r="D411" t="n">
        <x:v>45931</x:v>
      </x:c>
      <x:c r="E411" t="n">
        <x:v>46082</x:v>
      </x:c>
      <x:c r="F411" t="str">
        <x:v>Finalizada</x:v>
      </x:c>
      <x:c r="G411" t="str">
        <x:v>Gratuita</x:v>
      </x:c>
      <x:c r="H411" t="n">
        <x:v>6</x:v>
      </x:c>
    </x:row>
    <x:row r="412">
      <x:c r="A412" t="str">
        <x:v>SUS-000411</x:v>
      </x:c>
      <x:c r="B412" t="str">
        <x:v>USR-00312</x:v>
      </x:c>
      <x:c r="C412" t="str">
        <x:v>Cero</x:v>
      </x:c>
      <x:c r="D412" t="n">
        <x:v>45931</x:v>
      </x:c>
      <x:c r="E412" t="n">
        <x:v>45992</x:v>
      </x:c>
      <x:c r="F412" t="str">
        <x:v>Finalizada</x:v>
      </x:c>
      <x:c r="G412" t="str">
        <x:v>Gratuita</x:v>
      </x:c>
      <x:c r="H412" t="n">
        <x:v>3</x:v>
      </x:c>
    </x:row>
    <x:row r="413">
      <x:c r="A413" t="str">
        <x:v>SUS-000412</x:v>
      </x:c>
      <x:c r="B413" t="str">
        <x:v>USR-00313</x:v>
      </x:c>
      <x:c r="C413" t="str">
        <x:v>Cero</x:v>
      </x:c>
      <x:c r="D413" t="n">
        <x:v>45931</x:v>
      </x:c>
      <x:c r="E413" t="n">
        <x:v>45992</x:v>
      </x:c>
      <x:c r="F413" t="str">
        <x:v>Finalizada</x:v>
      </x:c>
      <x:c r="G413" t="str">
        <x:v>Gratuita</x:v>
      </x:c>
      <x:c r="H413" t="n">
        <x:v>3</x:v>
      </x:c>
    </x:row>
    <x:row r="414">
      <x:c r="A414" t="str">
        <x:v>SUS-000413</x:v>
      </x:c>
      <x:c r="B414" t="str">
        <x:v>USR-00314</x:v>
      </x:c>
      <x:c r="C414" t="str">
        <x:v>Cero</x:v>
      </x:c>
      <x:c r="D414" t="n">
        <x:v>45931</x:v>
      </x:c>
      <x:c r="E414" t="n">
        <x:v>46266</x:v>
      </x:c>
      <x:c r="F414" t="str">
        <x:v>Activa</x:v>
      </x:c>
      <x:c r="G414" t="str">
        <x:v>Gratuita</x:v>
      </x:c>
      <x:c r="H414" t="n">
        <x:v>12</x:v>
      </x:c>
    </x:row>
    <x:row r="415">
      <x:c r="A415" t="str">
        <x:v>SUS-000414</x:v>
      </x:c>
      <x:c r="B415" t="str">
        <x:v>USR-00315</x:v>
      </x:c>
      <x:c r="C415" t="str">
        <x:v>Cero</x:v>
      </x:c>
      <x:c r="D415" t="n">
        <x:v>45931</x:v>
      </x:c>
      <x:c r="E415" t="n">
        <x:v>46266</x:v>
      </x:c>
      <x:c r="F415" t="str">
        <x:v>Activa</x:v>
      </x:c>
      <x:c r="G415" t="str">
        <x:v>Gratuita</x:v>
      </x:c>
      <x:c r="H415" t="n">
        <x:v>12</x:v>
      </x:c>
    </x:row>
    <x:row r="416">
      <x:c r="A416" t="str">
        <x:v>SUS-000415</x:v>
      </x:c>
      <x:c r="B416" t="str">
        <x:v>USR-00316</x:v>
      </x:c>
      <x:c r="C416" t="str">
        <x:v>Cero</x:v>
      </x:c>
      <x:c r="D416" t="n">
        <x:v>45931</x:v>
      </x:c>
      <x:c r="E416" t="n">
        <x:v>46143</x:v>
      </x:c>
      <x:c r="F416" t="str">
        <x:v>Finalizada</x:v>
      </x:c>
      <x:c r="G416" t="str">
        <x:v>Gratuita</x:v>
      </x:c>
      <x:c r="H416" t="n">
        <x:v>8</x:v>
      </x:c>
    </x:row>
    <x:row r="417">
      <x:c r="A417" t="str">
        <x:v>SUS-000416</x:v>
      </x:c>
      <x:c r="B417" t="str">
        <x:v>USR-00317</x:v>
      </x:c>
      <x:c r="C417" t="str">
        <x:v>Cero</x:v>
      </x:c>
      <x:c r="D417" t="n">
        <x:v>45931</x:v>
      </x:c>
      <x:c r="E417" t="n">
        <x:v>45962</x:v>
      </x:c>
      <x:c r="F417" t="str">
        <x:v>Finalizada</x:v>
      </x:c>
      <x:c r="G417" t="str">
        <x:v>Gratuita</x:v>
      </x:c>
      <x:c r="H417" t="n">
        <x:v>2</x:v>
      </x:c>
    </x:row>
    <x:row r="418">
      <x:c r="A418" t="str">
        <x:v>SUS-000417</x:v>
      </x:c>
      <x:c r="B418" t="str">
        <x:v>USR-00318</x:v>
      </x:c>
      <x:c r="C418" t="str">
        <x:v>Cero</x:v>
      </x:c>
      <x:c r="D418" t="n">
        <x:v>45931</x:v>
      </x:c>
      <x:c r="E418" t="n">
        <x:v>46266</x:v>
      </x:c>
      <x:c r="F418" t="str">
        <x:v>Activa</x:v>
      </x:c>
      <x:c r="G418" t="str">
        <x:v>Gratuita</x:v>
      </x:c>
      <x:c r="H418" t="n">
        <x:v>12</x:v>
      </x:c>
    </x:row>
    <x:row r="419">
      <x:c r="A419" t="str">
        <x:v>SUS-000418</x:v>
      </x:c>
      <x:c r="B419" t="str">
        <x:v>USR-00319</x:v>
      </x:c>
      <x:c r="C419" t="str">
        <x:v>Cero</x:v>
      </x:c>
      <x:c r="D419" t="n">
        <x:v>45931</x:v>
      </x:c>
      <x:c r="E419" t="n">
        <x:v>46266</x:v>
      </x:c>
      <x:c r="F419" t="str">
        <x:v>Activa</x:v>
      </x:c>
      <x:c r="G419" t="str">
        <x:v>Gratuita</x:v>
      </x:c>
      <x:c r="H419" t="n">
        <x:v>12</x:v>
      </x:c>
    </x:row>
    <x:row r="420">
      <x:c r="A420" t="str">
        <x:v>SUS-000419</x:v>
      </x:c>
      <x:c r="B420" t="str">
        <x:v>USR-00320</x:v>
      </x:c>
      <x:c r="C420" t="str">
        <x:v>Plus mensual</x:v>
      </x:c>
      <x:c r="D420" t="n">
        <x:v>45931</x:v>
      </x:c>
      <x:c r="E420" t="n">
        <x:v>46266</x:v>
      </x:c>
      <x:c r="F420" t="str">
        <x:v>Activa</x:v>
      </x:c>
      <x:c r="G420" t="str">
        <x:v>Mensual</x:v>
      </x:c>
      <x:c r="H420" t="n">
        <x:v>12</x:v>
      </x:c>
    </x:row>
    <x:row r="421">
      <x:c r="A421" t="str">
        <x:v>SUS-000420</x:v>
      </x:c>
      <x:c r="B421" t="str">
        <x:v>USR-00321</x:v>
      </x:c>
      <x:c r="C421" t="str">
        <x:v>Cero</x:v>
      </x:c>
      <x:c r="D421" t="n">
        <x:v>45931</x:v>
      </x:c>
      <x:c r="E421" t="n">
        <x:v>45992</x:v>
      </x:c>
      <x:c r="F421" t="str">
        <x:v>Finalizada</x:v>
      </x:c>
      <x:c r="G421" t="str">
        <x:v>Gratuita</x:v>
      </x:c>
      <x:c r="H421" t="n">
        <x:v>3</x:v>
      </x:c>
    </x:row>
    <x:row r="422">
      <x:c r="A422" t="str">
        <x:v>SUS-000421</x:v>
      </x:c>
      <x:c r="B422" t="str">
        <x:v>USR-00322</x:v>
      </x:c>
      <x:c r="C422" t="str">
        <x:v>Cero</x:v>
      </x:c>
      <x:c r="D422" t="n">
        <x:v>45931</x:v>
      </x:c>
      <x:c r="E422" t="n">
        <x:v>45992</x:v>
      </x:c>
      <x:c r="F422" t="str">
        <x:v>Finalizada</x:v>
      </x:c>
      <x:c r="G422" t="str">
        <x:v>Gratuita</x:v>
      </x:c>
      <x:c r="H422" t="n">
        <x:v>3</x:v>
      </x:c>
    </x:row>
    <x:row r="423">
      <x:c r="A423" t="str">
        <x:v>SUS-000422</x:v>
      </x:c>
      <x:c r="B423" t="str">
        <x:v>USR-00323</x:v>
      </x:c>
      <x:c r="C423" t="str">
        <x:v>Cero</x:v>
      </x:c>
      <x:c r="D423" t="n">
        <x:v>45931</x:v>
      </x:c>
      <x:c r="E423" t="n">
        <x:v>46204</x:v>
      </x:c>
      <x:c r="F423" t="str">
        <x:v>Finalizada</x:v>
      </x:c>
      <x:c r="G423" t="str">
        <x:v>Gratuita</x:v>
      </x:c>
      <x:c r="H423" t="n">
        <x:v>10</x:v>
      </x:c>
    </x:row>
    <x:row r="424">
      <x:c r="A424" t="str">
        <x:v>SUS-000423</x:v>
      </x:c>
      <x:c r="B424" t="str">
        <x:v>USR-00324</x:v>
      </x:c>
      <x:c r="C424" t="str">
        <x:v>Cero</x:v>
      </x:c>
      <x:c r="D424" t="n">
        <x:v>45931</x:v>
      </x:c>
      <x:c r="E424" t="n">
        <x:v>46266</x:v>
      </x:c>
      <x:c r="F424" t="str">
        <x:v>Activa</x:v>
      </x:c>
      <x:c r="G424" t="str">
        <x:v>Gratuita</x:v>
      </x:c>
      <x:c r="H424" t="n">
        <x:v>12</x:v>
      </x:c>
    </x:row>
    <x:row r="425">
      <x:c r="A425" t="str">
        <x:v>SUS-000424</x:v>
      </x:c>
      <x:c r="B425" t="str">
        <x:v>USR-00325</x:v>
      </x:c>
      <x:c r="C425" t="str">
        <x:v>Plus mensual</x:v>
      </x:c>
      <x:c r="D425" t="n">
        <x:v>45931</x:v>
      </x:c>
      <x:c r="E425" t="n">
        <x:v>46082</x:v>
      </x:c>
      <x:c r="F425" t="str">
        <x:v>Finalizada</x:v>
      </x:c>
      <x:c r="G425" t="str">
        <x:v>Mensual</x:v>
      </x:c>
      <x:c r="H425" t="n">
        <x:v>6</x:v>
      </x:c>
    </x:row>
    <x:row r="426">
      <x:c r="A426" t="str">
        <x:v>SUS-000425</x:v>
      </x:c>
      <x:c r="B426" t="str">
        <x:v>USR-00326</x:v>
      </x:c>
      <x:c r="C426" t="str">
        <x:v>Cero</x:v>
      </x:c>
      <x:c r="D426" t="n">
        <x:v>45931</x:v>
      </x:c>
      <x:c r="E426" t="n">
        <x:v>46266</x:v>
      </x:c>
      <x:c r="F426" t="str">
        <x:v>Activa</x:v>
      </x:c>
      <x:c r="G426" t="str">
        <x:v>Gratuita</x:v>
      </x:c>
      <x:c r="H426" t="n">
        <x:v>12</x:v>
      </x:c>
    </x:row>
    <x:row r="427">
      <x:c r="A427" t="str">
        <x:v>SUS-000426</x:v>
      </x:c>
      <x:c r="B427" t="str">
        <x:v>USR-00327</x:v>
      </x:c>
      <x:c r="C427" t="str">
        <x:v>Cero</x:v>
      </x:c>
      <x:c r="D427" t="n">
        <x:v>45931</x:v>
      </x:c>
      <x:c r="E427" t="n">
        <x:v>46113</x:v>
      </x:c>
      <x:c r="F427" t="str">
        <x:v>Finalizada</x:v>
      </x:c>
      <x:c r="G427" t="str">
        <x:v>Gratuita</x:v>
      </x:c>
      <x:c r="H427" t="n">
        <x:v>7</x:v>
      </x:c>
    </x:row>
    <x:row r="428">
      <x:c r="A428" t="str">
        <x:v>SUS-000427</x:v>
      </x:c>
      <x:c r="B428" t="str">
        <x:v>USR-00328</x:v>
      </x:c>
      <x:c r="C428" t="str">
        <x:v>Cero</x:v>
      </x:c>
      <x:c r="D428" t="n">
        <x:v>45931</x:v>
      </x:c>
      <x:c r="E428" t="n">
        <x:v>46266</x:v>
      </x:c>
      <x:c r="F428" t="str">
        <x:v>Activa</x:v>
      </x:c>
      <x:c r="G428" t="str">
        <x:v>Gratuita</x:v>
      </x:c>
      <x:c r="H428" t="n">
        <x:v>12</x:v>
      </x:c>
    </x:row>
    <x:row r="429">
      <x:c r="A429" t="str">
        <x:v>SUS-000428</x:v>
      </x:c>
      <x:c r="B429" t="str">
        <x:v>USR-00329</x:v>
      </x:c>
      <x:c r="C429" t="str">
        <x:v>Plus mensual</x:v>
      </x:c>
      <x:c r="D429" t="n">
        <x:v>45931</x:v>
      </x:c>
      <x:c r="E429" t="n">
        <x:v>46054</x:v>
      </x:c>
      <x:c r="F429" t="str">
        <x:v>Finalizada</x:v>
      </x:c>
      <x:c r="G429" t="str">
        <x:v>Mensual</x:v>
      </x:c>
      <x:c r="H429" t="n">
        <x:v>5</x:v>
      </x:c>
    </x:row>
    <x:row r="430">
      <x:c r="A430" t="str">
        <x:v>SUS-000429</x:v>
      </x:c>
      <x:c r="B430" t="str">
        <x:v>USR-00330</x:v>
      </x:c>
      <x:c r="C430" t="str">
        <x:v>Cero</x:v>
      </x:c>
      <x:c r="D430" t="n">
        <x:v>45931</x:v>
      </x:c>
      <x:c r="E430" t="n">
        <x:v>46266</x:v>
      </x:c>
      <x:c r="F430" t="str">
        <x:v>Activa</x:v>
      </x:c>
      <x:c r="G430" t="str">
        <x:v>Gratuita</x:v>
      </x:c>
      <x:c r="H430" t="n">
        <x:v>12</x:v>
      </x:c>
    </x:row>
    <x:row r="431">
      <x:c r="A431" t="str">
        <x:v>SUS-000430</x:v>
      </x:c>
      <x:c r="B431" t="str">
        <x:v>USR-00331</x:v>
      </x:c>
      <x:c r="C431" t="str">
        <x:v>Plus mensual</x:v>
      </x:c>
      <x:c r="D431" t="n">
        <x:v>45931</x:v>
      </x:c>
      <x:c r="E431" t="n">
        <x:v>46113</x:v>
      </x:c>
      <x:c r="F431" t="str">
        <x:v>Finalizada</x:v>
      </x:c>
      <x:c r="G431" t="str">
        <x:v>Mensual</x:v>
      </x:c>
      <x:c r="H431" t="n">
        <x:v>7</x:v>
      </x:c>
    </x:row>
    <x:row r="432">
      <x:c r="A432" t="str">
        <x:v>SUS-000431</x:v>
      </x:c>
      <x:c r="B432" t="str">
        <x:v>USR-00332</x:v>
      </x:c>
      <x:c r="C432" t="str">
        <x:v>Cero</x:v>
      </x:c>
      <x:c r="D432" t="n">
        <x:v>45931</x:v>
      </x:c>
      <x:c r="E432" t="n">
        <x:v>45931</x:v>
      </x:c>
      <x:c r="F432" t="str">
        <x:v>Finalizada</x:v>
      </x:c>
      <x:c r="G432" t="str">
        <x:v>Gratuita</x:v>
      </x:c>
      <x:c r="H432" t="n">
        <x:v>1</x:v>
      </x:c>
    </x:row>
    <x:row r="433">
      <x:c r="A433" t="str">
        <x:v>SUS-000432</x:v>
      </x:c>
      <x:c r="B433" t="str">
        <x:v>USR-00333</x:v>
      </x:c>
      <x:c r="C433" t="str">
        <x:v>Cero</x:v>
      </x:c>
      <x:c r="D433" t="n">
        <x:v>45931</x:v>
      </x:c>
      <x:c r="E433" t="n">
        <x:v>46174</x:v>
      </x:c>
      <x:c r="F433" t="str">
        <x:v>Finalizada</x:v>
      </x:c>
      <x:c r="G433" t="str">
        <x:v>Gratuita</x:v>
      </x:c>
      <x:c r="H433" t="n">
        <x:v>9</x:v>
      </x:c>
    </x:row>
    <x:row r="434">
      <x:c r="A434" t="str">
        <x:v>SUS-000433</x:v>
      </x:c>
      <x:c r="B434" t="str">
        <x:v>USR-00334</x:v>
      </x:c>
      <x:c r="C434" t="str">
        <x:v>Cero</x:v>
      </x:c>
      <x:c r="D434" t="n">
        <x:v>45931</x:v>
      </x:c>
      <x:c r="E434" t="n">
        <x:v>46266</x:v>
      </x:c>
      <x:c r="F434" t="str">
        <x:v>Activa</x:v>
      </x:c>
      <x:c r="G434" t="str">
        <x:v>Gratuita</x:v>
      </x:c>
      <x:c r="H434" t="n">
        <x:v>12</x:v>
      </x:c>
    </x:row>
    <x:row r="435">
      <x:c r="A435" t="str">
        <x:v>SUS-000434</x:v>
      </x:c>
      <x:c r="B435" t="str">
        <x:v>USR-00335</x:v>
      </x:c>
      <x:c r="C435" t="str">
        <x:v>Cero</x:v>
      </x:c>
      <x:c r="D435" t="n">
        <x:v>45931</x:v>
      </x:c>
      <x:c r="E435" t="n">
        <x:v>46054</x:v>
      </x:c>
      <x:c r="F435" t="str">
        <x:v>Finalizada</x:v>
      </x:c>
      <x:c r="G435" t="str">
        <x:v>Gratuita</x:v>
      </x:c>
      <x:c r="H435" t="n">
        <x:v>5</x:v>
      </x:c>
    </x:row>
    <x:row r="436">
      <x:c r="A436" t="str">
        <x:v>SUS-000435</x:v>
      </x:c>
      <x:c r="B436" t="str">
        <x:v>USR-00336</x:v>
      </x:c>
      <x:c r="C436" t="str">
        <x:v>Plus mensual</x:v>
      </x:c>
      <x:c r="D436" t="n">
        <x:v>45931</x:v>
      </x:c>
      <x:c r="E436" t="n">
        <x:v>46266</x:v>
      </x:c>
      <x:c r="F436" t="str">
        <x:v>Activa</x:v>
      </x:c>
      <x:c r="G436" t="str">
        <x:v>Mensual</x:v>
      </x:c>
      <x:c r="H436" t="n">
        <x:v>12</x:v>
      </x:c>
    </x:row>
    <x:row r="437">
      <x:c r="A437" t="str">
        <x:v>SUS-000436</x:v>
      </x:c>
      <x:c r="B437" t="str">
        <x:v>USR-00337</x:v>
      </x:c>
      <x:c r="C437" t="str">
        <x:v>Cero</x:v>
      </x:c>
      <x:c r="D437" t="n">
        <x:v>45931</x:v>
      </x:c>
      <x:c r="E437" t="n">
        <x:v>46266</x:v>
      </x:c>
      <x:c r="F437" t="str">
        <x:v>Activa</x:v>
      </x:c>
      <x:c r="G437" t="str">
        <x:v>Gratuita</x:v>
      </x:c>
      <x:c r="H437" t="n">
        <x:v>12</x:v>
      </x:c>
    </x:row>
    <x:row r="438">
      <x:c r="A438" t="str">
        <x:v>SUS-000437</x:v>
      </x:c>
      <x:c r="B438" t="str">
        <x:v>USR-00338</x:v>
      </x:c>
      <x:c r="C438" t="str">
        <x:v>Cero</x:v>
      </x:c>
      <x:c r="D438" t="n">
        <x:v>45931</x:v>
      </x:c>
      <x:c r="E438" t="n">
        <x:v>46054</x:v>
      </x:c>
      <x:c r="F438" t="str">
        <x:v>Finalizada</x:v>
      </x:c>
      <x:c r="G438" t="str">
        <x:v>Gratuita</x:v>
      </x:c>
      <x:c r="H438" t="n">
        <x:v>5</x:v>
      </x:c>
    </x:row>
    <x:row r="439">
      <x:c r="A439" t="str">
        <x:v>SUS-000438</x:v>
      </x:c>
      <x:c r="B439" t="str">
        <x:v>USR-00339</x:v>
      </x:c>
      <x:c r="C439" t="str">
        <x:v>Cero</x:v>
      </x:c>
      <x:c r="D439" t="n">
        <x:v>45931</x:v>
      </x:c>
      <x:c r="E439" t="n">
        <x:v>46023</x:v>
      </x:c>
      <x:c r="F439" t="str">
        <x:v>Finalizada</x:v>
      </x:c>
      <x:c r="G439" t="str">
        <x:v>Gratuita</x:v>
      </x:c>
      <x:c r="H439" t="n">
        <x:v>4</x:v>
      </x:c>
    </x:row>
    <x:row r="440">
      <x:c r="A440" t="str">
        <x:v>SUS-000439</x:v>
      </x:c>
      <x:c r="B440" t="str">
        <x:v>USR-00340</x:v>
      </x:c>
      <x:c r="C440" t="str">
        <x:v>Cero</x:v>
      </x:c>
      <x:c r="D440" t="n">
        <x:v>45931</x:v>
      </x:c>
      <x:c r="E440" t="n">
        <x:v>46023</x:v>
      </x:c>
      <x:c r="F440" t="str">
        <x:v>Finalizada</x:v>
      </x:c>
      <x:c r="G440" t="str">
        <x:v>Gratuita</x:v>
      </x:c>
      <x:c r="H440" t="n">
        <x:v>4</x:v>
      </x:c>
    </x:row>
    <x:row r="441">
      <x:c r="A441" t="str">
        <x:v>SUS-000440</x:v>
      </x:c>
      <x:c r="B441" t="str">
        <x:v>USR-00341</x:v>
      </x:c>
      <x:c r="C441" t="str">
        <x:v>Cero</x:v>
      </x:c>
      <x:c r="D441" t="n">
        <x:v>45931</x:v>
      </x:c>
      <x:c r="E441" t="n">
        <x:v>46082</x:v>
      </x:c>
      <x:c r="F441" t="str">
        <x:v>Finalizada</x:v>
      </x:c>
      <x:c r="G441" t="str">
        <x:v>Gratuita</x:v>
      </x:c>
      <x:c r="H441" t="n">
        <x:v>6</x:v>
      </x:c>
    </x:row>
    <x:row r="442">
      <x:c r="A442" t="str">
        <x:v>SUS-000441</x:v>
      </x:c>
      <x:c r="B442" t="str">
        <x:v>USR-00342</x:v>
      </x:c>
      <x:c r="C442" t="str">
        <x:v>Cero</x:v>
      </x:c>
      <x:c r="D442" t="n">
        <x:v>45931</x:v>
      </x:c>
      <x:c r="E442" t="n">
        <x:v>46082</x:v>
      </x:c>
      <x:c r="F442" t="str">
        <x:v>Finalizada</x:v>
      </x:c>
      <x:c r="G442" t="str">
        <x:v>Gratuita</x:v>
      </x:c>
      <x:c r="H442" t="n">
        <x:v>6</x:v>
      </x:c>
    </x:row>
    <x:row r="443">
      <x:c r="A443" t="str">
        <x:v>SUS-000442</x:v>
      </x:c>
      <x:c r="B443" t="str">
        <x:v>USR-00343</x:v>
      </x:c>
      <x:c r="C443" t="str">
        <x:v>Cero</x:v>
      </x:c>
      <x:c r="D443" t="n">
        <x:v>45931</x:v>
      </x:c>
      <x:c r="E443" t="n">
        <x:v>46204</x:v>
      </x:c>
      <x:c r="F443" t="str">
        <x:v>Finalizada</x:v>
      </x:c>
      <x:c r="G443" t="str">
        <x:v>Gratuita</x:v>
      </x:c>
      <x:c r="H443" t="n">
        <x:v>10</x:v>
      </x:c>
    </x:row>
    <x:row r="444">
      <x:c r="A444" t="str">
        <x:v>SUS-000443</x:v>
      </x:c>
      <x:c r="B444" t="str">
        <x:v>USR-00344</x:v>
      </x:c>
      <x:c r="C444" t="str">
        <x:v>Plus mensual</x:v>
      </x:c>
      <x:c r="D444" t="n">
        <x:v>45931</x:v>
      </x:c>
      <x:c r="E444" t="n">
        <x:v>46023</x:v>
      </x:c>
      <x:c r="F444" t="str">
        <x:v>Finalizada</x:v>
      </x:c>
      <x:c r="G444" t="str">
        <x:v>Mensual</x:v>
      </x:c>
      <x:c r="H444" t="n">
        <x:v>4</x:v>
      </x:c>
    </x:row>
    <x:row r="445">
      <x:c r="A445" t="str">
        <x:v>SUS-000444</x:v>
      </x:c>
      <x:c r="B445" t="str">
        <x:v>USR-00345</x:v>
      </x:c>
      <x:c r="C445" t="str">
        <x:v>Cero</x:v>
      </x:c>
      <x:c r="D445" t="n">
        <x:v>45931</x:v>
      </x:c>
      <x:c r="E445" t="n">
        <x:v>46266</x:v>
      </x:c>
      <x:c r="F445" t="str">
        <x:v>Activa</x:v>
      </x:c>
      <x:c r="G445" t="str">
        <x:v>Gratuita</x:v>
      </x:c>
      <x:c r="H445" t="n">
        <x:v>12</x:v>
      </x:c>
    </x:row>
    <x:row r="446">
      <x:c r="A446" t="str">
        <x:v>SUS-000445</x:v>
      </x:c>
      <x:c r="B446" t="str">
        <x:v>USR-00346</x:v>
      </x:c>
      <x:c r="C446" t="str">
        <x:v>Cero</x:v>
      </x:c>
      <x:c r="D446" t="n">
        <x:v>45931</x:v>
      </x:c>
      <x:c r="E446" t="n">
        <x:v>45931</x:v>
      </x:c>
      <x:c r="F446" t="str">
        <x:v>Finalizada</x:v>
      </x:c>
      <x:c r="G446" t="str">
        <x:v>Gratuita</x:v>
      </x:c>
      <x:c r="H446" t="n">
        <x:v>1</x:v>
      </x:c>
    </x:row>
    <x:row r="447">
      <x:c r="A447" t="str">
        <x:v>SUS-000446</x:v>
      </x:c>
      <x:c r="B447" t="str">
        <x:v>USR-00347</x:v>
      </x:c>
      <x:c r="C447" t="str">
        <x:v>Cero</x:v>
      </x:c>
      <x:c r="D447" t="n">
        <x:v>45931</x:v>
      </x:c>
      <x:c r="E447" t="n">
        <x:v>46266</x:v>
      </x:c>
      <x:c r="F447" t="str">
        <x:v>Activa</x:v>
      </x:c>
      <x:c r="G447" t="str">
        <x:v>Gratuita</x:v>
      </x:c>
      <x:c r="H447" t="n">
        <x:v>12</x:v>
      </x:c>
    </x:row>
    <x:row r="448">
      <x:c r="A448" t="str">
        <x:v>SUS-000447</x:v>
      </x:c>
      <x:c r="B448" t="str">
        <x:v>USR-00348</x:v>
      </x:c>
      <x:c r="C448" t="str">
        <x:v>Cero</x:v>
      </x:c>
      <x:c r="D448" t="n">
        <x:v>45931</x:v>
      </x:c>
      <x:c r="E448" t="n">
        <x:v>46266</x:v>
      </x:c>
      <x:c r="F448" t="str">
        <x:v>Activa</x:v>
      </x:c>
      <x:c r="G448" t="str">
        <x:v>Gratuita</x:v>
      </x:c>
      <x:c r="H448" t="n">
        <x:v>12</x:v>
      </x:c>
    </x:row>
    <x:row r="449">
      <x:c r="A449" t="str">
        <x:v>SUS-000448</x:v>
      </x:c>
      <x:c r="B449" t="str">
        <x:v>USR-00349</x:v>
      </x:c>
      <x:c r="C449" t="str">
        <x:v>Cero</x:v>
      </x:c>
      <x:c r="D449" t="n">
        <x:v>45931</x:v>
      </x:c>
      <x:c r="E449" t="n">
        <x:v>46266</x:v>
      </x:c>
      <x:c r="F449" t="str">
        <x:v>Activa</x:v>
      </x:c>
      <x:c r="G449" t="str">
        <x:v>Gratuita</x:v>
      </x:c>
      <x:c r="H449" t="n">
        <x:v>12</x:v>
      </x:c>
    </x:row>
    <x:row r="450">
      <x:c r="A450" t="str">
        <x:v>SUS-000449</x:v>
      </x:c>
      <x:c r="B450" t="str">
        <x:v>USR-00350</x:v>
      </x:c>
      <x:c r="C450" t="str">
        <x:v>Plus mensual</x:v>
      </x:c>
      <x:c r="D450" t="n">
        <x:v>45931</x:v>
      </x:c>
      <x:c r="E450" t="n">
        <x:v>45962</x:v>
      </x:c>
      <x:c r="F450" t="str">
        <x:v>Finalizada</x:v>
      </x:c>
      <x:c r="G450" t="str">
        <x:v>Mensual</x:v>
      </x:c>
      <x:c r="H450" t="n">
        <x:v>2</x:v>
      </x:c>
    </x:row>
    <x:row r="451">
      <x:c r="A451" t="str">
        <x:v>SUS-000450</x:v>
      </x:c>
      <x:c r="B451" t="str">
        <x:v>USR-00351</x:v>
      </x:c>
      <x:c r="C451" t="str">
        <x:v>Cero</x:v>
      </x:c>
      <x:c r="D451" t="n">
        <x:v>45931</x:v>
      </x:c>
      <x:c r="E451" t="n">
        <x:v>46266</x:v>
      </x:c>
      <x:c r="F451" t="str">
        <x:v>Activa</x:v>
      </x:c>
      <x:c r="G451" t="str">
        <x:v>Gratuita</x:v>
      </x:c>
      <x:c r="H451" t="n">
        <x:v>12</x:v>
      </x:c>
    </x:row>
    <x:row r="452">
      <x:c r="A452" t="str">
        <x:v>SUS-000451</x:v>
      </x:c>
      <x:c r="B452" t="str">
        <x:v>USR-00352</x:v>
      </x:c>
      <x:c r="C452" t="str">
        <x:v>Cero</x:v>
      </x:c>
      <x:c r="D452" t="n">
        <x:v>45931</x:v>
      </x:c>
      <x:c r="E452" t="n">
        <x:v>46266</x:v>
      </x:c>
      <x:c r="F452" t="str">
        <x:v>Activa</x:v>
      </x:c>
      <x:c r="G452" t="str">
        <x:v>Gratuita</x:v>
      </x:c>
      <x:c r="H452" t="n">
        <x:v>12</x:v>
      </x:c>
    </x:row>
    <x:row r="453">
      <x:c r="A453" t="str">
        <x:v>SUS-000452</x:v>
      </x:c>
      <x:c r="B453" t="str">
        <x:v>USR-00353</x:v>
      </x:c>
      <x:c r="C453" t="str">
        <x:v>Cero</x:v>
      </x:c>
      <x:c r="D453" t="n">
        <x:v>45931</x:v>
      </x:c>
      <x:c r="E453" t="n">
        <x:v>46054</x:v>
      </x:c>
      <x:c r="F453" t="str">
        <x:v>Finalizada</x:v>
      </x:c>
      <x:c r="G453" t="str">
        <x:v>Gratuita</x:v>
      </x:c>
      <x:c r="H453" t="n">
        <x:v>5</x:v>
      </x:c>
    </x:row>
    <x:row r="454">
      <x:c r="A454" t="str">
        <x:v>SUS-000453</x:v>
      </x:c>
      <x:c r="B454" t="str">
        <x:v>USR-00354</x:v>
      </x:c>
      <x:c r="C454" t="str">
        <x:v>Plus mensual</x:v>
      </x:c>
      <x:c r="D454" t="n">
        <x:v>45931</x:v>
      </x:c>
      <x:c r="E454" t="n">
        <x:v>46023</x:v>
      </x:c>
      <x:c r="F454" t="str">
        <x:v>Finalizada</x:v>
      </x:c>
      <x:c r="G454" t="str">
        <x:v>Mensual</x:v>
      </x:c>
      <x:c r="H454" t="n">
        <x:v>4</x:v>
      </x:c>
    </x:row>
    <x:row r="455">
      <x:c r="A455" t="str">
        <x:v>SUS-000454</x:v>
      </x:c>
      <x:c r="B455" t="str">
        <x:v>USR-00355</x:v>
      </x:c>
      <x:c r="C455" t="str">
        <x:v>Cero</x:v>
      </x:c>
      <x:c r="D455" t="n">
        <x:v>45931</x:v>
      </x:c>
      <x:c r="E455" t="n">
        <x:v>46054</x:v>
      </x:c>
      <x:c r="F455" t="str">
        <x:v>Finalizada</x:v>
      </x:c>
      <x:c r="G455" t="str">
        <x:v>Gratuita</x:v>
      </x:c>
      <x:c r="H455" t="n">
        <x:v>5</x:v>
      </x:c>
    </x:row>
    <x:row r="456">
      <x:c r="A456" t="str">
        <x:v>SUS-000455</x:v>
      </x:c>
      <x:c r="B456" t="str">
        <x:v>USR-00356</x:v>
      </x:c>
      <x:c r="C456" t="str">
        <x:v>Cero</x:v>
      </x:c>
      <x:c r="D456" t="n">
        <x:v>45931</x:v>
      </x:c>
      <x:c r="E456" t="n">
        <x:v>46266</x:v>
      </x:c>
      <x:c r="F456" t="str">
        <x:v>Activa</x:v>
      </x:c>
      <x:c r="G456" t="str">
        <x:v>Gratuita</x:v>
      </x:c>
      <x:c r="H456" t="n">
        <x:v>12</x:v>
      </x:c>
    </x:row>
    <x:row r="457">
      <x:c r="A457" t="str">
        <x:v>SUS-000456</x:v>
      </x:c>
      <x:c r="B457" t="str">
        <x:v>USR-00013</x:v>
      </x:c>
      <x:c r="C457" t="str">
        <x:v>Plus anual</x:v>
      </x:c>
      <x:c r="D457" t="n">
        <x:v>45962</x:v>
      </x:c>
      <x:c r="E457" t="n">
        <x:v>46266</x:v>
      </x:c>
      <x:c r="F457" t="str">
        <x:v>Activa</x:v>
      </x:c>
      <x:c r="G457" t="str">
        <x:v>Anual</x:v>
      </x:c>
      <x:c r="H457" t="n">
        <x:v>11</x:v>
      </x:c>
    </x:row>
    <x:row r="458">
      <x:c r="A458" t="str">
        <x:v>SUS-000457</x:v>
      </x:c>
      <x:c r="B458" t="str">
        <x:v>USR-00037</x:v>
      </x:c>
      <x:c r="C458" t="str">
        <x:v>Plus mensual</x:v>
      </x:c>
      <x:c r="D458" t="n">
        <x:v>45962</x:v>
      </x:c>
      <x:c r="E458" t="n">
        <x:v>46266</x:v>
      </x:c>
      <x:c r="F458" t="str">
        <x:v>Activa</x:v>
      </x:c>
      <x:c r="G458" t="str">
        <x:v>Mensual</x:v>
      </x:c>
      <x:c r="H458" t="n">
        <x:v>11</x:v>
      </x:c>
    </x:row>
    <x:row r="459">
      <x:c r="A459" t="str">
        <x:v>SUS-000458</x:v>
      </x:c>
      <x:c r="B459" t="str">
        <x:v>USR-00049</x:v>
      </x:c>
      <x:c r="C459" t="str">
        <x:v>Cero</x:v>
      </x:c>
      <x:c r="D459" t="n">
        <x:v>45962</x:v>
      </x:c>
      <x:c r="E459" t="n">
        <x:v>46266</x:v>
      </x:c>
      <x:c r="F459" t="str">
        <x:v>Activa</x:v>
      </x:c>
      <x:c r="G459" t="str">
        <x:v>Gratuita</x:v>
      </x:c>
      <x:c r="H459" t="n">
        <x:v>11</x:v>
      </x:c>
    </x:row>
    <x:row r="460">
      <x:c r="A460" t="str">
        <x:v>SUS-000459</x:v>
      </x:c>
      <x:c r="B460" t="str">
        <x:v>USR-00056</x:v>
      </x:c>
      <x:c r="C460" t="str">
        <x:v>Plus anual</x:v>
      </x:c>
      <x:c r="D460" t="n">
        <x:v>45962</x:v>
      </x:c>
      <x:c r="E460" t="n">
        <x:v>46266</x:v>
      </x:c>
      <x:c r="F460" t="str">
        <x:v>Activa</x:v>
      </x:c>
      <x:c r="G460" t="str">
        <x:v>Anual</x:v>
      </x:c>
      <x:c r="H460" t="n">
        <x:v>11</x:v>
      </x:c>
    </x:row>
    <x:row r="461">
      <x:c r="A461" t="str">
        <x:v>SUS-000460</x:v>
      </x:c>
      <x:c r="B461" t="str">
        <x:v>USR-00067</x:v>
      </x:c>
      <x:c r="C461" t="str">
        <x:v>Plus mensual</x:v>
      </x:c>
      <x:c r="D461" t="n">
        <x:v>45962</x:v>
      </x:c>
      <x:c r="E461" t="n">
        <x:v>46054</x:v>
      </x:c>
      <x:c r="F461" t="str">
        <x:v>Finalizada</x:v>
      </x:c>
      <x:c r="G461" t="str">
        <x:v>Mensual</x:v>
      </x:c>
      <x:c r="H461" t="n">
        <x:v>4</x:v>
      </x:c>
    </x:row>
    <x:row r="462">
      <x:c r="A462" t="str">
        <x:v>SUS-000461</x:v>
      </x:c>
      <x:c r="B462" t="str">
        <x:v>USR-00152</x:v>
      </x:c>
      <x:c r="C462" t="str">
        <x:v>Plus anual</x:v>
      </x:c>
      <x:c r="D462" t="n">
        <x:v>45962</x:v>
      </x:c>
      <x:c r="E462" t="n">
        <x:v>46266</x:v>
      </x:c>
      <x:c r="F462" t="str">
        <x:v>Activa</x:v>
      </x:c>
      <x:c r="G462" t="str">
        <x:v>Anual</x:v>
      </x:c>
      <x:c r="H462" t="n">
        <x:v>11</x:v>
      </x:c>
    </x:row>
    <x:row r="463">
      <x:c r="A463" t="str">
        <x:v>SUS-000462</x:v>
      </x:c>
      <x:c r="B463" t="str">
        <x:v>USR-00155</x:v>
      </x:c>
      <x:c r="C463" t="str">
        <x:v>Plus mensual</x:v>
      </x:c>
      <x:c r="D463" t="n">
        <x:v>45962</x:v>
      </x:c>
      <x:c r="E463" t="n">
        <x:v>46174</x:v>
      </x:c>
      <x:c r="F463" t="str">
        <x:v>Finalizada</x:v>
      </x:c>
      <x:c r="G463" t="str">
        <x:v>Mensual</x:v>
      </x:c>
      <x:c r="H463" t="n">
        <x:v>8</x:v>
      </x:c>
    </x:row>
    <x:row r="464">
      <x:c r="A464" t="str">
        <x:v>SUS-000463</x:v>
      </x:c>
      <x:c r="B464" t="str">
        <x:v>USR-00177</x:v>
      </x:c>
      <x:c r="C464" t="str">
        <x:v>Cero</x:v>
      </x:c>
      <x:c r="D464" t="n">
        <x:v>45962</x:v>
      </x:c>
      <x:c r="E464" t="n">
        <x:v>46235</x:v>
      </x:c>
      <x:c r="F464" t="str">
        <x:v>Finalizada</x:v>
      </x:c>
      <x:c r="G464" t="str">
        <x:v>Gratuita</x:v>
      </x:c>
      <x:c r="H464" t="n">
        <x:v>10</x:v>
      </x:c>
    </x:row>
    <x:row r="465">
      <x:c r="A465" t="str">
        <x:v>SUS-000464</x:v>
      </x:c>
      <x:c r="B465" t="str">
        <x:v>USR-00203</x:v>
      </x:c>
      <x:c r="C465" t="str">
        <x:v>Cero</x:v>
      </x:c>
      <x:c r="D465" t="n">
        <x:v>45962</x:v>
      </x:c>
      <x:c r="E465" t="n">
        <x:v>46174</x:v>
      </x:c>
      <x:c r="F465" t="str">
        <x:v>Finalizada</x:v>
      </x:c>
      <x:c r="G465" t="str">
        <x:v>Gratuita</x:v>
      </x:c>
      <x:c r="H465" t="n">
        <x:v>8</x:v>
      </x:c>
    </x:row>
    <x:row r="466">
      <x:c r="A466" t="str">
        <x:v>SUS-000465</x:v>
      </x:c>
      <x:c r="B466" t="str">
        <x:v>USR-00225</x:v>
      </x:c>
      <x:c r="C466" t="str">
        <x:v>Cero</x:v>
      </x:c>
      <x:c r="D466" t="n">
        <x:v>45962</x:v>
      </x:c>
      <x:c r="E466" t="n">
        <x:v>46113</x:v>
      </x:c>
      <x:c r="F466" t="str">
        <x:v>Finalizada</x:v>
      </x:c>
      <x:c r="G466" t="str">
        <x:v>Gratuita</x:v>
      </x:c>
      <x:c r="H466" t="n">
        <x:v>6</x:v>
      </x:c>
    </x:row>
    <x:row r="467">
      <x:c r="A467" t="str">
        <x:v>SUS-000466</x:v>
      </x:c>
      <x:c r="B467" t="str">
        <x:v>USR-00259</x:v>
      </x:c>
      <x:c r="C467" t="str">
        <x:v>Plus mensual</x:v>
      </x:c>
      <x:c r="D467" t="n">
        <x:v>45962</x:v>
      </x:c>
      <x:c r="E467" t="n">
        <x:v>45992</x:v>
      </x:c>
      <x:c r="F467" t="str">
        <x:v>Finalizada</x:v>
      </x:c>
      <x:c r="G467" t="str">
        <x:v>Mensual</x:v>
      </x:c>
      <x:c r="H467" t="n">
        <x:v>2</x:v>
      </x:c>
    </x:row>
    <x:row r="468">
      <x:c r="A468" t="str">
        <x:v>SUS-000467</x:v>
      </x:c>
      <x:c r="B468" t="str">
        <x:v>USR-00260</x:v>
      </x:c>
      <x:c r="C468" t="str">
        <x:v>Plus mensual</x:v>
      </x:c>
      <x:c r="D468" t="n">
        <x:v>45962</x:v>
      </x:c>
      <x:c r="E468" t="n">
        <x:v>45962</x:v>
      </x:c>
      <x:c r="F468" t="str">
        <x:v>Finalizada</x:v>
      </x:c>
      <x:c r="G468" t="str">
        <x:v>Mensual</x:v>
      </x:c>
      <x:c r="H468" t="n">
        <x:v>1</x:v>
      </x:c>
    </x:row>
    <x:row r="469">
      <x:c r="A469" t="str">
        <x:v>SUS-000468</x:v>
      </x:c>
      <x:c r="B469" t="str">
        <x:v>USR-00262</x:v>
      </x:c>
      <x:c r="C469" t="str">
        <x:v>Plus mensual</x:v>
      </x:c>
      <x:c r="D469" t="n">
        <x:v>45962</x:v>
      </x:c>
      <x:c r="E469" t="n">
        <x:v>46054</x:v>
      </x:c>
      <x:c r="F469" t="str">
        <x:v>Finalizada</x:v>
      </x:c>
      <x:c r="G469" t="str">
        <x:v>Mensual</x:v>
      </x:c>
      <x:c r="H469" t="n">
        <x:v>4</x:v>
      </x:c>
    </x:row>
    <x:row r="470">
      <x:c r="A470" t="str">
        <x:v>SUS-000469</x:v>
      </x:c>
      <x:c r="B470" t="str">
        <x:v>USR-00265</x:v>
      </x:c>
      <x:c r="C470" t="str">
        <x:v>Plus mensual</x:v>
      </x:c>
      <x:c r="D470" t="n">
        <x:v>45962</x:v>
      </x:c>
      <x:c r="E470" t="n">
        <x:v>46113</x:v>
      </x:c>
      <x:c r="F470" t="str">
        <x:v>Finalizada</x:v>
      </x:c>
      <x:c r="G470" t="str">
        <x:v>Mensual</x:v>
      </x:c>
      <x:c r="H470" t="n">
        <x:v>6</x:v>
      </x:c>
    </x:row>
    <x:row r="471">
      <x:c r="A471" t="str">
        <x:v>SUS-000470</x:v>
      </x:c>
      <x:c r="B471" t="str">
        <x:v>USR-00332</x:v>
      </x:c>
      <x:c r="C471" t="str">
        <x:v>Plus mensual</x:v>
      </x:c>
      <x:c r="D471" t="n">
        <x:v>45962</x:v>
      </x:c>
      <x:c r="E471" t="n">
        <x:v>46204</x:v>
      </x:c>
      <x:c r="F471" t="str">
        <x:v>Finalizada</x:v>
      </x:c>
      <x:c r="G471" t="str">
        <x:v>Mensual</x:v>
      </x:c>
      <x:c r="H471" t="n">
        <x:v>9</x:v>
      </x:c>
    </x:row>
    <x:row r="472">
      <x:c r="A472" t="str">
        <x:v>SUS-000471</x:v>
      </x:c>
      <x:c r="B472" t="str">
        <x:v>USR-00346</x:v>
      </x:c>
      <x:c r="C472" t="str">
        <x:v>Plus mensual</x:v>
      </x:c>
      <x:c r="D472" t="n">
        <x:v>45962</x:v>
      </x:c>
      <x:c r="E472" t="n">
        <x:v>46143</x:v>
      </x:c>
      <x:c r="F472" t="str">
        <x:v>Finalizada</x:v>
      </x:c>
      <x:c r="G472" t="str">
        <x:v>Mensual</x:v>
      </x:c>
      <x:c r="H472" t="n">
        <x:v>7</x:v>
      </x:c>
    </x:row>
    <x:row r="473">
      <x:c r="A473" t="str">
        <x:v>SUS-000472</x:v>
      </x:c>
      <x:c r="B473" t="str">
        <x:v>USR-00357</x:v>
      </x:c>
      <x:c r="C473" t="str">
        <x:v>Cero</x:v>
      </x:c>
      <x:c r="D473" t="n">
        <x:v>45962</x:v>
      </x:c>
      <x:c r="E473" t="n">
        <x:v>45962</x:v>
      </x:c>
      <x:c r="F473" t="str">
        <x:v>Finalizada</x:v>
      </x:c>
      <x:c r="G473" t="str">
        <x:v>Gratuita</x:v>
      </x:c>
      <x:c r="H473" t="n">
        <x:v>1</x:v>
      </x:c>
    </x:row>
    <x:row r="474">
      <x:c r="A474" t="str">
        <x:v>SUS-000473</x:v>
      </x:c>
      <x:c r="B474" t="str">
        <x:v>USR-00358</x:v>
      </x:c>
      <x:c r="C474" t="str">
        <x:v>Cero</x:v>
      </x:c>
      <x:c r="D474" t="n">
        <x:v>45962</x:v>
      </x:c>
      <x:c r="E474" t="n">
        <x:v>46113</x:v>
      </x:c>
      <x:c r="F474" t="str">
        <x:v>Finalizada</x:v>
      </x:c>
      <x:c r="G474" t="str">
        <x:v>Gratuita</x:v>
      </x:c>
      <x:c r="H474" t="n">
        <x:v>6</x:v>
      </x:c>
    </x:row>
    <x:row r="475">
      <x:c r="A475" t="str">
        <x:v>SUS-000474</x:v>
      </x:c>
      <x:c r="B475" t="str">
        <x:v>USR-00359</x:v>
      </x:c>
      <x:c r="C475" t="str">
        <x:v>Cero</x:v>
      </x:c>
      <x:c r="D475" t="n">
        <x:v>45962</x:v>
      </x:c>
      <x:c r="E475" t="n">
        <x:v>46082</x:v>
      </x:c>
      <x:c r="F475" t="str">
        <x:v>Finalizada</x:v>
      </x:c>
      <x:c r="G475" t="str">
        <x:v>Gratuita</x:v>
      </x:c>
      <x:c r="H475" t="n">
        <x:v>5</x:v>
      </x:c>
    </x:row>
    <x:row r="476">
      <x:c r="A476" t="str">
        <x:v>SUS-000475</x:v>
      </x:c>
      <x:c r="B476" t="str">
        <x:v>USR-00360</x:v>
      </x:c>
      <x:c r="C476" t="str">
        <x:v>Cero</x:v>
      </x:c>
      <x:c r="D476" t="n">
        <x:v>45962</x:v>
      </x:c>
      <x:c r="E476" t="n">
        <x:v>45992</x:v>
      </x:c>
      <x:c r="F476" t="str">
        <x:v>Finalizada</x:v>
      </x:c>
      <x:c r="G476" t="str">
        <x:v>Gratuita</x:v>
      </x:c>
      <x:c r="H476" t="n">
        <x:v>2</x:v>
      </x:c>
    </x:row>
    <x:row r="477">
      <x:c r="A477" t="str">
        <x:v>SUS-000476</x:v>
      </x:c>
      <x:c r="B477" t="str">
        <x:v>USR-00361</x:v>
      </x:c>
      <x:c r="C477" t="str">
        <x:v>Cero</x:v>
      </x:c>
      <x:c r="D477" t="n">
        <x:v>45962</x:v>
      </x:c>
      <x:c r="E477" t="n">
        <x:v>46266</x:v>
      </x:c>
      <x:c r="F477" t="str">
        <x:v>Activa</x:v>
      </x:c>
      <x:c r="G477" t="str">
        <x:v>Gratuita</x:v>
      </x:c>
      <x:c r="H477" t="n">
        <x:v>11</x:v>
      </x:c>
    </x:row>
    <x:row r="478">
      <x:c r="A478" t="str">
        <x:v>SUS-000477</x:v>
      </x:c>
      <x:c r="B478" t="str">
        <x:v>USR-00362</x:v>
      </x:c>
      <x:c r="C478" t="str">
        <x:v>Cero</x:v>
      </x:c>
      <x:c r="D478" t="n">
        <x:v>45962</x:v>
      </x:c>
      <x:c r="E478" t="n">
        <x:v>46235</x:v>
      </x:c>
      <x:c r="F478" t="str">
        <x:v>Finalizada</x:v>
      </x:c>
      <x:c r="G478" t="str">
        <x:v>Gratuita</x:v>
      </x:c>
      <x:c r="H478" t="n">
        <x:v>10</x:v>
      </x:c>
    </x:row>
    <x:row r="479">
      <x:c r="A479" t="str">
        <x:v>SUS-000478</x:v>
      </x:c>
      <x:c r="B479" t="str">
        <x:v>USR-00363</x:v>
      </x:c>
      <x:c r="C479" t="str">
        <x:v>Cero</x:v>
      </x:c>
      <x:c r="D479" t="n">
        <x:v>45962</x:v>
      </x:c>
      <x:c r="E479" t="n">
        <x:v>46082</x:v>
      </x:c>
      <x:c r="F479" t="str">
        <x:v>Finalizada</x:v>
      </x:c>
      <x:c r="G479" t="str">
        <x:v>Gratuita</x:v>
      </x:c>
      <x:c r="H479" t="n">
        <x:v>5</x:v>
      </x:c>
    </x:row>
    <x:row r="480">
      <x:c r="A480" t="str">
        <x:v>SUS-000479</x:v>
      </x:c>
      <x:c r="B480" t="str">
        <x:v>USR-00364</x:v>
      </x:c>
      <x:c r="C480" t="str">
        <x:v>Cero</x:v>
      </x:c>
      <x:c r="D480" t="n">
        <x:v>45962</x:v>
      </x:c>
      <x:c r="E480" t="n">
        <x:v>46023</x:v>
      </x:c>
      <x:c r="F480" t="str">
        <x:v>Finalizada</x:v>
      </x:c>
      <x:c r="G480" t="str">
        <x:v>Gratuita</x:v>
      </x:c>
      <x:c r="H480" t="n">
        <x:v>3</x:v>
      </x:c>
    </x:row>
    <x:row r="481">
      <x:c r="A481" t="str">
        <x:v>SUS-000480</x:v>
      </x:c>
      <x:c r="B481" t="str">
        <x:v>USR-00365</x:v>
      </x:c>
      <x:c r="C481" t="str">
        <x:v>Cero</x:v>
      </x:c>
      <x:c r="D481" t="n">
        <x:v>45962</x:v>
      </x:c>
      <x:c r="E481" t="n">
        <x:v>46054</x:v>
      </x:c>
      <x:c r="F481" t="str">
        <x:v>Finalizada</x:v>
      </x:c>
      <x:c r="G481" t="str">
        <x:v>Gratuita</x:v>
      </x:c>
      <x:c r="H481" t="n">
        <x:v>4</x:v>
      </x:c>
    </x:row>
    <x:row r="482">
      <x:c r="A482" t="str">
        <x:v>SUS-000481</x:v>
      </x:c>
      <x:c r="B482" t="str">
        <x:v>USR-00366</x:v>
      </x:c>
      <x:c r="C482" t="str">
        <x:v>Cero</x:v>
      </x:c>
      <x:c r="D482" t="n">
        <x:v>45962</x:v>
      </x:c>
      <x:c r="E482" t="n">
        <x:v>46174</x:v>
      </x:c>
      <x:c r="F482" t="str">
        <x:v>Finalizada</x:v>
      </x:c>
      <x:c r="G482" t="str">
        <x:v>Gratuita</x:v>
      </x:c>
      <x:c r="H482" t="n">
        <x:v>8</x:v>
      </x:c>
    </x:row>
    <x:row r="483">
      <x:c r="A483" t="str">
        <x:v>SUS-000482</x:v>
      </x:c>
      <x:c r="B483" t="str">
        <x:v>USR-00367</x:v>
      </x:c>
      <x:c r="C483" t="str">
        <x:v>Cero</x:v>
      </x:c>
      <x:c r="D483" t="n">
        <x:v>45962</x:v>
      </x:c>
      <x:c r="E483" t="n">
        <x:v>46266</x:v>
      </x:c>
      <x:c r="F483" t="str">
        <x:v>Activa</x:v>
      </x:c>
      <x:c r="G483" t="str">
        <x:v>Gratuita</x:v>
      </x:c>
      <x:c r="H483" t="n">
        <x:v>11</x:v>
      </x:c>
    </x:row>
    <x:row r="484">
      <x:c r="A484" t="str">
        <x:v>SUS-000483</x:v>
      </x:c>
      <x:c r="B484" t="str">
        <x:v>USR-00368</x:v>
      </x:c>
      <x:c r="C484" t="str">
        <x:v>Cero</x:v>
      </x:c>
      <x:c r="D484" t="n">
        <x:v>45962</x:v>
      </x:c>
      <x:c r="E484" t="n">
        <x:v>46266</x:v>
      </x:c>
      <x:c r="F484" t="str">
        <x:v>Activa</x:v>
      </x:c>
      <x:c r="G484" t="str">
        <x:v>Gratuita</x:v>
      </x:c>
      <x:c r="H484" t="n">
        <x:v>11</x:v>
      </x:c>
    </x:row>
    <x:row r="485">
      <x:c r="A485" t="str">
        <x:v>SUS-000484</x:v>
      </x:c>
      <x:c r="B485" t="str">
        <x:v>USR-00369</x:v>
      </x:c>
      <x:c r="C485" t="str">
        <x:v>Cero</x:v>
      </x:c>
      <x:c r="D485" t="n">
        <x:v>45962</x:v>
      </x:c>
      <x:c r="E485" t="n">
        <x:v>46266</x:v>
      </x:c>
      <x:c r="F485" t="str">
        <x:v>Activa</x:v>
      </x:c>
      <x:c r="G485" t="str">
        <x:v>Gratuita</x:v>
      </x:c>
      <x:c r="H485" t="n">
        <x:v>11</x:v>
      </x:c>
    </x:row>
    <x:row r="486">
      <x:c r="A486" t="str">
        <x:v>SUS-000485</x:v>
      </x:c>
      <x:c r="B486" t="str">
        <x:v>USR-00370</x:v>
      </x:c>
      <x:c r="C486" t="str">
        <x:v>Plus anual</x:v>
      </x:c>
      <x:c r="D486" t="n">
        <x:v>45962</x:v>
      </x:c>
      <x:c r="E486" t="n">
        <x:v>46266</x:v>
      </x:c>
      <x:c r="F486" t="str">
        <x:v>Activa</x:v>
      </x:c>
      <x:c r="G486" t="str">
        <x:v>Anual</x:v>
      </x:c>
      <x:c r="H486" t="n">
        <x:v>11</x:v>
      </x:c>
    </x:row>
    <x:row r="487">
      <x:c r="A487" t="str">
        <x:v>SUS-000486</x:v>
      </x:c>
      <x:c r="B487" t="str">
        <x:v>USR-00371</x:v>
      </x:c>
      <x:c r="C487" t="str">
        <x:v>Cero</x:v>
      </x:c>
      <x:c r="D487" t="n">
        <x:v>45962</x:v>
      </x:c>
      <x:c r="E487" t="n">
        <x:v>46266</x:v>
      </x:c>
      <x:c r="F487" t="str">
        <x:v>Activa</x:v>
      </x:c>
      <x:c r="G487" t="str">
        <x:v>Gratuita</x:v>
      </x:c>
      <x:c r="H487" t="n">
        <x:v>11</x:v>
      </x:c>
    </x:row>
    <x:row r="488">
      <x:c r="A488" t="str">
        <x:v>SUS-000487</x:v>
      </x:c>
      <x:c r="B488" t="str">
        <x:v>USR-00372</x:v>
      </x:c>
      <x:c r="C488" t="str">
        <x:v>Cero</x:v>
      </x:c>
      <x:c r="D488" t="n">
        <x:v>45962</x:v>
      </x:c>
      <x:c r="E488" t="n">
        <x:v>46082</x:v>
      </x:c>
      <x:c r="F488" t="str">
        <x:v>Finalizada</x:v>
      </x:c>
      <x:c r="G488" t="str">
        <x:v>Gratuita</x:v>
      </x:c>
      <x:c r="H488" t="n">
        <x:v>5</x:v>
      </x:c>
    </x:row>
    <x:row r="489">
      <x:c r="A489" t="str">
        <x:v>SUS-000488</x:v>
      </x:c>
      <x:c r="B489" t="str">
        <x:v>USR-00373</x:v>
      </x:c>
      <x:c r="C489" t="str">
        <x:v>Cero</x:v>
      </x:c>
      <x:c r="D489" t="n">
        <x:v>45962</x:v>
      </x:c>
      <x:c r="E489" t="n">
        <x:v>46266</x:v>
      </x:c>
      <x:c r="F489" t="str">
        <x:v>Activa</x:v>
      </x:c>
      <x:c r="G489" t="str">
        <x:v>Gratuita</x:v>
      </x:c>
      <x:c r="H489" t="n">
        <x:v>11</x:v>
      </x:c>
    </x:row>
    <x:row r="490">
      <x:c r="A490" t="str">
        <x:v>SUS-000489</x:v>
      </x:c>
      <x:c r="B490" t="str">
        <x:v>USR-00374</x:v>
      </x:c>
      <x:c r="C490" t="str">
        <x:v>Cero</x:v>
      </x:c>
      <x:c r="D490" t="n">
        <x:v>45962</x:v>
      </x:c>
      <x:c r="E490" t="n">
        <x:v>46266</x:v>
      </x:c>
      <x:c r="F490" t="str">
        <x:v>Activa</x:v>
      </x:c>
      <x:c r="G490" t="str">
        <x:v>Gratuita</x:v>
      </x:c>
      <x:c r="H490" t="n">
        <x:v>11</x:v>
      </x:c>
    </x:row>
    <x:row r="491">
      <x:c r="A491" t="str">
        <x:v>SUS-000490</x:v>
      </x:c>
      <x:c r="B491" t="str">
        <x:v>USR-00375</x:v>
      </x:c>
      <x:c r="C491" t="str">
        <x:v>Cero</x:v>
      </x:c>
      <x:c r="D491" t="n">
        <x:v>45962</x:v>
      </x:c>
      <x:c r="E491" t="n">
        <x:v>46235</x:v>
      </x:c>
      <x:c r="F491" t="str">
        <x:v>Finalizada</x:v>
      </x:c>
      <x:c r="G491" t="str">
        <x:v>Gratuita</x:v>
      </x:c>
      <x:c r="H491" t="n">
        <x:v>10</x:v>
      </x:c>
    </x:row>
    <x:row r="492">
      <x:c r="A492" t="str">
        <x:v>SUS-000491</x:v>
      </x:c>
      <x:c r="B492" t="str">
        <x:v>USR-00376</x:v>
      </x:c>
      <x:c r="C492" t="str">
        <x:v>Cero</x:v>
      </x:c>
      <x:c r="D492" t="n">
        <x:v>45962</x:v>
      </x:c>
      <x:c r="E492" t="n">
        <x:v>46266</x:v>
      </x:c>
      <x:c r="F492" t="str">
        <x:v>Activa</x:v>
      </x:c>
      <x:c r="G492" t="str">
        <x:v>Gratuita</x:v>
      </x:c>
      <x:c r="H492" t="n">
        <x:v>11</x:v>
      </x:c>
    </x:row>
    <x:row r="493">
      <x:c r="A493" t="str">
        <x:v>SUS-000492</x:v>
      </x:c>
      <x:c r="B493" t="str">
        <x:v>USR-00377</x:v>
      </x:c>
      <x:c r="C493" t="str">
        <x:v>Plus mensual</x:v>
      </x:c>
      <x:c r="D493" t="n">
        <x:v>45962</x:v>
      </x:c>
      <x:c r="E493" t="n">
        <x:v>46266</x:v>
      </x:c>
      <x:c r="F493" t="str">
        <x:v>Activa</x:v>
      </x:c>
      <x:c r="G493" t="str">
        <x:v>Mensual</x:v>
      </x:c>
      <x:c r="H493" t="n">
        <x:v>11</x:v>
      </x:c>
    </x:row>
    <x:row r="494">
      <x:c r="A494" t="str">
        <x:v>SUS-000493</x:v>
      </x:c>
      <x:c r="B494" t="str">
        <x:v>USR-00378</x:v>
      </x:c>
      <x:c r="C494" t="str">
        <x:v>Cero</x:v>
      </x:c>
      <x:c r="D494" t="n">
        <x:v>45962</x:v>
      </x:c>
      <x:c r="E494" t="n">
        <x:v>46174</x:v>
      </x:c>
      <x:c r="F494" t="str">
        <x:v>Finalizada</x:v>
      </x:c>
      <x:c r="G494" t="str">
        <x:v>Gratuita</x:v>
      </x:c>
      <x:c r="H494" t="n">
        <x:v>8</x:v>
      </x:c>
    </x:row>
    <x:row r="495">
      <x:c r="A495" t="str">
        <x:v>SUS-000494</x:v>
      </x:c>
      <x:c r="B495" t="str">
        <x:v>USR-00379</x:v>
      </x:c>
      <x:c r="C495" t="str">
        <x:v>Cero</x:v>
      </x:c>
      <x:c r="D495" t="n">
        <x:v>45962</x:v>
      </x:c>
      <x:c r="E495" t="n">
        <x:v>46174</x:v>
      </x:c>
      <x:c r="F495" t="str">
        <x:v>Finalizada</x:v>
      </x:c>
      <x:c r="G495" t="str">
        <x:v>Gratuita</x:v>
      </x:c>
      <x:c r="H495" t="n">
        <x:v>8</x:v>
      </x:c>
    </x:row>
    <x:row r="496">
      <x:c r="A496" t="str">
        <x:v>SUS-000495</x:v>
      </x:c>
      <x:c r="B496" t="str">
        <x:v>USR-00380</x:v>
      </x:c>
      <x:c r="C496" t="str">
        <x:v>Plus mensual</x:v>
      </x:c>
      <x:c r="D496" t="n">
        <x:v>45962</x:v>
      </x:c>
      <x:c r="E496" t="n">
        <x:v>46266</x:v>
      </x:c>
      <x:c r="F496" t="str">
        <x:v>Activa</x:v>
      </x:c>
      <x:c r="G496" t="str">
        <x:v>Mensual</x:v>
      </x:c>
      <x:c r="H496" t="n">
        <x:v>11</x:v>
      </x:c>
    </x:row>
    <x:row r="497">
      <x:c r="A497" t="str">
        <x:v>SUS-000496</x:v>
      </x:c>
      <x:c r="B497" t="str">
        <x:v>USR-00381</x:v>
      </x:c>
      <x:c r="C497" t="str">
        <x:v>Cero</x:v>
      </x:c>
      <x:c r="D497" t="n">
        <x:v>45962</x:v>
      </x:c>
      <x:c r="E497" t="n">
        <x:v>46054</x:v>
      </x:c>
      <x:c r="F497" t="str">
        <x:v>Finalizada</x:v>
      </x:c>
      <x:c r="G497" t="str">
        <x:v>Gratuita</x:v>
      </x:c>
      <x:c r="H497" t="n">
        <x:v>4</x:v>
      </x:c>
    </x:row>
    <x:row r="498">
      <x:c r="A498" t="str">
        <x:v>SUS-000497</x:v>
      </x:c>
      <x:c r="B498" t="str">
        <x:v>USR-00382</x:v>
      </x:c>
      <x:c r="C498" t="str">
        <x:v>Cero</x:v>
      </x:c>
      <x:c r="D498" t="n">
        <x:v>45962</x:v>
      </x:c>
      <x:c r="E498" t="n">
        <x:v>46143</x:v>
      </x:c>
      <x:c r="F498" t="str">
        <x:v>Finalizada</x:v>
      </x:c>
      <x:c r="G498" t="str">
        <x:v>Gratuita</x:v>
      </x:c>
      <x:c r="H498" t="n">
        <x:v>7</x:v>
      </x:c>
    </x:row>
    <x:row r="499">
      <x:c r="A499" t="str">
        <x:v>SUS-000498</x:v>
      </x:c>
      <x:c r="B499" t="str">
        <x:v>USR-00383</x:v>
      </x:c>
      <x:c r="C499" t="str">
        <x:v>Cero</x:v>
      </x:c>
      <x:c r="D499" t="n">
        <x:v>45962</x:v>
      </x:c>
      <x:c r="E499" t="n">
        <x:v>45992</x:v>
      </x:c>
      <x:c r="F499" t="str">
        <x:v>Finalizada</x:v>
      </x:c>
      <x:c r="G499" t="str">
        <x:v>Gratuita</x:v>
      </x:c>
      <x:c r="H499" t="n">
        <x:v>2</x:v>
      </x:c>
    </x:row>
    <x:row r="500">
      <x:c r="A500" t="str">
        <x:v>SUS-000499</x:v>
      </x:c>
      <x:c r="B500" t="str">
        <x:v>USR-00384</x:v>
      </x:c>
      <x:c r="C500" t="str">
        <x:v>Cero</x:v>
      </x:c>
      <x:c r="D500" t="n">
        <x:v>45962</x:v>
      </x:c>
      <x:c r="E500" t="n">
        <x:v>46082</x:v>
      </x:c>
      <x:c r="F500" t="str">
        <x:v>Finalizada</x:v>
      </x:c>
      <x:c r="G500" t="str">
        <x:v>Gratuita</x:v>
      </x:c>
      <x:c r="H500" t="n">
        <x:v>5</x:v>
      </x:c>
    </x:row>
    <x:row r="501">
      <x:c r="A501" t="str">
        <x:v>SUS-000500</x:v>
      </x:c>
      <x:c r="B501" t="str">
        <x:v>USR-00385</x:v>
      </x:c>
      <x:c r="C501" t="str">
        <x:v>Cero</x:v>
      </x:c>
      <x:c r="D501" t="n">
        <x:v>45962</x:v>
      </x:c>
      <x:c r="E501" t="n">
        <x:v>46266</x:v>
      </x:c>
      <x:c r="F501" t="str">
        <x:v>Activa</x:v>
      </x:c>
      <x:c r="G501" t="str">
        <x:v>Gratuita</x:v>
      </x:c>
      <x:c r="H501" t="n">
        <x:v>11</x:v>
      </x:c>
    </x:row>
    <x:row r="502">
      <x:c r="A502" t="str">
        <x:v>SUS-000501</x:v>
      </x:c>
      <x:c r="B502" t="str">
        <x:v>USR-00386</x:v>
      </x:c>
      <x:c r="C502" t="str">
        <x:v>Cero</x:v>
      </x:c>
      <x:c r="D502" t="n">
        <x:v>45962</x:v>
      </x:c>
      <x:c r="E502" t="n">
        <x:v>45992</x:v>
      </x:c>
      <x:c r="F502" t="str">
        <x:v>Finalizada</x:v>
      </x:c>
      <x:c r="G502" t="str">
        <x:v>Gratuita</x:v>
      </x:c>
      <x:c r="H502" t="n">
        <x:v>2</x:v>
      </x:c>
    </x:row>
    <x:row r="503">
      <x:c r="A503" t="str">
        <x:v>SUS-000502</x:v>
      </x:c>
      <x:c r="B503" t="str">
        <x:v>USR-00387</x:v>
      </x:c>
      <x:c r="C503" t="str">
        <x:v>Plus mensual</x:v>
      </x:c>
      <x:c r="D503" t="n">
        <x:v>45962</x:v>
      </x:c>
      <x:c r="E503" t="n">
        <x:v>46082</x:v>
      </x:c>
      <x:c r="F503" t="str">
        <x:v>Finalizada</x:v>
      </x:c>
      <x:c r="G503" t="str">
        <x:v>Mensual</x:v>
      </x:c>
      <x:c r="H503" t="n">
        <x:v>5</x:v>
      </x:c>
    </x:row>
    <x:row r="504">
      <x:c r="A504" t="str">
        <x:v>SUS-000503</x:v>
      </x:c>
      <x:c r="B504" t="str">
        <x:v>USR-00388</x:v>
      </x:c>
      <x:c r="C504" t="str">
        <x:v>Cero</x:v>
      </x:c>
      <x:c r="D504" t="n">
        <x:v>45962</x:v>
      </x:c>
      <x:c r="E504" t="n">
        <x:v>46266</x:v>
      </x:c>
      <x:c r="F504" t="str">
        <x:v>Activa</x:v>
      </x:c>
      <x:c r="G504" t="str">
        <x:v>Gratuita</x:v>
      </x:c>
      <x:c r="H504" t="n">
        <x:v>11</x:v>
      </x:c>
    </x:row>
    <x:row r="505">
      <x:c r="A505" t="str">
        <x:v>SUS-000504</x:v>
      </x:c>
      <x:c r="B505" t="str">
        <x:v>USR-00389</x:v>
      </x:c>
      <x:c r="C505" t="str">
        <x:v>Cero</x:v>
      </x:c>
      <x:c r="D505" t="n">
        <x:v>45962</x:v>
      </x:c>
      <x:c r="E505" t="n">
        <x:v>45992</x:v>
      </x:c>
      <x:c r="F505" t="str">
        <x:v>Finalizada</x:v>
      </x:c>
      <x:c r="G505" t="str">
        <x:v>Gratuita</x:v>
      </x:c>
      <x:c r="H505" t="n">
        <x:v>2</x:v>
      </x:c>
    </x:row>
    <x:row r="506">
      <x:c r="A506" t="str">
        <x:v>SUS-000505</x:v>
      </x:c>
      <x:c r="B506" t="str">
        <x:v>USR-00390</x:v>
      </x:c>
      <x:c r="C506" t="str">
        <x:v>Cero</x:v>
      </x:c>
      <x:c r="D506" t="n">
        <x:v>45962</x:v>
      </x:c>
      <x:c r="E506" t="n">
        <x:v>46266</x:v>
      </x:c>
      <x:c r="F506" t="str">
        <x:v>Activa</x:v>
      </x:c>
      <x:c r="G506" t="str">
        <x:v>Gratuita</x:v>
      </x:c>
      <x:c r="H506" t="n">
        <x:v>11</x:v>
      </x:c>
    </x:row>
    <x:row r="507">
      <x:c r="A507" t="str">
        <x:v>SUS-000506</x:v>
      </x:c>
      <x:c r="B507" t="str">
        <x:v>USR-00391</x:v>
      </x:c>
      <x:c r="C507" t="str">
        <x:v>Plus mensual</x:v>
      </x:c>
      <x:c r="D507" t="n">
        <x:v>45962</x:v>
      </x:c>
      <x:c r="E507" t="n">
        <x:v>46266</x:v>
      </x:c>
      <x:c r="F507" t="str">
        <x:v>Activa</x:v>
      </x:c>
      <x:c r="G507" t="str">
        <x:v>Mensual</x:v>
      </x:c>
      <x:c r="H507" t="n">
        <x:v>11</x:v>
      </x:c>
    </x:row>
    <x:row r="508">
      <x:c r="A508" t="str">
        <x:v>SUS-000507</x:v>
      </x:c>
      <x:c r="B508" t="str">
        <x:v>USR-00392</x:v>
      </x:c>
      <x:c r="C508" t="str">
        <x:v>Cero</x:v>
      </x:c>
      <x:c r="D508" t="n">
        <x:v>45962</x:v>
      </x:c>
      <x:c r="E508" t="n">
        <x:v>46266</x:v>
      </x:c>
      <x:c r="F508" t="str">
        <x:v>Activa</x:v>
      </x:c>
      <x:c r="G508" t="str">
        <x:v>Gratuita</x:v>
      </x:c>
      <x:c r="H508" t="n">
        <x:v>11</x:v>
      </x:c>
    </x:row>
    <x:row r="509">
      <x:c r="A509" t="str">
        <x:v>SUS-000508</x:v>
      </x:c>
      <x:c r="B509" t="str">
        <x:v>USR-00393</x:v>
      </x:c>
      <x:c r="C509" t="str">
        <x:v>Cero</x:v>
      </x:c>
      <x:c r="D509" t="n">
        <x:v>45962</x:v>
      </x:c>
      <x:c r="E509" t="n">
        <x:v>46266</x:v>
      </x:c>
      <x:c r="F509" t="str">
        <x:v>Activa</x:v>
      </x:c>
      <x:c r="G509" t="str">
        <x:v>Gratuita</x:v>
      </x:c>
      <x:c r="H509" t="n">
        <x:v>11</x:v>
      </x:c>
    </x:row>
    <x:row r="510">
      <x:c r="A510" t="str">
        <x:v>SUS-000509</x:v>
      </x:c>
      <x:c r="B510" t="str">
        <x:v>USR-00394</x:v>
      </x:c>
      <x:c r="C510" t="str">
        <x:v>Cero</x:v>
      </x:c>
      <x:c r="D510" t="n">
        <x:v>45962</x:v>
      </x:c>
      <x:c r="E510" t="n">
        <x:v>46266</x:v>
      </x:c>
      <x:c r="F510" t="str">
        <x:v>Activa</x:v>
      </x:c>
      <x:c r="G510" t="str">
        <x:v>Gratuita</x:v>
      </x:c>
      <x:c r="H510" t="n">
        <x:v>11</x:v>
      </x:c>
    </x:row>
    <x:row r="511">
      <x:c r="A511" t="str">
        <x:v>SUS-000510</x:v>
      </x:c>
      <x:c r="B511" t="str">
        <x:v>USR-00395</x:v>
      </x:c>
      <x:c r="C511" t="str">
        <x:v>Cero</x:v>
      </x:c>
      <x:c r="D511" t="n">
        <x:v>45962</x:v>
      </x:c>
      <x:c r="E511" t="n">
        <x:v>45992</x:v>
      </x:c>
      <x:c r="F511" t="str">
        <x:v>Finalizada</x:v>
      </x:c>
      <x:c r="G511" t="str">
        <x:v>Gratuita</x:v>
      </x:c>
      <x:c r="H511" t="n">
        <x:v>2</x:v>
      </x:c>
    </x:row>
    <x:row r="512">
      <x:c r="A512" t="str">
        <x:v>SUS-000511</x:v>
      </x:c>
      <x:c r="B512" t="str">
        <x:v>USR-00396</x:v>
      </x:c>
      <x:c r="C512" t="str">
        <x:v>Plus mensual</x:v>
      </x:c>
      <x:c r="D512" t="n">
        <x:v>45962</x:v>
      </x:c>
      <x:c r="E512" t="n">
        <x:v>46266</x:v>
      </x:c>
      <x:c r="F512" t="str">
        <x:v>Activa</x:v>
      </x:c>
      <x:c r="G512" t="str">
        <x:v>Mensual</x:v>
      </x:c>
      <x:c r="H512" t="n">
        <x:v>11</x:v>
      </x:c>
    </x:row>
    <x:row r="513">
      <x:c r="A513" t="str">
        <x:v>SUS-000512</x:v>
      </x:c>
      <x:c r="B513" t="str">
        <x:v>USR-00397</x:v>
      </x:c>
      <x:c r="C513" t="str">
        <x:v>Cero</x:v>
      </x:c>
      <x:c r="D513" t="n">
        <x:v>45962</x:v>
      </x:c>
      <x:c r="E513" t="n">
        <x:v>46054</x:v>
      </x:c>
      <x:c r="F513" t="str">
        <x:v>Finalizada</x:v>
      </x:c>
      <x:c r="G513" t="str">
        <x:v>Gratuita</x:v>
      </x:c>
      <x:c r="H513" t="n">
        <x:v>4</x:v>
      </x:c>
    </x:row>
    <x:row r="514">
      <x:c r="A514" t="str">
        <x:v>SUS-000513</x:v>
      </x:c>
      <x:c r="B514" t="str">
        <x:v>USR-00398</x:v>
      </x:c>
      <x:c r="C514" t="str">
        <x:v>Cero</x:v>
      </x:c>
      <x:c r="D514" t="n">
        <x:v>45962</x:v>
      </x:c>
      <x:c r="E514" t="n">
        <x:v>46023</x:v>
      </x:c>
      <x:c r="F514" t="str">
        <x:v>Finalizada</x:v>
      </x:c>
      <x:c r="G514" t="str">
        <x:v>Gratuita</x:v>
      </x:c>
      <x:c r="H514" t="n">
        <x:v>3</x:v>
      </x:c>
    </x:row>
    <x:row r="515">
      <x:c r="A515" t="str">
        <x:v>SUS-000514</x:v>
      </x:c>
      <x:c r="B515" t="str">
        <x:v>USR-00399</x:v>
      </x:c>
      <x:c r="C515" t="str">
        <x:v>Cero</x:v>
      </x:c>
      <x:c r="D515" t="n">
        <x:v>45962</x:v>
      </x:c>
      <x:c r="E515" t="n">
        <x:v>46266</x:v>
      </x:c>
      <x:c r="F515" t="str">
        <x:v>Activa</x:v>
      </x:c>
      <x:c r="G515" t="str">
        <x:v>Gratuita</x:v>
      </x:c>
      <x:c r="H515" t="n">
        <x:v>11</x:v>
      </x:c>
    </x:row>
    <x:row r="516">
      <x:c r="A516" t="str">
        <x:v>SUS-000515</x:v>
      </x:c>
      <x:c r="B516" t="str">
        <x:v>USR-00400</x:v>
      </x:c>
      <x:c r="C516" t="str">
        <x:v>Cero</x:v>
      </x:c>
      <x:c r="D516" t="n">
        <x:v>45962</x:v>
      </x:c>
      <x:c r="E516" t="n">
        <x:v>46113</x:v>
      </x:c>
      <x:c r="F516" t="str">
        <x:v>Finalizada</x:v>
      </x:c>
      <x:c r="G516" t="str">
        <x:v>Gratuita</x:v>
      </x:c>
      <x:c r="H516" t="n">
        <x:v>6</x:v>
      </x:c>
    </x:row>
    <x:row r="517">
      <x:c r="A517" t="str">
        <x:v>SUS-000516</x:v>
      </x:c>
      <x:c r="B517" t="str">
        <x:v>USR-00401</x:v>
      </x:c>
      <x:c r="C517" t="str">
        <x:v>Cero</x:v>
      </x:c>
      <x:c r="D517" t="n">
        <x:v>45962</x:v>
      </x:c>
      <x:c r="E517" t="n">
        <x:v>46266</x:v>
      </x:c>
      <x:c r="F517" t="str">
        <x:v>Activa</x:v>
      </x:c>
      <x:c r="G517" t="str">
        <x:v>Gratuita</x:v>
      </x:c>
      <x:c r="H517" t="n">
        <x:v>11</x:v>
      </x:c>
    </x:row>
    <x:row r="518">
      <x:c r="A518" t="str">
        <x:v>SUS-000517</x:v>
      </x:c>
      <x:c r="B518" t="str">
        <x:v>USR-00402</x:v>
      </x:c>
      <x:c r="C518" t="str">
        <x:v>Cero</x:v>
      </x:c>
      <x:c r="D518" t="n">
        <x:v>45962</x:v>
      </x:c>
      <x:c r="E518" t="n">
        <x:v>46266</x:v>
      </x:c>
      <x:c r="F518" t="str">
        <x:v>Activa</x:v>
      </x:c>
      <x:c r="G518" t="str">
        <x:v>Gratuita</x:v>
      </x:c>
      <x:c r="H518" t="n">
        <x:v>11</x:v>
      </x:c>
    </x:row>
    <x:row r="519">
      <x:c r="A519" t="str">
        <x:v>SUS-000518</x:v>
      </x:c>
      <x:c r="B519" t="str">
        <x:v>USR-00403</x:v>
      </x:c>
      <x:c r="C519" t="str">
        <x:v>Cero</x:v>
      </x:c>
      <x:c r="D519" t="n">
        <x:v>45962</x:v>
      </x:c>
      <x:c r="E519" t="n">
        <x:v>46082</x:v>
      </x:c>
      <x:c r="F519" t="str">
        <x:v>Finalizada</x:v>
      </x:c>
      <x:c r="G519" t="str">
        <x:v>Gratuita</x:v>
      </x:c>
      <x:c r="H519" t="n">
        <x:v>5</x:v>
      </x:c>
    </x:row>
    <x:row r="520">
      <x:c r="A520" t="str">
        <x:v>SUS-000519</x:v>
      </x:c>
      <x:c r="B520" t="str">
        <x:v>USR-00404</x:v>
      </x:c>
      <x:c r="C520" t="str">
        <x:v>Cero</x:v>
      </x:c>
      <x:c r="D520" t="n">
        <x:v>45962</x:v>
      </x:c>
      <x:c r="E520" t="n">
        <x:v>46054</x:v>
      </x:c>
      <x:c r="F520" t="str">
        <x:v>Finalizada</x:v>
      </x:c>
      <x:c r="G520" t="str">
        <x:v>Gratuita</x:v>
      </x:c>
      <x:c r="H520" t="n">
        <x:v>4</x:v>
      </x:c>
    </x:row>
    <x:row r="521">
      <x:c r="A521" t="str">
        <x:v>SUS-000520</x:v>
      </x:c>
      <x:c r="B521" t="str">
        <x:v>USR-00405</x:v>
      </x:c>
      <x:c r="C521" t="str">
        <x:v>Plus anual</x:v>
      </x:c>
      <x:c r="D521" t="n">
        <x:v>45962</x:v>
      </x:c>
      <x:c r="E521" t="n">
        <x:v>46266</x:v>
      </x:c>
      <x:c r="F521" t="str">
        <x:v>Activa</x:v>
      </x:c>
      <x:c r="G521" t="str">
        <x:v>Anual</x:v>
      </x:c>
      <x:c r="H521" t="n">
        <x:v>11</x:v>
      </x:c>
    </x:row>
    <x:row r="522">
      <x:c r="A522" t="str">
        <x:v>SUS-000521</x:v>
      </x:c>
      <x:c r="B522" t="str">
        <x:v>USR-00406</x:v>
      </x:c>
      <x:c r="C522" t="str">
        <x:v>Cero</x:v>
      </x:c>
      <x:c r="D522" t="n">
        <x:v>45962</x:v>
      </x:c>
      <x:c r="E522" t="n">
        <x:v>45962</x:v>
      </x:c>
      <x:c r="F522" t="str">
        <x:v>Finalizada</x:v>
      </x:c>
      <x:c r="G522" t="str">
        <x:v>Gratuita</x:v>
      </x:c>
      <x:c r="H522" t="n">
        <x:v>1</x:v>
      </x:c>
    </x:row>
    <x:row r="523">
      <x:c r="A523" t="str">
        <x:v>SUS-000522</x:v>
      </x:c>
      <x:c r="B523" t="str">
        <x:v>USR-00010</x:v>
      </x:c>
      <x:c r="C523" t="str">
        <x:v>Cero</x:v>
      </x:c>
      <x:c r="D523" t="n">
        <x:v>45992</x:v>
      </x:c>
      <x:c r="E523" t="n">
        <x:v>46266</x:v>
      </x:c>
      <x:c r="F523" t="str">
        <x:v>Activa</x:v>
      </x:c>
      <x:c r="G523" t="str">
        <x:v>Gratuita</x:v>
      </x:c>
      <x:c r="H523" t="n">
        <x:v>10</x:v>
      </x:c>
    </x:row>
    <x:row r="524">
      <x:c r="A524" t="str">
        <x:v>SUS-000523</x:v>
      </x:c>
      <x:c r="B524" t="str">
        <x:v>USR-00047</x:v>
      </x:c>
      <x:c r="C524" t="str">
        <x:v>Plus anual</x:v>
      </x:c>
      <x:c r="D524" t="n">
        <x:v>45992</x:v>
      </x:c>
      <x:c r="E524" t="n">
        <x:v>46266</x:v>
      </x:c>
      <x:c r="F524" t="str">
        <x:v>Activa</x:v>
      </x:c>
      <x:c r="G524" t="str">
        <x:v>Anual</x:v>
      </x:c>
      <x:c r="H524" t="n">
        <x:v>10</x:v>
      </x:c>
    </x:row>
    <x:row r="525">
      <x:c r="A525" t="str">
        <x:v>SUS-000524</x:v>
      </x:c>
      <x:c r="B525" t="str">
        <x:v>USR-00050</x:v>
      </x:c>
      <x:c r="C525" t="str">
        <x:v>Plus anual</x:v>
      </x:c>
      <x:c r="D525" t="n">
        <x:v>45992</x:v>
      </x:c>
      <x:c r="E525" t="n">
        <x:v>46266</x:v>
      </x:c>
      <x:c r="F525" t="str">
        <x:v>Activa</x:v>
      </x:c>
      <x:c r="G525" t="str">
        <x:v>Anual</x:v>
      </x:c>
      <x:c r="H525" t="n">
        <x:v>10</x:v>
      </x:c>
    </x:row>
    <x:row r="526">
      <x:c r="A526" t="str">
        <x:v>SUS-000525</x:v>
      </x:c>
      <x:c r="B526" t="str">
        <x:v>USR-00053</x:v>
      </x:c>
      <x:c r="C526" t="str">
        <x:v>Cero</x:v>
      </x:c>
      <x:c r="D526" t="n">
        <x:v>45992</x:v>
      </x:c>
      <x:c r="E526" t="n">
        <x:v>46266</x:v>
      </x:c>
      <x:c r="F526" t="str">
        <x:v>Activa</x:v>
      </x:c>
      <x:c r="G526" t="str">
        <x:v>Gratuita</x:v>
      </x:c>
      <x:c r="H526" t="n">
        <x:v>10</x:v>
      </x:c>
    </x:row>
    <x:row r="527">
      <x:c r="A527" t="str">
        <x:v>SUS-000526</x:v>
      </x:c>
      <x:c r="B527" t="str">
        <x:v>USR-00061</x:v>
      </x:c>
      <x:c r="C527" t="str">
        <x:v>Cero</x:v>
      </x:c>
      <x:c r="D527" t="n">
        <x:v>45992</x:v>
      </x:c>
      <x:c r="E527" t="n">
        <x:v>46266</x:v>
      </x:c>
      <x:c r="F527" t="str">
        <x:v>Activa</x:v>
      </x:c>
      <x:c r="G527" t="str">
        <x:v>Gratuita</x:v>
      </x:c>
      <x:c r="H527" t="n">
        <x:v>10</x:v>
      </x:c>
    </x:row>
    <x:row r="528">
      <x:c r="A528" t="str">
        <x:v>SUS-000527</x:v>
      </x:c>
      <x:c r="B528" t="str">
        <x:v>USR-00070</x:v>
      </x:c>
      <x:c r="C528" t="str">
        <x:v>Plus mensual</x:v>
      </x:c>
      <x:c r="D528" t="n">
        <x:v>45992</x:v>
      </x:c>
      <x:c r="E528" t="n">
        <x:v>46113</x:v>
      </x:c>
      <x:c r="F528" t="str">
        <x:v>Finalizada</x:v>
      </x:c>
      <x:c r="G528" t="str">
        <x:v>Mensual</x:v>
      </x:c>
      <x:c r="H528" t="n">
        <x:v>5</x:v>
      </x:c>
    </x:row>
    <x:row r="529">
      <x:c r="A529" t="str">
        <x:v>SUS-000528</x:v>
      </x:c>
      <x:c r="B529" t="str">
        <x:v>USR-00082</x:v>
      </x:c>
      <x:c r="C529" t="str">
        <x:v>Plus mensual</x:v>
      </x:c>
      <x:c r="D529" t="n">
        <x:v>45992</x:v>
      </x:c>
      <x:c r="E529" t="n">
        <x:v>46054</x:v>
      </x:c>
      <x:c r="F529" t="str">
        <x:v>Finalizada</x:v>
      </x:c>
      <x:c r="G529" t="str">
        <x:v>Mensual</x:v>
      </x:c>
      <x:c r="H529" t="n">
        <x:v>3</x:v>
      </x:c>
    </x:row>
    <x:row r="530">
      <x:c r="A530" t="str">
        <x:v>SUS-000529</x:v>
      </x:c>
      <x:c r="B530" t="str">
        <x:v>USR-00097</x:v>
      </x:c>
      <x:c r="C530" t="str">
        <x:v>Plus mensual</x:v>
      </x:c>
      <x:c r="D530" t="n">
        <x:v>45992</x:v>
      </x:c>
      <x:c r="E530" t="n">
        <x:v>46082</x:v>
      </x:c>
      <x:c r="F530" t="str">
        <x:v>Finalizada</x:v>
      </x:c>
      <x:c r="G530" t="str">
        <x:v>Mensual</x:v>
      </x:c>
      <x:c r="H530" t="n">
        <x:v>4</x:v>
      </x:c>
    </x:row>
    <x:row r="531">
      <x:c r="A531" t="str">
        <x:v>SUS-000530</x:v>
      </x:c>
      <x:c r="B531" t="str">
        <x:v>USR-00117</x:v>
      </x:c>
      <x:c r="C531" t="str">
        <x:v>Plus anual</x:v>
      </x:c>
      <x:c r="D531" t="n">
        <x:v>45992</x:v>
      </x:c>
      <x:c r="E531" t="n">
        <x:v>46266</x:v>
      </x:c>
      <x:c r="F531" t="str">
        <x:v>Activa</x:v>
      </x:c>
      <x:c r="G531" t="str">
        <x:v>Anual</x:v>
      </x:c>
      <x:c r="H531" t="n">
        <x:v>10</x:v>
      </x:c>
    </x:row>
    <x:row r="532">
      <x:c r="A532" t="str">
        <x:v>SUS-000531</x:v>
      </x:c>
      <x:c r="B532" t="str">
        <x:v>USR-00119</x:v>
      </x:c>
      <x:c r="C532" t="str">
        <x:v>Cero</x:v>
      </x:c>
      <x:c r="D532" t="n">
        <x:v>45992</x:v>
      </x:c>
      <x:c r="E532" t="n">
        <x:v>46023</x:v>
      </x:c>
      <x:c r="F532" t="str">
        <x:v>Finalizada</x:v>
      </x:c>
      <x:c r="G532" t="str">
        <x:v>Gratuita</x:v>
      </x:c>
      <x:c r="H532" t="n">
        <x:v>2</x:v>
      </x:c>
    </x:row>
    <x:row r="533">
      <x:c r="A533" t="str">
        <x:v>SUS-000532</x:v>
      </x:c>
      <x:c r="B533" t="str">
        <x:v>USR-00143</x:v>
      </x:c>
      <x:c r="C533" t="str">
        <x:v>Cero</x:v>
      </x:c>
      <x:c r="D533" t="n">
        <x:v>45992</x:v>
      </x:c>
      <x:c r="E533" t="n">
        <x:v>46204</x:v>
      </x:c>
      <x:c r="F533" t="str">
        <x:v>Finalizada</x:v>
      </x:c>
      <x:c r="G533" t="str">
        <x:v>Gratuita</x:v>
      </x:c>
      <x:c r="H533" t="n">
        <x:v>8</x:v>
      </x:c>
    </x:row>
    <x:row r="534">
      <x:c r="A534" t="str">
        <x:v>SUS-000533</x:v>
      </x:c>
      <x:c r="B534" t="str">
        <x:v>USR-00156</x:v>
      </x:c>
      <x:c r="C534" t="str">
        <x:v>Cero</x:v>
      </x:c>
      <x:c r="D534" t="n">
        <x:v>45992</x:v>
      </x:c>
      <x:c r="E534" t="n">
        <x:v>46113</x:v>
      </x:c>
      <x:c r="F534" t="str">
        <x:v>Finalizada</x:v>
      </x:c>
      <x:c r="G534" t="str">
        <x:v>Gratuita</x:v>
      </x:c>
      <x:c r="H534" t="n">
        <x:v>5</x:v>
      </x:c>
    </x:row>
    <x:row r="535">
      <x:c r="A535" t="str">
        <x:v>SUS-000534</x:v>
      </x:c>
      <x:c r="B535" t="str">
        <x:v>USR-00164</x:v>
      </x:c>
      <x:c r="C535" t="str">
        <x:v>Plus mensual</x:v>
      </x:c>
      <x:c r="D535" t="n">
        <x:v>45992</x:v>
      </x:c>
      <x:c r="E535" t="n">
        <x:v>46266</x:v>
      </x:c>
      <x:c r="F535" t="str">
        <x:v>Activa</x:v>
      </x:c>
      <x:c r="G535" t="str">
        <x:v>Mensual</x:v>
      </x:c>
      <x:c r="H535" t="n">
        <x:v>10</x:v>
      </x:c>
    </x:row>
    <x:row r="536">
      <x:c r="A536" t="str">
        <x:v>SUS-000535</x:v>
      </x:c>
      <x:c r="B536" t="str">
        <x:v>USR-00171</x:v>
      </x:c>
      <x:c r="C536" t="str">
        <x:v>Plus mensual</x:v>
      </x:c>
      <x:c r="D536" t="n">
        <x:v>45992</x:v>
      </x:c>
      <x:c r="E536" t="n">
        <x:v>45992</x:v>
      </x:c>
      <x:c r="F536" t="str">
        <x:v>Finalizada</x:v>
      </x:c>
      <x:c r="G536" t="str">
        <x:v>Mensual</x:v>
      </x:c>
      <x:c r="H536" t="n">
        <x:v>1</x:v>
      </x:c>
    </x:row>
    <x:row r="537">
      <x:c r="A537" t="str">
        <x:v>SUS-000536</x:v>
      </x:c>
      <x:c r="B537" t="str">
        <x:v>USR-00181</x:v>
      </x:c>
      <x:c r="C537" t="str">
        <x:v>Plus mensual</x:v>
      </x:c>
      <x:c r="D537" t="n">
        <x:v>45992</x:v>
      </x:c>
      <x:c r="E537" t="n">
        <x:v>46023</x:v>
      </x:c>
      <x:c r="F537" t="str">
        <x:v>Finalizada</x:v>
      </x:c>
      <x:c r="G537" t="str">
        <x:v>Mensual</x:v>
      </x:c>
      <x:c r="H537" t="n">
        <x:v>2</x:v>
      </x:c>
    </x:row>
    <x:row r="538">
      <x:c r="A538" t="str">
        <x:v>SUS-000537</x:v>
      </x:c>
      <x:c r="B538" t="str">
        <x:v>USR-00199</x:v>
      </x:c>
      <x:c r="C538" t="str">
        <x:v>Plus anual</x:v>
      </x:c>
      <x:c r="D538" t="n">
        <x:v>45992</x:v>
      </x:c>
      <x:c r="E538" t="n">
        <x:v>46266</x:v>
      </x:c>
      <x:c r="F538" t="str">
        <x:v>Activa</x:v>
      </x:c>
      <x:c r="G538" t="str">
        <x:v>Anual</x:v>
      </x:c>
      <x:c r="H538" t="n">
        <x:v>10</x:v>
      </x:c>
    </x:row>
    <x:row r="539">
      <x:c r="A539" t="str">
        <x:v>SUS-000538</x:v>
      </x:c>
      <x:c r="B539" t="str">
        <x:v>USR-00231</x:v>
      </x:c>
      <x:c r="C539" t="str">
        <x:v>Plus mensual</x:v>
      </x:c>
      <x:c r="D539" t="n">
        <x:v>45992</x:v>
      </x:c>
      <x:c r="E539" t="n">
        <x:v>46082</x:v>
      </x:c>
      <x:c r="F539" t="str">
        <x:v>Finalizada</x:v>
      </x:c>
      <x:c r="G539" t="str">
        <x:v>Mensual</x:v>
      </x:c>
      <x:c r="H539" t="n">
        <x:v>4</x:v>
      </x:c>
    </x:row>
    <x:row r="540">
      <x:c r="A540" t="str">
        <x:v>SUS-000539</x:v>
      </x:c>
      <x:c r="B540" t="str">
        <x:v>USR-00250</x:v>
      </x:c>
      <x:c r="C540" t="str">
        <x:v>Plus mensual</x:v>
      </x:c>
      <x:c r="D540" t="n">
        <x:v>45992</x:v>
      </x:c>
      <x:c r="E540" t="n">
        <x:v>46266</x:v>
      </x:c>
      <x:c r="F540" t="str">
        <x:v>Activa</x:v>
      </x:c>
      <x:c r="G540" t="str">
        <x:v>Mensual</x:v>
      </x:c>
      <x:c r="H540" t="n">
        <x:v>10</x:v>
      </x:c>
    </x:row>
    <x:row r="541">
      <x:c r="A541" t="str">
        <x:v>SUS-000540</x:v>
      </x:c>
      <x:c r="B541" t="str">
        <x:v>USR-00254</x:v>
      </x:c>
      <x:c r="C541" t="str">
        <x:v>Cero</x:v>
      </x:c>
      <x:c r="D541" t="n">
        <x:v>45992</x:v>
      </x:c>
      <x:c r="E541" t="n">
        <x:v>46082</x:v>
      </x:c>
      <x:c r="F541" t="str">
        <x:v>Finalizada</x:v>
      </x:c>
      <x:c r="G541" t="str">
        <x:v>Gratuita</x:v>
      </x:c>
      <x:c r="H541" t="n">
        <x:v>4</x:v>
      </x:c>
    </x:row>
    <x:row r="542">
      <x:c r="A542" t="str">
        <x:v>SUS-000541</x:v>
      </x:c>
      <x:c r="B542" t="str">
        <x:v>USR-00260</x:v>
      </x:c>
      <x:c r="C542" t="str">
        <x:v>Plus anual</x:v>
      </x:c>
      <x:c r="D542" t="n">
        <x:v>45992</x:v>
      </x:c>
      <x:c r="E542" t="n">
        <x:v>46266</x:v>
      </x:c>
      <x:c r="F542" t="str">
        <x:v>Activa</x:v>
      </x:c>
      <x:c r="G542" t="str">
        <x:v>Anual</x:v>
      </x:c>
      <x:c r="H542" t="n">
        <x:v>10</x:v>
      </x:c>
    </x:row>
    <x:row r="543">
      <x:c r="A543" t="str">
        <x:v>SUS-000542</x:v>
      </x:c>
      <x:c r="B543" t="str">
        <x:v>USR-00271</x:v>
      </x:c>
      <x:c r="C543" t="str">
        <x:v>Plus anual</x:v>
      </x:c>
      <x:c r="D543" t="n">
        <x:v>45992</x:v>
      </x:c>
      <x:c r="E543" t="n">
        <x:v>46266</x:v>
      </x:c>
      <x:c r="F543" t="str">
        <x:v>Activa</x:v>
      </x:c>
      <x:c r="G543" t="str">
        <x:v>Anual</x:v>
      </x:c>
      <x:c r="H543" t="n">
        <x:v>10</x:v>
      </x:c>
    </x:row>
    <x:row r="544">
      <x:c r="A544" t="str">
        <x:v>SUS-000543</x:v>
      </x:c>
      <x:c r="B544" t="str">
        <x:v>USR-00279</x:v>
      </x:c>
      <x:c r="C544" t="str">
        <x:v>Plus mensual</x:v>
      </x:c>
      <x:c r="D544" t="n">
        <x:v>45992</x:v>
      </x:c>
      <x:c r="E544" t="n">
        <x:v>46143</x:v>
      </x:c>
      <x:c r="F544" t="str">
        <x:v>Finalizada</x:v>
      </x:c>
      <x:c r="G544" t="str">
        <x:v>Mensual</x:v>
      </x:c>
      <x:c r="H544" t="n">
        <x:v>6</x:v>
      </x:c>
    </x:row>
    <x:row r="545">
      <x:c r="A545" t="str">
        <x:v>SUS-000544</x:v>
      </x:c>
      <x:c r="B545" t="str">
        <x:v>USR-00304</x:v>
      </x:c>
      <x:c r="C545" t="str">
        <x:v>Plus anual</x:v>
      </x:c>
      <x:c r="D545" t="n">
        <x:v>45992</x:v>
      </x:c>
      <x:c r="E545" t="n">
        <x:v>46266</x:v>
      </x:c>
      <x:c r="F545" t="str">
        <x:v>Activa</x:v>
      </x:c>
      <x:c r="G545" t="str">
        <x:v>Anual</x:v>
      </x:c>
      <x:c r="H545" t="n">
        <x:v>10</x:v>
      </x:c>
    </x:row>
    <x:row r="546">
      <x:c r="A546" t="str">
        <x:v>SUS-000545</x:v>
      </x:c>
      <x:c r="B546" t="str">
        <x:v>USR-00307</x:v>
      </x:c>
      <x:c r="C546" t="str">
        <x:v>Cero</x:v>
      </x:c>
      <x:c r="D546" t="n">
        <x:v>45992</x:v>
      </x:c>
      <x:c r="E546" t="n">
        <x:v>46266</x:v>
      </x:c>
      <x:c r="F546" t="str">
        <x:v>Activa</x:v>
      </x:c>
      <x:c r="G546" t="str">
        <x:v>Gratuita</x:v>
      </x:c>
      <x:c r="H546" t="n">
        <x:v>10</x:v>
      </x:c>
    </x:row>
    <x:row r="547">
      <x:c r="A547" t="str">
        <x:v>SUS-000546</x:v>
      </x:c>
      <x:c r="B547" t="str">
        <x:v>USR-00317</x:v>
      </x:c>
      <x:c r="C547" t="str">
        <x:v>Plus mensual</x:v>
      </x:c>
      <x:c r="D547" t="n">
        <x:v>45992</x:v>
      </x:c>
      <x:c r="E547" t="n">
        <x:v>46266</x:v>
      </x:c>
      <x:c r="F547" t="str">
        <x:v>Activa</x:v>
      </x:c>
      <x:c r="G547" t="str">
        <x:v>Mensual</x:v>
      </x:c>
      <x:c r="H547" t="n">
        <x:v>10</x:v>
      </x:c>
    </x:row>
    <x:row r="548">
      <x:c r="A548" t="str">
        <x:v>SUS-000547</x:v>
      </x:c>
      <x:c r="B548" t="str">
        <x:v>USR-00357</x:v>
      </x:c>
      <x:c r="C548" t="str">
        <x:v>Plus anual</x:v>
      </x:c>
      <x:c r="D548" t="n">
        <x:v>45992</x:v>
      </x:c>
      <x:c r="E548" t="n">
        <x:v>46266</x:v>
      </x:c>
      <x:c r="F548" t="str">
        <x:v>Activa</x:v>
      </x:c>
      <x:c r="G548" t="str">
        <x:v>Anual</x:v>
      </x:c>
      <x:c r="H548" t="n">
        <x:v>10</x:v>
      </x:c>
    </x:row>
    <x:row r="549">
      <x:c r="A549" t="str">
        <x:v>SUS-000548</x:v>
      </x:c>
      <x:c r="B549" t="str">
        <x:v>USR-00406</x:v>
      </x:c>
      <x:c r="C549" t="str">
        <x:v>Plus mensual</x:v>
      </x:c>
      <x:c r="D549" t="n">
        <x:v>45992</x:v>
      </x:c>
      <x:c r="E549" t="n">
        <x:v>46113</x:v>
      </x:c>
      <x:c r="F549" t="str">
        <x:v>Finalizada</x:v>
      </x:c>
      <x:c r="G549" t="str">
        <x:v>Mensual</x:v>
      </x:c>
      <x:c r="H549" t="n">
        <x:v>5</x:v>
      </x:c>
    </x:row>
    <x:row r="550">
      <x:c r="A550" t="str">
        <x:v>SUS-000549</x:v>
      </x:c>
      <x:c r="B550" t="str">
        <x:v>USR-00407</x:v>
      </x:c>
      <x:c r="C550" t="str">
        <x:v>Cero</x:v>
      </x:c>
      <x:c r="D550" t="n">
        <x:v>45992</x:v>
      </x:c>
      <x:c r="E550" t="n">
        <x:v>46266</x:v>
      </x:c>
      <x:c r="F550" t="str">
        <x:v>Activa</x:v>
      </x:c>
      <x:c r="G550" t="str">
        <x:v>Gratuita</x:v>
      </x:c>
      <x:c r="H550" t="n">
        <x:v>10</x:v>
      </x:c>
    </x:row>
    <x:row r="551">
      <x:c r="A551" t="str">
        <x:v>SUS-000550</x:v>
      </x:c>
      <x:c r="B551" t="str">
        <x:v>USR-00408</x:v>
      </x:c>
      <x:c r="C551" t="str">
        <x:v>Cero</x:v>
      </x:c>
      <x:c r="D551" t="n">
        <x:v>45992</x:v>
      </x:c>
      <x:c r="E551" t="n">
        <x:v>46266</x:v>
      </x:c>
      <x:c r="F551" t="str">
        <x:v>Activa</x:v>
      </x:c>
      <x:c r="G551" t="str">
        <x:v>Gratuita</x:v>
      </x:c>
      <x:c r="H551" t="n">
        <x:v>10</x:v>
      </x:c>
    </x:row>
    <x:row r="552">
      <x:c r="A552" t="str">
        <x:v>SUS-000551</x:v>
      </x:c>
      <x:c r="B552" t="str">
        <x:v>USR-00409</x:v>
      </x:c>
      <x:c r="C552" t="str">
        <x:v>Cero</x:v>
      </x:c>
      <x:c r="D552" t="n">
        <x:v>45992</x:v>
      </x:c>
      <x:c r="E552" t="n">
        <x:v>46082</x:v>
      </x:c>
      <x:c r="F552" t="str">
        <x:v>Finalizada</x:v>
      </x:c>
      <x:c r="G552" t="str">
        <x:v>Gratuita</x:v>
      </x:c>
      <x:c r="H552" t="n">
        <x:v>4</x:v>
      </x:c>
    </x:row>
    <x:row r="553">
      <x:c r="A553" t="str">
        <x:v>SUS-000552</x:v>
      </x:c>
      <x:c r="B553" t="str">
        <x:v>USR-00410</x:v>
      </x:c>
      <x:c r="C553" t="str">
        <x:v>Cero</x:v>
      </x:c>
      <x:c r="D553" t="n">
        <x:v>45992</x:v>
      </x:c>
      <x:c r="E553" t="n">
        <x:v>46266</x:v>
      </x:c>
      <x:c r="F553" t="str">
        <x:v>Activa</x:v>
      </x:c>
      <x:c r="G553" t="str">
        <x:v>Gratuita</x:v>
      </x:c>
      <x:c r="H553" t="n">
        <x:v>10</x:v>
      </x:c>
    </x:row>
    <x:row r="554">
      <x:c r="A554" t="str">
        <x:v>SUS-000553</x:v>
      </x:c>
      <x:c r="B554" t="str">
        <x:v>USR-00411</x:v>
      </x:c>
      <x:c r="C554" t="str">
        <x:v>Cero</x:v>
      </x:c>
      <x:c r="D554" t="n">
        <x:v>45992</x:v>
      </x:c>
      <x:c r="E554" t="n">
        <x:v>46266</x:v>
      </x:c>
      <x:c r="F554" t="str">
        <x:v>Activa</x:v>
      </x:c>
      <x:c r="G554" t="str">
        <x:v>Gratuita</x:v>
      </x:c>
      <x:c r="H554" t="n">
        <x:v>10</x:v>
      </x:c>
    </x:row>
    <x:row r="555">
      <x:c r="A555" t="str">
        <x:v>SUS-000554</x:v>
      </x:c>
      <x:c r="B555" t="str">
        <x:v>USR-00412</x:v>
      </x:c>
      <x:c r="C555" t="str">
        <x:v>Cero</x:v>
      </x:c>
      <x:c r="D555" t="n">
        <x:v>45992</x:v>
      </x:c>
      <x:c r="E555" t="n">
        <x:v>46266</x:v>
      </x:c>
      <x:c r="F555" t="str">
        <x:v>Activa</x:v>
      </x:c>
      <x:c r="G555" t="str">
        <x:v>Gratuita</x:v>
      </x:c>
      <x:c r="H555" t="n">
        <x:v>10</x:v>
      </x:c>
    </x:row>
    <x:row r="556">
      <x:c r="A556" t="str">
        <x:v>SUS-000555</x:v>
      </x:c>
      <x:c r="B556" t="str">
        <x:v>USR-00413</x:v>
      </x:c>
      <x:c r="C556" t="str">
        <x:v>Cero</x:v>
      </x:c>
      <x:c r="D556" t="n">
        <x:v>45992</x:v>
      </x:c>
      <x:c r="E556" t="n">
        <x:v>46054</x:v>
      </x:c>
      <x:c r="F556" t="str">
        <x:v>Finalizada</x:v>
      </x:c>
      <x:c r="G556" t="str">
        <x:v>Gratuita</x:v>
      </x:c>
      <x:c r="H556" t="n">
        <x:v>3</x:v>
      </x:c>
    </x:row>
    <x:row r="557">
      <x:c r="A557" t="str">
        <x:v>SUS-000556</x:v>
      </x:c>
      <x:c r="B557" t="str">
        <x:v>USR-00414</x:v>
      </x:c>
      <x:c r="C557" t="str">
        <x:v>Plus mensual</x:v>
      </x:c>
      <x:c r="D557" t="n">
        <x:v>45992</x:v>
      </x:c>
      <x:c r="E557" t="n">
        <x:v>46266</x:v>
      </x:c>
      <x:c r="F557" t="str">
        <x:v>Activa</x:v>
      </x:c>
      <x:c r="G557" t="str">
        <x:v>Mensual</x:v>
      </x:c>
      <x:c r="H557" t="n">
        <x:v>10</x:v>
      </x:c>
    </x:row>
    <x:row r="558">
      <x:c r="A558" t="str">
        <x:v>SUS-000557</x:v>
      </x:c>
      <x:c r="B558" t="str">
        <x:v>USR-00415</x:v>
      </x:c>
      <x:c r="C558" t="str">
        <x:v>Cero</x:v>
      </x:c>
      <x:c r="D558" t="n">
        <x:v>45992</x:v>
      </x:c>
      <x:c r="E558" t="n">
        <x:v>46266</x:v>
      </x:c>
      <x:c r="F558" t="str">
        <x:v>Activa</x:v>
      </x:c>
      <x:c r="G558" t="str">
        <x:v>Gratuita</x:v>
      </x:c>
      <x:c r="H558" t="n">
        <x:v>10</x:v>
      </x:c>
    </x:row>
    <x:row r="559">
      <x:c r="A559" t="str">
        <x:v>SUS-000558</x:v>
      </x:c>
      <x:c r="B559" t="str">
        <x:v>USR-00416</x:v>
      </x:c>
      <x:c r="C559" t="str">
        <x:v>Cero</x:v>
      </x:c>
      <x:c r="D559" t="n">
        <x:v>45992</x:v>
      </x:c>
      <x:c r="E559" t="n">
        <x:v>46054</x:v>
      </x:c>
      <x:c r="F559" t="str">
        <x:v>Finalizada</x:v>
      </x:c>
      <x:c r="G559" t="str">
        <x:v>Gratuita</x:v>
      </x:c>
      <x:c r="H559" t="n">
        <x:v>3</x:v>
      </x:c>
    </x:row>
    <x:row r="560">
      <x:c r="A560" t="str">
        <x:v>SUS-000559</x:v>
      </x:c>
      <x:c r="B560" t="str">
        <x:v>USR-00417</x:v>
      </x:c>
      <x:c r="C560" t="str">
        <x:v>Cero</x:v>
      </x:c>
      <x:c r="D560" t="n">
        <x:v>45992</x:v>
      </x:c>
      <x:c r="E560" t="n">
        <x:v>45992</x:v>
      </x:c>
      <x:c r="F560" t="str">
        <x:v>Finalizada</x:v>
      </x:c>
      <x:c r="G560" t="str">
        <x:v>Gratuita</x:v>
      </x:c>
      <x:c r="H560" t="n">
        <x:v>1</x:v>
      </x:c>
    </x:row>
    <x:row r="561">
      <x:c r="A561" t="str">
        <x:v>SUS-000560</x:v>
      </x:c>
      <x:c r="B561" t="str">
        <x:v>USR-00418</x:v>
      </x:c>
      <x:c r="C561" t="str">
        <x:v>Cero</x:v>
      </x:c>
      <x:c r="D561" t="n">
        <x:v>45992</x:v>
      </x:c>
      <x:c r="E561" t="n">
        <x:v>46266</x:v>
      </x:c>
      <x:c r="F561" t="str">
        <x:v>Activa</x:v>
      </x:c>
      <x:c r="G561" t="str">
        <x:v>Gratuita</x:v>
      </x:c>
      <x:c r="H561" t="n">
        <x:v>10</x:v>
      </x:c>
    </x:row>
    <x:row r="562">
      <x:c r="A562" t="str">
        <x:v>SUS-000561</x:v>
      </x:c>
      <x:c r="B562" t="str">
        <x:v>USR-00419</x:v>
      </x:c>
      <x:c r="C562" t="str">
        <x:v>Cero</x:v>
      </x:c>
      <x:c r="D562" t="n">
        <x:v>45992</x:v>
      </x:c>
      <x:c r="E562" t="n">
        <x:v>46082</x:v>
      </x:c>
      <x:c r="F562" t="str">
        <x:v>Finalizada</x:v>
      </x:c>
      <x:c r="G562" t="str">
        <x:v>Gratuita</x:v>
      </x:c>
      <x:c r="H562" t="n">
        <x:v>4</x:v>
      </x:c>
    </x:row>
    <x:row r="563">
      <x:c r="A563" t="str">
        <x:v>SUS-000562</x:v>
      </x:c>
      <x:c r="B563" t="str">
        <x:v>USR-00420</x:v>
      </x:c>
      <x:c r="C563" t="str">
        <x:v>Plus mensual</x:v>
      </x:c>
      <x:c r="D563" t="n">
        <x:v>45992</x:v>
      </x:c>
      <x:c r="E563" t="n">
        <x:v>46143</x:v>
      </x:c>
      <x:c r="F563" t="str">
        <x:v>Finalizada</x:v>
      </x:c>
      <x:c r="G563" t="str">
        <x:v>Mensual</x:v>
      </x:c>
      <x:c r="H563" t="n">
        <x:v>6</x:v>
      </x:c>
    </x:row>
    <x:row r="564">
      <x:c r="A564" t="str">
        <x:v>SUS-000563</x:v>
      </x:c>
      <x:c r="B564" t="str">
        <x:v>USR-00421</x:v>
      </x:c>
      <x:c r="C564" t="str">
        <x:v>Cero</x:v>
      </x:c>
      <x:c r="D564" t="n">
        <x:v>45992</x:v>
      </x:c>
      <x:c r="E564" t="n">
        <x:v>46054</x:v>
      </x:c>
      <x:c r="F564" t="str">
        <x:v>Finalizada</x:v>
      </x:c>
      <x:c r="G564" t="str">
        <x:v>Gratuita</x:v>
      </x:c>
      <x:c r="H564" t="n">
        <x:v>3</x:v>
      </x:c>
    </x:row>
    <x:row r="565">
      <x:c r="A565" t="str">
        <x:v>SUS-000564</x:v>
      </x:c>
      <x:c r="B565" t="str">
        <x:v>USR-00422</x:v>
      </x:c>
      <x:c r="C565" t="str">
        <x:v>Plus mensual</x:v>
      </x:c>
      <x:c r="D565" t="n">
        <x:v>45992</x:v>
      </x:c>
      <x:c r="E565" t="n">
        <x:v>46082</x:v>
      </x:c>
      <x:c r="F565" t="str">
        <x:v>Finalizada</x:v>
      </x:c>
      <x:c r="G565" t="str">
        <x:v>Mensual</x:v>
      </x:c>
      <x:c r="H565" t="n">
        <x:v>4</x:v>
      </x:c>
    </x:row>
    <x:row r="566">
      <x:c r="A566" t="str">
        <x:v>SUS-000565</x:v>
      </x:c>
      <x:c r="B566" t="str">
        <x:v>USR-00423</x:v>
      </x:c>
      <x:c r="C566" t="str">
        <x:v>Plus mensual</x:v>
      </x:c>
      <x:c r="D566" t="n">
        <x:v>45992</x:v>
      </x:c>
      <x:c r="E566" t="n">
        <x:v>46266</x:v>
      </x:c>
      <x:c r="F566" t="str">
        <x:v>Activa</x:v>
      </x:c>
      <x:c r="G566" t="str">
        <x:v>Mensual</x:v>
      </x:c>
      <x:c r="H566" t="n">
        <x:v>10</x:v>
      </x:c>
    </x:row>
    <x:row r="567">
      <x:c r="A567" t="str">
        <x:v>SUS-000566</x:v>
      </x:c>
      <x:c r="B567" t="str">
        <x:v>USR-00424</x:v>
      </x:c>
      <x:c r="C567" t="str">
        <x:v>Plus anual</x:v>
      </x:c>
      <x:c r="D567" t="n">
        <x:v>45992</x:v>
      </x:c>
      <x:c r="E567" t="n">
        <x:v>46266</x:v>
      </x:c>
      <x:c r="F567" t="str">
        <x:v>Activa</x:v>
      </x:c>
      <x:c r="G567" t="str">
        <x:v>Anual</x:v>
      </x:c>
      <x:c r="H567" t="n">
        <x:v>10</x:v>
      </x:c>
    </x:row>
    <x:row r="568">
      <x:c r="A568" t="str">
        <x:v>SUS-000567</x:v>
      </x:c>
      <x:c r="B568" t="str">
        <x:v>USR-00425</x:v>
      </x:c>
      <x:c r="C568" t="str">
        <x:v>Cero</x:v>
      </x:c>
      <x:c r="D568" t="n">
        <x:v>45992</x:v>
      </x:c>
      <x:c r="E568" t="n">
        <x:v>46266</x:v>
      </x:c>
      <x:c r="F568" t="str">
        <x:v>Activa</x:v>
      </x:c>
      <x:c r="G568" t="str">
        <x:v>Gratuita</x:v>
      </x:c>
      <x:c r="H568" t="n">
        <x:v>10</x:v>
      </x:c>
    </x:row>
    <x:row r="569">
      <x:c r="A569" t="str">
        <x:v>SUS-000568</x:v>
      </x:c>
      <x:c r="B569" t="str">
        <x:v>USR-00426</x:v>
      </x:c>
      <x:c r="C569" t="str">
        <x:v>Plus mensual</x:v>
      </x:c>
      <x:c r="D569" t="n">
        <x:v>45992</x:v>
      </x:c>
      <x:c r="E569" t="n">
        <x:v>46054</x:v>
      </x:c>
      <x:c r="F569" t="str">
        <x:v>Finalizada</x:v>
      </x:c>
      <x:c r="G569" t="str">
        <x:v>Mensual</x:v>
      </x:c>
      <x:c r="H569" t="n">
        <x:v>3</x:v>
      </x:c>
    </x:row>
    <x:row r="570">
      <x:c r="A570" t="str">
        <x:v>SUS-000569</x:v>
      </x:c>
      <x:c r="B570" t="str">
        <x:v>USR-00427</x:v>
      </x:c>
      <x:c r="C570" t="str">
        <x:v>Cero</x:v>
      </x:c>
      <x:c r="D570" t="n">
        <x:v>45992</x:v>
      </x:c>
      <x:c r="E570" t="n">
        <x:v>46266</x:v>
      </x:c>
      <x:c r="F570" t="str">
        <x:v>Activa</x:v>
      </x:c>
      <x:c r="G570" t="str">
        <x:v>Gratuita</x:v>
      </x:c>
      <x:c r="H570" t="n">
        <x:v>10</x:v>
      </x:c>
    </x:row>
    <x:row r="571">
      <x:c r="A571" t="str">
        <x:v>SUS-000570</x:v>
      </x:c>
      <x:c r="B571" t="str">
        <x:v>USR-00428</x:v>
      </x:c>
      <x:c r="C571" t="str">
        <x:v>Cero</x:v>
      </x:c>
      <x:c r="D571" t="n">
        <x:v>45992</x:v>
      </x:c>
      <x:c r="E571" t="n">
        <x:v>46266</x:v>
      </x:c>
      <x:c r="F571" t="str">
        <x:v>Activa</x:v>
      </x:c>
      <x:c r="G571" t="str">
        <x:v>Gratuita</x:v>
      </x:c>
      <x:c r="H571" t="n">
        <x:v>10</x:v>
      </x:c>
    </x:row>
    <x:row r="572">
      <x:c r="A572" t="str">
        <x:v>SUS-000571</x:v>
      </x:c>
      <x:c r="B572" t="str">
        <x:v>USR-00429</x:v>
      </x:c>
      <x:c r="C572" t="str">
        <x:v>Cero</x:v>
      </x:c>
      <x:c r="D572" t="n">
        <x:v>45992</x:v>
      </x:c>
      <x:c r="E572" t="n">
        <x:v>46082</x:v>
      </x:c>
      <x:c r="F572" t="str">
        <x:v>Finalizada</x:v>
      </x:c>
      <x:c r="G572" t="str">
        <x:v>Gratuita</x:v>
      </x:c>
      <x:c r="H572" t="n">
        <x:v>4</x:v>
      </x:c>
    </x:row>
    <x:row r="573">
      <x:c r="A573" t="str">
        <x:v>SUS-000572</x:v>
      </x:c>
      <x:c r="B573" t="str">
        <x:v>USR-00430</x:v>
      </x:c>
      <x:c r="C573" t="str">
        <x:v>Cero</x:v>
      </x:c>
      <x:c r="D573" t="n">
        <x:v>45992</x:v>
      </x:c>
      <x:c r="E573" t="n">
        <x:v>45992</x:v>
      </x:c>
      <x:c r="F573" t="str">
        <x:v>Finalizada</x:v>
      </x:c>
      <x:c r="G573" t="str">
        <x:v>Gratuita</x:v>
      </x:c>
      <x:c r="H573" t="n">
        <x:v>1</x:v>
      </x:c>
    </x:row>
    <x:row r="574">
      <x:c r="A574" t="str">
        <x:v>SUS-000573</x:v>
      </x:c>
      <x:c r="B574" t="str">
        <x:v>USR-00431</x:v>
      </x:c>
      <x:c r="C574" t="str">
        <x:v>Cero</x:v>
      </x:c>
      <x:c r="D574" t="n">
        <x:v>45992</x:v>
      </x:c>
      <x:c r="E574" t="n">
        <x:v>46266</x:v>
      </x:c>
      <x:c r="F574" t="str">
        <x:v>Activa</x:v>
      </x:c>
      <x:c r="G574" t="str">
        <x:v>Gratuita</x:v>
      </x:c>
      <x:c r="H574" t="n">
        <x:v>10</x:v>
      </x:c>
    </x:row>
    <x:row r="575">
      <x:c r="A575" t="str">
        <x:v>SUS-000574</x:v>
      </x:c>
      <x:c r="B575" t="str">
        <x:v>USR-00432</x:v>
      </x:c>
      <x:c r="C575" t="str">
        <x:v>Cero</x:v>
      </x:c>
      <x:c r="D575" t="n">
        <x:v>45992</x:v>
      </x:c>
      <x:c r="E575" t="n">
        <x:v>46266</x:v>
      </x:c>
      <x:c r="F575" t="str">
        <x:v>Activa</x:v>
      </x:c>
      <x:c r="G575" t="str">
        <x:v>Gratuita</x:v>
      </x:c>
      <x:c r="H575" t="n">
        <x:v>10</x:v>
      </x:c>
    </x:row>
    <x:row r="576">
      <x:c r="A576" t="str">
        <x:v>SUS-000575</x:v>
      </x:c>
      <x:c r="B576" t="str">
        <x:v>USR-00433</x:v>
      </x:c>
      <x:c r="C576" t="str">
        <x:v>Cero</x:v>
      </x:c>
      <x:c r="D576" t="n">
        <x:v>45992</x:v>
      </x:c>
      <x:c r="E576" t="n">
        <x:v>46266</x:v>
      </x:c>
      <x:c r="F576" t="str">
        <x:v>Activa</x:v>
      </x:c>
      <x:c r="G576" t="str">
        <x:v>Gratuita</x:v>
      </x:c>
      <x:c r="H576" t="n">
        <x:v>10</x:v>
      </x:c>
    </x:row>
    <x:row r="577">
      <x:c r="A577" t="str">
        <x:v>SUS-000576</x:v>
      </x:c>
      <x:c r="B577" t="str">
        <x:v>USR-00434</x:v>
      </x:c>
      <x:c r="C577" t="str">
        <x:v>Plus mensual</x:v>
      </x:c>
      <x:c r="D577" t="n">
        <x:v>45992</x:v>
      </x:c>
      <x:c r="E577" t="n">
        <x:v>46023</x:v>
      </x:c>
      <x:c r="F577" t="str">
        <x:v>Finalizada</x:v>
      </x:c>
      <x:c r="G577" t="str">
        <x:v>Mensual</x:v>
      </x:c>
      <x:c r="H577" t="n">
        <x:v>2</x:v>
      </x:c>
    </x:row>
    <x:row r="578">
      <x:c r="A578" t="str">
        <x:v>SUS-000577</x:v>
      </x:c>
      <x:c r="B578" t="str">
        <x:v>USR-00435</x:v>
      </x:c>
      <x:c r="C578" t="str">
        <x:v>Plus mensual</x:v>
      </x:c>
      <x:c r="D578" t="n">
        <x:v>45992</x:v>
      </x:c>
      <x:c r="E578" t="n">
        <x:v>46235</x:v>
      </x:c>
      <x:c r="F578" t="str">
        <x:v>Finalizada</x:v>
      </x:c>
      <x:c r="G578" t="str">
        <x:v>Mensual</x:v>
      </x:c>
      <x:c r="H578" t="n">
        <x:v>9</x:v>
      </x:c>
    </x:row>
    <x:row r="579">
      <x:c r="A579" t="str">
        <x:v>SUS-000578</x:v>
      </x:c>
      <x:c r="B579" t="str">
        <x:v>USR-00436</x:v>
      </x:c>
      <x:c r="C579" t="str">
        <x:v>Cero</x:v>
      </x:c>
      <x:c r="D579" t="n">
        <x:v>45992</x:v>
      </x:c>
      <x:c r="E579" t="n">
        <x:v>46266</x:v>
      </x:c>
      <x:c r="F579" t="str">
        <x:v>Activa</x:v>
      </x:c>
      <x:c r="G579" t="str">
        <x:v>Gratuita</x:v>
      </x:c>
      <x:c r="H579" t="n">
        <x:v>10</x:v>
      </x:c>
    </x:row>
    <x:row r="580">
      <x:c r="A580" t="str">
        <x:v>SUS-000579</x:v>
      </x:c>
      <x:c r="B580" t="str">
        <x:v>USR-00437</x:v>
      </x:c>
      <x:c r="C580" t="str">
        <x:v>Cero</x:v>
      </x:c>
      <x:c r="D580" t="n">
        <x:v>45992</x:v>
      </x:c>
      <x:c r="E580" t="n">
        <x:v>46235</x:v>
      </x:c>
      <x:c r="F580" t="str">
        <x:v>Finalizada</x:v>
      </x:c>
      <x:c r="G580" t="str">
        <x:v>Gratuita</x:v>
      </x:c>
      <x:c r="H580" t="n">
        <x:v>9</x:v>
      </x:c>
    </x:row>
    <x:row r="581">
      <x:c r="A581" t="str">
        <x:v>SUS-000580</x:v>
      </x:c>
      <x:c r="B581" t="str">
        <x:v>USR-00438</x:v>
      </x:c>
      <x:c r="C581" t="str">
        <x:v>Cero</x:v>
      </x:c>
      <x:c r="D581" t="n">
        <x:v>45992</x:v>
      </x:c>
      <x:c r="E581" t="n">
        <x:v>46143</x:v>
      </x:c>
      <x:c r="F581" t="str">
        <x:v>Finalizada</x:v>
      </x:c>
      <x:c r="G581" t="str">
        <x:v>Gratuita</x:v>
      </x:c>
      <x:c r="H581" t="n">
        <x:v>6</x:v>
      </x:c>
    </x:row>
    <x:row r="582">
      <x:c r="A582" t="str">
        <x:v>SUS-000581</x:v>
      </x:c>
      <x:c r="B582" t="str">
        <x:v>USR-00439</x:v>
      </x:c>
      <x:c r="C582" t="str">
        <x:v>Cero</x:v>
      </x:c>
      <x:c r="D582" t="n">
        <x:v>45992</x:v>
      </x:c>
      <x:c r="E582" t="n">
        <x:v>46266</x:v>
      </x:c>
      <x:c r="F582" t="str">
        <x:v>Activa</x:v>
      </x:c>
      <x:c r="G582" t="str">
        <x:v>Gratuita</x:v>
      </x:c>
      <x:c r="H582" t="n">
        <x:v>10</x:v>
      </x:c>
    </x:row>
    <x:row r="583">
      <x:c r="A583" t="str">
        <x:v>SUS-000582</x:v>
      </x:c>
      <x:c r="B583" t="str">
        <x:v>USR-00440</x:v>
      </x:c>
      <x:c r="C583" t="str">
        <x:v>Cero</x:v>
      </x:c>
      <x:c r="D583" t="n">
        <x:v>45992</x:v>
      </x:c>
      <x:c r="E583" t="n">
        <x:v>46113</x:v>
      </x:c>
      <x:c r="F583" t="str">
        <x:v>Finalizada</x:v>
      </x:c>
      <x:c r="G583" t="str">
        <x:v>Gratuita</x:v>
      </x:c>
      <x:c r="H583" t="n">
        <x:v>5</x:v>
      </x:c>
    </x:row>
    <x:row r="584">
      <x:c r="A584" t="str">
        <x:v>SUS-000583</x:v>
      </x:c>
      <x:c r="B584" t="str">
        <x:v>USR-00441</x:v>
      </x:c>
      <x:c r="C584" t="str">
        <x:v>Cero</x:v>
      </x:c>
      <x:c r="D584" t="n">
        <x:v>45992</x:v>
      </x:c>
      <x:c r="E584" t="n">
        <x:v>46266</x:v>
      </x:c>
      <x:c r="F584" t="str">
        <x:v>Activa</x:v>
      </x:c>
      <x:c r="G584" t="str">
        <x:v>Gratuita</x:v>
      </x:c>
      <x:c r="H584" t="n">
        <x:v>10</x:v>
      </x:c>
    </x:row>
    <x:row r="585">
      <x:c r="A585" t="str">
        <x:v>SUS-000584</x:v>
      </x:c>
      <x:c r="B585" t="str">
        <x:v>USR-00442</x:v>
      </x:c>
      <x:c r="C585" t="str">
        <x:v>Cero</x:v>
      </x:c>
      <x:c r="D585" t="n">
        <x:v>45992</x:v>
      </x:c>
      <x:c r="E585" t="n">
        <x:v>46266</x:v>
      </x:c>
      <x:c r="F585" t="str">
        <x:v>Activa</x:v>
      </x:c>
      <x:c r="G585" t="str">
        <x:v>Gratuita</x:v>
      </x:c>
      <x:c r="H585" t="n">
        <x:v>10</x:v>
      </x:c>
    </x:row>
    <x:row r="586">
      <x:c r="A586" t="str">
        <x:v>SUS-000585</x:v>
      </x:c>
      <x:c r="B586" t="str">
        <x:v>USR-00443</x:v>
      </x:c>
      <x:c r="C586" t="str">
        <x:v>Cero</x:v>
      </x:c>
      <x:c r="D586" t="n">
        <x:v>45992</x:v>
      </x:c>
      <x:c r="E586" t="n">
        <x:v>46266</x:v>
      </x:c>
      <x:c r="F586" t="str">
        <x:v>Activa</x:v>
      </x:c>
      <x:c r="G586" t="str">
        <x:v>Gratuita</x:v>
      </x:c>
      <x:c r="H586" t="n">
        <x:v>10</x:v>
      </x:c>
    </x:row>
    <x:row r="587">
      <x:c r="A587" t="str">
        <x:v>SUS-000586</x:v>
      </x:c>
      <x:c r="B587" t="str">
        <x:v>USR-00444</x:v>
      </x:c>
      <x:c r="C587" t="str">
        <x:v>Cero</x:v>
      </x:c>
      <x:c r="D587" t="n">
        <x:v>45992</x:v>
      </x:c>
      <x:c r="E587" t="n">
        <x:v>46204</x:v>
      </x:c>
      <x:c r="F587" t="str">
        <x:v>Finalizada</x:v>
      </x:c>
      <x:c r="G587" t="str">
        <x:v>Gratuita</x:v>
      </x:c>
      <x:c r="H587" t="n">
        <x:v>8</x:v>
      </x:c>
    </x:row>
    <x:row r="588">
      <x:c r="A588" t="str">
        <x:v>SUS-000587</x:v>
      </x:c>
      <x:c r="B588" t="str">
        <x:v>USR-00445</x:v>
      </x:c>
      <x:c r="C588" t="str">
        <x:v>Cero</x:v>
      </x:c>
      <x:c r="D588" t="n">
        <x:v>45992</x:v>
      </x:c>
      <x:c r="E588" t="n">
        <x:v>46266</x:v>
      </x:c>
      <x:c r="F588" t="str">
        <x:v>Activa</x:v>
      </x:c>
      <x:c r="G588" t="str">
        <x:v>Gratuita</x:v>
      </x:c>
      <x:c r="H588" t="n">
        <x:v>10</x:v>
      </x:c>
    </x:row>
    <x:row r="589">
      <x:c r="A589" t="str">
        <x:v>SUS-000588</x:v>
      </x:c>
      <x:c r="B589" t="str">
        <x:v>USR-00446</x:v>
      </x:c>
      <x:c r="C589" t="str">
        <x:v>Plus mensual</x:v>
      </x:c>
      <x:c r="D589" t="n">
        <x:v>45992</x:v>
      </x:c>
      <x:c r="E589" t="n">
        <x:v>46266</x:v>
      </x:c>
      <x:c r="F589" t="str">
        <x:v>Activa</x:v>
      </x:c>
      <x:c r="G589" t="str">
        <x:v>Mensual</x:v>
      </x:c>
      <x:c r="H589" t="n">
        <x:v>10</x:v>
      </x:c>
    </x:row>
    <x:row r="590">
      <x:c r="A590" t="str">
        <x:v>SUS-000589</x:v>
      </x:c>
      <x:c r="B590" t="str">
        <x:v>USR-00447</x:v>
      </x:c>
      <x:c r="C590" t="str">
        <x:v>Plus mensual</x:v>
      </x:c>
      <x:c r="D590" t="n">
        <x:v>45992</x:v>
      </x:c>
      <x:c r="E590" t="n">
        <x:v>46054</x:v>
      </x:c>
      <x:c r="F590" t="str">
        <x:v>Finalizada</x:v>
      </x:c>
      <x:c r="G590" t="str">
        <x:v>Mensual</x:v>
      </x:c>
      <x:c r="H590" t="n">
        <x:v>3</x:v>
      </x:c>
    </x:row>
    <x:row r="591">
      <x:c r="A591" t="str">
        <x:v>SUS-000590</x:v>
      </x:c>
      <x:c r="B591" t="str">
        <x:v>USR-00448</x:v>
      </x:c>
      <x:c r="C591" t="str">
        <x:v>Cero</x:v>
      </x:c>
      <x:c r="D591" t="n">
        <x:v>45992</x:v>
      </x:c>
      <x:c r="E591" t="n">
        <x:v>45992</x:v>
      </x:c>
      <x:c r="F591" t="str">
        <x:v>Finalizada</x:v>
      </x:c>
      <x:c r="G591" t="str">
        <x:v>Gratuita</x:v>
      </x:c>
      <x:c r="H591" t="n">
        <x:v>1</x:v>
      </x:c>
    </x:row>
    <x:row r="592">
      <x:c r="A592" t="str">
        <x:v>SUS-000591</x:v>
      </x:c>
      <x:c r="B592" t="str">
        <x:v>USR-00449</x:v>
      </x:c>
      <x:c r="C592" t="str">
        <x:v>Cero</x:v>
      </x:c>
      <x:c r="D592" t="n">
        <x:v>45992</x:v>
      </x:c>
      <x:c r="E592" t="n">
        <x:v>46204</x:v>
      </x:c>
      <x:c r="F592" t="str">
        <x:v>Finalizada</x:v>
      </x:c>
      <x:c r="G592" t="str">
        <x:v>Gratuita</x:v>
      </x:c>
      <x:c r="H592" t="n">
        <x:v>8</x:v>
      </x:c>
    </x:row>
    <x:row r="593">
      <x:c r="A593" t="str">
        <x:v>SUS-000592</x:v>
      </x:c>
      <x:c r="B593" t="str">
        <x:v>USR-00450</x:v>
      </x:c>
      <x:c r="C593" t="str">
        <x:v>Cero</x:v>
      </x:c>
      <x:c r="D593" t="n">
        <x:v>45992</x:v>
      </x:c>
      <x:c r="E593" t="n">
        <x:v>46054</x:v>
      </x:c>
      <x:c r="F593" t="str">
        <x:v>Finalizada</x:v>
      </x:c>
      <x:c r="G593" t="str">
        <x:v>Gratuita</x:v>
      </x:c>
      <x:c r="H593" t="n">
        <x:v>3</x:v>
      </x:c>
    </x:row>
    <x:row r="594">
      <x:c r="A594" t="str">
        <x:v>SUS-000593</x:v>
      </x:c>
      <x:c r="B594" t="str">
        <x:v>USR-00451</x:v>
      </x:c>
      <x:c r="C594" t="str">
        <x:v>Cero</x:v>
      </x:c>
      <x:c r="D594" t="n">
        <x:v>45992</x:v>
      </x:c>
      <x:c r="E594" t="n">
        <x:v>46266</x:v>
      </x:c>
      <x:c r="F594" t="str">
        <x:v>Activa</x:v>
      </x:c>
      <x:c r="G594" t="str">
        <x:v>Gratuita</x:v>
      </x:c>
      <x:c r="H594" t="n">
        <x:v>10</x:v>
      </x:c>
    </x:row>
    <x:row r="595">
      <x:c r="A595" t="str">
        <x:v>SUS-000594</x:v>
      </x:c>
      <x:c r="B595" t="str">
        <x:v>USR-00452</x:v>
      </x:c>
      <x:c r="C595" t="str">
        <x:v>Cero</x:v>
      </x:c>
      <x:c r="D595" t="n">
        <x:v>45992</x:v>
      </x:c>
      <x:c r="E595" t="n">
        <x:v>46054</x:v>
      </x:c>
      <x:c r="F595" t="str">
        <x:v>Finalizada</x:v>
      </x:c>
      <x:c r="G595" t="str">
        <x:v>Gratuita</x:v>
      </x:c>
      <x:c r="H595" t="n">
        <x:v>3</x:v>
      </x:c>
    </x:row>
    <x:row r="596">
      <x:c r="A596" t="str">
        <x:v>SUS-000595</x:v>
      </x:c>
      <x:c r="B596" t="str">
        <x:v>USR-00453</x:v>
      </x:c>
      <x:c r="C596" t="str">
        <x:v>Cero</x:v>
      </x:c>
      <x:c r="D596" t="n">
        <x:v>45992</x:v>
      </x:c>
      <x:c r="E596" t="n">
        <x:v>46266</x:v>
      </x:c>
      <x:c r="F596" t="str">
        <x:v>Activa</x:v>
      </x:c>
      <x:c r="G596" t="str">
        <x:v>Gratuita</x:v>
      </x:c>
      <x:c r="H596" t="n">
        <x:v>10</x:v>
      </x:c>
    </x:row>
    <x:row r="597">
      <x:c r="A597" t="str">
        <x:v>SUS-000596</x:v>
      </x:c>
      <x:c r="B597" t="str">
        <x:v>USR-00454</x:v>
      </x:c>
      <x:c r="C597" t="str">
        <x:v>Cero</x:v>
      </x:c>
      <x:c r="D597" t="n">
        <x:v>45992</x:v>
      </x:c>
      <x:c r="E597" t="n">
        <x:v>46266</x:v>
      </x:c>
      <x:c r="F597" t="str">
        <x:v>Activa</x:v>
      </x:c>
      <x:c r="G597" t="str">
        <x:v>Gratuita</x:v>
      </x:c>
      <x:c r="H597" t="n">
        <x:v>10</x:v>
      </x:c>
    </x:row>
    <x:row r="598">
      <x:c r="A598" t="str">
        <x:v>SUS-000597</x:v>
      </x:c>
      <x:c r="B598" t="str">
        <x:v>USR-00455</x:v>
      </x:c>
      <x:c r="C598" t="str">
        <x:v>Cero</x:v>
      </x:c>
      <x:c r="D598" t="n">
        <x:v>45992</x:v>
      </x:c>
      <x:c r="E598" t="n">
        <x:v>45992</x:v>
      </x:c>
      <x:c r="F598" t="str">
        <x:v>Finalizada</x:v>
      </x:c>
      <x:c r="G598" t="str">
        <x:v>Gratuita</x:v>
      </x:c>
      <x:c r="H598" t="n">
        <x:v>1</x:v>
      </x:c>
    </x:row>
    <x:row r="599">
      <x:c r="A599" t="str">
        <x:v>SUS-000598</x:v>
      </x:c>
      <x:c r="B599" t="str">
        <x:v>USR-00456</x:v>
      </x:c>
      <x:c r="C599" t="str">
        <x:v>Plus mensual</x:v>
      </x:c>
      <x:c r="D599" t="n">
        <x:v>45992</x:v>
      </x:c>
      <x:c r="E599" t="n">
        <x:v>46266</x:v>
      </x:c>
      <x:c r="F599" t="str">
        <x:v>Activa</x:v>
      </x:c>
      <x:c r="G599" t="str">
        <x:v>Mensual</x:v>
      </x:c>
      <x:c r="H599" t="n">
        <x:v>10</x:v>
      </x:c>
    </x:row>
    <x:row r="600">
      <x:c r="A600" t="str">
        <x:v>SUS-000599</x:v>
      </x:c>
      <x:c r="B600" t="str">
        <x:v>USR-00457</x:v>
      </x:c>
      <x:c r="C600" t="str">
        <x:v>Plus mensual</x:v>
      </x:c>
      <x:c r="D600" t="n">
        <x:v>45992</x:v>
      </x:c>
      <x:c r="E600" t="n">
        <x:v>46054</x:v>
      </x:c>
      <x:c r="F600" t="str">
        <x:v>Finalizada</x:v>
      </x:c>
      <x:c r="G600" t="str">
        <x:v>Mensual</x:v>
      </x:c>
      <x:c r="H600" t="n">
        <x:v>3</x:v>
      </x:c>
    </x:row>
    <x:row r="601">
      <x:c r="A601" t="str">
        <x:v>SUS-000600</x:v>
      </x:c>
      <x:c r="B601" t="str">
        <x:v>USR-00458</x:v>
      </x:c>
      <x:c r="C601" t="str">
        <x:v>Plus mensual</x:v>
      </x:c>
      <x:c r="D601" t="n">
        <x:v>45992</x:v>
      </x:c>
      <x:c r="E601" t="n">
        <x:v>46266</x:v>
      </x:c>
      <x:c r="F601" t="str">
        <x:v>Activa</x:v>
      </x:c>
      <x:c r="G601" t="str">
        <x:v>Mensual</x:v>
      </x:c>
      <x:c r="H601" t="n">
        <x:v>10</x:v>
      </x:c>
    </x:row>
    <x:row r="602">
      <x:c r="A602" t="str">
        <x:v>SUS-000601</x:v>
      </x:c>
      <x:c r="B602" t="str">
        <x:v>USR-00459</x:v>
      </x:c>
      <x:c r="C602" t="str">
        <x:v>Cero</x:v>
      </x:c>
      <x:c r="D602" t="n">
        <x:v>45992</x:v>
      </x:c>
      <x:c r="E602" t="n">
        <x:v>46204</x:v>
      </x:c>
      <x:c r="F602" t="str">
        <x:v>Finalizada</x:v>
      </x:c>
      <x:c r="G602" t="str">
        <x:v>Gratuita</x:v>
      </x:c>
      <x:c r="H602" t="n">
        <x:v>8</x:v>
      </x:c>
    </x:row>
    <x:row r="603">
      <x:c r="A603" t="str">
        <x:v>SUS-000602</x:v>
      </x:c>
      <x:c r="B603" t="str">
        <x:v>USR-00460</x:v>
      </x:c>
      <x:c r="C603" t="str">
        <x:v>Cero</x:v>
      </x:c>
      <x:c r="D603" t="n">
        <x:v>45992</x:v>
      </x:c>
      <x:c r="E603" t="n">
        <x:v>45992</x:v>
      </x:c>
      <x:c r="F603" t="str">
        <x:v>Finalizada</x:v>
      </x:c>
      <x:c r="G603" t="str">
        <x:v>Gratuita</x:v>
      </x:c>
      <x:c r="H603" t="n">
        <x:v>1</x:v>
      </x:c>
    </x:row>
    <x:row r="604">
      <x:c r="A604" t="str">
        <x:v>SUS-000603</x:v>
      </x:c>
      <x:c r="B604" t="str">
        <x:v>USR-00461</x:v>
      </x:c>
      <x:c r="C604" t="str">
        <x:v>Cero</x:v>
      </x:c>
      <x:c r="D604" t="n">
        <x:v>45992</x:v>
      </x:c>
      <x:c r="E604" t="n">
        <x:v>46204</x:v>
      </x:c>
      <x:c r="F604" t="str">
        <x:v>Finalizada</x:v>
      </x:c>
      <x:c r="G604" t="str">
        <x:v>Gratuita</x:v>
      </x:c>
      <x:c r="H604" t="n">
        <x:v>8</x:v>
      </x:c>
    </x:row>
    <x:row r="605">
      <x:c r="A605" t="str">
        <x:v>SUS-000604</x:v>
      </x:c>
      <x:c r="B605" t="str">
        <x:v>USR-00462</x:v>
      </x:c>
      <x:c r="C605" t="str">
        <x:v>Cero</x:v>
      </x:c>
      <x:c r="D605" t="n">
        <x:v>45992</x:v>
      </x:c>
      <x:c r="E605" t="n">
        <x:v>46266</x:v>
      </x:c>
      <x:c r="F605" t="str">
        <x:v>Activa</x:v>
      </x:c>
      <x:c r="G605" t="str">
        <x:v>Gratuita</x:v>
      </x:c>
      <x:c r="H605" t="n">
        <x:v>10</x:v>
      </x:c>
    </x:row>
    <x:row r="606">
      <x:c r="A606" t="str">
        <x:v>SUS-000605</x:v>
      </x:c>
      <x:c r="B606" t="str">
        <x:v>USR-00463</x:v>
      </x:c>
      <x:c r="C606" t="str">
        <x:v>Cero</x:v>
      </x:c>
      <x:c r="D606" t="n">
        <x:v>45992</x:v>
      </x:c>
      <x:c r="E606" t="n">
        <x:v>46266</x:v>
      </x:c>
      <x:c r="F606" t="str">
        <x:v>Activa</x:v>
      </x:c>
      <x:c r="G606" t="str">
        <x:v>Gratuita</x:v>
      </x:c>
      <x:c r="H606" t="n">
        <x:v>10</x:v>
      </x:c>
    </x:row>
    <x:row r="607">
      <x:c r="A607" t="str">
        <x:v>SUS-000606</x:v>
      </x:c>
      <x:c r="B607" t="str">
        <x:v>USR-00464</x:v>
      </x:c>
      <x:c r="C607" t="str">
        <x:v>Cero</x:v>
      </x:c>
      <x:c r="D607" t="n">
        <x:v>45992</x:v>
      </x:c>
      <x:c r="E607" t="n">
        <x:v>46266</x:v>
      </x:c>
      <x:c r="F607" t="str">
        <x:v>Activa</x:v>
      </x:c>
      <x:c r="G607" t="str">
        <x:v>Gratuita</x:v>
      </x:c>
      <x:c r="H607" t="n">
        <x:v>10</x:v>
      </x:c>
    </x:row>
    <x:row r="608">
      <x:c r="A608" t="str">
        <x:v>SUS-000607</x:v>
      </x:c>
      <x:c r="B608" t="str">
        <x:v>USR-00465</x:v>
      </x:c>
      <x:c r="C608" t="str">
        <x:v>Plus mensual</x:v>
      </x:c>
      <x:c r="D608" t="n">
        <x:v>45992</x:v>
      </x:c>
      <x:c r="E608" t="n">
        <x:v>46266</x:v>
      </x:c>
      <x:c r="F608" t="str">
        <x:v>Activa</x:v>
      </x:c>
      <x:c r="G608" t="str">
        <x:v>Mensual</x:v>
      </x:c>
      <x:c r="H608" t="n">
        <x:v>10</x:v>
      </x:c>
    </x:row>
    <x:row r="609">
      <x:c r="A609" t="str">
        <x:v>SUS-000608</x:v>
      </x:c>
      <x:c r="B609" t="str">
        <x:v>USR-00466</x:v>
      </x:c>
      <x:c r="C609" t="str">
        <x:v>Cero</x:v>
      </x:c>
      <x:c r="D609" t="n">
        <x:v>45992</x:v>
      </x:c>
      <x:c r="E609" t="n">
        <x:v>46266</x:v>
      </x:c>
      <x:c r="F609" t="str">
        <x:v>Activa</x:v>
      </x:c>
      <x:c r="G609" t="str">
        <x:v>Gratuita</x:v>
      </x:c>
      <x:c r="H609" t="n">
        <x:v>10</x:v>
      </x:c>
    </x:row>
    <x:row r="610">
      <x:c r="A610" t="str">
        <x:v>SUS-000609</x:v>
      </x:c>
      <x:c r="B610" t="str">
        <x:v>USR-00467</x:v>
      </x:c>
      <x:c r="C610" t="str">
        <x:v>Cero</x:v>
      </x:c>
      <x:c r="D610" t="n">
        <x:v>45992</x:v>
      </x:c>
      <x:c r="E610" t="n">
        <x:v>46023</x:v>
      </x:c>
      <x:c r="F610" t="str">
        <x:v>Finalizada</x:v>
      </x:c>
      <x:c r="G610" t="str">
        <x:v>Gratuita</x:v>
      </x:c>
      <x:c r="H610" t="n">
        <x:v>2</x:v>
      </x:c>
    </x:row>
    <x:row r="611">
      <x:c r="A611" t="str">
        <x:v>SUS-000610</x:v>
      </x:c>
      <x:c r="B611" t="str">
        <x:v>USR-00468</x:v>
      </x:c>
      <x:c r="C611" t="str">
        <x:v>Cero</x:v>
      </x:c>
      <x:c r="D611" t="n">
        <x:v>45992</x:v>
      </x:c>
      <x:c r="E611" t="n">
        <x:v>46113</x:v>
      </x:c>
      <x:c r="F611" t="str">
        <x:v>Finalizada</x:v>
      </x:c>
      <x:c r="G611" t="str">
        <x:v>Gratuita</x:v>
      </x:c>
      <x:c r="H611" t="n">
        <x:v>5</x:v>
      </x:c>
    </x:row>
    <x:row r="612">
      <x:c r="A612" t="str">
        <x:v>SUS-000611</x:v>
      </x:c>
      <x:c r="B612" t="str">
        <x:v>USR-00469</x:v>
      </x:c>
      <x:c r="C612" t="str">
        <x:v>Cero</x:v>
      </x:c>
      <x:c r="D612" t="n">
        <x:v>45992</x:v>
      </x:c>
      <x:c r="E612" t="n">
        <x:v>45992</x:v>
      </x:c>
      <x:c r="F612" t="str">
        <x:v>Finalizada</x:v>
      </x:c>
      <x:c r="G612" t="str">
        <x:v>Gratuita</x:v>
      </x:c>
      <x:c r="H612" t="n">
        <x:v>1</x:v>
      </x:c>
    </x:row>
    <x:row r="613">
      <x:c r="A613" t="str">
        <x:v>SUS-000612</x:v>
      </x:c>
      <x:c r="B613" t="str">
        <x:v>USR-00470</x:v>
      </x:c>
      <x:c r="C613" t="str">
        <x:v>Cero</x:v>
      </x:c>
      <x:c r="D613" t="n">
        <x:v>45992</x:v>
      </x:c>
      <x:c r="E613" t="n">
        <x:v>46266</x:v>
      </x:c>
      <x:c r="F613" t="str">
        <x:v>Activa</x:v>
      </x:c>
      <x:c r="G613" t="str">
        <x:v>Gratuita</x:v>
      </x:c>
      <x:c r="H613" t="n">
        <x:v>10</x:v>
      </x:c>
    </x:row>
    <x:row r="614">
      <x:c r="A614" t="str">
        <x:v>SUS-000613</x:v>
      </x:c>
      <x:c r="B614" t="str">
        <x:v>USR-00016</x:v>
      </x:c>
      <x:c r="C614" t="str">
        <x:v>Plus anual</x:v>
      </x:c>
      <x:c r="D614" t="n">
        <x:v>46023</x:v>
      </x:c>
      <x:c r="E614" t="n">
        <x:v>46266</x:v>
      </x:c>
      <x:c r="F614" t="str">
        <x:v>Activa</x:v>
      </x:c>
      <x:c r="G614" t="str">
        <x:v>Anual</x:v>
      </x:c>
      <x:c r="H614" t="n">
        <x:v>9</x:v>
      </x:c>
    </x:row>
    <x:row r="615">
      <x:c r="A615" t="str">
        <x:v>SUS-000614</x:v>
      </x:c>
      <x:c r="B615" t="str">
        <x:v>USR-00035</x:v>
      </x:c>
      <x:c r="C615" t="str">
        <x:v>Cero</x:v>
      </x:c>
      <x:c r="D615" t="n">
        <x:v>46023</x:v>
      </x:c>
      <x:c r="E615" t="n">
        <x:v>46082</x:v>
      </x:c>
      <x:c r="F615" t="str">
        <x:v>Finalizada</x:v>
      </x:c>
      <x:c r="G615" t="str">
        <x:v>Gratuita</x:v>
      </x:c>
      <x:c r="H615" t="n">
        <x:v>3</x:v>
      </x:c>
    </x:row>
    <x:row r="616">
      <x:c r="A616" t="str">
        <x:v>SUS-000615</x:v>
      </x:c>
      <x:c r="B616" t="str">
        <x:v>USR-00036</x:v>
      </x:c>
      <x:c r="C616" t="str">
        <x:v>Plus anual</x:v>
      </x:c>
      <x:c r="D616" t="n">
        <x:v>46023</x:v>
      </x:c>
      <x:c r="E616" t="n">
        <x:v>46266</x:v>
      </x:c>
      <x:c r="F616" t="str">
        <x:v>Activa</x:v>
      </x:c>
      <x:c r="G616" t="str">
        <x:v>Anual</x:v>
      </x:c>
      <x:c r="H616" t="n">
        <x:v>9</x:v>
      </x:c>
    </x:row>
    <x:row r="617">
      <x:c r="A617" t="str">
        <x:v>SUS-000616</x:v>
      </x:c>
      <x:c r="B617" t="str">
        <x:v>USR-00051</x:v>
      </x:c>
      <x:c r="C617" t="str">
        <x:v>Cero</x:v>
      </x:c>
      <x:c r="D617" t="n">
        <x:v>46023</x:v>
      </x:c>
      <x:c r="E617" t="n">
        <x:v>46266</x:v>
      </x:c>
      <x:c r="F617" t="str">
        <x:v>Activa</x:v>
      </x:c>
      <x:c r="G617" t="str">
        <x:v>Gratuita</x:v>
      </x:c>
      <x:c r="H617" t="n">
        <x:v>9</x:v>
      </x:c>
    </x:row>
    <x:row r="618">
      <x:c r="A618" t="str">
        <x:v>SUS-000617</x:v>
      </x:c>
      <x:c r="B618" t="str">
        <x:v>USR-00073</x:v>
      </x:c>
      <x:c r="C618" t="str">
        <x:v>Cero</x:v>
      </x:c>
      <x:c r="D618" t="n">
        <x:v>46023</x:v>
      </x:c>
      <x:c r="E618" t="n">
        <x:v>46143</x:v>
      </x:c>
      <x:c r="F618" t="str">
        <x:v>Finalizada</x:v>
      </x:c>
      <x:c r="G618" t="str">
        <x:v>Gratuita</x:v>
      </x:c>
      <x:c r="H618" t="n">
        <x:v>5</x:v>
      </x:c>
    </x:row>
    <x:row r="619">
      <x:c r="A619" t="str">
        <x:v>SUS-000618</x:v>
      </x:c>
      <x:c r="B619" t="str">
        <x:v>USR-00091</x:v>
      </x:c>
      <x:c r="C619" t="str">
        <x:v>Cero</x:v>
      </x:c>
      <x:c r="D619" t="n">
        <x:v>46023</x:v>
      </x:c>
      <x:c r="E619" t="n">
        <x:v>46023</x:v>
      </x:c>
      <x:c r="F619" t="str">
        <x:v>Finalizada</x:v>
      </x:c>
      <x:c r="G619" t="str">
        <x:v>Gratuita</x:v>
      </x:c>
      <x:c r="H619" t="n">
        <x:v>1</x:v>
      </x:c>
    </x:row>
    <x:row r="620">
      <x:c r="A620" t="str">
        <x:v>SUS-000619</x:v>
      </x:c>
      <x:c r="B620" t="str">
        <x:v>USR-00131</x:v>
      </x:c>
      <x:c r="C620" t="str">
        <x:v>Plus mensual</x:v>
      </x:c>
      <x:c r="D620" t="n">
        <x:v>46023</x:v>
      </x:c>
      <x:c r="E620" t="n">
        <x:v>46054</x:v>
      </x:c>
      <x:c r="F620" t="str">
        <x:v>Finalizada</x:v>
      </x:c>
      <x:c r="G620" t="str">
        <x:v>Mensual</x:v>
      </x:c>
      <x:c r="H620" t="n">
        <x:v>2</x:v>
      </x:c>
    </x:row>
    <x:row r="621">
      <x:c r="A621" t="str">
        <x:v>SUS-000620</x:v>
      </x:c>
      <x:c r="B621" t="str">
        <x:v>USR-00168</x:v>
      </x:c>
      <x:c r="C621" t="str">
        <x:v>Cero</x:v>
      </x:c>
      <x:c r="D621" t="n">
        <x:v>46023</x:v>
      </x:c>
      <x:c r="E621" t="n">
        <x:v>46266</x:v>
      </x:c>
      <x:c r="F621" t="str">
        <x:v>Activa</x:v>
      </x:c>
      <x:c r="G621" t="str">
        <x:v>Gratuita</x:v>
      </x:c>
      <x:c r="H621" t="n">
        <x:v>9</x:v>
      </x:c>
    </x:row>
    <x:row r="622">
      <x:c r="A622" t="str">
        <x:v>SUS-000621</x:v>
      </x:c>
      <x:c r="B622" t="str">
        <x:v>USR-00171</x:v>
      </x:c>
      <x:c r="C622" t="str">
        <x:v>Plus anual</x:v>
      </x:c>
      <x:c r="D622" t="n">
        <x:v>46023</x:v>
      </x:c>
      <x:c r="E622" t="n">
        <x:v>46266</x:v>
      </x:c>
      <x:c r="F622" t="str">
        <x:v>Activa</x:v>
      </x:c>
      <x:c r="G622" t="str">
        <x:v>Anual</x:v>
      </x:c>
      <x:c r="H622" t="n">
        <x:v>9</x:v>
      </x:c>
    </x:row>
    <x:row r="623">
      <x:c r="A623" t="str">
        <x:v>SUS-000622</x:v>
      </x:c>
      <x:c r="B623" t="str">
        <x:v>USR-00195</x:v>
      </x:c>
      <x:c r="C623" t="str">
        <x:v>Plus anual</x:v>
      </x:c>
      <x:c r="D623" t="n">
        <x:v>46023</x:v>
      </x:c>
      <x:c r="E623" t="n">
        <x:v>46266</x:v>
      </x:c>
      <x:c r="F623" t="str">
        <x:v>Activa</x:v>
      </x:c>
      <x:c r="G623" t="str">
        <x:v>Anual</x:v>
      </x:c>
      <x:c r="H623" t="n">
        <x:v>9</x:v>
      </x:c>
    </x:row>
    <x:row r="624">
      <x:c r="A624" t="str">
        <x:v>SUS-000623</x:v>
      </x:c>
      <x:c r="B624" t="str">
        <x:v>USR-00206</x:v>
      </x:c>
      <x:c r="C624" t="str">
        <x:v>Plus mensual</x:v>
      </x:c>
      <x:c r="D624" t="n">
        <x:v>46023</x:v>
      </x:c>
      <x:c r="E624" t="n">
        <x:v>46266</x:v>
      </x:c>
      <x:c r="F624" t="str">
        <x:v>Activa</x:v>
      </x:c>
      <x:c r="G624" t="str">
        <x:v>Mensual</x:v>
      </x:c>
      <x:c r="H624" t="n">
        <x:v>9</x:v>
      </x:c>
    </x:row>
    <x:row r="625">
      <x:c r="A625" t="str">
        <x:v>SUS-000624</x:v>
      </x:c>
      <x:c r="B625" t="str">
        <x:v>USR-00207</x:v>
      </x:c>
      <x:c r="C625" t="str">
        <x:v>Plus mensual</x:v>
      </x:c>
      <x:c r="D625" t="n">
        <x:v>46023</x:v>
      </x:c>
      <x:c r="E625" t="n">
        <x:v>46143</x:v>
      </x:c>
      <x:c r="F625" t="str">
        <x:v>Finalizada</x:v>
      </x:c>
      <x:c r="G625" t="str">
        <x:v>Mensual</x:v>
      </x:c>
      <x:c r="H625" t="n">
        <x:v>5</x:v>
      </x:c>
    </x:row>
    <x:row r="626">
      <x:c r="A626" t="str">
        <x:v>SUS-000625</x:v>
      </x:c>
      <x:c r="B626" t="str">
        <x:v>USR-00226</x:v>
      </x:c>
      <x:c r="C626" t="str">
        <x:v>Plus mensual</x:v>
      </x:c>
      <x:c r="D626" t="n">
        <x:v>46023</x:v>
      </x:c>
      <x:c r="E626" t="n">
        <x:v>46054</x:v>
      </x:c>
      <x:c r="F626" t="str">
        <x:v>Finalizada</x:v>
      </x:c>
      <x:c r="G626" t="str">
        <x:v>Mensual</x:v>
      </x:c>
      <x:c r="H626" t="n">
        <x:v>2</x:v>
      </x:c>
    </x:row>
    <x:row r="627">
      <x:c r="A627" t="str">
        <x:v>SUS-000626</x:v>
      </x:c>
      <x:c r="B627" t="str">
        <x:v>USR-00232</x:v>
      </x:c>
      <x:c r="C627" t="str">
        <x:v>Cero</x:v>
      </x:c>
      <x:c r="D627" t="n">
        <x:v>46023</x:v>
      </x:c>
      <x:c r="E627" t="n">
        <x:v>46266</x:v>
      </x:c>
      <x:c r="F627" t="str">
        <x:v>Activa</x:v>
      </x:c>
      <x:c r="G627" t="str">
        <x:v>Gratuita</x:v>
      </x:c>
      <x:c r="H627" t="n">
        <x:v>9</x:v>
      </x:c>
    </x:row>
    <x:row r="628">
      <x:c r="A628" t="str">
        <x:v>SUS-000627</x:v>
      </x:c>
      <x:c r="B628" t="str">
        <x:v>USR-00259</x:v>
      </x:c>
      <x:c r="C628" t="str">
        <x:v>Cero</x:v>
      </x:c>
      <x:c r="D628" t="n">
        <x:v>46023</x:v>
      </x:c>
      <x:c r="E628" t="n">
        <x:v>46023</x:v>
      </x:c>
      <x:c r="F628" t="str">
        <x:v>Finalizada</x:v>
      </x:c>
      <x:c r="G628" t="str">
        <x:v>Gratuita</x:v>
      </x:c>
      <x:c r="H628" t="n">
        <x:v>1</x:v>
      </x:c>
    </x:row>
    <x:row r="629">
      <x:c r="A629" t="str">
        <x:v>SUS-000628</x:v>
      </x:c>
      <x:c r="B629" t="str">
        <x:v>USR-00267</x:v>
      </x:c>
      <x:c r="C629" t="str">
        <x:v>Cero</x:v>
      </x:c>
      <x:c r="D629" t="n">
        <x:v>46023</x:v>
      </x:c>
      <x:c r="E629" t="n">
        <x:v>46023</x:v>
      </x:c>
      <x:c r="F629" t="str">
        <x:v>Finalizada</x:v>
      </x:c>
      <x:c r="G629" t="str">
        <x:v>Gratuita</x:v>
      </x:c>
      <x:c r="H629" t="n">
        <x:v>1</x:v>
      </x:c>
    </x:row>
    <x:row r="630">
      <x:c r="A630" t="str">
        <x:v>SUS-000629</x:v>
      </x:c>
      <x:c r="B630" t="str">
        <x:v>USR-00268</x:v>
      </x:c>
      <x:c r="C630" t="str">
        <x:v>Plus mensual</x:v>
      </x:c>
      <x:c r="D630" t="n">
        <x:v>46023</x:v>
      </x:c>
      <x:c r="E630" t="n">
        <x:v>46266</x:v>
      </x:c>
      <x:c r="F630" t="str">
        <x:v>Activa</x:v>
      </x:c>
      <x:c r="G630" t="str">
        <x:v>Mensual</x:v>
      </x:c>
      <x:c r="H630" t="n">
        <x:v>9</x:v>
      </x:c>
    </x:row>
    <x:row r="631">
      <x:c r="A631" t="str">
        <x:v>SUS-000630</x:v>
      </x:c>
      <x:c r="B631" t="str">
        <x:v>USR-00289</x:v>
      </x:c>
      <x:c r="C631" t="str">
        <x:v>Cero</x:v>
      </x:c>
      <x:c r="D631" t="n">
        <x:v>46023</x:v>
      </x:c>
      <x:c r="E631" t="n">
        <x:v>46266</x:v>
      </x:c>
      <x:c r="F631" t="str">
        <x:v>Activa</x:v>
      </x:c>
      <x:c r="G631" t="str">
        <x:v>Gratuita</x:v>
      </x:c>
      <x:c r="H631" t="n">
        <x:v>9</x:v>
      </x:c>
    </x:row>
    <x:row r="632">
      <x:c r="A632" t="str">
        <x:v>SUS-000631</x:v>
      </x:c>
      <x:c r="B632" t="str">
        <x:v>USR-00294</x:v>
      </x:c>
      <x:c r="C632" t="str">
        <x:v>Plus mensual</x:v>
      </x:c>
      <x:c r="D632" t="n">
        <x:v>46023</x:v>
      </x:c>
      <x:c r="E632" t="n">
        <x:v>46082</x:v>
      </x:c>
      <x:c r="F632" t="str">
        <x:v>Finalizada</x:v>
      </x:c>
      <x:c r="G632" t="str">
        <x:v>Mensual</x:v>
      </x:c>
      <x:c r="H632" t="n">
        <x:v>3</x:v>
      </x:c>
    </x:row>
    <x:row r="633">
      <x:c r="A633" t="str">
        <x:v>SUS-000632</x:v>
      </x:c>
      <x:c r="B633" t="str">
        <x:v>USR-00296</x:v>
      </x:c>
      <x:c r="C633" t="str">
        <x:v>Plus mensual</x:v>
      </x:c>
      <x:c r="D633" t="n">
        <x:v>46023</x:v>
      </x:c>
      <x:c r="E633" t="n">
        <x:v>46204</x:v>
      </x:c>
      <x:c r="F633" t="str">
        <x:v>Finalizada</x:v>
      </x:c>
      <x:c r="G633" t="str">
        <x:v>Mensual</x:v>
      </x:c>
      <x:c r="H633" t="n">
        <x:v>7</x:v>
      </x:c>
    </x:row>
    <x:row r="634">
      <x:c r="A634" t="str">
        <x:v>SUS-000633</x:v>
      </x:c>
      <x:c r="B634" t="str">
        <x:v>USR-00300</x:v>
      </x:c>
      <x:c r="C634" t="str">
        <x:v>Plus mensual</x:v>
      </x:c>
      <x:c r="D634" t="n">
        <x:v>46023</x:v>
      </x:c>
      <x:c r="E634" t="n">
        <x:v>46023</x:v>
      </x:c>
      <x:c r="F634" t="str">
        <x:v>Finalizada</x:v>
      </x:c>
      <x:c r="G634" t="str">
        <x:v>Mensual</x:v>
      </x:c>
      <x:c r="H634" t="n">
        <x:v>1</x:v>
      </x:c>
    </x:row>
    <x:row r="635">
      <x:c r="A635" t="str">
        <x:v>SUS-000634</x:v>
      </x:c>
      <x:c r="B635" t="str">
        <x:v>USR-00312</x:v>
      </x:c>
      <x:c r="C635" t="str">
        <x:v>Plus mensual</x:v>
      </x:c>
      <x:c r="D635" t="n">
        <x:v>46023</x:v>
      </x:c>
      <x:c r="E635" t="n">
        <x:v>46266</x:v>
      </x:c>
      <x:c r="F635" t="str">
        <x:v>Activa</x:v>
      </x:c>
      <x:c r="G635" t="str">
        <x:v>Mensual</x:v>
      </x:c>
      <x:c r="H635" t="n">
        <x:v>9</x:v>
      </x:c>
    </x:row>
    <x:row r="636">
      <x:c r="A636" t="str">
        <x:v>SUS-000635</x:v>
      </x:c>
      <x:c r="B636" t="str">
        <x:v>USR-00313</x:v>
      </x:c>
      <x:c r="C636" t="str">
        <x:v>Plus mensual</x:v>
      </x:c>
      <x:c r="D636" t="n">
        <x:v>46023</x:v>
      </x:c>
      <x:c r="E636" t="n">
        <x:v>46266</x:v>
      </x:c>
      <x:c r="F636" t="str">
        <x:v>Activa</x:v>
      </x:c>
      <x:c r="G636" t="str">
        <x:v>Mensual</x:v>
      </x:c>
      <x:c r="H636" t="n">
        <x:v>9</x:v>
      </x:c>
    </x:row>
    <x:row r="637">
      <x:c r="A637" t="str">
        <x:v>SUS-000636</x:v>
      </x:c>
      <x:c r="B637" t="str">
        <x:v>USR-00321</x:v>
      </x:c>
      <x:c r="C637" t="str">
        <x:v>Plus anual</x:v>
      </x:c>
      <x:c r="D637" t="n">
        <x:v>46023</x:v>
      </x:c>
      <x:c r="E637" t="n">
        <x:v>46266</x:v>
      </x:c>
      <x:c r="F637" t="str">
        <x:v>Activa</x:v>
      </x:c>
      <x:c r="G637" t="str">
        <x:v>Anual</x:v>
      </x:c>
      <x:c r="H637" t="n">
        <x:v>9</x:v>
      </x:c>
    </x:row>
    <x:row r="638">
      <x:c r="A638" t="str">
        <x:v>SUS-000637</x:v>
      </x:c>
      <x:c r="B638" t="str">
        <x:v>USR-00322</x:v>
      </x:c>
      <x:c r="C638" t="str">
        <x:v>Plus anual</x:v>
      </x:c>
      <x:c r="D638" t="n">
        <x:v>46023</x:v>
      </x:c>
      <x:c r="E638" t="n">
        <x:v>46266</x:v>
      </x:c>
      <x:c r="F638" t="str">
        <x:v>Activa</x:v>
      </x:c>
      <x:c r="G638" t="str">
        <x:v>Anual</x:v>
      </x:c>
      <x:c r="H638" t="n">
        <x:v>9</x:v>
      </x:c>
    </x:row>
    <x:row r="639">
      <x:c r="A639" t="str">
        <x:v>SUS-000638</x:v>
      </x:c>
      <x:c r="B639" t="str">
        <x:v>USR-00360</x:v>
      </x:c>
      <x:c r="C639" t="str">
        <x:v>Plus mensual</x:v>
      </x:c>
      <x:c r="D639" t="n">
        <x:v>46023</x:v>
      </x:c>
      <x:c r="E639" t="n">
        <x:v>46235</x:v>
      </x:c>
      <x:c r="F639" t="str">
        <x:v>Finalizada</x:v>
      </x:c>
      <x:c r="G639" t="str">
        <x:v>Mensual</x:v>
      </x:c>
      <x:c r="H639" t="n">
        <x:v>8</x:v>
      </x:c>
    </x:row>
    <x:row r="640">
      <x:c r="A640" t="str">
        <x:v>SUS-000639</x:v>
      </x:c>
      <x:c r="B640" t="str">
        <x:v>USR-00383</x:v>
      </x:c>
      <x:c r="C640" t="str">
        <x:v>Plus anual</x:v>
      </x:c>
      <x:c r="D640" t="n">
        <x:v>46023</x:v>
      </x:c>
      <x:c r="E640" t="n">
        <x:v>46266</x:v>
      </x:c>
      <x:c r="F640" t="str">
        <x:v>Activa</x:v>
      </x:c>
      <x:c r="G640" t="str">
        <x:v>Anual</x:v>
      </x:c>
      <x:c r="H640" t="n">
        <x:v>9</x:v>
      </x:c>
    </x:row>
    <x:row r="641">
      <x:c r="A641" t="str">
        <x:v>SUS-000640</x:v>
      </x:c>
      <x:c r="B641" t="str">
        <x:v>USR-00386</x:v>
      </x:c>
      <x:c r="C641" t="str">
        <x:v>Plus mensual</x:v>
      </x:c>
      <x:c r="D641" t="n">
        <x:v>46023</x:v>
      </x:c>
      <x:c r="E641" t="n">
        <x:v>46082</x:v>
      </x:c>
      <x:c r="F641" t="str">
        <x:v>Finalizada</x:v>
      </x:c>
      <x:c r="G641" t="str">
        <x:v>Mensual</x:v>
      </x:c>
      <x:c r="H641" t="n">
        <x:v>3</x:v>
      </x:c>
    </x:row>
    <x:row r="642">
      <x:c r="A642" t="str">
        <x:v>SUS-000641</x:v>
      </x:c>
      <x:c r="B642" t="str">
        <x:v>USR-00389</x:v>
      </x:c>
      <x:c r="C642" t="str">
        <x:v>Plus mensual</x:v>
      </x:c>
      <x:c r="D642" t="n">
        <x:v>46023</x:v>
      </x:c>
      <x:c r="E642" t="n">
        <x:v>46266</x:v>
      </x:c>
      <x:c r="F642" t="str">
        <x:v>Activa</x:v>
      </x:c>
      <x:c r="G642" t="str">
        <x:v>Mensual</x:v>
      </x:c>
      <x:c r="H642" t="n">
        <x:v>9</x:v>
      </x:c>
    </x:row>
    <x:row r="643">
      <x:c r="A643" t="str">
        <x:v>SUS-000642</x:v>
      </x:c>
      <x:c r="B643" t="str">
        <x:v>USR-00395</x:v>
      </x:c>
      <x:c r="C643" t="str">
        <x:v>Plus mensual</x:v>
      </x:c>
      <x:c r="D643" t="n">
        <x:v>46023</x:v>
      </x:c>
      <x:c r="E643" t="n">
        <x:v>46266</x:v>
      </x:c>
      <x:c r="F643" t="str">
        <x:v>Activa</x:v>
      </x:c>
      <x:c r="G643" t="str">
        <x:v>Mensual</x:v>
      </x:c>
      <x:c r="H643" t="n">
        <x:v>9</x:v>
      </x:c>
    </x:row>
    <x:row r="644">
      <x:c r="A644" t="str">
        <x:v>SUS-000643</x:v>
      </x:c>
      <x:c r="B644" t="str">
        <x:v>USR-00417</x:v>
      </x:c>
      <x:c r="C644" t="str">
        <x:v>Plus mensual</x:v>
      </x:c>
      <x:c r="D644" t="n">
        <x:v>46023</x:v>
      </x:c>
      <x:c r="E644" t="n">
        <x:v>46113</x:v>
      </x:c>
      <x:c r="F644" t="str">
        <x:v>Finalizada</x:v>
      </x:c>
      <x:c r="G644" t="str">
        <x:v>Mensual</x:v>
      </x:c>
      <x:c r="H644" t="n">
        <x:v>4</x:v>
      </x:c>
    </x:row>
    <x:row r="645">
      <x:c r="A645" t="str">
        <x:v>SUS-000644</x:v>
      </x:c>
      <x:c r="B645" t="str">
        <x:v>USR-00430</x:v>
      </x:c>
      <x:c r="C645" t="str">
        <x:v>Plus anual</x:v>
      </x:c>
      <x:c r="D645" t="n">
        <x:v>46023</x:v>
      </x:c>
      <x:c r="E645" t="n">
        <x:v>46266</x:v>
      </x:c>
      <x:c r="F645" t="str">
        <x:v>Activa</x:v>
      </x:c>
      <x:c r="G645" t="str">
        <x:v>Anual</x:v>
      </x:c>
      <x:c r="H645" t="n">
        <x:v>9</x:v>
      </x:c>
    </x:row>
    <x:row r="646">
      <x:c r="A646" t="str">
        <x:v>SUS-000645</x:v>
      </x:c>
      <x:c r="B646" t="str">
        <x:v>USR-00448</x:v>
      </x:c>
      <x:c r="C646" t="str">
        <x:v>Plus mensual</x:v>
      </x:c>
      <x:c r="D646" t="n">
        <x:v>46023</x:v>
      </x:c>
      <x:c r="E646" t="n">
        <x:v>46143</x:v>
      </x:c>
      <x:c r="F646" t="str">
        <x:v>Finalizada</x:v>
      </x:c>
      <x:c r="G646" t="str">
        <x:v>Mensual</x:v>
      </x:c>
      <x:c r="H646" t="n">
        <x:v>5</x:v>
      </x:c>
    </x:row>
    <x:row r="647">
      <x:c r="A647" t="str">
        <x:v>SUS-000646</x:v>
      </x:c>
      <x:c r="B647" t="str">
        <x:v>USR-00455</x:v>
      </x:c>
      <x:c r="C647" t="str">
        <x:v>Plus mensual</x:v>
      </x:c>
      <x:c r="D647" t="n">
        <x:v>46023</x:v>
      </x:c>
      <x:c r="E647" t="n">
        <x:v>46054</x:v>
      </x:c>
      <x:c r="F647" t="str">
        <x:v>Finalizada</x:v>
      </x:c>
      <x:c r="G647" t="str">
        <x:v>Mensual</x:v>
      </x:c>
      <x:c r="H647" t="n">
        <x:v>2</x:v>
      </x:c>
    </x:row>
    <x:row r="648">
      <x:c r="A648" t="str">
        <x:v>SUS-000647</x:v>
      </x:c>
      <x:c r="B648" t="str">
        <x:v>USR-00460</x:v>
      </x:c>
      <x:c r="C648" t="str">
        <x:v>Plus anual</x:v>
      </x:c>
      <x:c r="D648" t="n">
        <x:v>46023</x:v>
      </x:c>
      <x:c r="E648" t="n">
        <x:v>46266</x:v>
      </x:c>
      <x:c r="F648" t="str">
        <x:v>Activa</x:v>
      </x:c>
      <x:c r="G648" t="str">
        <x:v>Anual</x:v>
      </x:c>
      <x:c r="H648" t="n">
        <x:v>9</x:v>
      </x:c>
    </x:row>
    <x:row r="649">
      <x:c r="A649" t="str">
        <x:v>SUS-000648</x:v>
      </x:c>
      <x:c r="B649" t="str">
        <x:v>USR-00469</x:v>
      </x:c>
      <x:c r="C649" t="str">
        <x:v>Plus mensual</x:v>
      </x:c>
      <x:c r="D649" t="n">
        <x:v>46023</x:v>
      </x:c>
      <x:c r="E649" t="n">
        <x:v>46266</x:v>
      </x:c>
      <x:c r="F649" t="str">
        <x:v>Activa</x:v>
      </x:c>
      <x:c r="G649" t="str">
        <x:v>Mensual</x:v>
      </x:c>
      <x:c r="H649" t="n">
        <x:v>9</x:v>
      </x:c>
    </x:row>
    <x:row r="650">
      <x:c r="A650" t="str">
        <x:v>SUS-000649</x:v>
      </x:c>
      <x:c r="B650" t="str">
        <x:v>USR-00471</x:v>
      </x:c>
      <x:c r="C650" t="str">
        <x:v>Cero</x:v>
      </x:c>
      <x:c r="D650" t="n">
        <x:v>46023</x:v>
      </x:c>
      <x:c r="E650" t="n">
        <x:v>46266</x:v>
      </x:c>
      <x:c r="F650" t="str">
        <x:v>Activa</x:v>
      </x:c>
      <x:c r="G650" t="str">
        <x:v>Gratuita</x:v>
      </x:c>
      <x:c r="H650" t="n">
        <x:v>9</x:v>
      </x:c>
    </x:row>
    <x:row r="651">
      <x:c r="A651" t="str">
        <x:v>SUS-000650</x:v>
      </x:c>
      <x:c r="B651" t="str">
        <x:v>USR-00472</x:v>
      </x:c>
      <x:c r="C651" t="str">
        <x:v>Cero</x:v>
      </x:c>
      <x:c r="D651" t="n">
        <x:v>46023</x:v>
      </x:c>
      <x:c r="E651" t="n">
        <x:v>46266</x:v>
      </x:c>
      <x:c r="F651" t="str">
        <x:v>Activa</x:v>
      </x:c>
      <x:c r="G651" t="str">
        <x:v>Gratuita</x:v>
      </x:c>
      <x:c r="H651" t="n">
        <x:v>9</x:v>
      </x:c>
    </x:row>
    <x:row r="652">
      <x:c r="A652" t="str">
        <x:v>SUS-000651</x:v>
      </x:c>
      <x:c r="B652" t="str">
        <x:v>USR-00473</x:v>
      </x:c>
      <x:c r="C652" t="str">
        <x:v>Plus mensual</x:v>
      </x:c>
      <x:c r="D652" t="n">
        <x:v>46023</x:v>
      </x:c>
      <x:c r="E652" t="n">
        <x:v>46174</x:v>
      </x:c>
      <x:c r="F652" t="str">
        <x:v>Finalizada</x:v>
      </x:c>
      <x:c r="G652" t="str">
        <x:v>Mensual</x:v>
      </x:c>
      <x:c r="H652" t="n">
        <x:v>6</x:v>
      </x:c>
    </x:row>
    <x:row r="653">
      <x:c r="A653" t="str">
        <x:v>SUS-000652</x:v>
      </x:c>
      <x:c r="B653" t="str">
        <x:v>USR-00474</x:v>
      </x:c>
      <x:c r="C653" t="str">
        <x:v>Plus mensual</x:v>
      </x:c>
      <x:c r="D653" t="n">
        <x:v>46023</x:v>
      </x:c>
      <x:c r="E653" t="n">
        <x:v>46054</x:v>
      </x:c>
      <x:c r="F653" t="str">
        <x:v>Finalizada</x:v>
      </x:c>
      <x:c r="G653" t="str">
        <x:v>Mensual</x:v>
      </x:c>
      <x:c r="H653" t="n">
        <x:v>2</x:v>
      </x:c>
    </x:row>
    <x:row r="654">
      <x:c r="A654" t="str">
        <x:v>SUS-000653</x:v>
      </x:c>
      <x:c r="B654" t="str">
        <x:v>USR-00475</x:v>
      </x:c>
      <x:c r="C654" t="str">
        <x:v>Cero</x:v>
      </x:c>
      <x:c r="D654" t="n">
        <x:v>46023</x:v>
      </x:c>
      <x:c r="E654" t="n">
        <x:v>46082</x:v>
      </x:c>
      <x:c r="F654" t="str">
        <x:v>Finalizada</x:v>
      </x:c>
      <x:c r="G654" t="str">
        <x:v>Gratuita</x:v>
      </x:c>
      <x:c r="H654" t="n">
        <x:v>3</x:v>
      </x:c>
    </x:row>
    <x:row r="655">
      <x:c r="A655" t="str">
        <x:v>SUS-000654</x:v>
      </x:c>
      <x:c r="B655" t="str">
        <x:v>USR-00476</x:v>
      </x:c>
      <x:c r="C655" t="str">
        <x:v>Cero</x:v>
      </x:c>
      <x:c r="D655" t="n">
        <x:v>46023</x:v>
      </x:c>
      <x:c r="E655" t="n">
        <x:v>46266</x:v>
      </x:c>
      <x:c r="F655" t="str">
        <x:v>Activa</x:v>
      </x:c>
      <x:c r="G655" t="str">
        <x:v>Gratuita</x:v>
      </x:c>
      <x:c r="H655" t="n">
        <x:v>9</x:v>
      </x:c>
    </x:row>
    <x:row r="656">
      <x:c r="A656" t="str">
        <x:v>SUS-000655</x:v>
      </x:c>
      <x:c r="B656" t="str">
        <x:v>USR-00477</x:v>
      </x:c>
      <x:c r="C656" t="str">
        <x:v>Cero</x:v>
      </x:c>
      <x:c r="D656" t="n">
        <x:v>46023</x:v>
      </x:c>
      <x:c r="E656" t="n">
        <x:v>46143</x:v>
      </x:c>
      <x:c r="F656" t="str">
        <x:v>Finalizada</x:v>
      </x:c>
      <x:c r="G656" t="str">
        <x:v>Gratuita</x:v>
      </x:c>
      <x:c r="H656" t="n">
        <x:v>5</x:v>
      </x:c>
    </x:row>
    <x:row r="657">
      <x:c r="A657" t="str">
        <x:v>SUS-000656</x:v>
      </x:c>
      <x:c r="B657" t="str">
        <x:v>USR-00478</x:v>
      </x:c>
      <x:c r="C657" t="str">
        <x:v>Cero</x:v>
      </x:c>
      <x:c r="D657" t="n">
        <x:v>46023</x:v>
      </x:c>
      <x:c r="E657" t="n">
        <x:v>46266</x:v>
      </x:c>
      <x:c r="F657" t="str">
        <x:v>Activa</x:v>
      </x:c>
      <x:c r="G657" t="str">
        <x:v>Gratuita</x:v>
      </x:c>
      <x:c r="H657" t="n">
        <x:v>9</x:v>
      </x:c>
    </x:row>
    <x:row r="658">
      <x:c r="A658" t="str">
        <x:v>SUS-000657</x:v>
      </x:c>
      <x:c r="B658" t="str">
        <x:v>USR-00479</x:v>
      </x:c>
      <x:c r="C658" t="str">
        <x:v>Cero</x:v>
      </x:c>
      <x:c r="D658" t="n">
        <x:v>46023</x:v>
      </x:c>
      <x:c r="E658" t="n">
        <x:v>46266</x:v>
      </x:c>
      <x:c r="F658" t="str">
        <x:v>Activa</x:v>
      </x:c>
      <x:c r="G658" t="str">
        <x:v>Gratuita</x:v>
      </x:c>
      <x:c r="H658" t="n">
        <x:v>9</x:v>
      </x:c>
    </x:row>
    <x:row r="659">
      <x:c r="A659" t="str">
        <x:v>SUS-000658</x:v>
      </x:c>
      <x:c r="B659" t="str">
        <x:v>USR-00480</x:v>
      </x:c>
      <x:c r="C659" t="str">
        <x:v>Cero</x:v>
      </x:c>
      <x:c r="D659" t="n">
        <x:v>46023</x:v>
      </x:c>
      <x:c r="E659" t="n">
        <x:v>46266</x:v>
      </x:c>
      <x:c r="F659" t="str">
        <x:v>Activa</x:v>
      </x:c>
      <x:c r="G659" t="str">
        <x:v>Gratuita</x:v>
      </x:c>
      <x:c r="H659" t="n">
        <x:v>9</x:v>
      </x:c>
    </x:row>
    <x:row r="660">
      <x:c r="A660" t="str">
        <x:v>SUS-000659</x:v>
      </x:c>
      <x:c r="B660" t="str">
        <x:v>USR-00481</x:v>
      </x:c>
      <x:c r="C660" t="str">
        <x:v>Cero</x:v>
      </x:c>
      <x:c r="D660" t="n">
        <x:v>46023</x:v>
      </x:c>
      <x:c r="E660" t="n">
        <x:v>46113</x:v>
      </x:c>
      <x:c r="F660" t="str">
        <x:v>Finalizada</x:v>
      </x:c>
      <x:c r="G660" t="str">
        <x:v>Gratuita</x:v>
      </x:c>
      <x:c r="H660" t="n">
        <x:v>4</x:v>
      </x:c>
    </x:row>
    <x:row r="661">
      <x:c r="A661" t="str">
        <x:v>SUS-000660</x:v>
      </x:c>
      <x:c r="B661" t="str">
        <x:v>USR-00482</x:v>
      </x:c>
      <x:c r="C661" t="str">
        <x:v>Cero</x:v>
      </x:c>
      <x:c r="D661" t="n">
        <x:v>46023</x:v>
      </x:c>
      <x:c r="E661" t="n">
        <x:v>46266</x:v>
      </x:c>
      <x:c r="F661" t="str">
        <x:v>Activa</x:v>
      </x:c>
      <x:c r="G661" t="str">
        <x:v>Gratuita</x:v>
      </x:c>
      <x:c r="H661" t="n">
        <x:v>9</x:v>
      </x:c>
    </x:row>
    <x:row r="662">
      <x:c r="A662" t="str">
        <x:v>SUS-000661</x:v>
      </x:c>
      <x:c r="B662" t="str">
        <x:v>USR-00483</x:v>
      </x:c>
      <x:c r="C662" t="str">
        <x:v>Plus mensual</x:v>
      </x:c>
      <x:c r="D662" t="n">
        <x:v>46023</x:v>
      </x:c>
      <x:c r="E662" t="n">
        <x:v>46023</x:v>
      </x:c>
      <x:c r="F662" t="str">
        <x:v>Finalizada</x:v>
      </x:c>
      <x:c r="G662" t="str">
        <x:v>Mensual</x:v>
      </x:c>
      <x:c r="H662" t="n">
        <x:v>1</x:v>
      </x:c>
    </x:row>
    <x:row r="663">
      <x:c r="A663" t="str">
        <x:v>SUS-000662</x:v>
      </x:c>
      <x:c r="B663" t="str">
        <x:v>USR-00484</x:v>
      </x:c>
      <x:c r="C663" t="str">
        <x:v>Plus mensual</x:v>
      </x:c>
      <x:c r="D663" t="n">
        <x:v>46023</x:v>
      </x:c>
      <x:c r="E663" t="n">
        <x:v>46266</x:v>
      </x:c>
      <x:c r="F663" t="str">
        <x:v>Activa</x:v>
      </x:c>
      <x:c r="G663" t="str">
        <x:v>Mensual</x:v>
      </x:c>
      <x:c r="H663" t="n">
        <x:v>9</x:v>
      </x:c>
    </x:row>
    <x:row r="664">
      <x:c r="A664" t="str">
        <x:v>SUS-000663</x:v>
      </x:c>
      <x:c r="B664" t="str">
        <x:v>USR-00485</x:v>
      </x:c>
      <x:c r="C664" t="str">
        <x:v>Cero</x:v>
      </x:c>
      <x:c r="D664" t="n">
        <x:v>46023</x:v>
      </x:c>
      <x:c r="E664" t="n">
        <x:v>46023</x:v>
      </x:c>
      <x:c r="F664" t="str">
        <x:v>Finalizada</x:v>
      </x:c>
      <x:c r="G664" t="str">
        <x:v>Gratuita</x:v>
      </x:c>
      <x:c r="H664" t="n">
        <x:v>1</x:v>
      </x:c>
    </x:row>
    <x:row r="665">
      <x:c r="A665" t="str">
        <x:v>SUS-000664</x:v>
      </x:c>
      <x:c r="B665" t="str">
        <x:v>USR-00486</x:v>
      </x:c>
      <x:c r="C665" t="str">
        <x:v>Cero</x:v>
      </x:c>
      <x:c r="D665" t="n">
        <x:v>46023</x:v>
      </x:c>
      <x:c r="E665" t="n">
        <x:v>46174</x:v>
      </x:c>
      <x:c r="F665" t="str">
        <x:v>Finalizada</x:v>
      </x:c>
      <x:c r="G665" t="str">
        <x:v>Gratuita</x:v>
      </x:c>
      <x:c r="H665" t="n">
        <x:v>6</x:v>
      </x:c>
    </x:row>
    <x:row r="666">
      <x:c r="A666" t="str">
        <x:v>SUS-000665</x:v>
      </x:c>
      <x:c r="B666" t="str">
        <x:v>USR-00487</x:v>
      </x:c>
      <x:c r="C666" t="str">
        <x:v>Cero</x:v>
      </x:c>
      <x:c r="D666" t="n">
        <x:v>46023</x:v>
      </x:c>
      <x:c r="E666" t="n">
        <x:v>46266</x:v>
      </x:c>
      <x:c r="F666" t="str">
        <x:v>Activa</x:v>
      </x:c>
      <x:c r="G666" t="str">
        <x:v>Gratuita</x:v>
      </x:c>
      <x:c r="H666" t="n">
        <x:v>9</x:v>
      </x:c>
    </x:row>
    <x:row r="667">
      <x:c r="A667" t="str">
        <x:v>SUS-000666</x:v>
      </x:c>
      <x:c r="B667" t="str">
        <x:v>USR-00488</x:v>
      </x:c>
      <x:c r="C667" t="str">
        <x:v>Cero</x:v>
      </x:c>
      <x:c r="D667" t="n">
        <x:v>46023</x:v>
      </x:c>
      <x:c r="E667" t="n">
        <x:v>46113</x:v>
      </x:c>
      <x:c r="F667" t="str">
        <x:v>Finalizada</x:v>
      </x:c>
      <x:c r="G667" t="str">
        <x:v>Gratuita</x:v>
      </x:c>
      <x:c r="H667" t="n">
        <x:v>4</x:v>
      </x:c>
    </x:row>
    <x:row r="668">
      <x:c r="A668" t="str">
        <x:v>SUS-000667</x:v>
      </x:c>
      <x:c r="B668" t="str">
        <x:v>USR-00489</x:v>
      </x:c>
      <x:c r="C668" t="str">
        <x:v>Cero</x:v>
      </x:c>
      <x:c r="D668" t="n">
        <x:v>46023</x:v>
      </x:c>
      <x:c r="E668" t="n">
        <x:v>46023</x:v>
      </x:c>
      <x:c r="F668" t="str">
        <x:v>Finalizada</x:v>
      </x:c>
      <x:c r="G668" t="str">
        <x:v>Gratuita</x:v>
      </x:c>
      <x:c r="H668" t="n">
        <x:v>1</x:v>
      </x:c>
    </x:row>
    <x:row r="669">
      <x:c r="A669" t="str">
        <x:v>SUS-000668</x:v>
      </x:c>
      <x:c r="B669" t="str">
        <x:v>USR-00490</x:v>
      </x:c>
      <x:c r="C669" t="str">
        <x:v>Cero</x:v>
      </x:c>
      <x:c r="D669" t="n">
        <x:v>46023</x:v>
      </x:c>
      <x:c r="E669" t="n">
        <x:v>46082</x:v>
      </x:c>
      <x:c r="F669" t="str">
        <x:v>Finalizada</x:v>
      </x:c>
      <x:c r="G669" t="str">
        <x:v>Gratuita</x:v>
      </x:c>
      <x:c r="H669" t="n">
        <x:v>3</x:v>
      </x:c>
    </x:row>
    <x:row r="670">
      <x:c r="A670" t="str">
        <x:v>SUS-000669</x:v>
      </x:c>
      <x:c r="B670" t="str">
        <x:v>USR-00491</x:v>
      </x:c>
      <x:c r="C670" t="str">
        <x:v>Cero</x:v>
      </x:c>
      <x:c r="D670" t="n">
        <x:v>46023</x:v>
      </x:c>
      <x:c r="E670" t="n">
        <x:v>46266</x:v>
      </x:c>
      <x:c r="F670" t="str">
        <x:v>Activa</x:v>
      </x:c>
      <x:c r="G670" t="str">
        <x:v>Gratuita</x:v>
      </x:c>
      <x:c r="H670" t="n">
        <x:v>9</x:v>
      </x:c>
    </x:row>
    <x:row r="671">
      <x:c r="A671" t="str">
        <x:v>SUS-000670</x:v>
      </x:c>
      <x:c r="B671" t="str">
        <x:v>USR-00492</x:v>
      </x:c>
      <x:c r="C671" t="str">
        <x:v>Cero</x:v>
      </x:c>
      <x:c r="D671" t="n">
        <x:v>46023</x:v>
      </x:c>
      <x:c r="E671" t="n">
        <x:v>46143</x:v>
      </x:c>
      <x:c r="F671" t="str">
        <x:v>Finalizada</x:v>
      </x:c>
      <x:c r="G671" t="str">
        <x:v>Gratuita</x:v>
      </x:c>
      <x:c r="H671" t="n">
        <x:v>5</x:v>
      </x:c>
    </x:row>
    <x:row r="672">
      <x:c r="A672" t="str">
        <x:v>SUS-000671</x:v>
      </x:c>
      <x:c r="B672" t="str">
        <x:v>USR-00493</x:v>
      </x:c>
      <x:c r="C672" t="str">
        <x:v>Cero</x:v>
      </x:c>
      <x:c r="D672" t="n">
        <x:v>46023</x:v>
      </x:c>
      <x:c r="E672" t="n">
        <x:v>46143</x:v>
      </x:c>
      <x:c r="F672" t="str">
        <x:v>Finalizada</x:v>
      </x:c>
      <x:c r="G672" t="str">
        <x:v>Gratuita</x:v>
      </x:c>
      <x:c r="H672" t="n">
        <x:v>5</x:v>
      </x:c>
    </x:row>
    <x:row r="673">
      <x:c r="A673" t="str">
        <x:v>SUS-000672</x:v>
      </x:c>
      <x:c r="B673" t="str">
        <x:v>USR-00494</x:v>
      </x:c>
      <x:c r="C673" t="str">
        <x:v>Cero</x:v>
      </x:c>
      <x:c r="D673" t="n">
        <x:v>46023</x:v>
      </x:c>
      <x:c r="E673" t="n">
        <x:v>46266</x:v>
      </x:c>
      <x:c r="F673" t="str">
        <x:v>Activa</x:v>
      </x:c>
      <x:c r="G673" t="str">
        <x:v>Gratuita</x:v>
      </x:c>
      <x:c r="H673" t="n">
        <x:v>9</x:v>
      </x:c>
    </x:row>
    <x:row r="674">
      <x:c r="A674" t="str">
        <x:v>SUS-000673</x:v>
      </x:c>
      <x:c r="B674" t="str">
        <x:v>USR-00495</x:v>
      </x:c>
      <x:c r="C674" t="str">
        <x:v>Plus anual</x:v>
      </x:c>
      <x:c r="D674" t="n">
        <x:v>46023</x:v>
      </x:c>
      <x:c r="E674" t="n">
        <x:v>46266</x:v>
      </x:c>
      <x:c r="F674" t="str">
        <x:v>Activa</x:v>
      </x:c>
      <x:c r="G674" t="str">
        <x:v>Anual</x:v>
      </x:c>
      <x:c r="H674" t="n">
        <x:v>9</x:v>
      </x:c>
    </x:row>
    <x:row r="675">
      <x:c r="A675" t="str">
        <x:v>SUS-000674</x:v>
      </x:c>
      <x:c r="B675" t="str">
        <x:v>USR-00496</x:v>
      </x:c>
      <x:c r="C675" t="str">
        <x:v>Cero</x:v>
      </x:c>
      <x:c r="D675" t="n">
        <x:v>46023</x:v>
      </x:c>
      <x:c r="E675" t="n">
        <x:v>46266</x:v>
      </x:c>
      <x:c r="F675" t="str">
        <x:v>Activa</x:v>
      </x:c>
      <x:c r="G675" t="str">
        <x:v>Gratuita</x:v>
      </x:c>
      <x:c r="H675" t="n">
        <x:v>9</x:v>
      </x:c>
    </x:row>
    <x:row r="676">
      <x:c r="A676" t="str">
        <x:v>SUS-000675</x:v>
      </x:c>
      <x:c r="B676" t="str">
        <x:v>USR-00497</x:v>
      </x:c>
      <x:c r="C676" t="str">
        <x:v>Cero</x:v>
      </x:c>
      <x:c r="D676" t="n">
        <x:v>46023</x:v>
      </x:c>
      <x:c r="E676" t="n">
        <x:v>46266</x:v>
      </x:c>
      <x:c r="F676" t="str">
        <x:v>Activa</x:v>
      </x:c>
      <x:c r="G676" t="str">
        <x:v>Gratuita</x:v>
      </x:c>
      <x:c r="H676" t="n">
        <x:v>9</x:v>
      </x:c>
    </x:row>
    <x:row r="677">
      <x:c r="A677" t="str">
        <x:v>SUS-000676</x:v>
      </x:c>
      <x:c r="B677" t="str">
        <x:v>USR-00498</x:v>
      </x:c>
      <x:c r="C677" t="str">
        <x:v>Cero</x:v>
      </x:c>
      <x:c r="D677" t="n">
        <x:v>46023</x:v>
      </x:c>
      <x:c r="E677" t="n">
        <x:v>46204</x:v>
      </x:c>
      <x:c r="F677" t="str">
        <x:v>Finalizada</x:v>
      </x:c>
      <x:c r="G677" t="str">
        <x:v>Gratuita</x:v>
      </x:c>
      <x:c r="H677" t="n">
        <x:v>7</x:v>
      </x:c>
    </x:row>
    <x:row r="678">
      <x:c r="A678" t="str">
        <x:v>SUS-000677</x:v>
      </x:c>
      <x:c r="B678" t="str">
        <x:v>USR-00499</x:v>
      </x:c>
      <x:c r="C678" t="str">
        <x:v>Cero</x:v>
      </x:c>
      <x:c r="D678" t="n">
        <x:v>46023</x:v>
      </x:c>
      <x:c r="E678" t="n">
        <x:v>46082</x:v>
      </x:c>
      <x:c r="F678" t="str">
        <x:v>Finalizada</x:v>
      </x:c>
      <x:c r="G678" t="str">
        <x:v>Gratuita</x:v>
      </x:c>
      <x:c r="H678" t="n">
        <x:v>3</x:v>
      </x:c>
    </x:row>
    <x:row r="679">
      <x:c r="A679" t="str">
        <x:v>SUS-000678</x:v>
      </x:c>
      <x:c r="B679" t="str">
        <x:v>USR-00500</x:v>
      </x:c>
      <x:c r="C679" t="str">
        <x:v>Cero</x:v>
      </x:c>
      <x:c r="D679" t="n">
        <x:v>46023</x:v>
      </x:c>
      <x:c r="E679" t="n">
        <x:v>46174</x:v>
      </x:c>
      <x:c r="F679" t="str">
        <x:v>Finalizada</x:v>
      </x:c>
      <x:c r="G679" t="str">
        <x:v>Gratuita</x:v>
      </x:c>
      <x:c r="H679" t="n">
        <x:v>6</x:v>
      </x:c>
    </x:row>
    <x:row r="680">
      <x:c r="A680" t="str">
        <x:v>SUS-000679</x:v>
      </x:c>
      <x:c r="B680" t="str">
        <x:v>USR-00501</x:v>
      </x:c>
      <x:c r="C680" t="str">
        <x:v>Cero</x:v>
      </x:c>
      <x:c r="D680" t="n">
        <x:v>46023</x:v>
      </x:c>
      <x:c r="E680" t="n">
        <x:v>46266</x:v>
      </x:c>
      <x:c r="F680" t="str">
        <x:v>Activa</x:v>
      </x:c>
      <x:c r="G680" t="str">
        <x:v>Gratuita</x:v>
      </x:c>
      <x:c r="H680" t="n">
        <x:v>9</x:v>
      </x:c>
    </x:row>
    <x:row r="681">
      <x:c r="A681" t="str">
        <x:v>SUS-000680</x:v>
      </x:c>
      <x:c r="B681" t="str">
        <x:v>USR-00502</x:v>
      </x:c>
      <x:c r="C681" t="str">
        <x:v>Cero</x:v>
      </x:c>
      <x:c r="D681" t="n">
        <x:v>46023</x:v>
      </x:c>
      <x:c r="E681" t="n">
        <x:v>46082</x:v>
      </x:c>
      <x:c r="F681" t="str">
        <x:v>Finalizada</x:v>
      </x:c>
      <x:c r="G681" t="str">
        <x:v>Gratuita</x:v>
      </x:c>
      <x:c r="H681" t="n">
        <x:v>3</x:v>
      </x:c>
    </x:row>
    <x:row r="682">
      <x:c r="A682" t="str">
        <x:v>SUS-000681</x:v>
      </x:c>
      <x:c r="B682" t="str">
        <x:v>USR-00503</x:v>
      </x:c>
      <x:c r="C682" t="str">
        <x:v>Cero</x:v>
      </x:c>
      <x:c r="D682" t="n">
        <x:v>46023</x:v>
      </x:c>
      <x:c r="E682" t="n">
        <x:v>46204</x:v>
      </x:c>
      <x:c r="F682" t="str">
        <x:v>Finalizada</x:v>
      </x:c>
      <x:c r="G682" t="str">
        <x:v>Gratuita</x:v>
      </x:c>
      <x:c r="H682" t="n">
        <x:v>7</x:v>
      </x:c>
    </x:row>
    <x:row r="683">
      <x:c r="A683" t="str">
        <x:v>SUS-000682</x:v>
      </x:c>
      <x:c r="B683" t="str">
        <x:v>USR-00504</x:v>
      </x:c>
      <x:c r="C683" t="str">
        <x:v>Cero</x:v>
      </x:c>
      <x:c r="D683" t="n">
        <x:v>46023</x:v>
      </x:c>
      <x:c r="E683" t="n">
        <x:v>46113</x:v>
      </x:c>
      <x:c r="F683" t="str">
        <x:v>Finalizada</x:v>
      </x:c>
      <x:c r="G683" t="str">
        <x:v>Gratuita</x:v>
      </x:c>
      <x:c r="H683" t="n">
        <x:v>4</x:v>
      </x:c>
    </x:row>
    <x:row r="684">
      <x:c r="A684" t="str">
        <x:v>SUS-000683</x:v>
      </x:c>
      <x:c r="B684" t="str">
        <x:v>USR-00505</x:v>
      </x:c>
      <x:c r="C684" t="str">
        <x:v>Cero</x:v>
      </x:c>
      <x:c r="D684" t="n">
        <x:v>46023</x:v>
      </x:c>
      <x:c r="E684" t="n">
        <x:v>46054</x:v>
      </x:c>
      <x:c r="F684" t="str">
        <x:v>Finalizada</x:v>
      </x:c>
      <x:c r="G684" t="str">
        <x:v>Gratuita</x:v>
      </x:c>
      <x:c r="H684" t="n">
        <x:v>2</x:v>
      </x:c>
    </x:row>
    <x:row r="685">
      <x:c r="A685" t="str">
        <x:v>SUS-000684</x:v>
      </x:c>
      <x:c r="B685" t="str">
        <x:v>USR-00506</x:v>
      </x:c>
      <x:c r="C685" t="str">
        <x:v>Cero</x:v>
      </x:c>
      <x:c r="D685" t="n">
        <x:v>46023</x:v>
      </x:c>
      <x:c r="E685" t="n">
        <x:v>46054</x:v>
      </x:c>
      <x:c r="F685" t="str">
        <x:v>Finalizada</x:v>
      </x:c>
      <x:c r="G685" t="str">
        <x:v>Gratuita</x:v>
      </x:c>
      <x:c r="H685" t="n">
        <x:v>2</x:v>
      </x:c>
    </x:row>
    <x:row r="686">
      <x:c r="A686" t="str">
        <x:v>SUS-000685</x:v>
      </x:c>
      <x:c r="B686" t="str">
        <x:v>USR-00507</x:v>
      </x:c>
      <x:c r="C686" t="str">
        <x:v>Cero</x:v>
      </x:c>
      <x:c r="D686" t="n">
        <x:v>46023</x:v>
      </x:c>
      <x:c r="E686" t="n">
        <x:v>46266</x:v>
      </x:c>
      <x:c r="F686" t="str">
        <x:v>Activa</x:v>
      </x:c>
      <x:c r="G686" t="str">
        <x:v>Gratuita</x:v>
      </x:c>
      <x:c r="H686" t="n">
        <x:v>9</x:v>
      </x:c>
    </x:row>
    <x:row r="687">
      <x:c r="A687" t="str">
        <x:v>SUS-000686</x:v>
      </x:c>
      <x:c r="B687" t="str">
        <x:v>USR-00508</x:v>
      </x:c>
      <x:c r="C687" t="str">
        <x:v>Cero</x:v>
      </x:c>
      <x:c r="D687" t="n">
        <x:v>46023</x:v>
      </x:c>
      <x:c r="E687" t="n">
        <x:v>46235</x:v>
      </x:c>
      <x:c r="F687" t="str">
        <x:v>Finalizada</x:v>
      </x:c>
      <x:c r="G687" t="str">
        <x:v>Gratuita</x:v>
      </x:c>
      <x:c r="H687" t="n">
        <x:v>8</x:v>
      </x:c>
    </x:row>
    <x:row r="688">
      <x:c r="A688" t="str">
        <x:v>SUS-000687</x:v>
      </x:c>
      <x:c r="B688" t="str">
        <x:v>USR-00509</x:v>
      </x:c>
      <x:c r="C688" t="str">
        <x:v>Cero</x:v>
      </x:c>
      <x:c r="D688" t="n">
        <x:v>46023</x:v>
      </x:c>
      <x:c r="E688" t="n">
        <x:v>46266</x:v>
      </x:c>
      <x:c r="F688" t="str">
        <x:v>Activa</x:v>
      </x:c>
      <x:c r="G688" t="str">
        <x:v>Gratuita</x:v>
      </x:c>
      <x:c r="H688" t="n">
        <x:v>9</x:v>
      </x:c>
    </x:row>
    <x:row r="689">
      <x:c r="A689" t="str">
        <x:v>SUS-000688</x:v>
      </x:c>
      <x:c r="B689" t="str">
        <x:v>USR-00510</x:v>
      </x:c>
      <x:c r="C689" t="str">
        <x:v>Cero</x:v>
      </x:c>
      <x:c r="D689" t="n">
        <x:v>46023</x:v>
      </x:c>
      <x:c r="E689" t="n">
        <x:v>46266</x:v>
      </x:c>
      <x:c r="F689" t="str">
        <x:v>Activa</x:v>
      </x:c>
      <x:c r="G689" t="str">
        <x:v>Gratuita</x:v>
      </x:c>
      <x:c r="H689" t="n">
        <x:v>9</x:v>
      </x:c>
    </x:row>
    <x:row r="690">
      <x:c r="A690" t="str">
        <x:v>SUS-000689</x:v>
      </x:c>
      <x:c r="B690" t="str">
        <x:v>USR-00511</x:v>
      </x:c>
      <x:c r="C690" t="str">
        <x:v>Plus anual</x:v>
      </x:c>
      <x:c r="D690" t="n">
        <x:v>46023</x:v>
      </x:c>
      <x:c r="E690" t="n">
        <x:v>46266</x:v>
      </x:c>
      <x:c r="F690" t="str">
        <x:v>Activa</x:v>
      </x:c>
      <x:c r="G690" t="str">
        <x:v>Anual</x:v>
      </x:c>
      <x:c r="H690" t="n">
        <x:v>9</x:v>
      </x:c>
    </x:row>
    <x:row r="691">
      <x:c r="A691" t="str">
        <x:v>SUS-000690</x:v>
      </x:c>
      <x:c r="B691" t="str">
        <x:v>USR-00512</x:v>
      </x:c>
      <x:c r="C691" t="str">
        <x:v>Cero</x:v>
      </x:c>
      <x:c r="D691" t="n">
        <x:v>46023</x:v>
      </x:c>
      <x:c r="E691" t="n">
        <x:v>46266</x:v>
      </x:c>
      <x:c r="F691" t="str">
        <x:v>Activa</x:v>
      </x:c>
      <x:c r="G691" t="str">
        <x:v>Gratuita</x:v>
      </x:c>
      <x:c r="H691" t="n">
        <x:v>9</x:v>
      </x:c>
    </x:row>
    <x:row r="692">
      <x:c r="A692" t="str">
        <x:v>SUS-000691</x:v>
      </x:c>
      <x:c r="B692" t="str">
        <x:v>USR-00513</x:v>
      </x:c>
      <x:c r="C692" t="str">
        <x:v>Cero</x:v>
      </x:c>
      <x:c r="D692" t="n">
        <x:v>46023</x:v>
      </x:c>
      <x:c r="E692" t="n">
        <x:v>46266</x:v>
      </x:c>
      <x:c r="F692" t="str">
        <x:v>Activa</x:v>
      </x:c>
      <x:c r="G692" t="str">
        <x:v>Gratuita</x:v>
      </x:c>
      <x:c r="H692" t="n">
        <x:v>9</x:v>
      </x:c>
    </x:row>
    <x:row r="693">
      <x:c r="A693" t="str">
        <x:v>SUS-000692</x:v>
      </x:c>
      <x:c r="B693" t="str">
        <x:v>USR-00514</x:v>
      </x:c>
      <x:c r="C693" t="str">
        <x:v>Cero</x:v>
      </x:c>
      <x:c r="D693" t="n">
        <x:v>46023</x:v>
      </x:c>
      <x:c r="E693" t="n">
        <x:v>46174</x:v>
      </x:c>
      <x:c r="F693" t="str">
        <x:v>Finalizada</x:v>
      </x:c>
      <x:c r="G693" t="str">
        <x:v>Gratuita</x:v>
      </x:c>
      <x:c r="H693" t="n">
        <x:v>6</x:v>
      </x:c>
    </x:row>
    <x:row r="694">
      <x:c r="A694" t="str">
        <x:v>SUS-000693</x:v>
      </x:c>
      <x:c r="B694" t="str">
        <x:v>USR-00515</x:v>
      </x:c>
      <x:c r="C694" t="str">
        <x:v>Cero</x:v>
      </x:c>
      <x:c r="D694" t="n">
        <x:v>46023</x:v>
      </x:c>
      <x:c r="E694" t="n">
        <x:v>46143</x:v>
      </x:c>
      <x:c r="F694" t="str">
        <x:v>Finalizada</x:v>
      </x:c>
      <x:c r="G694" t="str">
        <x:v>Gratuita</x:v>
      </x:c>
      <x:c r="H694" t="n">
        <x:v>5</x:v>
      </x:c>
    </x:row>
    <x:row r="695">
      <x:c r="A695" t="str">
        <x:v>SUS-000694</x:v>
      </x:c>
      <x:c r="B695" t="str">
        <x:v>USR-00516</x:v>
      </x:c>
      <x:c r="C695" t="str">
        <x:v>Cero</x:v>
      </x:c>
      <x:c r="D695" t="n">
        <x:v>46023</x:v>
      </x:c>
      <x:c r="E695" t="n">
        <x:v>46204</x:v>
      </x:c>
      <x:c r="F695" t="str">
        <x:v>Finalizada</x:v>
      </x:c>
      <x:c r="G695" t="str">
        <x:v>Gratuita</x:v>
      </x:c>
      <x:c r="H695" t="n">
        <x:v>7</x:v>
      </x:c>
    </x:row>
    <x:row r="696">
      <x:c r="A696" t="str">
        <x:v>SUS-000695</x:v>
      </x:c>
      <x:c r="B696" t="str">
        <x:v>USR-00517</x:v>
      </x:c>
      <x:c r="C696" t="str">
        <x:v>Cero</x:v>
      </x:c>
      <x:c r="D696" t="n">
        <x:v>46023</x:v>
      </x:c>
      <x:c r="E696" t="n">
        <x:v>46023</x:v>
      </x:c>
      <x:c r="F696" t="str">
        <x:v>Finalizada</x:v>
      </x:c>
      <x:c r="G696" t="str">
        <x:v>Gratuita</x:v>
      </x:c>
      <x:c r="H696" t="n">
        <x:v>1</x:v>
      </x:c>
    </x:row>
    <x:row r="697">
      <x:c r="A697" t="str">
        <x:v>SUS-000696</x:v>
      </x:c>
      <x:c r="B697" t="str">
        <x:v>USR-00518</x:v>
      </x:c>
      <x:c r="C697" t="str">
        <x:v>Plus mensual</x:v>
      </x:c>
      <x:c r="D697" t="n">
        <x:v>46023</x:v>
      </x:c>
      <x:c r="E697" t="n">
        <x:v>46266</x:v>
      </x:c>
      <x:c r="F697" t="str">
        <x:v>Activa</x:v>
      </x:c>
      <x:c r="G697" t="str">
        <x:v>Mensual</x:v>
      </x:c>
      <x:c r="H697" t="n">
        <x:v>9</x:v>
      </x:c>
    </x:row>
    <x:row r="698">
      <x:c r="A698" t="str">
        <x:v>SUS-000697</x:v>
      </x:c>
      <x:c r="B698" t="str">
        <x:v>USR-00519</x:v>
      </x:c>
      <x:c r="C698" t="str">
        <x:v>Plus anual</x:v>
      </x:c>
      <x:c r="D698" t="n">
        <x:v>46023</x:v>
      </x:c>
      <x:c r="E698" t="n">
        <x:v>46266</x:v>
      </x:c>
      <x:c r="F698" t="str">
        <x:v>Activa</x:v>
      </x:c>
      <x:c r="G698" t="str">
        <x:v>Anual</x:v>
      </x:c>
      <x:c r="H698" t="n">
        <x:v>9</x:v>
      </x:c>
    </x:row>
    <x:row r="699">
      <x:c r="A699" t="str">
        <x:v>SUS-000698</x:v>
      </x:c>
      <x:c r="B699" t="str">
        <x:v>USR-00520</x:v>
      </x:c>
      <x:c r="C699" t="str">
        <x:v>Cero</x:v>
      </x:c>
      <x:c r="D699" t="n">
        <x:v>46023</x:v>
      </x:c>
      <x:c r="E699" t="n">
        <x:v>46143</x:v>
      </x:c>
      <x:c r="F699" t="str">
        <x:v>Finalizada</x:v>
      </x:c>
      <x:c r="G699" t="str">
        <x:v>Gratuita</x:v>
      </x:c>
      <x:c r="H699" t="n">
        <x:v>5</x:v>
      </x:c>
    </x:row>
    <x:row r="700">
      <x:c r="A700" t="str">
        <x:v>SUS-000699</x:v>
      </x:c>
      <x:c r="B700" t="str">
        <x:v>USR-00521</x:v>
      </x:c>
      <x:c r="C700" t="str">
        <x:v>Cero</x:v>
      </x:c>
      <x:c r="D700" t="n">
        <x:v>46023</x:v>
      </x:c>
      <x:c r="E700" t="n">
        <x:v>46054</x:v>
      </x:c>
      <x:c r="F700" t="str">
        <x:v>Finalizada</x:v>
      </x:c>
      <x:c r="G700" t="str">
        <x:v>Gratuita</x:v>
      </x:c>
      <x:c r="H700" t="n">
        <x:v>2</x:v>
      </x:c>
    </x:row>
    <x:row r="701">
      <x:c r="A701" t="str">
        <x:v>SUS-000700</x:v>
      </x:c>
      <x:c r="B701" t="str">
        <x:v>USR-00522</x:v>
      </x:c>
      <x:c r="C701" t="str">
        <x:v>Cero</x:v>
      </x:c>
      <x:c r="D701" t="n">
        <x:v>46023</x:v>
      </x:c>
      <x:c r="E701" t="n">
        <x:v>46054</x:v>
      </x:c>
      <x:c r="F701" t="str">
        <x:v>Finalizada</x:v>
      </x:c>
      <x:c r="G701" t="str">
        <x:v>Gratuita</x:v>
      </x:c>
      <x:c r="H701" t="n">
        <x:v>2</x:v>
      </x:c>
    </x:row>
    <x:row r="702">
      <x:c r="A702" t="str">
        <x:v>SUS-000701</x:v>
      </x:c>
      <x:c r="B702" t="str">
        <x:v>USR-00523</x:v>
      </x:c>
      <x:c r="C702" t="str">
        <x:v>Cero</x:v>
      </x:c>
      <x:c r="D702" t="n">
        <x:v>46023</x:v>
      </x:c>
      <x:c r="E702" t="n">
        <x:v>46266</x:v>
      </x:c>
      <x:c r="F702" t="str">
        <x:v>Activa</x:v>
      </x:c>
      <x:c r="G702" t="str">
        <x:v>Gratuita</x:v>
      </x:c>
      <x:c r="H702" t="n">
        <x:v>9</x:v>
      </x:c>
    </x:row>
    <x:row r="703">
      <x:c r="A703" t="str">
        <x:v>SUS-000702</x:v>
      </x:c>
      <x:c r="B703" t="str">
        <x:v>USR-00524</x:v>
      </x:c>
      <x:c r="C703" t="str">
        <x:v>Cero</x:v>
      </x:c>
      <x:c r="D703" t="n">
        <x:v>46023</x:v>
      </x:c>
      <x:c r="E703" t="n">
        <x:v>46054</x:v>
      </x:c>
      <x:c r="F703" t="str">
        <x:v>Finalizada</x:v>
      </x:c>
      <x:c r="G703" t="str">
        <x:v>Gratuita</x:v>
      </x:c>
      <x:c r="H703" t="n">
        <x:v>2</x:v>
      </x:c>
    </x:row>
    <x:row r="704">
      <x:c r="A704" t="str">
        <x:v>SUS-000703</x:v>
      </x:c>
      <x:c r="B704" t="str">
        <x:v>USR-00525</x:v>
      </x:c>
      <x:c r="C704" t="str">
        <x:v>Cero</x:v>
      </x:c>
      <x:c r="D704" t="n">
        <x:v>46023</x:v>
      </x:c>
      <x:c r="E704" t="n">
        <x:v>46266</x:v>
      </x:c>
      <x:c r="F704" t="str">
        <x:v>Activa</x:v>
      </x:c>
      <x:c r="G704" t="str">
        <x:v>Gratuita</x:v>
      </x:c>
      <x:c r="H704" t="n">
        <x:v>9</x:v>
      </x:c>
    </x:row>
    <x:row r="705">
      <x:c r="A705" t="str">
        <x:v>SUS-000704</x:v>
      </x:c>
      <x:c r="B705" t="str">
        <x:v>USR-00526</x:v>
      </x:c>
      <x:c r="C705" t="str">
        <x:v>Cero</x:v>
      </x:c>
      <x:c r="D705" t="n">
        <x:v>46023</x:v>
      </x:c>
      <x:c r="E705" t="n">
        <x:v>46266</x:v>
      </x:c>
      <x:c r="F705" t="str">
        <x:v>Activa</x:v>
      </x:c>
      <x:c r="G705" t="str">
        <x:v>Gratuita</x:v>
      </x:c>
      <x:c r="H705" t="n">
        <x:v>9</x:v>
      </x:c>
    </x:row>
    <x:row r="706">
      <x:c r="A706" t="str">
        <x:v>SUS-000705</x:v>
      </x:c>
      <x:c r="B706" t="str">
        <x:v>USR-00527</x:v>
      </x:c>
      <x:c r="C706" t="str">
        <x:v>Plus mensual</x:v>
      </x:c>
      <x:c r="D706" t="n">
        <x:v>46023</x:v>
      </x:c>
      <x:c r="E706" t="n">
        <x:v>46266</x:v>
      </x:c>
      <x:c r="F706" t="str">
        <x:v>Activa</x:v>
      </x:c>
      <x:c r="G706" t="str">
        <x:v>Mensual</x:v>
      </x:c>
      <x:c r="H706" t="n">
        <x:v>9</x:v>
      </x:c>
    </x:row>
    <x:row r="707">
      <x:c r="A707" t="str">
        <x:v>SUS-000706</x:v>
      </x:c>
      <x:c r="B707" t="str">
        <x:v>USR-00528</x:v>
      </x:c>
      <x:c r="C707" t="str">
        <x:v>Cero</x:v>
      </x:c>
      <x:c r="D707" t="n">
        <x:v>46023</x:v>
      </x:c>
      <x:c r="E707" t="n">
        <x:v>46054</x:v>
      </x:c>
      <x:c r="F707" t="str">
        <x:v>Finalizada</x:v>
      </x:c>
      <x:c r="G707" t="str">
        <x:v>Gratuita</x:v>
      </x:c>
      <x:c r="H707" t="n">
        <x:v>2</x:v>
      </x:c>
    </x:row>
    <x:row r="708">
      <x:c r="A708" t="str">
        <x:v>SUS-000707</x:v>
      </x:c>
      <x:c r="B708" t="str">
        <x:v>USR-00529</x:v>
      </x:c>
      <x:c r="C708" t="str">
        <x:v>Cero</x:v>
      </x:c>
      <x:c r="D708" t="n">
        <x:v>46023</x:v>
      </x:c>
      <x:c r="E708" t="n">
        <x:v>46174</x:v>
      </x:c>
      <x:c r="F708" t="str">
        <x:v>Finalizada</x:v>
      </x:c>
      <x:c r="G708" t="str">
        <x:v>Gratuita</x:v>
      </x:c>
      <x:c r="H708" t="n">
        <x:v>6</x:v>
      </x:c>
    </x:row>
    <x:row r="709">
      <x:c r="A709" t="str">
        <x:v>SUS-000708</x:v>
      </x:c>
      <x:c r="B709" t="str">
        <x:v>USR-00530</x:v>
      </x:c>
      <x:c r="C709" t="str">
        <x:v>Cero</x:v>
      </x:c>
      <x:c r="D709" t="n">
        <x:v>46023</x:v>
      </x:c>
      <x:c r="E709" t="n">
        <x:v>46023</x:v>
      </x:c>
      <x:c r="F709" t="str">
        <x:v>Finalizada</x:v>
      </x:c>
      <x:c r="G709" t="str">
        <x:v>Gratuita</x:v>
      </x:c>
      <x:c r="H709" t="n">
        <x:v>1</x:v>
      </x:c>
    </x:row>
    <x:row r="710">
      <x:c r="A710" t="str">
        <x:v>SUS-000709</x:v>
      </x:c>
      <x:c r="B710" t="str">
        <x:v>USR-00531</x:v>
      </x:c>
      <x:c r="C710" t="str">
        <x:v>Plus mensual</x:v>
      </x:c>
      <x:c r="D710" t="n">
        <x:v>46023</x:v>
      </x:c>
      <x:c r="E710" t="n">
        <x:v>46113</x:v>
      </x:c>
      <x:c r="F710" t="str">
        <x:v>Finalizada</x:v>
      </x:c>
      <x:c r="G710" t="str">
        <x:v>Mensual</x:v>
      </x:c>
      <x:c r="H710" t="n">
        <x:v>4</x:v>
      </x:c>
    </x:row>
    <x:row r="711">
      <x:c r="A711" t="str">
        <x:v>SUS-000710</x:v>
      </x:c>
      <x:c r="B711" t="str">
        <x:v>USR-00532</x:v>
      </x:c>
      <x:c r="C711" t="str">
        <x:v>Cero</x:v>
      </x:c>
      <x:c r="D711" t="n">
        <x:v>46023</x:v>
      </x:c>
      <x:c r="E711" t="n">
        <x:v>46113</x:v>
      </x:c>
      <x:c r="F711" t="str">
        <x:v>Finalizada</x:v>
      </x:c>
      <x:c r="G711" t="str">
        <x:v>Gratuita</x:v>
      </x:c>
      <x:c r="H711" t="n">
        <x:v>4</x:v>
      </x:c>
    </x:row>
    <x:row r="712">
      <x:c r="A712" t="str">
        <x:v>SUS-000711</x:v>
      </x:c>
      <x:c r="B712" t="str">
        <x:v>USR-00533</x:v>
      </x:c>
      <x:c r="C712" t="str">
        <x:v>Cero</x:v>
      </x:c>
      <x:c r="D712" t="n">
        <x:v>46023</x:v>
      </x:c>
      <x:c r="E712" t="n">
        <x:v>46266</x:v>
      </x:c>
      <x:c r="F712" t="str">
        <x:v>Activa</x:v>
      </x:c>
      <x:c r="G712" t="str">
        <x:v>Gratuita</x:v>
      </x:c>
      <x:c r="H712" t="n">
        <x:v>9</x:v>
      </x:c>
    </x:row>
    <x:row r="713">
      <x:c r="A713" t="str">
        <x:v>SUS-000712</x:v>
      </x:c>
      <x:c r="B713" t="str">
        <x:v>USR-00534</x:v>
      </x:c>
      <x:c r="C713" t="str">
        <x:v>Plus mensual</x:v>
      </x:c>
      <x:c r="D713" t="n">
        <x:v>46023</x:v>
      </x:c>
      <x:c r="E713" t="n">
        <x:v>46266</x:v>
      </x:c>
      <x:c r="F713" t="str">
        <x:v>Activa</x:v>
      </x:c>
      <x:c r="G713" t="str">
        <x:v>Mensual</x:v>
      </x:c>
      <x:c r="H713" t="n">
        <x:v>9</x:v>
      </x:c>
    </x:row>
    <x:row r="714">
      <x:c r="A714" t="str">
        <x:v>SUS-000713</x:v>
      </x:c>
      <x:c r="B714" t="str">
        <x:v>USR-00535</x:v>
      </x:c>
      <x:c r="C714" t="str">
        <x:v>Plus mensual</x:v>
      </x:c>
      <x:c r="D714" t="n">
        <x:v>46023</x:v>
      </x:c>
      <x:c r="E714" t="n">
        <x:v>46054</x:v>
      </x:c>
      <x:c r="F714" t="str">
        <x:v>Finalizada</x:v>
      </x:c>
      <x:c r="G714" t="str">
        <x:v>Mensual</x:v>
      </x:c>
      <x:c r="H714" t="n">
        <x:v>2</x:v>
      </x:c>
    </x:row>
    <x:row r="715">
      <x:c r="A715" t="str">
        <x:v>SUS-000714</x:v>
      </x:c>
      <x:c r="B715" t="str">
        <x:v>USR-00536</x:v>
      </x:c>
      <x:c r="C715" t="str">
        <x:v>Cero</x:v>
      </x:c>
      <x:c r="D715" t="n">
        <x:v>46023</x:v>
      </x:c>
      <x:c r="E715" t="n">
        <x:v>46266</x:v>
      </x:c>
      <x:c r="F715" t="str">
        <x:v>Activa</x:v>
      </x:c>
      <x:c r="G715" t="str">
        <x:v>Gratuita</x:v>
      </x:c>
      <x:c r="H715" t="n">
        <x:v>9</x:v>
      </x:c>
    </x:row>
    <x:row r="716">
      <x:c r="A716" t="str">
        <x:v>SUS-000715</x:v>
      </x:c>
      <x:c r="B716" t="str">
        <x:v>USR-00537</x:v>
      </x:c>
      <x:c r="C716" t="str">
        <x:v>Cero</x:v>
      </x:c>
      <x:c r="D716" t="n">
        <x:v>46023</x:v>
      </x:c>
      <x:c r="E716" t="n">
        <x:v>46266</x:v>
      </x:c>
      <x:c r="F716" t="str">
        <x:v>Activa</x:v>
      </x:c>
      <x:c r="G716" t="str">
        <x:v>Gratuita</x:v>
      </x:c>
      <x:c r="H716" t="n">
        <x:v>9</x:v>
      </x:c>
    </x:row>
    <x:row r="717">
      <x:c r="A717" t="str">
        <x:v>SUS-000716</x:v>
      </x:c>
      <x:c r="B717" t="str">
        <x:v>USR-00538</x:v>
      </x:c>
      <x:c r="C717" t="str">
        <x:v>Plus mensual</x:v>
      </x:c>
      <x:c r="D717" t="n">
        <x:v>46023</x:v>
      </x:c>
      <x:c r="E717" t="n">
        <x:v>46174</x:v>
      </x:c>
      <x:c r="F717" t="str">
        <x:v>Finalizada</x:v>
      </x:c>
      <x:c r="G717" t="str">
        <x:v>Mensual</x:v>
      </x:c>
      <x:c r="H717" t="n">
        <x:v>6</x:v>
      </x:c>
    </x:row>
    <x:row r="718">
      <x:c r="A718" t="str">
        <x:v>SUS-000717</x:v>
      </x:c>
      <x:c r="B718" t="str">
        <x:v>USR-00539</x:v>
      </x:c>
      <x:c r="C718" t="str">
        <x:v>Cero</x:v>
      </x:c>
      <x:c r="D718" t="n">
        <x:v>46023</x:v>
      </x:c>
      <x:c r="E718" t="n">
        <x:v>46113</x:v>
      </x:c>
      <x:c r="F718" t="str">
        <x:v>Finalizada</x:v>
      </x:c>
      <x:c r="G718" t="str">
        <x:v>Gratuita</x:v>
      </x:c>
      <x:c r="H718" t="n">
        <x:v>4</x:v>
      </x:c>
    </x:row>
    <x:row r="719">
      <x:c r="A719" t="str">
        <x:v>SUS-000718</x:v>
      </x:c>
      <x:c r="B719" t="str">
        <x:v>USR-00540</x:v>
      </x:c>
      <x:c r="C719" t="str">
        <x:v>Cero</x:v>
      </x:c>
      <x:c r="D719" t="n">
        <x:v>46023</x:v>
      </x:c>
      <x:c r="E719" t="n">
        <x:v>46266</x:v>
      </x:c>
      <x:c r="F719" t="str">
        <x:v>Activa</x:v>
      </x:c>
      <x:c r="G719" t="str">
        <x:v>Gratuita</x:v>
      </x:c>
      <x:c r="H719" t="n">
        <x:v>9</x:v>
      </x:c>
    </x:row>
    <x:row r="720">
      <x:c r="A720" t="str">
        <x:v>SUS-000719</x:v>
      </x:c>
      <x:c r="B720" t="str">
        <x:v>USR-00541</x:v>
      </x:c>
      <x:c r="C720" t="str">
        <x:v>Cero</x:v>
      </x:c>
      <x:c r="D720" t="n">
        <x:v>46023</x:v>
      </x:c>
      <x:c r="E720" t="n">
        <x:v>46023</x:v>
      </x:c>
      <x:c r="F720" t="str">
        <x:v>Finalizada</x:v>
      </x:c>
      <x:c r="G720" t="str">
        <x:v>Gratuita</x:v>
      </x:c>
      <x:c r="H720" t="n">
        <x:v>1</x:v>
      </x:c>
    </x:row>
    <x:row r="721">
      <x:c r="A721" t="str">
        <x:v>SUS-000720</x:v>
      </x:c>
      <x:c r="B721" t="str">
        <x:v>USR-00542</x:v>
      </x:c>
      <x:c r="C721" t="str">
        <x:v>Cero</x:v>
      </x:c>
      <x:c r="D721" t="n">
        <x:v>46023</x:v>
      </x:c>
      <x:c r="E721" t="n">
        <x:v>46266</x:v>
      </x:c>
      <x:c r="F721" t="str">
        <x:v>Activa</x:v>
      </x:c>
      <x:c r="G721" t="str">
        <x:v>Gratuita</x:v>
      </x:c>
      <x:c r="H721" t="n">
        <x:v>9</x:v>
      </x:c>
    </x:row>
    <x:row r="722">
      <x:c r="A722" t="str">
        <x:v>SUS-000721</x:v>
      </x:c>
      <x:c r="B722" t="str">
        <x:v>USR-00543</x:v>
      </x:c>
      <x:c r="C722" t="str">
        <x:v>Cero</x:v>
      </x:c>
      <x:c r="D722" t="n">
        <x:v>46023</x:v>
      </x:c>
      <x:c r="E722" t="n">
        <x:v>46143</x:v>
      </x:c>
      <x:c r="F722" t="str">
        <x:v>Finalizada</x:v>
      </x:c>
      <x:c r="G722" t="str">
        <x:v>Gratuita</x:v>
      </x:c>
      <x:c r="H722" t="n">
        <x:v>5</x:v>
      </x:c>
    </x:row>
    <x:row r="723">
      <x:c r="A723" t="str">
        <x:v>SUS-000722</x:v>
      </x:c>
      <x:c r="B723" t="str">
        <x:v>USR-00544</x:v>
      </x:c>
      <x:c r="C723" t="str">
        <x:v>Cero</x:v>
      </x:c>
      <x:c r="D723" t="n">
        <x:v>46023</x:v>
      </x:c>
      <x:c r="E723" t="n">
        <x:v>46266</x:v>
      </x:c>
      <x:c r="F723" t="str">
        <x:v>Activa</x:v>
      </x:c>
      <x:c r="G723" t="str">
        <x:v>Gratuita</x:v>
      </x:c>
      <x:c r="H723" t="n">
        <x:v>9</x:v>
      </x:c>
    </x:row>
    <x:row r="724">
      <x:c r="A724" t="str">
        <x:v>SUS-000723</x:v>
      </x:c>
      <x:c r="B724" t="str">
        <x:v>USR-00545</x:v>
      </x:c>
      <x:c r="C724" t="str">
        <x:v>Cero</x:v>
      </x:c>
      <x:c r="D724" t="n">
        <x:v>46023</x:v>
      </x:c>
      <x:c r="E724" t="n">
        <x:v>46266</x:v>
      </x:c>
      <x:c r="F724" t="str">
        <x:v>Activa</x:v>
      </x:c>
      <x:c r="G724" t="str">
        <x:v>Gratuita</x:v>
      </x:c>
      <x:c r="H724" t="n">
        <x:v>9</x:v>
      </x:c>
    </x:row>
    <x:row r="725">
      <x:c r="A725" t="str">
        <x:v>SUS-000724</x:v>
      </x:c>
      <x:c r="B725" t="str">
        <x:v>USR-00546</x:v>
      </x:c>
      <x:c r="C725" t="str">
        <x:v>Cero</x:v>
      </x:c>
      <x:c r="D725" t="n">
        <x:v>46023</x:v>
      </x:c>
      <x:c r="E725" t="n">
        <x:v>46266</x:v>
      </x:c>
      <x:c r="F725" t="str">
        <x:v>Activa</x:v>
      </x:c>
      <x:c r="G725" t="str">
        <x:v>Gratuita</x:v>
      </x:c>
      <x:c r="H725" t="n">
        <x:v>9</x:v>
      </x:c>
    </x:row>
    <x:row r="726">
      <x:c r="A726" t="str">
        <x:v>SUS-000725</x:v>
      </x:c>
      <x:c r="B726" t="str">
        <x:v>USR-00547</x:v>
      </x:c>
      <x:c r="C726" t="str">
        <x:v>Plus mensual</x:v>
      </x:c>
      <x:c r="D726" t="n">
        <x:v>46023</x:v>
      </x:c>
      <x:c r="E726" t="n">
        <x:v>46143</x:v>
      </x:c>
      <x:c r="F726" t="str">
        <x:v>Finalizada</x:v>
      </x:c>
      <x:c r="G726" t="str">
        <x:v>Mensual</x:v>
      </x:c>
      <x:c r="H726" t="n">
        <x:v>5</x:v>
      </x:c>
    </x:row>
    <x:row r="727">
      <x:c r="A727" t="str">
        <x:v>SUS-000726</x:v>
      </x:c>
      <x:c r="B727" t="str">
        <x:v>USR-00548</x:v>
      </x:c>
      <x:c r="C727" t="str">
        <x:v>Cero</x:v>
      </x:c>
      <x:c r="D727" t="n">
        <x:v>46023</x:v>
      </x:c>
      <x:c r="E727" t="n">
        <x:v>46174</x:v>
      </x:c>
      <x:c r="F727" t="str">
        <x:v>Finalizada</x:v>
      </x:c>
      <x:c r="G727" t="str">
        <x:v>Gratuita</x:v>
      </x:c>
      <x:c r="H727" t="n">
        <x:v>6</x:v>
      </x:c>
    </x:row>
    <x:row r="728">
      <x:c r="A728" t="str">
        <x:v>SUS-000727</x:v>
      </x:c>
      <x:c r="B728" t="str">
        <x:v>USR-00549</x:v>
      </x:c>
      <x:c r="C728" t="str">
        <x:v>Cero</x:v>
      </x:c>
      <x:c r="D728" t="n">
        <x:v>46023</x:v>
      </x:c>
      <x:c r="E728" t="n">
        <x:v>46266</x:v>
      </x:c>
      <x:c r="F728" t="str">
        <x:v>Activa</x:v>
      </x:c>
      <x:c r="G728" t="str">
        <x:v>Gratuita</x:v>
      </x:c>
      <x:c r="H728" t="n">
        <x:v>9</x:v>
      </x:c>
    </x:row>
    <x:row r="729">
      <x:c r="A729" t="str">
        <x:v>SUS-000728</x:v>
      </x:c>
      <x:c r="B729" t="str">
        <x:v>USR-00550</x:v>
      </x:c>
      <x:c r="C729" t="str">
        <x:v>Cero</x:v>
      </x:c>
      <x:c r="D729" t="n">
        <x:v>46023</x:v>
      </x:c>
      <x:c r="E729" t="n">
        <x:v>46266</x:v>
      </x:c>
      <x:c r="F729" t="str">
        <x:v>Activa</x:v>
      </x:c>
      <x:c r="G729" t="str">
        <x:v>Gratuita</x:v>
      </x:c>
      <x:c r="H729" t="n">
        <x:v>9</x:v>
      </x:c>
    </x:row>
    <x:row r="730">
      <x:c r="A730" t="str">
        <x:v>SUS-000729</x:v>
      </x:c>
      <x:c r="B730" t="str">
        <x:v>USR-00551</x:v>
      </x:c>
      <x:c r="C730" t="str">
        <x:v>Cero</x:v>
      </x:c>
      <x:c r="D730" t="n">
        <x:v>46023</x:v>
      </x:c>
      <x:c r="E730" t="n">
        <x:v>46082</x:v>
      </x:c>
      <x:c r="F730" t="str">
        <x:v>Finalizada</x:v>
      </x:c>
      <x:c r="G730" t="str">
        <x:v>Gratuita</x:v>
      </x:c>
      <x:c r="H730" t="n">
        <x:v>3</x:v>
      </x:c>
    </x:row>
    <x:row r="731">
      <x:c r="A731" t="str">
        <x:v>SUS-000730</x:v>
      </x:c>
      <x:c r="B731" t="str">
        <x:v>USR-00552</x:v>
      </x:c>
      <x:c r="C731" t="str">
        <x:v>Plus anual</x:v>
      </x:c>
      <x:c r="D731" t="n">
        <x:v>46023</x:v>
      </x:c>
      <x:c r="E731" t="n">
        <x:v>46266</x:v>
      </x:c>
      <x:c r="F731" t="str">
        <x:v>Activa</x:v>
      </x:c>
      <x:c r="G731" t="str">
        <x:v>Anual</x:v>
      </x:c>
      <x:c r="H731" t="n">
        <x:v>9</x:v>
      </x:c>
    </x:row>
    <x:row r="732">
      <x:c r="A732" t="str">
        <x:v>SUS-000731</x:v>
      </x:c>
      <x:c r="B732" t="str">
        <x:v>USR-00553</x:v>
      </x:c>
      <x:c r="C732" t="str">
        <x:v>Plus mensual</x:v>
      </x:c>
      <x:c r="D732" t="n">
        <x:v>46023</x:v>
      </x:c>
      <x:c r="E732" t="n">
        <x:v>46082</x:v>
      </x:c>
      <x:c r="F732" t="str">
        <x:v>Finalizada</x:v>
      </x:c>
      <x:c r="G732" t="str">
        <x:v>Mensual</x:v>
      </x:c>
      <x:c r="H732" t="n">
        <x:v>3</x:v>
      </x:c>
    </x:row>
    <x:row r="733">
      <x:c r="A733" t="str">
        <x:v>SUS-000732</x:v>
      </x:c>
      <x:c r="B733" t="str">
        <x:v>USR-00554</x:v>
      </x:c>
      <x:c r="C733" t="str">
        <x:v>Cero</x:v>
      </x:c>
      <x:c r="D733" t="n">
        <x:v>46023</x:v>
      </x:c>
      <x:c r="E733" t="n">
        <x:v>46266</x:v>
      </x:c>
      <x:c r="F733" t="str">
        <x:v>Activa</x:v>
      </x:c>
      <x:c r="G733" t="str">
        <x:v>Gratuita</x:v>
      </x:c>
      <x:c r="H733" t="n">
        <x:v>9</x:v>
      </x:c>
    </x:row>
    <x:row r="734">
      <x:c r="A734" t="str">
        <x:v>SUS-000733</x:v>
      </x:c>
      <x:c r="B734" t="str">
        <x:v>USR-00555</x:v>
      </x:c>
      <x:c r="C734" t="str">
        <x:v>Cero</x:v>
      </x:c>
      <x:c r="D734" t="n">
        <x:v>46023</x:v>
      </x:c>
      <x:c r="E734" t="n">
        <x:v>46266</x:v>
      </x:c>
      <x:c r="F734" t="str">
        <x:v>Activa</x:v>
      </x:c>
      <x:c r="G734" t="str">
        <x:v>Gratuita</x:v>
      </x:c>
      <x:c r="H734" t="n">
        <x:v>9</x:v>
      </x:c>
    </x:row>
    <x:row r="735">
      <x:c r="A735" t="str">
        <x:v>SUS-000734</x:v>
      </x:c>
      <x:c r="B735" t="str">
        <x:v>USR-00034</x:v>
      </x:c>
      <x:c r="C735" t="str">
        <x:v>Plus mensual</x:v>
      </x:c>
      <x:c r="D735" t="n">
        <x:v>46054</x:v>
      </x:c>
      <x:c r="E735" t="n">
        <x:v>46266</x:v>
      </x:c>
      <x:c r="F735" t="str">
        <x:v>Activa</x:v>
      </x:c>
      <x:c r="G735" t="str">
        <x:v>Mensual</x:v>
      </x:c>
      <x:c r="H735" t="n">
        <x:v>8</x:v>
      </x:c>
    </x:row>
    <x:row r="736">
      <x:c r="A736" t="str">
        <x:v>SUS-000735</x:v>
      </x:c>
      <x:c r="B736" t="str">
        <x:v>USR-00052</x:v>
      </x:c>
      <x:c r="C736" t="str">
        <x:v>Cero</x:v>
      </x:c>
      <x:c r="D736" t="n">
        <x:v>46054</x:v>
      </x:c>
      <x:c r="E736" t="n">
        <x:v>46266</x:v>
      </x:c>
      <x:c r="F736" t="str">
        <x:v>Activa</x:v>
      </x:c>
      <x:c r="G736" t="str">
        <x:v>Gratuita</x:v>
      </x:c>
      <x:c r="H736" t="n">
        <x:v>8</x:v>
      </x:c>
    </x:row>
    <x:row r="737">
      <x:c r="A737" t="str">
        <x:v>SUS-000736</x:v>
      </x:c>
      <x:c r="B737" t="str">
        <x:v>USR-00091</x:v>
      </x:c>
      <x:c r="C737" t="str">
        <x:v>Plus mensual</x:v>
      </x:c>
      <x:c r="D737" t="n">
        <x:v>46054</x:v>
      </x:c>
      <x:c r="E737" t="n">
        <x:v>46266</x:v>
      </x:c>
      <x:c r="F737" t="str">
        <x:v>Activa</x:v>
      </x:c>
      <x:c r="G737" t="str">
        <x:v>Mensual</x:v>
      </x:c>
      <x:c r="H737" t="n">
        <x:v>8</x:v>
      </x:c>
    </x:row>
    <x:row r="738">
      <x:c r="A738" t="str">
        <x:v>SUS-000737</x:v>
      </x:c>
      <x:c r="B738" t="str">
        <x:v>USR-00119</x:v>
      </x:c>
      <x:c r="C738" t="str">
        <x:v>Plus anual</x:v>
      </x:c>
      <x:c r="D738" t="n">
        <x:v>46054</x:v>
      </x:c>
      <x:c r="E738" t="n">
        <x:v>46266</x:v>
      </x:c>
      <x:c r="F738" t="str">
        <x:v>Activa</x:v>
      </x:c>
      <x:c r="G738" t="str">
        <x:v>Anual</x:v>
      </x:c>
      <x:c r="H738" t="n">
        <x:v>8</x:v>
      </x:c>
    </x:row>
    <x:row r="739">
      <x:c r="A739" t="str">
        <x:v>SUS-000738</x:v>
      </x:c>
      <x:c r="B739" t="str">
        <x:v>USR-00123</x:v>
      </x:c>
      <x:c r="C739" t="str">
        <x:v>Cero</x:v>
      </x:c>
      <x:c r="D739" t="n">
        <x:v>46054</x:v>
      </x:c>
      <x:c r="E739" t="n">
        <x:v>46174</x:v>
      </x:c>
      <x:c r="F739" t="str">
        <x:v>Finalizada</x:v>
      </x:c>
      <x:c r="G739" t="str">
        <x:v>Gratuita</x:v>
      </x:c>
      <x:c r="H739" t="n">
        <x:v>5</x:v>
      </x:c>
    </x:row>
    <x:row r="740">
      <x:c r="A740" t="str">
        <x:v>SUS-000739</x:v>
      </x:c>
      <x:c r="B740" t="str">
        <x:v>USR-00146</x:v>
      </x:c>
      <x:c r="C740" t="str">
        <x:v>Plus anual</x:v>
      </x:c>
      <x:c r="D740" t="n">
        <x:v>46054</x:v>
      </x:c>
      <x:c r="E740" t="n">
        <x:v>46266</x:v>
      </x:c>
      <x:c r="F740" t="str">
        <x:v>Activa</x:v>
      </x:c>
      <x:c r="G740" t="str">
        <x:v>Anual</x:v>
      </x:c>
      <x:c r="H740" t="n">
        <x:v>8</x:v>
      </x:c>
    </x:row>
    <x:row r="741">
      <x:c r="A741" t="str">
        <x:v>SUS-000740</x:v>
      </x:c>
      <x:c r="B741" t="str">
        <x:v>USR-00148</x:v>
      </x:c>
      <x:c r="C741" t="str">
        <x:v>Plus mensual</x:v>
      </x:c>
      <x:c r="D741" t="n">
        <x:v>46054</x:v>
      </x:c>
      <x:c r="E741" t="n">
        <x:v>46174</x:v>
      </x:c>
      <x:c r="F741" t="str">
        <x:v>Finalizada</x:v>
      </x:c>
      <x:c r="G741" t="str">
        <x:v>Mensual</x:v>
      </x:c>
      <x:c r="H741" t="n">
        <x:v>5</x:v>
      </x:c>
    </x:row>
    <x:row r="742">
      <x:c r="A742" t="str">
        <x:v>SUS-000741</x:v>
      </x:c>
      <x:c r="B742" t="str">
        <x:v>USR-00181</x:v>
      </x:c>
      <x:c r="C742" t="str">
        <x:v>Plus anual</x:v>
      </x:c>
      <x:c r="D742" t="n">
        <x:v>46054</x:v>
      </x:c>
      <x:c r="E742" t="n">
        <x:v>46266</x:v>
      </x:c>
      <x:c r="F742" t="str">
        <x:v>Activa</x:v>
      </x:c>
      <x:c r="G742" t="str">
        <x:v>Anual</x:v>
      </x:c>
      <x:c r="H742" t="n">
        <x:v>8</x:v>
      </x:c>
    </x:row>
    <x:row r="743">
      <x:c r="A743" t="str">
        <x:v>SUS-000742</x:v>
      </x:c>
      <x:c r="B743" t="str">
        <x:v>USR-00189</x:v>
      </x:c>
      <x:c r="C743" t="str">
        <x:v>Cero</x:v>
      </x:c>
      <x:c r="D743" t="n">
        <x:v>46054</x:v>
      </x:c>
      <x:c r="E743" t="n">
        <x:v>46266</x:v>
      </x:c>
      <x:c r="F743" t="str">
        <x:v>Activa</x:v>
      </x:c>
      <x:c r="G743" t="str">
        <x:v>Gratuita</x:v>
      </x:c>
      <x:c r="H743" t="n">
        <x:v>8</x:v>
      </x:c>
    </x:row>
    <x:row r="744">
      <x:c r="A744" t="str">
        <x:v>SUS-000743</x:v>
      </x:c>
      <x:c r="B744" t="str">
        <x:v>USR-00191</x:v>
      </x:c>
      <x:c r="C744" t="str">
        <x:v>Plus anual</x:v>
      </x:c>
      <x:c r="D744" t="n">
        <x:v>46054</x:v>
      </x:c>
      <x:c r="E744" t="n">
        <x:v>46266</x:v>
      </x:c>
      <x:c r="F744" t="str">
        <x:v>Activa</x:v>
      </x:c>
      <x:c r="G744" t="str">
        <x:v>Anual</x:v>
      </x:c>
      <x:c r="H744" t="n">
        <x:v>8</x:v>
      </x:c>
    </x:row>
    <x:row r="745">
      <x:c r="A745" t="str">
        <x:v>SUS-000744</x:v>
      </x:c>
      <x:c r="B745" t="str">
        <x:v>USR-00197</x:v>
      </x:c>
      <x:c r="C745" t="str">
        <x:v>Plus anual</x:v>
      </x:c>
      <x:c r="D745" t="n">
        <x:v>46054</x:v>
      </x:c>
      <x:c r="E745" t="n">
        <x:v>46266</x:v>
      </x:c>
      <x:c r="F745" t="str">
        <x:v>Activa</x:v>
      </x:c>
      <x:c r="G745" t="str">
        <x:v>Anual</x:v>
      </x:c>
      <x:c r="H745" t="n">
        <x:v>8</x:v>
      </x:c>
    </x:row>
    <x:row r="746">
      <x:c r="A746" t="str">
        <x:v>SUS-000745</x:v>
      </x:c>
      <x:c r="B746" t="str">
        <x:v>USR-00200</x:v>
      </x:c>
      <x:c r="C746" t="str">
        <x:v>Cero</x:v>
      </x:c>
      <x:c r="D746" t="n">
        <x:v>46054</x:v>
      </x:c>
      <x:c r="E746" t="n">
        <x:v>46266</x:v>
      </x:c>
      <x:c r="F746" t="str">
        <x:v>Activa</x:v>
      </x:c>
      <x:c r="G746" t="str">
        <x:v>Gratuita</x:v>
      </x:c>
      <x:c r="H746" t="n">
        <x:v>8</x:v>
      </x:c>
    </x:row>
    <x:row r="747">
      <x:c r="A747" t="str">
        <x:v>SUS-000746</x:v>
      </x:c>
      <x:c r="B747" t="str">
        <x:v>USR-00205</x:v>
      </x:c>
      <x:c r="C747" t="str">
        <x:v>Plus mensual</x:v>
      </x:c>
      <x:c r="D747" t="n">
        <x:v>46054</x:v>
      </x:c>
      <x:c r="E747" t="n">
        <x:v>46054</x:v>
      </x:c>
      <x:c r="F747" t="str">
        <x:v>Finalizada</x:v>
      </x:c>
      <x:c r="G747" t="str">
        <x:v>Mensual</x:v>
      </x:c>
      <x:c r="H747" t="n">
        <x:v>1</x:v>
      </x:c>
    </x:row>
    <x:row r="748">
      <x:c r="A748" t="str">
        <x:v>SUS-000747</x:v>
      </x:c>
      <x:c r="B748" t="str">
        <x:v>USR-00211</x:v>
      </x:c>
      <x:c r="C748" t="str">
        <x:v>Plus mensual</x:v>
      </x:c>
      <x:c r="D748" t="n">
        <x:v>46054</x:v>
      </x:c>
      <x:c r="E748" t="n">
        <x:v>46174</x:v>
      </x:c>
      <x:c r="F748" t="str">
        <x:v>Finalizada</x:v>
      </x:c>
      <x:c r="G748" t="str">
        <x:v>Mensual</x:v>
      </x:c>
      <x:c r="H748" t="n">
        <x:v>5</x:v>
      </x:c>
    </x:row>
    <x:row r="749">
      <x:c r="A749" t="str">
        <x:v>SUS-000748</x:v>
      </x:c>
      <x:c r="B749" t="str">
        <x:v>USR-00214</x:v>
      </x:c>
      <x:c r="C749" t="str">
        <x:v>Plus anual</x:v>
      </x:c>
      <x:c r="D749" t="n">
        <x:v>46054</x:v>
      </x:c>
      <x:c r="E749" t="n">
        <x:v>46266</x:v>
      </x:c>
      <x:c r="F749" t="str">
        <x:v>Activa</x:v>
      </x:c>
      <x:c r="G749" t="str">
        <x:v>Anual</x:v>
      </x:c>
      <x:c r="H749" t="n">
        <x:v>8</x:v>
      </x:c>
    </x:row>
    <x:row r="750">
      <x:c r="A750" t="str">
        <x:v>SUS-000749</x:v>
      </x:c>
      <x:c r="B750" t="str">
        <x:v>USR-00233</x:v>
      </x:c>
      <x:c r="C750" t="str">
        <x:v>Plus anual</x:v>
      </x:c>
      <x:c r="D750" t="n">
        <x:v>46054</x:v>
      </x:c>
      <x:c r="E750" t="n">
        <x:v>46266</x:v>
      </x:c>
      <x:c r="F750" t="str">
        <x:v>Activa</x:v>
      </x:c>
      <x:c r="G750" t="str">
        <x:v>Anual</x:v>
      </x:c>
      <x:c r="H750" t="n">
        <x:v>8</x:v>
      </x:c>
    </x:row>
    <x:row r="751">
      <x:c r="A751" t="str">
        <x:v>SUS-000750</x:v>
      </x:c>
      <x:c r="B751" t="str">
        <x:v>USR-00235</x:v>
      </x:c>
      <x:c r="C751" t="str">
        <x:v>Plus mensual</x:v>
      </x:c>
      <x:c r="D751" t="n">
        <x:v>46054</x:v>
      </x:c>
      <x:c r="E751" t="n">
        <x:v>46054</x:v>
      </x:c>
      <x:c r="F751" t="str">
        <x:v>Finalizada</x:v>
      </x:c>
      <x:c r="G751" t="str">
        <x:v>Mensual</x:v>
      </x:c>
      <x:c r="H751" t="n">
        <x:v>1</x:v>
      </x:c>
    </x:row>
    <x:row r="752">
      <x:c r="A752" t="str">
        <x:v>SUS-000751</x:v>
      </x:c>
      <x:c r="B752" t="str">
        <x:v>USR-00241</x:v>
      </x:c>
      <x:c r="C752" t="str">
        <x:v>Plus anual</x:v>
      </x:c>
      <x:c r="D752" t="n">
        <x:v>46054</x:v>
      </x:c>
      <x:c r="E752" t="n">
        <x:v>46266</x:v>
      </x:c>
      <x:c r="F752" t="str">
        <x:v>Activa</x:v>
      </x:c>
      <x:c r="G752" t="str">
        <x:v>Anual</x:v>
      </x:c>
      <x:c r="H752" t="n">
        <x:v>8</x:v>
      </x:c>
    </x:row>
    <x:row r="753">
      <x:c r="A753" t="str">
        <x:v>SUS-000752</x:v>
      </x:c>
      <x:c r="B753" t="str">
        <x:v>USR-00259</x:v>
      </x:c>
      <x:c r="C753" t="str">
        <x:v>Plus anual</x:v>
      </x:c>
      <x:c r="D753" t="n">
        <x:v>46054</x:v>
      </x:c>
      <x:c r="E753" t="n">
        <x:v>46266</x:v>
      </x:c>
      <x:c r="F753" t="str">
        <x:v>Activa</x:v>
      </x:c>
      <x:c r="G753" t="str">
        <x:v>Anual</x:v>
      </x:c>
      <x:c r="H753" t="n">
        <x:v>8</x:v>
      </x:c>
    </x:row>
    <x:row r="754">
      <x:c r="A754" t="str">
        <x:v>SUS-000753</x:v>
      </x:c>
      <x:c r="B754" t="str">
        <x:v>USR-00267</x:v>
      </x:c>
      <x:c r="C754" t="str">
        <x:v>Plus anual</x:v>
      </x:c>
      <x:c r="D754" t="n">
        <x:v>46054</x:v>
      </x:c>
      <x:c r="E754" t="n">
        <x:v>46266</x:v>
      </x:c>
      <x:c r="F754" t="str">
        <x:v>Activa</x:v>
      </x:c>
      <x:c r="G754" t="str">
        <x:v>Anual</x:v>
      </x:c>
      <x:c r="H754" t="n">
        <x:v>8</x:v>
      </x:c>
    </x:row>
    <x:row r="755">
      <x:c r="A755" t="str">
        <x:v>SUS-000754</x:v>
      </x:c>
      <x:c r="B755" t="str">
        <x:v>USR-00293</x:v>
      </x:c>
      <x:c r="C755" t="str">
        <x:v>Plus mensual</x:v>
      </x:c>
      <x:c r="D755" t="n">
        <x:v>46054</x:v>
      </x:c>
      <x:c r="E755" t="n">
        <x:v>46174</x:v>
      </x:c>
      <x:c r="F755" t="str">
        <x:v>Finalizada</x:v>
      </x:c>
      <x:c r="G755" t="str">
        <x:v>Mensual</x:v>
      </x:c>
      <x:c r="H755" t="n">
        <x:v>5</x:v>
      </x:c>
    </x:row>
    <x:row r="756">
      <x:c r="A756" t="str">
        <x:v>SUS-000755</x:v>
      </x:c>
      <x:c r="B756" t="str">
        <x:v>USR-00300</x:v>
      </x:c>
      <x:c r="C756" t="str">
        <x:v>Plus anual</x:v>
      </x:c>
      <x:c r="D756" t="n">
        <x:v>46054</x:v>
      </x:c>
      <x:c r="E756" t="n">
        <x:v>46266</x:v>
      </x:c>
      <x:c r="F756" t="str">
        <x:v>Activa</x:v>
      </x:c>
      <x:c r="G756" t="str">
        <x:v>Anual</x:v>
      </x:c>
      <x:c r="H756" t="n">
        <x:v>8</x:v>
      </x:c>
    </x:row>
    <x:row r="757">
      <x:c r="A757" t="str">
        <x:v>SUS-000756</x:v>
      </x:c>
      <x:c r="B757" t="str">
        <x:v>USR-00339</x:v>
      </x:c>
      <x:c r="C757" t="str">
        <x:v>Plus mensual</x:v>
      </x:c>
      <x:c r="D757" t="n">
        <x:v>46054</x:v>
      </x:c>
      <x:c r="E757" t="n">
        <x:v>46082</x:v>
      </x:c>
      <x:c r="F757" t="str">
        <x:v>Finalizada</x:v>
      </x:c>
      <x:c r="G757" t="str">
        <x:v>Mensual</x:v>
      </x:c>
      <x:c r="H757" t="n">
        <x:v>2</x:v>
      </x:c>
    </x:row>
    <x:row r="758">
      <x:c r="A758" t="str">
        <x:v>SUS-000757</x:v>
      </x:c>
      <x:c r="B758" t="str">
        <x:v>USR-00340</x:v>
      </x:c>
      <x:c r="C758" t="str">
        <x:v>Plus mensual</x:v>
      </x:c>
      <x:c r="D758" t="n">
        <x:v>46054</x:v>
      </x:c>
      <x:c r="E758" t="n">
        <x:v>46174</x:v>
      </x:c>
      <x:c r="F758" t="str">
        <x:v>Finalizada</x:v>
      </x:c>
      <x:c r="G758" t="str">
        <x:v>Mensual</x:v>
      </x:c>
      <x:c r="H758" t="n">
        <x:v>5</x:v>
      </x:c>
    </x:row>
    <x:row r="759">
      <x:c r="A759" t="str">
        <x:v>SUS-000758</x:v>
      </x:c>
      <x:c r="B759" t="str">
        <x:v>USR-00344</x:v>
      </x:c>
      <x:c r="C759" t="str">
        <x:v>Cero</x:v>
      </x:c>
      <x:c r="D759" t="n">
        <x:v>46054</x:v>
      </x:c>
      <x:c r="E759" t="n">
        <x:v>46266</x:v>
      </x:c>
      <x:c r="F759" t="str">
        <x:v>Activa</x:v>
      </x:c>
      <x:c r="G759" t="str">
        <x:v>Gratuita</x:v>
      </x:c>
      <x:c r="H759" t="n">
        <x:v>8</x:v>
      </x:c>
    </x:row>
    <x:row r="760">
      <x:c r="A760" t="str">
        <x:v>SUS-000759</x:v>
      </x:c>
      <x:c r="B760" t="str">
        <x:v>USR-00354</x:v>
      </x:c>
      <x:c r="C760" t="str">
        <x:v>Plus anual</x:v>
      </x:c>
      <x:c r="D760" t="n">
        <x:v>46054</x:v>
      </x:c>
      <x:c r="E760" t="n">
        <x:v>46266</x:v>
      </x:c>
      <x:c r="F760" t="str">
        <x:v>Activa</x:v>
      </x:c>
      <x:c r="G760" t="str">
        <x:v>Anual</x:v>
      </x:c>
      <x:c r="H760" t="n">
        <x:v>8</x:v>
      </x:c>
    </x:row>
    <x:row r="761">
      <x:c r="A761" t="str">
        <x:v>SUS-000760</x:v>
      </x:c>
      <x:c r="B761" t="str">
        <x:v>USR-00364</x:v>
      </x:c>
      <x:c r="C761" t="str">
        <x:v>Plus mensual</x:v>
      </x:c>
      <x:c r="D761" t="n">
        <x:v>46054</x:v>
      </x:c>
      <x:c r="E761" t="n">
        <x:v>46113</x:v>
      </x:c>
      <x:c r="F761" t="str">
        <x:v>Finalizada</x:v>
      </x:c>
      <x:c r="G761" t="str">
        <x:v>Mensual</x:v>
      </x:c>
      <x:c r="H761" t="n">
        <x:v>3</x:v>
      </x:c>
    </x:row>
    <x:row r="762">
      <x:c r="A762" t="str">
        <x:v>SUS-000761</x:v>
      </x:c>
      <x:c r="B762" t="str">
        <x:v>USR-00398</x:v>
      </x:c>
      <x:c r="C762" t="str">
        <x:v>Plus anual</x:v>
      </x:c>
      <x:c r="D762" t="n">
        <x:v>46054</x:v>
      </x:c>
      <x:c r="E762" t="n">
        <x:v>46266</x:v>
      </x:c>
      <x:c r="F762" t="str">
        <x:v>Activa</x:v>
      </x:c>
      <x:c r="G762" t="str">
        <x:v>Anual</x:v>
      </x:c>
      <x:c r="H762" t="n">
        <x:v>8</x:v>
      </x:c>
    </x:row>
    <x:row r="763">
      <x:c r="A763" t="str">
        <x:v>SUS-000762</x:v>
      </x:c>
      <x:c r="B763" t="str">
        <x:v>USR-00434</x:v>
      </x:c>
      <x:c r="C763" t="str">
        <x:v>Cero</x:v>
      </x:c>
      <x:c r="D763" t="n">
        <x:v>46054</x:v>
      </x:c>
      <x:c r="E763" t="n">
        <x:v>46266</x:v>
      </x:c>
      <x:c r="F763" t="str">
        <x:v>Activa</x:v>
      </x:c>
      <x:c r="G763" t="str">
        <x:v>Gratuita</x:v>
      </x:c>
      <x:c r="H763" t="n">
        <x:v>8</x:v>
      </x:c>
    </x:row>
    <x:row r="764">
      <x:c r="A764" t="str">
        <x:v>SUS-000763</x:v>
      </x:c>
      <x:c r="B764" t="str">
        <x:v>USR-00467</x:v>
      </x:c>
      <x:c r="C764" t="str">
        <x:v>Plus mensual</x:v>
      </x:c>
      <x:c r="D764" t="n">
        <x:v>46054</x:v>
      </x:c>
      <x:c r="E764" t="n">
        <x:v>46266</x:v>
      </x:c>
      <x:c r="F764" t="str">
        <x:v>Activa</x:v>
      </x:c>
      <x:c r="G764" t="str">
        <x:v>Mensual</x:v>
      </x:c>
      <x:c r="H764" t="n">
        <x:v>8</x:v>
      </x:c>
    </x:row>
    <x:row r="765">
      <x:c r="A765" t="str">
        <x:v>SUS-000764</x:v>
      </x:c>
      <x:c r="B765" t="str">
        <x:v>USR-00483</x:v>
      </x:c>
      <x:c r="C765" t="str">
        <x:v>Cero</x:v>
      </x:c>
      <x:c r="D765" t="n">
        <x:v>46054</x:v>
      </x:c>
      <x:c r="E765" t="n">
        <x:v>46266</x:v>
      </x:c>
      <x:c r="F765" t="str">
        <x:v>Activa</x:v>
      </x:c>
      <x:c r="G765" t="str">
        <x:v>Gratuita</x:v>
      </x:c>
      <x:c r="H765" t="n">
        <x:v>8</x:v>
      </x:c>
    </x:row>
    <x:row r="766">
      <x:c r="A766" t="str">
        <x:v>SUS-000765</x:v>
      </x:c>
      <x:c r="B766" t="str">
        <x:v>USR-00485</x:v>
      </x:c>
      <x:c r="C766" t="str">
        <x:v>Plus anual</x:v>
      </x:c>
      <x:c r="D766" t="n">
        <x:v>46054</x:v>
      </x:c>
      <x:c r="E766" t="n">
        <x:v>46266</x:v>
      </x:c>
      <x:c r="F766" t="str">
        <x:v>Activa</x:v>
      </x:c>
      <x:c r="G766" t="str">
        <x:v>Anual</x:v>
      </x:c>
      <x:c r="H766" t="n">
        <x:v>8</x:v>
      </x:c>
    </x:row>
    <x:row r="767">
      <x:c r="A767" t="str">
        <x:v>SUS-000766</x:v>
      </x:c>
      <x:c r="B767" t="str">
        <x:v>USR-00489</x:v>
      </x:c>
      <x:c r="C767" t="str">
        <x:v>Plus mensual</x:v>
      </x:c>
      <x:c r="D767" t="n">
        <x:v>46054</x:v>
      </x:c>
      <x:c r="E767" t="n">
        <x:v>46235</x:v>
      </x:c>
      <x:c r="F767" t="str">
        <x:v>Finalizada</x:v>
      </x:c>
      <x:c r="G767" t="str">
        <x:v>Mensual</x:v>
      </x:c>
      <x:c r="H767" t="n">
        <x:v>7</x:v>
      </x:c>
    </x:row>
    <x:row r="768">
      <x:c r="A768" t="str">
        <x:v>SUS-000767</x:v>
      </x:c>
      <x:c r="B768" t="str">
        <x:v>USR-00517</x:v>
      </x:c>
      <x:c r="C768" t="str">
        <x:v>Plus mensual</x:v>
      </x:c>
      <x:c r="D768" t="n">
        <x:v>46054</x:v>
      </x:c>
      <x:c r="E768" t="n">
        <x:v>46266</x:v>
      </x:c>
      <x:c r="F768" t="str">
        <x:v>Activa</x:v>
      </x:c>
      <x:c r="G768" t="str">
        <x:v>Mensual</x:v>
      </x:c>
      <x:c r="H768" t="n">
        <x:v>8</x:v>
      </x:c>
    </x:row>
    <x:row r="769">
      <x:c r="A769" t="str">
        <x:v>SUS-000768</x:v>
      </x:c>
      <x:c r="B769" t="str">
        <x:v>USR-00530</x:v>
      </x:c>
      <x:c r="C769" t="str">
        <x:v>Plus mensual</x:v>
      </x:c>
      <x:c r="D769" t="n">
        <x:v>46054</x:v>
      </x:c>
      <x:c r="E769" t="n">
        <x:v>46082</x:v>
      </x:c>
      <x:c r="F769" t="str">
        <x:v>Finalizada</x:v>
      </x:c>
      <x:c r="G769" t="str">
        <x:v>Mensual</x:v>
      </x:c>
      <x:c r="H769" t="n">
        <x:v>2</x:v>
      </x:c>
    </x:row>
    <x:row r="770">
      <x:c r="A770" t="str">
        <x:v>SUS-000769</x:v>
      </x:c>
      <x:c r="B770" t="str">
        <x:v>USR-00541</x:v>
      </x:c>
      <x:c r="C770" t="str">
        <x:v>Plus anual</x:v>
      </x:c>
      <x:c r="D770" t="n">
        <x:v>46054</x:v>
      </x:c>
      <x:c r="E770" t="n">
        <x:v>46266</x:v>
      </x:c>
      <x:c r="F770" t="str">
        <x:v>Activa</x:v>
      </x:c>
      <x:c r="G770" t="str">
        <x:v>Anual</x:v>
      </x:c>
      <x:c r="H770" t="n">
        <x:v>8</x:v>
      </x:c>
    </x:row>
    <x:row r="771">
      <x:c r="A771" t="str">
        <x:v>SUS-000770</x:v>
      </x:c>
      <x:c r="B771" t="str">
        <x:v>USR-00556</x:v>
      </x:c>
      <x:c r="C771" t="str">
        <x:v>Cero</x:v>
      </x:c>
      <x:c r="D771" t="n">
        <x:v>46054</x:v>
      </x:c>
      <x:c r="E771" t="n">
        <x:v>46174</x:v>
      </x:c>
      <x:c r="F771" t="str">
        <x:v>Finalizada</x:v>
      </x:c>
      <x:c r="G771" t="str">
        <x:v>Gratuita</x:v>
      </x:c>
      <x:c r="H771" t="n">
        <x:v>5</x:v>
      </x:c>
    </x:row>
    <x:row r="772">
      <x:c r="A772" t="str">
        <x:v>SUS-000771</x:v>
      </x:c>
      <x:c r="B772" t="str">
        <x:v>USR-00557</x:v>
      </x:c>
      <x:c r="C772" t="str">
        <x:v>Cero</x:v>
      </x:c>
      <x:c r="D772" t="n">
        <x:v>46054</x:v>
      </x:c>
      <x:c r="E772" t="n">
        <x:v>46266</x:v>
      </x:c>
      <x:c r="F772" t="str">
        <x:v>Activa</x:v>
      </x:c>
      <x:c r="G772" t="str">
        <x:v>Gratuita</x:v>
      </x:c>
      <x:c r="H772" t="n">
        <x:v>8</x:v>
      </x:c>
    </x:row>
    <x:row r="773">
      <x:c r="A773" t="str">
        <x:v>SUS-000772</x:v>
      </x:c>
      <x:c r="B773" t="str">
        <x:v>USR-00558</x:v>
      </x:c>
      <x:c r="C773" t="str">
        <x:v>Cero</x:v>
      </x:c>
      <x:c r="D773" t="n">
        <x:v>46054</x:v>
      </x:c>
      <x:c r="E773" t="n">
        <x:v>46143</x:v>
      </x:c>
      <x:c r="F773" t="str">
        <x:v>Finalizada</x:v>
      </x:c>
      <x:c r="G773" t="str">
        <x:v>Gratuita</x:v>
      </x:c>
      <x:c r="H773" t="n">
        <x:v>4</x:v>
      </x:c>
    </x:row>
    <x:row r="774">
      <x:c r="A774" t="str">
        <x:v>SUS-000773</x:v>
      </x:c>
      <x:c r="B774" t="str">
        <x:v>USR-00559</x:v>
      </x:c>
      <x:c r="C774" t="str">
        <x:v>Cero</x:v>
      </x:c>
      <x:c r="D774" t="n">
        <x:v>46054</x:v>
      </x:c>
      <x:c r="E774" t="n">
        <x:v>46266</x:v>
      </x:c>
      <x:c r="F774" t="str">
        <x:v>Activa</x:v>
      </x:c>
      <x:c r="G774" t="str">
        <x:v>Gratuita</x:v>
      </x:c>
      <x:c r="H774" t="n">
        <x:v>8</x:v>
      </x:c>
    </x:row>
    <x:row r="775">
      <x:c r="A775" t="str">
        <x:v>SUS-000774</x:v>
      </x:c>
      <x:c r="B775" t="str">
        <x:v>USR-00560</x:v>
      </x:c>
      <x:c r="C775" t="str">
        <x:v>Cero</x:v>
      </x:c>
      <x:c r="D775" t="n">
        <x:v>46054</x:v>
      </x:c>
      <x:c r="E775" t="n">
        <x:v>46054</x:v>
      </x:c>
      <x:c r="F775" t="str">
        <x:v>Finalizada</x:v>
      </x:c>
      <x:c r="G775" t="str">
        <x:v>Gratuita</x:v>
      </x:c>
      <x:c r="H775" t="n">
        <x:v>1</x:v>
      </x:c>
    </x:row>
    <x:row r="776">
      <x:c r="A776" t="str">
        <x:v>SUS-000775</x:v>
      </x:c>
      <x:c r="B776" t="str">
        <x:v>USR-00561</x:v>
      </x:c>
      <x:c r="C776" t="str">
        <x:v>Cero</x:v>
      </x:c>
      <x:c r="D776" t="n">
        <x:v>46054</x:v>
      </x:c>
      <x:c r="E776" t="n">
        <x:v>46054</x:v>
      </x:c>
      <x:c r="F776" t="str">
        <x:v>Finalizada</x:v>
      </x:c>
      <x:c r="G776" t="str">
        <x:v>Gratuita</x:v>
      </x:c>
      <x:c r="H776" t="n">
        <x:v>1</x:v>
      </x:c>
    </x:row>
    <x:row r="777">
      <x:c r="A777" t="str">
        <x:v>SUS-000776</x:v>
      </x:c>
      <x:c r="B777" t="str">
        <x:v>USR-00562</x:v>
      </x:c>
      <x:c r="C777" t="str">
        <x:v>Cero</x:v>
      </x:c>
      <x:c r="D777" t="n">
        <x:v>46054</x:v>
      </x:c>
      <x:c r="E777" t="n">
        <x:v>46266</x:v>
      </x:c>
      <x:c r="F777" t="str">
        <x:v>Activa</x:v>
      </x:c>
      <x:c r="G777" t="str">
        <x:v>Gratuita</x:v>
      </x:c>
      <x:c r="H777" t="n">
        <x:v>8</x:v>
      </x:c>
    </x:row>
    <x:row r="778">
      <x:c r="A778" t="str">
        <x:v>SUS-000777</x:v>
      </x:c>
      <x:c r="B778" t="str">
        <x:v>USR-00563</x:v>
      </x:c>
      <x:c r="C778" t="str">
        <x:v>Plus mensual</x:v>
      </x:c>
      <x:c r="D778" t="n">
        <x:v>46054</x:v>
      </x:c>
      <x:c r="E778" t="n">
        <x:v>46266</x:v>
      </x:c>
      <x:c r="F778" t="str">
        <x:v>Activa</x:v>
      </x:c>
      <x:c r="G778" t="str">
        <x:v>Mensual</x:v>
      </x:c>
      <x:c r="H778" t="n">
        <x:v>8</x:v>
      </x:c>
    </x:row>
    <x:row r="779">
      <x:c r="A779" t="str">
        <x:v>SUS-000778</x:v>
      </x:c>
      <x:c r="B779" t="str">
        <x:v>USR-00564</x:v>
      </x:c>
      <x:c r="C779" t="str">
        <x:v>Cero</x:v>
      </x:c>
      <x:c r="D779" t="n">
        <x:v>46054</x:v>
      </x:c>
      <x:c r="E779" t="n">
        <x:v>46266</x:v>
      </x:c>
      <x:c r="F779" t="str">
        <x:v>Activa</x:v>
      </x:c>
      <x:c r="G779" t="str">
        <x:v>Gratuita</x:v>
      </x:c>
      <x:c r="H779" t="n">
        <x:v>8</x:v>
      </x:c>
    </x:row>
    <x:row r="780">
      <x:c r="A780" t="str">
        <x:v>SUS-000779</x:v>
      </x:c>
      <x:c r="B780" t="str">
        <x:v>USR-00565</x:v>
      </x:c>
      <x:c r="C780" t="str">
        <x:v>Cero</x:v>
      </x:c>
      <x:c r="D780" t="n">
        <x:v>46054</x:v>
      </x:c>
      <x:c r="E780" t="n">
        <x:v>46113</x:v>
      </x:c>
      <x:c r="F780" t="str">
        <x:v>Finalizada</x:v>
      </x:c>
      <x:c r="G780" t="str">
        <x:v>Gratuita</x:v>
      </x:c>
      <x:c r="H780" t="n">
        <x:v>3</x:v>
      </x:c>
    </x:row>
    <x:row r="781">
      <x:c r="A781" t="str">
        <x:v>SUS-000780</x:v>
      </x:c>
      <x:c r="B781" t="str">
        <x:v>USR-00566</x:v>
      </x:c>
      <x:c r="C781" t="str">
        <x:v>Cero</x:v>
      </x:c>
      <x:c r="D781" t="n">
        <x:v>46054</x:v>
      </x:c>
      <x:c r="E781" t="n">
        <x:v>46266</x:v>
      </x:c>
      <x:c r="F781" t="str">
        <x:v>Activa</x:v>
      </x:c>
      <x:c r="G781" t="str">
        <x:v>Gratuita</x:v>
      </x:c>
      <x:c r="H781" t="n">
        <x:v>8</x:v>
      </x:c>
    </x:row>
    <x:row r="782">
      <x:c r="A782" t="str">
        <x:v>SUS-000781</x:v>
      </x:c>
      <x:c r="B782" t="str">
        <x:v>USR-00567</x:v>
      </x:c>
      <x:c r="C782" t="str">
        <x:v>Cero</x:v>
      </x:c>
      <x:c r="D782" t="n">
        <x:v>46054</x:v>
      </x:c>
      <x:c r="E782" t="n">
        <x:v>46082</x:v>
      </x:c>
      <x:c r="F782" t="str">
        <x:v>Finalizada</x:v>
      </x:c>
      <x:c r="G782" t="str">
        <x:v>Gratuita</x:v>
      </x:c>
      <x:c r="H782" t="n">
        <x:v>2</x:v>
      </x:c>
    </x:row>
    <x:row r="783">
      <x:c r="A783" t="str">
        <x:v>SUS-000782</x:v>
      </x:c>
      <x:c r="B783" t="str">
        <x:v>USR-00568</x:v>
      </x:c>
      <x:c r="C783" t="str">
        <x:v>Cero</x:v>
      </x:c>
      <x:c r="D783" t="n">
        <x:v>46054</x:v>
      </x:c>
      <x:c r="E783" t="n">
        <x:v>46266</x:v>
      </x:c>
      <x:c r="F783" t="str">
        <x:v>Activa</x:v>
      </x:c>
      <x:c r="G783" t="str">
        <x:v>Gratuita</x:v>
      </x:c>
      <x:c r="H783" t="n">
        <x:v>8</x:v>
      </x:c>
    </x:row>
    <x:row r="784">
      <x:c r="A784" t="str">
        <x:v>SUS-000783</x:v>
      </x:c>
      <x:c r="B784" t="str">
        <x:v>USR-00569</x:v>
      </x:c>
      <x:c r="C784" t="str">
        <x:v>Cero</x:v>
      </x:c>
      <x:c r="D784" t="n">
        <x:v>46054</x:v>
      </x:c>
      <x:c r="E784" t="n">
        <x:v>46266</x:v>
      </x:c>
      <x:c r="F784" t="str">
        <x:v>Activa</x:v>
      </x:c>
      <x:c r="G784" t="str">
        <x:v>Gratuita</x:v>
      </x:c>
      <x:c r="H784" t="n">
        <x:v>8</x:v>
      </x:c>
    </x:row>
    <x:row r="785">
      <x:c r="A785" t="str">
        <x:v>SUS-000784</x:v>
      </x:c>
      <x:c r="B785" t="str">
        <x:v>USR-00570</x:v>
      </x:c>
      <x:c r="C785" t="str">
        <x:v>Cero</x:v>
      </x:c>
      <x:c r="D785" t="n">
        <x:v>46054</x:v>
      </x:c>
      <x:c r="E785" t="n">
        <x:v>46054</x:v>
      </x:c>
      <x:c r="F785" t="str">
        <x:v>Finalizada</x:v>
      </x:c>
      <x:c r="G785" t="str">
        <x:v>Gratuita</x:v>
      </x:c>
      <x:c r="H785" t="n">
        <x:v>1</x:v>
      </x:c>
    </x:row>
    <x:row r="786">
      <x:c r="A786" t="str">
        <x:v>SUS-000785</x:v>
      </x:c>
      <x:c r="B786" t="str">
        <x:v>USR-00571</x:v>
      </x:c>
      <x:c r="C786" t="str">
        <x:v>Cero</x:v>
      </x:c>
      <x:c r="D786" t="n">
        <x:v>46054</x:v>
      </x:c>
      <x:c r="E786" t="n">
        <x:v>46143</x:v>
      </x:c>
      <x:c r="F786" t="str">
        <x:v>Finalizada</x:v>
      </x:c>
      <x:c r="G786" t="str">
        <x:v>Gratuita</x:v>
      </x:c>
      <x:c r="H786" t="n">
        <x:v>4</x:v>
      </x:c>
    </x:row>
    <x:row r="787">
      <x:c r="A787" t="str">
        <x:v>SUS-000786</x:v>
      </x:c>
      <x:c r="B787" t="str">
        <x:v>USR-00572</x:v>
      </x:c>
      <x:c r="C787" t="str">
        <x:v>Cero</x:v>
      </x:c>
      <x:c r="D787" t="n">
        <x:v>46054</x:v>
      </x:c>
      <x:c r="E787" t="n">
        <x:v>46235</x:v>
      </x:c>
      <x:c r="F787" t="str">
        <x:v>Finalizada</x:v>
      </x:c>
      <x:c r="G787" t="str">
        <x:v>Gratuita</x:v>
      </x:c>
      <x:c r="H787" t="n">
        <x:v>7</x:v>
      </x:c>
    </x:row>
    <x:row r="788">
      <x:c r="A788" t="str">
        <x:v>SUS-000787</x:v>
      </x:c>
      <x:c r="B788" t="str">
        <x:v>USR-00573</x:v>
      </x:c>
      <x:c r="C788" t="str">
        <x:v>Plus anual</x:v>
      </x:c>
      <x:c r="D788" t="n">
        <x:v>46054</x:v>
      </x:c>
      <x:c r="E788" t="n">
        <x:v>46266</x:v>
      </x:c>
      <x:c r="F788" t="str">
        <x:v>Activa</x:v>
      </x:c>
      <x:c r="G788" t="str">
        <x:v>Anual</x:v>
      </x:c>
      <x:c r="H788" t="n">
        <x:v>8</x:v>
      </x:c>
    </x:row>
    <x:row r="789">
      <x:c r="A789" t="str">
        <x:v>SUS-000788</x:v>
      </x:c>
      <x:c r="B789" t="str">
        <x:v>USR-00574</x:v>
      </x:c>
      <x:c r="C789" t="str">
        <x:v>Cero</x:v>
      </x:c>
      <x:c r="D789" t="n">
        <x:v>46054</x:v>
      </x:c>
      <x:c r="E789" t="n">
        <x:v>46266</x:v>
      </x:c>
      <x:c r="F789" t="str">
        <x:v>Activa</x:v>
      </x:c>
      <x:c r="G789" t="str">
        <x:v>Gratuita</x:v>
      </x:c>
      <x:c r="H789" t="n">
        <x:v>8</x:v>
      </x:c>
    </x:row>
    <x:row r="790">
      <x:c r="A790" t="str">
        <x:v>SUS-000789</x:v>
      </x:c>
      <x:c r="B790" t="str">
        <x:v>USR-00575</x:v>
      </x:c>
      <x:c r="C790" t="str">
        <x:v>Cero</x:v>
      </x:c>
      <x:c r="D790" t="n">
        <x:v>46054</x:v>
      </x:c>
      <x:c r="E790" t="n">
        <x:v>46266</x:v>
      </x:c>
      <x:c r="F790" t="str">
        <x:v>Activa</x:v>
      </x:c>
      <x:c r="G790" t="str">
        <x:v>Gratuita</x:v>
      </x:c>
      <x:c r="H790" t="n">
        <x:v>8</x:v>
      </x:c>
    </x:row>
    <x:row r="791">
      <x:c r="A791" t="str">
        <x:v>SUS-000790</x:v>
      </x:c>
      <x:c r="B791" t="str">
        <x:v>USR-00576</x:v>
      </x:c>
      <x:c r="C791" t="str">
        <x:v>Cero</x:v>
      </x:c>
      <x:c r="D791" t="n">
        <x:v>46054</x:v>
      </x:c>
      <x:c r="E791" t="n">
        <x:v>46204</x:v>
      </x:c>
      <x:c r="F791" t="str">
        <x:v>Finalizada</x:v>
      </x:c>
      <x:c r="G791" t="str">
        <x:v>Gratuita</x:v>
      </x:c>
      <x:c r="H791" t="n">
        <x:v>6</x:v>
      </x:c>
    </x:row>
    <x:row r="792">
      <x:c r="A792" t="str">
        <x:v>SUS-000791</x:v>
      </x:c>
      <x:c r="B792" t="str">
        <x:v>USR-00577</x:v>
      </x:c>
      <x:c r="C792" t="str">
        <x:v>Cero</x:v>
      </x:c>
      <x:c r="D792" t="n">
        <x:v>46054</x:v>
      </x:c>
      <x:c r="E792" t="n">
        <x:v>46113</x:v>
      </x:c>
      <x:c r="F792" t="str">
        <x:v>Finalizada</x:v>
      </x:c>
      <x:c r="G792" t="str">
        <x:v>Gratuita</x:v>
      </x:c>
      <x:c r="H792" t="n">
        <x:v>3</x:v>
      </x:c>
    </x:row>
    <x:row r="793">
      <x:c r="A793" t="str">
        <x:v>SUS-000792</x:v>
      </x:c>
      <x:c r="B793" t="str">
        <x:v>USR-00578</x:v>
      </x:c>
      <x:c r="C793" t="str">
        <x:v>Cero</x:v>
      </x:c>
      <x:c r="D793" t="n">
        <x:v>46054</x:v>
      </x:c>
      <x:c r="E793" t="n">
        <x:v>46266</x:v>
      </x:c>
      <x:c r="F793" t="str">
        <x:v>Activa</x:v>
      </x:c>
      <x:c r="G793" t="str">
        <x:v>Gratuita</x:v>
      </x:c>
      <x:c r="H793" t="n">
        <x:v>8</x:v>
      </x:c>
    </x:row>
    <x:row r="794">
      <x:c r="A794" t="str">
        <x:v>SUS-000793</x:v>
      </x:c>
      <x:c r="B794" t="str">
        <x:v>USR-00579</x:v>
      </x:c>
      <x:c r="C794" t="str">
        <x:v>Cero</x:v>
      </x:c>
      <x:c r="D794" t="n">
        <x:v>46054</x:v>
      </x:c>
      <x:c r="E794" t="n">
        <x:v>46266</x:v>
      </x:c>
      <x:c r="F794" t="str">
        <x:v>Activa</x:v>
      </x:c>
      <x:c r="G794" t="str">
        <x:v>Gratuita</x:v>
      </x:c>
      <x:c r="H794" t="n">
        <x:v>8</x:v>
      </x:c>
    </x:row>
    <x:row r="795">
      <x:c r="A795" t="str">
        <x:v>SUS-000794</x:v>
      </x:c>
      <x:c r="B795" t="str">
        <x:v>USR-00580</x:v>
      </x:c>
      <x:c r="C795" t="str">
        <x:v>Cero</x:v>
      </x:c>
      <x:c r="D795" t="n">
        <x:v>46054</x:v>
      </x:c>
      <x:c r="E795" t="n">
        <x:v>46266</x:v>
      </x:c>
      <x:c r="F795" t="str">
        <x:v>Activa</x:v>
      </x:c>
      <x:c r="G795" t="str">
        <x:v>Gratuita</x:v>
      </x:c>
      <x:c r="H795" t="n">
        <x:v>8</x:v>
      </x:c>
    </x:row>
    <x:row r="796">
      <x:c r="A796" t="str">
        <x:v>SUS-000795</x:v>
      </x:c>
      <x:c r="B796" t="str">
        <x:v>USR-00581</x:v>
      </x:c>
      <x:c r="C796" t="str">
        <x:v>Cero</x:v>
      </x:c>
      <x:c r="D796" t="n">
        <x:v>46054</x:v>
      </x:c>
      <x:c r="E796" t="n">
        <x:v>46174</x:v>
      </x:c>
      <x:c r="F796" t="str">
        <x:v>Finalizada</x:v>
      </x:c>
      <x:c r="G796" t="str">
        <x:v>Gratuita</x:v>
      </x:c>
      <x:c r="H796" t="n">
        <x:v>5</x:v>
      </x:c>
    </x:row>
    <x:row r="797">
      <x:c r="A797" t="str">
        <x:v>SUS-000796</x:v>
      </x:c>
      <x:c r="B797" t="str">
        <x:v>USR-00582</x:v>
      </x:c>
      <x:c r="C797" t="str">
        <x:v>Cero</x:v>
      </x:c>
      <x:c r="D797" t="n">
        <x:v>46054</x:v>
      </x:c>
      <x:c r="E797" t="n">
        <x:v>46266</x:v>
      </x:c>
      <x:c r="F797" t="str">
        <x:v>Activa</x:v>
      </x:c>
      <x:c r="G797" t="str">
        <x:v>Gratuita</x:v>
      </x:c>
      <x:c r="H797" t="n">
        <x:v>8</x:v>
      </x:c>
    </x:row>
    <x:row r="798">
      <x:c r="A798" t="str">
        <x:v>SUS-000797</x:v>
      </x:c>
      <x:c r="B798" t="str">
        <x:v>USR-00583</x:v>
      </x:c>
      <x:c r="C798" t="str">
        <x:v>Cero</x:v>
      </x:c>
      <x:c r="D798" t="n">
        <x:v>46054</x:v>
      </x:c>
      <x:c r="E798" t="n">
        <x:v>46266</x:v>
      </x:c>
      <x:c r="F798" t="str">
        <x:v>Activa</x:v>
      </x:c>
      <x:c r="G798" t="str">
        <x:v>Gratuita</x:v>
      </x:c>
      <x:c r="H798" t="n">
        <x:v>8</x:v>
      </x:c>
    </x:row>
    <x:row r="799">
      <x:c r="A799" t="str">
        <x:v>SUS-000798</x:v>
      </x:c>
      <x:c r="B799" t="str">
        <x:v>USR-00584</x:v>
      </x:c>
      <x:c r="C799" t="str">
        <x:v>Cero</x:v>
      </x:c>
      <x:c r="D799" t="n">
        <x:v>46054</x:v>
      </x:c>
      <x:c r="E799" t="n">
        <x:v>46266</x:v>
      </x:c>
      <x:c r="F799" t="str">
        <x:v>Activa</x:v>
      </x:c>
      <x:c r="G799" t="str">
        <x:v>Gratuita</x:v>
      </x:c>
      <x:c r="H799" t="n">
        <x:v>8</x:v>
      </x:c>
    </x:row>
    <x:row r="800">
      <x:c r="A800" t="str">
        <x:v>SUS-000799</x:v>
      </x:c>
      <x:c r="B800" t="str">
        <x:v>USR-00585</x:v>
      </x:c>
      <x:c r="C800" t="str">
        <x:v>Cero</x:v>
      </x:c>
      <x:c r="D800" t="n">
        <x:v>46054</x:v>
      </x:c>
      <x:c r="E800" t="n">
        <x:v>46266</x:v>
      </x:c>
      <x:c r="F800" t="str">
        <x:v>Activa</x:v>
      </x:c>
      <x:c r="G800" t="str">
        <x:v>Gratuita</x:v>
      </x:c>
      <x:c r="H800" t="n">
        <x:v>8</x:v>
      </x:c>
    </x:row>
    <x:row r="801">
      <x:c r="A801" t="str">
        <x:v>SUS-000800</x:v>
      </x:c>
      <x:c r="B801" t="str">
        <x:v>USR-00586</x:v>
      </x:c>
      <x:c r="C801" t="str">
        <x:v>Plus anual</x:v>
      </x:c>
      <x:c r="D801" t="n">
        <x:v>46054</x:v>
      </x:c>
      <x:c r="E801" t="n">
        <x:v>46266</x:v>
      </x:c>
      <x:c r="F801" t="str">
        <x:v>Activa</x:v>
      </x:c>
      <x:c r="G801" t="str">
        <x:v>Anual</x:v>
      </x:c>
      <x:c r="H801" t="n">
        <x:v>8</x:v>
      </x:c>
    </x:row>
    <x:row r="802">
      <x:c r="A802" t="str">
        <x:v>SUS-000801</x:v>
      </x:c>
      <x:c r="B802" t="str">
        <x:v>USR-00587</x:v>
      </x:c>
      <x:c r="C802" t="str">
        <x:v>Plus mensual</x:v>
      </x:c>
      <x:c r="D802" t="n">
        <x:v>46054</x:v>
      </x:c>
      <x:c r="E802" t="n">
        <x:v>46266</x:v>
      </x:c>
      <x:c r="F802" t="str">
        <x:v>Activa</x:v>
      </x:c>
      <x:c r="G802" t="str">
        <x:v>Mensual</x:v>
      </x:c>
      <x:c r="H802" t="n">
        <x:v>8</x:v>
      </x:c>
    </x:row>
    <x:row r="803">
      <x:c r="A803" t="str">
        <x:v>SUS-000802</x:v>
      </x:c>
      <x:c r="B803" t="str">
        <x:v>USR-00588</x:v>
      </x:c>
      <x:c r="C803" t="str">
        <x:v>Cero</x:v>
      </x:c>
      <x:c r="D803" t="n">
        <x:v>46054</x:v>
      </x:c>
      <x:c r="E803" t="n">
        <x:v>46266</x:v>
      </x:c>
      <x:c r="F803" t="str">
        <x:v>Activa</x:v>
      </x:c>
      <x:c r="G803" t="str">
        <x:v>Gratuita</x:v>
      </x:c>
      <x:c r="H803" t="n">
        <x:v>8</x:v>
      </x:c>
    </x:row>
    <x:row r="804">
      <x:c r="A804" t="str">
        <x:v>SUS-000803</x:v>
      </x:c>
      <x:c r="B804" t="str">
        <x:v>USR-00589</x:v>
      </x:c>
      <x:c r="C804" t="str">
        <x:v>Cero</x:v>
      </x:c>
      <x:c r="D804" t="n">
        <x:v>46054</x:v>
      </x:c>
      <x:c r="E804" t="n">
        <x:v>46174</x:v>
      </x:c>
      <x:c r="F804" t="str">
        <x:v>Finalizada</x:v>
      </x:c>
      <x:c r="G804" t="str">
        <x:v>Gratuita</x:v>
      </x:c>
      <x:c r="H804" t="n">
        <x:v>5</x:v>
      </x:c>
    </x:row>
    <x:row r="805">
      <x:c r="A805" t="str">
        <x:v>SUS-000804</x:v>
      </x:c>
      <x:c r="B805" t="str">
        <x:v>USR-00590</x:v>
      </x:c>
      <x:c r="C805" t="str">
        <x:v>Cero</x:v>
      </x:c>
      <x:c r="D805" t="n">
        <x:v>46054</x:v>
      </x:c>
      <x:c r="E805" t="n">
        <x:v>46266</x:v>
      </x:c>
      <x:c r="F805" t="str">
        <x:v>Activa</x:v>
      </x:c>
      <x:c r="G805" t="str">
        <x:v>Gratuita</x:v>
      </x:c>
      <x:c r="H805" t="n">
        <x:v>8</x:v>
      </x:c>
    </x:row>
    <x:row r="806">
      <x:c r="A806" t="str">
        <x:v>SUS-000805</x:v>
      </x:c>
      <x:c r="B806" t="str">
        <x:v>USR-00591</x:v>
      </x:c>
      <x:c r="C806" t="str">
        <x:v>Cero</x:v>
      </x:c>
      <x:c r="D806" t="n">
        <x:v>46054</x:v>
      </x:c>
      <x:c r="E806" t="n">
        <x:v>46266</x:v>
      </x:c>
      <x:c r="F806" t="str">
        <x:v>Activa</x:v>
      </x:c>
      <x:c r="G806" t="str">
        <x:v>Gratuita</x:v>
      </x:c>
      <x:c r="H806" t="n">
        <x:v>8</x:v>
      </x:c>
    </x:row>
    <x:row r="807">
      <x:c r="A807" t="str">
        <x:v>SUS-000806</x:v>
      </x:c>
      <x:c r="B807" t="str">
        <x:v>USR-00592</x:v>
      </x:c>
      <x:c r="C807" t="str">
        <x:v>Cero</x:v>
      </x:c>
      <x:c r="D807" t="n">
        <x:v>46054</x:v>
      </x:c>
      <x:c r="E807" t="n">
        <x:v>46082</x:v>
      </x:c>
      <x:c r="F807" t="str">
        <x:v>Finalizada</x:v>
      </x:c>
      <x:c r="G807" t="str">
        <x:v>Gratuita</x:v>
      </x:c>
      <x:c r="H807" t="n">
        <x:v>2</x:v>
      </x:c>
    </x:row>
    <x:row r="808">
      <x:c r="A808" t="str">
        <x:v>SUS-000807</x:v>
      </x:c>
      <x:c r="B808" t="str">
        <x:v>USR-00593</x:v>
      </x:c>
      <x:c r="C808" t="str">
        <x:v>Cero</x:v>
      </x:c>
      <x:c r="D808" t="n">
        <x:v>46054</x:v>
      </x:c>
      <x:c r="E808" t="n">
        <x:v>46235</x:v>
      </x:c>
      <x:c r="F808" t="str">
        <x:v>Finalizada</x:v>
      </x:c>
      <x:c r="G808" t="str">
        <x:v>Gratuita</x:v>
      </x:c>
      <x:c r="H808" t="n">
        <x:v>7</x:v>
      </x:c>
    </x:row>
    <x:row r="809">
      <x:c r="A809" t="str">
        <x:v>SUS-000808</x:v>
      </x:c>
      <x:c r="B809" t="str">
        <x:v>USR-00594</x:v>
      </x:c>
      <x:c r="C809" t="str">
        <x:v>Cero</x:v>
      </x:c>
      <x:c r="D809" t="n">
        <x:v>46054</x:v>
      </x:c>
      <x:c r="E809" t="n">
        <x:v>46174</x:v>
      </x:c>
      <x:c r="F809" t="str">
        <x:v>Finalizada</x:v>
      </x:c>
      <x:c r="G809" t="str">
        <x:v>Gratuita</x:v>
      </x:c>
      <x:c r="H809" t="n">
        <x:v>5</x:v>
      </x:c>
    </x:row>
    <x:row r="810">
      <x:c r="A810" t="str">
        <x:v>SUS-000809</x:v>
      </x:c>
      <x:c r="B810" t="str">
        <x:v>USR-00595</x:v>
      </x:c>
      <x:c r="C810" t="str">
        <x:v>Cero</x:v>
      </x:c>
      <x:c r="D810" t="n">
        <x:v>46054</x:v>
      </x:c>
      <x:c r="E810" t="n">
        <x:v>46235</x:v>
      </x:c>
      <x:c r="F810" t="str">
        <x:v>Finalizada</x:v>
      </x:c>
      <x:c r="G810" t="str">
        <x:v>Gratuita</x:v>
      </x:c>
      <x:c r="H810" t="n">
        <x:v>7</x:v>
      </x:c>
    </x:row>
    <x:row r="811">
      <x:c r="A811" t="str">
        <x:v>SUS-000810</x:v>
      </x:c>
      <x:c r="B811" t="str">
        <x:v>USR-00596</x:v>
      </x:c>
      <x:c r="C811" t="str">
        <x:v>Cero</x:v>
      </x:c>
      <x:c r="D811" t="n">
        <x:v>46054</x:v>
      </x:c>
      <x:c r="E811" t="n">
        <x:v>46054</x:v>
      </x:c>
      <x:c r="F811" t="str">
        <x:v>Finalizada</x:v>
      </x:c>
      <x:c r="G811" t="str">
        <x:v>Gratuita</x:v>
      </x:c>
      <x:c r="H811" t="n">
        <x:v>1</x:v>
      </x:c>
    </x:row>
    <x:row r="812">
      <x:c r="A812" t="str">
        <x:v>SUS-000811</x:v>
      </x:c>
      <x:c r="B812" t="str">
        <x:v>USR-00597</x:v>
      </x:c>
      <x:c r="C812" t="str">
        <x:v>Cero</x:v>
      </x:c>
      <x:c r="D812" t="n">
        <x:v>46054</x:v>
      </x:c>
      <x:c r="E812" t="n">
        <x:v>46174</x:v>
      </x:c>
      <x:c r="F812" t="str">
        <x:v>Finalizada</x:v>
      </x:c>
      <x:c r="G812" t="str">
        <x:v>Gratuita</x:v>
      </x:c>
      <x:c r="H812" t="n">
        <x:v>5</x:v>
      </x:c>
    </x:row>
    <x:row r="813">
      <x:c r="A813" t="str">
        <x:v>SUS-000812</x:v>
      </x:c>
      <x:c r="B813" t="str">
        <x:v>USR-00598</x:v>
      </x:c>
      <x:c r="C813" t="str">
        <x:v>Plus mensual</x:v>
      </x:c>
      <x:c r="D813" t="n">
        <x:v>46054</x:v>
      </x:c>
      <x:c r="E813" t="n">
        <x:v>46054</x:v>
      </x:c>
      <x:c r="F813" t="str">
        <x:v>Finalizada</x:v>
      </x:c>
      <x:c r="G813" t="str">
        <x:v>Mensual</x:v>
      </x:c>
      <x:c r="H813" t="n">
        <x:v>1</x:v>
      </x:c>
    </x:row>
    <x:row r="814">
      <x:c r="A814" t="str">
        <x:v>SUS-000813</x:v>
      </x:c>
      <x:c r="B814" t="str">
        <x:v>USR-00599</x:v>
      </x:c>
      <x:c r="C814" t="str">
        <x:v>Cero</x:v>
      </x:c>
      <x:c r="D814" t="n">
        <x:v>46054</x:v>
      </x:c>
      <x:c r="E814" t="n">
        <x:v>46266</x:v>
      </x:c>
      <x:c r="F814" t="str">
        <x:v>Activa</x:v>
      </x:c>
      <x:c r="G814" t="str">
        <x:v>Gratuita</x:v>
      </x:c>
      <x:c r="H814" t="n">
        <x:v>8</x:v>
      </x:c>
    </x:row>
    <x:row r="815">
      <x:c r="A815" t="str">
        <x:v>SUS-000814</x:v>
      </x:c>
      <x:c r="B815" t="str">
        <x:v>USR-00600</x:v>
      </x:c>
      <x:c r="C815" t="str">
        <x:v>Cero</x:v>
      </x:c>
      <x:c r="D815" t="n">
        <x:v>46054</x:v>
      </x:c>
      <x:c r="E815" t="n">
        <x:v>46266</x:v>
      </x:c>
      <x:c r="F815" t="str">
        <x:v>Activa</x:v>
      </x:c>
      <x:c r="G815" t="str">
        <x:v>Gratuita</x:v>
      </x:c>
      <x:c r="H815" t="n">
        <x:v>8</x:v>
      </x:c>
    </x:row>
    <x:row r="816">
      <x:c r="A816" t="str">
        <x:v>SUS-000815</x:v>
      </x:c>
      <x:c r="B816" t="str">
        <x:v>USR-00601</x:v>
      </x:c>
      <x:c r="C816" t="str">
        <x:v>Plus mensual</x:v>
      </x:c>
      <x:c r="D816" t="n">
        <x:v>46054</x:v>
      </x:c>
      <x:c r="E816" t="n">
        <x:v>46082</x:v>
      </x:c>
      <x:c r="F816" t="str">
        <x:v>Finalizada</x:v>
      </x:c>
      <x:c r="G816" t="str">
        <x:v>Mensual</x:v>
      </x:c>
      <x:c r="H816" t="n">
        <x:v>2</x:v>
      </x:c>
    </x:row>
    <x:row r="817">
      <x:c r="A817" t="str">
        <x:v>SUS-000816</x:v>
      </x:c>
      <x:c r="B817" t="str">
        <x:v>USR-00602</x:v>
      </x:c>
      <x:c r="C817" t="str">
        <x:v>Plus mensual</x:v>
      </x:c>
      <x:c r="D817" t="n">
        <x:v>46054</x:v>
      </x:c>
      <x:c r="E817" t="n">
        <x:v>46266</x:v>
      </x:c>
      <x:c r="F817" t="str">
        <x:v>Activa</x:v>
      </x:c>
      <x:c r="G817" t="str">
        <x:v>Mensual</x:v>
      </x:c>
      <x:c r="H817" t="n">
        <x:v>8</x:v>
      </x:c>
    </x:row>
    <x:row r="818">
      <x:c r="A818" t="str">
        <x:v>SUS-000817</x:v>
      </x:c>
      <x:c r="B818" t="str">
        <x:v>USR-00603</x:v>
      </x:c>
      <x:c r="C818" t="str">
        <x:v>Cero</x:v>
      </x:c>
      <x:c r="D818" t="n">
        <x:v>46054</x:v>
      </x:c>
      <x:c r="E818" t="n">
        <x:v>46143</x:v>
      </x:c>
      <x:c r="F818" t="str">
        <x:v>Finalizada</x:v>
      </x:c>
      <x:c r="G818" t="str">
        <x:v>Gratuita</x:v>
      </x:c>
      <x:c r="H818" t="n">
        <x:v>4</x:v>
      </x:c>
    </x:row>
    <x:row r="819">
      <x:c r="A819" t="str">
        <x:v>SUS-000818</x:v>
      </x:c>
      <x:c r="B819" t="str">
        <x:v>USR-00604</x:v>
      </x:c>
      <x:c r="C819" t="str">
        <x:v>Cero</x:v>
      </x:c>
      <x:c r="D819" t="n">
        <x:v>46054</x:v>
      </x:c>
      <x:c r="E819" t="n">
        <x:v>46266</x:v>
      </x:c>
      <x:c r="F819" t="str">
        <x:v>Activa</x:v>
      </x:c>
      <x:c r="G819" t="str">
        <x:v>Gratuita</x:v>
      </x:c>
      <x:c r="H819" t="n">
        <x:v>8</x:v>
      </x:c>
    </x:row>
    <x:row r="820">
      <x:c r="A820" t="str">
        <x:v>SUS-000819</x:v>
      </x:c>
      <x:c r="B820" t="str">
        <x:v>USR-00605</x:v>
      </x:c>
      <x:c r="C820" t="str">
        <x:v>Plus anual</x:v>
      </x:c>
      <x:c r="D820" t="n">
        <x:v>46054</x:v>
      </x:c>
      <x:c r="E820" t="n">
        <x:v>46266</x:v>
      </x:c>
      <x:c r="F820" t="str">
        <x:v>Activa</x:v>
      </x:c>
      <x:c r="G820" t="str">
        <x:v>Anual</x:v>
      </x:c>
      <x:c r="H820" t="n">
        <x:v>8</x:v>
      </x:c>
    </x:row>
    <x:row r="821">
      <x:c r="A821" t="str">
        <x:v>SUS-000820</x:v>
      </x:c>
      <x:c r="B821" t="str">
        <x:v>USR-00606</x:v>
      </x:c>
      <x:c r="C821" t="str">
        <x:v>Cero</x:v>
      </x:c>
      <x:c r="D821" t="n">
        <x:v>46054</x:v>
      </x:c>
      <x:c r="E821" t="n">
        <x:v>46266</x:v>
      </x:c>
      <x:c r="F821" t="str">
        <x:v>Activa</x:v>
      </x:c>
      <x:c r="G821" t="str">
        <x:v>Gratuita</x:v>
      </x:c>
      <x:c r="H821" t="n">
        <x:v>8</x:v>
      </x:c>
    </x:row>
    <x:row r="822">
      <x:c r="A822" t="str">
        <x:v>SUS-000821</x:v>
      </x:c>
      <x:c r="B822" t="str">
        <x:v>USR-00607</x:v>
      </x:c>
      <x:c r="C822" t="str">
        <x:v>Plus mensual</x:v>
      </x:c>
      <x:c r="D822" t="n">
        <x:v>46054</x:v>
      </x:c>
      <x:c r="E822" t="n">
        <x:v>46054</x:v>
      </x:c>
      <x:c r="F822" t="str">
        <x:v>Finalizada</x:v>
      </x:c>
      <x:c r="G822" t="str">
        <x:v>Mensual</x:v>
      </x:c>
      <x:c r="H822" t="n">
        <x:v>1</x:v>
      </x:c>
    </x:row>
    <x:row r="823">
      <x:c r="A823" t="str">
        <x:v>SUS-000822</x:v>
      </x:c>
      <x:c r="B823" t="str">
        <x:v>USR-00608</x:v>
      </x:c>
      <x:c r="C823" t="str">
        <x:v>Cero</x:v>
      </x:c>
      <x:c r="D823" t="n">
        <x:v>46054</x:v>
      </x:c>
      <x:c r="E823" t="n">
        <x:v>46054</x:v>
      </x:c>
      <x:c r="F823" t="str">
        <x:v>Finalizada</x:v>
      </x:c>
      <x:c r="G823" t="str">
        <x:v>Gratuita</x:v>
      </x:c>
      <x:c r="H823" t="n">
        <x:v>1</x:v>
      </x:c>
    </x:row>
    <x:row r="824">
      <x:c r="A824" t="str">
        <x:v>SUS-000823</x:v>
      </x:c>
      <x:c r="B824" t="str">
        <x:v>USR-00609</x:v>
      </x:c>
      <x:c r="C824" t="str">
        <x:v>Cero</x:v>
      </x:c>
      <x:c r="D824" t="n">
        <x:v>46054</x:v>
      </x:c>
      <x:c r="E824" t="n">
        <x:v>46204</x:v>
      </x:c>
      <x:c r="F824" t="str">
        <x:v>Finalizada</x:v>
      </x:c>
      <x:c r="G824" t="str">
        <x:v>Gratuita</x:v>
      </x:c>
      <x:c r="H824" t="n">
        <x:v>6</x:v>
      </x:c>
    </x:row>
    <x:row r="825">
      <x:c r="A825" t="str">
        <x:v>SUS-000824</x:v>
      </x:c>
      <x:c r="B825" t="str">
        <x:v>USR-00610</x:v>
      </x:c>
      <x:c r="C825" t="str">
        <x:v>Plus anual</x:v>
      </x:c>
      <x:c r="D825" t="n">
        <x:v>46054</x:v>
      </x:c>
      <x:c r="E825" t="n">
        <x:v>46266</x:v>
      </x:c>
      <x:c r="F825" t="str">
        <x:v>Activa</x:v>
      </x:c>
      <x:c r="G825" t="str">
        <x:v>Anual</x:v>
      </x:c>
      <x:c r="H825" t="n">
        <x:v>8</x:v>
      </x:c>
    </x:row>
    <x:row r="826">
      <x:c r="A826" t="str">
        <x:v>SUS-000825</x:v>
      </x:c>
      <x:c r="B826" t="str">
        <x:v>USR-00611</x:v>
      </x:c>
      <x:c r="C826" t="str">
        <x:v>Cero</x:v>
      </x:c>
      <x:c r="D826" t="n">
        <x:v>46054</x:v>
      </x:c>
      <x:c r="E826" t="n">
        <x:v>46266</x:v>
      </x:c>
      <x:c r="F826" t="str">
        <x:v>Activa</x:v>
      </x:c>
      <x:c r="G826" t="str">
        <x:v>Gratuita</x:v>
      </x:c>
      <x:c r="H826" t="n">
        <x:v>8</x:v>
      </x:c>
    </x:row>
    <x:row r="827">
      <x:c r="A827" t="str">
        <x:v>SUS-000826</x:v>
      </x:c>
      <x:c r="B827" t="str">
        <x:v>USR-00612</x:v>
      </x:c>
      <x:c r="C827" t="str">
        <x:v>Cero</x:v>
      </x:c>
      <x:c r="D827" t="n">
        <x:v>46054</x:v>
      </x:c>
      <x:c r="E827" t="n">
        <x:v>46266</x:v>
      </x:c>
      <x:c r="F827" t="str">
        <x:v>Activa</x:v>
      </x:c>
      <x:c r="G827" t="str">
        <x:v>Gratuita</x:v>
      </x:c>
      <x:c r="H827" t="n">
        <x:v>8</x:v>
      </x:c>
    </x:row>
    <x:row r="828">
      <x:c r="A828" t="str">
        <x:v>SUS-000827</x:v>
      </x:c>
      <x:c r="B828" t="str">
        <x:v>USR-00613</x:v>
      </x:c>
      <x:c r="C828" t="str">
        <x:v>Cero</x:v>
      </x:c>
      <x:c r="D828" t="n">
        <x:v>46054</x:v>
      </x:c>
      <x:c r="E828" t="n">
        <x:v>46266</x:v>
      </x:c>
      <x:c r="F828" t="str">
        <x:v>Activa</x:v>
      </x:c>
      <x:c r="G828" t="str">
        <x:v>Gratuita</x:v>
      </x:c>
      <x:c r="H828" t="n">
        <x:v>8</x:v>
      </x:c>
    </x:row>
    <x:row r="829">
      <x:c r="A829" t="str">
        <x:v>SUS-000828</x:v>
      </x:c>
      <x:c r="B829" t="str">
        <x:v>USR-00614</x:v>
      </x:c>
      <x:c r="C829" t="str">
        <x:v>Cero</x:v>
      </x:c>
      <x:c r="D829" t="n">
        <x:v>46054</x:v>
      </x:c>
      <x:c r="E829" t="n">
        <x:v>46054</x:v>
      </x:c>
      <x:c r="F829" t="str">
        <x:v>Finalizada</x:v>
      </x:c>
      <x:c r="G829" t="str">
        <x:v>Gratuita</x:v>
      </x:c>
      <x:c r="H829" t="n">
        <x:v>1</x:v>
      </x:c>
    </x:row>
    <x:row r="830">
      <x:c r="A830" t="str">
        <x:v>SUS-000829</x:v>
      </x:c>
      <x:c r="B830" t="str">
        <x:v>USR-00615</x:v>
      </x:c>
      <x:c r="C830" t="str">
        <x:v>Cero</x:v>
      </x:c>
      <x:c r="D830" t="n">
        <x:v>46054</x:v>
      </x:c>
      <x:c r="E830" t="n">
        <x:v>46266</x:v>
      </x:c>
      <x:c r="F830" t="str">
        <x:v>Activa</x:v>
      </x:c>
      <x:c r="G830" t="str">
        <x:v>Gratuita</x:v>
      </x:c>
      <x:c r="H830" t="n">
        <x:v>8</x:v>
      </x:c>
    </x:row>
    <x:row r="831">
      <x:c r="A831" t="str">
        <x:v>SUS-000830</x:v>
      </x:c>
      <x:c r="B831" t="str">
        <x:v>USR-00616</x:v>
      </x:c>
      <x:c r="C831" t="str">
        <x:v>Cero</x:v>
      </x:c>
      <x:c r="D831" t="n">
        <x:v>46054</x:v>
      </x:c>
      <x:c r="E831" t="n">
        <x:v>46266</x:v>
      </x:c>
      <x:c r="F831" t="str">
        <x:v>Activa</x:v>
      </x:c>
      <x:c r="G831" t="str">
        <x:v>Gratuita</x:v>
      </x:c>
      <x:c r="H831" t="n">
        <x:v>8</x:v>
      </x:c>
    </x:row>
    <x:row r="832">
      <x:c r="A832" t="str">
        <x:v>SUS-000831</x:v>
      </x:c>
      <x:c r="B832" t="str">
        <x:v>USR-00617</x:v>
      </x:c>
      <x:c r="C832" t="str">
        <x:v>Cero</x:v>
      </x:c>
      <x:c r="D832" t="n">
        <x:v>46054</x:v>
      </x:c>
      <x:c r="E832" t="n">
        <x:v>46266</x:v>
      </x:c>
      <x:c r="F832" t="str">
        <x:v>Activa</x:v>
      </x:c>
      <x:c r="G832" t="str">
        <x:v>Gratuita</x:v>
      </x:c>
      <x:c r="H832" t="n">
        <x:v>8</x:v>
      </x:c>
    </x:row>
    <x:row r="833">
      <x:c r="A833" t="str">
        <x:v>SUS-000832</x:v>
      </x:c>
      <x:c r="B833" t="str">
        <x:v>USR-00618</x:v>
      </x:c>
      <x:c r="C833" t="str">
        <x:v>Plus mensual</x:v>
      </x:c>
      <x:c r="D833" t="n">
        <x:v>46054</x:v>
      </x:c>
      <x:c r="E833" t="n">
        <x:v>46082</x:v>
      </x:c>
      <x:c r="F833" t="str">
        <x:v>Finalizada</x:v>
      </x:c>
      <x:c r="G833" t="str">
        <x:v>Mensual</x:v>
      </x:c>
      <x:c r="H833" t="n">
        <x:v>2</x:v>
      </x:c>
    </x:row>
    <x:row r="834">
      <x:c r="A834" t="str">
        <x:v>SUS-000833</x:v>
      </x:c>
      <x:c r="B834" t="str">
        <x:v>USR-00619</x:v>
      </x:c>
      <x:c r="C834" t="str">
        <x:v>Plus mensual</x:v>
      </x:c>
      <x:c r="D834" t="n">
        <x:v>46054</x:v>
      </x:c>
      <x:c r="E834" t="n">
        <x:v>46174</x:v>
      </x:c>
      <x:c r="F834" t="str">
        <x:v>Finalizada</x:v>
      </x:c>
      <x:c r="G834" t="str">
        <x:v>Mensual</x:v>
      </x:c>
      <x:c r="H834" t="n">
        <x:v>5</x:v>
      </x:c>
    </x:row>
    <x:row r="835">
      <x:c r="A835" t="str">
        <x:v>SUS-000834</x:v>
      </x:c>
      <x:c r="B835" t="str">
        <x:v>USR-00620</x:v>
      </x:c>
      <x:c r="C835" t="str">
        <x:v>Cero</x:v>
      </x:c>
      <x:c r="D835" t="n">
        <x:v>46054</x:v>
      </x:c>
      <x:c r="E835" t="n">
        <x:v>46266</x:v>
      </x:c>
      <x:c r="F835" t="str">
        <x:v>Activa</x:v>
      </x:c>
      <x:c r="G835" t="str">
        <x:v>Gratuita</x:v>
      </x:c>
      <x:c r="H835" t="n">
        <x:v>8</x:v>
      </x:c>
    </x:row>
    <x:row r="836">
      <x:c r="A836" t="str">
        <x:v>SUS-000835</x:v>
      </x:c>
      <x:c r="B836" t="str">
        <x:v>USR-00621</x:v>
      </x:c>
      <x:c r="C836" t="str">
        <x:v>Plus mensual</x:v>
      </x:c>
      <x:c r="D836" t="n">
        <x:v>46054</x:v>
      </x:c>
      <x:c r="E836" t="n">
        <x:v>46174</x:v>
      </x:c>
      <x:c r="F836" t="str">
        <x:v>Finalizada</x:v>
      </x:c>
      <x:c r="G836" t="str">
        <x:v>Mensual</x:v>
      </x:c>
      <x:c r="H836" t="n">
        <x:v>5</x:v>
      </x:c>
    </x:row>
    <x:row r="837">
      <x:c r="A837" t="str">
        <x:v>SUS-000836</x:v>
      </x:c>
      <x:c r="B837" t="str">
        <x:v>USR-00622</x:v>
      </x:c>
      <x:c r="C837" t="str">
        <x:v>Cero</x:v>
      </x:c>
      <x:c r="D837" t="n">
        <x:v>46054</x:v>
      </x:c>
      <x:c r="E837" t="n">
        <x:v>46113</x:v>
      </x:c>
      <x:c r="F837" t="str">
        <x:v>Finalizada</x:v>
      </x:c>
      <x:c r="G837" t="str">
        <x:v>Gratuita</x:v>
      </x:c>
      <x:c r="H837" t="n">
        <x:v>3</x:v>
      </x:c>
    </x:row>
    <x:row r="838">
      <x:c r="A838" t="str">
        <x:v>SUS-000837</x:v>
      </x:c>
      <x:c r="B838" t="str">
        <x:v>USR-00012</x:v>
      </x:c>
      <x:c r="C838" t="str">
        <x:v>Plus mensual</x:v>
      </x:c>
      <x:c r="D838" t="n">
        <x:v>46082</x:v>
      </x:c>
      <x:c r="E838" t="n">
        <x:v>46235</x:v>
      </x:c>
      <x:c r="F838" t="str">
        <x:v>Finalizada</x:v>
      </x:c>
      <x:c r="G838" t="str">
        <x:v>Mensual</x:v>
      </x:c>
      <x:c r="H838" t="n">
        <x:v>6</x:v>
      </x:c>
    </x:row>
    <x:row r="839">
      <x:c r="A839" t="str">
        <x:v>SUS-000838</x:v>
      </x:c>
      <x:c r="B839" t="str">
        <x:v>USR-00042</x:v>
      </x:c>
      <x:c r="C839" t="str">
        <x:v>Plus anual</x:v>
      </x:c>
      <x:c r="D839" t="n">
        <x:v>46082</x:v>
      </x:c>
      <x:c r="E839" t="n">
        <x:v>46266</x:v>
      </x:c>
      <x:c r="F839" t="str">
        <x:v>Activa</x:v>
      </x:c>
      <x:c r="G839" t="str">
        <x:v>Anual</x:v>
      </x:c>
      <x:c r="H839" t="n">
        <x:v>7</x:v>
      </x:c>
    </x:row>
    <x:row r="840">
      <x:c r="A840" t="str">
        <x:v>SUS-000839</x:v>
      </x:c>
      <x:c r="B840" t="str">
        <x:v>USR-00067</x:v>
      </x:c>
      <x:c r="C840" t="str">
        <x:v>Cero</x:v>
      </x:c>
      <x:c r="D840" t="n">
        <x:v>46082</x:v>
      </x:c>
      <x:c r="E840" t="n">
        <x:v>46113</x:v>
      </x:c>
      <x:c r="F840" t="str">
        <x:v>Finalizada</x:v>
      </x:c>
      <x:c r="G840" t="str">
        <x:v>Gratuita</x:v>
      </x:c>
      <x:c r="H840" t="n">
        <x:v>2</x:v>
      </x:c>
    </x:row>
    <x:row r="841">
      <x:c r="A841" t="str">
        <x:v>SUS-000840</x:v>
      </x:c>
      <x:c r="B841" t="str">
        <x:v>USR-00082</x:v>
      </x:c>
      <x:c r="C841" t="str">
        <x:v>Cero</x:v>
      </x:c>
      <x:c r="D841" t="n">
        <x:v>46082</x:v>
      </x:c>
      <x:c r="E841" t="n">
        <x:v>46266</x:v>
      </x:c>
      <x:c r="F841" t="str">
        <x:v>Activa</x:v>
      </x:c>
      <x:c r="G841" t="str">
        <x:v>Gratuita</x:v>
      </x:c>
      <x:c r="H841" t="n">
        <x:v>7</x:v>
      </x:c>
    </x:row>
    <x:row r="842">
      <x:c r="A842" t="str">
        <x:v>SUS-000841</x:v>
      </x:c>
      <x:c r="B842" t="str">
        <x:v>USR-00087</x:v>
      </x:c>
      <x:c r="C842" t="str">
        <x:v>Cero</x:v>
      </x:c>
      <x:c r="D842" t="n">
        <x:v>46082</x:v>
      </x:c>
      <x:c r="E842" t="n">
        <x:v>46174</x:v>
      </x:c>
      <x:c r="F842" t="str">
        <x:v>Finalizada</x:v>
      </x:c>
      <x:c r="G842" t="str">
        <x:v>Gratuita</x:v>
      </x:c>
      <x:c r="H842" t="n">
        <x:v>4</x:v>
      </x:c>
    </x:row>
    <x:row r="843">
      <x:c r="A843" t="str">
        <x:v>SUS-000842</x:v>
      </x:c>
      <x:c r="B843" t="str">
        <x:v>USR-00102</x:v>
      </x:c>
      <x:c r="C843" t="str">
        <x:v>Plus mensual</x:v>
      </x:c>
      <x:c r="D843" t="n">
        <x:v>46082</x:v>
      </x:c>
      <x:c r="E843" t="n">
        <x:v>46266</x:v>
      </x:c>
      <x:c r="F843" t="str">
        <x:v>Activa</x:v>
      </x:c>
      <x:c r="G843" t="str">
        <x:v>Mensual</x:v>
      </x:c>
      <x:c r="H843" t="n">
        <x:v>7</x:v>
      </x:c>
    </x:row>
    <x:row r="844">
      <x:c r="A844" t="str">
        <x:v>SUS-000843</x:v>
      </x:c>
      <x:c r="B844" t="str">
        <x:v>USR-00122</x:v>
      </x:c>
      <x:c r="C844" t="str">
        <x:v>Plus mensual</x:v>
      </x:c>
      <x:c r="D844" t="n">
        <x:v>46082</x:v>
      </x:c>
      <x:c r="E844" t="n">
        <x:v>46266</x:v>
      </x:c>
      <x:c r="F844" t="str">
        <x:v>Activa</x:v>
      </x:c>
      <x:c r="G844" t="str">
        <x:v>Mensual</x:v>
      </x:c>
      <x:c r="H844" t="n">
        <x:v>7</x:v>
      </x:c>
    </x:row>
    <x:row r="845">
      <x:c r="A845" t="str">
        <x:v>SUS-000844</x:v>
      </x:c>
      <x:c r="B845" t="str">
        <x:v>USR-00174</x:v>
      </x:c>
      <x:c r="C845" t="str">
        <x:v>Cero</x:v>
      </x:c>
      <x:c r="D845" t="n">
        <x:v>46082</x:v>
      </x:c>
      <x:c r="E845" t="n">
        <x:v>46143</x:v>
      </x:c>
      <x:c r="F845" t="str">
        <x:v>Finalizada</x:v>
      </x:c>
      <x:c r="G845" t="str">
        <x:v>Gratuita</x:v>
      </x:c>
      <x:c r="H845" t="n">
        <x:v>3</x:v>
      </x:c>
    </x:row>
    <x:row r="846">
      <x:c r="A846" t="str">
        <x:v>SUS-000845</x:v>
      </x:c>
      <x:c r="B846" t="str">
        <x:v>USR-00205</x:v>
      </x:c>
      <x:c r="C846" t="str">
        <x:v>Cero</x:v>
      </x:c>
      <x:c r="D846" t="n">
        <x:v>46082</x:v>
      </x:c>
      <x:c r="E846" t="n">
        <x:v>46266</x:v>
      </x:c>
      <x:c r="F846" t="str">
        <x:v>Activa</x:v>
      </x:c>
      <x:c r="G846" t="str">
        <x:v>Gratuita</x:v>
      </x:c>
      <x:c r="H846" t="n">
        <x:v>7</x:v>
      </x:c>
    </x:row>
    <x:row r="847">
      <x:c r="A847" t="str">
        <x:v>SUS-000846</x:v>
      </x:c>
      <x:c r="B847" t="str">
        <x:v>USR-00226</x:v>
      </x:c>
      <x:c r="C847" t="str">
        <x:v>Plus anual</x:v>
      </x:c>
      <x:c r="D847" t="n">
        <x:v>46082</x:v>
      </x:c>
      <x:c r="E847" t="n">
        <x:v>46266</x:v>
      </x:c>
      <x:c r="F847" t="str">
        <x:v>Activa</x:v>
      </x:c>
      <x:c r="G847" t="str">
        <x:v>Anual</x:v>
      </x:c>
      <x:c r="H847" t="n">
        <x:v>7</x:v>
      </x:c>
    </x:row>
    <x:row r="848">
      <x:c r="A848" t="str">
        <x:v>SUS-000847</x:v>
      </x:c>
      <x:c r="B848" t="str">
        <x:v>USR-00235</x:v>
      </x:c>
      <x:c r="C848" t="str">
        <x:v>Cero</x:v>
      </x:c>
      <x:c r="D848" t="n">
        <x:v>46082</x:v>
      </x:c>
      <x:c r="E848" t="n">
        <x:v>46266</x:v>
      </x:c>
      <x:c r="F848" t="str">
        <x:v>Activa</x:v>
      </x:c>
      <x:c r="G848" t="str">
        <x:v>Gratuita</x:v>
      </x:c>
      <x:c r="H848" t="n">
        <x:v>7</x:v>
      </x:c>
    </x:row>
    <x:row r="849">
      <x:c r="A849" t="str">
        <x:v>SUS-000848</x:v>
      </x:c>
      <x:c r="B849" t="str">
        <x:v>USR-00252</x:v>
      </x:c>
      <x:c r="C849" t="str">
        <x:v>Plus mensual</x:v>
      </x:c>
      <x:c r="D849" t="n">
        <x:v>46082</x:v>
      </x:c>
      <x:c r="E849" t="n">
        <x:v>46235</x:v>
      </x:c>
      <x:c r="F849" t="str">
        <x:v>Finalizada</x:v>
      </x:c>
      <x:c r="G849" t="str">
        <x:v>Mensual</x:v>
      </x:c>
      <x:c r="H849" t="n">
        <x:v>6</x:v>
      </x:c>
    </x:row>
    <x:row r="850">
      <x:c r="A850" t="str">
        <x:v>SUS-000849</x:v>
      </x:c>
      <x:c r="B850" t="str">
        <x:v>USR-00262</x:v>
      </x:c>
      <x:c r="C850" t="str">
        <x:v>Cero</x:v>
      </x:c>
      <x:c r="D850" t="n">
        <x:v>46082</x:v>
      </x:c>
      <x:c r="E850" t="n">
        <x:v>46266</x:v>
      </x:c>
      <x:c r="F850" t="str">
        <x:v>Activa</x:v>
      </x:c>
      <x:c r="G850" t="str">
        <x:v>Gratuita</x:v>
      </x:c>
      <x:c r="H850" t="n">
        <x:v>7</x:v>
      </x:c>
    </x:row>
    <x:row r="851">
      <x:c r="A851" t="str">
        <x:v>SUS-000850</x:v>
      </x:c>
      <x:c r="B851" t="str">
        <x:v>USR-00273</x:v>
      </x:c>
      <x:c r="C851" t="str">
        <x:v>Plus mensual</x:v>
      </x:c>
      <x:c r="D851" t="n">
        <x:v>46082</x:v>
      </x:c>
      <x:c r="E851" t="n">
        <x:v>46266</x:v>
      </x:c>
      <x:c r="F851" t="str">
        <x:v>Activa</x:v>
      </x:c>
      <x:c r="G851" t="str">
        <x:v>Mensual</x:v>
      </x:c>
      <x:c r="H851" t="n">
        <x:v>7</x:v>
      </x:c>
    </x:row>
    <x:row r="852">
      <x:c r="A852" t="str">
        <x:v>SUS-000851</x:v>
      </x:c>
      <x:c r="B852" t="str">
        <x:v>USR-00282</x:v>
      </x:c>
      <x:c r="C852" t="str">
        <x:v>Plus mensual</x:v>
      </x:c>
      <x:c r="D852" t="n">
        <x:v>46082</x:v>
      </x:c>
      <x:c r="E852" t="n">
        <x:v>46113</x:v>
      </x:c>
      <x:c r="F852" t="str">
        <x:v>Finalizada</x:v>
      </x:c>
      <x:c r="G852" t="str">
        <x:v>Mensual</x:v>
      </x:c>
      <x:c r="H852" t="n">
        <x:v>2</x:v>
      </x:c>
    </x:row>
    <x:row r="853">
      <x:c r="A853" t="str">
        <x:v>SUS-000852</x:v>
      </x:c>
      <x:c r="B853" t="str">
        <x:v>USR-00292</x:v>
      </x:c>
      <x:c r="C853" t="str">
        <x:v>Plus mensual</x:v>
      </x:c>
      <x:c r="D853" t="n">
        <x:v>46082</x:v>
      </x:c>
      <x:c r="E853" t="n">
        <x:v>46204</x:v>
      </x:c>
      <x:c r="F853" t="str">
        <x:v>Finalizada</x:v>
      </x:c>
      <x:c r="G853" t="str">
        <x:v>Mensual</x:v>
      </x:c>
      <x:c r="H853" t="n">
        <x:v>5</x:v>
      </x:c>
    </x:row>
    <x:row r="854">
      <x:c r="A854" t="str">
        <x:v>SUS-000853</x:v>
      </x:c>
      <x:c r="B854" t="str">
        <x:v>USR-00306</x:v>
      </x:c>
      <x:c r="C854" t="str">
        <x:v>Plus mensual</x:v>
      </x:c>
      <x:c r="D854" t="n">
        <x:v>46082</x:v>
      </x:c>
      <x:c r="E854" t="n">
        <x:v>46266</x:v>
      </x:c>
      <x:c r="F854" t="str">
        <x:v>Activa</x:v>
      </x:c>
      <x:c r="G854" t="str">
        <x:v>Mensual</x:v>
      </x:c>
      <x:c r="H854" t="n">
        <x:v>7</x:v>
      </x:c>
    </x:row>
    <x:row r="855">
      <x:c r="A855" t="str">
        <x:v>SUS-000854</x:v>
      </x:c>
      <x:c r="B855" t="str">
        <x:v>USR-00329</x:v>
      </x:c>
      <x:c r="C855" t="str">
        <x:v>Plus anual</x:v>
      </x:c>
      <x:c r="D855" t="n">
        <x:v>46082</x:v>
      </x:c>
      <x:c r="E855" t="n">
        <x:v>46266</x:v>
      </x:c>
      <x:c r="F855" t="str">
        <x:v>Activa</x:v>
      </x:c>
      <x:c r="G855" t="str">
        <x:v>Anual</x:v>
      </x:c>
      <x:c r="H855" t="n">
        <x:v>7</x:v>
      </x:c>
    </x:row>
    <x:row r="856">
      <x:c r="A856" t="str">
        <x:v>SUS-000855</x:v>
      </x:c>
      <x:c r="B856" t="str">
        <x:v>USR-00335</x:v>
      </x:c>
      <x:c r="C856" t="str">
        <x:v>Plus mensual</x:v>
      </x:c>
      <x:c r="D856" t="n">
        <x:v>46082</x:v>
      </x:c>
      <x:c r="E856" t="n">
        <x:v>46204</x:v>
      </x:c>
      <x:c r="F856" t="str">
        <x:v>Finalizada</x:v>
      </x:c>
      <x:c r="G856" t="str">
        <x:v>Mensual</x:v>
      </x:c>
      <x:c r="H856" t="n">
        <x:v>5</x:v>
      </x:c>
    </x:row>
    <x:row r="857">
      <x:c r="A857" t="str">
        <x:v>SUS-000856</x:v>
      </x:c>
      <x:c r="B857" t="str">
        <x:v>USR-00338</x:v>
      </x:c>
      <x:c r="C857" t="str">
        <x:v>Plus mensual</x:v>
      </x:c>
      <x:c r="D857" t="n">
        <x:v>46082</x:v>
      </x:c>
      <x:c r="E857" t="n">
        <x:v>46266</x:v>
      </x:c>
      <x:c r="F857" t="str">
        <x:v>Activa</x:v>
      </x:c>
      <x:c r="G857" t="str">
        <x:v>Mensual</x:v>
      </x:c>
      <x:c r="H857" t="n">
        <x:v>7</x:v>
      </x:c>
    </x:row>
    <x:row r="858">
      <x:c r="A858" t="str">
        <x:v>SUS-000857</x:v>
      </x:c>
      <x:c r="B858" t="str">
        <x:v>USR-00353</x:v>
      </x:c>
      <x:c r="C858" t="str">
        <x:v>Plus mensual</x:v>
      </x:c>
      <x:c r="D858" t="n">
        <x:v>46082</x:v>
      </x:c>
      <x:c r="E858" t="n">
        <x:v>46266</x:v>
      </x:c>
      <x:c r="F858" t="str">
        <x:v>Activa</x:v>
      </x:c>
      <x:c r="G858" t="str">
        <x:v>Mensual</x:v>
      </x:c>
      <x:c r="H858" t="n">
        <x:v>7</x:v>
      </x:c>
    </x:row>
    <x:row r="859">
      <x:c r="A859" t="str">
        <x:v>SUS-000858</x:v>
      </x:c>
      <x:c r="B859" t="str">
        <x:v>USR-00355</x:v>
      </x:c>
      <x:c r="C859" t="str">
        <x:v>Plus anual</x:v>
      </x:c>
      <x:c r="D859" t="n">
        <x:v>46082</x:v>
      </x:c>
      <x:c r="E859" t="n">
        <x:v>46266</x:v>
      </x:c>
      <x:c r="F859" t="str">
        <x:v>Activa</x:v>
      </x:c>
      <x:c r="G859" t="str">
        <x:v>Anual</x:v>
      </x:c>
      <x:c r="H859" t="n">
        <x:v>7</x:v>
      </x:c>
    </x:row>
    <x:row r="860">
      <x:c r="A860" t="str">
        <x:v>SUS-000859</x:v>
      </x:c>
      <x:c r="B860" t="str">
        <x:v>USR-00381</x:v>
      </x:c>
      <x:c r="C860" t="str">
        <x:v>Plus anual</x:v>
      </x:c>
      <x:c r="D860" t="n">
        <x:v>46082</x:v>
      </x:c>
      <x:c r="E860" t="n">
        <x:v>46266</x:v>
      </x:c>
      <x:c r="F860" t="str">
        <x:v>Activa</x:v>
      </x:c>
      <x:c r="G860" t="str">
        <x:v>Anual</x:v>
      </x:c>
      <x:c r="H860" t="n">
        <x:v>7</x:v>
      </x:c>
    </x:row>
    <x:row r="861">
      <x:c r="A861" t="str">
        <x:v>SUS-000860</x:v>
      </x:c>
      <x:c r="B861" t="str">
        <x:v>USR-00397</x:v>
      </x:c>
      <x:c r="C861" t="str">
        <x:v>Plus anual</x:v>
      </x:c>
      <x:c r="D861" t="n">
        <x:v>46082</x:v>
      </x:c>
      <x:c r="E861" t="n">
        <x:v>46266</x:v>
      </x:c>
      <x:c r="F861" t="str">
        <x:v>Activa</x:v>
      </x:c>
      <x:c r="G861" t="str">
        <x:v>Anual</x:v>
      </x:c>
      <x:c r="H861" t="n">
        <x:v>7</x:v>
      </x:c>
    </x:row>
    <x:row r="862">
      <x:c r="A862" t="str">
        <x:v>SUS-000861</x:v>
      </x:c>
      <x:c r="B862" t="str">
        <x:v>USR-00404</x:v>
      </x:c>
      <x:c r="C862" t="str">
        <x:v>Plus mensual</x:v>
      </x:c>
      <x:c r="D862" t="n">
        <x:v>46082</x:v>
      </x:c>
      <x:c r="E862" t="n">
        <x:v>46266</x:v>
      </x:c>
      <x:c r="F862" t="str">
        <x:v>Activa</x:v>
      </x:c>
      <x:c r="G862" t="str">
        <x:v>Mensual</x:v>
      </x:c>
      <x:c r="H862" t="n">
        <x:v>7</x:v>
      </x:c>
    </x:row>
    <x:row r="863">
      <x:c r="A863" t="str">
        <x:v>SUS-000862</x:v>
      </x:c>
      <x:c r="B863" t="str">
        <x:v>USR-00413</x:v>
      </x:c>
      <x:c r="C863" t="str">
        <x:v>Plus mensual</x:v>
      </x:c>
      <x:c r="D863" t="n">
        <x:v>46082</x:v>
      </x:c>
      <x:c r="E863" t="n">
        <x:v>46266</x:v>
      </x:c>
      <x:c r="F863" t="str">
        <x:v>Activa</x:v>
      </x:c>
      <x:c r="G863" t="str">
        <x:v>Mensual</x:v>
      </x:c>
      <x:c r="H863" t="n">
        <x:v>7</x:v>
      </x:c>
    </x:row>
    <x:row r="864">
      <x:c r="A864" t="str">
        <x:v>SUS-000863</x:v>
      </x:c>
      <x:c r="B864" t="str">
        <x:v>USR-00416</x:v>
      </x:c>
      <x:c r="C864" t="str">
        <x:v>Plus mensual</x:v>
      </x:c>
      <x:c r="D864" t="n">
        <x:v>46082</x:v>
      </x:c>
      <x:c r="E864" t="n">
        <x:v>46266</x:v>
      </x:c>
      <x:c r="F864" t="str">
        <x:v>Activa</x:v>
      </x:c>
      <x:c r="G864" t="str">
        <x:v>Mensual</x:v>
      </x:c>
      <x:c r="H864" t="n">
        <x:v>7</x:v>
      </x:c>
    </x:row>
    <x:row r="865">
      <x:c r="A865" t="str">
        <x:v>SUS-000864</x:v>
      </x:c>
      <x:c r="B865" t="str">
        <x:v>USR-00421</x:v>
      </x:c>
      <x:c r="C865" t="str">
        <x:v>Plus mensual</x:v>
      </x:c>
      <x:c r="D865" t="n">
        <x:v>46082</x:v>
      </x:c>
      <x:c r="E865" t="n">
        <x:v>46266</x:v>
      </x:c>
      <x:c r="F865" t="str">
        <x:v>Activa</x:v>
      </x:c>
      <x:c r="G865" t="str">
        <x:v>Mensual</x:v>
      </x:c>
      <x:c r="H865" t="n">
        <x:v>7</x:v>
      </x:c>
    </x:row>
    <x:row r="866">
      <x:c r="A866" t="str">
        <x:v>SUS-000865</x:v>
      </x:c>
      <x:c r="B866" t="str">
        <x:v>USR-00426</x:v>
      </x:c>
      <x:c r="C866" t="str">
        <x:v>Plus anual</x:v>
      </x:c>
      <x:c r="D866" t="n">
        <x:v>46082</x:v>
      </x:c>
      <x:c r="E866" t="n">
        <x:v>46266</x:v>
      </x:c>
      <x:c r="F866" t="str">
        <x:v>Activa</x:v>
      </x:c>
      <x:c r="G866" t="str">
        <x:v>Anual</x:v>
      </x:c>
      <x:c r="H866" t="n">
        <x:v>7</x:v>
      </x:c>
    </x:row>
    <x:row r="867">
      <x:c r="A867" t="str">
        <x:v>SUS-000866</x:v>
      </x:c>
      <x:c r="B867" t="str">
        <x:v>USR-00447</x:v>
      </x:c>
      <x:c r="C867" t="str">
        <x:v>Cero</x:v>
      </x:c>
      <x:c r="D867" t="n">
        <x:v>46082</x:v>
      </x:c>
      <x:c r="E867" t="n">
        <x:v>46266</x:v>
      </x:c>
      <x:c r="F867" t="str">
        <x:v>Activa</x:v>
      </x:c>
      <x:c r="G867" t="str">
        <x:v>Gratuita</x:v>
      </x:c>
      <x:c r="H867" t="n">
        <x:v>7</x:v>
      </x:c>
    </x:row>
    <x:row r="868">
      <x:c r="A868" t="str">
        <x:v>SUS-000867</x:v>
      </x:c>
      <x:c r="B868" t="str">
        <x:v>USR-00450</x:v>
      </x:c>
      <x:c r="C868" t="str">
        <x:v>Plus mensual</x:v>
      </x:c>
      <x:c r="D868" t="n">
        <x:v>46082</x:v>
      </x:c>
      <x:c r="E868" t="n">
        <x:v>46235</x:v>
      </x:c>
      <x:c r="F868" t="str">
        <x:v>Finalizada</x:v>
      </x:c>
      <x:c r="G868" t="str">
        <x:v>Mensual</x:v>
      </x:c>
      <x:c r="H868" t="n">
        <x:v>6</x:v>
      </x:c>
    </x:row>
    <x:row r="869">
      <x:c r="A869" t="str">
        <x:v>SUS-000868</x:v>
      </x:c>
      <x:c r="B869" t="str">
        <x:v>USR-00452</x:v>
      </x:c>
      <x:c r="C869" t="str">
        <x:v>Plus mensual</x:v>
      </x:c>
      <x:c r="D869" t="n">
        <x:v>46082</x:v>
      </x:c>
      <x:c r="E869" t="n">
        <x:v>46235</x:v>
      </x:c>
      <x:c r="F869" t="str">
        <x:v>Finalizada</x:v>
      </x:c>
      <x:c r="G869" t="str">
        <x:v>Mensual</x:v>
      </x:c>
      <x:c r="H869" t="n">
        <x:v>6</x:v>
      </x:c>
    </x:row>
    <x:row r="870">
      <x:c r="A870" t="str">
        <x:v>SUS-000869</x:v>
      </x:c>
      <x:c r="B870" t="str">
        <x:v>USR-00455</x:v>
      </x:c>
      <x:c r="C870" t="str">
        <x:v>Cero</x:v>
      </x:c>
      <x:c r="D870" t="n">
        <x:v>46082</x:v>
      </x:c>
      <x:c r="E870" t="n">
        <x:v>46174</x:v>
      </x:c>
      <x:c r="F870" t="str">
        <x:v>Finalizada</x:v>
      </x:c>
      <x:c r="G870" t="str">
        <x:v>Gratuita</x:v>
      </x:c>
      <x:c r="H870" t="n">
        <x:v>4</x:v>
      </x:c>
    </x:row>
    <x:row r="871">
      <x:c r="A871" t="str">
        <x:v>SUS-000870</x:v>
      </x:c>
      <x:c r="B871" t="str">
        <x:v>USR-00457</x:v>
      </x:c>
      <x:c r="C871" t="str">
        <x:v>Cero</x:v>
      </x:c>
      <x:c r="D871" t="n">
        <x:v>46082</x:v>
      </x:c>
      <x:c r="E871" t="n">
        <x:v>46174</x:v>
      </x:c>
      <x:c r="F871" t="str">
        <x:v>Finalizada</x:v>
      </x:c>
      <x:c r="G871" t="str">
        <x:v>Gratuita</x:v>
      </x:c>
      <x:c r="H871" t="n">
        <x:v>4</x:v>
      </x:c>
    </x:row>
    <x:row r="872">
      <x:c r="A872" t="str">
        <x:v>SUS-000871</x:v>
      </x:c>
      <x:c r="B872" t="str">
        <x:v>USR-00474</x:v>
      </x:c>
      <x:c r="C872" t="str">
        <x:v>Cero</x:v>
      </x:c>
      <x:c r="D872" t="n">
        <x:v>46082</x:v>
      </x:c>
      <x:c r="E872" t="n">
        <x:v>46235</x:v>
      </x:c>
      <x:c r="F872" t="str">
        <x:v>Finalizada</x:v>
      </x:c>
      <x:c r="G872" t="str">
        <x:v>Gratuita</x:v>
      </x:c>
      <x:c r="H872" t="n">
        <x:v>6</x:v>
      </x:c>
    </x:row>
    <x:row r="873">
      <x:c r="A873" t="str">
        <x:v>SUS-000872</x:v>
      </x:c>
      <x:c r="B873" t="str">
        <x:v>USR-00505</x:v>
      </x:c>
      <x:c r="C873" t="str">
        <x:v>Plus anual</x:v>
      </x:c>
      <x:c r="D873" t="n">
        <x:v>46082</x:v>
      </x:c>
      <x:c r="E873" t="n">
        <x:v>46266</x:v>
      </x:c>
      <x:c r="F873" t="str">
        <x:v>Activa</x:v>
      </x:c>
      <x:c r="G873" t="str">
        <x:v>Anual</x:v>
      </x:c>
      <x:c r="H873" t="n">
        <x:v>7</x:v>
      </x:c>
    </x:row>
    <x:row r="874">
      <x:c r="A874" t="str">
        <x:v>SUS-000873</x:v>
      </x:c>
      <x:c r="B874" t="str">
        <x:v>USR-00506</x:v>
      </x:c>
      <x:c r="C874" t="str">
        <x:v>Plus mensual</x:v>
      </x:c>
      <x:c r="D874" t="n">
        <x:v>46082</x:v>
      </x:c>
      <x:c r="E874" t="n">
        <x:v>46113</x:v>
      </x:c>
      <x:c r="F874" t="str">
        <x:v>Finalizada</x:v>
      </x:c>
      <x:c r="G874" t="str">
        <x:v>Mensual</x:v>
      </x:c>
      <x:c r="H874" t="n">
        <x:v>2</x:v>
      </x:c>
    </x:row>
    <x:row r="875">
      <x:c r="A875" t="str">
        <x:v>SUS-000874</x:v>
      </x:c>
      <x:c r="B875" t="str">
        <x:v>USR-00521</x:v>
      </x:c>
      <x:c r="C875" t="str">
        <x:v>Plus anual</x:v>
      </x:c>
      <x:c r="D875" t="n">
        <x:v>46082</x:v>
      </x:c>
      <x:c r="E875" t="n">
        <x:v>46266</x:v>
      </x:c>
      <x:c r="F875" t="str">
        <x:v>Activa</x:v>
      </x:c>
      <x:c r="G875" t="str">
        <x:v>Anual</x:v>
      </x:c>
      <x:c r="H875" t="n">
        <x:v>7</x:v>
      </x:c>
    </x:row>
    <x:row r="876">
      <x:c r="A876" t="str">
        <x:v>SUS-000875</x:v>
      </x:c>
      <x:c r="B876" t="str">
        <x:v>USR-00522</x:v>
      </x:c>
      <x:c r="C876" t="str">
        <x:v>Plus anual</x:v>
      </x:c>
      <x:c r="D876" t="n">
        <x:v>46082</x:v>
      </x:c>
      <x:c r="E876" t="n">
        <x:v>46266</x:v>
      </x:c>
      <x:c r="F876" t="str">
        <x:v>Activa</x:v>
      </x:c>
      <x:c r="G876" t="str">
        <x:v>Anual</x:v>
      </x:c>
      <x:c r="H876" t="n">
        <x:v>7</x:v>
      </x:c>
    </x:row>
    <x:row r="877">
      <x:c r="A877" t="str">
        <x:v>SUS-000876</x:v>
      </x:c>
      <x:c r="B877" t="str">
        <x:v>USR-00524</x:v>
      </x:c>
      <x:c r="C877" t="str">
        <x:v>Plus mensual</x:v>
      </x:c>
      <x:c r="D877" t="n">
        <x:v>46082</x:v>
      </x:c>
      <x:c r="E877" t="n">
        <x:v>46266</x:v>
      </x:c>
      <x:c r="F877" t="str">
        <x:v>Activa</x:v>
      </x:c>
      <x:c r="G877" t="str">
        <x:v>Mensual</x:v>
      </x:c>
      <x:c r="H877" t="n">
        <x:v>7</x:v>
      </x:c>
    </x:row>
    <x:row r="878">
      <x:c r="A878" t="str">
        <x:v>SUS-000877</x:v>
      </x:c>
      <x:c r="B878" t="str">
        <x:v>USR-00528</x:v>
      </x:c>
      <x:c r="C878" t="str">
        <x:v>Plus mensual</x:v>
      </x:c>
      <x:c r="D878" t="n">
        <x:v>46082</x:v>
      </x:c>
      <x:c r="E878" t="n">
        <x:v>46204</x:v>
      </x:c>
      <x:c r="F878" t="str">
        <x:v>Finalizada</x:v>
      </x:c>
      <x:c r="G878" t="str">
        <x:v>Mensual</x:v>
      </x:c>
      <x:c r="H878" t="n">
        <x:v>5</x:v>
      </x:c>
    </x:row>
    <x:row r="879">
      <x:c r="A879" t="str">
        <x:v>SUS-000878</x:v>
      </x:c>
      <x:c r="B879" t="str">
        <x:v>USR-00535</x:v>
      </x:c>
      <x:c r="C879" t="str">
        <x:v>Cero</x:v>
      </x:c>
      <x:c r="D879" t="n">
        <x:v>46082</x:v>
      </x:c>
      <x:c r="E879" t="n">
        <x:v>46082</x:v>
      </x:c>
      <x:c r="F879" t="str">
        <x:v>Finalizada</x:v>
      </x:c>
      <x:c r="G879" t="str">
        <x:v>Gratuita</x:v>
      </x:c>
      <x:c r="H879" t="n">
        <x:v>1</x:v>
      </x:c>
    </x:row>
    <x:row r="880">
      <x:c r="A880" t="str">
        <x:v>SUS-000879</x:v>
      </x:c>
      <x:c r="B880" t="str">
        <x:v>USR-00560</x:v>
      </x:c>
      <x:c r="C880" t="str">
        <x:v>Plus mensual</x:v>
      </x:c>
      <x:c r="D880" t="n">
        <x:v>46082</x:v>
      </x:c>
      <x:c r="E880" t="n">
        <x:v>46266</x:v>
      </x:c>
      <x:c r="F880" t="str">
        <x:v>Activa</x:v>
      </x:c>
      <x:c r="G880" t="str">
        <x:v>Mensual</x:v>
      </x:c>
      <x:c r="H880" t="n">
        <x:v>7</x:v>
      </x:c>
    </x:row>
    <x:row r="881">
      <x:c r="A881" t="str">
        <x:v>SUS-000880</x:v>
      </x:c>
      <x:c r="B881" t="str">
        <x:v>USR-00561</x:v>
      </x:c>
      <x:c r="C881" t="str">
        <x:v>Plus mensual</x:v>
      </x:c>
      <x:c r="D881" t="n">
        <x:v>46082</x:v>
      </x:c>
      <x:c r="E881" t="n">
        <x:v>46266</x:v>
      </x:c>
      <x:c r="F881" t="str">
        <x:v>Activa</x:v>
      </x:c>
      <x:c r="G881" t="str">
        <x:v>Mensual</x:v>
      </x:c>
      <x:c r="H881" t="n">
        <x:v>7</x:v>
      </x:c>
    </x:row>
    <x:row r="882">
      <x:c r="A882" t="str">
        <x:v>SUS-000881</x:v>
      </x:c>
      <x:c r="B882" t="str">
        <x:v>USR-00570</x:v>
      </x:c>
      <x:c r="C882" t="str">
        <x:v>Plus mensual</x:v>
      </x:c>
      <x:c r="D882" t="n">
        <x:v>46082</x:v>
      </x:c>
      <x:c r="E882" t="n">
        <x:v>46082</x:v>
      </x:c>
      <x:c r="F882" t="str">
        <x:v>Finalizada</x:v>
      </x:c>
      <x:c r="G882" t="str">
        <x:v>Mensual</x:v>
      </x:c>
      <x:c r="H882" t="n">
        <x:v>1</x:v>
      </x:c>
    </x:row>
    <x:row r="883">
      <x:c r="A883" t="str">
        <x:v>SUS-000882</x:v>
      </x:c>
      <x:c r="B883" t="str">
        <x:v>USR-00596</x:v>
      </x:c>
      <x:c r="C883" t="str">
        <x:v>Plus anual</x:v>
      </x:c>
      <x:c r="D883" t="n">
        <x:v>46082</x:v>
      </x:c>
      <x:c r="E883" t="n">
        <x:v>46266</x:v>
      </x:c>
      <x:c r="F883" t="str">
        <x:v>Activa</x:v>
      </x:c>
      <x:c r="G883" t="str">
        <x:v>Anual</x:v>
      </x:c>
      <x:c r="H883" t="n">
        <x:v>7</x:v>
      </x:c>
    </x:row>
    <x:row r="884">
      <x:c r="A884" t="str">
        <x:v>SUS-000883</x:v>
      </x:c>
      <x:c r="B884" t="str">
        <x:v>USR-00598</x:v>
      </x:c>
      <x:c r="C884" t="str">
        <x:v>Plus anual</x:v>
      </x:c>
      <x:c r="D884" t="n">
        <x:v>46082</x:v>
      </x:c>
      <x:c r="E884" t="n">
        <x:v>46266</x:v>
      </x:c>
      <x:c r="F884" t="str">
        <x:v>Activa</x:v>
      </x:c>
      <x:c r="G884" t="str">
        <x:v>Anual</x:v>
      </x:c>
      <x:c r="H884" t="n">
        <x:v>7</x:v>
      </x:c>
    </x:row>
    <x:row r="885">
      <x:c r="A885" t="str">
        <x:v>SUS-000884</x:v>
      </x:c>
      <x:c r="B885" t="str">
        <x:v>USR-00608</x:v>
      </x:c>
      <x:c r="C885" t="str">
        <x:v>Plus anual</x:v>
      </x:c>
      <x:c r="D885" t="n">
        <x:v>46082</x:v>
      </x:c>
      <x:c r="E885" t="n">
        <x:v>46266</x:v>
      </x:c>
      <x:c r="F885" t="str">
        <x:v>Activa</x:v>
      </x:c>
      <x:c r="G885" t="str">
        <x:v>Anual</x:v>
      </x:c>
      <x:c r="H885" t="n">
        <x:v>7</x:v>
      </x:c>
    </x:row>
    <x:row r="886">
      <x:c r="A886" t="str">
        <x:v>SUS-000885</x:v>
      </x:c>
      <x:c r="B886" t="str">
        <x:v>USR-00614</x:v>
      </x:c>
      <x:c r="C886" t="str">
        <x:v>Plus mensual</x:v>
      </x:c>
      <x:c r="D886" t="n">
        <x:v>46082</x:v>
      </x:c>
      <x:c r="E886" t="n">
        <x:v>46266</x:v>
      </x:c>
      <x:c r="F886" t="str">
        <x:v>Activa</x:v>
      </x:c>
      <x:c r="G886" t="str">
        <x:v>Mensual</x:v>
      </x:c>
      <x:c r="H886" t="n">
        <x:v>7</x:v>
      </x:c>
    </x:row>
    <x:row r="887">
      <x:c r="A887" t="str">
        <x:v>SUS-000886</x:v>
      </x:c>
      <x:c r="B887" t="str">
        <x:v>USR-00623</x:v>
      </x:c>
      <x:c r="C887" t="str">
        <x:v>Cero</x:v>
      </x:c>
      <x:c r="D887" t="n">
        <x:v>46082</x:v>
      </x:c>
      <x:c r="E887" t="n">
        <x:v>46266</x:v>
      </x:c>
      <x:c r="F887" t="str">
        <x:v>Activa</x:v>
      </x:c>
      <x:c r="G887" t="str">
        <x:v>Gratuita</x:v>
      </x:c>
      <x:c r="H887" t="n">
        <x:v>7</x:v>
      </x:c>
    </x:row>
    <x:row r="888">
      <x:c r="A888" t="str">
        <x:v>SUS-000887</x:v>
      </x:c>
      <x:c r="B888" t="str">
        <x:v>USR-00624</x:v>
      </x:c>
      <x:c r="C888" t="str">
        <x:v>Cero</x:v>
      </x:c>
      <x:c r="D888" t="n">
        <x:v>46082</x:v>
      </x:c>
      <x:c r="E888" t="n">
        <x:v>46174</x:v>
      </x:c>
      <x:c r="F888" t="str">
        <x:v>Finalizada</x:v>
      </x:c>
      <x:c r="G888" t="str">
        <x:v>Gratuita</x:v>
      </x:c>
      <x:c r="H888" t="n">
        <x:v>4</x:v>
      </x:c>
    </x:row>
    <x:row r="889">
      <x:c r="A889" t="str">
        <x:v>SUS-000888</x:v>
      </x:c>
      <x:c r="B889" t="str">
        <x:v>USR-00625</x:v>
      </x:c>
      <x:c r="C889" t="str">
        <x:v>Plus mensual</x:v>
      </x:c>
      <x:c r="D889" t="n">
        <x:v>46082</x:v>
      </x:c>
      <x:c r="E889" t="n">
        <x:v>46266</x:v>
      </x:c>
      <x:c r="F889" t="str">
        <x:v>Activa</x:v>
      </x:c>
      <x:c r="G889" t="str">
        <x:v>Mensual</x:v>
      </x:c>
      <x:c r="H889" t="n">
        <x:v>7</x:v>
      </x:c>
    </x:row>
    <x:row r="890">
      <x:c r="A890" t="str">
        <x:v>SUS-000889</x:v>
      </x:c>
      <x:c r="B890" t="str">
        <x:v>USR-00626</x:v>
      </x:c>
      <x:c r="C890" t="str">
        <x:v>Plus mensual</x:v>
      </x:c>
      <x:c r="D890" t="n">
        <x:v>46082</x:v>
      </x:c>
      <x:c r="E890" t="n">
        <x:v>46266</x:v>
      </x:c>
      <x:c r="F890" t="str">
        <x:v>Activa</x:v>
      </x:c>
      <x:c r="G890" t="str">
        <x:v>Mensual</x:v>
      </x:c>
      <x:c r="H890" t="n">
        <x:v>7</x:v>
      </x:c>
    </x:row>
    <x:row r="891">
      <x:c r="A891" t="str">
        <x:v>SUS-000890</x:v>
      </x:c>
      <x:c r="B891" t="str">
        <x:v>USR-00627</x:v>
      </x:c>
      <x:c r="C891" t="str">
        <x:v>Cero</x:v>
      </x:c>
      <x:c r="D891" t="n">
        <x:v>46082</x:v>
      </x:c>
      <x:c r="E891" t="n">
        <x:v>46266</x:v>
      </x:c>
      <x:c r="F891" t="str">
        <x:v>Activa</x:v>
      </x:c>
      <x:c r="G891" t="str">
        <x:v>Gratuita</x:v>
      </x:c>
      <x:c r="H891" t="n">
        <x:v>7</x:v>
      </x:c>
    </x:row>
    <x:row r="892">
      <x:c r="A892" t="str">
        <x:v>SUS-000891</x:v>
      </x:c>
      <x:c r="B892" t="str">
        <x:v>USR-00628</x:v>
      </x:c>
      <x:c r="C892" t="str">
        <x:v>Cero</x:v>
      </x:c>
      <x:c r="D892" t="n">
        <x:v>46082</x:v>
      </x:c>
      <x:c r="E892" t="n">
        <x:v>46235</x:v>
      </x:c>
      <x:c r="F892" t="str">
        <x:v>Finalizada</x:v>
      </x:c>
      <x:c r="G892" t="str">
        <x:v>Gratuita</x:v>
      </x:c>
      <x:c r="H892" t="n">
        <x:v>6</x:v>
      </x:c>
    </x:row>
    <x:row r="893">
      <x:c r="A893" t="str">
        <x:v>SUS-000892</x:v>
      </x:c>
      <x:c r="B893" t="str">
        <x:v>USR-00629</x:v>
      </x:c>
      <x:c r="C893" t="str">
        <x:v>Cero</x:v>
      </x:c>
      <x:c r="D893" t="n">
        <x:v>46082</x:v>
      </x:c>
      <x:c r="E893" t="n">
        <x:v>46143</x:v>
      </x:c>
      <x:c r="F893" t="str">
        <x:v>Finalizada</x:v>
      </x:c>
      <x:c r="G893" t="str">
        <x:v>Gratuita</x:v>
      </x:c>
      <x:c r="H893" t="n">
        <x:v>3</x:v>
      </x:c>
    </x:row>
    <x:row r="894">
      <x:c r="A894" t="str">
        <x:v>SUS-000893</x:v>
      </x:c>
      <x:c r="B894" t="str">
        <x:v>USR-00630</x:v>
      </x:c>
      <x:c r="C894" t="str">
        <x:v>Cero</x:v>
      </x:c>
      <x:c r="D894" t="n">
        <x:v>46082</x:v>
      </x:c>
      <x:c r="E894" t="n">
        <x:v>46235</x:v>
      </x:c>
      <x:c r="F894" t="str">
        <x:v>Finalizada</x:v>
      </x:c>
      <x:c r="G894" t="str">
        <x:v>Gratuita</x:v>
      </x:c>
      <x:c r="H894" t="n">
        <x:v>6</x:v>
      </x:c>
    </x:row>
    <x:row r="895">
      <x:c r="A895" t="str">
        <x:v>SUS-000894</x:v>
      </x:c>
      <x:c r="B895" t="str">
        <x:v>USR-00631</x:v>
      </x:c>
      <x:c r="C895" t="str">
        <x:v>Plus anual</x:v>
      </x:c>
      <x:c r="D895" t="n">
        <x:v>46082</x:v>
      </x:c>
      <x:c r="E895" t="n">
        <x:v>46266</x:v>
      </x:c>
      <x:c r="F895" t="str">
        <x:v>Activa</x:v>
      </x:c>
      <x:c r="G895" t="str">
        <x:v>Anual</x:v>
      </x:c>
      <x:c r="H895" t="n">
        <x:v>7</x:v>
      </x:c>
    </x:row>
    <x:row r="896">
      <x:c r="A896" t="str">
        <x:v>SUS-000895</x:v>
      </x:c>
      <x:c r="B896" t="str">
        <x:v>USR-00632</x:v>
      </x:c>
      <x:c r="C896" t="str">
        <x:v>Cero</x:v>
      </x:c>
      <x:c r="D896" t="n">
        <x:v>46082</x:v>
      </x:c>
      <x:c r="E896" t="n">
        <x:v>46266</x:v>
      </x:c>
      <x:c r="F896" t="str">
        <x:v>Activa</x:v>
      </x:c>
      <x:c r="G896" t="str">
        <x:v>Gratuita</x:v>
      </x:c>
      <x:c r="H896" t="n">
        <x:v>7</x:v>
      </x:c>
    </x:row>
    <x:row r="897">
      <x:c r="A897" t="str">
        <x:v>SUS-000896</x:v>
      </x:c>
      <x:c r="B897" t="str">
        <x:v>USR-00633</x:v>
      </x:c>
      <x:c r="C897" t="str">
        <x:v>Plus mensual</x:v>
      </x:c>
      <x:c r="D897" t="n">
        <x:v>46082</x:v>
      </x:c>
      <x:c r="E897" t="n">
        <x:v>46082</x:v>
      </x:c>
      <x:c r="F897" t="str">
        <x:v>Finalizada</x:v>
      </x:c>
      <x:c r="G897" t="str">
        <x:v>Mensual</x:v>
      </x:c>
      <x:c r="H897" t="n">
        <x:v>1</x:v>
      </x:c>
    </x:row>
    <x:row r="898">
      <x:c r="A898" t="str">
        <x:v>SUS-000897</x:v>
      </x:c>
      <x:c r="B898" t="str">
        <x:v>USR-00634</x:v>
      </x:c>
      <x:c r="C898" t="str">
        <x:v>Cero</x:v>
      </x:c>
      <x:c r="D898" t="n">
        <x:v>46082</x:v>
      </x:c>
      <x:c r="E898" t="n">
        <x:v>46266</x:v>
      </x:c>
      <x:c r="F898" t="str">
        <x:v>Activa</x:v>
      </x:c>
      <x:c r="G898" t="str">
        <x:v>Gratuita</x:v>
      </x:c>
      <x:c r="H898" t="n">
        <x:v>7</x:v>
      </x:c>
    </x:row>
    <x:row r="899">
      <x:c r="A899" t="str">
        <x:v>SUS-000898</x:v>
      </x:c>
      <x:c r="B899" t="str">
        <x:v>USR-00635</x:v>
      </x:c>
      <x:c r="C899" t="str">
        <x:v>Cero</x:v>
      </x:c>
      <x:c r="D899" t="n">
        <x:v>46082</x:v>
      </x:c>
      <x:c r="E899" t="n">
        <x:v>46266</x:v>
      </x:c>
      <x:c r="F899" t="str">
        <x:v>Activa</x:v>
      </x:c>
      <x:c r="G899" t="str">
        <x:v>Gratuita</x:v>
      </x:c>
      <x:c r="H899" t="n">
        <x:v>7</x:v>
      </x:c>
    </x:row>
    <x:row r="900">
      <x:c r="A900" t="str">
        <x:v>SUS-000899</x:v>
      </x:c>
      <x:c r="B900" t="str">
        <x:v>USR-00636</x:v>
      </x:c>
      <x:c r="C900" t="str">
        <x:v>Cero</x:v>
      </x:c>
      <x:c r="D900" t="n">
        <x:v>46082</x:v>
      </x:c>
      <x:c r="E900" t="n">
        <x:v>46082</x:v>
      </x:c>
      <x:c r="F900" t="str">
        <x:v>Finalizada</x:v>
      </x:c>
      <x:c r="G900" t="str">
        <x:v>Gratuita</x:v>
      </x:c>
      <x:c r="H900" t="n">
        <x:v>1</x:v>
      </x:c>
    </x:row>
    <x:row r="901">
      <x:c r="A901" t="str">
        <x:v>SUS-000900</x:v>
      </x:c>
      <x:c r="B901" t="str">
        <x:v>USR-00637</x:v>
      </x:c>
      <x:c r="C901" t="str">
        <x:v>Cero</x:v>
      </x:c>
      <x:c r="D901" t="n">
        <x:v>46082</x:v>
      </x:c>
      <x:c r="E901" t="n">
        <x:v>46174</x:v>
      </x:c>
      <x:c r="F901" t="str">
        <x:v>Finalizada</x:v>
      </x:c>
      <x:c r="G901" t="str">
        <x:v>Gratuita</x:v>
      </x:c>
      <x:c r="H901" t="n">
        <x:v>4</x:v>
      </x:c>
    </x:row>
    <x:row r="902">
      <x:c r="A902" t="str">
        <x:v>SUS-000901</x:v>
      </x:c>
      <x:c r="B902" t="str">
        <x:v>USR-00638</x:v>
      </x:c>
      <x:c r="C902" t="str">
        <x:v>Cero</x:v>
      </x:c>
      <x:c r="D902" t="n">
        <x:v>46082</x:v>
      </x:c>
      <x:c r="E902" t="n">
        <x:v>46266</x:v>
      </x:c>
      <x:c r="F902" t="str">
        <x:v>Activa</x:v>
      </x:c>
      <x:c r="G902" t="str">
        <x:v>Gratuita</x:v>
      </x:c>
      <x:c r="H902" t="n">
        <x:v>7</x:v>
      </x:c>
    </x:row>
    <x:row r="903">
      <x:c r="A903" t="str">
        <x:v>SUS-000902</x:v>
      </x:c>
      <x:c r="B903" t="str">
        <x:v>USR-00639</x:v>
      </x:c>
      <x:c r="C903" t="str">
        <x:v>Cero</x:v>
      </x:c>
      <x:c r="D903" t="n">
        <x:v>46082</x:v>
      </x:c>
      <x:c r="E903" t="n">
        <x:v>46082</x:v>
      </x:c>
      <x:c r="F903" t="str">
        <x:v>Finalizada</x:v>
      </x:c>
      <x:c r="G903" t="str">
        <x:v>Gratuita</x:v>
      </x:c>
      <x:c r="H903" t="n">
        <x:v>1</x:v>
      </x:c>
    </x:row>
    <x:row r="904">
      <x:c r="A904" t="str">
        <x:v>SUS-000903</x:v>
      </x:c>
      <x:c r="B904" t="str">
        <x:v>USR-00640</x:v>
      </x:c>
      <x:c r="C904" t="str">
        <x:v>Plus anual</x:v>
      </x:c>
      <x:c r="D904" t="n">
        <x:v>46082</x:v>
      </x:c>
      <x:c r="E904" t="n">
        <x:v>46266</x:v>
      </x:c>
      <x:c r="F904" t="str">
        <x:v>Activa</x:v>
      </x:c>
      <x:c r="G904" t="str">
        <x:v>Anual</x:v>
      </x:c>
      <x:c r="H904" t="n">
        <x:v>7</x:v>
      </x:c>
    </x:row>
    <x:row r="905">
      <x:c r="A905" t="str">
        <x:v>SUS-000904</x:v>
      </x:c>
      <x:c r="B905" t="str">
        <x:v>USR-00641</x:v>
      </x:c>
      <x:c r="C905" t="str">
        <x:v>Plus mensual</x:v>
      </x:c>
      <x:c r="D905" t="n">
        <x:v>46082</x:v>
      </x:c>
      <x:c r="E905" t="n">
        <x:v>46113</x:v>
      </x:c>
      <x:c r="F905" t="str">
        <x:v>Finalizada</x:v>
      </x:c>
      <x:c r="G905" t="str">
        <x:v>Mensual</x:v>
      </x:c>
      <x:c r="H905" t="n">
        <x:v>2</x:v>
      </x:c>
    </x:row>
    <x:row r="906">
      <x:c r="A906" t="str">
        <x:v>SUS-000905</x:v>
      </x:c>
      <x:c r="B906" t="str">
        <x:v>USR-00642</x:v>
      </x:c>
      <x:c r="C906" t="str">
        <x:v>Cero</x:v>
      </x:c>
      <x:c r="D906" t="n">
        <x:v>46082</x:v>
      </x:c>
      <x:c r="E906" t="n">
        <x:v>46266</x:v>
      </x:c>
      <x:c r="F906" t="str">
        <x:v>Activa</x:v>
      </x:c>
      <x:c r="G906" t="str">
        <x:v>Gratuita</x:v>
      </x:c>
      <x:c r="H906" t="n">
        <x:v>7</x:v>
      </x:c>
    </x:row>
    <x:row r="907">
      <x:c r="A907" t="str">
        <x:v>SUS-000906</x:v>
      </x:c>
      <x:c r="B907" t="str">
        <x:v>USR-00643</x:v>
      </x:c>
      <x:c r="C907" t="str">
        <x:v>Cero</x:v>
      </x:c>
      <x:c r="D907" t="n">
        <x:v>46082</x:v>
      </x:c>
      <x:c r="E907" t="n">
        <x:v>46266</x:v>
      </x:c>
      <x:c r="F907" t="str">
        <x:v>Activa</x:v>
      </x:c>
      <x:c r="G907" t="str">
        <x:v>Gratuita</x:v>
      </x:c>
      <x:c r="H907" t="n">
        <x:v>7</x:v>
      </x:c>
    </x:row>
    <x:row r="908">
      <x:c r="A908" t="str">
        <x:v>SUS-000907</x:v>
      </x:c>
      <x:c r="B908" t="str">
        <x:v>USR-00644</x:v>
      </x:c>
      <x:c r="C908" t="str">
        <x:v>Plus mensual</x:v>
      </x:c>
      <x:c r="D908" t="n">
        <x:v>46082</x:v>
      </x:c>
      <x:c r="E908" t="n">
        <x:v>46235</x:v>
      </x:c>
      <x:c r="F908" t="str">
        <x:v>Finalizada</x:v>
      </x:c>
      <x:c r="G908" t="str">
        <x:v>Mensual</x:v>
      </x:c>
      <x:c r="H908" t="n">
        <x:v>6</x:v>
      </x:c>
    </x:row>
    <x:row r="909">
      <x:c r="A909" t="str">
        <x:v>SUS-000908</x:v>
      </x:c>
      <x:c r="B909" t="str">
        <x:v>USR-00645</x:v>
      </x:c>
      <x:c r="C909" t="str">
        <x:v>Cero</x:v>
      </x:c>
      <x:c r="D909" t="n">
        <x:v>46082</x:v>
      </x:c>
      <x:c r="E909" t="n">
        <x:v>46266</x:v>
      </x:c>
      <x:c r="F909" t="str">
        <x:v>Activa</x:v>
      </x:c>
      <x:c r="G909" t="str">
        <x:v>Gratuita</x:v>
      </x:c>
      <x:c r="H909" t="n">
        <x:v>7</x:v>
      </x:c>
    </x:row>
    <x:row r="910">
      <x:c r="A910" t="str">
        <x:v>SUS-000909</x:v>
      </x:c>
      <x:c r="B910" t="str">
        <x:v>USR-00646</x:v>
      </x:c>
      <x:c r="C910" t="str">
        <x:v>Cero</x:v>
      </x:c>
      <x:c r="D910" t="n">
        <x:v>46082</x:v>
      </x:c>
      <x:c r="E910" t="n">
        <x:v>46082</x:v>
      </x:c>
      <x:c r="F910" t="str">
        <x:v>Finalizada</x:v>
      </x:c>
      <x:c r="G910" t="str">
        <x:v>Gratuita</x:v>
      </x:c>
      <x:c r="H910" t="n">
        <x:v>1</x:v>
      </x:c>
    </x:row>
    <x:row r="911">
      <x:c r="A911" t="str">
        <x:v>SUS-000910</x:v>
      </x:c>
      <x:c r="B911" t="str">
        <x:v>USR-00647</x:v>
      </x:c>
      <x:c r="C911" t="str">
        <x:v>Cero</x:v>
      </x:c>
      <x:c r="D911" t="n">
        <x:v>46082</x:v>
      </x:c>
      <x:c r="E911" t="n">
        <x:v>46266</x:v>
      </x:c>
      <x:c r="F911" t="str">
        <x:v>Activa</x:v>
      </x:c>
      <x:c r="G911" t="str">
        <x:v>Gratuita</x:v>
      </x:c>
      <x:c r="H911" t="n">
        <x:v>7</x:v>
      </x:c>
    </x:row>
    <x:row r="912">
      <x:c r="A912" t="str">
        <x:v>SUS-000911</x:v>
      </x:c>
      <x:c r="B912" t="str">
        <x:v>USR-00648</x:v>
      </x:c>
      <x:c r="C912" t="str">
        <x:v>Plus mensual</x:v>
      </x:c>
      <x:c r="D912" t="n">
        <x:v>46082</x:v>
      </x:c>
      <x:c r="E912" t="n">
        <x:v>46266</x:v>
      </x:c>
      <x:c r="F912" t="str">
        <x:v>Activa</x:v>
      </x:c>
      <x:c r="G912" t="str">
        <x:v>Mensual</x:v>
      </x:c>
      <x:c r="H912" t="n">
        <x:v>7</x:v>
      </x:c>
    </x:row>
    <x:row r="913">
      <x:c r="A913" t="str">
        <x:v>SUS-000912</x:v>
      </x:c>
      <x:c r="B913" t="str">
        <x:v>USR-00649</x:v>
      </x:c>
      <x:c r="C913" t="str">
        <x:v>Plus anual</x:v>
      </x:c>
      <x:c r="D913" t="n">
        <x:v>46082</x:v>
      </x:c>
      <x:c r="E913" t="n">
        <x:v>46266</x:v>
      </x:c>
      <x:c r="F913" t="str">
        <x:v>Activa</x:v>
      </x:c>
      <x:c r="G913" t="str">
        <x:v>Anual</x:v>
      </x:c>
      <x:c r="H913" t="n">
        <x:v>7</x:v>
      </x:c>
    </x:row>
    <x:row r="914">
      <x:c r="A914" t="str">
        <x:v>SUS-000913</x:v>
      </x:c>
      <x:c r="B914" t="str">
        <x:v>USR-00650</x:v>
      </x:c>
      <x:c r="C914" t="str">
        <x:v>Cero</x:v>
      </x:c>
      <x:c r="D914" t="n">
        <x:v>46082</x:v>
      </x:c>
      <x:c r="E914" t="n">
        <x:v>46266</x:v>
      </x:c>
      <x:c r="F914" t="str">
        <x:v>Activa</x:v>
      </x:c>
      <x:c r="G914" t="str">
        <x:v>Gratuita</x:v>
      </x:c>
      <x:c r="H914" t="n">
        <x:v>7</x:v>
      </x:c>
    </x:row>
    <x:row r="915">
      <x:c r="A915" t="str">
        <x:v>SUS-000914</x:v>
      </x:c>
      <x:c r="B915" t="str">
        <x:v>USR-00651</x:v>
      </x:c>
      <x:c r="C915" t="str">
        <x:v>Plus mensual</x:v>
      </x:c>
      <x:c r="D915" t="n">
        <x:v>46082</x:v>
      </x:c>
      <x:c r="E915" t="n">
        <x:v>46204</x:v>
      </x:c>
      <x:c r="F915" t="str">
        <x:v>Finalizada</x:v>
      </x:c>
      <x:c r="G915" t="str">
        <x:v>Mensual</x:v>
      </x:c>
      <x:c r="H915" t="n">
        <x:v>5</x:v>
      </x:c>
    </x:row>
    <x:row r="916">
      <x:c r="A916" t="str">
        <x:v>SUS-000915</x:v>
      </x:c>
      <x:c r="B916" t="str">
        <x:v>USR-00652</x:v>
      </x:c>
      <x:c r="C916" t="str">
        <x:v>Cero</x:v>
      </x:c>
      <x:c r="D916" t="n">
        <x:v>46082</x:v>
      </x:c>
      <x:c r="E916" t="n">
        <x:v>46113</x:v>
      </x:c>
      <x:c r="F916" t="str">
        <x:v>Finalizada</x:v>
      </x:c>
      <x:c r="G916" t="str">
        <x:v>Gratuita</x:v>
      </x:c>
      <x:c r="H916" t="n">
        <x:v>2</x:v>
      </x:c>
    </x:row>
    <x:row r="917">
      <x:c r="A917" t="str">
        <x:v>SUS-000916</x:v>
      </x:c>
      <x:c r="B917" t="str">
        <x:v>USR-00653</x:v>
      </x:c>
      <x:c r="C917" t="str">
        <x:v>Cero</x:v>
      </x:c>
      <x:c r="D917" t="n">
        <x:v>46082</x:v>
      </x:c>
      <x:c r="E917" t="n">
        <x:v>46143</x:v>
      </x:c>
      <x:c r="F917" t="str">
        <x:v>Finalizada</x:v>
      </x:c>
      <x:c r="G917" t="str">
        <x:v>Gratuita</x:v>
      </x:c>
      <x:c r="H917" t="n">
        <x:v>3</x:v>
      </x:c>
    </x:row>
    <x:row r="918">
      <x:c r="A918" t="str">
        <x:v>SUS-000917</x:v>
      </x:c>
      <x:c r="B918" t="str">
        <x:v>USR-00654</x:v>
      </x:c>
      <x:c r="C918" t="str">
        <x:v>Plus mensual</x:v>
      </x:c>
      <x:c r="D918" t="n">
        <x:v>46082</x:v>
      </x:c>
      <x:c r="E918" t="n">
        <x:v>46266</x:v>
      </x:c>
      <x:c r="F918" t="str">
        <x:v>Activa</x:v>
      </x:c>
      <x:c r="G918" t="str">
        <x:v>Mensual</x:v>
      </x:c>
      <x:c r="H918" t="n">
        <x:v>7</x:v>
      </x:c>
    </x:row>
    <x:row r="919">
      <x:c r="A919" t="str">
        <x:v>SUS-000918</x:v>
      </x:c>
      <x:c r="B919" t="str">
        <x:v>USR-00655</x:v>
      </x:c>
      <x:c r="C919" t="str">
        <x:v>Cero</x:v>
      </x:c>
      <x:c r="D919" t="n">
        <x:v>46082</x:v>
      </x:c>
      <x:c r="E919" t="n">
        <x:v>46266</x:v>
      </x:c>
      <x:c r="F919" t="str">
        <x:v>Activa</x:v>
      </x:c>
      <x:c r="G919" t="str">
        <x:v>Gratuita</x:v>
      </x:c>
      <x:c r="H919" t="n">
        <x:v>7</x:v>
      </x:c>
    </x:row>
    <x:row r="920">
      <x:c r="A920" t="str">
        <x:v>SUS-000919</x:v>
      </x:c>
      <x:c r="B920" t="str">
        <x:v>USR-00656</x:v>
      </x:c>
      <x:c r="C920" t="str">
        <x:v>Cero</x:v>
      </x:c>
      <x:c r="D920" t="n">
        <x:v>46082</x:v>
      </x:c>
      <x:c r="E920" t="n">
        <x:v>46174</x:v>
      </x:c>
      <x:c r="F920" t="str">
        <x:v>Finalizada</x:v>
      </x:c>
      <x:c r="G920" t="str">
        <x:v>Gratuita</x:v>
      </x:c>
      <x:c r="H920" t="n">
        <x:v>4</x:v>
      </x:c>
    </x:row>
    <x:row r="921">
      <x:c r="A921" t="str">
        <x:v>SUS-000920</x:v>
      </x:c>
      <x:c r="B921" t="str">
        <x:v>USR-00657</x:v>
      </x:c>
      <x:c r="C921" t="str">
        <x:v>Cero</x:v>
      </x:c>
      <x:c r="D921" t="n">
        <x:v>46082</x:v>
      </x:c>
      <x:c r="E921" t="n">
        <x:v>46266</x:v>
      </x:c>
      <x:c r="F921" t="str">
        <x:v>Activa</x:v>
      </x:c>
      <x:c r="G921" t="str">
        <x:v>Gratuita</x:v>
      </x:c>
      <x:c r="H921" t="n">
        <x:v>7</x:v>
      </x:c>
    </x:row>
    <x:row r="922">
      <x:c r="A922" t="str">
        <x:v>SUS-000921</x:v>
      </x:c>
      <x:c r="B922" t="str">
        <x:v>USR-00658</x:v>
      </x:c>
      <x:c r="C922" t="str">
        <x:v>Cero</x:v>
      </x:c>
      <x:c r="D922" t="n">
        <x:v>46082</x:v>
      </x:c>
      <x:c r="E922" t="n">
        <x:v>46266</x:v>
      </x:c>
      <x:c r="F922" t="str">
        <x:v>Activa</x:v>
      </x:c>
      <x:c r="G922" t="str">
        <x:v>Gratuita</x:v>
      </x:c>
      <x:c r="H922" t="n">
        <x:v>7</x:v>
      </x:c>
    </x:row>
    <x:row r="923">
      <x:c r="A923" t="str">
        <x:v>SUS-000922</x:v>
      </x:c>
      <x:c r="B923" t="str">
        <x:v>USR-00659</x:v>
      </x:c>
      <x:c r="C923" t="str">
        <x:v>Cero</x:v>
      </x:c>
      <x:c r="D923" t="n">
        <x:v>46082</x:v>
      </x:c>
      <x:c r="E923" t="n">
        <x:v>46266</x:v>
      </x:c>
      <x:c r="F923" t="str">
        <x:v>Activa</x:v>
      </x:c>
      <x:c r="G923" t="str">
        <x:v>Gratuita</x:v>
      </x:c>
      <x:c r="H923" t="n">
        <x:v>7</x:v>
      </x:c>
    </x:row>
    <x:row r="924">
      <x:c r="A924" t="str">
        <x:v>SUS-000923</x:v>
      </x:c>
      <x:c r="B924" t="str">
        <x:v>USR-00660</x:v>
      </x:c>
      <x:c r="C924" t="str">
        <x:v>Cero</x:v>
      </x:c>
      <x:c r="D924" t="n">
        <x:v>46082</x:v>
      </x:c>
      <x:c r="E924" t="n">
        <x:v>46082</x:v>
      </x:c>
      <x:c r="F924" t="str">
        <x:v>Finalizada</x:v>
      </x:c>
      <x:c r="G924" t="str">
        <x:v>Gratuita</x:v>
      </x:c>
      <x:c r="H924" t="n">
        <x:v>1</x:v>
      </x:c>
    </x:row>
    <x:row r="925">
      <x:c r="A925" t="str">
        <x:v>SUS-000924</x:v>
      </x:c>
      <x:c r="B925" t="str">
        <x:v>USR-00661</x:v>
      </x:c>
      <x:c r="C925" t="str">
        <x:v>Cero</x:v>
      </x:c>
      <x:c r="D925" t="n">
        <x:v>46082</x:v>
      </x:c>
      <x:c r="E925" t="n">
        <x:v>46113</x:v>
      </x:c>
      <x:c r="F925" t="str">
        <x:v>Finalizada</x:v>
      </x:c>
      <x:c r="G925" t="str">
        <x:v>Gratuita</x:v>
      </x:c>
      <x:c r="H925" t="n">
        <x:v>2</x:v>
      </x:c>
    </x:row>
    <x:row r="926">
      <x:c r="A926" t="str">
        <x:v>SUS-000925</x:v>
      </x:c>
      <x:c r="B926" t="str">
        <x:v>USR-00662</x:v>
      </x:c>
      <x:c r="C926" t="str">
        <x:v>Cero</x:v>
      </x:c>
      <x:c r="D926" t="n">
        <x:v>46082</x:v>
      </x:c>
      <x:c r="E926" t="n">
        <x:v>46143</x:v>
      </x:c>
      <x:c r="F926" t="str">
        <x:v>Finalizada</x:v>
      </x:c>
      <x:c r="G926" t="str">
        <x:v>Gratuita</x:v>
      </x:c>
      <x:c r="H926" t="n">
        <x:v>3</x:v>
      </x:c>
    </x:row>
    <x:row r="927">
      <x:c r="A927" t="str">
        <x:v>SUS-000926</x:v>
      </x:c>
      <x:c r="B927" t="str">
        <x:v>USR-00663</x:v>
      </x:c>
      <x:c r="C927" t="str">
        <x:v>Cero</x:v>
      </x:c>
      <x:c r="D927" t="n">
        <x:v>46082</x:v>
      </x:c>
      <x:c r="E927" t="n">
        <x:v>46266</x:v>
      </x:c>
      <x:c r="F927" t="str">
        <x:v>Activa</x:v>
      </x:c>
      <x:c r="G927" t="str">
        <x:v>Gratuita</x:v>
      </x:c>
      <x:c r="H927" t="n">
        <x:v>7</x:v>
      </x:c>
    </x:row>
    <x:row r="928">
      <x:c r="A928" t="str">
        <x:v>SUS-000927</x:v>
      </x:c>
      <x:c r="B928" t="str">
        <x:v>USR-00664</x:v>
      </x:c>
      <x:c r="C928" t="str">
        <x:v>Cero</x:v>
      </x:c>
      <x:c r="D928" t="n">
        <x:v>46082</x:v>
      </x:c>
      <x:c r="E928" t="n">
        <x:v>46235</x:v>
      </x:c>
      <x:c r="F928" t="str">
        <x:v>Finalizada</x:v>
      </x:c>
      <x:c r="G928" t="str">
        <x:v>Gratuita</x:v>
      </x:c>
      <x:c r="H928" t="n">
        <x:v>6</x:v>
      </x:c>
    </x:row>
    <x:row r="929">
      <x:c r="A929" t="str">
        <x:v>SUS-000928</x:v>
      </x:c>
      <x:c r="B929" t="str">
        <x:v>USR-00665</x:v>
      </x:c>
      <x:c r="C929" t="str">
        <x:v>Cero</x:v>
      </x:c>
      <x:c r="D929" t="n">
        <x:v>46082</x:v>
      </x:c>
      <x:c r="E929" t="n">
        <x:v>46266</x:v>
      </x:c>
      <x:c r="F929" t="str">
        <x:v>Activa</x:v>
      </x:c>
      <x:c r="G929" t="str">
        <x:v>Gratuita</x:v>
      </x:c>
      <x:c r="H929" t="n">
        <x:v>7</x:v>
      </x:c>
    </x:row>
    <x:row r="930">
      <x:c r="A930" t="str">
        <x:v>SUS-000929</x:v>
      </x:c>
      <x:c r="B930" t="str">
        <x:v>USR-00666</x:v>
      </x:c>
      <x:c r="C930" t="str">
        <x:v>Cero</x:v>
      </x:c>
      <x:c r="D930" t="n">
        <x:v>46082</x:v>
      </x:c>
      <x:c r="E930" t="n">
        <x:v>46082</x:v>
      </x:c>
      <x:c r="F930" t="str">
        <x:v>Finalizada</x:v>
      </x:c>
      <x:c r="G930" t="str">
        <x:v>Gratuita</x:v>
      </x:c>
      <x:c r="H930" t="n">
        <x:v>1</x:v>
      </x:c>
    </x:row>
    <x:row r="931">
      <x:c r="A931" t="str">
        <x:v>SUS-000930</x:v>
      </x:c>
      <x:c r="B931" t="str">
        <x:v>USR-00667</x:v>
      </x:c>
      <x:c r="C931" t="str">
        <x:v>Cero</x:v>
      </x:c>
      <x:c r="D931" t="n">
        <x:v>46082</x:v>
      </x:c>
      <x:c r="E931" t="n">
        <x:v>46266</x:v>
      </x:c>
      <x:c r="F931" t="str">
        <x:v>Activa</x:v>
      </x:c>
      <x:c r="G931" t="str">
        <x:v>Gratuita</x:v>
      </x:c>
      <x:c r="H931" t="n">
        <x:v>7</x:v>
      </x:c>
    </x:row>
    <x:row r="932">
      <x:c r="A932" t="str">
        <x:v>SUS-000931</x:v>
      </x:c>
      <x:c r="B932" t="str">
        <x:v>USR-00668</x:v>
      </x:c>
      <x:c r="C932" t="str">
        <x:v>Cero</x:v>
      </x:c>
      <x:c r="D932" t="n">
        <x:v>46082</x:v>
      </x:c>
      <x:c r="E932" t="n">
        <x:v>46113</x:v>
      </x:c>
      <x:c r="F932" t="str">
        <x:v>Finalizada</x:v>
      </x:c>
      <x:c r="G932" t="str">
        <x:v>Gratuita</x:v>
      </x:c>
      <x:c r="H932" t="n">
        <x:v>2</x:v>
      </x:c>
    </x:row>
    <x:row r="933">
      <x:c r="A933" t="str">
        <x:v>SUS-000932</x:v>
      </x:c>
      <x:c r="B933" t="str">
        <x:v>USR-00669</x:v>
      </x:c>
      <x:c r="C933" t="str">
        <x:v>Plus mensual</x:v>
      </x:c>
      <x:c r="D933" t="n">
        <x:v>46082</x:v>
      </x:c>
      <x:c r="E933" t="n">
        <x:v>46266</x:v>
      </x:c>
      <x:c r="F933" t="str">
        <x:v>Activa</x:v>
      </x:c>
      <x:c r="G933" t="str">
        <x:v>Mensual</x:v>
      </x:c>
      <x:c r="H933" t="n">
        <x:v>7</x:v>
      </x:c>
    </x:row>
    <x:row r="934">
      <x:c r="A934" t="str">
        <x:v>SUS-000933</x:v>
      </x:c>
      <x:c r="B934" t="str">
        <x:v>USR-00670</x:v>
      </x:c>
      <x:c r="C934" t="str">
        <x:v>Cero</x:v>
      </x:c>
      <x:c r="D934" t="n">
        <x:v>46082</x:v>
      </x:c>
      <x:c r="E934" t="n">
        <x:v>46266</x:v>
      </x:c>
      <x:c r="F934" t="str">
        <x:v>Activa</x:v>
      </x:c>
      <x:c r="G934" t="str">
        <x:v>Gratuita</x:v>
      </x:c>
      <x:c r="H934" t="n">
        <x:v>7</x:v>
      </x:c>
    </x:row>
    <x:row r="935">
      <x:c r="A935" t="str">
        <x:v>SUS-000934</x:v>
      </x:c>
      <x:c r="B935" t="str">
        <x:v>USR-00671</x:v>
      </x:c>
      <x:c r="C935" t="str">
        <x:v>Cero</x:v>
      </x:c>
      <x:c r="D935" t="n">
        <x:v>46082</x:v>
      </x:c>
      <x:c r="E935" t="n">
        <x:v>46266</x:v>
      </x:c>
      <x:c r="F935" t="str">
        <x:v>Activa</x:v>
      </x:c>
      <x:c r="G935" t="str">
        <x:v>Gratuita</x:v>
      </x:c>
      <x:c r="H935" t="n">
        <x:v>7</x:v>
      </x:c>
    </x:row>
    <x:row r="936">
      <x:c r="A936" t="str">
        <x:v>SUS-000935</x:v>
      </x:c>
      <x:c r="B936" t="str">
        <x:v>USR-00672</x:v>
      </x:c>
      <x:c r="C936" t="str">
        <x:v>Cero</x:v>
      </x:c>
      <x:c r="D936" t="n">
        <x:v>46082</x:v>
      </x:c>
      <x:c r="E936" t="n">
        <x:v>46266</x:v>
      </x:c>
      <x:c r="F936" t="str">
        <x:v>Activa</x:v>
      </x:c>
      <x:c r="G936" t="str">
        <x:v>Gratuita</x:v>
      </x:c>
      <x:c r="H936" t="n">
        <x:v>7</x:v>
      </x:c>
    </x:row>
    <x:row r="937">
      <x:c r="A937" t="str">
        <x:v>SUS-000936</x:v>
      </x:c>
      <x:c r="B937" t="str">
        <x:v>USR-00673</x:v>
      </x:c>
      <x:c r="C937" t="str">
        <x:v>Cero</x:v>
      </x:c>
      <x:c r="D937" t="n">
        <x:v>46082</x:v>
      </x:c>
      <x:c r="E937" t="n">
        <x:v>46266</x:v>
      </x:c>
      <x:c r="F937" t="str">
        <x:v>Activa</x:v>
      </x:c>
      <x:c r="G937" t="str">
        <x:v>Gratuita</x:v>
      </x:c>
      <x:c r="H937" t="n">
        <x:v>7</x:v>
      </x:c>
    </x:row>
    <x:row r="938">
      <x:c r="A938" t="str">
        <x:v>SUS-000937</x:v>
      </x:c>
      <x:c r="B938" t="str">
        <x:v>USR-00674</x:v>
      </x:c>
      <x:c r="C938" t="str">
        <x:v>Plus anual</x:v>
      </x:c>
      <x:c r="D938" t="n">
        <x:v>46082</x:v>
      </x:c>
      <x:c r="E938" t="n">
        <x:v>46266</x:v>
      </x:c>
      <x:c r="F938" t="str">
        <x:v>Activa</x:v>
      </x:c>
      <x:c r="G938" t="str">
        <x:v>Anual</x:v>
      </x:c>
      <x:c r="H938" t="n">
        <x:v>7</x:v>
      </x:c>
    </x:row>
    <x:row r="939">
      <x:c r="A939" t="str">
        <x:v>SUS-000938</x:v>
      </x:c>
      <x:c r="B939" t="str">
        <x:v>USR-00675</x:v>
      </x:c>
      <x:c r="C939" t="str">
        <x:v>Cero</x:v>
      </x:c>
      <x:c r="D939" t="n">
        <x:v>46082</x:v>
      </x:c>
      <x:c r="E939" t="n">
        <x:v>46266</x:v>
      </x:c>
      <x:c r="F939" t="str">
        <x:v>Activa</x:v>
      </x:c>
      <x:c r="G939" t="str">
        <x:v>Gratuita</x:v>
      </x:c>
      <x:c r="H939" t="n">
        <x:v>7</x:v>
      </x:c>
    </x:row>
    <x:row r="940">
      <x:c r="A940" t="str">
        <x:v>SUS-000939</x:v>
      </x:c>
      <x:c r="B940" t="str">
        <x:v>USR-00676</x:v>
      </x:c>
      <x:c r="C940" t="str">
        <x:v>Cero</x:v>
      </x:c>
      <x:c r="D940" t="n">
        <x:v>46082</x:v>
      </x:c>
      <x:c r="E940" t="n">
        <x:v>46113</x:v>
      </x:c>
      <x:c r="F940" t="str">
        <x:v>Finalizada</x:v>
      </x:c>
      <x:c r="G940" t="str">
        <x:v>Gratuita</x:v>
      </x:c>
      <x:c r="H940" t="n">
        <x:v>2</x:v>
      </x:c>
    </x:row>
    <x:row r="941">
      <x:c r="A941" t="str">
        <x:v>SUS-000940</x:v>
      </x:c>
      <x:c r="B941" t="str">
        <x:v>USR-00677</x:v>
      </x:c>
      <x:c r="C941" t="str">
        <x:v>Cero</x:v>
      </x:c>
      <x:c r="D941" t="n">
        <x:v>46082</x:v>
      </x:c>
      <x:c r="E941" t="n">
        <x:v>46113</x:v>
      </x:c>
      <x:c r="F941" t="str">
        <x:v>Finalizada</x:v>
      </x:c>
      <x:c r="G941" t="str">
        <x:v>Gratuita</x:v>
      </x:c>
      <x:c r="H941" t="n">
        <x:v>2</x:v>
      </x:c>
    </x:row>
    <x:row r="942">
      <x:c r="A942" t="str">
        <x:v>SUS-000941</x:v>
      </x:c>
      <x:c r="B942" t="str">
        <x:v>USR-00678</x:v>
      </x:c>
      <x:c r="C942" t="str">
        <x:v>Plus mensual</x:v>
      </x:c>
      <x:c r="D942" t="n">
        <x:v>46082</x:v>
      </x:c>
      <x:c r="E942" t="n">
        <x:v>46266</x:v>
      </x:c>
      <x:c r="F942" t="str">
        <x:v>Activa</x:v>
      </x:c>
      <x:c r="G942" t="str">
        <x:v>Mensual</x:v>
      </x:c>
      <x:c r="H942" t="n">
        <x:v>7</x:v>
      </x:c>
    </x:row>
    <x:row r="943">
      <x:c r="A943" t="str">
        <x:v>SUS-000942</x:v>
      </x:c>
      <x:c r="B943" t="str">
        <x:v>USR-00679</x:v>
      </x:c>
      <x:c r="C943" t="str">
        <x:v>Cero</x:v>
      </x:c>
      <x:c r="D943" t="n">
        <x:v>46082</x:v>
      </x:c>
      <x:c r="E943" t="n">
        <x:v>46266</x:v>
      </x:c>
      <x:c r="F943" t="str">
        <x:v>Activa</x:v>
      </x:c>
      <x:c r="G943" t="str">
        <x:v>Gratuita</x:v>
      </x:c>
      <x:c r="H943" t="n">
        <x:v>7</x:v>
      </x:c>
    </x:row>
    <x:row r="944">
      <x:c r="A944" t="str">
        <x:v>SUS-000943</x:v>
      </x:c>
      <x:c r="B944" t="str">
        <x:v>USR-00680</x:v>
      </x:c>
      <x:c r="C944" t="str">
        <x:v>Cero</x:v>
      </x:c>
      <x:c r="D944" t="n">
        <x:v>46082</x:v>
      </x:c>
      <x:c r="E944" t="n">
        <x:v>46174</x:v>
      </x:c>
      <x:c r="F944" t="str">
        <x:v>Finalizada</x:v>
      </x:c>
      <x:c r="G944" t="str">
        <x:v>Gratuita</x:v>
      </x:c>
      <x:c r="H944" t="n">
        <x:v>4</x:v>
      </x:c>
    </x:row>
    <x:row r="945">
      <x:c r="A945" t="str">
        <x:v>SUS-000944</x:v>
      </x:c>
      <x:c r="B945" t="str">
        <x:v>USR-00681</x:v>
      </x:c>
      <x:c r="C945" t="str">
        <x:v>Cero</x:v>
      </x:c>
      <x:c r="D945" t="n">
        <x:v>46082</x:v>
      </x:c>
      <x:c r="E945" t="n">
        <x:v>46266</x:v>
      </x:c>
      <x:c r="F945" t="str">
        <x:v>Activa</x:v>
      </x:c>
      <x:c r="G945" t="str">
        <x:v>Gratuita</x:v>
      </x:c>
      <x:c r="H945" t="n">
        <x:v>7</x:v>
      </x:c>
    </x:row>
    <x:row r="946">
      <x:c r="A946" t="str">
        <x:v>SUS-000945</x:v>
      </x:c>
      <x:c r="B946" t="str">
        <x:v>USR-00682</x:v>
      </x:c>
      <x:c r="C946" t="str">
        <x:v>Cero</x:v>
      </x:c>
      <x:c r="D946" t="n">
        <x:v>46082</x:v>
      </x:c>
      <x:c r="E946" t="n">
        <x:v>46266</x:v>
      </x:c>
      <x:c r="F946" t="str">
        <x:v>Activa</x:v>
      </x:c>
      <x:c r="G946" t="str">
        <x:v>Gratuita</x:v>
      </x:c>
      <x:c r="H946" t="n">
        <x:v>7</x:v>
      </x:c>
    </x:row>
    <x:row r="947">
      <x:c r="A947" t="str">
        <x:v>SUS-000946</x:v>
      </x:c>
      <x:c r="B947" t="str">
        <x:v>USR-00683</x:v>
      </x:c>
      <x:c r="C947" t="str">
        <x:v>Cero</x:v>
      </x:c>
      <x:c r="D947" t="n">
        <x:v>46082</x:v>
      </x:c>
      <x:c r="E947" t="n">
        <x:v>46266</x:v>
      </x:c>
      <x:c r="F947" t="str">
        <x:v>Activa</x:v>
      </x:c>
      <x:c r="G947" t="str">
        <x:v>Gratuita</x:v>
      </x:c>
      <x:c r="H947" t="n">
        <x:v>7</x:v>
      </x:c>
    </x:row>
    <x:row r="948">
      <x:c r="A948" t="str">
        <x:v>SUS-000947</x:v>
      </x:c>
      <x:c r="B948" t="str">
        <x:v>USR-00684</x:v>
      </x:c>
      <x:c r="C948" t="str">
        <x:v>Cero</x:v>
      </x:c>
      <x:c r="D948" t="n">
        <x:v>46082</x:v>
      </x:c>
      <x:c r="E948" t="n">
        <x:v>46266</x:v>
      </x:c>
      <x:c r="F948" t="str">
        <x:v>Activa</x:v>
      </x:c>
      <x:c r="G948" t="str">
        <x:v>Gratuita</x:v>
      </x:c>
      <x:c r="H948" t="n">
        <x:v>7</x:v>
      </x:c>
    </x:row>
    <x:row r="949">
      <x:c r="A949" t="str">
        <x:v>SUS-000948</x:v>
      </x:c>
      <x:c r="B949" t="str">
        <x:v>USR-00685</x:v>
      </x:c>
      <x:c r="C949" t="str">
        <x:v>Cero</x:v>
      </x:c>
      <x:c r="D949" t="n">
        <x:v>46082</x:v>
      </x:c>
      <x:c r="E949" t="n">
        <x:v>46266</x:v>
      </x:c>
      <x:c r="F949" t="str">
        <x:v>Activa</x:v>
      </x:c>
      <x:c r="G949" t="str">
        <x:v>Gratuita</x:v>
      </x:c>
      <x:c r="H949" t="n">
        <x:v>7</x:v>
      </x:c>
    </x:row>
    <x:row r="950">
      <x:c r="A950" t="str">
        <x:v>SUS-000949</x:v>
      </x:c>
      <x:c r="B950" t="str">
        <x:v>USR-00686</x:v>
      </x:c>
      <x:c r="C950" t="str">
        <x:v>Cero</x:v>
      </x:c>
      <x:c r="D950" t="n">
        <x:v>46082</x:v>
      </x:c>
      <x:c r="E950" t="n">
        <x:v>46266</x:v>
      </x:c>
      <x:c r="F950" t="str">
        <x:v>Activa</x:v>
      </x:c>
      <x:c r="G950" t="str">
        <x:v>Gratuita</x:v>
      </x:c>
      <x:c r="H950" t="n">
        <x:v>7</x:v>
      </x:c>
    </x:row>
    <x:row r="951">
      <x:c r="A951" t="str">
        <x:v>SUS-000950</x:v>
      </x:c>
      <x:c r="B951" t="str">
        <x:v>USR-00687</x:v>
      </x:c>
      <x:c r="C951" t="str">
        <x:v>Cero</x:v>
      </x:c>
      <x:c r="D951" t="n">
        <x:v>46082</x:v>
      </x:c>
      <x:c r="E951" t="n">
        <x:v>46143</x:v>
      </x:c>
      <x:c r="F951" t="str">
        <x:v>Finalizada</x:v>
      </x:c>
      <x:c r="G951" t="str">
        <x:v>Gratuita</x:v>
      </x:c>
      <x:c r="H951" t="n">
        <x:v>3</x:v>
      </x:c>
    </x:row>
    <x:row r="952">
      <x:c r="A952" t="str">
        <x:v>SUS-000951</x:v>
      </x:c>
      <x:c r="B952" t="str">
        <x:v>USR-00688</x:v>
      </x:c>
      <x:c r="C952" t="str">
        <x:v>Cero</x:v>
      </x:c>
      <x:c r="D952" t="n">
        <x:v>46082</x:v>
      </x:c>
      <x:c r="E952" t="n">
        <x:v>46266</x:v>
      </x:c>
      <x:c r="F952" t="str">
        <x:v>Activa</x:v>
      </x:c>
      <x:c r="G952" t="str">
        <x:v>Gratuita</x:v>
      </x:c>
      <x:c r="H952" t="n">
        <x:v>7</x:v>
      </x:c>
    </x:row>
    <x:row r="953">
      <x:c r="A953" t="str">
        <x:v>SUS-000952</x:v>
      </x:c>
      <x:c r="B953" t="str">
        <x:v>USR-00689</x:v>
      </x:c>
      <x:c r="C953" t="str">
        <x:v>Cero</x:v>
      </x:c>
      <x:c r="D953" t="n">
        <x:v>46082</x:v>
      </x:c>
      <x:c r="E953" t="n">
        <x:v>46174</x:v>
      </x:c>
      <x:c r="F953" t="str">
        <x:v>Finalizada</x:v>
      </x:c>
      <x:c r="G953" t="str">
        <x:v>Gratuita</x:v>
      </x:c>
      <x:c r="H953" t="n">
        <x:v>4</x:v>
      </x:c>
    </x:row>
    <x:row r="954">
      <x:c r="A954" t="str">
        <x:v>SUS-000953</x:v>
      </x:c>
      <x:c r="B954" t="str">
        <x:v>USR-00690</x:v>
      </x:c>
      <x:c r="C954" t="str">
        <x:v>Cero</x:v>
      </x:c>
      <x:c r="D954" t="n">
        <x:v>46082</x:v>
      </x:c>
      <x:c r="E954" t="n">
        <x:v>46113</x:v>
      </x:c>
      <x:c r="F954" t="str">
        <x:v>Finalizada</x:v>
      </x:c>
      <x:c r="G954" t="str">
        <x:v>Gratuita</x:v>
      </x:c>
      <x:c r="H954" t="n">
        <x:v>2</x:v>
      </x:c>
    </x:row>
    <x:row r="955">
      <x:c r="A955" t="str">
        <x:v>SUS-000954</x:v>
      </x:c>
      <x:c r="B955" t="str">
        <x:v>USR-00691</x:v>
      </x:c>
      <x:c r="C955" t="str">
        <x:v>Cero</x:v>
      </x:c>
      <x:c r="D955" t="n">
        <x:v>46082</x:v>
      </x:c>
      <x:c r="E955" t="n">
        <x:v>46266</x:v>
      </x:c>
      <x:c r="F955" t="str">
        <x:v>Activa</x:v>
      </x:c>
      <x:c r="G955" t="str">
        <x:v>Gratuita</x:v>
      </x:c>
      <x:c r="H955" t="n">
        <x:v>7</x:v>
      </x:c>
    </x:row>
    <x:row r="956">
      <x:c r="A956" t="str">
        <x:v>SUS-000955</x:v>
      </x:c>
      <x:c r="B956" t="str">
        <x:v>USR-00692</x:v>
      </x:c>
      <x:c r="C956" t="str">
        <x:v>Cero</x:v>
      </x:c>
      <x:c r="D956" t="n">
        <x:v>46082</x:v>
      </x:c>
      <x:c r="E956" t="n">
        <x:v>46266</x:v>
      </x:c>
      <x:c r="F956" t="str">
        <x:v>Activa</x:v>
      </x:c>
      <x:c r="G956" t="str">
        <x:v>Gratuita</x:v>
      </x:c>
      <x:c r="H956" t="n">
        <x:v>7</x:v>
      </x:c>
    </x:row>
    <x:row r="957">
      <x:c r="A957" t="str">
        <x:v>SUS-000956</x:v>
      </x:c>
      <x:c r="B957" t="str">
        <x:v>USR-00693</x:v>
      </x:c>
      <x:c r="C957" t="str">
        <x:v>Cero</x:v>
      </x:c>
      <x:c r="D957" t="n">
        <x:v>46082</x:v>
      </x:c>
      <x:c r="E957" t="n">
        <x:v>46266</x:v>
      </x:c>
      <x:c r="F957" t="str">
        <x:v>Activa</x:v>
      </x:c>
      <x:c r="G957" t="str">
        <x:v>Gratuita</x:v>
      </x:c>
      <x:c r="H957" t="n">
        <x:v>7</x:v>
      </x:c>
    </x:row>
    <x:row r="958">
      <x:c r="A958" t="str">
        <x:v>SUS-000957</x:v>
      </x:c>
      <x:c r="B958" t="str">
        <x:v>USR-00694</x:v>
      </x:c>
      <x:c r="C958" t="str">
        <x:v>Cero</x:v>
      </x:c>
      <x:c r="D958" t="n">
        <x:v>46082</x:v>
      </x:c>
      <x:c r="E958" t="n">
        <x:v>46174</x:v>
      </x:c>
      <x:c r="F958" t="str">
        <x:v>Finalizada</x:v>
      </x:c>
      <x:c r="G958" t="str">
        <x:v>Gratuita</x:v>
      </x:c>
      <x:c r="H958" t="n">
        <x:v>4</x:v>
      </x:c>
    </x:row>
    <x:row r="959">
      <x:c r="A959" t="str">
        <x:v>SUS-000958</x:v>
      </x:c>
      <x:c r="B959" t="str">
        <x:v>USR-00695</x:v>
      </x:c>
      <x:c r="C959" t="str">
        <x:v>Cero</x:v>
      </x:c>
      <x:c r="D959" t="n">
        <x:v>46082</x:v>
      </x:c>
      <x:c r="E959" t="n">
        <x:v>46266</x:v>
      </x:c>
      <x:c r="F959" t="str">
        <x:v>Activa</x:v>
      </x:c>
      <x:c r="G959" t="str">
        <x:v>Gratuita</x:v>
      </x:c>
      <x:c r="H959" t="n">
        <x:v>7</x:v>
      </x:c>
    </x:row>
    <x:row r="960">
      <x:c r="A960" t="str">
        <x:v>SUS-000959</x:v>
      </x:c>
      <x:c r="B960" t="str">
        <x:v>USR-00696</x:v>
      </x:c>
      <x:c r="C960" t="str">
        <x:v>Cero</x:v>
      </x:c>
      <x:c r="D960" t="n">
        <x:v>46082</x:v>
      </x:c>
      <x:c r="E960" t="n">
        <x:v>46266</x:v>
      </x:c>
      <x:c r="F960" t="str">
        <x:v>Activa</x:v>
      </x:c>
      <x:c r="G960" t="str">
        <x:v>Gratuita</x:v>
      </x:c>
      <x:c r="H960" t="n">
        <x:v>7</x:v>
      </x:c>
    </x:row>
    <x:row r="961">
      <x:c r="A961" t="str">
        <x:v>SUS-000960</x:v>
      </x:c>
      <x:c r="B961" t="str">
        <x:v>USR-00001</x:v>
      </x:c>
      <x:c r="C961" t="str">
        <x:v>Plus anual</x:v>
      </x:c>
      <x:c r="D961" t="n">
        <x:v>46113</x:v>
      </x:c>
      <x:c r="E961" t="n">
        <x:v>46266</x:v>
      </x:c>
      <x:c r="F961" t="str">
        <x:v>Activa</x:v>
      </x:c>
      <x:c r="G961" t="str">
        <x:v>Anual</x:v>
      </x:c>
      <x:c r="H961" t="n">
        <x:v>6</x:v>
      </x:c>
    </x:row>
    <x:row r="962">
      <x:c r="A962" t="str">
        <x:v>SUS-000961</x:v>
      </x:c>
      <x:c r="B962" t="str">
        <x:v>USR-00011</x:v>
      </x:c>
      <x:c r="C962" t="str">
        <x:v>Plus mensual</x:v>
      </x:c>
      <x:c r="D962" t="n">
        <x:v>46113</x:v>
      </x:c>
      <x:c r="E962" t="n">
        <x:v>46266</x:v>
      </x:c>
      <x:c r="F962" t="str">
        <x:v>Activa</x:v>
      </x:c>
      <x:c r="G962" t="str">
        <x:v>Mensual</x:v>
      </x:c>
      <x:c r="H962" t="n">
        <x:v>6</x:v>
      </x:c>
    </x:row>
    <x:row r="963">
      <x:c r="A963" t="str">
        <x:v>SUS-000962</x:v>
      </x:c>
      <x:c r="B963" t="str">
        <x:v>USR-00024</x:v>
      </x:c>
      <x:c r="C963" t="str">
        <x:v>Plus anual</x:v>
      </x:c>
      <x:c r="D963" t="n">
        <x:v>46113</x:v>
      </x:c>
      <x:c r="E963" t="n">
        <x:v>46266</x:v>
      </x:c>
      <x:c r="F963" t="str">
        <x:v>Activa</x:v>
      </x:c>
      <x:c r="G963" t="str">
        <x:v>Anual</x:v>
      </x:c>
      <x:c r="H963" t="n">
        <x:v>6</x:v>
      </x:c>
    </x:row>
    <x:row r="964">
      <x:c r="A964" t="str">
        <x:v>SUS-000963</x:v>
      </x:c>
      <x:c r="B964" t="str">
        <x:v>USR-00026</x:v>
      </x:c>
      <x:c r="C964" t="str">
        <x:v>Cero</x:v>
      </x:c>
      <x:c r="D964" t="n">
        <x:v>46113</x:v>
      </x:c>
      <x:c r="E964" t="n">
        <x:v>46266</x:v>
      </x:c>
      <x:c r="F964" t="str">
        <x:v>Activa</x:v>
      </x:c>
      <x:c r="G964" t="str">
        <x:v>Gratuita</x:v>
      </x:c>
      <x:c r="H964" t="n">
        <x:v>6</x:v>
      </x:c>
    </x:row>
    <x:row r="965">
      <x:c r="A965" t="str">
        <x:v>SUS-000964</x:v>
      </x:c>
      <x:c r="B965" t="str">
        <x:v>USR-00035</x:v>
      </x:c>
      <x:c r="C965" t="str">
        <x:v>Plus mensual</x:v>
      </x:c>
      <x:c r="D965" t="n">
        <x:v>46113</x:v>
      </x:c>
      <x:c r="E965" t="n">
        <x:v>46266</x:v>
      </x:c>
      <x:c r="F965" t="str">
        <x:v>Activa</x:v>
      </x:c>
      <x:c r="G965" t="str">
        <x:v>Mensual</x:v>
      </x:c>
      <x:c r="H965" t="n">
        <x:v>6</x:v>
      </x:c>
    </x:row>
    <x:row r="966">
      <x:c r="A966" t="str">
        <x:v>SUS-000965</x:v>
      </x:c>
      <x:c r="B966" t="str">
        <x:v>USR-00058</x:v>
      </x:c>
      <x:c r="C966" t="str">
        <x:v>Plus mensual</x:v>
      </x:c>
      <x:c r="D966" t="n">
        <x:v>46113</x:v>
      </x:c>
      <x:c r="E966" t="n">
        <x:v>46113</x:v>
      </x:c>
      <x:c r="F966" t="str">
        <x:v>Finalizada</x:v>
      </x:c>
      <x:c r="G966" t="str">
        <x:v>Mensual</x:v>
      </x:c>
      <x:c r="H966" t="n">
        <x:v>1</x:v>
      </x:c>
    </x:row>
    <x:row r="967">
      <x:c r="A967" t="str">
        <x:v>SUS-000966</x:v>
      </x:c>
      <x:c r="B967" t="str">
        <x:v>USR-00076</x:v>
      </x:c>
      <x:c r="C967" t="str">
        <x:v>Plus mensual</x:v>
      </x:c>
      <x:c r="D967" t="n">
        <x:v>46113</x:v>
      </x:c>
      <x:c r="E967" t="n">
        <x:v>46235</x:v>
      </x:c>
      <x:c r="F967" t="str">
        <x:v>Finalizada</x:v>
      </x:c>
      <x:c r="G967" t="str">
        <x:v>Mensual</x:v>
      </x:c>
      <x:c r="H967" t="n">
        <x:v>5</x:v>
      </x:c>
    </x:row>
    <x:row r="968">
      <x:c r="A968" t="str">
        <x:v>SUS-000967</x:v>
      </x:c>
      <x:c r="B968" t="str">
        <x:v>USR-00097</x:v>
      </x:c>
      <x:c r="C968" t="str">
        <x:v>Cero</x:v>
      </x:c>
      <x:c r="D968" t="n">
        <x:v>46113</x:v>
      </x:c>
      <x:c r="E968" t="n">
        <x:v>46204</x:v>
      </x:c>
      <x:c r="F968" t="str">
        <x:v>Finalizada</x:v>
      </x:c>
      <x:c r="G968" t="str">
        <x:v>Gratuita</x:v>
      </x:c>
      <x:c r="H968" t="n">
        <x:v>4</x:v>
      </x:c>
    </x:row>
    <x:row r="969">
      <x:c r="A969" t="str">
        <x:v>SUS-000968</x:v>
      </x:c>
      <x:c r="B969" t="str">
        <x:v>USR-00121</x:v>
      </x:c>
      <x:c r="C969" t="str">
        <x:v>Cero</x:v>
      </x:c>
      <x:c r="D969" t="n">
        <x:v>46113</x:v>
      </x:c>
      <x:c r="E969" t="n">
        <x:v>46266</x:v>
      </x:c>
      <x:c r="F969" t="str">
        <x:v>Activa</x:v>
      </x:c>
      <x:c r="G969" t="str">
        <x:v>Gratuita</x:v>
      </x:c>
      <x:c r="H969" t="n">
        <x:v>6</x:v>
      </x:c>
    </x:row>
    <x:row r="970">
      <x:c r="A970" t="str">
        <x:v>SUS-000969</x:v>
      </x:c>
      <x:c r="B970" t="str">
        <x:v>USR-00150</x:v>
      </x:c>
      <x:c r="C970" t="str">
        <x:v>Plus anual</x:v>
      </x:c>
      <x:c r="D970" t="n">
        <x:v>46113</x:v>
      </x:c>
      <x:c r="E970" t="n">
        <x:v>46266</x:v>
      </x:c>
      <x:c r="F970" t="str">
        <x:v>Activa</x:v>
      </x:c>
      <x:c r="G970" t="str">
        <x:v>Anual</x:v>
      </x:c>
      <x:c r="H970" t="n">
        <x:v>6</x:v>
      </x:c>
    </x:row>
    <x:row r="971">
      <x:c r="A971" t="str">
        <x:v>SUS-000970</x:v>
      </x:c>
      <x:c r="B971" t="str">
        <x:v>USR-00170</x:v>
      </x:c>
      <x:c r="C971" t="str">
        <x:v>Cero</x:v>
      </x:c>
      <x:c r="D971" t="n">
        <x:v>46113</x:v>
      </x:c>
      <x:c r="E971" t="n">
        <x:v>46266</x:v>
      </x:c>
      <x:c r="F971" t="str">
        <x:v>Activa</x:v>
      </x:c>
      <x:c r="G971" t="str">
        <x:v>Gratuita</x:v>
      </x:c>
      <x:c r="H971" t="n">
        <x:v>6</x:v>
      </x:c>
    </x:row>
    <x:row r="972">
      <x:c r="A972" t="str">
        <x:v>SUS-000971</x:v>
      </x:c>
      <x:c r="B972" t="str">
        <x:v>USR-00186</x:v>
      </x:c>
      <x:c r="C972" t="str">
        <x:v>Plus mensual</x:v>
      </x:c>
      <x:c r="D972" t="n">
        <x:v>46113</x:v>
      </x:c>
      <x:c r="E972" t="n">
        <x:v>46143</x:v>
      </x:c>
      <x:c r="F972" t="str">
        <x:v>Finalizada</x:v>
      </x:c>
      <x:c r="G972" t="str">
        <x:v>Mensual</x:v>
      </x:c>
      <x:c r="H972" t="n">
        <x:v>2</x:v>
      </x:c>
    </x:row>
    <x:row r="973">
      <x:c r="A973" t="str">
        <x:v>SUS-000972</x:v>
      </x:c>
      <x:c r="B973" t="str">
        <x:v>USR-00213</x:v>
      </x:c>
      <x:c r="C973" t="str">
        <x:v>Plus mensual</x:v>
      </x:c>
      <x:c r="D973" t="n">
        <x:v>46113</x:v>
      </x:c>
      <x:c r="E973" t="n">
        <x:v>46174</x:v>
      </x:c>
      <x:c r="F973" t="str">
        <x:v>Finalizada</x:v>
      </x:c>
      <x:c r="G973" t="str">
        <x:v>Mensual</x:v>
      </x:c>
      <x:c r="H973" t="n">
        <x:v>3</x:v>
      </x:c>
    </x:row>
    <x:row r="974">
      <x:c r="A974" t="str">
        <x:v>SUS-000973</x:v>
      </x:c>
      <x:c r="B974" t="str">
        <x:v>USR-00231</x:v>
      </x:c>
      <x:c r="C974" t="str">
        <x:v>Cero</x:v>
      </x:c>
      <x:c r="D974" t="n">
        <x:v>46113</x:v>
      </x:c>
      <x:c r="E974" t="n">
        <x:v>46266</x:v>
      </x:c>
      <x:c r="F974" t="str">
        <x:v>Activa</x:v>
      </x:c>
      <x:c r="G974" t="str">
        <x:v>Gratuita</x:v>
      </x:c>
      <x:c r="H974" t="n">
        <x:v>6</x:v>
      </x:c>
    </x:row>
    <x:row r="975">
      <x:c r="A975" t="str">
        <x:v>SUS-000974</x:v>
      </x:c>
      <x:c r="B975" t="str">
        <x:v>USR-00254</x:v>
      </x:c>
      <x:c r="C975" t="str">
        <x:v>Plus mensual</x:v>
      </x:c>
      <x:c r="D975" t="n">
        <x:v>46113</x:v>
      </x:c>
      <x:c r="E975" t="n">
        <x:v>46174</x:v>
      </x:c>
      <x:c r="F975" t="str">
        <x:v>Finalizada</x:v>
      </x:c>
      <x:c r="G975" t="str">
        <x:v>Mensual</x:v>
      </x:c>
      <x:c r="H975" t="n">
        <x:v>3</x:v>
      </x:c>
    </x:row>
    <x:row r="976">
      <x:c r="A976" t="str">
        <x:v>SUS-000975</x:v>
      </x:c>
      <x:c r="B976" t="str">
        <x:v>USR-00286</x:v>
      </x:c>
      <x:c r="C976" t="str">
        <x:v>Cero</x:v>
      </x:c>
      <x:c r="D976" t="n">
        <x:v>46113</x:v>
      </x:c>
      <x:c r="E976" t="n">
        <x:v>46204</x:v>
      </x:c>
      <x:c r="F976" t="str">
        <x:v>Finalizada</x:v>
      </x:c>
      <x:c r="G976" t="str">
        <x:v>Gratuita</x:v>
      </x:c>
      <x:c r="H976" t="n">
        <x:v>4</x:v>
      </x:c>
    </x:row>
    <x:row r="977">
      <x:c r="A977" t="str">
        <x:v>SUS-000976</x:v>
      </x:c>
      <x:c r="B977" t="str">
        <x:v>USR-00294</x:v>
      </x:c>
      <x:c r="C977" t="str">
        <x:v>Plus anual</x:v>
      </x:c>
      <x:c r="D977" t="n">
        <x:v>46113</x:v>
      </x:c>
      <x:c r="E977" t="n">
        <x:v>46266</x:v>
      </x:c>
      <x:c r="F977" t="str">
        <x:v>Activa</x:v>
      </x:c>
      <x:c r="G977" t="str">
        <x:v>Anual</x:v>
      </x:c>
      <x:c r="H977" t="n">
        <x:v>6</x:v>
      </x:c>
    </x:row>
    <x:row r="978">
      <x:c r="A978" t="str">
        <x:v>SUS-000977</x:v>
      </x:c>
      <x:c r="B978" t="str">
        <x:v>USR-00311</x:v>
      </x:c>
      <x:c r="C978" t="str">
        <x:v>Plus mensual</x:v>
      </x:c>
      <x:c r="D978" t="n">
        <x:v>46113</x:v>
      </x:c>
      <x:c r="E978" t="n">
        <x:v>46266</x:v>
      </x:c>
      <x:c r="F978" t="str">
        <x:v>Activa</x:v>
      </x:c>
      <x:c r="G978" t="str">
        <x:v>Mensual</x:v>
      </x:c>
      <x:c r="H978" t="n">
        <x:v>6</x:v>
      </x:c>
    </x:row>
    <x:row r="979">
      <x:c r="A979" t="str">
        <x:v>SUS-000978</x:v>
      </x:c>
      <x:c r="B979" t="str">
        <x:v>USR-00325</x:v>
      </x:c>
      <x:c r="C979" t="str">
        <x:v>Cero</x:v>
      </x:c>
      <x:c r="D979" t="n">
        <x:v>46113</x:v>
      </x:c>
      <x:c r="E979" t="n">
        <x:v>46113</x:v>
      </x:c>
      <x:c r="F979" t="str">
        <x:v>Finalizada</x:v>
      </x:c>
      <x:c r="G979" t="str">
        <x:v>Gratuita</x:v>
      </x:c>
      <x:c r="H979" t="n">
        <x:v>1</x:v>
      </x:c>
    </x:row>
    <x:row r="980">
      <x:c r="A980" t="str">
        <x:v>SUS-000979</x:v>
      </x:c>
      <x:c r="B980" t="str">
        <x:v>USR-00339</x:v>
      </x:c>
      <x:c r="C980" t="str">
        <x:v>Plus anual</x:v>
      </x:c>
      <x:c r="D980" t="n">
        <x:v>46113</x:v>
      </x:c>
      <x:c r="E980" t="n">
        <x:v>46266</x:v>
      </x:c>
      <x:c r="F980" t="str">
        <x:v>Activa</x:v>
      </x:c>
      <x:c r="G980" t="str">
        <x:v>Anual</x:v>
      </x:c>
      <x:c r="H980" t="n">
        <x:v>6</x:v>
      </x:c>
    </x:row>
    <x:row r="981">
      <x:c r="A981" t="str">
        <x:v>SUS-000980</x:v>
      </x:c>
      <x:c r="B981" t="str">
        <x:v>USR-00341</x:v>
      </x:c>
      <x:c r="C981" t="str">
        <x:v>Plus mensual</x:v>
      </x:c>
      <x:c r="D981" t="n">
        <x:v>46113</x:v>
      </x:c>
      <x:c r="E981" t="n">
        <x:v>46266</x:v>
      </x:c>
      <x:c r="F981" t="str">
        <x:v>Activa</x:v>
      </x:c>
      <x:c r="G981" t="str">
        <x:v>Mensual</x:v>
      </x:c>
      <x:c r="H981" t="n">
        <x:v>6</x:v>
      </x:c>
    </x:row>
    <x:row r="982">
      <x:c r="A982" t="str">
        <x:v>SUS-000981</x:v>
      </x:c>
      <x:c r="B982" t="str">
        <x:v>USR-00359</x:v>
      </x:c>
      <x:c r="C982" t="str">
        <x:v>Plus mensual</x:v>
      </x:c>
      <x:c r="D982" t="n">
        <x:v>46113</x:v>
      </x:c>
      <x:c r="E982" t="n">
        <x:v>46174</x:v>
      </x:c>
      <x:c r="F982" t="str">
        <x:v>Finalizada</x:v>
      </x:c>
      <x:c r="G982" t="str">
        <x:v>Mensual</x:v>
      </x:c>
      <x:c r="H982" t="n">
        <x:v>3</x:v>
      </x:c>
    </x:row>
    <x:row r="983">
      <x:c r="A983" t="str">
        <x:v>SUS-000982</x:v>
      </x:c>
      <x:c r="B983" t="str">
        <x:v>USR-00363</x:v>
      </x:c>
      <x:c r="C983" t="str">
        <x:v>Plus mensual</x:v>
      </x:c>
      <x:c r="D983" t="n">
        <x:v>46113</x:v>
      </x:c>
      <x:c r="E983" t="n">
        <x:v>46113</x:v>
      </x:c>
      <x:c r="F983" t="str">
        <x:v>Finalizada</x:v>
      </x:c>
      <x:c r="G983" t="str">
        <x:v>Mensual</x:v>
      </x:c>
      <x:c r="H983" t="n">
        <x:v>1</x:v>
      </x:c>
    </x:row>
    <x:row r="984">
      <x:c r="A984" t="str">
        <x:v>SUS-000983</x:v>
      </x:c>
      <x:c r="B984" t="str">
        <x:v>USR-00372</x:v>
      </x:c>
      <x:c r="C984" t="str">
        <x:v>Plus mensual</x:v>
      </x:c>
      <x:c r="D984" t="n">
        <x:v>46113</x:v>
      </x:c>
      <x:c r="E984" t="n">
        <x:v>46266</x:v>
      </x:c>
      <x:c r="F984" t="str">
        <x:v>Activa</x:v>
      </x:c>
      <x:c r="G984" t="str">
        <x:v>Mensual</x:v>
      </x:c>
      <x:c r="H984" t="n">
        <x:v>6</x:v>
      </x:c>
    </x:row>
    <x:row r="985">
      <x:c r="A985" t="str">
        <x:v>SUS-000984</x:v>
      </x:c>
      <x:c r="B985" t="str">
        <x:v>USR-00384</x:v>
      </x:c>
      <x:c r="C985" t="str">
        <x:v>Plus mensual</x:v>
      </x:c>
      <x:c r="D985" t="n">
        <x:v>46113</x:v>
      </x:c>
      <x:c r="E985" t="n">
        <x:v>46266</x:v>
      </x:c>
      <x:c r="F985" t="str">
        <x:v>Activa</x:v>
      </x:c>
      <x:c r="G985" t="str">
        <x:v>Mensual</x:v>
      </x:c>
      <x:c r="H985" t="n">
        <x:v>6</x:v>
      </x:c>
    </x:row>
    <x:row r="986">
      <x:c r="A986" t="str">
        <x:v>SUS-000985</x:v>
      </x:c>
      <x:c r="B986" t="str">
        <x:v>USR-00386</x:v>
      </x:c>
      <x:c r="C986" t="str">
        <x:v>Cero</x:v>
      </x:c>
      <x:c r="D986" t="n">
        <x:v>46113</x:v>
      </x:c>
      <x:c r="E986" t="n">
        <x:v>46266</x:v>
      </x:c>
      <x:c r="F986" t="str">
        <x:v>Activa</x:v>
      </x:c>
      <x:c r="G986" t="str">
        <x:v>Gratuita</x:v>
      </x:c>
      <x:c r="H986" t="n">
        <x:v>6</x:v>
      </x:c>
    </x:row>
    <x:row r="987">
      <x:c r="A987" t="str">
        <x:v>SUS-000986</x:v>
      </x:c>
      <x:c r="B987" t="str">
        <x:v>USR-00387</x:v>
      </x:c>
      <x:c r="C987" t="str">
        <x:v>Cero</x:v>
      </x:c>
      <x:c r="D987" t="n">
        <x:v>46113</x:v>
      </x:c>
      <x:c r="E987" t="n">
        <x:v>46113</x:v>
      </x:c>
      <x:c r="F987" t="str">
        <x:v>Finalizada</x:v>
      </x:c>
      <x:c r="G987" t="str">
        <x:v>Gratuita</x:v>
      </x:c>
      <x:c r="H987" t="n">
        <x:v>1</x:v>
      </x:c>
    </x:row>
    <x:row r="988">
      <x:c r="A988" t="str">
        <x:v>SUS-000987</x:v>
      </x:c>
      <x:c r="B988" t="str">
        <x:v>USR-00403</x:v>
      </x:c>
      <x:c r="C988" t="str">
        <x:v>Plus mensual</x:v>
      </x:c>
      <x:c r="D988" t="n">
        <x:v>46113</x:v>
      </x:c>
      <x:c r="E988" t="n">
        <x:v>46266</x:v>
      </x:c>
      <x:c r="F988" t="str">
        <x:v>Activa</x:v>
      </x:c>
      <x:c r="G988" t="str">
        <x:v>Mensual</x:v>
      </x:c>
      <x:c r="H988" t="n">
        <x:v>6</x:v>
      </x:c>
    </x:row>
    <x:row r="989">
      <x:c r="A989" t="str">
        <x:v>SUS-000988</x:v>
      </x:c>
      <x:c r="B989" t="str">
        <x:v>USR-00409</x:v>
      </x:c>
      <x:c r="C989" t="str">
        <x:v>Plus mensual</x:v>
      </x:c>
      <x:c r="D989" t="n">
        <x:v>46113</x:v>
      </x:c>
      <x:c r="E989" t="n">
        <x:v>46266</x:v>
      </x:c>
      <x:c r="F989" t="str">
        <x:v>Activa</x:v>
      </x:c>
      <x:c r="G989" t="str">
        <x:v>Mensual</x:v>
      </x:c>
      <x:c r="H989" t="n">
        <x:v>6</x:v>
      </x:c>
    </x:row>
    <x:row r="990">
      <x:c r="A990" t="str">
        <x:v>SUS-000989</x:v>
      </x:c>
      <x:c r="B990" t="str">
        <x:v>USR-00419</x:v>
      </x:c>
      <x:c r="C990" t="str">
        <x:v>Plus mensual</x:v>
      </x:c>
      <x:c r="D990" t="n">
        <x:v>46113</x:v>
      </x:c>
      <x:c r="E990" t="n">
        <x:v>46204</x:v>
      </x:c>
      <x:c r="F990" t="str">
        <x:v>Finalizada</x:v>
      </x:c>
      <x:c r="G990" t="str">
        <x:v>Mensual</x:v>
      </x:c>
      <x:c r="H990" t="n">
        <x:v>4</x:v>
      </x:c>
    </x:row>
    <x:row r="991">
      <x:c r="A991" t="str">
        <x:v>SUS-000990</x:v>
      </x:c>
      <x:c r="B991" t="str">
        <x:v>USR-00422</x:v>
      </x:c>
      <x:c r="C991" t="str">
        <x:v>Cero</x:v>
      </x:c>
      <x:c r="D991" t="n">
        <x:v>46113</x:v>
      </x:c>
      <x:c r="E991" t="n">
        <x:v>46204</x:v>
      </x:c>
      <x:c r="F991" t="str">
        <x:v>Finalizada</x:v>
      </x:c>
      <x:c r="G991" t="str">
        <x:v>Gratuita</x:v>
      </x:c>
      <x:c r="H991" t="n">
        <x:v>4</x:v>
      </x:c>
    </x:row>
    <x:row r="992">
      <x:c r="A992" t="str">
        <x:v>SUS-000991</x:v>
      </x:c>
      <x:c r="B992" t="str">
        <x:v>USR-00475</x:v>
      </x:c>
      <x:c r="C992" t="str">
        <x:v>Plus mensual</x:v>
      </x:c>
      <x:c r="D992" t="n">
        <x:v>46113</x:v>
      </x:c>
      <x:c r="E992" t="n">
        <x:v>46143</x:v>
      </x:c>
      <x:c r="F992" t="str">
        <x:v>Finalizada</x:v>
      </x:c>
      <x:c r="G992" t="str">
        <x:v>Mensual</x:v>
      </x:c>
      <x:c r="H992" t="n">
        <x:v>2</x:v>
      </x:c>
    </x:row>
    <x:row r="993">
      <x:c r="A993" t="str">
        <x:v>SUS-000992</x:v>
      </x:c>
      <x:c r="B993" t="str">
        <x:v>USR-00490</x:v>
      </x:c>
      <x:c r="C993" t="str">
        <x:v>Plus mensual</x:v>
      </x:c>
      <x:c r="D993" t="n">
        <x:v>46113</x:v>
      </x:c>
      <x:c r="E993" t="n">
        <x:v>46266</x:v>
      </x:c>
      <x:c r="F993" t="str">
        <x:v>Activa</x:v>
      </x:c>
      <x:c r="G993" t="str">
        <x:v>Mensual</x:v>
      </x:c>
      <x:c r="H993" t="n">
        <x:v>6</x:v>
      </x:c>
    </x:row>
    <x:row r="994">
      <x:c r="A994" t="str">
        <x:v>SUS-000993</x:v>
      </x:c>
      <x:c r="B994" t="str">
        <x:v>USR-00499</x:v>
      </x:c>
      <x:c r="C994" t="str">
        <x:v>Plus anual</x:v>
      </x:c>
      <x:c r="D994" t="n">
        <x:v>46113</x:v>
      </x:c>
      <x:c r="E994" t="n">
        <x:v>46266</x:v>
      </x:c>
      <x:c r="F994" t="str">
        <x:v>Activa</x:v>
      </x:c>
      <x:c r="G994" t="str">
        <x:v>Anual</x:v>
      </x:c>
      <x:c r="H994" t="n">
        <x:v>6</x:v>
      </x:c>
    </x:row>
    <x:row r="995">
      <x:c r="A995" t="str">
        <x:v>SUS-000994</x:v>
      </x:c>
      <x:c r="B995" t="str">
        <x:v>USR-00502</x:v>
      </x:c>
      <x:c r="C995" t="str">
        <x:v>Plus mensual</x:v>
      </x:c>
      <x:c r="D995" t="n">
        <x:v>46113</x:v>
      </x:c>
      <x:c r="E995" t="n">
        <x:v>46113</x:v>
      </x:c>
      <x:c r="F995" t="str">
        <x:v>Finalizada</x:v>
      </x:c>
      <x:c r="G995" t="str">
        <x:v>Mensual</x:v>
      </x:c>
      <x:c r="H995" t="n">
        <x:v>1</x:v>
      </x:c>
    </x:row>
    <x:row r="996">
      <x:c r="A996" t="str">
        <x:v>SUS-000995</x:v>
      </x:c>
      <x:c r="B996" t="str">
        <x:v>USR-00530</x:v>
      </x:c>
      <x:c r="C996" t="str">
        <x:v>Cero</x:v>
      </x:c>
      <x:c r="D996" t="n">
        <x:v>46113</x:v>
      </x:c>
      <x:c r="E996" t="n">
        <x:v>46266</x:v>
      </x:c>
      <x:c r="F996" t="str">
        <x:v>Activa</x:v>
      </x:c>
      <x:c r="G996" t="str">
        <x:v>Gratuita</x:v>
      </x:c>
      <x:c r="H996" t="n">
        <x:v>6</x:v>
      </x:c>
    </x:row>
    <x:row r="997">
      <x:c r="A997" t="str">
        <x:v>SUS-000996</x:v>
      </x:c>
      <x:c r="B997" t="str">
        <x:v>USR-00535</x:v>
      </x:c>
      <x:c r="C997" t="str">
        <x:v>Plus mensual</x:v>
      </x:c>
      <x:c r="D997" t="n">
        <x:v>46113</x:v>
      </x:c>
      <x:c r="E997" t="n">
        <x:v>46266</x:v>
      </x:c>
      <x:c r="F997" t="str">
        <x:v>Activa</x:v>
      </x:c>
      <x:c r="G997" t="str">
        <x:v>Mensual</x:v>
      </x:c>
      <x:c r="H997" t="n">
        <x:v>6</x:v>
      </x:c>
    </x:row>
    <x:row r="998">
      <x:c r="A998" t="str">
        <x:v>SUS-000997</x:v>
      </x:c>
      <x:c r="B998" t="str">
        <x:v>USR-00551</x:v>
      </x:c>
      <x:c r="C998" t="str">
        <x:v>Plus anual</x:v>
      </x:c>
      <x:c r="D998" t="n">
        <x:v>46113</x:v>
      </x:c>
      <x:c r="E998" t="n">
        <x:v>46266</x:v>
      </x:c>
      <x:c r="F998" t="str">
        <x:v>Activa</x:v>
      </x:c>
      <x:c r="G998" t="str">
        <x:v>Anual</x:v>
      </x:c>
      <x:c r="H998" t="n">
        <x:v>6</x:v>
      </x:c>
    </x:row>
    <x:row r="999">
      <x:c r="A999" t="str">
        <x:v>SUS-000998</x:v>
      </x:c>
      <x:c r="B999" t="str">
        <x:v>USR-00553</x:v>
      </x:c>
      <x:c r="C999" t="str">
        <x:v>Cero</x:v>
      </x:c>
      <x:c r="D999" t="n">
        <x:v>46113</x:v>
      </x:c>
      <x:c r="E999" t="n">
        <x:v>46204</x:v>
      </x:c>
      <x:c r="F999" t="str">
        <x:v>Finalizada</x:v>
      </x:c>
      <x:c r="G999" t="str">
        <x:v>Gratuita</x:v>
      </x:c>
      <x:c r="H999" t="n">
        <x:v>4</x:v>
      </x:c>
    </x:row>
    <x:row r="1000">
      <x:c r="A1000" t="str">
        <x:v>SUS-000999</x:v>
      </x:c>
      <x:c r="B1000" t="str">
        <x:v>USR-00567</x:v>
      </x:c>
      <x:c r="C1000" t="str">
        <x:v>Plus mensual</x:v>
      </x:c>
      <x:c r="D1000" t="n">
        <x:v>46113</x:v>
      </x:c>
      <x:c r="E1000" t="n">
        <x:v>46266</x:v>
      </x:c>
      <x:c r="F1000" t="str">
        <x:v>Activa</x:v>
      </x:c>
      <x:c r="G1000" t="str">
        <x:v>Mensual</x:v>
      </x:c>
      <x:c r="H1000" t="n">
        <x:v>6</x:v>
      </x:c>
    </x:row>
    <x:row r="1001">
      <x:c r="A1001" t="str">
        <x:v>SUS-001000</x:v>
      </x:c>
      <x:c r="B1001" t="str">
        <x:v>USR-00570</x:v>
      </x:c>
      <x:c r="C1001" t="str">
        <x:v>Plus anual</x:v>
      </x:c>
      <x:c r="D1001" t="n">
        <x:v>46113</x:v>
      </x:c>
      <x:c r="E1001" t="n">
        <x:v>46266</x:v>
      </x:c>
      <x:c r="F1001" t="str">
        <x:v>Activa</x:v>
      </x:c>
      <x:c r="G1001" t="str">
        <x:v>Anual</x:v>
      </x:c>
      <x:c r="H1001" t="n">
        <x:v>6</x:v>
      </x:c>
    </x:row>
    <x:row r="1002">
      <x:c r="A1002" t="str">
        <x:v>SUS-001001</x:v>
      </x:c>
      <x:c r="B1002" t="str">
        <x:v>USR-00592</x:v>
      </x:c>
      <x:c r="C1002" t="str">
        <x:v>Plus mensual</x:v>
      </x:c>
      <x:c r="D1002" t="n">
        <x:v>46113</x:v>
      </x:c>
      <x:c r="E1002" t="n">
        <x:v>46266</x:v>
      </x:c>
      <x:c r="F1002" t="str">
        <x:v>Activa</x:v>
      </x:c>
      <x:c r="G1002" t="str">
        <x:v>Mensual</x:v>
      </x:c>
      <x:c r="H1002" t="n">
        <x:v>6</x:v>
      </x:c>
    </x:row>
    <x:row r="1003">
      <x:c r="A1003" t="str">
        <x:v>SUS-001002</x:v>
      </x:c>
      <x:c r="B1003" t="str">
        <x:v>USR-00601</x:v>
      </x:c>
      <x:c r="C1003" t="str">
        <x:v>Cero</x:v>
      </x:c>
      <x:c r="D1003" t="n">
        <x:v>46113</x:v>
      </x:c>
      <x:c r="E1003" t="n">
        <x:v>46174</x:v>
      </x:c>
      <x:c r="F1003" t="str">
        <x:v>Finalizada</x:v>
      </x:c>
      <x:c r="G1003" t="str">
        <x:v>Gratuita</x:v>
      </x:c>
      <x:c r="H1003" t="n">
        <x:v>3</x:v>
      </x:c>
    </x:row>
    <x:row r="1004">
      <x:c r="A1004" t="str">
        <x:v>SUS-001003</x:v>
      </x:c>
      <x:c r="B1004" t="str">
        <x:v>USR-00618</x:v>
      </x:c>
      <x:c r="C1004" t="str">
        <x:v>Cero</x:v>
      </x:c>
      <x:c r="D1004" t="n">
        <x:v>46113</x:v>
      </x:c>
      <x:c r="E1004" t="n">
        <x:v>46266</x:v>
      </x:c>
      <x:c r="F1004" t="str">
        <x:v>Activa</x:v>
      </x:c>
      <x:c r="G1004" t="str">
        <x:v>Gratuita</x:v>
      </x:c>
      <x:c r="H1004" t="n">
        <x:v>6</x:v>
      </x:c>
    </x:row>
    <x:row r="1005">
      <x:c r="A1005" t="str">
        <x:v>SUS-001004</x:v>
      </x:c>
      <x:c r="B1005" t="str">
        <x:v>USR-00633</x:v>
      </x:c>
      <x:c r="C1005" t="str">
        <x:v>Cero</x:v>
      </x:c>
      <x:c r="D1005" t="n">
        <x:v>46113</x:v>
      </x:c>
      <x:c r="E1005" t="n">
        <x:v>46266</x:v>
      </x:c>
      <x:c r="F1005" t="str">
        <x:v>Activa</x:v>
      </x:c>
      <x:c r="G1005" t="str">
        <x:v>Gratuita</x:v>
      </x:c>
      <x:c r="H1005" t="n">
        <x:v>6</x:v>
      </x:c>
    </x:row>
    <x:row r="1006">
      <x:c r="A1006" t="str">
        <x:v>SUS-001005</x:v>
      </x:c>
      <x:c r="B1006" t="str">
        <x:v>USR-00636</x:v>
      </x:c>
      <x:c r="C1006" t="str">
        <x:v>Plus mensual</x:v>
      </x:c>
      <x:c r="D1006" t="n">
        <x:v>46113</x:v>
      </x:c>
      <x:c r="E1006" t="n">
        <x:v>46204</x:v>
      </x:c>
      <x:c r="F1006" t="str">
        <x:v>Finalizada</x:v>
      </x:c>
      <x:c r="G1006" t="str">
        <x:v>Mensual</x:v>
      </x:c>
      <x:c r="H1006" t="n">
        <x:v>4</x:v>
      </x:c>
    </x:row>
    <x:row r="1007">
      <x:c r="A1007" t="str">
        <x:v>SUS-001006</x:v>
      </x:c>
      <x:c r="B1007" t="str">
        <x:v>USR-00639</x:v>
      </x:c>
      <x:c r="C1007" t="str">
        <x:v>Plus mensual</x:v>
      </x:c>
      <x:c r="D1007" t="n">
        <x:v>46113</x:v>
      </x:c>
      <x:c r="E1007" t="n">
        <x:v>46143</x:v>
      </x:c>
      <x:c r="F1007" t="str">
        <x:v>Finalizada</x:v>
      </x:c>
      <x:c r="G1007" t="str">
        <x:v>Mensual</x:v>
      </x:c>
      <x:c r="H1007" t="n">
        <x:v>2</x:v>
      </x:c>
    </x:row>
    <x:row r="1008">
      <x:c r="A1008" t="str">
        <x:v>SUS-001007</x:v>
      </x:c>
      <x:c r="B1008" t="str">
        <x:v>USR-00646</x:v>
      </x:c>
      <x:c r="C1008" t="str">
        <x:v>Plus anual</x:v>
      </x:c>
      <x:c r="D1008" t="n">
        <x:v>46113</x:v>
      </x:c>
      <x:c r="E1008" t="n">
        <x:v>46266</x:v>
      </x:c>
      <x:c r="F1008" t="str">
        <x:v>Activa</x:v>
      </x:c>
      <x:c r="G1008" t="str">
        <x:v>Anual</x:v>
      </x:c>
      <x:c r="H1008" t="n">
        <x:v>6</x:v>
      </x:c>
    </x:row>
    <x:row r="1009">
      <x:c r="A1009" t="str">
        <x:v>SUS-001008</x:v>
      </x:c>
      <x:c r="B1009" t="str">
        <x:v>USR-00660</x:v>
      </x:c>
      <x:c r="C1009" t="str">
        <x:v>Plus mensual</x:v>
      </x:c>
      <x:c r="D1009" t="n">
        <x:v>46113</x:v>
      </x:c>
      <x:c r="E1009" t="n">
        <x:v>46143</x:v>
      </x:c>
      <x:c r="F1009" t="str">
        <x:v>Finalizada</x:v>
      </x:c>
      <x:c r="G1009" t="str">
        <x:v>Mensual</x:v>
      </x:c>
      <x:c r="H1009" t="n">
        <x:v>2</x:v>
      </x:c>
    </x:row>
    <x:row r="1010">
      <x:c r="A1010" t="str">
        <x:v>SUS-001009</x:v>
      </x:c>
      <x:c r="B1010" t="str">
        <x:v>USR-00666</x:v>
      </x:c>
      <x:c r="C1010" t="str">
        <x:v>Plus mensual</x:v>
      </x:c>
      <x:c r="D1010" t="n">
        <x:v>46113</x:v>
      </x:c>
      <x:c r="E1010" t="n">
        <x:v>46235</x:v>
      </x:c>
      <x:c r="F1010" t="str">
        <x:v>Finalizada</x:v>
      </x:c>
      <x:c r="G1010" t="str">
        <x:v>Mensual</x:v>
      </x:c>
      <x:c r="H1010" t="n">
        <x:v>5</x:v>
      </x:c>
    </x:row>
    <x:row r="1011">
      <x:c r="A1011" t="str">
        <x:v>SUS-001010</x:v>
      </x:c>
      <x:c r="B1011" t="str">
        <x:v>USR-00697</x:v>
      </x:c>
      <x:c r="C1011" t="str">
        <x:v>Cero</x:v>
      </x:c>
      <x:c r="D1011" t="n">
        <x:v>46113</x:v>
      </x:c>
      <x:c r="E1011" t="n">
        <x:v>46266</x:v>
      </x:c>
      <x:c r="F1011" t="str">
        <x:v>Activa</x:v>
      </x:c>
      <x:c r="G1011" t="str">
        <x:v>Gratuita</x:v>
      </x:c>
      <x:c r="H1011" t="n">
        <x:v>6</x:v>
      </x:c>
    </x:row>
    <x:row r="1012">
      <x:c r="A1012" t="str">
        <x:v>SUS-001011</x:v>
      </x:c>
      <x:c r="B1012" t="str">
        <x:v>USR-00698</x:v>
      </x:c>
      <x:c r="C1012" t="str">
        <x:v>Cero</x:v>
      </x:c>
      <x:c r="D1012" t="n">
        <x:v>46113</x:v>
      </x:c>
      <x:c r="E1012" t="n">
        <x:v>46266</x:v>
      </x:c>
      <x:c r="F1012" t="str">
        <x:v>Activa</x:v>
      </x:c>
      <x:c r="G1012" t="str">
        <x:v>Gratuita</x:v>
      </x:c>
      <x:c r="H1012" t="n">
        <x:v>6</x:v>
      </x:c>
    </x:row>
    <x:row r="1013">
      <x:c r="A1013" t="str">
        <x:v>SUS-001012</x:v>
      </x:c>
      <x:c r="B1013" t="str">
        <x:v>USR-00699</x:v>
      </x:c>
      <x:c r="C1013" t="str">
        <x:v>Plus anual</x:v>
      </x:c>
      <x:c r="D1013" t="n">
        <x:v>46113</x:v>
      </x:c>
      <x:c r="E1013" t="n">
        <x:v>46266</x:v>
      </x:c>
      <x:c r="F1013" t="str">
        <x:v>Activa</x:v>
      </x:c>
      <x:c r="G1013" t="str">
        <x:v>Anual</x:v>
      </x:c>
      <x:c r="H1013" t="n">
        <x:v>6</x:v>
      </x:c>
    </x:row>
    <x:row r="1014">
      <x:c r="A1014" t="str">
        <x:v>SUS-001013</x:v>
      </x:c>
      <x:c r="B1014" t="str">
        <x:v>USR-00700</x:v>
      </x:c>
      <x:c r="C1014" t="str">
        <x:v>Cero</x:v>
      </x:c>
      <x:c r="D1014" t="n">
        <x:v>46113</x:v>
      </x:c>
      <x:c r="E1014" t="n">
        <x:v>46266</x:v>
      </x:c>
      <x:c r="F1014" t="str">
        <x:v>Activa</x:v>
      </x:c>
      <x:c r="G1014" t="str">
        <x:v>Gratuita</x:v>
      </x:c>
      <x:c r="H1014" t="n">
        <x:v>6</x:v>
      </x:c>
    </x:row>
    <x:row r="1015">
      <x:c r="A1015" t="str">
        <x:v>SUS-001014</x:v>
      </x:c>
      <x:c r="B1015" t="str">
        <x:v>USR-00701</x:v>
      </x:c>
      <x:c r="C1015" t="str">
        <x:v>Cero</x:v>
      </x:c>
      <x:c r="D1015" t="n">
        <x:v>46113</x:v>
      </x:c>
      <x:c r="E1015" t="n">
        <x:v>46266</x:v>
      </x:c>
      <x:c r="F1015" t="str">
        <x:v>Activa</x:v>
      </x:c>
      <x:c r="G1015" t="str">
        <x:v>Gratuita</x:v>
      </x:c>
      <x:c r="H1015" t="n">
        <x:v>6</x:v>
      </x:c>
    </x:row>
    <x:row r="1016">
      <x:c r="A1016" t="str">
        <x:v>SUS-001015</x:v>
      </x:c>
      <x:c r="B1016" t="str">
        <x:v>USR-00702</x:v>
      </x:c>
      <x:c r="C1016" t="str">
        <x:v>Plus anual</x:v>
      </x:c>
      <x:c r="D1016" t="n">
        <x:v>46113</x:v>
      </x:c>
      <x:c r="E1016" t="n">
        <x:v>46266</x:v>
      </x:c>
      <x:c r="F1016" t="str">
        <x:v>Activa</x:v>
      </x:c>
      <x:c r="G1016" t="str">
        <x:v>Anual</x:v>
      </x:c>
      <x:c r="H1016" t="n">
        <x:v>6</x:v>
      </x:c>
    </x:row>
    <x:row r="1017">
      <x:c r="A1017" t="str">
        <x:v>SUS-001016</x:v>
      </x:c>
      <x:c r="B1017" t="str">
        <x:v>USR-00703</x:v>
      </x:c>
      <x:c r="C1017" t="str">
        <x:v>Cero</x:v>
      </x:c>
      <x:c r="D1017" t="n">
        <x:v>46113</x:v>
      </x:c>
      <x:c r="E1017" t="n">
        <x:v>46266</x:v>
      </x:c>
      <x:c r="F1017" t="str">
        <x:v>Activa</x:v>
      </x:c>
      <x:c r="G1017" t="str">
        <x:v>Gratuita</x:v>
      </x:c>
      <x:c r="H1017" t="n">
        <x:v>6</x:v>
      </x:c>
    </x:row>
    <x:row r="1018">
      <x:c r="A1018" t="str">
        <x:v>SUS-001017</x:v>
      </x:c>
      <x:c r="B1018" t="str">
        <x:v>USR-00704</x:v>
      </x:c>
      <x:c r="C1018" t="str">
        <x:v>Cero</x:v>
      </x:c>
      <x:c r="D1018" t="n">
        <x:v>46113</x:v>
      </x:c>
      <x:c r="E1018" t="n">
        <x:v>46266</x:v>
      </x:c>
      <x:c r="F1018" t="str">
        <x:v>Activa</x:v>
      </x:c>
      <x:c r="G1018" t="str">
        <x:v>Gratuita</x:v>
      </x:c>
      <x:c r="H1018" t="n">
        <x:v>6</x:v>
      </x:c>
    </x:row>
    <x:row r="1019">
      <x:c r="A1019" t="str">
        <x:v>SUS-001018</x:v>
      </x:c>
      <x:c r="B1019" t="str">
        <x:v>USR-00705</x:v>
      </x:c>
      <x:c r="C1019" t="str">
        <x:v>Cero</x:v>
      </x:c>
      <x:c r="D1019" t="n">
        <x:v>46113</x:v>
      </x:c>
      <x:c r="E1019" t="n">
        <x:v>46266</x:v>
      </x:c>
      <x:c r="F1019" t="str">
        <x:v>Activa</x:v>
      </x:c>
      <x:c r="G1019" t="str">
        <x:v>Gratuita</x:v>
      </x:c>
      <x:c r="H1019" t="n">
        <x:v>6</x:v>
      </x:c>
    </x:row>
    <x:row r="1020">
      <x:c r="A1020" t="str">
        <x:v>SUS-001019</x:v>
      </x:c>
      <x:c r="B1020" t="str">
        <x:v>USR-00706</x:v>
      </x:c>
      <x:c r="C1020" t="str">
        <x:v>Cero</x:v>
      </x:c>
      <x:c r="D1020" t="n">
        <x:v>46113</x:v>
      </x:c>
      <x:c r="E1020" t="n">
        <x:v>46266</x:v>
      </x:c>
      <x:c r="F1020" t="str">
        <x:v>Activa</x:v>
      </x:c>
      <x:c r="G1020" t="str">
        <x:v>Gratuita</x:v>
      </x:c>
      <x:c r="H1020" t="n">
        <x:v>6</x:v>
      </x:c>
    </x:row>
    <x:row r="1021">
      <x:c r="A1021" t="str">
        <x:v>SUS-001020</x:v>
      </x:c>
      <x:c r="B1021" t="str">
        <x:v>USR-00707</x:v>
      </x:c>
      <x:c r="C1021" t="str">
        <x:v>Cero</x:v>
      </x:c>
      <x:c r="D1021" t="n">
        <x:v>46113</x:v>
      </x:c>
      <x:c r="E1021" t="n">
        <x:v>46266</x:v>
      </x:c>
      <x:c r="F1021" t="str">
        <x:v>Activa</x:v>
      </x:c>
      <x:c r="G1021" t="str">
        <x:v>Gratuita</x:v>
      </x:c>
      <x:c r="H1021" t="n">
        <x:v>6</x:v>
      </x:c>
    </x:row>
    <x:row r="1022">
      <x:c r="A1022" t="str">
        <x:v>SUS-001021</x:v>
      </x:c>
      <x:c r="B1022" t="str">
        <x:v>USR-00708</x:v>
      </x:c>
      <x:c r="C1022" t="str">
        <x:v>Cero</x:v>
      </x:c>
      <x:c r="D1022" t="n">
        <x:v>46113</x:v>
      </x:c>
      <x:c r="E1022" t="n">
        <x:v>46113</x:v>
      </x:c>
      <x:c r="F1022" t="str">
        <x:v>Finalizada</x:v>
      </x:c>
      <x:c r="G1022" t="str">
        <x:v>Gratuita</x:v>
      </x:c>
      <x:c r="H1022" t="n">
        <x:v>1</x:v>
      </x:c>
    </x:row>
    <x:row r="1023">
      <x:c r="A1023" t="str">
        <x:v>SUS-001022</x:v>
      </x:c>
      <x:c r="B1023" t="str">
        <x:v>USR-00709</x:v>
      </x:c>
      <x:c r="C1023" t="str">
        <x:v>Cero</x:v>
      </x:c>
      <x:c r="D1023" t="n">
        <x:v>46113</x:v>
      </x:c>
      <x:c r="E1023" t="n">
        <x:v>46266</x:v>
      </x:c>
      <x:c r="F1023" t="str">
        <x:v>Activa</x:v>
      </x:c>
      <x:c r="G1023" t="str">
        <x:v>Gratuita</x:v>
      </x:c>
      <x:c r="H1023" t="n">
        <x:v>6</x:v>
      </x:c>
    </x:row>
    <x:row r="1024">
      <x:c r="A1024" t="str">
        <x:v>SUS-001023</x:v>
      </x:c>
      <x:c r="B1024" t="str">
        <x:v>USR-00710</x:v>
      </x:c>
      <x:c r="C1024" t="str">
        <x:v>Cero</x:v>
      </x:c>
      <x:c r="D1024" t="n">
        <x:v>46113</x:v>
      </x:c>
      <x:c r="E1024" t="n">
        <x:v>46266</x:v>
      </x:c>
      <x:c r="F1024" t="str">
        <x:v>Activa</x:v>
      </x:c>
      <x:c r="G1024" t="str">
        <x:v>Gratuita</x:v>
      </x:c>
      <x:c r="H1024" t="n">
        <x:v>6</x:v>
      </x:c>
    </x:row>
    <x:row r="1025">
      <x:c r="A1025" t="str">
        <x:v>SUS-001024</x:v>
      </x:c>
      <x:c r="B1025" t="str">
        <x:v>USR-00711</x:v>
      </x:c>
      <x:c r="C1025" t="str">
        <x:v>Cero</x:v>
      </x:c>
      <x:c r="D1025" t="n">
        <x:v>46113</x:v>
      </x:c>
      <x:c r="E1025" t="n">
        <x:v>46266</x:v>
      </x:c>
      <x:c r="F1025" t="str">
        <x:v>Activa</x:v>
      </x:c>
      <x:c r="G1025" t="str">
        <x:v>Gratuita</x:v>
      </x:c>
      <x:c r="H1025" t="n">
        <x:v>6</x:v>
      </x:c>
    </x:row>
    <x:row r="1026">
      <x:c r="A1026" t="str">
        <x:v>SUS-001025</x:v>
      </x:c>
      <x:c r="B1026" t="str">
        <x:v>USR-00712</x:v>
      </x:c>
      <x:c r="C1026" t="str">
        <x:v>Cero</x:v>
      </x:c>
      <x:c r="D1026" t="n">
        <x:v>46113</x:v>
      </x:c>
      <x:c r="E1026" t="n">
        <x:v>46113</x:v>
      </x:c>
      <x:c r="F1026" t="str">
        <x:v>Finalizada</x:v>
      </x:c>
      <x:c r="G1026" t="str">
        <x:v>Gratuita</x:v>
      </x:c>
      <x:c r="H1026" t="n">
        <x:v>1</x:v>
      </x:c>
    </x:row>
    <x:row r="1027">
      <x:c r="A1027" t="str">
        <x:v>SUS-001026</x:v>
      </x:c>
      <x:c r="B1027" t="str">
        <x:v>USR-00713</x:v>
      </x:c>
      <x:c r="C1027" t="str">
        <x:v>Cero</x:v>
      </x:c>
      <x:c r="D1027" t="n">
        <x:v>46113</x:v>
      </x:c>
      <x:c r="E1027" t="n">
        <x:v>46266</x:v>
      </x:c>
      <x:c r="F1027" t="str">
        <x:v>Activa</x:v>
      </x:c>
      <x:c r="G1027" t="str">
        <x:v>Gratuita</x:v>
      </x:c>
      <x:c r="H1027" t="n">
        <x:v>6</x:v>
      </x:c>
    </x:row>
    <x:row r="1028">
      <x:c r="A1028" t="str">
        <x:v>SUS-001027</x:v>
      </x:c>
      <x:c r="B1028" t="str">
        <x:v>USR-00714</x:v>
      </x:c>
      <x:c r="C1028" t="str">
        <x:v>Plus mensual</x:v>
      </x:c>
      <x:c r="D1028" t="n">
        <x:v>46113</x:v>
      </x:c>
      <x:c r="E1028" t="n">
        <x:v>46174</x:v>
      </x:c>
      <x:c r="F1028" t="str">
        <x:v>Finalizada</x:v>
      </x:c>
      <x:c r="G1028" t="str">
        <x:v>Mensual</x:v>
      </x:c>
      <x:c r="H1028" t="n">
        <x:v>3</x:v>
      </x:c>
    </x:row>
    <x:row r="1029">
      <x:c r="A1029" t="str">
        <x:v>SUS-001028</x:v>
      </x:c>
      <x:c r="B1029" t="str">
        <x:v>USR-00715</x:v>
      </x:c>
      <x:c r="C1029" t="str">
        <x:v>Plus mensual</x:v>
      </x:c>
      <x:c r="D1029" t="n">
        <x:v>46113</x:v>
      </x:c>
      <x:c r="E1029" t="n">
        <x:v>46266</x:v>
      </x:c>
      <x:c r="F1029" t="str">
        <x:v>Activa</x:v>
      </x:c>
      <x:c r="G1029" t="str">
        <x:v>Mensual</x:v>
      </x:c>
      <x:c r="H1029" t="n">
        <x:v>6</x:v>
      </x:c>
    </x:row>
    <x:row r="1030">
      <x:c r="A1030" t="str">
        <x:v>SUS-001029</x:v>
      </x:c>
      <x:c r="B1030" t="str">
        <x:v>USR-00716</x:v>
      </x:c>
      <x:c r="C1030" t="str">
        <x:v>Cero</x:v>
      </x:c>
      <x:c r="D1030" t="n">
        <x:v>46113</x:v>
      </x:c>
      <x:c r="E1030" t="n">
        <x:v>46266</x:v>
      </x:c>
      <x:c r="F1030" t="str">
        <x:v>Activa</x:v>
      </x:c>
      <x:c r="G1030" t="str">
        <x:v>Gratuita</x:v>
      </x:c>
      <x:c r="H1030" t="n">
        <x:v>6</x:v>
      </x:c>
    </x:row>
    <x:row r="1031">
      <x:c r="A1031" t="str">
        <x:v>SUS-001030</x:v>
      </x:c>
      <x:c r="B1031" t="str">
        <x:v>USR-00717</x:v>
      </x:c>
      <x:c r="C1031" t="str">
        <x:v>Cero</x:v>
      </x:c>
      <x:c r="D1031" t="n">
        <x:v>46113</x:v>
      </x:c>
      <x:c r="E1031" t="n">
        <x:v>46266</x:v>
      </x:c>
      <x:c r="F1031" t="str">
        <x:v>Activa</x:v>
      </x:c>
      <x:c r="G1031" t="str">
        <x:v>Gratuita</x:v>
      </x:c>
      <x:c r="H1031" t="n">
        <x:v>6</x:v>
      </x:c>
    </x:row>
    <x:row r="1032">
      <x:c r="A1032" t="str">
        <x:v>SUS-001031</x:v>
      </x:c>
      <x:c r="B1032" t="str">
        <x:v>USR-00718</x:v>
      </x:c>
      <x:c r="C1032" t="str">
        <x:v>Cero</x:v>
      </x:c>
      <x:c r="D1032" t="n">
        <x:v>46113</x:v>
      </x:c>
      <x:c r="E1032" t="n">
        <x:v>46266</x:v>
      </x:c>
      <x:c r="F1032" t="str">
        <x:v>Activa</x:v>
      </x:c>
      <x:c r="G1032" t="str">
        <x:v>Gratuita</x:v>
      </x:c>
      <x:c r="H1032" t="n">
        <x:v>6</x:v>
      </x:c>
    </x:row>
    <x:row r="1033">
      <x:c r="A1033" t="str">
        <x:v>SUS-001032</x:v>
      </x:c>
      <x:c r="B1033" t="str">
        <x:v>USR-00719</x:v>
      </x:c>
      <x:c r="C1033" t="str">
        <x:v>Cero</x:v>
      </x:c>
      <x:c r="D1033" t="n">
        <x:v>46113</x:v>
      </x:c>
      <x:c r="E1033" t="n">
        <x:v>46204</x:v>
      </x:c>
      <x:c r="F1033" t="str">
        <x:v>Finalizada</x:v>
      </x:c>
      <x:c r="G1033" t="str">
        <x:v>Gratuita</x:v>
      </x:c>
      <x:c r="H1033" t="n">
        <x:v>4</x:v>
      </x:c>
    </x:row>
    <x:row r="1034">
      <x:c r="A1034" t="str">
        <x:v>SUS-001033</x:v>
      </x:c>
      <x:c r="B1034" t="str">
        <x:v>USR-00720</x:v>
      </x:c>
      <x:c r="C1034" t="str">
        <x:v>Plus mensual</x:v>
      </x:c>
      <x:c r="D1034" t="n">
        <x:v>46113</x:v>
      </x:c>
      <x:c r="E1034" t="n">
        <x:v>46266</x:v>
      </x:c>
      <x:c r="F1034" t="str">
        <x:v>Activa</x:v>
      </x:c>
      <x:c r="G1034" t="str">
        <x:v>Mensual</x:v>
      </x:c>
      <x:c r="H1034" t="n">
        <x:v>6</x:v>
      </x:c>
    </x:row>
    <x:row r="1035">
      <x:c r="A1035" t="str">
        <x:v>SUS-001034</x:v>
      </x:c>
      <x:c r="B1035" t="str">
        <x:v>USR-00721</x:v>
      </x:c>
      <x:c r="C1035" t="str">
        <x:v>Cero</x:v>
      </x:c>
      <x:c r="D1035" t="n">
        <x:v>46113</x:v>
      </x:c>
      <x:c r="E1035" t="n">
        <x:v>46235</x:v>
      </x:c>
      <x:c r="F1035" t="str">
        <x:v>Finalizada</x:v>
      </x:c>
      <x:c r="G1035" t="str">
        <x:v>Gratuita</x:v>
      </x:c>
      <x:c r="H1035" t="n">
        <x:v>5</x:v>
      </x:c>
    </x:row>
    <x:row r="1036">
      <x:c r="A1036" t="str">
        <x:v>SUS-001035</x:v>
      </x:c>
      <x:c r="B1036" t="str">
        <x:v>USR-00722</x:v>
      </x:c>
      <x:c r="C1036" t="str">
        <x:v>Cero</x:v>
      </x:c>
      <x:c r="D1036" t="n">
        <x:v>46113</x:v>
      </x:c>
      <x:c r="E1036" t="n">
        <x:v>46143</x:v>
      </x:c>
      <x:c r="F1036" t="str">
        <x:v>Finalizada</x:v>
      </x:c>
      <x:c r="G1036" t="str">
        <x:v>Gratuita</x:v>
      </x:c>
      <x:c r="H1036" t="n">
        <x:v>2</x:v>
      </x:c>
    </x:row>
    <x:row r="1037">
      <x:c r="A1037" t="str">
        <x:v>SUS-001036</x:v>
      </x:c>
      <x:c r="B1037" t="str">
        <x:v>USR-00723</x:v>
      </x:c>
      <x:c r="C1037" t="str">
        <x:v>Cero</x:v>
      </x:c>
      <x:c r="D1037" t="n">
        <x:v>46113</x:v>
      </x:c>
      <x:c r="E1037" t="n">
        <x:v>46266</x:v>
      </x:c>
      <x:c r="F1037" t="str">
        <x:v>Activa</x:v>
      </x:c>
      <x:c r="G1037" t="str">
        <x:v>Gratuita</x:v>
      </x:c>
      <x:c r="H1037" t="n">
        <x:v>6</x:v>
      </x:c>
    </x:row>
    <x:row r="1038">
      <x:c r="A1038" t="str">
        <x:v>SUS-001037</x:v>
      </x:c>
      <x:c r="B1038" t="str">
        <x:v>USR-00724</x:v>
      </x:c>
      <x:c r="C1038" t="str">
        <x:v>Cero</x:v>
      </x:c>
      <x:c r="D1038" t="n">
        <x:v>46113</x:v>
      </x:c>
      <x:c r="E1038" t="n">
        <x:v>46113</x:v>
      </x:c>
      <x:c r="F1038" t="str">
        <x:v>Finalizada</x:v>
      </x:c>
      <x:c r="G1038" t="str">
        <x:v>Gratuita</x:v>
      </x:c>
      <x:c r="H1038" t="n">
        <x:v>1</x:v>
      </x:c>
    </x:row>
    <x:row r="1039">
      <x:c r="A1039" t="str">
        <x:v>SUS-001038</x:v>
      </x:c>
      <x:c r="B1039" t="str">
        <x:v>USR-00725</x:v>
      </x:c>
      <x:c r="C1039" t="str">
        <x:v>Plus mensual</x:v>
      </x:c>
      <x:c r="D1039" t="n">
        <x:v>46113</x:v>
      </x:c>
      <x:c r="E1039" t="n">
        <x:v>46266</x:v>
      </x:c>
      <x:c r="F1039" t="str">
        <x:v>Activa</x:v>
      </x:c>
      <x:c r="G1039" t="str">
        <x:v>Mensual</x:v>
      </x:c>
      <x:c r="H1039" t="n">
        <x:v>6</x:v>
      </x:c>
    </x:row>
    <x:row r="1040">
      <x:c r="A1040" t="str">
        <x:v>SUS-001039</x:v>
      </x:c>
      <x:c r="B1040" t="str">
        <x:v>USR-00726</x:v>
      </x:c>
      <x:c r="C1040" t="str">
        <x:v>Cero</x:v>
      </x:c>
      <x:c r="D1040" t="n">
        <x:v>46113</x:v>
      </x:c>
      <x:c r="E1040" t="n">
        <x:v>46174</x:v>
      </x:c>
      <x:c r="F1040" t="str">
        <x:v>Finalizada</x:v>
      </x:c>
      <x:c r="G1040" t="str">
        <x:v>Gratuita</x:v>
      </x:c>
      <x:c r="H1040" t="n">
        <x:v>3</x:v>
      </x:c>
    </x:row>
    <x:row r="1041">
      <x:c r="A1041" t="str">
        <x:v>SUS-001040</x:v>
      </x:c>
      <x:c r="B1041" t="str">
        <x:v>USR-00727</x:v>
      </x:c>
      <x:c r="C1041" t="str">
        <x:v>Cero</x:v>
      </x:c>
      <x:c r="D1041" t="n">
        <x:v>46113</x:v>
      </x:c>
      <x:c r="E1041" t="n">
        <x:v>46266</x:v>
      </x:c>
      <x:c r="F1041" t="str">
        <x:v>Activa</x:v>
      </x:c>
      <x:c r="G1041" t="str">
        <x:v>Gratuita</x:v>
      </x:c>
      <x:c r="H1041" t="n">
        <x:v>6</x:v>
      </x:c>
    </x:row>
    <x:row r="1042">
      <x:c r="A1042" t="str">
        <x:v>SUS-001041</x:v>
      </x:c>
      <x:c r="B1042" t="str">
        <x:v>USR-00728</x:v>
      </x:c>
      <x:c r="C1042" t="str">
        <x:v>Cero</x:v>
      </x:c>
      <x:c r="D1042" t="n">
        <x:v>46113</x:v>
      </x:c>
      <x:c r="E1042" t="n">
        <x:v>46266</x:v>
      </x:c>
      <x:c r="F1042" t="str">
        <x:v>Activa</x:v>
      </x:c>
      <x:c r="G1042" t="str">
        <x:v>Gratuita</x:v>
      </x:c>
      <x:c r="H1042" t="n">
        <x:v>6</x:v>
      </x:c>
    </x:row>
    <x:row r="1043">
      <x:c r="A1043" t="str">
        <x:v>SUS-001042</x:v>
      </x:c>
      <x:c r="B1043" t="str">
        <x:v>USR-00729</x:v>
      </x:c>
      <x:c r="C1043" t="str">
        <x:v>Cero</x:v>
      </x:c>
      <x:c r="D1043" t="n">
        <x:v>46113</x:v>
      </x:c>
      <x:c r="E1043" t="n">
        <x:v>46266</x:v>
      </x:c>
      <x:c r="F1043" t="str">
        <x:v>Activa</x:v>
      </x:c>
      <x:c r="G1043" t="str">
        <x:v>Gratuita</x:v>
      </x:c>
      <x:c r="H1043" t="n">
        <x:v>6</x:v>
      </x:c>
    </x:row>
    <x:row r="1044">
      <x:c r="A1044" t="str">
        <x:v>SUS-001043</x:v>
      </x:c>
      <x:c r="B1044" t="str">
        <x:v>USR-00730</x:v>
      </x:c>
      <x:c r="C1044" t="str">
        <x:v>Cero</x:v>
      </x:c>
      <x:c r="D1044" t="n">
        <x:v>46113</x:v>
      </x:c>
      <x:c r="E1044" t="n">
        <x:v>46266</x:v>
      </x:c>
      <x:c r="F1044" t="str">
        <x:v>Activa</x:v>
      </x:c>
      <x:c r="G1044" t="str">
        <x:v>Gratuita</x:v>
      </x:c>
      <x:c r="H1044" t="n">
        <x:v>6</x:v>
      </x:c>
    </x:row>
    <x:row r="1045">
      <x:c r="A1045" t="str">
        <x:v>SUS-001044</x:v>
      </x:c>
      <x:c r="B1045" t="str">
        <x:v>USR-00731</x:v>
      </x:c>
      <x:c r="C1045" t="str">
        <x:v>Cero</x:v>
      </x:c>
      <x:c r="D1045" t="n">
        <x:v>46113</x:v>
      </x:c>
      <x:c r="E1045" t="n">
        <x:v>46266</x:v>
      </x:c>
      <x:c r="F1045" t="str">
        <x:v>Activa</x:v>
      </x:c>
      <x:c r="G1045" t="str">
        <x:v>Gratuita</x:v>
      </x:c>
      <x:c r="H1045" t="n">
        <x:v>6</x:v>
      </x:c>
    </x:row>
    <x:row r="1046">
      <x:c r="A1046" t="str">
        <x:v>SUS-001045</x:v>
      </x:c>
      <x:c r="B1046" t="str">
        <x:v>USR-00732</x:v>
      </x:c>
      <x:c r="C1046" t="str">
        <x:v>Cero</x:v>
      </x:c>
      <x:c r="D1046" t="n">
        <x:v>46113</x:v>
      </x:c>
      <x:c r="E1046" t="n">
        <x:v>46174</x:v>
      </x:c>
      <x:c r="F1046" t="str">
        <x:v>Finalizada</x:v>
      </x:c>
      <x:c r="G1046" t="str">
        <x:v>Gratuita</x:v>
      </x:c>
      <x:c r="H1046" t="n">
        <x:v>3</x:v>
      </x:c>
    </x:row>
    <x:row r="1047">
      <x:c r="A1047" t="str">
        <x:v>SUS-001046</x:v>
      </x:c>
      <x:c r="B1047" t="str">
        <x:v>USR-00733</x:v>
      </x:c>
      <x:c r="C1047" t="str">
        <x:v>Plus mensual</x:v>
      </x:c>
      <x:c r="D1047" t="n">
        <x:v>46113</x:v>
      </x:c>
      <x:c r="E1047" t="n">
        <x:v>46266</x:v>
      </x:c>
      <x:c r="F1047" t="str">
        <x:v>Activa</x:v>
      </x:c>
      <x:c r="G1047" t="str">
        <x:v>Mensual</x:v>
      </x:c>
      <x:c r="H1047" t="n">
        <x:v>6</x:v>
      </x:c>
    </x:row>
    <x:row r="1048">
      <x:c r="A1048" t="str">
        <x:v>SUS-001047</x:v>
      </x:c>
      <x:c r="B1048" t="str">
        <x:v>USR-00734</x:v>
      </x:c>
      <x:c r="C1048" t="str">
        <x:v>Plus mensual</x:v>
      </x:c>
      <x:c r="D1048" t="n">
        <x:v>46113</x:v>
      </x:c>
      <x:c r="E1048" t="n">
        <x:v>46174</x:v>
      </x:c>
      <x:c r="F1048" t="str">
        <x:v>Finalizada</x:v>
      </x:c>
      <x:c r="G1048" t="str">
        <x:v>Mensual</x:v>
      </x:c>
      <x:c r="H1048" t="n">
        <x:v>3</x:v>
      </x:c>
    </x:row>
    <x:row r="1049">
      <x:c r="A1049" t="str">
        <x:v>SUS-001048</x:v>
      </x:c>
      <x:c r="B1049" t="str">
        <x:v>USR-00735</x:v>
      </x:c>
      <x:c r="C1049" t="str">
        <x:v>Cero</x:v>
      </x:c>
      <x:c r="D1049" t="n">
        <x:v>46113</x:v>
      </x:c>
      <x:c r="E1049" t="n">
        <x:v>46143</x:v>
      </x:c>
      <x:c r="F1049" t="str">
        <x:v>Finalizada</x:v>
      </x:c>
      <x:c r="G1049" t="str">
        <x:v>Gratuita</x:v>
      </x:c>
      <x:c r="H1049" t="n">
        <x:v>2</x:v>
      </x:c>
    </x:row>
    <x:row r="1050">
      <x:c r="A1050" t="str">
        <x:v>SUS-001049</x:v>
      </x:c>
      <x:c r="B1050" t="str">
        <x:v>USR-00736</x:v>
      </x:c>
      <x:c r="C1050" t="str">
        <x:v>Plus mensual</x:v>
      </x:c>
      <x:c r="D1050" t="n">
        <x:v>46113</x:v>
      </x:c>
      <x:c r="E1050" t="n">
        <x:v>46266</x:v>
      </x:c>
      <x:c r="F1050" t="str">
        <x:v>Activa</x:v>
      </x:c>
      <x:c r="G1050" t="str">
        <x:v>Mensual</x:v>
      </x:c>
      <x:c r="H1050" t="n">
        <x:v>6</x:v>
      </x:c>
    </x:row>
    <x:row r="1051">
      <x:c r="A1051" t="str">
        <x:v>SUS-001050</x:v>
      </x:c>
      <x:c r="B1051" t="str">
        <x:v>USR-00737</x:v>
      </x:c>
      <x:c r="C1051" t="str">
        <x:v>Cero</x:v>
      </x:c>
      <x:c r="D1051" t="n">
        <x:v>46113</x:v>
      </x:c>
      <x:c r="E1051" t="n">
        <x:v>46113</x:v>
      </x:c>
      <x:c r="F1051" t="str">
        <x:v>Finalizada</x:v>
      </x:c>
      <x:c r="G1051" t="str">
        <x:v>Gratuita</x:v>
      </x:c>
      <x:c r="H1051" t="n">
        <x:v>1</x:v>
      </x:c>
    </x:row>
    <x:row r="1052">
      <x:c r="A1052" t="str">
        <x:v>SUS-001051</x:v>
      </x:c>
      <x:c r="B1052" t="str">
        <x:v>USR-00738</x:v>
      </x:c>
      <x:c r="C1052" t="str">
        <x:v>Cero</x:v>
      </x:c>
      <x:c r="D1052" t="n">
        <x:v>46113</x:v>
      </x:c>
      <x:c r="E1052" t="n">
        <x:v>46266</x:v>
      </x:c>
      <x:c r="F1052" t="str">
        <x:v>Activa</x:v>
      </x:c>
      <x:c r="G1052" t="str">
        <x:v>Gratuita</x:v>
      </x:c>
      <x:c r="H1052" t="n">
        <x:v>6</x:v>
      </x:c>
    </x:row>
    <x:row r="1053">
      <x:c r="A1053" t="str">
        <x:v>SUS-001052</x:v>
      </x:c>
      <x:c r="B1053" t="str">
        <x:v>USR-00739</x:v>
      </x:c>
      <x:c r="C1053" t="str">
        <x:v>Cero</x:v>
      </x:c>
      <x:c r="D1053" t="n">
        <x:v>46113</x:v>
      </x:c>
      <x:c r="E1053" t="n">
        <x:v>46266</x:v>
      </x:c>
      <x:c r="F1053" t="str">
        <x:v>Activa</x:v>
      </x:c>
      <x:c r="G1053" t="str">
        <x:v>Gratuita</x:v>
      </x:c>
      <x:c r="H1053" t="n">
        <x:v>6</x:v>
      </x:c>
    </x:row>
    <x:row r="1054">
      <x:c r="A1054" t="str">
        <x:v>SUS-001053</x:v>
      </x:c>
      <x:c r="B1054" t="str">
        <x:v>USR-00740</x:v>
      </x:c>
      <x:c r="C1054" t="str">
        <x:v>Cero</x:v>
      </x:c>
      <x:c r="D1054" t="n">
        <x:v>46113</x:v>
      </x:c>
      <x:c r="E1054" t="n">
        <x:v>46266</x:v>
      </x:c>
      <x:c r="F1054" t="str">
        <x:v>Activa</x:v>
      </x:c>
      <x:c r="G1054" t="str">
        <x:v>Gratuita</x:v>
      </x:c>
      <x:c r="H1054" t="n">
        <x:v>6</x:v>
      </x:c>
    </x:row>
    <x:row r="1055">
      <x:c r="A1055" t="str">
        <x:v>SUS-001054</x:v>
      </x:c>
      <x:c r="B1055" t="str">
        <x:v>USR-00741</x:v>
      </x:c>
      <x:c r="C1055" t="str">
        <x:v>Plus mensual</x:v>
      </x:c>
      <x:c r="D1055" t="n">
        <x:v>46113</x:v>
      </x:c>
      <x:c r="E1055" t="n">
        <x:v>46204</x:v>
      </x:c>
      <x:c r="F1055" t="str">
        <x:v>Finalizada</x:v>
      </x:c>
      <x:c r="G1055" t="str">
        <x:v>Mensual</x:v>
      </x:c>
      <x:c r="H1055" t="n">
        <x:v>4</x:v>
      </x:c>
    </x:row>
    <x:row r="1056">
      <x:c r="A1056" t="str">
        <x:v>SUS-001055</x:v>
      </x:c>
      <x:c r="B1056" t="str">
        <x:v>USR-00742</x:v>
      </x:c>
      <x:c r="C1056" t="str">
        <x:v>Cero</x:v>
      </x:c>
      <x:c r="D1056" t="n">
        <x:v>46113</x:v>
      </x:c>
      <x:c r="E1056" t="n">
        <x:v>46266</x:v>
      </x:c>
      <x:c r="F1056" t="str">
        <x:v>Activa</x:v>
      </x:c>
      <x:c r="G1056" t="str">
        <x:v>Gratuita</x:v>
      </x:c>
      <x:c r="H1056" t="n">
        <x:v>6</x:v>
      </x:c>
    </x:row>
    <x:row r="1057">
      <x:c r="A1057" t="str">
        <x:v>SUS-001056</x:v>
      </x:c>
      <x:c r="B1057" t="str">
        <x:v>USR-00743</x:v>
      </x:c>
      <x:c r="C1057" t="str">
        <x:v>Plus mensual</x:v>
      </x:c>
      <x:c r="D1057" t="n">
        <x:v>46113</x:v>
      </x:c>
      <x:c r="E1057" t="n">
        <x:v>46266</x:v>
      </x:c>
      <x:c r="F1057" t="str">
        <x:v>Activa</x:v>
      </x:c>
      <x:c r="G1057" t="str">
        <x:v>Mensual</x:v>
      </x:c>
      <x:c r="H1057" t="n">
        <x:v>6</x:v>
      </x:c>
    </x:row>
    <x:row r="1058">
      <x:c r="A1058" t="str">
        <x:v>SUS-001057</x:v>
      </x:c>
      <x:c r="B1058" t="str">
        <x:v>USR-00744</x:v>
      </x:c>
      <x:c r="C1058" t="str">
        <x:v>Cero</x:v>
      </x:c>
      <x:c r="D1058" t="n">
        <x:v>46113</x:v>
      </x:c>
      <x:c r="E1058" t="n">
        <x:v>46266</x:v>
      </x:c>
      <x:c r="F1058" t="str">
        <x:v>Activa</x:v>
      </x:c>
      <x:c r="G1058" t="str">
        <x:v>Gratuita</x:v>
      </x:c>
      <x:c r="H1058" t="n">
        <x:v>6</x:v>
      </x:c>
    </x:row>
    <x:row r="1059">
      <x:c r="A1059" t="str">
        <x:v>SUS-001058</x:v>
      </x:c>
      <x:c r="B1059" t="str">
        <x:v>USR-00745</x:v>
      </x:c>
      <x:c r="C1059" t="str">
        <x:v>Cero</x:v>
      </x:c>
      <x:c r="D1059" t="n">
        <x:v>46113</x:v>
      </x:c>
      <x:c r="E1059" t="n">
        <x:v>46174</x:v>
      </x:c>
      <x:c r="F1059" t="str">
        <x:v>Finalizada</x:v>
      </x:c>
      <x:c r="G1059" t="str">
        <x:v>Gratuita</x:v>
      </x:c>
      <x:c r="H1059" t="n">
        <x:v>3</x:v>
      </x:c>
    </x:row>
    <x:row r="1060">
      <x:c r="A1060" t="str">
        <x:v>SUS-001059</x:v>
      </x:c>
      <x:c r="B1060" t="str">
        <x:v>USR-00746</x:v>
      </x:c>
      <x:c r="C1060" t="str">
        <x:v>Plus mensual</x:v>
      </x:c>
      <x:c r="D1060" t="n">
        <x:v>46113</x:v>
      </x:c>
      <x:c r="E1060" t="n">
        <x:v>46113</x:v>
      </x:c>
      <x:c r="F1060" t="str">
        <x:v>Finalizada</x:v>
      </x:c>
      <x:c r="G1060" t="str">
        <x:v>Mensual</x:v>
      </x:c>
      <x:c r="H1060" t="n">
        <x:v>1</x:v>
      </x:c>
    </x:row>
    <x:row r="1061">
      <x:c r="A1061" t="str">
        <x:v>SUS-001060</x:v>
      </x:c>
      <x:c r="B1061" t="str">
        <x:v>USR-00747</x:v>
      </x:c>
      <x:c r="C1061" t="str">
        <x:v>Cero</x:v>
      </x:c>
      <x:c r="D1061" t="n">
        <x:v>46113</x:v>
      </x:c>
      <x:c r="E1061" t="n">
        <x:v>46266</x:v>
      </x:c>
      <x:c r="F1061" t="str">
        <x:v>Activa</x:v>
      </x:c>
      <x:c r="G1061" t="str">
        <x:v>Gratuita</x:v>
      </x:c>
      <x:c r="H1061" t="n">
        <x:v>6</x:v>
      </x:c>
    </x:row>
    <x:row r="1062">
      <x:c r="A1062" t="str">
        <x:v>SUS-001061</x:v>
      </x:c>
      <x:c r="B1062" t="str">
        <x:v>USR-00748</x:v>
      </x:c>
      <x:c r="C1062" t="str">
        <x:v>Cero</x:v>
      </x:c>
      <x:c r="D1062" t="n">
        <x:v>46113</x:v>
      </x:c>
      <x:c r="E1062" t="n">
        <x:v>46266</x:v>
      </x:c>
      <x:c r="F1062" t="str">
        <x:v>Activa</x:v>
      </x:c>
      <x:c r="G1062" t="str">
        <x:v>Gratuita</x:v>
      </x:c>
      <x:c r="H1062" t="n">
        <x:v>6</x:v>
      </x:c>
    </x:row>
    <x:row r="1063">
      <x:c r="A1063" t="str">
        <x:v>SUS-001062</x:v>
      </x:c>
      <x:c r="B1063" t="str">
        <x:v>USR-00749</x:v>
      </x:c>
      <x:c r="C1063" t="str">
        <x:v>Cero</x:v>
      </x:c>
      <x:c r="D1063" t="n">
        <x:v>46113</x:v>
      </x:c>
      <x:c r="E1063" t="n">
        <x:v>46235</x:v>
      </x:c>
      <x:c r="F1063" t="str">
        <x:v>Finalizada</x:v>
      </x:c>
      <x:c r="G1063" t="str">
        <x:v>Gratuita</x:v>
      </x:c>
      <x:c r="H1063" t="n">
        <x:v>5</x:v>
      </x:c>
    </x:row>
    <x:row r="1064">
      <x:c r="A1064" t="str">
        <x:v>SUS-001063</x:v>
      </x:c>
      <x:c r="B1064" t="str">
        <x:v>USR-00750</x:v>
      </x:c>
      <x:c r="C1064" t="str">
        <x:v>Cero</x:v>
      </x:c>
      <x:c r="D1064" t="n">
        <x:v>46113</x:v>
      </x:c>
      <x:c r="E1064" t="n">
        <x:v>46266</x:v>
      </x:c>
      <x:c r="F1064" t="str">
        <x:v>Activa</x:v>
      </x:c>
      <x:c r="G1064" t="str">
        <x:v>Gratuita</x:v>
      </x:c>
      <x:c r="H1064" t="n">
        <x:v>6</x:v>
      </x:c>
    </x:row>
    <x:row r="1065">
      <x:c r="A1065" t="str">
        <x:v>SUS-001064</x:v>
      </x:c>
      <x:c r="B1065" t="str">
        <x:v>USR-00751</x:v>
      </x:c>
      <x:c r="C1065" t="str">
        <x:v>Plus mensual</x:v>
      </x:c>
      <x:c r="D1065" t="n">
        <x:v>46113</x:v>
      </x:c>
      <x:c r="E1065" t="n">
        <x:v>46204</x:v>
      </x:c>
      <x:c r="F1065" t="str">
        <x:v>Finalizada</x:v>
      </x:c>
      <x:c r="G1065" t="str">
        <x:v>Mensual</x:v>
      </x:c>
      <x:c r="H1065" t="n">
        <x:v>4</x:v>
      </x:c>
    </x:row>
    <x:row r="1066">
      <x:c r="A1066" t="str">
        <x:v>SUS-001065</x:v>
      </x:c>
      <x:c r="B1066" t="str">
        <x:v>USR-00752</x:v>
      </x:c>
      <x:c r="C1066" t="str">
        <x:v>Cero</x:v>
      </x:c>
      <x:c r="D1066" t="n">
        <x:v>46113</x:v>
      </x:c>
      <x:c r="E1066" t="n">
        <x:v>46266</x:v>
      </x:c>
      <x:c r="F1066" t="str">
        <x:v>Activa</x:v>
      </x:c>
      <x:c r="G1066" t="str">
        <x:v>Gratuita</x:v>
      </x:c>
      <x:c r="H1066" t="n">
        <x:v>6</x:v>
      </x:c>
    </x:row>
    <x:row r="1067">
      <x:c r="A1067" t="str">
        <x:v>SUS-001066</x:v>
      </x:c>
      <x:c r="B1067" t="str">
        <x:v>USR-00753</x:v>
      </x:c>
      <x:c r="C1067" t="str">
        <x:v>Cero</x:v>
      </x:c>
      <x:c r="D1067" t="n">
        <x:v>46113</x:v>
      </x:c>
      <x:c r="E1067" t="n">
        <x:v>46266</x:v>
      </x:c>
      <x:c r="F1067" t="str">
        <x:v>Activa</x:v>
      </x:c>
      <x:c r="G1067" t="str">
        <x:v>Gratuita</x:v>
      </x:c>
      <x:c r="H1067" t="n">
        <x:v>6</x:v>
      </x:c>
    </x:row>
    <x:row r="1068">
      <x:c r="A1068" t="str">
        <x:v>SUS-001067</x:v>
      </x:c>
      <x:c r="B1068" t="str">
        <x:v>USR-00754</x:v>
      </x:c>
      <x:c r="C1068" t="str">
        <x:v>Cero</x:v>
      </x:c>
      <x:c r="D1068" t="n">
        <x:v>46113</x:v>
      </x:c>
      <x:c r="E1068" t="n">
        <x:v>46235</x:v>
      </x:c>
      <x:c r="F1068" t="str">
        <x:v>Finalizada</x:v>
      </x:c>
      <x:c r="G1068" t="str">
        <x:v>Gratuita</x:v>
      </x:c>
      <x:c r="H1068" t="n">
        <x:v>5</x:v>
      </x:c>
    </x:row>
    <x:row r="1069">
      <x:c r="A1069" t="str">
        <x:v>SUS-001068</x:v>
      </x:c>
      <x:c r="B1069" t="str">
        <x:v>USR-00755</x:v>
      </x:c>
      <x:c r="C1069" t="str">
        <x:v>Cero</x:v>
      </x:c>
      <x:c r="D1069" t="n">
        <x:v>46113</x:v>
      </x:c>
      <x:c r="E1069" t="n">
        <x:v>46204</x:v>
      </x:c>
      <x:c r="F1069" t="str">
        <x:v>Finalizada</x:v>
      </x:c>
      <x:c r="G1069" t="str">
        <x:v>Gratuita</x:v>
      </x:c>
      <x:c r="H1069" t="n">
        <x:v>4</x:v>
      </x:c>
    </x:row>
    <x:row r="1070">
      <x:c r="A1070" t="str">
        <x:v>SUS-001069</x:v>
      </x:c>
      <x:c r="B1070" t="str">
        <x:v>USR-00756</x:v>
      </x:c>
      <x:c r="C1070" t="str">
        <x:v>Cero</x:v>
      </x:c>
      <x:c r="D1070" t="n">
        <x:v>46113</x:v>
      </x:c>
      <x:c r="E1070" t="n">
        <x:v>46266</x:v>
      </x:c>
      <x:c r="F1070" t="str">
        <x:v>Activa</x:v>
      </x:c>
      <x:c r="G1070" t="str">
        <x:v>Gratuita</x:v>
      </x:c>
      <x:c r="H1070" t="n">
        <x:v>6</x:v>
      </x:c>
    </x:row>
    <x:row r="1071">
      <x:c r="A1071" t="str">
        <x:v>SUS-001070</x:v>
      </x:c>
      <x:c r="B1071" t="str">
        <x:v>USR-00757</x:v>
      </x:c>
      <x:c r="C1071" t="str">
        <x:v>Cero</x:v>
      </x:c>
      <x:c r="D1071" t="n">
        <x:v>46113</x:v>
      </x:c>
      <x:c r="E1071" t="n">
        <x:v>46174</x:v>
      </x:c>
      <x:c r="F1071" t="str">
        <x:v>Finalizada</x:v>
      </x:c>
      <x:c r="G1071" t="str">
        <x:v>Gratuita</x:v>
      </x:c>
      <x:c r="H1071" t="n">
        <x:v>3</x:v>
      </x:c>
    </x:row>
    <x:row r="1072">
      <x:c r="A1072" t="str">
        <x:v>SUS-001071</x:v>
      </x:c>
      <x:c r="B1072" t="str">
        <x:v>USR-00758</x:v>
      </x:c>
      <x:c r="C1072" t="str">
        <x:v>Cero</x:v>
      </x:c>
      <x:c r="D1072" t="n">
        <x:v>46113</x:v>
      </x:c>
      <x:c r="E1072" t="n">
        <x:v>46266</x:v>
      </x:c>
      <x:c r="F1072" t="str">
        <x:v>Activa</x:v>
      </x:c>
      <x:c r="G1072" t="str">
        <x:v>Gratuita</x:v>
      </x:c>
      <x:c r="H1072" t="n">
        <x:v>6</x:v>
      </x:c>
    </x:row>
    <x:row r="1073">
      <x:c r="A1073" t="str">
        <x:v>SUS-001072</x:v>
      </x:c>
      <x:c r="B1073" t="str">
        <x:v>USR-00759</x:v>
      </x:c>
      <x:c r="C1073" t="str">
        <x:v>Cero</x:v>
      </x:c>
      <x:c r="D1073" t="n">
        <x:v>46113</x:v>
      </x:c>
      <x:c r="E1073" t="n">
        <x:v>46266</x:v>
      </x:c>
      <x:c r="F1073" t="str">
        <x:v>Activa</x:v>
      </x:c>
      <x:c r="G1073" t="str">
        <x:v>Gratuita</x:v>
      </x:c>
      <x:c r="H1073" t="n">
        <x:v>6</x:v>
      </x:c>
    </x:row>
    <x:row r="1074">
      <x:c r="A1074" t="str">
        <x:v>SUS-001073</x:v>
      </x:c>
      <x:c r="B1074" t="str">
        <x:v>USR-00760</x:v>
      </x:c>
      <x:c r="C1074" t="str">
        <x:v>Cero</x:v>
      </x:c>
      <x:c r="D1074" t="n">
        <x:v>46113</x:v>
      </x:c>
      <x:c r="E1074" t="n">
        <x:v>46143</x:v>
      </x:c>
      <x:c r="F1074" t="str">
        <x:v>Finalizada</x:v>
      </x:c>
      <x:c r="G1074" t="str">
        <x:v>Gratuita</x:v>
      </x:c>
      <x:c r="H1074" t="n">
        <x:v>2</x:v>
      </x:c>
    </x:row>
    <x:row r="1075">
      <x:c r="A1075" t="str">
        <x:v>SUS-001074</x:v>
      </x:c>
      <x:c r="B1075" t="str">
        <x:v>USR-00761</x:v>
      </x:c>
      <x:c r="C1075" t="str">
        <x:v>Cero</x:v>
      </x:c>
      <x:c r="D1075" t="n">
        <x:v>46113</x:v>
      </x:c>
      <x:c r="E1075" t="n">
        <x:v>46266</x:v>
      </x:c>
      <x:c r="F1075" t="str">
        <x:v>Activa</x:v>
      </x:c>
      <x:c r="G1075" t="str">
        <x:v>Gratuita</x:v>
      </x:c>
      <x:c r="H1075" t="n">
        <x:v>6</x:v>
      </x:c>
    </x:row>
    <x:row r="1076">
      <x:c r="A1076" t="str">
        <x:v>SUS-001075</x:v>
      </x:c>
      <x:c r="B1076" t="str">
        <x:v>USR-00762</x:v>
      </x:c>
      <x:c r="C1076" t="str">
        <x:v>Cero</x:v>
      </x:c>
      <x:c r="D1076" t="n">
        <x:v>46113</x:v>
      </x:c>
      <x:c r="E1076" t="n">
        <x:v>46266</x:v>
      </x:c>
      <x:c r="F1076" t="str">
        <x:v>Activa</x:v>
      </x:c>
      <x:c r="G1076" t="str">
        <x:v>Gratuita</x:v>
      </x:c>
      <x:c r="H1076" t="n">
        <x:v>6</x:v>
      </x:c>
    </x:row>
    <x:row r="1077">
      <x:c r="A1077" t="str">
        <x:v>SUS-001076</x:v>
      </x:c>
      <x:c r="B1077" t="str">
        <x:v>USR-00763</x:v>
      </x:c>
      <x:c r="C1077" t="str">
        <x:v>Cero</x:v>
      </x:c>
      <x:c r="D1077" t="n">
        <x:v>46113</x:v>
      </x:c>
      <x:c r="E1077" t="n">
        <x:v>46266</x:v>
      </x:c>
      <x:c r="F1077" t="str">
        <x:v>Activa</x:v>
      </x:c>
      <x:c r="G1077" t="str">
        <x:v>Gratuita</x:v>
      </x:c>
      <x:c r="H1077" t="n">
        <x:v>6</x:v>
      </x:c>
    </x:row>
    <x:row r="1078">
      <x:c r="A1078" t="str">
        <x:v>SUS-001077</x:v>
      </x:c>
      <x:c r="B1078" t="str">
        <x:v>USR-00764</x:v>
      </x:c>
      <x:c r="C1078" t="str">
        <x:v>Cero</x:v>
      </x:c>
      <x:c r="D1078" t="n">
        <x:v>46113</x:v>
      </x:c>
      <x:c r="E1078" t="n">
        <x:v>46266</x:v>
      </x:c>
      <x:c r="F1078" t="str">
        <x:v>Activa</x:v>
      </x:c>
      <x:c r="G1078" t="str">
        <x:v>Gratuita</x:v>
      </x:c>
      <x:c r="H1078" t="n">
        <x:v>6</x:v>
      </x:c>
    </x:row>
    <x:row r="1079">
      <x:c r="A1079" t="str">
        <x:v>SUS-001078</x:v>
      </x:c>
      <x:c r="B1079" t="str">
        <x:v>USR-00765</x:v>
      </x:c>
      <x:c r="C1079" t="str">
        <x:v>Cero</x:v>
      </x:c>
      <x:c r="D1079" t="n">
        <x:v>46113</x:v>
      </x:c>
      <x:c r="E1079" t="n">
        <x:v>46266</x:v>
      </x:c>
      <x:c r="F1079" t="str">
        <x:v>Activa</x:v>
      </x:c>
      <x:c r="G1079" t="str">
        <x:v>Gratuita</x:v>
      </x:c>
      <x:c r="H1079" t="n">
        <x:v>6</x:v>
      </x:c>
    </x:row>
    <x:row r="1080">
      <x:c r="A1080" t="str">
        <x:v>SUS-001079</x:v>
      </x:c>
      <x:c r="B1080" t="str">
        <x:v>USR-00766</x:v>
      </x:c>
      <x:c r="C1080" t="str">
        <x:v>Cero</x:v>
      </x:c>
      <x:c r="D1080" t="n">
        <x:v>46113</x:v>
      </x:c>
      <x:c r="E1080" t="n">
        <x:v>46266</x:v>
      </x:c>
      <x:c r="F1080" t="str">
        <x:v>Activa</x:v>
      </x:c>
      <x:c r="G1080" t="str">
        <x:v>Gratuita</x:v>
      </x:c>
      <x:c r="H1080" t="n">
        <x:v>6</x:v>
      </x:c>
    </x:row>
    <x:row r="1081">
      <x:c r="A1081" t="str">
        <x:v>SUS-001080</x:v>
      </x:c>
      <x:c r="B1081" t="str">
        <x:v>USR-00767</x:v>
      </x:c>
      <x:c r="C1081" t="str">
        <x:v>Plus mensual</x:v>
      </x:c>
      <x:c r="D1081" t="n">
        <x:v>46113</x:v>
      </x:c>
      <x:c r="E1081" t="n">
        <x:v>46266</x:v>
      </x:c>
      <x:c r="F1081" t="str">
        <x:v>Activa</x:v>
      </x:c>
      <x:c r="G1081" t="str">
        <x:v>Mensual</x:v>
      </x:c>
      <x:c r="H1081" t="n">
        <x:v>6</x:v>
      </x:c>
    </x:row>
    <x:row r="1082">
      <x:c r="A1082" t="str">
        <x:v>SUS-001081</x:v>
      </x:c>
      <x:c r="B1082" t="str">
        <x:v>USR-00768</x:v>
      </x:c>
      <x:c r="C1082" t="str">
        <x:v>Plus mensual</x:v>
      </x:c>
      <x:c r="D1082" t="n">
        <x:v>46113</x:v>
      </x:c>
      <x:c r="E1082" t="n">
        <x:v>46266</x:v>
      </x:c>
      <x:c r="F1082" t="str">
        <x:v>Activa</x:v>
      </x:c>
      <x:c r="G1082" t="str">
        <x:v>Mensual</x:v>
      </x:c>
      <x:c r="H1082" t="n">
        <x:v>6</x:v>
      </x:c>
    </x:row>
    <x:row r="1083">
      <x:c r="A1083" t="str">
        <x:v>SUS-001082</x:v>
      </x:c>
      <x:c r="B1083" t="str">
        <x:v>USR-00769</x:v>
      </x:c>
      <x:c r="C1083" t="str">
        <x:v>Cero</x:v>
      </x:c>
      <x:c r="D1083" t="n">
        <x:v>46113</x:v>
      </x:c>
      <x:c r="E1083" t="n">
        <x:v>46204</x:v>
      </x:c>
      <x:c r="F1083" t="str">
        <x:v>Finalizada</x:v>
      </x:c>
      <x:c r="G1083" t="str">
        <x:v>Gratuita</x:v>
      </x:c>
      <x:c r="H1083" t="n">
        <x:v>4</x:v>
      </x:c>
    </x:row>
    <x:row r="1084">
      <x:c r="A1084" t="str">
        <x:v>SUS-001083</x:v>
      </x:c>
      <x:c r="B1084" t="str">
        <x:v>USR-00770</x:v>
      </x:c>
      <x:c r="C1084" t="str">
        <x:v>Cero</x:v>
      </x:c>
      <x:c r="D1084" t="n">
        <x:v>46113</x:v>
      </x:c>
      <x:c r="E1084" t="n">
        <x:v>46266</x:v>
      </x:c>
      <x:c r="F1084" t="str">
        <x:v>Activa</x:v>
      </x:c>
      <x:c r="G1084" t="str">
        <x:v>Gratuita</x:v>
      </x:c>
      <x:c r="H1084" t="n">
        <x:v>6</x:v>
      </x:c>
    </x:row>
    <x:row r="1085">
      <x:c r="A1085" t="str">
        <x:v>SUS-001084</x:v>
      </x:c>
      <x:c r="B1085" t="str">
        <x:v>USR-00771</x:v>
      </x:c>
      <x:c r="C1085" t="str">
        <x:v>Cero</x:v>
      </x:c>
      <x:c r="D1085" t="n">
        <x:v>46113</x:v>
      </x:c>
      <x:c r="E1085" t="n">
        <x:v>46266</x:v>
      </x:c>
      <x:c r="F1085" t="str">
        <x:v>Activa</x:v>
      </x:c>
      <x:c r="G1085" t="str">
        <x:v>Gratuita</x:v>
      </x:c>
      <x:c r="H1085" t="n">
        <x:v>6</x:v>
      </x:c>
    </x:row>
    <x:row r="1086">
      <x:c r="A1086" t="str">
        <x:v>SUS-001085</x:v>
      </x:c>
      <x:c r="B1086" t="str">
        <x:v>USR-00772</x:v>
      </x:c>
      <x:c r="C1086" t="str">
        <x:v>Cero</x:v>
      </x:c>
      <x:c r="D1086" t="n">
        <x:v>46113</x:v>
      </x:c>
      <x:c r="E1086" t="n">
        <x:v>46266</x:v>
      </x:c>
      <x:c r="F1086" t="str">
        <x:v>Activa</x:v>
      </x:c>
      <x:c r="G1086" t="str">
        <x:v>Gratuita</x:v>
      </x:c>
      <x:c r="H1086" t="n">
        <x:v>6</x:v>
      </x:c>
    </x:row>
    <x:row r="1087">
      <x:c r="A1087" t="str">
        <x:v>SUS-001086</x:v>
      </x:c>
      <x:c r="B1087" t="str">
        <x:v>USR-00773</x:v>
      </x:c>
      <x:c r="C1087" t="str">
        <x:v>Plus anual</x:v>
      </x:c>
      <x:c r="D1087" t="n">
        <x:v>46113</x:v>
      </x:c>
      <x:c r="E1087" t="n">
        <x:v>46266</x:v>
      </x:c>
      <x:c r="F1087" t="str">
        <x:v>Activa</x:v>
      </x:c>
      <x:c r="G1087" t="str">
        <x:v>Anual</x:v>
      </x:c>
      <x:c r="H1087" t="n">
        <x:v>6</x:v>
      </x:c>
    </x:row>
    <x:row r="1088">
      <x:c r="A1088" t="str">
        <x:v>SUS-001087</x:v>
      </x:c>
      <x:c r="B1088" t="str">
        <x:v>USR-00774</x:v>
      </x:c>
      <x:c r="C1088" t="str">
        <x:v>Cero</x:v>
      </x:c>
      <x:c r="D1088" t="n">
        <x:v>46113</x:v>
      </x:c>
      <x:c r="E1088" t="n">
        <x:v>46266</x:v>
      </x:c>
      <x:c r="F1088" t="str">
        <x:v>Activa</x:v>
      </x:c>
      <x:c r="G1088" t="str">
        <x:v>Gratuita</x:v>
      </x:c>
      <x:c r="H1088" t="n">
        <x:v>6</x:v>
      </x:c>
    </x:row>
    <x:row r="1089">
      <x:c r="A1089" t="str">
        <x:v>SUS-001088</x:v>
      </x:c>
      <x:c r="B1089" t="str">
        <x:v>USR-00775</x:v>
      </x:c>
      <x:c r="C1089" t="str">
        <x:v>Plus mensual</x:v>
      </x:c>
      <x:c r="D1089" t="n">
        <x:v>46113</x:v>
      </x:c>
      <x:c r="E1089" t="n">
        <x:v>46266</x:v>
      </x:c>
      <x:c r="F1089" t="str">
        <x:v>Activa</x:v>
      </x:c>
      <x:c r="G1089" t="str">
        <x:v>Mensual</x:v>
      </x:c>
      <x:c r="H1089" t="n">
        <x:v>6</x:v>
      </x:c>
    </x:row>
    <x:row r="1090">
      <x:c r="A1090" t="str">
        <x:v>SUS-001089</x:v>
      </x:c>
      <x:c r="B1090" t="str">
        <x:v>USR-00776</x:v>
      </x:c>
      <x:c r="C1090" t="str">
        <x:v>Cero</x:v>
      </x:c>
      <x:c r="D1090" t="n">
        <x:v>46113</x:v>
      </x:c>
      <x:c r="E1090" t="n">
        <x:v>46174</x:v>
      </x:c>
      <x:c r="F1090" t="str">
        <x:v>Finalizada</x:v>
      </x:c>
      <x:c r="G1090" t="str">
        <x:v>Gratuita</x:v>
      </x:c>
      <x:c r="H1090" t="n">
        <x:v>3</x:v>
      </x:c>
    </x:row>
    <x:row r="1091">
      <x:c r="A1091" t="str">
        <x:v>SUS-001090</x:v>
      </x:c>
      <x:c r="B1091" t="str">
        <x:v>USR-00777</x:v>
      </x:c>
      <x:c r="C1091" t="str">
        <x:v>Plus mensual</x:v>
      </x:c>
      <x:c r="D1091" t="n">
        <x:v>46113</x:v>
      </x:c>
      <x:c r="E1091" t="n">
        <x:v>46113</x:v>
      </x:c>
      <x:c r="F1091" t="str">
        <x:v>Finalizada</x:v>
      </x:c>
      <x:c r="G1091" t="str">
        <x:v>Mensual</x:v>
      </x:c>
      <x:c r="H1091" t="n">
        <x:v>1</x:v>
      </x:c>
    </x:row>
    <x:row r="1092">
      <x:c r="A1092" t="str">
        <x:v>SUS-001091</x:v>
      </x:c>
      <x:c r="B1092" t="str">
        <x:v>USR-00778</x:v>
      </x:c>
      <x:c r="C1092" t="str">
        <x:v>Cero</x:v>
      </x:c>
      <x:c r="D1092" t="n">
        <x:v>46113</x:v>
      </x:c>
      <x:c r="E1092" t="n">
        <x:v>46113</x:v>
      </x:c>
      <x:c r="F1092" t="str">
        <x:v>Finalizada</x:v>
      </x:c>
      <x:c r="G1092" t="str">
        <x:v>Gratuita</x:v>
      </x:c>
      <x:c r="H1092" t="n">
        <x:v>1</x:v>
      </x:c>
    </x:row>
    <x:row r="1093">
      <x:c r="A1093" t="str">
        <x:v>SUS-001092</x:v>
      </x:c>
      <x:c r="B1093" t="str">
        <x:v>USR-00779</x:v>
      </x:c>
      <x:c r="C1093" t="str">
        <x:v>Cero</x:v>
      </x:c>
      <x:c r="D1093" t="n">
        <x:v>46113</x:v>
      </x:c>
      <x:c r="E1093" t="n">
        <x:v>46266</x:v>
      </x:c>
      <x:c r="F1093" t="str">
        <x:v>Activa</x:v>
      </x:c>
      <x:c r="G1093" t="str">
        <x:v>Gratuita</x:v>
      </x:c>
      <x:c r="H1093" t="n">
        <x:v>6</x:v>
      </x:c>
    </x:row>
    <x:row r="1094">
      <x:c r="A1094" t="str">
        <x:v>SUS-001093</x:v>
      </x:c>
      <x:c r="B1094" t="str">
        <x:v>USR-00780</x:v>
      </x:c>
      <x:c r="C1094" t="str">
        <x:v>Cero</x:v>
      </x:c>
      <x:c r="D1094" t="n">
        <x:v>46113</x:v>
      </x:c>
      <x:c r="E1094" t="n">
        <x:v>46266</x:v>
      </x:c>
      <x:c r="F1094" t="str">
        <x:v>Activa</x:v>
      </x:c>
      <x:c r="G1094" t="str">
        <x:v>Gratuita</x:v>
      </x:c>
      <x:c r="H1094" t="n">
        <x:v>6</x:v>
      </x:c>
    </x:row>
    <x:row r="1095">
      <x:c r="A1095" t="str">
        <x:v>SUS-001094</x:v>
      </x:c>
      <x:c r="B1095" t="str">
        <x:v>USR-00781</x:v>
      </x:c>
      <x:c r="C1095" t="str">
        <x:v>Cero</x:v>
      </x:c>
      <x:c r="D1095" t="n">
        <x:v>46113</x:v>
      </x:c>
      <x:c r="E1095" t="n">
        <x:v>46266</x:v>
      </x:c>
      <x:c r="F1095" t="str">
        <x:v>Activa</x:v>
      </x:c>
      <x:c r="G1095" t="str">
        <x:v>Gratuita</x:v>
      </x:c>
      <x:c r="H1095" t="n">
        <x:v>6</x:v>
      </x:c>
    </x:row>
    <x:row r="1096">
      <x:c r="A1096" t="str">
        <x:v>SUS-001095</x:v>
      </x:c>
      <x:c r="B1096" t="str">
        <x:v>USR-00782</x:v>
      </x:c>
      <x:c r="C1096" t="str">
        <x:v>Plus mensual</x:v>
      </x:c>
      <x:c r="D1096" t="n">
        <x:v>46113</x:v>
      </x:c>
      <x:c r="E1096" t="n">
        <x:v>46113</x:v>
      </x:c>
      <x:c r="F1096" t="str">
        <x:v>Finalizada</x:v>
      </x:c>
      <x:c r="G1096" t="str">
        <x:v>Mensual</x:v>
      </x:c>
      <x:c r="H1096" t="n">
        <x:v>1</x:v>
      </x:c>
    </x:row>
    <x:row r="1097">
      <x:c r="A1097" t="str">
        <x:v>SUS-001096</x:v>
      </x:c>
      <x:c r="B1097" t="str">
        <x:v>USR-00783</x:v>
      </x:c>
      <x:c r="C1097" t="str">
        <x:v>Plus mensual</x:v>
      </x:c>
      <x:c r="D1097" t="n">
        <x:v>46113</x:v>
      </x:c>
      <x:c r="E1097" t="n">
        <x:v>46266</x:v>
      </x:c>
      <x:c r="F1097" t="str">
        <x:v>Activa</x:v>
      </x:c>
      <x:c r="G1097" t="str">
        <x:v>Mensual</x:v>
      </x:c>
      <x:c r="H1097" t="n">
        <x:v>6</x:v>
      </x:c>
    </x:row>
    <x:row r="1098">
      <x:c r="A1098" t="str">
        <x:v>SUS-001097</x:v>
      </x:c>
      <x:c r="B1098" t="str">
        <x:v>USR-00784</x:v>
      </x:c>
      <x:c r="C1098" t="str">
        <x:v>Cero</x:v>
      </x:c>
      <x:c r="D1098" t="n">
        <x:v>46113</x:v>
      </x:c>
      <x:c r="E1098" t="n">
        <x:v>46266</x:v>
      </x:c>
      <x:c r="F1098" t="str">
        <x:v>Activa</x:v>
      </x:c>
      <x:c r="G1098" t="str">
        <x:v>Gratuita</x:v>
      </x:c>
      <x:c r="H1098" t="n">
        <x:v>6</x:v>
      </x:c>
    </x:row>
    <x:row r="1099">
      <x:c r="A1099" t="str">
        <x:v>SUS-001098</x:v>
      </x:c>
      <x:c r="B1099" t="str">
        <x:v>USR-00785</x:v>
      </x:c>
      <x:c r="C1099" t="str">
        <x:v>Plus mensual</x:v>
      </x:c>
      <x:c r="D1099" t="n">
        <x:v>46113</x:v>
      </x:c>
      <x:c r="E1099" t="n">
        <x:v>46204</x:v>
      </x:c>
      <x:c r="F1099" t="str">
        <x:v>Finalizada</x:v>
      </x:c>
      <x:c r="G1099" t="str">
        <x:v>Mensual</x:v>
      </x:c>
      <x:c r="H1099" t="n">
        <x:v>4</x:v>
      </x:c>
    </x:row>
    <x:row r="1100">
      <x:c r="A1100" t="str">
        <x:v>SUS-001099</x:v>
      </x:c>
      <x:c r="B1100" t="str">
        <x:v>USR-00002</x:v>
      </x:c>
      <x:c r="C1100" t="str">
        <x:v>Plus anual</x:v>
      </x:c>
      <x:c r="D1100" t="n">
        <x:v>46143</x:v>
      </x:c>
      <x:c r="E1100" t="n">
        <x:v>46266</x:v>
      </x:c>
      <x:c r="F1100" t="str">
        <x:v>Activa</x:v>
      </x:c>
      <x:c r="G1100" t="str">
        <x:v>Anual</x:v>
      </x:c>
      <x:c r="H1100" t="n">
        <x:v>5</x:v>
      </x:c>
    </x:row>
    <x:row r="1101">
      <x:c r="A1101" t="str">
        <x:v>SUS-001100</x:v>
      </x:c>
      <x:c r="B1101" t="str">
        <x:v>USR-00015</x:v>
      </x:c>
      <x:c r="C1101" t="str">
        <x:v>Plus mensual</x:v>
      </x:c>
      <x:c r="D1101" t="n">
        <x:v>46143</x:v>
      </x:c>
      <x:c r="E1101" t="n">
        <x:v>46266</x:v>
      </x:c>
      <x:c r="F1101" t="str">
        <x:v>Activa</x:v>
      </x:c>
      <x:c r="G1101" t="str">
        <x:v>Mensual</x:v>
      </x:c>
      <x:c r="H1101" t="n">
        <x:v>5</x:v>
      </x:c>
    </x:row>
    <x:row r="1102">
      <x:c r="A1102" t="str">
        <x:v>SUS-001101</x:v>
      </x:c>
      <x:c r="B1102" t="str">
        <x:v>USR-00048</x:v>
      </x:c>
      <x:c r="C1102" t="str">
        <x:v>Cero</x:v>
      </x:c>
      <x:c r="D1102" t="n">
        <x:v>46143</x:v>
      </x:c>
      <x:c r="E1102" t="n">
        <x:v>46266</x:v>
      </x:c>
      <x:c r="F1102" t="str">
        <x:v>Activa</x:v>
      </x:c>
      <x:c r="G1102" t="str">
        <x:v>Gratuita</x:v>
      </x:c>
      <x:c r="H1102" t="n">
        <x:v>5</x:v>
      </x:c>
    </x:row>
    <x:row r="1103">
      <x:c r="A1103" t="str">
        <x:v>SUS-001102</x:v>
      </x:c>
      <x:c r="B1103" t="str">
        <x:v>USR-00055</x:v>
      </x:c>
      <x:c r="C1103" t="str">
        <x:v>Plus mensual</x:v>
      </x:c>
      <x:c r="D1103" t="n">
        <x:v>46143</x:v>
      </x:c>
      <x:c r="E1103" t="n">
        <x:v>46266</x:v>
      </x:c>
      <x:c r="F1103" t="str">
        <x:v>Activa</x:v>
      </x:c>
      <x:c r="G1103" t="str">
        <x:v>Mensual</x:v>
      </x:c>
      <x:c r="H1103" t="n">
        <x:v>5</x:v>
      </x:c>
    </x:row>
    <x:row r="1104">
      <x:c r="A1104" t="str">
        <x:v>SUS-001103</x:v>
      </x:c>
      <x:c r="B1104" t="str">
        <x:v>USR-00057</x:v>
      </x:c>
      <x:c r="C1104" t="str">
        <x:v>Plus anual</x:v>
      </x:c>
      <x:c r="D1104" t="n">
        <x:v>46143</x:v>
      </x:c>
      <x:c r="E1104" t="n">
        <x:v>46266</x:v>
      </x:c>
      <x:c r="F1104" t="str">
        <x:v>Activa</x:v>
      </x:c>
      <x:c r="G1104" t="str">
        <x:v>Anual</x:v>
      </x:c>
      <x:c r="H1104" t="n">
        <x:v>5</x:v>
      </x:c>
    </x:row>
    <x:row r="1105">
      <x:c r="A1105" t="str">
        <x:v>SUS-001104</x:v>
      </x:c>
      <x:c r="B1105" t="str">
        <x:v>USR-00067</x:v>
      </x:c>
      <x:c r="C1105" t="str">
        <x:v>Plus mensual</x:v>
      </x:c>
      <x:c r="D1105" t="n">
        <x:v>46143</x:v>
      </x:c>
      <x:c r="E1105" t="n">
        <x:v>46235</x:v>
      </x:c>
      <x:c r="F1105" t="str">
        <x:v>Finalizada</x:v>
      </x:c>
      <x:c r="G1105" t="str">
        <x:v>Mensual</x:v>
      </x:c>
      <x:c r="H1105" t="n">
        <x:v>4</x:v>
      </x:c>
    </x:row>
    <x:row r="1106">
      <x:c r="A1106" t="str">
        <x:v>SUS-001105</x:v>
      </x:c>
      <x:c r="B1106" t="str">
        <x:v>USR-00070</x:v>
      </x:c>
      <x:c r="C1106" t="str">
        <x:v>Cero</x:v>
      </x:c>
      <x:c r="D1106" t="n">
        <x:v>46143</x:v>
      </x:c>
      <x:c r="E1106" t="n">
        <x:v>46174</x:v>
      </x:c>
      <x:c r="F1106" t="str">
        <x:v>Finalizada</x:v>
      </x:c>
      <x:c r="G1106" t="str">
        <x:v>Gratuita</x:v>
      </x:c>
      <x:c r="H1106" t="n">
        <x:v>2</x:v>
      </x:c>
    </x:row>
    <x:row r="1107">
      <x:c r="A1107" t="str">
        <x:v>SUS-001106</x:v>
      </x:c>
      <x:c r="B1107" t="str">
        <x:v>USR-00071</x:v>
      </x:c>
      <x:c r="C1107" t="str">
        <x:v>Cero</x:v>
      </x:c>
      <x:c r="D1107" t="n">
        <x:v>46143</x:v>
      </x:c>
      <x:c r="E1107" t="n">
        <x:v>46143</x:v>
      </x:c>
      <x:c r="F1107" t="str">
        <x:v>Finalizada</x:v>
      </x:c>
      <x:c r="G1107" t="str">
        <x:v>Gratuita</x:v>
      </x:c>
      <x:c r="H1107" t="n">
        <x:v>1</x:v>
      </x:c>
    </x:row>
    <x:row r="1108">
      <x:c r="A1108" t="str">
        <x:v>SUS-001107</x:v>
      </x:c>
      <x:c r="B1108" t="str">
        <x:v>USR-00083</x:v>
      </x:c>
      <x:c r="C1108" t="str">
        <x:v>Cero</x:v>
      </x:c>
      <x:c r="D1108" t="n">
        <x:v>46143</x:v>
      </x:c>
      <x:c r="E1108" t="n">
        <x:v>46266</x:v>
      </x:c>
      <x:c r="F1108" t="str">
        <x:v>Activa</x:v>
      </x:c>
      <x:c r="G1108" t="str">
        <x:v>Gratuita</x:v>
      </x:c>
      <x:c r="H1108" t="n">
        <x:v>5</x:v>
      </x:c>
    </x:row>
    <x:row r="1109">
      <x:c r="A1109" t="str">
        <x:v>SUS-001108</x:v>
      </x:c>
      <x:c r="B1109" t="str">
        <x:v>USR-00108</x:v>
      </x:c>
      <x:c r="C1109" t="str">
        <x:v>Plus mensual</x:v>
      </x:c>
      <x:c r="D1109" t="n">
        <x:v>46143</x:v>
      </x:c>
      <x:c r="E1109" t="n">
        <x:v>46204</x:v>
      </x:c>
      <x:c r="F1109" t="str">
        <x:v>Finalizada</x:v>
      </x:c>
      <x:c r="G1109" t="str">
        <x:v>Mensual</x:v>
      </x:c>
      <x:c r="H1109" t="n">
        <x:v>3</x:v>
      </x:c>
    </x:row>
    <x:row r="1110">
      <x:c r="A1110" t="str">
        <x:v>SUS-001109</x:v>
      </x:c>
      <x:c r="B1110" t="str">
        <x:v>USR-00116</x:v>
      </x:c>
      <x:c r="C1110" t="str">
        <x:v>Plus anual</x:v>
      </x:c>
      <x:c r="D1110" t="n">
        <x:v>46143</x:v>
      </x:c>
      <x:c r="E1110" t="n">
        <x:v>46266</x:v>
      </x:c>
      <x:c r="F1110" t="str">
        <x:v>Activa</x:v>
      </x:c>
      <x:c r="G1110" t="str">
        <x:v>Anual</x:v>
      </x:c>
      <x:c r="H1110" t="n">
        <x:v>5</x:v>
      </x:c>
    </x:row>
    <x:row r="1111">
      <x:c r="A1111" t="str">
        <x:v>SUS-001110</x:v>
      </x:c>
      <x:c r="B1111" t="str">
        <x:v>USR-00132</x:v>
      </x:c>
      <x:c r="C1111" t="str">
        <x:v>Plus anual</x:v>
      </x:c>
      <x:c r="D1111" t="n">
        <x:v>46143</x:v>
      </x:c>
      <x:c r="E1111" t="n">
        <x:v>46266</x:v>
      </x:c>
      <x:c r="F1111" t="str">
        <x:v>Activa</x:v>
      </x:c>
      <x:c r="G1111" t="str">
        <x:v>Anual</x:v>
      </x:c>
      <x:c r="H1111" t="n">
        <x:v>5</x:v>
      </x:c>
    </x:row>
    <x:row r="1112">
      <x:c r="A1112" t="str">
        <x:v>SUS-001111</x:v>
      </x:c>
      <x:c r="B1112" t="str">
        <x:v>USR-00158</x:v>
      </x:c>
      <x:c r="C1112" t="str">
        <x:v>Plus mensual</x:v>
      </x:c>
      <x:c r="D1112" t="n">
        <x:v>46143</x:v>
      </x:c>
      <x:c r="E1112" t="n">
        <x:v>46174</x:v>
      </x:c>
      <x:c r="F1112" t="str">
        <x:v>Finalizada</x:v>
      </x:c>
      <x:c r="G1112" t="str">
        <x:v>Mensual</x:v>
      </x:c>
      <x:c r="H1112" t="n">
        <x:v>2</x:v>
      </x:c>
    </x:row>
    <x:row r="1113">
      <x:c r="A1113" t="str">
        <x:v>SUS-001112</x:v>
      </x:c>
      <x:c r="B1113" t="str">
        <x:v>USR-00165</x:v>
      </x:c>
      <x:c r="C1113" t="str">
        <x:v>Plus anual</x:v>
      </x:c>
      <x:c r="D1113" t="n">
        <x:v>46143</x:v>
      </x:c>
      <x:c r="E1113" t="n">
        <x:v>46266</x:v>
      </x:c>
      <x:c r="F1113" t="str">
        <x:v>Activa</x:v>
      </x:c>
      <x:c r="G1113" t="str">
        <x:v>Anual</x:v>
      </x:c>
      <x:c r="H1113" t="n">
        <x:v>5</x:v>
      </x:c>
    </x:row>
    <x:row r="1114">
      <x:c r="A1114" t="str">
        <x:v>SUS-001113</x:v>
      </x:c>
      <x:c r="B1114" t="str">
        <x:v>USR-00225</x:v>
      </x:c>
      <x:c r="C1114" t="str">
        <x:v>Plus mensual</x:v>
      </x:c>
      <x:c r="D1114" t="n">
        <x:v>46143</x:v>
      </x:c>
      <x:c r="E1114" t="n">
        <x:v>46235</x:v>
      </x:c>
      <x:c r="F1114" t="str">
        <x:v>Finalizada</x:v>
      </x:c>
      <x:c r="G1114" t="str">
        <x:v>Mensual</x:v>
      </x:c>
      <x:c r="H1114" t="n">
        <x:v>4</x:v>
      </x:c>
    </x:row>
    <x:row r="1115">
      <x:c r="A1115" t="str">
        <x:v>SUS-001114</x:v>
      </x:c>
      <x:c r="B1115" t="str">
        <x:v>USR-00237</x:v>
      </x:c>
      <x:c r="C1115" t="str">
        <x:v>Plus mensual</x:v>
      </x:c>
      <x:c r="D1115" t="n">
        <x:v>46143</x:v>
      </x:c>
      <x:c r="E1115" t="n">
        <x:v>46266</x:v>
      </x:c>
      <x:c r="F1115" t="str">
        <x:v>Activa</x:v>
      </x:c>
      <x:c r="G1115" t="str">
        <x:v>Mensual</x:v>
      </x:c>
      <x:c r="H1115" t="n">
        <x:v>5</x:v>
      </x:c>
    </x:row>
    <x:row r="1116">
      <x:c r="A1116" t="str">
        <x:v>SUS-001115</x:v>
      </x:c>
      <x:c r="B1116" t="str">
        <x:v>USR-00261</x:v>
      </x:c>
      <x:c r="C1116" t="str">
        <x:v>Plus anual</x:v>
      </x:c>
      <x:c r="D1116" t="n">
        <x:v>46143</x:v>
      </x:c>
      <x:c r="E1116" t="n">
        <x:v>46266</x:v>
      </x:c>
      <x:c r="F1116" t="str">
        <x:v>Activa</x:v>
      </x:c>
      <x:c r="G1116" t="str">
        <x:v>Anual</x:v>
      </x:c>
      <x:c r="H1116" t="n">
        <x:v>5</x:v>
      </x:c>
    </x:row>
    <x:row r="1117">
      <x:c r="A1117" t="str">
        <x:v>SUS-001116</x:v>
      </x:c>
      <x:c r="B1117" t="str">
        <x:v>USR-00282</x:v>
      </x:c>
      <x:c r="C1117" t="str">
        <x:v>Plus anual</x:v>
      </x:c>
      <x:c r="D1117" t="n">
        <x:v>46143</x:v>
      </x:c>
      <x:c r="E1117" t="n">
        <x:v>46266</x:v>
      </x:c>
      <x:c r="F1117" t="str">
        <x:v>Activa</x:v>
      </x:c>
      <x:c r="G1117" t="str">
        <x:v>Anual</x:v>
      </x:c>
      <x:c r="H1117" t="n">
        <x:v>5</x:v>
      </x:c>
    </x:row>
    <x:row r="1118">
      <x:c r="A1118" t="str">
        <x:v>SUS-001117</x:v>
      </x:c>
      <x:c r="B1118" t="str">
        <x:v>USR-00290</x:v>
      </x:c>
      <x:c r="C1118" t="str">
        <x:v>Plus mensual</x:v>
      </x:c>
      <x:c r="D1118" t="n">
        <x:v>46143</x:v>
      </x:c>
      <x:c r="E1118" t="n">
        <x:v>46266</x:v>
      </x:c>
      <x:c r="F1118" t="str">
        <x:v>Activa</x:v>
      </x:c>
      <x:c r="G1118" t="str">
        <x:v>Mensual</x:v>
      </x:c>
      <x:c r="H1118" t="n">
        <x:v>5</x:v>
      </x:c>
    </x:row>
    <x:row r="1119">
      <x:c r="A1119" t="str">
        <x:v>SUS-001118</x:v>
      </x:c>
      <x:c r="B1119" t="str">
        <x:v>USR-00297</x:v>
      </x:c>
      <x:c r="C1119" t="str">
        <x:v>Plus anual</x:v>
      </x:c>
      <x:c r="D1119" t="n">
        <x:v>46143</x:v>
      </x:c>
      <x:c r="E1119" t="n">
        <x:v>46266</x:v>
      </x:c>
      <x:c r="F1119" t="str">
        <x:v>Activa</x:v>
      </x:c>
      <x:c r="G1119" t="str">
        <x:v>Anual</x:v>
      </x:c>
      <x:c r="H1119" t="n">
        <x:v>5</x:v>
      </x:c>
    </x:row>
    <x:row r="1120">
      <x:c r="A1120" t="str">
        <x:v>SUS-001119</x:v>
      </x:c>
      <x:c r="B1120" t="str">
        <x:v>USR-00325</x:v>
      </x:c>
      <x:c r="C1120" t="str">
        <x:v>Plus anual</x:v>
      </x:c>
      <x:c r="D1120" t="n">
        <x:v>46143</x:v>
      </x:c>
      <x:c r="E1120" t="n">
        <x:v>46266</x:v>
      </x:c>
      <x:c r="F1120" t="str">
        <x:v>Activa</x:v>
      </x:c>
      <x:c r="G1120" t="str">
        <x:v>Anual</x:v>
      </x:c>
      <x:c r="H1120" t="n">
        <x:v>5</x:v>
      </x:c>
    </x:row>
    <x:row r="1121">
      <x:c r="A1121" t="str">
        <x:v>SUS-001120</x:v>
      </x:c>
      <x:c r="B1121" t="str">
        <x:v>USR-00327</x:v>
      </x:c>
      <x:c r="C1121" t="str">
        <x:v>Plus anual</x:v>
      </x:c>
      <x:c r="D1121" t="n">
        <x:v>46143</x:v>
      </x:c>
      <x:c r="E1121" t="n">
        <x:v>46266</x:v>
      </x:c>
      <x:c r="F1121" t="str">
        <x:v>Activa</x:v>
      </x:c>
      <x:c r="G1121" t="str">
        <x:v>Anual</x:v>
      </x:c>
      <x:c r="H1121" t="n">
        <x:v>5</x:v>
      </x:c>
    </x:row>
    <x:row r="1122">
      <x:c r="A1122" t="str">
        <x:v>SUS-001121</x:v>
      </x:c>
      <x:c r="B1122" t="str">
        <x:v>USR-00331</x:v>
      </x:c>
      <x:c r="C1122" t="str">
        <x:v>Plus anual</x:v>
      </x:c>
      <x:c r="D1122" t="n">
        <x:v>46143</x:v>
      </x:c>
      <x:c r="E1122" t="n">
        <x:v>46266</x:v>
      </x:c>
      <x:c r="F1122" t="str">
        <x:v>Activa</x:v>
      </x:c>
      <x:c r="G1122" t="str">
        <x:v>Anual</x:v>
      </x:c>
      <x:c r="H1122" t="n">
        <x:v>5</x:v>
      </x:c>
    </x:row>
    <x:row r="1123">
      <x:c r="A1123" t="str">
        <x:v>SUS-001122</x:v>
      </x:c>
      <x:c r="B1123" t="str">
        <x:v>USR-00358</x:v>
      </x:c>
      <x:c r="C1123" t="str">
        <x:v>Plus mensual</x:v>
      </x:c>
      <x:c r="D1123" t="n">
        <x:v>46143</x:v>
      </x:c>
      <x:c r="E1123" t="n">
        <x:v>46174</x:v>
      </x:c>
      <x:c r="F1123" t="str">
        <x:v>Finalizada</x:v>
      </x:c>
      <x:c r="G1123" t="str">
        <x:v>Mensual</x:v>
      </x:c>
      <x:c r="H1123" t="n">
        <x:v>2</x:v>
      </x:c>
    </x:row>
    <x:row r="1124">
      <x:c r="A1124" t="str">
        <x:v>SUS-001123</x:v>
      </x:c>
      <x:c r="B1124" t="str">
        <x:v>USR-00363</x:v>
      </x:c>
      <x:c r="C1124" t="str">
        <x:v>Plus anual</x:v>
      </x:c>
      <x:c r="D1124" t="n">
        <x:v>46143</x:v>
      </x:c>
      <x:c r="E1124" t="n">
        <x:v>46266</x:v>
      </x:c>
      <x:c r="F1124" t="str">
        <x:v>Activa</x:v>
      </x:c>
      <x:c r="G1124" t="str">
        <x:v>Anual</x:v>
      </x:c>
      <x:c r="H1124" t="n">
        <x:v>5</x:v>
      </x:c>
    </x:row>
    <x:row r="1125">
      <x:c r="A1125" t="str">
        <x:v>SUS-001124</x:v>
      </x:c>
      <x:c r="B1125" t="str">
        <x:v>USR-00364</x:v>
      </x:c>
      <x:c r="C1125" t="str">
        <x:v>Cero</x:v>
      </x:c>
      <x:c r="D1125" t="n">
        <x:v>46143</x:v>
      </x:c>
      <x:c r="E1125" t="n">
        <x:v>46266</x:v>
      </x:c>
      <x:c r="F1125" t="str">
        <x:v>Activa</x:v>
      </x:c>
      <x:c r="G1125" t="str">
        <x:v>Gratuita</x:v>
      </x:c>
      <x:c r="H1125" t="n">
        <x:v>5</x:v>
      </x:c>
    </x:row>
    <x:row r="1126">
      <x:c r="A1126" t="str">
        <x:v>SUS-001125</x:v>
      </x:c>
      <x:c r="B1126" t="str">
        <x:v>USR-00387</x:v>
      </x:c>
      <x:c r="C1126" t="str">
        <x:v>Plus mensual</x:v>
      </x:c>
      <x:c r="D1126" t="n">
        <x:v>46143</x:v>
      </x:c>
      <x:c r="E1126" t="n">
        <x:v>46235</x:v>
      </x:c>
      <x:c r="F1126" t="str">
        <x:v>Finalizada</x:v>
      </x:c>
      <x:c r="G1126" t="str">
        <x:v>Mensual</x:v>
      </x:c>
      <x:c r="H1126" t="n">
        <x:v>4</x:v>
      </x:c>
    </x:row>
    <x:row r="1127">
      <x:c r="A1127" t="str">
        <x:v>SUS-001126</x:v>
      </x:c>
      <x:c r="B1127" t="str">
        <x:v>USR-00406</x:v>
      </x:c>
      <x:c r="C1127" t="str">
        <x:v>Cero</x:v>
      </x:c>
      <x:c r="D1127" t="n">
        <x:v>46143</x:v>
      </x:c>
      <x:c r="E1127" t="n">
        <x:v>46266</x:v>
      </x:c>
      <x:c r="F1127" t="str">
        <x:v>Activa</x:v>
      </x:c>
      <x:c r="G1127" t="str">
        <x:v>Gratuita</x:v>
      </x:c>
      <x:c r="H1127" t="n">
        <x:v>5</x:v>
      </x:c>
    </x:row>
    <x:row r="1128">
      <x:c r="A1128" t="str">
        <x:v>SUS-001127</x:v>
      </x:c>
      <x:c r="B1128" t="str">
        <x:v>USR-00417</x:v>
      </x:c>
      <x:c r="C1128" t="str">
        <x:v>Cero</x:v>
      </x:c>
      <x:c r="D1128" t="n">
        <x:v>46143</x:v>
      </x:c>
      <x:c r="E1128" t="n">
        <x:v>46266</x:v>
      </x:c>
      <x:c r="F1128" t="str">
        <x:v>Activa</x:v>
      </x:c>
      <x:c r="G1128" t="str">
        <x:v>Gratuita</x:v>
      </x:c>
      <x:c r="H1128" t="n">
        <x:v>5</x:v>
      </x:c>
    </x:row>
    <x:row r="1129">
      <x:c r="A1129" t="str">
        <x:v>SUS-001128</x:v>
      </x:c>
      <x:c r="B1129" t="str">
        <x:v>USR-00440</x:v>
      </x:c>
      <x:c r="C1129" t="str">
        <x:v>Plus mensual</x:v>
      </x:c>
      <x:c r="D1129" t="n">
        <x:v>46143</x:v>
      </x:c>
      <x:c r="E1129" t="n">
        <x:v>46266</x:v>
      </x:c>
      <x:c r="F1129" t="str">
        <x:v>Activa</x:v>
      </x:c>
      <x:c r="G1129" t="str">
        <x:v>Mensual</x:v>
      </x:c>
      <x:c r="H1129" t="n">
        <x:v>5</x:v>
      </x:c>
    </x:row>
    <x:row r="1130">
      <x:c r="A1130" t="str">
        <x:v>SUS-001129</x:v>
      </x:c>
      <x:c r="B1130" t="str">
        <x:v>USR-00468</x:v>
      </x:c>
      <x:c r="C1130" t="str">
        <x:v>Plus anual</x:v>
      </x:c>
      <x:c r="D1130" t="n">
        <x:v>46143</x:v>
      </x:c>
      <x:c r="E1130" t="n">
        <x:v>46266</x:v>
      </x:c>
      <x:c r="F1130" t="str">
        <x:v>Activa</x:v>
      </x:c>
      <x:c r="G1130" t="str">
        <x:v>Anual</x:v>
      </x:c>
      <x:c r="H1130" t="n">
        <x:v>5</x:v>
      </x:c>
    </x:row>
    <x:row r="1131">
      <x:c r="A1131" t="str">
        <x:v>SUS-001130</x:v>
      </x:c>
      <x:c r="B1131" t="str">
        <x:v>USR-00481</x:v>
      </x:c>
      <x:c r="C1131" t="str">
        <x:v>Plus mensual</x:v>
      </x:c>
      <x:c r="D1131" t="n">
        <x:v>46143</x:v>
      </x:c>
      <x:c r="E1131" t="n">
        <x:v>46235</x:v>
      </x:c>
      <x:c r="F1131" t="str">
        <x:v>Finalizada</x:v>
      </x:c>
      <x:c r="G1131" t="str">
        <x:v>Mensual</x:v>
      </x:c>
      <x:c r="H1131" t="n">
        <x:v>4</x:v>
      </x:c>
    </x:row>
    <x:row r="1132">
      <x:c r="A1132" t="str">
        <x:v>SUS-001131</x:v>
      </x:c>
      <x:c r="B1132" t="str">
        <x:v>USR-00488</x:v>
      </x:c>
      <x:c r="C1132" t="str">
        <x:v>Plus mensual</x:v>
      </x:c>
      <x:c r="D1132" t="n">
        <x:v>46143</x:v>
      </x:c>
      <x:c r="E1132" t="n">
        <x:v>46174</x:v>
      </x:c>
      <x:c r="F1132" t="str">
        <x:v>Finalizada</x:v>
      </x:c>
      <x:c r="G1132" t="str">
        <x:v>Mensual</x:v>
      </x:c>
      <x:c r="H1132" t="n">
        <x:v>2</x:v>
      </x:c>
    </x:row>
    <x:row r="1133">
      <x:c r="A1133" t="str">
        <x:v>SUS-001132</x:v>
      </x:c>
      <x:c r="B1133" t="str">
        <x:v>USR-00502</x:v>
      </x:c>
      <x:c r="C1133" t="str">
        <x:v>Plus anual</x:v>
      </x:c>
      <x:c r="D1133" t="n">
        <x:v>46143</x:v>
      </x:c>
      <x:c r="E1133" t="n">
        <x:v>46266</x:v>
      </x:c>
      <x:c r="F1133" t="str">
        <x:v>Activa</x:v>
      </x:c>
      <x:c r="G1133" t="str">
        <x:v>Anual</x:v>
      </x:c>
      <x:c r="H1133" t="n">
        <x:v>5</x:v>
      </x:c>
    </x:row>
    <x:row r="1134">
      <x:c r="A1134" t="str">
        <x:v>SUS-001133</x:v>
      </x:c>
      <x:c r="B1134" t="str">
        <x:v>USR-00504</x:v>
      </x:c>
      <x:c r="C1134" t="str">
        <x:v>Plus mensual</x:v>
      </x:c>
      <x:c r="D1134" t="n">
        <x:v>46143</x:v>
      </x:c>
      <x:c r="E1134" t="n">
        <x:v>46266</x:v>
      </x:c>
      <x:c r="F1134" t="str">
        <x:v>Activa</x:v>
      </x:c>
      <x:c r="G1134" t="str">
        <x:v>Mensual</x:v>
      </x:c>
      <x:c r="H1134" t="n">
        <x:v>5</x:v>
      </x:c>
    </x:row>
    <x:row r="1135">
      <x:c r="A1135" t="str">
        <x:v>SUS-001134</x:v>
      </x:c>
      <x:c r="B1135" t="str">
        <x:v>USR-00506</x:v>
      </x:c>
      <x:c r="C1135" t="str">
        <x:v>Cero</x:v>
      </x:c>
      <x:c r="D1135" t="n">
        <x:v>46143</x:v>
      </x:c>
      <x:c r="E1135" t="n">
        <x:v>46266</x:v>
      </x:c>
      <x:c r="F1135" t="str">
        <x:v>Activa</x:v>
      </x:c>
      <x:c r="G1135" t="str">
        <x:v>Gratuita</x:v>
      </x:c>
      <x:c r="H1135" t="n">
        <x:v>5</x:v>
      </x:c>
    </x:row>
    <x:row r="1136">
      <x:c r="A1136" t="str">
        <x:v>SUS-001135</x:v>
      </x:c>
      <x:c r="B1136" t="str">
        <x:v>USR-00531</x:v>
      </x:c>
      <x:c r="C1136" t="str">
        <x:v>Cero</x:v>
      </x:c>
      <x:c r="D1136" t="n">
        <x:v>46143</x:v>
      </x:c>
      <x:c r="E1136" t="n">
        <x:v>46266</x:v>
      </x:c>
      <x:c r="F1136" t="str">
        <x:v>Activa</x:v>
      </x:c>
      <x:c r="G1136" t="str">
        <x:v>Gratuita</x:v>
      </x:c>
      <x:c r="H1136" t="n">
        <x:v>5</x:v>
      </x:c>
    </x:row>
    <x:row r="1137">
      <x:c r="A1137" t="str">
        <x:v>SUS-001136</x:v>
      </x:c>
      <x:c r="B1137" t="str">
        <x:v>USR-00532</x:v>
      </x:c>
      <x:c r="C1137" t="str">
        <x:v>Plus mensual</x:v>
      </x:c>
      <x:c r="D1137" t="n">
        <x:v>46143</x:v>
      </x:c>
      <x:c r="E1137" t="n">
        <x:v>46266</x:v>
      </x:c>
      <x:c r="F1137" t="str">
        <x:v>Activa</x:v>
      </x:c>
      <x:c r="G1137" t="str">
        <x:v>Mensual</x:v>
      </x:c>
      <x:c r="H1137" t="n">
        <x:v>5</x:v>
      </x:c>
    </x:row>
    <x:row r="1138">
      <x:c r="A1138" t="str">
        <x:v>SUS-001137</x:v>
      </x:c>
      <x:c r="B1138" t="str">
        <x:v>USR-00539</x:v>
      </x:c>
      <x:c r="C1138" t="str">
        <x:v>Plus mensual</x:v>
      </x:c>
      <x:c r="D1138" t="n">
        <x:v>46143</x:v>
      </x:c>
      <x:c r="E1138" t="n">
        <x:v>46266</x:v>
      </x:c>
      <x:c r="F1138" t="str">
        <x:v>Activa</x:v>
      </x:c>
      <x:c r="G1138" t="str">
        <x:v>Mensual</x:v>
      </x:c>
      <x:c r="H1138" t="n">
        <x:v>5</x:v>
      </x:c>
    </x:row>
    <x:row r="1139">
      <x:c r="A1139" t="str">
        <x:v>SUS-001138</x:v>
      </x:c>
      <x:c r="B1139" t="str">
        <x:v>USR-00565</x:v>
      </x:c>
      <x:c r="C1139" t="str">
        <x:v>Plus mensual</x:v>
      </x:c>
      <x:c r="D1139" t="n">
        <x:v>46143</x:v>
      </x:c>
      <x:c r="E1139" t="n">
        <x:v>46266</x:v>
      </x:c>
      <x:c r="F1139" t="str">
        <x:v>Activa</x:v>
      </x:c>
      <x:c r="G1139" t="str">
        <x:v>Mensual</x:v>
      </x:c>
      <x:c r="H1139" t="n">
        <x:v>5</x:v>
      </x:c>
    </x:row>
    <x:row r="1140">
      <x:c r="A1140" t="str">
        <x:v>SUS-001139</x:v>
      </x:c>
      <x:c r="B1140" t="str">
        <x:v>USR-00577</x:v>
      </x:c>
      <x:c r="C1140" t="str">
        <x:v>Plus anual</x:v>
      </x:c>
      <x:c r="D1140" t="n">
        <x:v>46143</x:v>
      </x:c>
      <x:c r="E1140" t="n">
        <x:v>46266</x:v>
      </x:c>
      <x:c r="F1140" t="str">
        <x:v>Activa</x:v>
      </x:c>
      <x:c r="G1140" t="str">
        <x:v>Anual</x:v>
      </x:c>
      <x:c r="H1140" t="n">
        <x:v>5</x:v>
      </x:c>
    </x:row>
    <x:row r="1141">
      <x:c r="A1141" t="str">
        <x:v>SUS-001140</x:v>
      </x:c>
      <x:c r="B1141" t="str">
        <x:v>USR-00622</x:v>
      </x:c>
      <x:c r="C1141" t="str">
        <x:v>Plus mensual</x:v>
      </x:c>
      <x:c r="D1141" t="n">
        <x:v>46143</x:v>
      </x:c>
      <x:c r="E1141" t="n">
        <x:v>46143</x:v>
      </x:c>
      <x:c r="F1141" t="str">
        <x:v>Finalizada</x:v>
      </x:c>
      <x:c r="G1141" t="str">
        <x:v>Mensual</x:v>
      </x:c>
      <x:c r="H1141" t="n">
        <x:v>1</x:v>
      </x:c>
    </x:row>
    <x:row r="1142">
      <x:c r="A1142" t="str">
        <x:v>SUS-001141</x:v>
      </x:c>
      <x:c r="B1142" t="str">
        <x:v>USR-00652</x:v>
      </x:c>
      <x:c r="C1142" t="str">
        <x:v>Plus mensual</x:v>
      </x:c>
      <x:c r="D1142" t="n">
        <x:v>46143</x:v>
      </x:c>
      <x:c r="E1142" t="n">
        <x:v>46143</x:v>
      </x:c>
      <x:c r="F1142" t="str">
        <x:v>Finalizada</x:v>
      </x:c>
      <x:c r="G1142" t="str">
        <x:v>Mensual</x:v>
      </x:c>
      <x:c r="H1142" t="n">
        <x:v>1</x:v>
      </x:c>
    </x:row>
    <x:row r="1143">
      <x:c r="A1143" t="str">
        <x:v>SUS-001142</x:v>
      </x:c>
      <x:c r="B1143" t="str">
        <x:v>USR-00661</x:v>
      </x:c>
      <x:c r="C1143" t="str">
        <x:v>Plus mensual</x:v>
      </x:c>
      <x:c r="D1143" t="n">
        <x:v>46143</x:v>
      </x:c>
      <x:c r="E1143" t="n">
        <x:v>46174</x:v>
      </x:c>
      <x:c r="F1143" t="str">
        <x:v>Finalizada</x:v>
      </x:c>
      <x:c r="G1143" t="str">
        <x:v>Mensual</x:v>
      </x:c>
      <x:c r="H1143" t="n">
        <x:v>2</x:v>
      </x:c>
    </x:row>
    <x:row r="1144">
      <x:c r="A1144" t="str">
        <x:v>SUS-001143</x:v>
      </x:c>
      <x:c r="B1144" t="str">
        <x:v>USR-00668</x:v>
      </x:c>
      <x:c r="C1144" t="str">
        <x:v>Plus anual</x:v>
      </x:c>
      <x:c r="D1144" t="n">
        <x:v>46143</x:v>
      </x:c>
      <x:c r="E1144" t="n">
        <x:v>46266</x:v>
      </x:c>
      <x:c r="F1144" t="str">
        <x:v>Activa</x:v>
      </x:c>
      <x:c r="G1144" t="str">
        <x:v>Anual</x:v>
      </x:c>
      <x:c r="H1144" t="n">
        <x:v>5</x:v>
      </x:c>
    </x:row>
    <x:row r="1145">
      <x:c r="A1145" t="str">
        <x:v>SUS-001144</x:v>
      </x:c>
      <x:c r="B1145" t="str">
        <x:v>USR-00676</x:v>
      </x:c>
      <x:c r="C1145" t="str">
        <x:v>Plus anual</x:v>
      </x:c>
      <x:c r="D1145" t="n">
        <x:v>46143</x:v>
      </x:c>
      <x:c r="E1145" t="n">
        <x:v>46266</x:v>
      </x:c>
      <x:c r="F1145" t="str">
        <x:v>Activa</x:v>
      </x:c>
      <x:c r="G1145" t="str">
        <x:v>Anual</x:v>
      </x:c>
      <x:c r="H1145" t="n">
        <x:v>5</x:v>
      </x:c>
    </x:row>
    <x:row r="1146">
      <x:c r="A1146" t="str">
        <x:v>SUS-001145</x:v>
      </x:c>
      <x:c r="B1146" t="str">
        <x:v>USR-00677</x:v>
      </x:c>
      <x:c r="C1146" t="str">
        <x:v>Plus anual</x:v>
      </x:c>
      <x:c r="D1146" t="n">
        <x:v>46143</x:v>
      </x:c>
      <x:c r="E1146" t="n">
        <x:v>46266</x:v>
      </x:c>
      <x:c r="F1146" t="str">
        <x:v>Activa</x:v>
      </x:c>
      <x:c r="G1146" t="str">
        <x:v>Anual</x:v>
      </x:c>
      <x:c r="H1146" t="n">
        <x:v>5</x:v>
      </x:c>
    </x:row>
    <x:row r="1147">
      <x:c r="A1147" t="str">
        <x:v>SUS-001146</x:v>
      </x:c>
      <x:c r="B1147" t="str">
        <x:v>USR-00690</x:v>
      </x:c>
      <x:c r="C1147" t="str">
        <x:v>Plus mensual</x:v>
      </x:c>
      <x:c r="D1147" t="n">
        <x:v>46143</x:v>
      </x:c>
      <x:c r="E1147" t="n">
        <x:v>46143</x:v>
      </x:c>
      <x:c r="F1147" t="str">
        <x:v>Finalizada</x:v>
      </x:c>
      <x:c r="G1147" t="str">
        <x:v>Mensual</x:v>
      </x:c>
      <x:c r="H1147" t="n">
        <x:v>1</x:v>
      </x:c>
    </x:row>
    <x:row r="1148">
      <x:c r="A1148" t="str">
        <x:v>SUS-001147</x:v>
      </x:c>
      <x:c r="B1148" t="str">
        <x:v>USR-00712</x:v>
      </x:c>
      <x:c r="C1148" t="str">
        <x:v>Plus mensual</x:v>
      </x:c>
      <x:c r="D1148" t="n">
        <x:v>46143</x:v>
      </x:c>
      <x:c r="E1148" t="n">
        <x:v>46266</x:v>
      </x:c>
      <x:c r="F1148" t="str">
        <x:v>Activa</x:v>
      </x:c>
      <x:c r="G1148" t="str">
        <x:v>Mensual</x:v>
      </x:c>
      <x:c r="H1148" t="n">
        <x:v>5</x:v>
      </x:c>
    </x:row>
    <x:row r="1149">
      <x:c r="A1149" t="str">
        <x:v>SUS-001148</x:v>
      </x:c>
      <x:c r="B1149" t="str">
        <x:v>USR-00724</x:v>
      </x:c>
      <x:c r="C1149" t="str">
        <x:v>Plus mensual</x:v>
      </x:c>
      <x:c r="D1149" t="n">
        <x:v>46143</x:v>
      </x:c>
      <x:c r="E1149" t="n">
        <x:v>46174</x:v>
      </x:c>
      <x:c r="F1149" t="str">
        <x:v>Finalizada</x:v>
      </x:c>
      <x:c r="G1149" t="str">
        <x:v>Mensual</x:v>
      </x:c>
      <x:c r="H1149" t="n">
        <x:v>2</x:v>
      </x:c>
    </x:row>
    <x:row r="1150">
      <x:c r="A1150" t="str">
        <x:v>SUS-001149</x:v>
      </x:c>
      <x:c r="B1150" t="str">
        <x:v>USR-00737</x:v>
      </x:c>
      <x:c r="C1150" t="str">
        <x:v>Plus anual</x:v>
      </x:c>
      <x:c r="D1150" t="n">
        <x:v>46143</x:v>
      </x:c>
      <x:c r="E1150" t="n">
        <x:v>46266</x:v>
      </x:c>
      <x:c r="F1150" t="str">
        <x:v>Activa</x:v>
      </x:c>
      <x:c r="G1150" t="str">
        <x:v>Anual</x:v>
      </x:c>
      <x:c r="H1150" t="n">
        <x:v>5</x:v>
      </x:c>
    </x:row>
    <x:row r="1151">
      <x:c r="A1151" t="str">
        <x:v>SUS-001150</x:v>
      </x:c>
      <x:c r="B1151" t="str">
        <x:v>USR-00746</x:v>
      </x:c>
      <x:c r="C1151" t="str">
        <x:v>Cero</x:v>
      </x:c>
      <x:c r="D1151" t="n">
        <x:v>46143</x:v>
      </x:c>
      <x:c r="E1151" t="n">
        <x:v>46266</x:v>
      </x:c>
      <x:c r="F1151" t="str">
        <x:v>Activa</x:v>
      </x:c>
      <x:c r="G1151" t="str">
        <x:v>Gratuita</x:v>
      </x:c>
      <x:c r="H1151" t="n">
        <x:v>5</x:v>
      </x:c>
    </x:row>
    <x:row r="1152">
      <x:c r="A1152" t="str">
        <x:v>SUS-001151</x:v>
      </x:c>
      <x:c r="B1152" t="str">
        <x:v>USR-00777</x:v>
      </x:c>
      <x:c r="C1152" t="str">
        <x:v>Cero</x:v>
      </x:c>
      <x:c r="D1152" t="n">
        <x:v>46143</x:v>
      </x:c>
      <x:c r="E1152" t="n">
        <x:v>46174</x:v>
      </x:c>
      <x:c r="F1152" t="str">
        <x:v>Finalizada</x:v>
      </x:c>
      <x:c r="G1152" t="str">
        <x:v>Gratuita</x:v>
      </x:c>
      <x:c r="H1152" t="n">
        <x:v>2</x:v>
      </x:c>
    </x:row>
    <x:row r="1153">
      <x:c r="A1153" t="str">
        <x:v>SUS-001152</x:v>
      </x:c>
      <x:c r="B1153" t="str">
        <x:v>USR-00778</x:v>
      </x:c>
      <x:c r="C1153" t="str">
        <x:v>Plus mensual</x:v>
      </x:c>
      <x:c r="D1153" t="n">
        <x:v>46143</x:v>
      </x:c>
      <x:c r="E1153" t="n">
        <x:v>46143</x:v>
      </x:c>
      <x:c r="F1153" t="str">
        <x:v>Finalizada</x:v>
      </x:c>
      <x:c r="G1153" t="str">
        <x:v>Mensual</x:v>
      </x:c>
      <x:c r="H1153" t="n">
        <x:v>1</x:v>
      </x:c>
    </x:row>
    <x:row r="1154">
      <x:c r="A1154" t="str">
        <x:v>SUS-001153</x:v>
      </x:c>
      <x:c r="B1154" t="str">
        <x:v>USR-00782</x:v>
      </x:c>
      <x:c r="C1154" t="str">
        <x:v>Cero</x:v>
      </x:c>
      <x:c r="D1154" t="n">
        <x:v>46143</x:v>
      </x:c>
      <x:c r="E1154" t="n">
        <x:v>46266</x:v>
      </x:c>
      <x:c r="F1154" t="str">
        <x:v>Activa</x:v>
      </x:c>
      <x:c r="G1154" t="str">
        <x:v>Gratuita</x:v>
      </x:c>
      <x:c r="H1154" t="n">
        <x:v>5</x:v>
      </x:c>
    </x:row>
    <x:row r="1155">
      <x:c r="A1155" t="str">
        <x:v>SUS-001154</x:v>
      </x:c>
      <x:c r="B1155" t="str">
        <x:v>USR-00786</x:v>
      </x:c>
      <x:c r="C1155" t="str">
        <x:v>Cero</x:v>
      </x:c>
      <x:c r="D1155" t="n">
        <x:v>46143</x:v>
      </x:c>
      <x:c r="E1155" t="n">
        <x:v>46174</x:v>
      </x:c>
      <x:c r="F1155" t="str">
        <x:v>Finalizada</x:v>
      </x:c>
      <x:c r="G1155" t="str">
        <x:v>Gratuita</x:v>
      </x:c>
      <x:c r="H1155" t="n">
        <x:v>2</x:v>
      </x:c>
    </x:row>
    <x:row r="1156">
      <x:c r="A1156" t="str">
        <x:v>SUS-001155</x:v>
      </x:c>
      <x:c r="B1156" t="str">
        <x:v>USR-00787</x:v>
      </x:c>
      <x:c r="C1156" t="str">
        <x:v>Plus mensual</x:v>
      </x:c>
      <x:c r="D1156" t="n">
        <x:v>46143</x:v>
      </x:c>
      <x:c r="E1156" t="n">
        <x:v>46266</x:v>
      </x:c>
      <x:c r="F1156" t="str">
        <x:v>Activa</x:v>
      </x:c>
      <x:c r="G1156" t="str">
        <x:v>Mensual</x:v>
      </x:c>
      <x:c r="H1156" t="n">
        <x:v>5</x:v>
      </x:c>
    </x:row>
    <x:row r="1157">
      <x:c r="A1157" t="str">
        <x:v>SUS-001156</x:v>
      </x:c>
      <x:c r="B1157" t="str">
        <x:v>USR-00788</x:v>
      </x:c>
      <x:c r="C1157" t="str">
        <x:v>Cero</x:v>
      </x:c>
      <x:c r="D1157" t="n">
        <x:v>46143</x:v>
      </x:c>
      <x:c r="E1157" t="n">
        <x:v>46266</x:v>
      </x:c>
      <x:c r="F1157" t="str">
        <x:v>Activa</x:v>
      </x:c>
      <x:c r="G1157" t="str">
        <x:v>Gratuita</x:v>
      </x:c>
      <x:c r="H1157" t="n">
        <x:v>5</x:v>
      </x:c>
    </x:row>
    <x:row r="1158">
      <x:c r="A1158" t="str">
        <x:v>SUS-001157</x:v>
      </x:c>
      <x:c r="B1158" t="str">
        <x:v>USR-00789</x:v>
      </x:c>
      <x:c r="C1158" t="str">
        <x:v>Cero</x:v>
      </x:c>
      <x:c r="D1158" t="n">
        <x:v>46143</x:v>
      </x:c>
      <x:c r="E1158" t="n">
        <x:v>46266</x:v>
      </x:c>
      <x:c r="F1158" t="str">
        <x:v>Activa</x:v>
      </x:c>
      <x:c r="G1158" t="str">
        <x:v>Gratuita</x:v>
      </x:c>
      <x:c r="H1158" t="n">
        <x:v>5</x:v>
      </x:c>
    </x:row>
    <x:row r="1159">
      <x:c r="A1159" t="str">
        <x:v>SUS-001158</x:v>
      </x:c>
      <x:c r="B1159" t="str">
        <x:v>USR-00790</x:v>
      </x:c>
      <x:c r="C1159" t="str">
        <x:v>Plus mensual</x:v>
      </x:c>
      <x:c r="D1159" t="n">
        <x:v>46143</x:v>
      </x:c>
      <x:c r="E1159" t="n">
        <x:v>46266</x:v>
      </x:c>
      <x:c r="F1159" t="str">
        <x:v>Activa</x:v>
      </x:c>
      <x:c r="G1159" t="str">
        <x:v>Mensual</x:v>
      </x:c>
      <x:c r="H1159" t="n">
        <x:v>5</x:v>
      </x:c>
    </x:row>
    <x:row r="1160">
      <x:c r="A1160" t="str">
        <x:v>SUS-001159</x:v>
      </x:c>
      <x:c r="B1160" t="str">
        <x:v>USR-00791</x:v>
      </x:c>
      <x:c r="C1160" t="str">
        <x:v>Cero</x:v>
      </x:c>
      <x:c r="D1160" t="n">
        <x:v>46143</x:v>
      </x:c>
      <x:c r="E1160" t="n">
        <x:v>46266</x:v>
      </x:c>
      <x:c r="F1160" t="str">
        <x:v>Activa</x:v>
      </x:c>
      <x:c r="G1160" t="str">
        <x:v>Gratuita</x:v>
      </x:c>
      <x:c r="H1160" t="n">
        <x:v>5</x:v>
      </x:c>
    </x:row>
    <x:row r="1161">
      <x:c r="A1161" t="str">
        <x:v>SUS-001160</x:v>
      </x:c>
      <x:c r="B1161" t="str">
        <x:v>USR-00792</x:v>
      </x:c>
      <x:c r="C1161" t="str">
        <x:v>Cero</x:v>
      </x:c>
      <x:c r="D1161" t="n">
        <x:v>46143</x:v>
      </x:c>
      <x:c r="E1161" t="n">
        <x:v>46266</x:v>
      </x:c>
      <x:c r="F1161" t="str">
        <x:v>Activa</x:v>
      </x:c>
      <x:c r="G1161" t="str">
        <x:v>Gratuita</x:v>
      </x:c>
      <x:c r="H1161" t="n">
        <x:v>5</x:v>
      </x:c>
    </x:row>
    <x:row r="1162">
      <x:c r="A1162" t="str">
        <x:v>SUS-001161</x:v>
      </x:c>
      <x:c r="B1162" t="str">
        <x:v>USR-00793</x:v>
      </x:c>
      <x:c r="C1162" t="str">
        <x:v>Cero</x:v>
      </x:c>
      <x:c r="D1162" t="n">
        <x:v>46143</x:v>
      </x:c>
      <x:c r="E1162" t="n">
        <x:v>46266</x:v>
      </x:c>
      <x:c r="F1162" t="str">
        <x:v>Activa</x:v>
      </x:c>
      <x:c r="G1162" t="str">
        <x:v>Gratuita</x:v>
      </x:c>
      <x:c r="H1162" t="n">
        <x:v>5</x:v>
      </x:c>
    </x:row>
    <x:row r="1163">
      <x:c r="A1163" t="str">
        <x:v>SUS-001162</x:v>
      </x:c>
      <x:c r="B1163" t="str">
        <x:v>USR-00794</x:v>
      </x:c>
      <x:c r="C1163" t="str">
        <x:v>Cero</x:v>
      </x:c>
      <x:c r="D1163" t="n">
        <x:v>46143</x:v>
      </x:c>
      <x:c r="E1163" t="n">
        <x:v>46266</x:v>
      </x:c>
      <x:c r="F1163" t="str">
        <x:v>Activa</x:v>
      </x:c>
      <x:c r="G1163" t="str">
        <x:v>Gratuita</x:v>
      </x:c>
      <x:c r="H1163" t="n">
        <x:v>5</x:v>
      </x:c>
    </x:row>
    <x:row r="1164">
      <x:c r="A1164" t="str">
        <x:v>SUS-001163</x:v>
      </x:c>
      <x:c r="B1164" t="str">
        <x:v>USR-00795</x:v>
      </x:c>
      <x:c r="C1164" t="str">
        <x:v>Cero</x:v>
      </x:c>
      <x:c r="D1164" t="n">
        <x:v>46143</x:v>
      </x:c>
      <x:c r="E1164" t="n">
        <x:v>46266</x:v>
      </x:c>
      <x:c r="F1164" t="str">
        <x:v>Activa</x:v>
      </x:c>
      <x:c r="G1164" t="str">
        <x:v>Gratuita</x:v>
      </x:c>
      <x:c r="H1164" t="n">
        <x:v>5</x:v>
      </x:c>
    </x:row>
    <x:row r="1165">
      <x:c r="A1165" t="str">
        <x:v>SUS-001164</x:v>
      </x:c>
      <x:c r="B1165" t="str">
        <x:v>USR-00796</x:v>
      </x:c>
      <x:c r="C1165" t="str">
        <x:v>Cero</x:v>
      </x:c>
      <x:c r="D1165" t="n">
        <x:v>46143</x:v>
      </x:c>
      <x:c r="E1165" t="n">
        <x:v>46266</x:v>
      </x:c>
      <x:c r="F1165" t="str">
        <x:v>Activa</x:v>
      </x:c>
      <x:c r="G1165" t="str">
        <x:v>Gratuita</x:v>
      </x:c>
      <x:c r="H1165" t="n">
        <x:v>5</x:v>
      </x:c>
    </x:row>
    <x:row r="1166">
      <x:c r="A1166" t="str">
        <x:v>SUS-001165</x:v>
      </x:c>
      <x:c r="B1166" t="str">
        <x:v>USR-00797</x:v>
      </x:c>
      <x:c r="C1166" t="str">
        <x:v>Plus mensual</x:v>
      </x:c>
      <x:c r="D1166" t="n">
        <x:v>46143</x:v>
      </x:c>
      <x:c r="E1166" t="n">
        <x:v>46143</x:v>
      </x:c>
      <x:c r="F1166" t="str">
        <x:v>Finalizada</x:v>
      </x:c>
      <x:c r="G1166" t="str">
        <x:v>Mensual</x:v>
      </x:c>
      <x:c r="H1166" t="n">
        <x:v>1</x:v>
      </x:c>
    </x:row>
    <x:row r="1167">
      <x:c r="A1167" t="str">
        <x:v>SUS-001166</x:v>
      </x:c>
      <x:c r="B1167" t="str">
        <x:v>USR-00798</x:v>
      </x:c>
      <x:c r="C1167" t="str">
        <x:v>Plus mensual</x:v>
      </x:c>
      <x:c r="D1167" t="n">
        <x:v>46143</x:v>
      </x:c>
      <x:c r="E1167" t="n">
        <x:v>46235</x:v>
      </x:c>
      <x:c r="F1167" t="str">
        <x:v>Finalizada</x:v>
      </x:c>
      <x:c r="G1167" t="str">
        <x:v>Mensual</x:v>
      </x:c>
      <x:c r="H1167" t="n">
        <x:v>4</x:v>
      </x:c>
    </x:row>
    <x:row r="1168">
      <x:c r="A1168" t="str">
        <x:v>SUS-001167</x:v>
      </x:c>
      <x:c r="B1168" t="str">
        <x:v>USR-00799</x:v>
      </x:c>
      <x:c r="C1168" t="str">
        <x:v>Cero</x:v>
      </x:c>
      <x:c r="D1168" t="n">
        <x:v>46143</x:v>
      </x:c>
      <x:c r="E1168" t="n">
        <x:v>46266</x:v>
      </x:c>
      <x:c r="F1168" t="str">
        <x:v>Activa</x:v>
      </x:c>
      <x:c r="G1168" t="str">
        <x:v>Gratuita</x:v>
      </x:c>
      <x:c r="H1168" t="n">
        <x:v>5</x:v>
      </x:c>
    </x:row>
    <x:row r="1169">
      <x:c r="A1169" t="str">
        <x:v>SUS-001168</x:v>
      </x:c>
      <x:c r="B1169" t="str">
        <x:v>USR-00800</x:v>
      </x:c>
      <x:c r="C1169" t="str">
        <x:v>Cero</x:v>
      </x:c>
      <x:c r="D1169" t="n">
        <x:v>46143</x:v>
      </x:c>
      <x:c r="E1169" t="n">
        <x:v>46266</x:v>
      </x:c>
      <x:c r="F1169" t="str">
        <x:v>Activa</x:v>
      </x:c>
      <x:c r="G1169" t="str">
        <x:v>Gratuita</x:v>
      </x:c>
      <x:c r="H1169" t="n">
        <x:v>5</x:v>
      </x:c>
    </x:row>
    <x:row r="1170">
      <x:c r="A1170" t="str">
        <x:v>SUS-001169</x:v>
      </x:c>
      <x:c r="B1170" t="str">
        <x:v>USR-00801</x:v>
      </x:c>
      <x:c r="C1170" t="str">
        <x:v>Cero</x:v>
      </x:c>
      <x:c r="D1170" t="n">
        <x:v>46143</x:v>
      </x:c>
      <x:c r="E1170" t="n">
        <x:v>46204</x:v>
      </x:c>
      <x:c r="F1170" t="str">
        <x:v>Finalizada</x:v>
      </x:c>
      <x:c r="G1170" t="str">
        <x:v>Gratuita</x:v>
      </x:c>
      <x:c r="H1170" t="n">
        <x:v>3</x:v>
      </x:c>
    </x:row>
    <x:row r="1171">
      <x:c r="A1171" t="str">
        <x:v>SUS-001170</x:v>
      </x:c>
      <x:c r="B1171" t="str">
        <x:v>USR-00802</x:v>
      </x:c>
      <x:c r="C1171" t="str">
        <x:v>Cero</x:v>
      </x:c>
      <x:c r="D1171" t="n">
        <x:v>46143</x:v>
      </x:c>
      <x:c r="E1171" t="n">
        <x:v>46266</x:v>
      </x:c>
      <x:c r="F1171" t="str">
        <x:v>Activa</x:v>
      </x:c>
      <x:c r="G1171" t="str">
        <x:v>Gratuita</x:v>
      </x:c>
      <x:c r="H1171" t="n">
        <x:v>5</x:v>
      </x:c>
    </x:row>
    <x:row r="1172">
      <x:c r="A1172" t="str">
        <x:v>SUS-001171</x:v>
      </x:c>
      <x:c r="B1172" t="str">
        <x:v>USR-00803</x:v>
      </x:c>
      <x:c r="C1172" t="str">
        <x:v>Cero</x:v>
      </x:c>
      <x:c r="D1172" t="n">
        <x:v>46143</x:v>
      </x:c>
      <x:c r="E1172" t="n">
        <x:v>46266</x:v>
      </x:c>
      <x:c r="F1172" t="str">
        <x:v>Activa</x:v>
      </x:c>
      <x:c r="G1172" t="str">
        <x:v>Gratuita</x:v>
      </x:c>
      <x:c r="H1172" t="n">
        <x:v>5</x:v>
      </x:c>
    </x:row>
    <x:row r="1173">
      <x:c r="A1173" t="str">
        <x:v>SUS-001172</x:v>
      </x:c>
      <x:c r="B1173" t="str">
        <x:v>USR-00804</x:v>
      </x:c>
      <x:c r="C1173" t="str">
        <x:v>Cero</x:v>
      </x:c>
      <x:c r="D1173" t="n">
        <x:v>46143</x:v>
      </x:c>
      <x:c r="E1173" t="n">
        <x:v>46143</x:v>
      </x:c>
      <x:c r="F1173" t="str">
        <x:v>Finalizada</x:v>
      </x:c>
      <x:c r="G1173" t="str">
        <x:v>Gratuita</x:v>
      </x:c>
      <x:c r="H1173" t="n">
        <x:v>1</x:v>
      </x:c>
    </x:row>
    <x:row r="1174">
      <x:c r="A1174" t="str">
        <x:v>SUS-001173</x:v>
      </x:c>
      <x:c r="B1174" t="str">
        <x:v>USR-00805</x:v>
      </x:c>
      <x:c r="C1174" t="str">
        <x:v>Cero</x:v>
      </x:c>
      <x:c r="D1174" t="n">
        <x:v>46143</x:v>
      </x:c>
      <x:c r="E1174" t="n">
        <x:v>46266</x:v>
      </x:c>
      <x:c r="F1174" t="str">
        <x:v>Activa</x:v>
      </x:c>
      <x:c r="G1174" t="str">
        <x:v>Gratuita</x:v>
      </x:c>
      <x:c r="H1174" t="n">
        <x:v>5</x:v>
      </x:c>
    </x:row>
    <x:row r="1175">
      <x:c r="A1175" t="str">
        <x:v>SUS-001174</x:v>
      </x:c>
      <x:c r="B1175" t="str">
        <x:v>USR-00806</x:v>
      </x:c>
      <x:c r="C1175" t="str">
        <x:v>Cero</x:v>
      </x:c>
      <x:c r="D1175" t="n">
        <x:v>46143</x:v>
      </x:c>
      <x:c r="E1175" t="n">
        <x:v>46266</x:v>
      </x:c>
      <x:c r="F1175" t="str">
        <x:v>Activa</x:v>
      </x:c>
      <x:c r="G1175" t="str">
        <x:v>Gratuita</x:v>
      </x:c>
      <x:c r="H1175" t="n">
        <x:v>5</x:v>
      </x:c>
    </x:row>
    <x:row r="1176">
      <x:c r="A1176" t="str">
        <x:v>SUS-001175</x:v>
      </x:c>
      <x:c r="B1176" t="str">
        <x:v>USR-00807</x:v>
      </x:c>
      <x:c r="C1176" t="str">
        <x:v>Cero</x:v>
      </x:c>
      <x:c r="D1176" t="n">
        <x:v>46143</x:v>
      </x:c>
      <x:c r="E1176" t="n">
        <x:v>46266</x:v>
      </x:c>
      <x:c r="F1176" t="str">
        <x:v>Activa</x:v>
      </x:c>
      <x:c r="G1176" t="str">
        <x:v>Gratuita</x:v>
      </x:c>
      <x:c r="H1176" t="n">
        <x:v>5</x:v>
      </x:c>
    </x:row>
    <x:row r="1177">
      <x:c r="A1177" t="str">
        <x:v>SUS-001176</x:v>
      </x:c>
      <x:c r="B1177" t="str">
        <x:v>USR-00808</x:v>
      </x:c>
      <x:c r="C1177" t="str">
        <x:v>Cero</x:v>
      </x:c>
      <x:c r="D1177" t="n">
        <x:v>46143</x:v>
      </x:c>
      <x:c r="E1177" t="n">
        <x:v>46174</x:v>
      </x:c>
      <x:c r="F1177" t="str">
        <x:v>Finalizada</x:v>
      </x:c>
      <x:c r="G1177" t="str">
        <x:v>Gratuita</x:v>
      </x:c>
      <x:c r="H1177" t="n">
        <x:v>2</x:v>
      </x:c>
    </x:row>
    <x:row r="1178">
      <x:c r="A1178" t="str">
        <x:v>SUS-001177</x:v>
      </x:c>
      <x:c r="B1178" t="str">
        <x:v>USR-00809</x:v>
      </x:c>
      <x:c r="C1178" t="str">
        <x:v>Cero</x:v>
      </x:c>
      <x:c r="D1178" t="n">
        <x:v>46143</x:v>
      </x:c>
      <x:c r="E1178" t="n">
        <x:v>46266</x:v>
      </x:c>
      <x:c r="F1178" t="str">
        <x:v>Activa</x:v>
      </x:c>
      <x:c r="G1178" t="str">
        <x:v>Gratuita</x:v>
      </x:c>
      <x:c r="H1178" t="n">
        <x:v>5</x:v>
      </x:c>
    </x:row>
    <x:row r="1179">
      <x:c r="A1179" t="str">
        <x:v>SUS-001178</x:v>
      </x:c>
      <x:c r="B1179" t="str">
        <x:v>USR-00810</x:v>
      </x:c>
      <x:c r="C1179" t="str">
        <x:v>Plus anual</x:v>
      </x:c>
      <x:c r="D1179" t="n">
        <x:v>46143</x:v>
      </x:c>
      <x:c r="E1179" t="n">
        <x:v>46266</x:v>
      </x:c>
      <x:c r="F1179" t="str">
        <x:v>Activa</x:v>
      </x:c>
      <x:c r="G1179" t="str">
        <x:v>Anual</x:v>
      </x:c>
      <x:c r="H1179" t="n">
        <x:v>5</x:v>
      </x:c>
    </x:row>
    <x:row r="1180">
      <x:c r="A1180" t="str">
        <x:v>SUS-001179</x:v>
      </x:c>
      <x:c r="B1180" t="str">
        <x:v>USR-00811</x:v>
      </x:c>
      <x:c r="C1180" t="str">
        <x:v>Cero</x:v>
      </x:c>
      <x:c r="D1180" t="n">
        <x:v>46143</x:v>
      </x:c>
      <x:c r="E1180" t="n">
        <x:v>46235</x:v>
      </x:c>
      <x:c r="F1180" t="str">
        <x:v>Finalizada</x:v>
      </x:c>
      <x:c r="G1180" t="str">
        <x:v>Gratuita</x:v>
      </x:c>
      <x:c r="H1180" t="n">
        <x:v>4</x:v>
      </x:c>
    </x:row>
    <x:row r="1181">
      <x:c r="A1181" t="str">
        <x:v>SUS-001180</x:v>
      </x:c>
      <x:c r="B1181" t="str">
        <x:v>USR-00812</x:v>
      </x:c>
      <x:c r="C1181" t="str">
        <x:v>Cero</x:v>
      </x:c>
      <x:c r="D1181" t="n">
        <x:v>46143</x:v>
      </x:c>
      <x:c r="E1181" t="n">
        <x:v>46266</x:v>
      </x:c>
      <x:c r="F1181" t="str">
        <x:v>Activa</x:v>
      </x:c>
      <x:c r="G1181" t="str">
        <x:v>Gratuita</x:v>
      </x:c>
      <x:c r="H1181" t="n">
        <x:v>5</x:v>
      </x:c>
    </x:row>
    <x:row r="1182">
      <x:c r="A1182" t="str">
        <x:v>SUS-001181</x:v>
      </x:c>
      <x:c r="B1182" t="str">
        <x:v>USR-00813</x:v>
      </x:c>
      <x:c r="C1182" t="str">
        <x:v>Plus mensual</x:v>
      </x:c>
      <x:c r="D1182" t="n">
        <x:v>46143</x:v>
      </x:c>
      <x:c r="E1182" t="n">
        <x:v>46266</x:v>
      </x:c>
      <x:c r="F1182" t="str">
        <x:v>Activa</x:v>
      </x:c>
      <x:c r="G1182" t="str">
        <x:v>Mensual</x:v>
      </x:c>
      <x:c r="H1182" t="n">
        <x:v>5</x:v>
      </x:c>
    </x:row>
    <x:row r="1183">
      <x:c r="A1183" t="str">
        <x:v>SUS-001182</x:v>
      </x:c>
      <x:c r="B1183" t="str">
        <x:v>USR-00814</x:v>
      </x:c>
      <x:c r="C1183" t="str">
        <x:v>Cero</x:v>
      </x:c>
      <x:c r="D1183" t="n">
        <x:v>46143</x:v>
      </x:c>
      <x:c r="E1183" t="n">
        <x:v>46266</x:v>
      </x:c>
      <x:c r="F1183" t="str">
        <x:v>Activa</x:v>
      </x:c>
      <x:c r="G1183" t="str">
        <x:v>Gratuita</x:v>
      </x:c>
      <x:c r="H1183" t="n">
        <x:v>5</x:v>
      </x:c>
    </x:row>
    <x:row r="1184">
      <x:c r="A1184" t="str">
        <x:v>SUS-001183</x:v>
      </x:c>
      <x:c r="B1184" t="str">
        <x:v>USR-00815</x:v>
      </x:c>
      <x:c r="C1184" t="str">
        <x:v>Cero</x:v>
      </x:c>
      <x:c r="D1184" t="n">
        <x:v>46143</x:v>
      </x:c>
      <x:c r="E1184" t="n">
        <x:v>46266</x:v>
      </x:c>
      <x:c r="F1184" t="str">
        <x:v>Activa</x:v>
      </x:c>
      <x:c r="G1184" t="str">
        <x:v>Gratuita</x:v>
      </x:c>
      <x:c r="H1184" t="n">
        <x:v>5</x:v>
      </x:c>
    </x:row>
    <x:row r="1185">
      <x:c r="A1185" t="str">
        <x:v>SUS-001184</x:v>
      </x:c>
      <x:c r="B1185" t="str">
        <x:v>USR-00816</x:v>
      </x:c>
      <x:c r="C1185" t="str">
        <x:v>Cero</x:v>
      </x:c>
      <x:c r="D1185" t="n">
        <x:v>46143</x:v>
      </x:c>
      <x:c r="E1185" t="n">
        <x:v>46174</x:v>
      </x:c>
      <x:c r="F1185" t="str">
        <x:v>Finalizada</x:v>
      </x:c>
      <x:c r="G1185" t="str">
        <x:v>Gratuita</x:v>
      </x:c>
      <x:c r="H1185" t="n">
        <x:v>2</x:v>
      </x:c>
    </x:row>
    <x:row r="1186">
      <x:c r="A1186" t="str">
        <x:v>SUS-001185</x:v>
      </x:c>
      <x:c r="B1186" t="str">
        <x:v>USR-00817</x:v>
      </x:c>
      <x:c r="C1186" t="str">
        <x:v>Cero</x:v>
      </x:c>
      <x:c r="D1186" t="n">
        <x:v>46143</x:v>
      </x:c>
      <x:c r="E1186" t="n">
        <x:v>46204</x:v>
      </x:c>
      <x:c r="F1186" t="str">
        <x:v>Finalizada</x:v>
      </x:c>
      <x:c r="G1186" t="str">
        <x:v>Gratuita</x:v>
      </x:c>
      <x:c r="H1186" t="n">
        <x:v>3</x:v>
      </x:c>
    </x:row>
    <x:row r="1187">
      <x:c r="A1187" t="str">
        <x:v>SUS-001186</x:v>
      </x:c>
      <x:c r="B1187" t="str">
        <x:v>USR-00818</x:v>
      </x:c>
      <x:c r="C1187" t="str">
        <x:v>Cero</x:v>
      </x:c>
      <x:c r="D1187" t="n">
        <x:v>46143</x:v>
      </x:c>
      <x:c r="E1187" t="n">
        <x:v>46266</x:v>
      </x:c>
      <x:c r="F1187" t="str">
        <x:v>Activa</x:v>
      </x:c>
      <x:c r="G1187" t="str">
        <x:v>Gratuita</x:v>
      </x:c>
      <x:c r="H1187" t="n">
        <x:v>5</x:v>
      </x:c>
    </x:row>
    <x:row r="1188">
      <x:c r="A1188" t="str">
        <x:v>SUS-001187</x:v>
      </x:c>
      <x:c r="B1188" t="str">
        <x:v>USR-00819</x:v>
      </x:c>
      <x:c r="C1188" t="str">
        <x:v>Cero</x:v>
      </x:c>
      <x:c r="D1188" t="n">
        <x:v>46143</x:v>
      </x:c>
      <x:c r="E1188" t="n">
        <x:v>46266</x:v>
      </x:c>
      <x:c r="F1188" t="str">
        <x:v>Activa</x:v>
      </x:c>
      <x:c r="G1188" t="str">
        <x:v>Gratuita</x:v>
      </x:c>
      <x:c r="H1188" t="n">
        <x:v>5</x:v>
      </x:c>
    </x:row>
    <x:row r="1189">
      <x:c r="A1189" t="str">
        <x:v>SUS-001188</x:v>
      </x:c>
      <x:c r="B1189" t="str">
        <x:v>USR-00820</x:v>
      </x:c>
      <x:c r="C1189" t="str">
        <x:v>Cero</x:v>
      </x:c>
      <x:c r="D1189" t="n">
        <x:v>46143</x:v>
      </x:c>
      <x:c r="E1189" t="n">
        <x:v>46266</x:v>
      </x:c>
      <x:c r="F1189" t="str">
        <x:v>Activa</x:v>
      </x:c>
      <x:c r="G1189" t="str">
        <x:v>Gratuita</x:v>
      </x:c>
      <x:c r="H1189" t="n">
        <x:v>5</x:v>
      </x:c>
    </x:row>
    <x:row r="1190">
      <x:c r="A1190" t="str">
        <x:v>SUS-001189</x:v>
      </x:c>
      <x:c r="B1190" t="str">
        <x:v>USR-00821</x:v>
      </x:c>
      <x:c r="C1190" t="str">
        <x:v>Cero</x:v>
      </x:c>
      <x:c r="D1190" t="n">
        <x:v>46143</x:v>
      </x:c>
      <x:c r="E1190" t="n">
        <x:v>46143</x:v>
      </x:c>
      <x:c r="F1190" t="str">
        <x:v>Finalizada</x:v>
      </x:c>
      <x:c r="G1190" t="str">
        <x:v>Gratuita</x:v>
      </x:c>
      <x:c r="H1190" t="n">
        <x:v>1</x:v>
      </x:c>
    </x:row>
    <x:row r="1191">
      <x:c r="A1191" t="str">
        <x:v>SUS-001190</x:v>
      </x:c>
      <x:c r="B1191" t="str">
        <x:v>USR-00822</x:v>
      </x:c>
      <x:c r="C1191" t="str">
        <x:v>Cero</x:v>
      </x:c>
      <x:c r="D1191" t="n">
        <x:v>46143</x:v>
      </x:c>
      <x:c r="E1191" t="n">
        <x:v>46266</x:v>
      </x:c>
      <x:c r="F1191" t="str">
        <x:v>Activa</x:v>
      </x:c>
      <x:c r="G1191" t="str">
        <x:v>Gratuita</x:v>
      </x:c>
      <x:c r="H1191" t="n">
        <x:v>5</x:v>
      </x:c>
    </x:row>
    <x:row r="1192">
      <x:c r="A1192" t="str">
        <x:v>SUS-001191</x:v>
      </x:c>
      <x:c r="B1192" t="str">
        <x:v>USR-00823</x:v>
      </x:c>
      <x:c r="C1192" t="str">
        <x:v>Cero</x:v>
      </x:c>
      <x:c r="D1192" t="n">
        <x:v>46143</x:v>
      </x:c>
      <x:c r="E1192" t="n">
        <x:v>46266</x:v>
      </x:c>
      <x:c r="F1192" t="str">
        <x:v>Activa</x:v>
      </x:c>
      <x:c r="G1192" t="str">
        <x:v>Gratuita</x:v>
      </x:c>
      <x:c r="H1192" t="n">
        <x:v>5</x:v>
      </x:c>
    </x:row>
    <x:row r="1193">
      <x:c r="A1193" t="str">
        <x:v>SUS-001192</x:v>
      </x:c>
      <x:c r="B1193" t="str">
        <x:v>USR-00824</x:v>
      </x:c>
      <x:c r="C1193" t="str">
        <x:v>Plus mensual</x:v>
      </x:c>
      <x:c r="D1193" t="n">
        <x:v>46143</x:v>
      </x:c>
      <x:c r="E1193" t="n">
        <x:v>46266</x:v>
      </x:c>
      <x:c r="F1193" t="str">
        <x:v>Activa</x:v>
      </x:c>
      <x:c r="G1193" t="str">
        <x:v>Mensual</x:v>
      </x:c>
      <x:c r="H1193" t="n">
        <x:v>5</x:v>
      </x:c>
    </x:row>
    <x:row r="1194">
      <x:c r="A1194" t="str">
        <x:v>SUS-001193</x:v>
      </x:c>
      <x:c r="B1194" t="str">
        <x:v>USR-00825</x:v>
      </x:c>
      <x:c r="C1194" t="str">
        <x:v>Cero</x:v>
      </x:c>
      <x:c r="D1194" t="n">
        <x:v>46143</x:v>
      </x:c>
      <x:c r="E1194" t="n">
        <x:v>46266</x:v>
      </x:c>
      <x:c r="F1194" t="str">
        <x:v>Activa</x:v>
      </x:c>
      <x:c r="G1194" t="str">
        <x:v>Gratuita</x:v>
      </x:c>
      <x:c r="H1194" t="n">
        <x:v>5</x:v>
      </x:c>
    </x:row>
    <x:row r="1195">
      <x:c r="A1195" t="str">
        <x:v>SUS-001194</x:v>
      </x:c>
      <x:c r="B1195" t="str">
        <x:v>USR-00826</x:v>
      </x:c>
      <x:c r="C1195" t="str">
        <x:v>Plus mensual</x:v>
      </x:c>
      <x:c r="D1195" t="n">
        <x:v>46143</x:v>
      </x:c>
      <x:c r="E1195" t="n">
        <x:v>46143</x:v>
      </x:c>
      <x:c r="F1195" t="str">
        <x:v>Finalizada</x:v>
      </x:c>
      <x:c r="G1195" t="str">
        <x:v>Mensual</x:v>
      </x:c>
      <x:c r="H1195" t="n">
        <x:v>1</x:v>
      </x:c>
    </x:row>
    <x:row r="1196">
      <x:c r="A1196" t="str">
        <x:v>SUS-001195</x:v>
      </x:c>
      <x:c r="B1196" t="str">
        <x:v>USR-00827</x:v>
      </x:c>
      <x:c r="C1196" t="str">
        <x:v>Cero</x:v>
      </x:c>
      <x:c r="D1196" t="n">
        <x:v>46143</x:v>
      </x:c>
      <x:c r="E1196" t="n">
        <x:v>46266</x:v>
      </x:c>
      <x:c r="F1196" t="str">
        <x:v>Activa</x:v>
      </x:c>
      <x:c r="G1196" t="str">
        <x:v>Gratuita</x:v>
      </x:c>
      <x:c r="H1196" t="n">
        <x:v>5</x:v>
      </x:c>
    </x:row>
    <x:row r="1197">
      <x:c r="A1197" t="str">
        <x:v>SUS-001196</x:v>
      </x:c>
      <x:c r="B1197" t="str">
        <x:v>USR-00828</x:v>
      </x:c>
      <x:c r="C1197" t="str">
        <x:v>Cero</x:v>
      </x:c>
      <x:c r="D1197" t="n">
        <x:v>46143</x:v>
      </x:c>
      <x:c r="E1197" t="n">
        <x:v>46266</x:v>
      </x:c>
      <x:c r="F1197" t="str">
        <x:v>Activa</x:v>
      </x:c>
      <x:c r="G1197" t="str">
        <x:v>Gratuita</x:v>
      </x:c>
      <x:c r="H1197" t="n">
        <x:v>5</x:v>
      </x:c>
    </x:row>
    <x:row r="1198">
      <x:c r="A1198" t="str">
        <x:v>SUS-001197</x:v>
      </x:c>
      <x:c r="B1198" t="str">
        <x:v>USR-00829</x:v>
      </x:c>
      <x:c r="C1198" t="str">
        <x:v>Cero</x:v>
      </x:c>
      <x:c r="D1198" t="n">
        <x:v>46143</x:v>
      </x:c>
      <x:c r="E1198" t="n">
        <x:v>46266</x:v>
      </x:c>
      <x:c r="F1198" t="str">
        <x:v>Activa</x:v>
      </x:c>
      <x:c r="G1198" t="str">
        <x:v>Gratuita</x:v>
      </x:c>
      <x:c r="H1198" t="n">
        <x:v>5</x:v>
      </x:c>
    </x:row>
    <x:row r="1199">
      <x:c r="A1199" t="str">
        <x:v>SUS-001198</x:v>
      </x:c>
      <x:c r="B1199" t="str">
        <x:v>USR-00830</x:v>
      </x:c>
      <x:c r="C1199" t="str">
        <x:v>Cero</x:v>
      </x:c>
      <x:c r="D1199" t="n">
        <x:v>46143</x:v>
      </x:c>
      <x:c r="E1199" t="n">
        <x:v>46266</x:v>
      </x:c>
      <x:c r="F1199" t="str">
        <x:v>Activa</x:v>
      </x:c>
      <x:c r="G1199" t="str">
        <x:v>Gratuita</x:v>
      </x:c>
      <x:c r="H1199" t="n">
        <x:v>5</x:v>
      </x:c>
    </x:row>
    <x:row r="1200">
      <x:c r="A1200" t="str">
        <x:v>SUS-001199</x:v>
      </x:c>
      <x:c r="B1200" t="str">
        <x:v>USR-00831</x:v>
      </x:c>
      <x:c r="C1200" t="str">
        <x:v>Cero</x:v>
      </x:c>
      <x:c r="D1200" t="n">
        <x:v>46143</x:v>
      </x:c>
      <x:c r="E1200" t="n">
        <x:v>46143</x:v>
      </x:c>
      <x:c r="F1200" t="str">
        <x:v>Finalizada</x:v>
      </x:c>
      <x:c r="G1200" t="str">
        <x:v>Gratuita</x:v>
      </x:c>
      <x:c r="H1200" t="n">
        <x:v>1</x:v>
      </x:c>
    </x:row>
    <x:row r="1201">
      <x:c r="A1201" t="str">
        <x:v>SUS-001200</x:v>
      </x:c>
      <x:c r="B1201" t="str">
        <x:v>USR-00832</x:v>
      </x:c>
      <x:c r="C1201" t="str">
        <x:v>Plus mensual</x:v>
      </x:c>
      <x:c r="D1201" t="n">
        <x:v>46143</x:v>
      </x:c>
      <x:c r="E1201" t="n">
        <x:v>46266</x:v>
      </x:c>
      <x:c r="F1201" t="str">
        <x:v>Activa</x:v>
      </x:c>
      <x:c r="G1201" t="str">
        <x:v>Mensual</x:v>
      </x:c>
      <x:c r="H1201" t="n">
        <x:v>5</x:v>
      </x:c>
    </x:row>
    <x:row r="1202">
      <x:c r="A1202" t="str">
        <x:v>SUS-001201</x:v>
      </x:c>
      <x:c r="B1202" t="str">
        <x:v>USR-00833</x:v>
      </x:c>
      <x:c r="C1202" t="str">
        <x:v>Plus mensual</x:v>
      </x:c>
      <x:c r="D1202" t="n">
        <x:v>46143</x:v>
      </x:c>
      <x:c r="E1202" t="n">
        <x:v>46266</x:v>
      </x:c>
      <x:c r="F1202" t="str">
        <x:v>Activa</x:v>
      </x:c>
      <x:c r="G1202" t="str">
        <x:v>Mensual</x:v>
      </x:c>
      <x:c r="H1202" t="n">
        <x:v>5</x:v>
      </x:c>
    </x:row>
    <x:row r="1203">
      <x:c r="A1203" t="str">
        <x:v>SUS-001202</x:v>
      </x:c>
      <x:c r="B1203" t="str">
        <x:v>USR-00834</x:v>
      </x:c>
      <x:c r="C1203" t="str">
        <x:v>Cero</x:v>
      </x:c>
      <x:c r="D1203" t="n">
        <x:v>46143</x:v>
      </x:c>
      <x:c r="E1203" t="n">
        <x:v>46266</x:v>
      </x:c>
      <x:c r="F1203" t="str">
        <x:v>Activa</x:v>
      </x:c>
      <x:c r="G1203" t="str">
        <x:v>Gratuita</x:v>
      </x:c>
      <x:c r="H1203" t="n">
        <x:v>5</x:v>
      </x:c>
    </x:row>
    <x:row r="1204">
      <x:c r="A1204" t="str">
        <x:v>SUS-001203</x:v>
      </x:c>
      <x:c r="B1204" t="str">
        <x:v>USR-00835</x:v>
      </x:c>
      <x:c r="C1204" t="str">
        <x:v>Cero</x:v>
      </x:c>
      <x:c r="D1204" t="n">
        <x:v>46143</x:v>
      </x:c>
      <x:c r="E1204" t="n">
        <x:v>46266</x:v>
      </x:c>
      <x:c r="F1204" t="str">
        <x:v>Activa</x:v>
      </x:c>
      <x:c r="G1204" t="str">
        <x:v>Gratuita</x:v>
      </x:c>
      <x:c r="H1204" t="n">
        <x:v>5</x:v>
      </x:c>
    </x:row>
    <x:row r="1205">
      <x:c r="A1205" t="str">
        <x:v>SUS-001204</x:v>
      </x:c>
      <x:c r="B1205" t="str">
        <x:v>USR-00836</x:v>
      </x:c>
      <x:c r="C1205" t="str">
        <x:v>Cero</x:v>
      </x:c>
      <x:c r="D1205" t="n">
        <x:v>46143</x:v>
      </x:c>
      <x:c r="E1205" t="n">
        <x:v>46143</x:v>
      </x:c>
      <x:c r="F1205" t="str">
        <x:v>Finalizada</x:v>
      </x:c>
      <x:c r="G1205" t="str">
        <x:v>Gratuita</x:v>
      </x:c>
      <x:c r="H1205" t="n">
        <x:v>1</x:v>
      </x:c>
    </x:row>
    <x:row r="1206">
      <x:c r="A1206" t="str">
        <x:v>SUS-001205</x:v>
      </x:c>
      <x:c r="B1206" t="str">
        <x:v>USR-00837</x:v>
      </x:c>
      <x:c r="C1206" t="str">
        <x:v>Plus anual</x:v>
      </x:c>
      <x:c r="D1206" t="n">
        <x:v>46143</x:v>
      </x:c>
      <x:c r="E1206" t="n">
        <x:v>46266</x:v>
      </x:c>
      <x:c r="F1206" t="str">
        <x:v>Activa</x:v>
      </x:c>
      <x:c r="G1206" t="str">
        <x:v>Anual</x:v>
      </x:c>
      <x:c r="H1206" t="n">
        <x:v>5</x:v>
      </x:c>
    </x:row>
    <x:row r="1207">
      <x:c r="A1207" t="str">
        <x:v>SUS-001206</x:v>
      </x:c>
      <x:c r="B1207" t="str">
        <x:v>USR-00838</x:v>
      </x:c>
      <x:c r="C1207" t="str">
        <x:v>Cero</x:v>
      </x:c>
      <x:c r="D1207" t="n">
        <x:v>46143</x:v>
      </x:c>
      <x:c r="E1207" t="n">
        <x:v>46266</x:v>
      </x:c>
      <x:c r="F1207" t="str">
        <x:v>Activa</x:v>
      </x:c>
      <x:c r="G1207" t="str">
        <x:v>Gratuita</x:v>
      </x:c>
      <x:c r="H1207" t="n">
        <x:v>5</x:v>
      </x:c>
    </x:row>
    <x:row r="1208">
      <x:c r="A1208" t="str">
        <x:v>SUS-001207</x:v>
      </x:c>
      <x:c r="B1208" t="str">
        <x:v>USR-00839</x:v>
      </x:c>
      <x:c r="C1208" t="str">
        <x:v>Cero</x:v>
      </x:c>
      <x:c r="D1208" t="n">
        <x:v>46143</x:v>
      </x:c>
      <x:c r="E1208" t="n">
        <x:v>46266</x:v>
      </x:c>
      <x:c r="F1208" t="str">
        <x:v>Activa</x:v>
      </x:c>
      <x:c r="G1208" t="str">
        <x:v>Gratuita</x:v>
      </x:c>
      <x:c r="H1208" t="n">
        <x:v>5</x:v>
      </x:c>
    </x:row>
    <x:row r="1209">
      <x:c r="A1209" t="str">
        <x:v>SUS-001208</x:v>
      </x:c>
      <x:c r="B1209" t="str">
        <x:v>USR-00840</x:v>
      </x:c>
      <x:c r="C1209" t="str">
        <x:v>Cero</x:v>
      </x:c>
      <x:c r="D1209" t="n">
        <x:v>46143</x:v>
      </x:c>
      <x:c r="E1209" t="n">
        <x:v>46266</x:v>
      </x:c>
      <x:c r="F1209" t="str">
        <x:v>Activa</x:v>
      </x:c>
      <x:c r="G1209" t="str">
        <x:v>Gratuita</x:v>
      </x:c>
      <x:c r="H1209" t="n">
        <x:v>5</x:v>
      </x:c>
    </x:row>
    <x:row r="1210">
      <x:c r="A1210" t="str">
        <x:v>SUS-001209</x:v>
      </x:c>
      <x:c r="B1210" t="str">
        <x:v>USR-00841</x:v>
      </x:c>
      <x:c r="C1210" t="str">
        <x:v>Cero</x:v>
      </x:c>
      <x:c r="D1210" t="n">
        <x:v>46143</x:v>
      </x:c>
      <x:c r="E1210" t="n">
        <x:v>46235</x:v>
      </x:c>
      <x:c r="F1210" t="str">
        <x:v>Finalizada</x:v>
      </x:c>
      <x:c r="G1210" t="str">
        <x:v>Gratuita</x:v>
      </x:c>
      <x:c r="H1210" t="n">
        <x:v>4</x:v>
      </x:c>
    </x:row>
    <x:row r="1211">
      <x:c r="A1211" t="str">
        <x:v>SUS-001210</x:v>
      </x:c>
      <x:c r="B1211" t="str">
        <x:v>USR-00842</x:v>
      </x:c>
      <x:c r="C1211" t="str">
        <x:v>Cero</x:v>
      </x:c>
      <x:c r="D1211" t="n">
        <x:v>46143</x:v>
      </x:c>
      <x:c r="E1211" t="n">
        <x:v>46266</x:v>
      </x:c>
      <x:c r="F1211" t="str">
        <x:v>Activa</x:v>
      </x:c>
      <x:c r="G1211" t="str">
        <x:v>Gratuita</x:v>
      </x:c>
      <x:c r="H1211" t="n">
        <x:v>5</x:v>
      </x:c>
    </x:row>
    <x:row r="1212">
      <x:c r="A1212" t="str">
        <x:v>SUS-001211</x:v>
      </x:c>
      <x:c r="B1212" t="str">
        <x:v>USR-00843</x:v>
      </x:c>
      <x:c r="C1212" t="str">
        <x:v>Cero</x:v>
      </x:c>
      <x:c r="D1212" t="n">
        <x:v>46143</x:v>
      </x:c>
      <x:c r="E1212" t="n">
        <x:v>46266</x:v>
      </x:c>
      <x:c r="F1212" t="str">
        <x:v>Activa</x:v>
      </x:c>
      <x:c r="G1212" t="str">
        <x:v>Gratuita</x:v>
      </x:c>
      <x:c r="H1212" t="n">
        <x:v>5</x:v>
      </x:c>
    </x:row>
    <x:row r="1213">
      <x:c r="A1213" t="str">
        <x:v>SUS-001212</x:v>
      </x:c>
      <x:c r="B1213" t="str">
        <x:v>USR-00844</x:v>
      </x:c>
      <x:c r="C1213" t="str">
        <x:v>Cero</x:v>
      </x:c>
      <x:c r="D1213" t="n">
        <x:v>46143</x:v>
      </x:c>
      <x:c r="E1213" t="n">
        <x:v>46266</x:v>
      </x:c>
      <x:c r="F1213" t="str">
        <x:v>Activa</x:v>
      </x:c>
      <x:c r="G1213" t="str">
        <x:v>Gratuita</x:v>
      </x:c>
      <x:c r="H1213" t="n">
        <x:v>5</x:v>
      </x:c>
    </x:row>
    <x:row r="1214">
      <x:c r="A1214" t="str">
        <x:v>SUS-001213</x:v>
      </x:c>
      <x:c r="B1214" t="str">
        <x:v>USR-00845</x:v>
      </x:c>
      <x:c r="C1214" t="str">
        <x:v>Cero</x:v>
      </x:c>
      <x:c r="D1214" t="n">
        <x:v>46143</x:v>
      </x:c>
      <x:c r="E1214" t="n">
        <x:v>46204</x:v>
      </x:c>
      <x:c r="F1214" t="str">
        <x:v>Finalizada</x:v>
      </x:c>
      <x:c r="G1214" t="str">
        <x:v>Gratuita</x:v>
      </x:c>
      <x:c r="H1214" t="n">
        <x:v>3</x:v>
      </x:c>
    </x:row>
    <x:row r="1215">
      <x:c r="A1215" t="str">
        <x:v>SUS-001214</x:v>
      </x:c>
      <x:c r="B1215" t="str">
        <x:v>USR-00846</x:v>
      </x:c>
      <x:c r="C1215" t="str">
        <x:v>Plus mensual</x:v>
      </x:c>
      <x:c r="D1215" t="n">
        <x:v>46143</x:v>
      </x:c>
      <x:c r="E1215" t="n">
        <x:v>46266</x:v>
      </x:c>
      <x:c r="F1215" t="str">
        <x:v>Activa</x:v>
      </x:c>
      <x:c r="G1215" t="str">
        <x:v>Mensual</x:v>
      </x:c>
      <x:c r="H1215" t="n">
        <x:v>5</x:v>
      </x:c>
    </x:row>
    <x:row r="1216">
      <x:c r="A1216" t="str">
        <x:v>SUS-001215</x:v>
      </x:c>
      <x:c r="B1216" t="str">
        <x:v>USR-00847</x:v>
      </x:c>
      <x:c r="C1216" t="str">
        <x:v>Cero</x:v>
      </x:c>
      <x:c r="D1216" t="n">
        <x:v>46143</x:v>
      </x:c>
      <x:c r="E1216" t="n">
        <x:v>46266</x:v>
      </x:c>
      <x:c r="F1216" t="str">
        <x:v>Activa</x:v>
      </x:c>
      <x:c r="G1216" t="str">
        <x:v>Gratuita</x:v>
      </x:c>
      <x:c r="H1216" t="n">
        <x:v>5</x:v>
      </x:c>
    </x:row>
    <x:row r="1217">
      <x:c r="A1217" t="str">
        <x:v>SUS-001216</x:v>
      </x:c>
      <x:c r="B1217" t="str">
        <x:v>USR-00848</x:v>
      </x:c>
      <x:c r="C1217" t="str">
        <x:v>Cero</x:v>
      </x:c>
      <x:c r="D1217" t="n">
        <x:v>46143</x:v>
      </x:c>
      <x:c r="E1217" t="n">
        <x:v>46204</x:v>
      </x:c>
      <x:c r="F1217" t="str">
        <x:v>Finalizada</x:v>
      </x:c>
      <x:c r="G1217" t="str">
        <x:v>Gratuita</x:v>
      </x:c>
      <x:c r="H1217" t="n">
        <x:v>3</x:v>
      </x:c>
    </x:row>
    <x:row r="1218">
      <x:c r="A1218" t="str">
        <x:v>SUS-001217</x:v>
      </x:c>
      <x:c r="B1218" t="str">
        <x:v>USR-00849</x:v>
      </x:c>
      <x:c r="C1218" t="str">
        <x:v>Cero</x:v>
      </x:c>
      <x:c r="D1218" t="n">
        <x:v>46143</x:v>
      </x:c>
      <x:c r="E1218" t="n">
        <x:v>46204</x:v>
      </x:c>
      <x:c r="F1218" t="str">
        <x:v>Finalizada</x:v>
      </x:c>
      <x:c r="G1218" t="str">
        <x:v>Gratuita</x:v>
      </x:c>
      <x:c r="H1218" t="n">
        <x:v>3</x:v>
      </x:c>
    </x:row>
    <x:row r="1219">
      <x:c r="A1219" t="str">
        <x:v>SUS-001218</x:v>
      </x:c>
      <x:c r="B1219" t="str">
        <x:v>USR-00850</x:v>
      </x:c>
      <x:c r="C1219" t="str">
        <x:v>Plus mensual</x:v>
      </x:c>
      <x:c r="D1219" t="n">
        <x:v>46143</x:v>
      </x:c>
      <x:c r="E1219" t="n">
        <x:v>46266</x:v>
      </x:c>
      <x:c r="F1219" t="str">
        <x:v>Activa</x:v>
      </x:c>
      <x:c r="G1219" t="str">
        <x:v>Mensual</x:v>
      </x:c>
      <x:c r="H1219" t="n">
        <x:v>5</x:v>
      </x:c>
    </x:row>
    <x:row r="1220">
      <x:c r="A1220" t="str">
        <x:v>SUS-001219</x:v>
      </x:c>
      <x:c r="B1220" t="str">
        <x:v>USR-00851</x:v>
      </x:c>
      <x:c r="C1220" t="str">
        <x:v>Plus mensual</x:v>
      </x:c>
      <x:c r="D1220" t="n">
        <x:v>46143</x:v>
      </x:c>
      <x:c r="E1220" t="n">
        <x:v>46143</x:v>
      </x:c>
      <x:c r="F1220" t="str">
        <x:v>Finalizada</x:v>
      </x:c>
      <x:c r="G1220" t="str">
        <x:v>Mensual</x:v>
      </x:c>
      <x:c r="H1220" t="n">
        <x:v>1</x:v>
      </x:c>
    </x:row>
    <x:row r="1221">
      <x:c r="A1221" t="str">
        <x:v>SUS-001220</x:v>
      </x:c>
      <x:c r="B1221" t="str">
        <x:v>USR-00852</x:v>
      </x:c>
      <x:c r="C1221" t="str">
        <x:v>Cero</x:v>
      </x:c>
      <x:c r="D1221" t="n">
        <x:v>46143</x:v>
      </x:c>
      <x:c r="E1221" t="n">
        <x:v>46174</x:v>
      </x:c>
      <x:c r="F1221" t="str">
        <x:v>Finalizada</x:v>
      </x:c>
      <x:c r="G1221" t="str">
        <x:v>Gratuita</x:v>
      </x:c>
      <x:c r="H1221" t="n">
        <x:v>2</x:v>
      </x:c>
    </x:row>
    <x:row r="1222">
      <x:c r="A1222" t="str">
        <x:v>SUS-001221</x:v>
      </x:c>
      <x:c r="B1222" t="str">
        <x:v>USR-00853</x:v>
      </x:c>
      <x:c r="C1222" t="str">
        <x:v>Cero</x:v>
      </x:c>
      <x:c r="D1222" t="n">
        <x:v>46143</x:v>
      </x:c>
      <x:c r="E1222" t="n">
        <x:v>46266</x:v>
      </x:c>
      <x:c r="F1222" t="str">
        <x:v>Activa</x:v>
      </x:c>
      <x:c r="G1222" t="str">
        <x:v>Gratuita</x:v>
      </x:c>
      <x:c r="H1222" t="n">
        <x:v>5</x:v>
      </x:c>
    </x:row>
    <x:row r="1223">
      <x:c r="A1223" t="str">
        <x:v>SUS-001222</x:v>
      </x:c>
      <x:c r="B1223" t="str">
        <x:v>USR-00854</x:v>
      </x:c>
      <x:c r="C1223" t="str">
        <x:v>Cero</x:v>
      </x:c>
      <x:c r="D1223" t="n">
        <x:v>46143</x:v>
      </x:c>
      <x:c r="E1223" t="n">
        <x:v>46266</x:v>
      </x:c>
      <x:c r="F1223" t="str">
        <x:v>Activa</x:v>
      </x:c>
      <x:c r="G1223" t="str">
        <x:v>Gratuita</x:v>
      </x:c>
      <x:c r="H1223" t="n">
        <x:v>5</x:v>
      </x:c>
    </x:row>
    <x:row r="1224">
      <x:c r="A1224" t="str">
        <x:v>SUS-001223</x:v>
      </x:c>
      <x:c r="B1224" t="str">
        <x:v>USR-00855</x:v>
      </x:c>
      <x:c r="C1224" t="str">
        <x:v>Cero</x:v>
      </x:c>
      <x:c r="D1224" t="n">
        <x:v>46143</x:v>
      </x:c>
      <x:c r="E1224" t="n">
        <x:v>46266</x:v>
      </x:c>
      <x:c r="F1224" t="str">
        <x:v>Activa</x:v>
      </x:c>
      <x:c r="G1224" t="str">
        <x:v>Gratuita</x:v>
      </x:c>
      <x:c r="H1224" t="n">
        <x:v>5</x:v>
      </x:c>
    </x:row>
    <x:row r="1225">
      <x:c r="A1225" t="str">
        <x:v>SUS-001224</x:v>
      </x:c>
      <x:c r="B1225" t="str">
        <x:v>USR-00856</x:v>
      </x:c>
      <x:c r="C1225" t="str">
        <x:v>Cero</x:v>
      </x:c>
      <x:c r="D1225" t="n">
        <x:v>46143</x:v>
      </x:c>
      <x:c r="E1225" t="n">
        <x:v>46235</x:v>
      </x:c>
      <x:c r="F1225" t="str">
        <x:v>Finalizada</x:v>
      </x:c>
      <x:c r="G1225" t="str">
        <x:v>Gratuita</x:v>
      </x:c>
      <x:c r="H1225" t="n">
        <x:v>4</x:v>
      </x:c>
    </x:row>
    <x:row r="1226">
      <x:c r="A1226" t="str">
        <x:v>SUS-001225</x:v>
      </x:c>
      <x:c r="B1226" t="str">
        <x:v>USR-00857</x:v>
      </x:c>
      <x:c r="C1226" t="str">
        <x:v>Cero</x:v>
      </x:c>
      <x:c r="D1226" t="n">
        <x:v>46143</x:v>
      </x:c>
      <x:c r="E1226" t="n">
        <x:v>46266</x:v>
      </x:c>
      <x:c r="F1226" t="str">
        <x:v>Activa</x:v>
      </x:c>
      <x:c r="G1226" t="str">
        <x:v>Gratuita</x:v>
      </x:c>
      <x:c r="H1226" t="n">
        <x:v>5</x:v>
      </x:c>
    </x:row>
    <x:row r="1227">
      <x:c r="A1227" t="str">
        <x:v>SUS-001226</x:v>
      </x:c>
      <x:c r="B1227" t="str">
        <x:v>USR-00858</x:v>
      </x:c>
      <x:c r="C1227" t="str">
        <x:v>Plus mensual</x:v>
      </x:c>
      <x:c r="D1227" t="n">
        <x:v>46143</x:v>
      </x:c>
      <x:c r="E1227" t="n">
        <x:v>46266</x:v>
      </x:c>
      <x:c r="F1227" t="str">
        <x:v>Activa</x:v>
      </x:c>
      <x:c r="G1227" t="str">
        <x:v>Mensual</x:v>
      </x:c>
      <x:c r="H1227" t="n">
        <x:v>5</x:v>
      </x:c>
    </x:row>
    <x:row r="1228">
      <x:c r="A1228" t="str">
        <x:v>SUS-001227</x:v>
      </x:c>
      <x:c r="B1228" t="str">
        <x:v>USR-00859</x:v>
      </x:c>
      <x:c r="C1228" t="str">
        <x:v>Plus mensual</x:v>
      </x:c>
      <x:c r="D1228" t="n">
        <x:v>46143</x:v>
      </x:c>
      <x:c r="E1228" t="n">
        <x:v>46266</x:v>
      </x:c>
      <x:c r="F1228" t="str">
        <x:v>Activa</x:v>
      </x:c>
      <x:c r="G1228" t="str">
        <x:v>Mensual</x:v>
      </x:c>
      <x:c r="H1228" t="n">
        <x:v>5</x:v>
      </x:c>
    </x:row>
    <x:row r="1229">
      <x:c r="A1229" t="str">
        <x:v>SUS-001228</x:v>
      </x:c>
      <x:c r="B1229" t="str">
        <x:v>USR-00860</x:v>
      </x:c>
      <x:c r="C1229" t="str">
        <x:v>Plus mensual</x:v>
      </x:c>
      <x:c r="D1229" t="n">
        <x:v>46143</x:v>
      </x:c>
      <x:c r="E1229" t="n">
        <x:v>46266</x:v>
      </x:c>
      <x:c r="F1229" t="str">
        <x:v>Activa</x:v>
      </x:c>
      <x:c r="G1229" t="str">
        <x:v>Mensual</x:v>
      </x:c>
      <x:c r="H1229" t="n">
        <x:v>5</x:v>
      </x:c>
    </x:row>
    <x:row r="1230">
      <x:c r="A1230" t="str">
        <x:v>SUS-001229</x:v>
      </x:c>
      <x:c r="B1230" t="str">
        <x:v>USR-00861</x:v>
      </x:c>
      <x:c r="C1230" t="str">
        <x:v>Plus mensual</x:v>
      </x:c>
      <x:c r="D1230" t="n">
        <x:v>46143</x:v>
      </x:c>
      <x:c r="E1230" t="n">
        <x:v>46266</x:v>
      </x:c>
      <x:c r="F1230" t="str">
        <x:v>Activa</x:v>
      </x:c>
      <x:c r="G1230" t="str">
        <x:v>Mensual</x:v>
      </x:c>
      <x:c r="H1230" t="n">
        <x:v>5</x:v>
      </x:c>
    </x:row>
    <x:row r="1231">
      <x:c r="A1231" t="str">
        <x:v>SUS-001230</x:v>
      </x:c>
      <x:c r="B1231" t="str">
        <x:v>USR-00862</x:v>
      </x:c>
      <x:c r="C1231" t="str">
        <x:v>Plus mensual</x:v>
      </x:c>
      <x:c r="D1231" t="n">
        <x:v>46143</x:v>
      </x:c>
      <x:c r="E1231" t="n">
        <x:v>46266</x:v>
      </x:c>
      <x:c r="F1231" t="str">
        <x:v>Activa</x:v>
      </x:c>
      <x:c r="G1231" t="str">
        <x:v>Mensual</x:v>
      </x:c>
      <x:c r="H1231" t="n">
        <x:v>5</x:v>
      </x:c>
    </x:row>
    <x:row r="1232">
      <x:c r="A1232" t="str">
        <x:v>SUS-001231</x:v>
      </x:c>
      <x:c r="B1232" t="str">
        <x:v>USR-00863</x:v>
      </x:c>
      <x:c r="C1232" t="str">
        <x:v>Cero</x:v>
      </x:c>
      <x:c r="D1232" t="n">
        <x:v>46143</x:v>
      </x:c>
      <x:c r="E1232" t="n">
        <x:v>46266</x:v>
      </x:c>
      <x:c r="F1232" t="str">
        <x:v>Activa</x:v>
      </x:c>
      <x:c r="G1232" t="str">
        <x:v>Gratuita</x:v>
      </x:c>
      <x:c r="H1232" t="n">
        <x:v>5</x:v>
      </x:c>
    </x:row>
    <x:row r="1233">
      <x:c r="A1233" t="str">
        <x:v>SUS-001232</x:v>
      </x:c>
      <x:c r="B1233" t="str">
        <x:v>USR-00864</x:v>
      </x:c>
      <x:c r="C1233" t="str">
        <x:v>Cero</x:v>
      </x:c>
      <x:c r="D1233" t="n">
        <x:v>46143</x:v>
      </x:c>
      <x:c r="E1233" t="n">
        <x:v>46266</x:v>
      </x:c>
      <x:c r="F1233" t="str">
        <x:v>Activa</x:v>
      </x:c>
      <x:c r="G1233" t="str">
        <x:v>Gratuita</x:v>
      </x:c>
      <x:c r="H1233" t="n">
        <x:v>5</x:v>
      </x:c>
    </x:row>
    <x:row r="1234">
      <x:c r="A1234" t="str">
        <x:v>SUS-001233</x:v>
      </x:c>
      <x:c r="B1234" t="str">
        <x:v>USR-00865</x:v>
      </x:c>
      <x:c r="C1234" t="str">
        <x:v>Cero</x:v>
      </x:c>
      <x:c r="D1234" t="n">
        <x:v>46143</x:v>
      </x:c>
      <x:c r="E1234" t="n">
        <x:v>46266</x:v>
      </x:c>
      <x:c r="F1234" t="str">
        <x:v>Activa</x:v>
      </x:c>
      <x:c r="G1234" t="str">
        <x:v>Gratuita</x:v>
      </x:c>
      <x:c r="H1234" t="n">
        <x:v>5</x:v>
      </x:c>
    </x:row>
    <x:row r="1235">
      <x:c r="A1235" t="str">
        <x:v>SUS-001234</x:v>
      </x:c>
      <x:c r="B1235" t="str">
        <x:v>USR-00866</x:v>
      </x:c>
      <x:c r="C1235" t="str">
        <x:v>Cero</x:v>
      </x:c>
      <x:c r="D1235" t="n">
        <x:v>46143</x:v>
      </x:c>
      <x:c r="E1235" t="n">
        <x:v>46204</x:v>
      </x:c>
      <x:c r="F1235" t="str">
        <x:v>Finalizada</x:v>
      </x:c>
      <x:c r="G1235" t="str">
        <x:v>Gratuita</x:v>
      </x:c>
      <x:c r="H1235" t="n">
        <x:v>3</x:v>
      </x:c>
    </x:row>
    <x:row r="1236">
      <x:c r="A1236" t="str">
        <x:v>SUS-001235</x:v>
      </x:c>
      <x:c r="B1236" t="str">
        <x:v>USR-00867</x:v>
      </x:c>
      <x:c r="C1236" t="str">
        <x:v>Cero</x:v>
      </x:c>
      <x:c r="D1236" t="n">
        <x:v>46143</x:v>
      </x:c>
      <x:c r="E1236" t="n">
        <x:v>46266</x:v>
      </x:c>
      <x:c r="F1236" t="str">
        <x:v>Activa</x:v>
      </x:c>
      <x:c r="G1236" t="str">
        <x:v>Gratuita</x:v>
      </x:c>
      <x:c r="H1236" t="n">
        <x:v>5</x:v>
      </x:c>
    </x:row>
    <x:row r="1237">
      <x:c r="A1237" t="str">
        <x:v>SUS-001236</x:v>
      </x:c>
      <x:c r="B1237" t="str">
        <x:v>USR-00868</x:v>
      </x:c>
      <x:c r="C1237" t="str">
        <x:v>Cero</x:v>
      </x:c>
      <x:c r="D1237" t="n">
        <x:v>46143</x:v>
      </x:c>
      <x:c r="E1237" t="n">
        <x:v>46266</x:v>
      </x:c>
      <x:c r="F1237" t="str">
        <x:v>Activa</x:v>
      </x:c>
      <x:c r="G1237" t="str">
        <x:v>Gratuita</x:v>
      </x:c>
      <x:c r="H1237" t="n">
        <x:v>5</x:v>
      </x:c>
    </x:row>
    <x:row r="1238">
      <x:c r="A1238" t="str">
        <x:v>SUS-001237</x:v>
      </x:c>
      <x:c r="B1238" t="str">
        <x:v>USR-00869</x:v>
      </x:c>
      <x:c r="C1238" t="str">
        <x:v>Cero</x:v>
      </x:c>
      <x:c r="D1238" t="n">
        <x:v>46143</x:v>
      </x:c>
      <x:c r="E1238" t="n">
        <x:v>46266</x:v>
      </x:c>
      <x:c r="F1238" t="str">
        <x:v>Activa</x:v>
      </x:c>
      <x:c r="G1238" t="str">
        <x:v>Gratuita</x:v>
      </x:c>
      <x:c r="H1238" t="n">
        <x:v>5</x:v>
      </x:c>
    </x:row>
    <x:row r="1239">
      <x:c r="A1239" t="str">
        <x:v>SUS-001238</x:v>
      </x:c>
      <x:c r="B1239" t="str">
        <x:v>USR-00870</x:v>
      </x:c>
      <x:c r="C1239" t="str">
        <x:v>Cero</x:v>
      </x:c>
      <x:c r="D1239" t="n">
        <x:v>46143</x:v>
      </x:c>
      <x:c r="E1239" t="n">
        <x:v>46266</x:v>
      </x:c>
      <x:c r="F1239" t="str">
        <x:v>Activa</x:v>
      </x:c>
      <x:c r="G1239" t="str">
        <x:v>Gratuita</x:v>
      </x:c>
      <x:c r="H1239" t="n">
        <x:v>5</x:v>
      </x:c>
    </x:row>
    <x:row r="1240">
      <x:c r="A1240" t="str">
        <x:v>SUS-001239</x:v>
      </x:c>
      <x:c r="B1240" t="str">
        <x:v>USR-00871</x:v>
      </x:c>
      <x:c r="C1240" t="str">
        <x:v>Plus mensual</x:v>
      </x:c>
      <x:c r="D1240" t="n">
        <x:v>46143</x:v>
      </x:c>
      <x:c r="E1240" t="n">
        <x:v>46266</x:v>
      </x:c>
      <x:c r="F1240" t="str">
        <x:v>Activa</x:v>
      </x:c>
      <x:c r="G1240" t="str">
        <x:v>Mensual</x:v>
      </x:c>
      <x:c r="H1240" t="n">
        <x:v>5</x:v>
      </x:c>
    </x:row>
    <x:row r="1241">
      <x:c r="A1241" t="str">
        <x:v>SUS-001240</x:v>
      </x:c>
      <x:c r="B1241" t="str">
        <x:v>USR-00872</x:v>
      </x:c>
      <x:c r="C1241" t="str">
        <x:v>Plus mensual</x:v>
      </x:c>
      <x:c r="D1241" t="n">
        <x:v>46143</x:v>
      </x:c>
      <x:c r="E1241" t="n">
        <x:v>46143</x:v>
      </x:c>
      <x:c r="F1241" t="str">
        <x:v>Finalizada</x:v>
      </x:c>
      <x:c r="G1241" t="str">
        <x:v>Mensual</x:v>
      </x:c>
      <x:c r="H1241" t="n">
        <x:v>1</x:v>
      </x:c>
    </x:row>
    <x:row r="1242">
      <x:c r="A1242" t="str">
        <x:v>SUS-001241</x:v>
      </x:c>
      <x:c r="B1242" t="str">
        <x:v>USR-00873</x:v>
      </x:c>
      <x:c r="C1242" t="str">
        <x:v>Cero</x:v>
      </x:c>
      <x:c r="D1242" t="n">
        <x:v>46143</x:v>
      </x:c>
      <x:c r="E1242" t="n">
        <x:v>46266</x:v>
      </x:c>
      <x:c r="F1242" t="str">
        <x:v>Activa</x:v>
      </x:c>
      <x:c r="G1242" t="str">
        <x:v>Gratuita</x:v>
      </x:c>
      <x:c r="H1242" t="n">
        <x:v>5</x:v>
      </x:c>
    </x:row>
    <x:row r="1243">
      <x:c r="A1243" t="str">
        <x:v>SUS-001242</x:v>
      </x:c>
      <x:c r="B1243" t="str">
        <x:v>USR-00874</x:v>
      </x:c>
      <x:c r="C1243" t="str">
        <x:v>Cero</x:v>
      </x:c>
      <x:c r="D1243" t="n">
        <x:v>46143</x:v>
      </x:c>
      <x:c r="E1243" t="n">
        <x:v>46266</x:v>
      </x:c>
      <x:c r="F1243" t="str">
        <x:v>Activa</x:v>
      </x:c>
      <x:c r="G1243" t="str">
        <x:v>Gratuita</x:v>
      </x:c>
      <x:c r="H1243" t="n">
        <x:v>5</x:v>
      </x:c>
    </x:row>
    <x:row r="1244">
      <x:c r="A1244" t="str">
        <x:v>SUS-001243</x:v>
      </x:c>
      <x:c r="B1244" t="str">
        <x:v>USR-00875</x:v>
      </x:c>
      <x:c r="C1244" t="str">
        <x:v>Plus mensual</x:v>
      </x:c>
      <x:c r="D1244" t="n">
        <x:v>46143</x:v>
      </x:c>
      <x:c r="E1244" t="n">
        <x:v>46266</x:v>
      </x:c>
      <x:c r="F1244" t="str">
        <x:v>Activa</x:v>
      </x:c>
      <x:c r="G1244" t="str">
        <x:v>Mensual</x:v>
      </x:c>
      <x:c r="H1244" t="n">
        <x:v>5</x:v>
      </x:c>
    </x:row>
    <x:row r="1245">
      <x:c r="A1245" t="str">
        <x:v>SUS-001244</x:v>
      </x:c>
      <x:c r="B1245" t="str">
        <x:v>USR-00876</x:v>
      </x:c>
      <x:c r="C1245" t="str">
        <x:v>Cero</x:v>
      </x:c>
      <x:c r="D1245" t="n">
        <x:v>46143</x:v>
      </x:c>
      <x:c r="E1245" t="n">
        <x:v>46174</x:v>
      </x:c>
      <x:c r="F1245" t="str">
        <x:v>Finalizada</x:v>
      </x:c>
      <x:c r="G1245" t="str">
        <x:v>Gratuita</x:v>
      </x:c>
      <x:c r="H1245" t="n">
        <x:v>2</x:v>
      </x:c>
    </x:row>
    <x:row r="1246">
      <x:c r="A1246" t="str">
        <x:v>SUS-001245</x:v>
      </x:c>
      <x:c r="B1246" t="str">
        <x:v>USR-00877</x:v>
      </x:c>
      <x:c r="C1246" t="str">
        <x:v>Cero</x:v>
      </x:c>
      <x:c r="D1246" t="n">
        <x:v>46143</x:v>
      </x:c>
      <x:c r="E1246" t="n">
        <x:v>46266</x:v>
      </x:c>
      <x:c r="F1246" t="str">
        <x:v>Activa</x:v>
      </x:c>
      <x:c r="G1246" t="str">
        <x:v>Gratuita</x:v>
      </x:c>
      <x:c r="H1246" t="n">
        <x:v>5</x:v>
      </x:c>
    </x:row>
    <x:row r="1247">
      <x:c r="A1247" t="str">
        <x:v>SUS-001246</x:v>
      </x:c>
      <x:c r="B1247" t="str">
        <x:v>USR-00878</x:v>
      </x:c>
      <x:c r="C1247" t="str">
        <x:v>Cero</x:v>
      </x:c>
      <x:c r="D1247" t="n">
        <x:v>46143</x:v>
      </x:c>
      <x:c r="E1247" t="n">
        <x:v>46266</x:v>
      </x:c>
      <x:c r="F1247" t="str">
        <x:v>Activa</x:v>
      </x:c>
      <x:c r="G1247" t="str">
        <x:v>Gratuita</x:v>
      </x:c>
      <x:c r="H1247" t="n">
        <x:v>5</x:v>
      </x:c>
    </x:row>
    <x:row r="1248">
      <x:c r="A1248" t="str">
        <x:v>SUS-001247</x:v>
      </x:c>
      <x:c r="B1248" t="str">
        <x:v>USR-00879</x:v>
      </x:c>
      <x:c r="C1248" t="str">
        <x:v>Cero</x:v>
      </x:c>
      <x:c r="D1248" t="n">
        <x:v>46143</x:v>
      </x:c>
      <x:c r="E1248" t="n">
        <x:v>46235</x:v>
      </x:c>
      <x:c r="F1248" t="str">
        <x:v>Finalizada</x:v>
      </x:c>
      <x:c r="G1248" t="str">
        <x:v>Gratuita</x:v>
      </x:c>
      <x:c r="H1248" t="n">
        <x:v>4</x:v>
      </x:c>
    </x:row>
    <x:row r="1249">
      <x:c r="A1249" t="str">
        <x:v>SUS-001248</x:v>
      </x:c>
      <x:c r="B1249" t="str">
        <x:v>USR-00880</x:v>
      </x:c>
      <x:c r="C1249" t="str">
        <x:v>Cero</x:v>
      </x:c>
      <x:c r="D1249" t="n">
        <x:v>46143</x:v>
      </x:c>
      <x:c r="E1249" t="n">
        <x:v>46266</x:v>
      </x:c>
      <x:c r="F1249" t="str">
        <x:v>Activa</x:v>
      </x:c>
      <x:c r="G1249" t="str">
        <x:v>Gratuita</x:v>
      </x:c>
      <x:c r="H1249" t="n">
        <x:v>5</x:v>
      </x:c>
    </x:row>
    <x:row r="1250">
      <x:c r="A1250" t="str">
        <x:v>SUS-001249</x:v>
      </x:c>
      <x:c r="B1250" t="str">
        <x:v>USR-00881</x:v>
      </x:c>
      <x:c r="C1250" t="str">
        <x:v>Cero</x:v>
      </x:c>
      <x:c r="D1250" t="n">
        <x:v>46143</x:v>
      </x:c>
      <x:c r="E1250" t="n">
        <x:v>46266</x:v>
      </x:c>
      <x:c r="F1250" t="str">
        <x:v>Activa</x:v>
      </x:c>
      <x:c r="G1250" t="str">
        <x:v>Gratuita</x:v>
      </x:c>
      <x:c r="H1250" t="n">
        <x:v>5</x:v>
      </x:c>
    </x:row>
    <x:row r="1251">
      <x:c r="A1251" t="str">
        <x:v>SUS-001250</x:v>
      </x:c>
      <x:c r="B1251" t="str">
        <x:v>USR-00882</x:v>
      </x:c>
      <x:c r="C1251" t="str">
        <x:v>Plus mensual</x:v>
      </x:c>
      <x:c r="D1251" t="n">
        <x:v>46143</x:v>
      </x:c>
      <x:c r="E1251" t="n">
        <x:v>46174</x:v>
      </x:c>
      <x:c r="F1251" t="str">
        <x:v>Finalizada</x:v>
      </x:c>
      <x:c r="G1251" t="str">
        <x:v>Mensual</x:v>
      </x:c>
      <x:c r="H1251" t="n">
        <x:v>2</x:v>
      </x:c>
    </x:row>
    <x:row r="1252">
      <x:c r="A1252" t="str">
        <x:v>SUS-001251</x:v>
      </x:c>
      <x:c r="B1252" t="str">
        <x:v>USR-00883</x:v>
      </x:c>
      <x:c r="C1252" t="str">
        <x:v>Cero</x:v>
      </x:c>
      <x:c r="D1252" t="n">
        <x:v>46143</x:v>
      </x:c>
      <x:c r="E1252" t="n">
        <x:v>46266</x:v>
      </x:c>
      <x:c r="F1252" t="str">
        <x:v>Activa</x:v>
      </x:c>
      <x:c r="G1252" t="str">
        <x:v>Gratuita</x:v>
      </x:c>
      <x:c r="H1252" t="n">
        <x:v>5</x:v>
      </x:c>
    </x:row>
    <x:row r="1253">
      <x:c r="A1253" t="str">
        <x:v>SUS-001252</x:v>
      </x:c>
      <x:c r="B1253" t="str">
        <x:v>USR-00884</x:v>
      </x:c>
      <x:c r="C1253" t="str">
        <x:v>Cero</x:v>
      </x:c>
      <x:c r="D1253" t="n">
        <x:v>46143</x:v>
      </x:c>
      <x:c r="E1253" t="n">
        <x:v>46266</x:v>
      </x:c>
      <x:c r="F1253" t="str">
        <x:v>Activa</x:v>
      </x:c>
      <x:c r="G1253" t="str">
        <x:v>Gratuita</x:v>
      </x:c>
      <x:c r="H1253" t="n">
        <x:v>5</x:v>
      </x:c>
    </x:row>
    <x:row r="1254">
      <x:c r="A1254" t="str">
        <x:v>SUS-001253</x:v>
      </x:c>
      <x:c r="B1254" t="str">
        <x:v>USR-00885</x:v>
      </x:c>
      <x:c r="C1254" t="str">
        <x:v>Plus mensual</x:v>
      </x:c>
      <x:c r="D1254" t="n">
        <x:v>46143</x:v>
      </x:c>
      <x:c r="E1254" t="n">
        <x:v>46266</x:v>
      </x:c>
      <x:c r="F1254" t="str">
        <x:v>Activa</x:v>
      </x:c>
      <x:c r="G1254" t="str">
        <x:v>Mensual</x:v>
      </x:c>
      <x:c r="H1254" t="n">
        <x:v>5</x:v>
      </x:c>
    </x:row>
    <x:row r="1255">
      <x:c r="A1255" t="str">
        <x:v>SUS-001254</x:v>
      </x:c>
      <x:c r="B1255" t="str">
        <x:v>USR-00886</x:v>
      </x:c>
      <x:c r="C1255" t="str">
        <x:v>Cero</x:v>
      </x:c>
      <x:c r="D1255" t="n">
        <x:v>46143</x:v>
      </x:c>
      <x:c r="E1255" t="n">
        <x:v>46174</x:v>
      </x:c>
      <x:c r="F1255" t="str">
        <x:v>Finalizada</x:v>
      </x:c>
      <x:c r="G1255" t="str">
        <x:v>Gratuita</x:v>
      </x:c>
      <x:c r="H1255" t="n">
        <x:v>2</x:v>
      </x:c>
    </x:row>
    <x:row r="1256">
      <x:c r="A1256" t="str">
        <x:v>SUS-001255</x:v>
      </x:c>
      <x:c r="B1256" t="str">
        <x:v>USR-00887</x:v>
      </x:c>
      <x:c r="C1256" t="str">
        <x:v>Cero</x:v>
      </x:c>
      <x:c r="D1256" t="n">
        <x:v>46143</x:v>
      </x:c>
      <x:c r="E1256" t="n">
        <x:v>46266</x:v>
      </x:c>
      <x:c r="F1256" t="str">
        <x:v>Activa</x:v>
      </x:c>
      <x:c r="G1256" t="str">
        <x:v>Gratuita</x:v>
      </x:c>
      <x:c r="H1256" t="n">
        <x:v>5</x:v>
      </x:c>
    </x:row>
    <x:row r="1257">
      <x:c r="A1257" t="str">
        <x:v>SUS-001256</x:v>
      </x:c>
      <x:c r="B1257" t="str">
        <x:v>USR-00888</x:v>
      </x:c>
      <x:c r="C1257" t="str">
        <x:v>Cero</x:v>
      </x:c>
      <x:c r="D1257" t="n">
        <x:v>46143</x:v>
      </x:c>
      <x:c r="E1257" t="n">
        <x:v>46266</x:v>
      </x:c>
      <x:c r="F1257" t="str">
        <x:v>Activa</x:v>
      </x:c>
      <x:c r="G1257" t="str">
        <x:v>Gratuita</x:v>
      </x:c>
      <x:c r="H1257" t="n">
        <x:v>5</x:v>
      </x:c>
    </x:row>
    <x:row r="1258">
      <x:c r="A1258" t="str">
        <x:v>SUS-001257</x:v>
      </x:c>
      <x:c r="B1258" t="str">
        <x:v>USR-00889</x:v>
      </x:c>
      <x:c r="C1258" t="str">
        <x:v>Cero</x:v>
      </x:c>
      <x:c r="D1258" t="n">
        <x:v>46143</x:v>
      </x:c>
      <x:c r="E1258" t="n">
        <x:v>46143</x:v>
      </x:c>
      <x:c r="F1258" t="str">
        <x:v>Finalizada</x:v>
      </x:c>
      <x:c r="G1258" t="str">
        <x:v>Gratuita</x:v>
      </x:c>
      <x:c r="H1258" t="n">
        <x:v>1</x:v>
      </x:c>
    </x:row>
    <x:row r="1259">
      <x:c r="A1259" t="str">
        <x:v>SUS-001258</x:v>
      </x:c>
      <x:c r="B1259" t="str">
        <x:v>USR-00890</x:v>
      </x:c>
      <x:c r="C1259" t="str">
        <x:v>Cero</x:v>
      </x:c>
      <x:c r="D1259" t="n">
        <x:v>46143</x:v>
      </x:c>
      <x:c r="E1259" t="n">
        <x:v>46266</x:v>
      </x:c>
      <x:c r="F1259" t="str">
        <x:v>Activa</x:v>
      </x:c>
      <x:c r="G1259" t="str">
        <x:v>Gratuita</x:v>
      </x:c>
      <x:c r="H1259" t="n">
        <x:v>5</x:v>
      </x:c>
    </x:row>
    <x:row r="1260">
      <x:c r="A1260" t="str">
        <x:v>SUS-001259</x:v>
      </x:c>
      <x:c r="B1260" t="str">
        <x:v>USR-00891</x:v>
      </x:c>
      <x:c r="C1260" t="str">
        <x:v>Cero</x:v>
      </x:c>
      <x:c r="D1260" t="n">
        <x:v>46143</x:v>
      </x:c>
      <x:c r="E1260" t="n">
        <x:v>46266</x:v>
      </x:c>
      <x:c r="F1260" t="str">
        <x:v>Activa</x:v>
      </x:c>
      <x:c r="G1260" t="str">
        <x:v>Gratuita</x:v>
      </x:c>
      <x:c r="H1260" t="n">
        <x:v>5</x:v>
      </x:c>
    </x:row>
    <x:row r="1261">
      <x:c r="A1261" t="str">
        <x:v>SUS-001260</x:v>
      </x:c>
      <x:c r="B1261" t="str">
        <x:v>USR-00007</x:v>
      </x:c>
      <x:c r="C1261" t="str">
        <x:v>Plus mensual</x:v>
      </x:c>
      <x:c r="D1261" t="n">
        <x:v>46174</x:v>
      </x:c>
      <x:c r="E1261" t="n">
        <x:v>46266</x:v>
      </x:c>
      <x:c r="F1261" t="str">
        <x:v>Activa</x:v>
      </x:c>
      <x:c r="G1261" t="str">
        <x:v>Mensual</x:v>
      </x:c>
      <x:c r="H1261" t="n">
        <x:v>4</x:v>
      </x:c>
    </x:row>
    <x:row r="1262">
      <x:c r="A1262" t="str">
        <x:v>SUS-001261</x:v>
      </x:c>
      <x:c r="B1262" t="str">
        <x:v>USR-00071</x:v>
      </x:c>
      <x:c r="C1262" t="str">
        <x:v>Plus mensual</x:v>
      </x:c>
      <x:c r="D1262" t="n">
        <x:v>46174</x:v>
      </x:c>
      <x:c r="E1262" t="n">
        <x:v>46266</x:v>
      </x:c>
      <x:c r="F1262" t="str">
        <x:v>Activa</x:v>
      </x:c>
      <x:c r="G1262" t="str">
        <x:v>Mensual</x:v>
      </x:c>
      <x:c r="H1262" t="n">
        <x:v>4</x:v>
      </x:c>
    </x:row>
    <x:row r="1263">
      <x:c r="A1263" t="str">
        <x:v>SUS-001262</x:v>
      </x:c>
      <x:c r="B1263" t="str">
        <x:v>USR-00073</x:v>
      </x:c>
      <x:c r="C1263" t="str">
        <x:v>Plus mensual</x:v>
      </x:c>
      <x:c r="D1263" t="n">
        <x:v>46174</x:v>
      </x:c>
      <x:c r="E1263" t="n">
        <x:v>46266</x:v>
      </x:c>
      <x:c r="F1263" t="str">
        <x:v>Activa</x:v>
      </x:c>
      <x:c r="G1263" t="str">
        <x:v>Mensual</x:v>
      </x:c>
      <x:c r="H1263" t="n">
        <x:v>4</x:v>
      </x:c>
    </x:row>
    <x:row r="1264">
      <x:c r="A1264" t="str">
        <x:v>SUS-001263</x:v>
      </x:c>
      <x:c r="B1264" t="str">
        <x:v>USR-00136</x:v>
      </x:c>
      <x:c r="C1264" t="str">
        <x:v>Plus mensual</x:v>
      </x:c>
      <x:c r="D1264" t="n">
        <x:v>46174</x:v>
      </x:c>
      <x:c r="E1264" t="n">
        <x:v>46266</x:v>
      </x:c>
      <x:c r="F1264" t="str">
        <x:v>Activa</x:v>
      </x:c>
      <x:c r="G1264" t="str">
        <x:v>Mensual</x:v>
      </x:c>
      <x:c r="H1264" t="n">
        <x:v>4</x:v>
      </x:c>
    </x:row>
    <x:row r="1265">
      <x:c r="A1265" t="str">
        <x:v>SUS-001264</x:v>
      </x:c>
      <x:c r="B1265" t="str">
        <x:v>USR-00151</x:v>
      </x:c>
      <x:c r="C1265" t="str">
        <x:v>Plus mensual</x:v>
      </x:c>
      <x:c r="D1265" t="n">
        <x:v>46174</x:v>
      </x:c>
      <x:c r="E1265" t="n">
        <x:v>46266</x:v>
      </x:c>
      <x:c r="F1265" t="str">
        <x:v>Activa</x:v>
      </x:c>
      <x:c r="G1265" t="str">
        <x:v>Mensual</x:v>
      </x:c>
      <x:c r="H1265" t="n">
        <x:v>4</x:v>
      </x:c>
    </x:row>
    <x:row r="1266">
      <x:c r="A1266" t="str">
        <x:v>SUS-001265</x:v>
      </x:c>
      <x:c r="B1266" t="str">
        <x:v>USR-00174</x:v>
      </x:c>
      <x:c r="C1266" t="str">
        <x:v>Plus mensual</x:v>
      </x:c>
      <x:c r="D1266" t="n">
        <x:v>46174</x:v>
      </x:c>
      <x:c r="E1266" t="n">
        <x:v>46266</x:v>
      </x:c>
      <x:c r="F1266" t="str">
        <x:v>Activa</x:v>
      </x:c>
      <x:c r="G1266" t="str">
        <x:v>Mensual</x:v>
      </x:c>
      <x:c r="H1266" t="n">
        <x:v>4</x:v>
      </x:c>
    </x:row>
    <x:row r="1267">
      <x:c r="A1267" t="str">
        <x:v>SUS-001266</x:v>
      </x:c>
      <x:c r="B1267" t="str">
        <x:v>USR-00179</x:v>
      </x:c>
      <x:c r="C1267" t="str">
        <x:v>Plus mensual</x:v>
      </x:c>
      <x:c r="D1267" t="n">
        <x:v>46174</x:v>
      </x:c>
      <x:c r="E1267" t="n">
        <x:v>46174</x:v>
      </x:c>
      <x:c r="F1267" t="str">
        <x:v>Finalizada</x:v>
      </x:c>
      <x:c r="G1267" t="str">
        <x:v>Mensual</x:v>
      </x:c>
      <x:c r="H1267" t="n">
        <x:v>1</x:v>
      </x:c>
    </x:row>
    <x:row r="1268">
      <x:c r="A1268" t="str">
        <x:v>SUS-001267</x:v>
      </x:c>
      <x:c r="B1268" t="str">
        <x:v>USR-00186</x:v>
      </x:c>
      <x:c r="C1268" t="str">
        <x:v>Cero</x:v>
      </x:c>
      <x:c r="D1268" t="n">
        <x:v>46174</x:v>
      </x:c>
      <x:c r="E1268" t="n">
        <x:v>46266</x:v>
      </x:c>
      <x:c r="F1268" t="str">
        <x:v>Activa</x:v>
      </x:c>
      <x:c r="G1268" t="str">
        <x:v>Gratuita</x:v>
      </x:c>
      <x:c r="H1268" t="n">
        <x:v>4</x:v>
      </x:c>
    </x:row>
    <x:row r="1269">
      <x:c r="A1269" t="str">
        <x:v>SUS-001268</x:v>
      </x:c>
      <x:c r="B1269" t="str">
        <x:v>USR-00207</x:v>
      </x:c>
      <x:c r="C1269" t="str">
        <x:v>Cero</x:v>
      </x:c>
      <x:c r="D1269" t="n">
        <x:v>46174</x:v>
      </x:c>
      <x:c r="E1269" t="n">
        <x:v>46266</x:v>
      </x:c>
      <x:c r="F1269" t="str">
        <x:v>Activa</x:v>
      </x:c>
      <x:c r="G1269" t="str">
        <x:v>Gratuita</x:v>
      </x:c>
      <x:c r="H1269" t="n">
        <x:v>4</x:v>
      </x:c>
    </x:row>
    <x:row r="1270">
      <x:c r="A1270" t="str">
        <x:v>SUS-001269</x:v>
      </x:c>
      <x:c r="B1270" t="str">
        <x:v>USR-00224</x:v>
      </x:c>
      <x:c r="C1270" t="str">
        <x:v>Plus anual</x:v>
      </x:c>
      <x:c r="D1270" t="n">
        <x:v>46174</x:v>
      </x:c>
      <x:c r="E1270" t="n">
        <x:v>46266</x:v>
      </x:c>
      <x:c r="F1270" t="str">
        <x:v>Activa</x:v>
      </x:c>
      <x:c r="G1270" t="str">
        <x:v>Anual</x:v>
      </x:c>
      <x:c r="H1270" t="n">
        <x:v>4</x:v>
      </x:c>
    </x:row>
    <x:row r="1271">
      <x:c r="A1271" t="str">
        <x:v>SUS-001270</x:v>
      </x:c>
      <x:c r="B1271" t="str">
        <x:v>USR-00258</x:v>
      </x:c>
      <x:c r="C1271" t="str">
        <x:v>Plus mensual</x:v>
      </x:c>
      <x:c r="D1271" t="n">
        <x:v>46174</x:v>
      </x:c>
      <x:c r="E1271" t="n">
        <x:v>46174</x:v>
      </x:c>
      <x:c r="F1271" t="str">
        <x:v>Finalizada</x:v>
      </x:c>
      <x:c r="G1271" t="str">
        <x:v>Mensual</x:v>
      </x:c>
      <x:c r="H1271" t="n">
        <x:v>1</x:v>
      </x:c>
    </x:row>
    <x:row r="1272">
      <x:c r="A1272" t="str">
        <x:v>SUS-001271</x:v>
      </x:c>
      <x:c r="B1272" t="str">
        <x:v>USR-00279</x:v>
      </x:c>
      <x:c r="C1272" t="str">
        <x:v>Plus anual</x:v>
      </x:c>
      <x:c r="D1272" t="n">
        <x:v>46174</x:v>
      </x:c>
      <x:c r="E1272" t="n">
        <x:v>46266</x:v>
      </x:c>
      <x:c r="F1272" t="str">
        <x:v>Activa</x:v>
      </x:c>
      <x:c r="G1272" t="str">
        <x:v>Anual</x:v>
      </x:c>
      <x:c r="H1272" t="n">
        <x:v>4</x:v>
      </x:c>
    </x:row>
    <x:row r="1273">
      <x:c r="A1273" t="str">
        <x:v>SUS-001272</x:v>
      </x:c>
      <x:c r="B1273" t="str">
        <x:v>USR-00316</x:v>
      </x:c>
      <x:c r="C1273" t="str">
        <x:v>Plus mensual</x:v>
      </x:c>
      <x:c r="D1273" t="n">
        <x:v>46174</x:v>
      </x:c>
      <x:c r="E1273" t="n">
        <x:v>46204</x:v>
      </x:c>
      <x:c r="F1273" t="str">
        <x:v>Finalizada</x:v>
      </x:c>
      <x:c r="G1273" t="str">
        <x:v>Mensual</x:v>
      </x:c>
      <x:c r="H1273" t="n">
        <x:v>2</x:v>
      </x:c>
    </x:row>
    <x:row r="1274">
      <x:c r="A1274" t="str">
        <x:v>SUS-001273</x:v>
      </x:c>
      <x:c r="B1274" t="str">
        <x:v>USR-00346</x:v>
      </x:c>
      <x:c r="C1274" t="str">
        <x:v>Cero</x:v>
      </x:c>
      <x:c r="D1274" t="n">
        <x:v>46174</x:v>
      </x:c>
      <x:c r="E1274" t="n">
        <x:v>46235</x:v>
      </x:c>
      <x:c r="F1274" t="str">
        <x:v>Finalizada</x:v>
      </x:c>
      <x:c r="G1274" t="str">
        <x:v>Gratuita</x:v>
      </x:c>
      <x:c r="H1274" t="n">
        <x:v>3</x:v>
      </x:c>
    </x:row>
    <x:row r="1275">
      <x:c r="A1275" t="str">
        <x:v>SUS-001274</x:v>
      </x:c>
      <x:c r="B1275" t="str">
        <x:v>USR-00420</x:v>
      </x:c>
      <x:c r="C1275" t="str">
        <x:v>Cero</x:v>
      </x:c>
      <x:c r="D1275" t="n">
        <x:v>46174</x:v>
      </x:c>
      <x:c r="E1275" t="n">
        <x:v>46235</x:v>
      </x:c>
      <x:c r="F1275" t="str">
        <x:v>Finalizada</x:v>
      </x:c>
      <x:c r="G1275" t="str">
        <x:v>Gratuita</x:v>
      </x:c>
      <x:c r="H1275" t="n">
        <x:v>3</x:v>
      </x:c>
    </x:row>
    <x:row r="1276">
      <x:c r="A1276" t="str">
        <x:v>SUS-001275</x:v>
      </x:c>
      <x:c r="B1276" t="str">
        <x:v>USR-00438</x:v>
      </x:c>
      <x:c r="C1276" t="str">
        <x:v>Plus mensual</x:v>
      </x:c>
      <x:c r="D1276" t="n">
        <x:v>46174</x:v>
      </x:c>
      <x:c r="E1276" t="n">
        <x:v>46235</x:v>
      </x:c>
      <x:c r="F1276" t="str">
        <x:v>Finalizada</x:v>
      </x:c>
      <x:c r="G1276" t="str">
        <x:v>Mensual</x:v>
      </x:c>
      <x:c r="H1276" t="n">
        <x:v>3</x:v>
      </x:c>
    </x:row>
    <x:row r="1277">
      <x:c r="A1277" t="str">
        <x:v>SUS-001276</x:v>
      </x:c>
      <x:c r="B1277" t="str">
        <x:v>USR-00448</x:v>
      </x:c>
      <x:c r="C1277" t="str">
        <x:v>Cero</x:v>
      </x:c>
      <x:c r="D1277" t="n">
        <x:v>46174</x:v>
      </x:c>
      <x:c r="E1277" t="n">
        <x:v>46266</x:v>
      </x:c>
      <x:c r="F1277" t="str">
        <x:v>Activa</x:v>
      </x:c>
      <x:c r="G1277" t="str">
        <x:v>Gratuita</x:v>
      </x:c>
      <x:c r="H1277" t="n">
        <x:v>4</x:v>
      </x:c>
    </x:row>
    <x:row r="1278">
      <x:c r="A1278" t="str">
        <x:v>SUS-001277</x:v>
      </x:c>
      <x:c r="B1278" t="str">
        <x:v>USR-00475</x:v>
      </x:c>
      <x:c r="C1278" t="str">
        <x:v>Plus anual</x:v>
      </x:c>
      <x:c r="D1278" t="n">
        <x:v>46174</x:v>
      </x:c>
      <x:c r="E1278" t="n">
        <x:v>46266</x:v>
      </x:c>
      <x:c r="F1278" t="str">
        <x:v>Activa</x:v>
      </x:c>
      <x:c r="G1278" t="str">
        <x:v>Anual</x:v>
      </x:c>
      <x:c r="H1278" t="n">
        <x:v>4</x:v>
      </x:c>
    </x:row>
    <x:row r="1279">
      <x:c r="A1279" t="str">
        <x:v>SUS-001278</x:v>
      </x:c>
      <x:c r="B1279" t="str">
        <x:v>USR-00477</x:v>
      </x:c>
      <x:c r="C1279" t="str">
        <x:v>Plus mensual</x:v>
      </x:c>
      <x:c r="D1279" t="n">
        <x:v>46174</x:v>
      </x:c>
      <x:c r="E1279" t="n">
        <x:v>46266</x:v>
      </x:c>
      <x:c r="F1279" t="str">
        <x:v>Activa</x:v>
      </x:c>
      <x:c r="G1279" t="str">
        <x:v>Mensual</x:v>
      </x:c>
      <x:c r="H1279" t="n">
        <x:v>4</x:v>
      </x:c>
    </x:row>
    <x:row r="1280">
      <x:c r="A1280" t="str">
        <x:v>SUS-001279</x:v>
      </x:c>
      <x:c r="B1280" t="str">
        <x:v>USR-00492</x:v>
      </x:c>
      <x:c r="C1280" t="str">
        <x:v>Plus mensual</x:v>
      </x:c>
      <x:c r="D1280" t="n">
        <x:v>46174</x:v>
      </x:c>
      <x:c r="E1280" t="n">
        <x:v>46266</x:v>
      </x:c>
      <x:c r="F1280" t="str">
        <x:v>Activa</x:v>
      </x:c>
      <x:c r="G1280" t="str">
        <x:v>Mensual</x:v>
      </x:c>
      <x:c r="H1280" t="n">
        <x:v>4</x:v>
      </x:c>
    </x:row>
    <x:row r="1281">
      <x:c r="A1281" t="str">
        <x:v>SUS-001280</x:v>
      </x:c>
      <x:c r="B1281" t="str">
        <x:v>USR-00515</x:v>
      </x:c>
      <x:c r="C1281" t="str">
        <x:v>Plus mensual</x:v>
      </x:c>
      <x:c r="D1281" t="n">
        <x:v>46174</x:v>
      </x:c>
      <x:c r="E1281" t="n">
        <x:v>46266</x:v>
      </x:c>
      <x:c r="F1281" t="str">
        <x:v>Activa</x:v>
      </x:c>
      <x:c r="G1281" t="str">
        <x:v>Mensual</x:v>
      </x:c>
      <x:c r="H1281" t="n">
        <x:v>4</x:v>
      </x:c>
    </x:row>
    <x:row r="1282">
      <x:c r="A1282" t="str">
        <x:v>SUS-001281</x:v>
      </x:c>
      <x:c r="B1282" t="str">
        <x:v>USR-00520</x:v>
      </x:c>
      <x:c r="C1282" t="str">
        <x:v>Plus mensual</x:v>
      </x:c>
      <x:c r="D1282" t="n">
        <x:v>46174</x:v>
      </x:c>
      <x:c r="E1282" t="n">
        <x:v>46266</x:v>
      </x:c>
      <x:c r="F1282" t="str">
        <x:v>Activa</x:v>
      </x:c>
      <x:c r="G1282" t="str">
        <x:v>Mensual</x:v>
      </x:c>
      <x:c r="H1282" t="n">
        <x:v>4</x:v>
      </x:c>
    </x:row>
    <x:row r="1283">
      <x:c r="A1283" t="str">
        <x:v>SUS-001282</x:v>
      </x:c>
      <x:c r="B1283" t="str">
        <x:v>USR-00543</x:v>
      </x:c>
      <x:c r="C1283" t="str">
        <x:v>Plus mensual</x:v>
      </x:c>
      <x:c r="D1283" t="n">
        <x:v>46174</x:v>
      </x:c>
      <x:c r="E1283" t="n">
        <x:v>46266</x:v>
      </x:c>
      <x:c r="F1283" t="str">
        <x:v>Activa</x:v>
      </x:c>
      <x:c r="G1283" t="str">
        <x:v>Mensual</x:v>
      </x:c>
      <x:c r="H1283" t="n">
        <x:v>4</x:v>
      </x:c>
    </x:row>
    <x:row r="1284">
      <x:c r="A1284" t="str">
        <x:v>SUS-001283</x:v>
      </x:c>
      <x:c r="B1284" t="str">
        <x:v>USR-00547</x:v>
      </x:c>
      <x:c r="C1284" t="str">
        <x:v>Cero</x:v>
      </x:c>
      <x:c r="D1284" t="n">
        <x:v>46174</x:v>
      </x:c>
      <x:c r="E1284" t="n">
        <x:v>46266</x:v>
      </x:c>
      <x:c r="F1284" t="str">
        <x:v>Activa</x:v>
      </x:c>
      <x:c r="G1284" t="str">
        <x:v>Gratuita</x:v>
      </x:c>
      <x:c r="H1284" t="n">
        <x:v>4</x:v>
      </x:c>
    </x:row>
    <x:row r="1285">
      <x:c r="A1285" t="str">
        <x:v>SUS-001284</x:v>
      </x:c>
      <x:c r="B1285" t="str">
        <x:v>USR-00558</x:v>
      </x:c>
      <x:c r="C1285" t="str">
        <x:v>Plus mensual</x:v>
      </x:c>
      <x:c r="D1285" t="n">
        <x:v>46174</x:v>
      </x:c>
      <x:c r="E1285" t="n">
        <x:v>46174</x:v>
      </x:c>
      <x:c r="F1285" t="str">
        <x:v>Finalizada</x:v>
      </x:c>
      <x:c r="G1285" t="str">
        <x:v>Mensual</x:v>
      </x:c>
      <x:c r="H1285" t="n">
        <x:v>1</x:v>
      </x:c>
    </x:row>
    <x:row r="1286">
      <x:c r="A1286" t="str">
        <x:v>SUS-001285</x:v>
      </x:c>
      <x:c r="B1286" t="str">
        <x:v>USR-00571</x:v>
      </x:c>
      <x:c r="C1286" t="str">
        <x:v>Plus mensual</x:v>
      </x:c>
      <x:c r="D1286" t="n">
        <x:v>46174</x:v>
      </x:c>
      <x:c r="E1286" t="n">
        <x:v>46266</x:v>
      </x:c>
      <x:c r="F1286" t="str">
        <x:v>Activa</x:v>
      </x:c>
      <x:c r="G1286" t="str">
        <x:v>Mensual</x:v>
      </x:c>
      <x:c r="H1286" t="n">
        <x:v>4</x:v>
      </x:c>
    </x:row>
    <x:row r="1287">
      <x:c r="A1287" t="str">
        <x:v>SUS-001286</x:v>
      </x:c>
      <x:c r="B1287" t="str">
        <x:v>USR-00603</x:v>
      </x:c>
      <x:c r="C1287" t="str">
        <x:v>Plus mensual</x:v>
      </x:c>
      <x:c r="D1287" t="n">
        <x:v>46174</x:v>
      </x:c>
      <x:c r="E1287" t="n">
        <x:v>46266</x:v>
      </x:c>
      <x:c r="F1287" t="str">
        <x:v>Activa</x:v>
      </x:c>
      <x:c r="G1287" t="str">
        <x:v>Mensual</x:v>
      </x:c>
      <x:c r="H1287" t="n">
        <x:v>4</x:v>
      </x:c>
    </x:row>
    <x:row r="1288">
      <x:c r="A1288" t="str">
        <x:v>SUS-001287</x:v>
      </x:c>
      <x:c r="B1288" t="str">
        <x:v>USR-00622</x:v>
      </x:c>
      <x:c r="C1288" t="str">
        <x:v>Plus anual</x:v>
      </x:c>
      <x:c r="D1288" t="n">
        <x:v>46174</x:v>
      </x:c>
      <x:c r="E1288" t="n">
        <x:v>46266</x:v>
      </x:c>
      <x:c r="F1288" t="str">
        <x:v>Activa</x:v>
      </x:c>
      <x:c r="G1288" t="str">
        <x:v>Anual</x:v>
      </x:c>
      <x:c r="H1288" t="n">
        <x:v>4</x:v>
      </x:c>
    </x:row>
    <x:row r="1289">
      <x:c r="A1289" t="str">
        <x:v>SUS-001288</x:v>
      </x:c>
      <x:c r="B1289" t="str">
        <x:v>USR-00629</x:v>
      </x:c>
      <x:c r="C1289" t="str">
        <x:v>Plus mensual</x:v>
      </x:c>
      <x:c r="D1289" t="n">
        <x:v>46174</x:v>
      </x:c>
      <x:c r="E1289" t="n">
        <x:v>46174</x:v>
      </x:c>
      <x:c r="F1289" t="str">
        <x:v>Finalizada</x:v>
      </x:c>
      <x:c r="G1289" t="str">
        <x:v>Mensual</x:v>
      </x:c>
      <x:c r="H1289" t="n">
        <x:v>1</x:v>
      </x:c>
    </x:row>
    <x:row r="1290">
      <x:c r="A1290" t="str">
        <x:v>SUS-001289</x:v>
      </x:c>
      <x:c r="B1290" t="str">
        <x:v>USR-00639</x:v>
      </x:c>
      <x:c r="C1290" t="str">
        <x:v>Cero</x:v>
      </x:c>
      <x:c r="D1290" t="n">
        <x:v>46174</x:v>
      </x:c>
      <x:c r="E1290" t="n">
        <x:v>46204</x:v>
      </x:c>
      <x:c r="F1290" t="str">
        <x:v>Finalizada</x:v>
      </x:c>
      <x:c r="G1290" t="str">
        <x:v>Gratuita</x:v>
      </x:c>
      <x:c r="H1290" t="n">
        <x:v>2</x:v>
      </x:c>
    </x:row>
    <x:row r="1291">
      <x:c r="A1291" t="str">
        <x:v>SUS-001290</x:v>
      </x:c>
      <x:c r="B1291" t="str">
        <x:v>USR-00652</x:v>
      </x:c>
      <x:c r="C1291" t="str">
        <x:v>Cero</x:v>
      </x:c>
      <x:c r="D1291" t="n">
        <x:v>46174</x:v>
      </x:c>
      <x:c r="E1291" t="n">
        <x:v>46266</x:v>
      </x:c>
      <x:c r="F1291" t="str">
        <x:v>Activa</x:v>
      </x:c>
      <x:c r="G1291" t="str">
        <x:v>Gratuita</x:v>
      </x:c>
      <x:c r="H1291" t="n">
        <x:v>4</x:v>
      </x:c>
    </x:row>
    <x:row r="1292">
      <x:c r="A1292" t="str">
        <x:v>SUS-001291</x:v>
      </x:c>
      <x:c r="B1292" t="str">
        <x:v>USR-00653</x:v>
      </x:c>
      <x:c r="C1292" t="str">
        <x:v>Plus mensual</x:v>
      </x:c>
      <x:c r="D1292" t="n">
        <x:v>46174</x:v>
      </x:c>
      <x:c r="E1292" t="n">
        <x:v>46266</x:v>
      </x:c>
      <x:c r="F1292" t="str">
        <x:v>Activa</x:v>
      </x:c>
      <x:c r="G1292" t="str">
        <x:v>Mensual</x:v>
      </x:c>
      <x:c r="H1292" t="n">
        <x:v>4</x:v>
      </x:c>
    </x:row>
    <x:row r="1293">
      <x:c r="A1293" t="str">
        <x:v>SUS-001292</x:v>
      </x:c>
      <x:c r="B1293" t="str">
        <x:v>USR-00660</x:v>
      </x:c>
      <x:c r="C1293" t="str">
        <x:v>Plus anual</x:v>
      </x:c>
      <x:c r="D1293" t="n">
        <x:v>46174</x:v>
      </x:c>
      <x:c r="E1293" t="n">
        <x:v>46266</x:v>
      </x:c>
      <x:c r="F1293" t="str">
        <x:v>Activa</x:v>
      </x:c>
      <x:c r="G1293" t="str">
        <x:v>Anual</x:v>
      </x:c>
      <x:c r="H1293" t="n">
        <x:v>4</x:v>
      </x:c>
    </x:row>
    <x:row r="1294">
      <x:c r="A1294" t="str">
        <x:v>SUS-001293</x:v>
      </x:c>
      <x:c r="B1294" t="str">
        <x:v>USR-00662</x:v>
      </x:c>
      <x:c r="C1294" t="str">
        <x:v>Plus mensual</x:v>
      </x:c>
      <x:c r="D1294" t="n">
        <x:v>46174</x:v>
      </x:c>
      <x:c r="E1294" t="n">
        <x:v>46266</x:v>
      </x:c>
      <x:c r="F1294" t="str">
        <x:v>Activa</x:v>
      </x:c>
      <x:c r="G1294" t="str">
        <x:v>Mensual</x:v>
      </x:c>
      <x:c r="H1294" t="n">
        <x:v>4</x:v>
      </x:c>
    </x:row>
    <x:row r="1295">
      <x:c r="A1295" t="str">
        <x:v>SUS-001294</x:v>
      </x:c>
      <x:c r="B1295" t="str">
        <x:v>USR-00687</x:v>
      </x:c>
      <x:c r="C1295" t="str">
        <x:v>Plus mensual</x:v>
      </x:c>
      <x:c r="D1295" t="n">
        <x:v>46174</x:v>
      </x:c>
      <x:c r="E1295" t="n">
        <x:v>46235</x:v>
      </x:c>
      <x:c r="F1295" t="str">
        <x:v>Finalizada</x:v>
      </x:c>
      <x:c r="G1295" t="str">
        <x:v>Mensual</x:v>
      </x:c>
      <x:c r="H1295" t="n">
        <x:v>3</x:v>
      </x:c>
    </x:row>
    <x:row r="1296">
      <x:c r="A1296" t="str">
        <x:v>SUS-001295</x:v>
      </x:c>
      <x:c r="B1296" t="str">
        <x:v>USR-00722</x:v>
      </x:c>
      <x:c r="C1296" t="str">
        <x:v>Plus mensual</x:v>
      </x:c>
      <x:c r="D1296" t="n">
        <x:v>46174</x:v>
      </x:c>
      <x:c r="E1296" t="n">
        <x:v>46235</x:v>
      </x:c>
      <x:c r="F1296" t="str">
        <x:v>Finalizada</x:v>
      </x:c>
      <x:c r="G1296" t="str">
        <x:v>Mensual</x:v>
      </x:c>
      <x:c r="H1296" t="n">
        <x:v>3</x:v>
      </x:c>
    </x:row>
    <x:row r="1297">
      <x:c r="A1297" t="str">
        <x:v>SUS-001296</x:v>
      </x:c>
      <x:c r="B1297" t="str">
        <x:v>USR-00735</x:v>
      </x:c>
      <x:c r="C1297" t="str">
        <x:v>Plus mensual</x:v>
      </x:c>
      <x:c r="D1297" t="n">
        <x:v>46174</x:v>
      </x:c>
      <x:c r="E1297" t="n">
        <x:v>46266</x:v>
      </x:c>
      <x:c r="F1297" t="str">
        <x:v>Activa</x:v>
      </x:c>
      <x:c r="G1297" t="str">
        <x:v>Mensual</x:v>
      </x:c>
      <x:c r="H1297" t="n">
        <x:v>4</x:v>
      </x:c>
    </x:row>
    <x:row r="1298">
      <x:c r="A1298" t="str">
        <x:v>SUS-001297</x:v>
      </x:c>
      <x:c r="B1298" t="str">
        <x:v>USR-00760</x:v>
      </x:c>
      <x:c r="C1298" t="str">
        <x:v>Plus mensual</x:v>
      </x:c>
      <x:c r="D1298" t="n">
        <x:v>46174</x:v>
      </x:c>
      <x:c r="E1298" t="n">
        <x:v>46204</x:v>
      </x:c>
      <x:c r="F1298" t="str">
        <x:v>Finalizada</x:v>
      </x:c>
      <x:c r="G1298" t="str">
        <x:v>Mensual</x:v>
      </x:c>
      <x:c r="H1298" t="n">
        <x:v>2</x:v>
      </x:c>
    </x:row>
    <x:row r="1299">
      <x:c r="A1299" t="str">
        <x:v>SUS-001298</x:v>
      </x:c>
      <x:c r="B1299" t="str">
        <x:v>USR-00778</x:v>
      </x:c>
      <x:c r="C1299" t="str">
        <x:v>Plus anual</x:v>
      </x:c>
      <x:c r="D1299" t="n">
        <x:v>46174</x:v>
      </x:c>
      <x:c r="E1299" t="n">
        <x:v>46266</x:v>
      </x:c>
      <x:c r="F1299" t="str">
        <x:v>Activa</x:v>
      </x:c>
      <x:c r="G1299" t="str">
        <x:v>Anual</x:v>
      </x:c>
      <x:c r="H1299" t="n">
        <x:v>4</x:v>
      </x:c>
    </x:row>
    <x:row r="1300">
      <x:c r="A1300" t="str">
        <x:v>SUS-001299</x:v>
      </x:c>
      <x:c r="B1300" t="str">
        <x:v>USR-00797</x:v>
      </x:c>
      <x:c r="C1300" t="str">
        <x:v>Plus anual</x:v>
      </x:c>
      <x:c r="D1300" t="n">
        <x:v>46174</x:v>
      </x:c>
      <x:c r="E1300" t="n">
        <x:v>46266</x:v>
      </x:c>
      <x:c r="F1300" t="str">
        <x:v>Activa</x:v>
      </x:c>
      <x:c r="G1300" t="str">
        <x:v>Anual</x:v>
      </x:c>
      <x:c r="H1300" t="n">
        <x:v>4</x:v>
      </x:c>
    </x:row>
    <x:row r="1301">
      <x:c r="A1301" t="str">
        <x:v>SUS-001300</x:v>
      </x:c>
      <x:c r="B1301" t="str">
        <x:v>USR-00821</x:v>
      </x:c>
      <x:c r="C1301" t="str">
        <x:v>Plus anual</x:v>
      </x:c>
      <x:c r="D1301" t="n">
        <x:v>46174</x:v>
      </x:c>
      <x:c r="E1301" t="n">
        <x:v>46266</x:v>
      </x:c>
      <x:c r="F1301" t="str">
        <x:v>Activa</x:v>
      </x:c>
      <x:c r="G1301" t="str">
        <x:v>Anual</x:v>
      </x:c>
      <x:c r="H1301" t="n">
        <x:v>4</x:v>
      </x:c>
    </x:row>
    <x:row r="1302">
      <x:c r="A1302" t="str">
        <x:v>SUS-001301</x:v>
      </x:c>
      <x:c r="B1302" t="str">
        <x:v>USR-00831</x:v>
      </x:c>
      <x:c r="C1302" t="str">
        <x:v>Plus anual</x:v>
      </x:c>
      <x:c r="D1302" t="n">
        <x:v>46174</x:v>
      </x:c>
      <x:c r="E1302" t="n">
        <x:v>46266</x:v>
      </x:c>
      <x:c r="F1302" t="str">
        <x:v>Activa</x:v>
      </x:c>
      <x:c r="G1302" t="str">
        <x:v>Anual</x:v>
      </x:c>
      <x:c r="H1302" t="n">
        <x:v>4</x:v>
      </x:c>
    </x:row>
    <x:row r="1303">
      <x:c r="A1303" t="str">
        <x:v>SUS-001302</x:v>
      </x:c>
      <x:c r="B1303" t="str">
        <x:v>USR-00836</x:v>
      </x:c>
      <x:c r="C1303" t="str">
        <x:v>Plus mensual</x:v>
      </x:c>
      <x:c r="D1303" t="n">
        <x:v>46174</x:v>
      </x:c>
      <x:c r="E1303" t="n">
        <x:v>46266</x:v>
      </x:c>
      <x:c r="F1303" t="str">
        <x:v>Activa</x:v>
      </x:c>
      <x:c r="G1303" t="str">
        <x:v>Mensual</x:v>
      </x:c>
      <x:c r="H1303" t="n">
        <x:v>4</x:v>
      </x:c>
    </x:row>
    <x:row r="1304">
      <x:c r="A1304" t="str">
        <x:v>SUS-001303</x:v>
      </x:c>
      <x:c r="B1304" t="str">
        <x:v>USR-00851</x:v>
      </x:c>
      <x:c r="C1304" t="str">
        <x:v>Plus anual</x:v>
      </x:c>
      <x:c r="D1304" t="n">
        <x:v>46174</x:v>
      </x:c>
      <x:c r="E1304" t="n">
        <x:v>46266</x:v>
      </x:c>
      <x:c r="F1304" t="str">
        <x:v>Activa</x:v>
      </x:c>
      <x:c r="G1304" t="str">
        <x:v>Anual</x:v>
      </x:c>
      <x:c r="H1304" t="n">
        <x:v>4</x:v>
      </x:c>
    </x:row>
    <x:row r="1305">
      <x:c r="A1305" t="str">
        <x:v>SUS-001304</x:v>
      </x:c>
      <x:c r="B1305" t="str">
        <x:v>USR-00872</x:v>
      </x:c>
      <x:c r="C1305" t="str">
        <x:v>Cero</x:v>
      </x:c>
      <x:c r="D1305" t="n">
        <x:v>46174</x:v>
      </x:c>
      <x:c r="E1305" t="n">
        <x:v>46266</x:v>
      </x:c>
      <x:c r="F1305" t="str">
        <x:v>Activa</x:v>
      </x:c>
      <x:c r="G1305" t="str">
        <x:v>Gratuita</x:v>
      </x:c>
      <x:c r="H1305" t="n">
        <x:v>4</x:v>
      </x:c>
    </x:row>
    <x:row r="1306">
      <x:c r="A1306" t="str">
        <x:v>SUS-001305</x:v>
      </x:c>
      <x:c r="B1306" t="str">
        <x:v>USR-00889</x:v>
      </x:c>
      <x:c r="C1306" t="str">
        <x:v>Plus anual</x:v>
      </x:c>
      <x:c r="D1306" t="n">
        <x:v>46174</x:v>
      </x:c>
      <x:c r="E1306" t="n">
        <x:v>46266</x:v>
      </x:c>
      <x:c r="F1306" t="str">
        <x:v>Activa</x:v>
      </x:c>
      <x:c r="G1306" t="str">
        <x:v>Anual</x:v>
      </x:c>
      <x:c r="H1306" t="n">
        <x:v>4</x:v>
      </x:c>
    </x:row>
    <x:row r="1307">
      <x:c r="A1307" t="str">
        <x:v>SUS-001306</x:v>
      </x:c>
      <x:c r="B1307" t="str">
        <x:v>USR-00892</x:v>
      </x:c>
      <x:c r="C1307" t="str">
        <x:v>Plus anual</x:v>
      </x:c>
      <x:c r="D1307" t="n">
        <x:v>46174</x:v>
      </x:c>
      <x:c r="E1307" t="n">
        <x:v>46266</x:v>
      </x:c>
      <x:c r="F1307" t="str">
        <x:v>Activa</x:v>
      </x:c>
      <x:c r="G1307" t="str">
        <x:v>Anual</x:v>
      </x:c>
      <x:c r="H1307" t="n">
        <x:v>4</x:v>
      </x:c>
    </x:row>
    <x:row r="1308">
      <x:c r="A1308" t="str">
        <x:v>SUS-001307</x:v>
      </x:c>
      <x:c r="B1308" t="str">
        <x:v>USR-00893</x:v>
      </x:c>
      <x:c r="C1308" t="str">
        <x:v>Cero</x:v>
      </x:c>
      <x:c r="D1308" t="n">
        <x:v>46174</x:v>
      </x:c>
      <x:c r="E1308" t="n">
        <x:v>46266</x:v>
      </x:c>
      <x:c r="F1308" t="str">
        <x:v>Activa</x:v>
      </x:c>
      <x:c r="G1308" t="str">
        <x:v>Gratuita</x:v>
      </x:c>
      <x:c r="H1308" t="n">
        <x:v>4</x:v>
      </x:c>
    </x:row>
    <x:row r="1309">
      <x:c r="A1309" t="str">
        <x:v>SUS-001308</x:v>
      </x:c>
      <x:c r="B1309" t="str">
        <x:v>USR-00894</x:v>
      </x:c>
      <x:c r="C1309" t="str">
        <x:v>Cero</x:v>
      </x:c>
      <x:c r="D1309" t="n">
        <x:v>46174</x:v>
      </x:c>
      <x:c r="E1309" t="n">
        <x:v>46266</x:v>
      </x:c>
      <x:c r="F1309" t="str">
        <x:v>Activa</x:v>
      </x:c>
      <x:c r="G1309" t="str">
        <x:v>Gratuita</x:v>
      </x:c>
      <x:c r="H1309" t="n">
        <x:v>4</x:v>
      </x:c>
    </x:row>
    <x:row r="1310">
      <x:c r="A1310" t="str">
        <x:v>SUS-001309</x:v>
      </x:c>
      <x:c r="B1310" t="str">
        <x:v>USR-00895</x:v>
      </x:c>
      <x:c r="C1310" t="str">
        <x:v>Plus mensual</x:v>
      </x:c>
      <x:c r="D1310" t="n">
        <x:v>46174</x:v>
      </x:c>
      <x:c r="E1310" t="n">
        <x:v>46266</x:v>
      </x:c>
      <x:c r="F1310" t="str">
        <x:v>Activa</x:v>
      </x:c>
      <x:c r="G1310" t="str">
        <x:v>Mensual</x:v>
      </x:c>
      <x:c r="H1310" t="n">
        <x:v>4</x:v>
      </x:c>
    </x:row>
    <x:row r="1311">
      <x:c r="A1311" t="str">
        <x:v>SUS-001310</x:v>
      </x:c>
      <x:c r="B1311" t="str">
        <x:v>USR-00896</x:v>
      </x:c>
      <x:c r="C1311" t="str">
        <x:v>Cero</x:v>
      </x:c>
      <x:c r="D1311" t="n">
        <x:v>46174</x:v>
      </x:c>
      <x:c r="E1311" t="n">
        <x:v>46266</x:v>
      </x:c>
      <x:c r="F1311" t="str">
        <x:v>Activa</x:v>
      </x:c>
      <x:c r="G1311" t="str">
        <x:v>Gratuita</x:v>
      </x:c>
      <x:c r="H1311" t="n">
        <x:v>4</x:v>
      </x:c>
    </x:row>
    <x:row r="1312">
      <x:c r="A1312" t="str">
        <x:v>SUS-001311</x:v>
      </x:c>
      <x:c r="B1312" t="str">
        <x:v>USR-00897</x:v>
      </x:c>
      <x:c r="C1312" t="str">
        <x:v>Cero</x:v>
      </x:c>
      <x:c r="D1312" t="n">
        <x:v>46174</x:v>
      </x:c>
      <x:c r="E1312" t="n">
        <x:v>46266</x:v>
      </x:c>
      <x:c r="F1312" t="str">
        <x:v>Activa</x:v>
      </x:c>
      <x:c r="G1312" t="str">
        <x:v>Gratuita</x:v>
      </x:c>
      <x:c r="H1312" t="n">
        <x:v>4</x:v>
      </x:c>
    </x:row>
    <x:row r="1313">
      <x:c r="A1313" t="str">
        <x:v>SUS-001312</x:v>
      </x:c>
      <x:c r="B1313" t="str">
        <x:v>USR-00898</x:v>
      </x:c>
      <x:c r="C1313" t="str">
        <x:v>Plus mensual</x:v>
      </x:c>
      <x:c r="D1313" t="n">
        <x:v>46174</x:v>
      </x:c>
      <x:c r="E1313" t="n">
        <x:v>46204</x:v>
      </x:c>
      <x:c r="F1313" t="str">
        <x:v>Finalizada</x:v>
      </x:c>
      <x:c r="G1313" t="str">
        <x:v>Mensual</x:v>
      </x:c>
      <x:c r="H1313" t="n">
        <x:v>2</x:v>
      </x:c>
    </x:row>
    <x:row r="1314">
      <x:c r="A1314" t="str">
        <x:v>SUS-001313</x:v>
      </x:c>
      <x:c r="B1314" t="str">
        <x:v>USR-00899</x:v>
      </x:c>
      <x:c r="C1314" t="str">
        <x:v>Cero</x:v>
      </x:c>
      <x:c r="D1314" t="n">
        <x:v>46174</x:v>
      </x:c>
      <x:c r="E1314" t="n">
        <x:v>46235</x:v>
      </x:c>
      <x:c r="F1314" t="str">
        <x:v>Finalizada</x:v>
      </x:c>
      <x:c r="G1314" t="str">
        <x:v>Gratuita</x:v>
      </x:c>
      <x:c r="H1314" t="n">
        <x:v>3</x:v>
      </x:c>
    </x:row>
    <x:row r="1315">
      <x:c r="A1315" t="str">
        <x:v>SUS-001314</x:v>
      </x:c>
      <x:c r="B1315" t="str">
        <x:v>USR-00900</x:v>
      </x:c>
      <x:c r="C1315" t="str">
        <x:v>Cero</x:v>
      </x:c>
      <x:c r="D1315" t="n">
        <x:v>46174</x:v>
      </x:c>
      <x:c r="E1315" t="n">
        <x:v>46266</x:v>
      </x:c>
      <x:c r="F1315" t="str">
        <x:v>Activa</x:v>
      </x:c>
      <x:c r="G1315" t="str">
        <x:v>Gratuita</x:v>
      </x:c>
      <x:c r="H1315" t="n">
        <x:v>4</x:v>
      </x:c>
    </x:row>
    <x:row r="1316">
      <x:c r="A1316" t="str">
        <x:v>SUS-001315</x:v>
      </x:c>
      <x:c r="B1316" t="str">
        <x:v>USR-00901</x:v>
      </x:c>
      <x:c r="C1316" t="str">
        <x:v>Cero</x:v>
      </x:c>
      <x:c r="D1316" t="n">
        <x:v>46174</x:v>
      </x:c>
      <x:c r="E1316" t="n">
        <x:v>46266</x:v>
      </x:c>
      <x:c r="F1316" t="str">
        <x:v>Activa</x:v>
      </x:c>
      <x:c r="G1316" t="str">
        <x:v>Gratuita</x:v>
      </x:c>
      <x:c r="H1316" t="n">
        <x:v>4</x:v>
      </x:c>
    </x:row>
    <x:row r="1317">
      <x:c r="A1317" t="str">
        <x:v>SUS-001316</x:v>
      </x:c>
      <x:c r="B1317" t="str">
        <x:v>USR-00902</x:v>
      </x:c>
      <x:c r="C1317" t="str">
        <x:v>Cero</x:v>
      </x:c>
      <x:c r="D1317" t="n">
        <x:v>46174</x:v>
      </x:c>
      <x:c r="E1317" t="n">
        <x:v>46266</x:v>
      </x:c>
      <x:c r="F1317" t="str">
        <x:v>Activa</x:v>
      </x:c>
      <x:c r="G1317" t="str">
        <x:v>Gratuita</x:v>
      </x:c>
      <x:c r="H1317" t="n">
        <x:v>4</x:v>
      </x:c>
    </x:row>
    <x:row r="1318">
      <x:c r="A1318" t="str">
        <x:v>SUS-001317</x:v>
      </x:c>
      <x:c r="B1318" t="str">
        <x:v>USR-00903</x:v>
      </x:c>
      <x:c r="C1318" t="str">
        <x:v>Cero</x:v>
      </x:c>
      <x:c r="D1318" t="n">
        <x:v>46174</x:v>
      </x:c>
      <x:c r="E1318" t="n">
        <x:v>46266</x:v>
      </x:c>
      <x:c r="F1318" t="str">
        <x:v>Activa</x:v>
      </x:c>
      <x:c r="G1318" t="str">
        <x:v>Gratuita</x:v>
      </x:c>
      <x:c r="H1318" t="n">
        <x:v>4</x:v>
      </x:c>
    </x:row>
    <x:row r="1319">
      <x:c r="A1319" t="str">
        <x:v>SUS-001318</x:v>
      </x:c>
      <x:c r="B1319" t="str">
        <x:v>USR-00904</x:v>
      </x:c>
      <x:c r="C1319" t="str">
        <x:v>Cero</x:v>
      </x:c>
      <x:c r="D1319" t="n">
        <x:v>46174</x:v>
      </x:c>
      <x:c r="E1319" t="n">
        <x:v>46174</x:v>
      </x:c>
      <x:c r="F1319" t="str">
        <x:v>Finalizada</x:v>
      </x:c>
      <x:c r="G1319" t="str">
        <x:v>Gratuita</x:v>
      </x:c>
      <x:c r="H1319" t="n">
        <x:v>1</x:v>
      </x:c>
    </x:row>
    <x:row r="1320">
      <x:c r="A1320" t="str">
        <x:v>SUS-001319</x:v>
      </x:c>
      <x:c r="B1320" t="str">
        <x:v>USR-00905</x:v>
      </x:c>
      <x:c r="C1320" t="str">
        <x:v>Cero</x:v>
      </x:c>
      <x:c r="D1320" t="n">
        <x:v>46174</x:v>
      </x:c>
      <x:c r="E1320" t="n">
        <x:v>46266</x:v>
      </x:c>
      <x:c r="F1320" t="str">
        <x:v>Activa</x:v>
      </x:c>
      <x:c r="G1320" t="str">
        <x:v>Gratuita</x:v>
      </x:c>
      <x:c r="H1320" t="n">
        <x:v>4</x:v>
      </x:c>
    </x:row>
    <x:row r="1321">
      <x:c r="A1321" t="str">
        <x:v>SUS-001320</x:v>
      </x:c>
      <x:c r="B1321" t="str">
        <x:v>USR-00906</x:v>
      </x:c>
      <x:c r="C1321" t="str">
        <x:v>Cero</x:v>
      </x:c>
      <x:c r="D1321" t="n">
        <x:v>46174</x:v>
      </x:c>
      <x:c r="E1321" t="n">
        <x:v>46266</x:v>
      </x:c>
      <x:c r="F1321" t="str">
        <x:v>Activa</x:v>
      </x:c>
      <x:c r="G1321" t="str">
        <x:v>Gratuita</x:v>
      </x:c>
      <x:c r="H1321" t="n">
        <x:v>4</x:v>
      </x:c>
    </x:row>
    <x:row r="1322">
      <x:c r="A1322" t="str">
        <x:v>SUS-001321</x:v>
      </x:c>
      <x:c r="B1322" t="str">
        <x:v>USR-00907</x:v>
      </x:c>
      <x:c r="C1322" t="str">
        <x:v>Plus mensual</x:v>
      </x:c>
      <x:c r="D1322" t="n">
        <x:v>46174</x:v>
      </x:c>
      <x:c r="E1322" t="n">
        <x:v>46266</x:v>
      </x:c>
      <x:c r="F1322" t="str">
        <x:v>Activa</x:v>
      </x:c>
      <x:c r="G1322" t="str">
        <x:v>Mensual</x:v>
      </x:c>
      <x:c r="H1322" t="n">
        <x:v>4</x:v>
      </x:c>
    </x:row>
    <x:row r="1323">
      <x:c r="A1323" t="str">
        <x:v>SUS-001322</x:v>
      </x:c>
      <x:c r="B1323" t="str">
        <x:v>USR-00908</x:v>
      </x:c>
      <x:c r="C1323" t="str">
        <x:v>Plus mensual</x:v>
      </x:c>
      <x:c r="D1323" t="n">
        <x:v>46174</x:v>
      </x:c>
      <x:c r="E1323" t="n">
        <x:v>46266</x:v>
      </x:c>
      <x:c r="F1323" t="str">
        <x:v>Activa</x:v>
      </x:c>
      <x:c r="G1323" t="str">
        <x:v>Mensual</x:v>
      </x:c>
      <x:c r="H1323" t="n">
        <x:v>4</x:v>
      </x:c>
    </x:row>
    <x:row r="1324">
      <x:c r="A1324" t="str">
        <x:v>SUS-001323</x:v>
      </x:c>
      <x:c r="B1324" t="str">
        <x:v>USR-00909</x:v>
      </x:c>
      <x:c r="C1324" t="str">
        <x:v>Plus mensual</x:v>
      </x:c>
      <x:c r="D1324" t="n">
        <x:v>46174</x:v>
      </x:c>
      <x:c r="E1324" t="n">
        <x:v>46204</x:v>
      </x:c>
      <x:c r="F1324" t="str">
        <x:v>Finalizada</x:v>
      </x:c>
      <x:c r="G1324" t="str">
        <x:v>Mensual</x:v>
      </x:c>
      <x:c r="H1324" t="n">
        <x:v>2</x:v>
      </x:c>
    </x:row>
    <x:row r="1325">
      <x:c r="A1325" t="str">
        <x:v>SUS-001324</x:v>
      </x:c>
      <x:c r="B1325" t="str">
        <x:v>USR-00910</x:v>
      </x:c>
      <x:c r="C1325" t="str">
        <x:v>Cero</x:v>
      </x:c>
      <x:c r="D1325" t="n">
        <x:v>46174</x:v>
      </x:c>
      <x:c r="E1325" t="n">
        <x:v>46266</x:v>
      </x:c>
      <x:c r="F1325" t="str">
        <x:v>Activa</x:v>
      </x:c>
      <x:c r="G1325" t="str">
        <x:v>Gratuita</x:v>
      </x:c>
      <x:c r="H1325" t="n">
        <x:v>4</x:v>
      </x:c>
    </x:row>
    <x:row r="1326">
      <x:c r="A1326" t="str">
        <x:v>SUS-001325</x:v>
      </x:c>
      <x:c r="B1326" t="str">
        <x:v>USR-00911</x:v>
      </x:c>
      <x:c r="C1326" t="str">
        <x:v>Plus mensual</x:v>
      </x:c>
      <x:c r="D1326" t="n">
        <x:v>46174</x:v>
      </x:c>
      <x:c r="E1326" t="n">
        <x:v>46266</x:v>
      </x:c>
      <x:c r="F1326" t="str">
        <x:v>Activa</x:v>
      </x:c>
      <x:c r="G1326" t="str">
        <x:v>Mensual</x:v>
      </x:c>
      <x:c r="H1326" t="n">
        <x:v>4</x:v>
      </x:c>
    </x:row>
    <x:row r="1327">
      <x:c r="A1327" t="str">
        <x:v>SUS-001326</x:v>
      </x:c>
      <x:c r="B1327" t="str">
        <x:v>USR-00912</x:v>
      </x:c>
      <x:c r="C1327" t="str">
        <x:v>Cero</x:v>
      </x:c>
      <x:c r="D1327" t="n">
        <x:v>46174</x:v>
      </x:c>
      <x:c r="E1327" t="n">
        <x:v>46174</x:v>
      </x:c>
      <x:c r="F1327" t="str">
        <x:v>Finalizada</x:v>
      </x:c>
      <x:c r="G1327" t="str">
        <x:v>Gratuita</x:v>
      </x:c>
      <x:c r="H1327" t="n">
        <x:v>1</x:v>
      </x:c>
    </x:row>
    <x:row r="1328">
      <x:c r="A1328" t="str">
        <x:v>SUS-001327</x:v>
      </x:c>
      <x:c r="B1328" t="str">
        <x:v>USR-00913</x:v>
      </x:c>
      <x:c r="C1328" t="str">
        <x:v>Cero</x:v>
      </x:c>
      <x:c r="D1328" t="n">
        <x:v>46174</x:v>
      </x:c>
      <x:c r="E1328" t="n">
        <x:v>46266</x:v>
      </x:c>
      <x:c r="F1328" t="str">
        <x:v>Activa</x:v>
      </x:c>
      <x:c r="G1328" t="str">
        <x:v>Gratuita</x:v>
      </x:c>
      <x:c r="H1328" t="n">
        <x:v>4</x:v>
      </x:c>
    </x:row>
    <x:row r="1329">
      <x:c r="A1329" t="str">
        <x:v>SUS-001328</x:v>
      </x:c>
      <x:c r="B1329" t="str">
        <x:v>USR-00914</x:v>
      </x:c>
      <x:c r="C1329" t="str">
        <x:v>Cero</x:v>
      </x:c>
      <x:c r="D1329" t="n">
        <x:v>46174</x:v>
      </x:c>
      <x:c r="E1329" t="n">
        <x:v>46235</x:v>
      </x:c>
      <x:c r="F1329" t="str">
        <x:v>Finalizada</x:v>
      </x:c>
      <x:c r="G1329" t="str">
        <x:v>Gratuita</x:v>
      </x:c>
      <x:c r="H1329" t="n">
        <x:v>3</x:v>
      </x:c>
    </x:row>
    <x:row r="1330">
      <x:c r="A1330" t="str">
        <x:v>SUS-001329</x:v>
      </x:c>
      <x:c r="B1330" t="str">
        <x:v>USR-00915</x:v>
      </x:c>
      <x:c r="C1330" t="str">
        <x:v>Cero</x:v>
      </x:c>
      <x:c r="D1330" t="n">
        <x:v>46174</x:v>
      </x:c>
      <x:c r="E1330" t="n">
        <x:v>46266</x:v>
      </x:c>
      <x:c r="F1330" t="str">
        <x:v>Activa</x:v>
      </x:c>
      <x:c r="G1330" t="str">
        <x:v>Gratuita</x:v>
      </x:c>
      <x:c r="H1330" t="n">
        <x:v>4</x:v>
      </x:c>
    </x:row>
    <x:row r="1331">
      <x:c r="A1331" t="str">
        <x:v>SUS-001330</x:v>
      </x:c>
      <x:c r="B1331" t="str">
        <x:v>USR-00916</x:v>
      </x:c>
      <x:c r="C1331" t="str">
        <x:v>Cero</x:v>
      </x:c>
      <x:c r="D1331" t="n">
        <x:v>46174</x:v>
      </x:c>
      <x:c r="E1331" t="n">
        <x:v>46266</x:v>
      </x:c>
      <x:c r="F1331" t="str">
        <x:v>Activa</x:v>
      </x:c>
      <x:c r="G1331" t="str">
        <x:v>Gratuita</x:v>
      </x:c>
      <x:c r="H1331" t="n">
        <x:v>4</x:v>
      </x:c>
    </x:row>
    <x:row r="1332">
      <x:c r="A1332" t="str">
        <x:v>SUS-001331</x:v>
      </x:c>
      <x:c r="B1332" t="str">
        <x:v>USR-00917</x:v>
      </x:c>
      <x:c r="C1332" t="str">
        <x:v>Cero</x:v>
      </x:c>
      <x:c r="D1332" t="n">
        <x:v>46174</x:v>
      </x:c>
      <x:c r="E1332" t="n">
        <x:v>46266</x:v>
      </x:c>
      <x:c r="F1332" t="str">
        <x:v>Activa</x:v>
      </x:c>
      <x:c r="G1332" t="str">
        <x:v>Gratuita</x:v>
      </x:c>
      <x:c r="H1332" t="n">
        <x:v>4</x:v>
      </x:c>
    </x:row>
    <x:row r="1333">
      <x:c r="A1333" t="str">
        <x:v>SUS-001332</x:v>
      </x:c>
      <x:c r="B1333" t="str">
        <x:v>USR-00918</x:v>
      </x:c>
      <x:c r="C1333" t="str">
        <x:v>Cero</x:v>
      </x:c>
      <x:c r="D1333" t="n">
        <x:v>46174</x:v>
      </x:c>
      <x:c r="E1333" t="n">
        <x:v>46266</x:v>
      </x:c>
      <x:c r="F1333" t="str">
        <x:v>Activa</x:v>
      </x:c>
      <x:c r="G1333" t="str">
        <x:v>Gratuita</x:v>
      </x:c>
      <x:c r="H1333" t="n">
        <x:v>4</x:v>
      </x:c>
    </x:row>
    <x:row r="1334">
      <x:c r="A1334" t="str">
        <x:v>SUS-001333</x:v>
      </x:c>
      <x:c r="B1334" t="str">
        <x:v>USR-00919</x:v>
      </x:c>
      <x:c r="C1334" t="str">
        <x:v>Cero</x:v>
      </x:c>
      <x:c r="D1334" t="n">
        <x:v>46174</x:v>
      </x:c>
      <x:c r="E1334" t="n">
        <x:v>46266</x:v>
      </x:c>
      <x:c r="F1334" t="str">
        <x:v>Activa</x:v>
      </x:c>
      <x:c r="G1334" t="str">
        <x:v>Gratuita</x:v>
      </x:c>
      <x:c r="H1334" t="n">
        <x:v>4</x:v>
      </x:c>
    </x:row>
    <x:row r="1335">
      <x:c r="A1335" t="str">
        <x:v>SUS-001334</x:v>
      </x:c>
      <x:c r="B1335" t="str">
        <x:v>USR-00920</x:v>
      </x:c>
      <x:c r="C1335" t="str">
        <x:v>Cero</x:v>
      </x:c>
      <x:c r="D1335" t="n">
        <x:v>46174</x:v>
      </x:c>
      <x:c r="E1335" t="n">
        <x:v>46266</x:v>
      </x:c>
      <x:c r="F1335" t="str">
        <x:v>Activa</x:v>
      </x:c>
      <x:c r="G1335" t="str">
        <x:v>Gratuita</x:v>
      </x:c>
      <x:c r="H1335" t="n">
        <x:v>4</x:v>
      </x:c>
    </x:row>
    <x:row r="1336">
      <x:c r="A1336" t="str">
        <x:v>SUS-001335</x:v>
      </x:c>
      <x:c r="B1336" t="str">
        <x:v>USR-00921</x:v>
      </x:c>
      <x:c r="C1336" t="str">
        <x:v>Cero</x:v>
      </x:c>
      <x:c r="D1336" t="n">
        <x:v>46174</x:v>
      </x:c>
      <x:c r="E1336" t="n">
        <x:v>46266</x:v>
      </x:c>
      <x:c r="F1336" t="str">
        <x:v>Activa</x:v>
      </x:c>
      <x:c r="G1336" t="str">
        <x:v>Gratuita</x:v>
      </x:c>
      <x:c r="H1336" t="n">
        <x:v>4</x:v>
      </x:c>
    </x:row>
    <x:row r="1337">
      <x:c r="A1337" t="str">
        <x:v>SUS-001336</x:v>
      </x:c>
      <x:c r="B1337" t="str">
        <x:v>USR-00922</x:v>
      </x:c>
      <x:c r="C1337" t="str">
        <x:v>Cero</x:v>
      </x:c>
      <x:c r="D1337" t="n">
        <x:v>46174</x:v>
      </x:c>
      <x:c r="E1337" t="n">
        <x:v>46266</x:v>
      </x:c>
      <x:c r="F1337" t="str">
        <x:v>Activa</x:v>
      </x:c>
      <x:c r="G1337" t="str">
        <x:v>Gratuita</x:v>
      </x:c>
      <x:c r="H1337" t="n">
        <x:v>4</x:v>
      </x:c>
    </x:row>
    <x:row r="1338">
      <x:c r="A1338" t="str">
        <x:v>SUS-001337</x:v>
      </x:c>
      <x:c r="B1338" t="str">
        <x:v>USR-00923</x:v>
      </x:c>
      <x:c r="C1338" t="str">
        <x:v>Cero</x:v>
      </x:c>
      <x:c r="D1338" t="n">
        <x:v>46174</x:v>
      </x:c>
      <x:c r="E1338" t="n">
        <x:v>46266</x:v>
      </x:c>
      <x:c r="F1338" t="str">
        <x:v>Activa</x:v>
      </x:c>
      <x:c r="G1338" t="str">
        <x:v>Gratuita</x:v>
      </x:c>
      <x:c r="H1338" t="n">
        <x:v>4</x:v>
      </x:c>
    </x:row>
    <x:row r="1339">
      <x:c r="A1339" t="str">
        <x:v>SUS-001338</x:v>
      </x:c>
      <x:c r="B1339" t="str">
        <x:v>USR-00924</x:v>
      </x:c>
      <x:c r="C1339" t="str">
        <x:v>Cero</x:v>
      </x:c>
      <x:c r="D1339" t="n">
        <x:v>46174</x:v>
      </x:c>
      <x:c r="E1339" t="n">
        <x:v>46235</x:v>
      </x:c>
      <x:c r="F1339" t="str">
        <x:v>Finalizada</x:v>
      </x:c>
      <x:c r="G1339" t="str">
        <x:v>Gratuita</x:v>
      </x:c>
      <x:c r="H1339" t="n">
        <x:v>3</x:v>
      </x:c>
    </x:row>
    <x:row r="1340">
      <x:c r="A1340" t="str">
        <x:v>SUS-001339</x:v>
      </x:c>
      <x:c r="B1340" t="str">
        <x:v>USR-00925</x:v>
      </x:c>
      <x:c r="C1340" t="str">
        <x:v>Cero</x:v>
      </x:c>
      <x:c r="D1340" t="n">
        <x:v>46174</x:v>
      </x:c>
      <x:c r="E1340" t="n">
        <x:v>46235</x:v>
      </x:c>
      <x:c r="F1340" t="str">
        <x:v>Finalizada</x:v>
      </x:c>
      <x:c r="G1340" t="str">
        <x:v>Gratuita</x:v>
      </x:c>
      <x:c r="H1340" t="n">
        <x:v>3</x:v>
      </x:c>
    </x:row>
    <x:row r="1341">
      <x:c r="A1341" t="str">
        <x:v>SUS-001340</x:v>
      </x:c>
      <x:c r="B1341" t="str">
        <x:v>USR-00926</x:v>
      </x:c>
      <x:c r="C1341" t="str">
        <x:v>Cero</x:v>
      </x:c>
      <x:c r="D1341" t="n">
        <x:v>46174</x:v>
      </x:c>
      <x:c r="E1341" t="n">
        <x:v>46174</x:v>
      </x:c>
      <x:c r="F1341" t="str">
        <x:v>Finalizada</x:v>
      </x:c>
      <x:c r="G1341" t="str">
        <x:v>Gratuita</x:v>
      </x:c>
      <x:c r="H1341" t="n">
        <x:v>1</x:v>
      </x:c>
    </x:row>
    <x:row r="1342">
      <x:c r="A1342" t="str">
        <x:v>SUS-001341</x:v>
      </x:c>
      <x:c r="B1342" t="str">
        <x:v>USR-00927</x:v>
      </x:c>
      <x:c r="C1342" t="str">
        <x:v>Cero</x:v>
      </x:c>
      <x:c r="D1342" t="n">
        <x:v>46174</x:v>
      </x:c>
      <x:c r="E1342" t="n">
        <x:v>46266</x:v>
      </x:c>
      <x:c r="F1342" t="str">
        <x:v>Activa</x:v>
      </x:c>
      <x:c r="G1342" t="str">
        <x:v>Gratuita</x:v>
      </x:c>
      <x:c r="H1342" t="n">
        <x:v>4</x:v>
      </x:c>
    </x:row>
    <x:row r="1343">
      <x:c r="A1343" t="str">
        <x:v>SUS-001342</x:v>
      </x:c>
      <x:c r="B1343" t="str">
        <x:v>USR-00928</x:v>
      </x:c>
      <x:c r="C1343" t="str">
        <x:v>Plus mensual</x:v>
      </x:c>
      <x:c r="D1343" t="n">
        <x:v>46174</x:v>
      </x:c>
      <x:c r="E1343" t="n">
        <x:v>46266</x:v>
      </x:c>
      <x:c r="F1343" t="str">
        <x:v>Activa</x:v>
      </x:c>
      <x:c r="G1343" t="str">
        <x:v>Mensual</x:v>
      </x:c>
      <x:c r="H1343" t="n">
        <x:v>4</x:v>
      </x:c>
    </x:row>
    <x:row r="1344">
      <x:c r="A1344" t="str">
        <x:v>SUS-001343</x:v>
      </x:c>
      <x:c r="B1344" t="str">
        <x:v>USR-00929</x:v>
      </x:c>
      <x:c r="C1344" t="str">
        <x:v>Cero</x:v>
      </x:c>
      <x:c r="D1344" t="n">
        <x:v>46174</x:v>
      </x:c>
      <x:c r="E1344" t="n">
        <x:v>46174</x:v>
      </x:c>
      <x:c r="F1344" t="str">
        <x:v>Finalizada</x:v>
      </x:c>
      <x:c r="G1344" t="str">
        <x:v>Gratuita</x:v>
      </x:c>
      <x:c r="H1344" t="n">
        <x:v>1</x:v>
      </x:c>
    </x:row>
    <x:row r="1345">
      <x:c r="A1345" t="str">
        <x:v>SUS-001344</x:v>
      </x:c>
      <x:c r="B1345" t="str">
        <x:v>USR-00930</x:v>
      </x:c>
      <x:c r="C1345" t="str">
        <x:v>Cero</x:v>
      </x:c>
      <x:c r="D1345" t="n">
        <x:v>46174</x:v>
      </x:c>
      <x:c r="E1345" t="n">
        <x:v>46266</x:v>
      </x:c>
      <x:c r="F1345" t="str">
        <x:v>Activa</x:v>
      </x:c>
      <x:c r="G1345" t="str">
        <x:v>Gratuita</x:v>
      </x:c>
      <x:c r="H1345" t="n">
        <x:v>4</x:v>
      </x:c>
    </x:row>
    <x:row r="1346">
      <x:c r="A1346" t="str">
        <x:v>SUS-001345</x:v>
      </x:c>
      <x:c r="B1346" t="str">
        <x:v>USR-00931</x:v>
      </x:c>
      <x:c r="C1346" t="str">
        <x:v>Cero</x:v>
      </x:c>
      <x:c r="D1346" t="n">
        <x:v>46174</x:v>
      </x:c>
      <x:c r="E1346" t="n">
        <x:v>46266</x:v>
      </x:c>
      <x:c r="F1346" t="str">
        <x:v>Activa</x:v>
      </x:c>
      <x:c r="G1346" t="str">
        <x:v>Gratuita</x:v>
      </x:c>
      <x:c r="H1346" t="n">
        <x:v>4</x:v>
      </x:c>
    </x:row>
    <x:row r="1347">
      <x:c r="A1347" t="str">
        <x:v>SUS-001346</x:v>
      </x:c>
      <x:c r="B1347" t="str">
        <x:v>USR-00932</x:v>
      </x:c>
      <x:c r="C1347" t="str">
        <x:v>Cero</x:v>
      </x:c>
      <x:c r="D1347" t="n">
        <x:v>46174</x:v>
      </x:c>
      <x:c r="E1347" t="n">
        <x:v>46266</x:v>
      </x:c>
      <x:c r="F1347" t="str">
        <x:v>Activa</x:v>
      </x:c>
      <x:c r="G1347" t="str">
        <x:v>Gratuita</x:v>
      </x:c>
      <x:c r="H1347" t="n">
        <x:v>4</x:v>
      </x:c>
    </x:row>
    <x:row r="1348">
      <x:c r="A1348" t="str">
        <x:v>SUS-001347</x:v>
      </x:c>
      <x:c r="B1348" t="str">
        <x:v>USR-00933</x:v>
      </x:c>
      <x:c r="C1348" t="str">
        <x:v>Cero</x:v>
      </x:c>
      <x:c r="D1348" t="n">
        <x:v>46174</x:v>
      </x:c>
      <x:c r="E1348" t="n">
        <x:v>46266</x:v>
      </x:c>
      <x:c r="F1348" t="str">
        <x:v>Activa</x:v>
      </x:c>
      <x:c r="G1348" t="str">
        <x:v>Gratuita</x:v>
      </x:c>
      <x:c r="H1348" t="n">
        <x:v>4</x:v>
      </x:c>
    </x:row>
    <x:row r="1349">
      <x:c r="A1349" t="str">
        <x:v>SUS-001348</x:v>
      </x:c>
      <x:c r="B1349" t="str">
        <x:v>USR-00934</x:v>
      </x:c>
      <x:c r="C1349" t="str">
        <x:v>Cero</x:v>
      </x:c>
      <x:c r="D1349" t="n">
        <x:v>46174</x:v>
      </x:c>
      <x:c r="E1349" t="n">
        <x:v>46266</x:v>
      </x:c>
      <x:c r="F1349" t="str">
        <x:v>Activa</x:v>
      </x:c>
      <x:c r="G1349" t="str">
        <x:v>Gratuita</x:v>
      </x:c>
      <x:c r="H1349" t="n">
        <x:v>4</x:v>
      </x:c>
    </x:row>
    <x:row r="1350">
      <x:c r="A1350" t="str">
        <x:v>SUS-001349</x:v>
      </x:c>
      <x:c r="B1350" t="str">
        <x:v>USR-00935</x:v>
      </x:c>
      <x:c r="C1350" t="str">
        <x:v>Cero</x:v>
      </x:c>
      <x:c r="D1350" t="n">
        <x:v>46174</x:v>
      </x:c>
      <x:c r="E1350" t="n">
        <x:v>46266</x:v>
      </x:c>
      <x:c r="F1350" t="str">
        <x:v>Activa</x:v>
      </x:c>
      <x:c r="G1350" t="str">
        <x:v>Gratuita</x:v>
      </x:c>
      <x:c r="H1350" t="n">
        <x:v>4</x:v>
      </x:c>
    </x:row>
    <x:row r="1351">
      <x:c r="A1351" t="str">
        <x:v>SUS-001350</x:v>
      </x:c>
      <x:c r="B1351" t="str">
        <x:v>USR-00936</x:v>
      </x:c>
      <x:c r="C1351" t="str">
        <x:v>Cero</x:v>
      </x:c>
      <x:c r="D1351" t="n">
        <x:v>46174</x:v>
      </x:c>
      <x:c r="E1351" t="n">
        <x:v>46266</x:v>
      </x:c>
      <x:c r="F1351" t="str">
        <x:v>Activa</x:v>
      </x:c>
      <x:c r="G1351" t="str">
        <x:v>Gratuita</x:v>
      </x:c>
      <x:c r="H1351" t="n">
        <x:v>4</x:v>
      </x:c>
    </x:row>
    <x:row r="1352">
      <x:c r="A1352" t="str">
        <x:v>SUS-001351</x:v>
      </x:c>
      <x:c r="B1352" t="str">
        <x:v>USR-00937</x:v>
      </x:c>
      <x:c r="C1352" t="str">
        <x:v>Cero</x:v>
      </x:c>
      <x:c r="D1352" t="n">
        <x:v>46174</x:v>
      </x:c>
      <x:c r="E1352" t="n">
        <x:v>46174</x:v>
      </x:c>
      <x:c r="F1352" t="str">
        <x:v>Finalizada</x:v>
      </x:c>
      <x:c r="G1352" t="str">
        <x:v>Gratuita</x:v>
      </x:c>
      <x:c r="H1352" t="n">
        <x:v>1</x:v>
      </x:c>
    </x:row>
    <x:row r="1353">
      <x:c r="A1353" t="str">
        <x:v>SUS-001352</x:v>
      </x:c>
      <x:c r="B1353" t="str">
        <x:v>USR-00938</x:v>
      </x:c>
      <x:c r="C1353" t="str">
        <x:v>Cero</x:v>
      </x:c>
      <x:c r="D1353" t="n">
        <x:v>46174</x:v>
      </x:c>
      <x:c r="E1353" t="n">
        <x:v>46174</x:v>
      </x:c>
      <x:c r="F1353" t="str">
        <x:v>Finalizada</x:v>
      </x:c>
      <x:c r="G1353" t="str">
        <x:v>Gratuita</x:v>
      </x:c>
      <x:c r="H1353" t="n">
        <x:v>1</x:v>
      </x:c>
    </x:row>
    <x:row r="1354">
      <x:c r="A1354" t="str">
        <x:v>SUS-001353</x:v>
      </x:c>
      <x:c r="B1354" t="str">
        <x:v>USR-00939</x:v>
      </x:c>
      <x:c r="C1354" t="str">
        <x:v>Cero</x:v>
      </x:c>
      <x:c r="D1354" t="n">
        <x:v>46174</x:v>
      </x:c>
      <x:c r="E1354" t="n">
        <x:v>46266</x:v>
      </x:c>
      <x:c r="F1354" t="str">
        <x:v>Activa</x:v>
      </x:c>
      <x:c r="G1354" t="str">
        <x:v>Gratuita</x:v>
      </x:c>
      <x:c r="H1354" t="n">
        <x:v>4</x:v>
      </x:c>
    </x:row>
    <x:row r="1355">
      <x:c r="A1355" t="str">
        <x:v>SUS-001354</x:v>
      </x:c>
      <x:c r="B1355" t="str">
        <x:v>USR-00940</x:v>
      </x:c>
      <x:c r="C1355" t="str">
        <x:v>Cero</x:v>
      </x:c>
      <x:c r="D1355" t="n">
        <x:v>46174</x:v>
      </x:c>
      <x:c r="E1355" t="n">
        <x:v>46266</x:v>
      </x:c>
      <x:c r="F1355" t="str">
        <x:v>Activa</x:v>
      </x:c>
      <x:c r="G1355" t="str">
        <x:v>Gratuita</x:v>
      </x:c>
      <x:c r="H1355" t="n">
        <x:v>4</x:v>
      </x:c>
    </x:row>
    <x:row r="1356">
      <x:c r="A1356" t="str">
        <x:v>SUS-001355</x:v>
      </x:c>
      <x:c r="B1356" t="str">
        <x:v>USR-00941</x:v>
      </x:c>
      <x:c r="C1356" t="str">
        <x:v>Cero</x:v>
      </x:c>
      <x:c r="D1356" t="n">
        <x:v>46174</x:v>
      </x:c>
      <x:c r="E1356" t="n">
        <x:v>46266</x:v>
      </x:c>
      <x:c r="F1356" t="str">
        <x:v>Activa</x:v>
      </x:c>
      <x:c r="G1356" t="str">
        <x:v>Gratuita</x:v>
      </x:c>
      <x:c r="H1356" t="n">
        <x:v>4</x:v>
      </x:c>
    </x:row>
    <x:row r="1357">
      <x:c r="A1357" t="str">
        <x:v>SUS-001356</x:v>
      </x:c>
      <x:c r="B1357" t="str">
        <x:v>USR-00942</x:v>
      </x:c>
      <x:c r="C1357" t="str">
        <x:v>Cero</x:v>
      </x:c>
      <x:c r="D1357" t="n">
        <x:v>46174</x:v>
      </x:c>
      <x:c r="E1357" t="n">
        <x:v>46235</x:v>
      </x:c>
      <x:c r="F1357" t="str">
        <x:v>Finalizada</x:v>
      </x:c>
      <x:c r="G1357" t="str">
        <x:v>Gratuita</x:v>
      </x:c>
      <x:c r="H1357" t="n">
        <x:v>3</x:v>
      </x:c>
    </x:row>
    <x:row r="1358">
      <x:c r="A1358" t="str">
        <x:v>SUS-001357</x:v>
      </x:c>
      <x:c r="B1358" t="str">
        <x:v>USR-00943</x:v>
      </x:c>
      <x:c r="C1358" t="str">
        <x:v>Plus mensual</x:v>
      </x:c>
      <x:c r="D1358" t="n">
        <x:v>46174</x:v>
      </x:c>
      <x:c r="E1358" t="n">
        <x:v>46266</x:v>
      </x:c>
      <x:c r="F1358" t="str">
        <x:v>Activa</x:v>
      </x:c>
      <x:c r="G1358" t="str">
        <x:v>Mensual</x:v>
      </x:c>
      <x:c r="H1358" t="n">
        <x:v>4</x:v>
      </x:c>
    </x:row>
    <x:row r="1359">
      <x:c r="A1359" t="str">
        <x:v>SUS-001358</x:v>
      </x:c>
      <x:c r="B1359" t="str">
        <x:v>USR-00944</x:v>
      </x:c>
      <x:c r="C1359" t="str">
        <x:v>Cero</x:v>
      </x:c>
      <x:c r="D1359" t="n">
        <x:v>46174</x:v>
      </x:c>
      <x:c r="E1359" t="n">
        <x:v>46266</x:v>
      </x:c>
      <x:c r="F1359" t="str">
        <x:v>Activa</x:v>
      </x:c>
      <x:c r="G1359" t="str">
        <x:v>Gratuita</x:v>
      </x:c>
      <x:c r="H1359" t="n">
        <x:v>4</x:v>
      </x:c>
    </x:row>
    <x:row r="1360">
      <x:c r="A1360" t="str">
        <x:v>SUS-001359</x:v>
      </x:c>
      <x:c r="B1360" t="str">
        <x:v>USR-00945</x:v>
      </x:c>
      <x:c r="C1360" t="str">
        <x:v>Cero</x:v>
      </x:c>
      <x:c r="D1360" t="n">
        <x:v>46174</x:v>
      </x:c>
      <x:c r="E1360" t="n">
        <x:v>46266</x:v>
      </x:c>
      <x:c r="F1360" t="str">
        <x:v>Activa</x:v>
      </x:c>
      <x:c r="G1360" t="str">
        <x:v>Gratuita</x:v>
      </x:c>
      <x:c r="H1360" t="n">
        <x:v>4</x:v>
      </x:c>
    </x:row>
    <x:row r="1361">
      <x:c r="A1361" t="str">
        <x:v>SUS-001360</x:v>
      </x:c>
      <x:c r="B1361" t="str">
        <x:v>USR-00946</x:v>
      </x:c>
      <x:c r="C1361" t="str">
        <x:v>Cero</x:v>
      </x:c>
      <x:c r="D1361" t="n">
        <x:v>46174</x:v>
      </x:c>
      <x:c r="E1361" t="n">
        <x:v>46266</x:v>
      </x:c>
      <x:c r="F1361" t="str">
        <x:v>Activa</x:v>
      </x:c>
      <x:c r="G1361" t="str">
        <x:v>Gratuita</x:v>
      </x:c>
      <x:c r="H1361" t="n">
        <x:v>4</x:v>
      </x:c>
    </x:row>
    <x:row r="1362">
      <x:c r="A1362" t="str">
        <x:v>SUS-001361</x:v>
      </x:c>
      <x:c r="B1362" t="str">
        <x:v>USR-00947</x:v>
      </x:c>
      <x:c r="C1362" t="str">
        <x:v>Plus anual</x:v>
      </x:c>
      <x:c r="D1362" t="n">
        <x:v>46174</x:v>
      </x:c>
      <x:c r="E1362" t="n">
        <x:v>46266</x:v>
      </x:c>
      <x:c r="F1362" t="str">
        <x:v>Activa</x:v>
      </x:c>
      <x:c r="G1362" t="str">
        <x:v>Anual</x:v>
      </x:c>
      <x:c r="H1362" t="n">
        <x:v>4</x:v>
      </x:c>
    </x:row>
    <x:row r="1363">
      <x:c r="A1363" t="str">
        <x:v>SUS-001362</x:v>
      </x:c>
      <x:c r="B1363" t="str">
        <x:v>USR-00948</x:v>
      </x:c>
      <x:c r="C1363" t="str">
        <x:v>Plus mensual</x:v>
      </x:c>
      <x:c r="D1363" t="n">
        <x:v>46174</x:v>
      </x:c>
      <x:c r="E1363" t="n">
        <x:v>46266</x:v>
      </x:c>
      <x:c r="F1363" t="str">
        <x:v>Activa</x:v>
      </x:c>
      <x:c r="G1363" t="str">
        <x:v>Mensual</x:v>
      </x:c>
      <x:c r="H1363" t="n">
        <x:v>4</x:v>
      </x:c>
    </x:row>
    <x:row r="1364">
      <x:c r="A1364" t="str">
        <x:v>SUS-001363</x:v>
      </x:c>
      <x:c r="B1364" t="str">
        <x:v>USR-00949</x:v>
      </x:c>
      <x:c r="C1364" t="str">
        <x:v>Cero</x:v>
      </x:c>
      <x:c r="D1364" t="n">
        <x:v>46174</x:v>
      </x:c>
      <x:c r="E1364" t="n">
        <x:v>46266</x:v>
      </x:c>
      <x:c r="F1364" t="str">
        <x:v>Activa</x:v>
      </x:c>
      <x:c r="G1364" t="str">
        <x:v>Gratuita</x:v>
      </x:c>
      <x:c r="H1364" t="n">
        <x:v>4</x:v>
      </x:c>
    </x:row>
    <x:row r="1365">
      <x:c r="A1365" t="str">
        <x:v>SUS-001364</x:v>
      </x:c>
      <x:c r="B1365" t="str">
        <x:v>USR-00950</x:v>
      </x:c>
      <x:c r="C1365" t="str">
        <x:v>Cero</x:v>
      </x:c>
      <x:c r="D1365" t="n">
        <x:v>46174</x:v>
      </x:c>
      <x:c r="E1365" t="n">
        <x:v>46266</x:v>
      </x:c>
      <x:c r="F1365" t="str">
        <x:v>Activa</x:v>
      </x:c>
      <x:c r="G1365" t="str">
        <x:v>Gratuita</x:v>
      </x:c>
      <x:c r="H1365" t="n">
        <x:v>4</x:v>
      </x:c>
    </x:row>
    <x:row r="1366">
      <x:c r="A1366" t="str">
        <x:v>SUS-001365</x:v>
      </x:c>
      <x:c r="B1366" t="str">
        <x:v>USR-00951</x:v>
      </x:c>
      <x:c r="C1366" t="str">
        <x:v>Cero</x:v>
      </x:c>
      <x:c r="D1366" t="n">
        <x:v>46174</x:v>
      </x:c>
      <x:c r="E1366" t="n">
        <x:v>46204</x:v>
      </x:c>
      <x:c r="F1366" t="str">
        <x:v>Finalizada</x:v>
      </x:c>
      <x:c r="G1366" t="str">
        <x:v>Gratuita</x:v>
      </x:c>
      <x:c r="H1366" t="n">
        <x:v>2</x:v>
      </x:c>
    </x:row>
    <x:row r="1367">
      <x:c r="A1367" t="str">
        <x:v>SUS-001366</x:v>
      </x:c>
      <x:c r="B1367" t="str">
        <x:v>USR-00952</x:v>
      </x:c>
      <x:c r="C1367" t="str">
        <x:v>Cero</x:v>
      </x:c>
      <x:c r="D1367" t="n">
        <x:v>46174</x:v>
      </x:c>
      <x:c r="E1367" t="n">
        <x:v>46266</x:v>
      </x:c>
      <x:c r="F1367" t="str">
        <x:v>Activa</x:v>
      </x:c>
      <x:c r="G1367" t="str">
        <x:v>Gratuita</x:v>
      </x:c>
      <x:c r="H1367" t="n">
        <x:v>4</x:v>
      </x:c>
    </x:row>
    <x:row r="1368">
      <x:c r="A1368" t="str">
        <x:v>SUS-001367</x:v>
      </x:c>
      <x:c r="B1368" t="str">
        <x:v>USR-00953</x:v>
      </x:c>
      <x:c r="C1368" t="str">
        <x:v>Cero</x:v>
      </x:c>
      <x:c r="D1368" t="n">
        <x:v>46174</x:v>
      </x:c>
      <x:c r="E1368" t="n">
        <x:v>46266</x:v>
      </x:c>
      <x:c r="F1368" t="str">
        <x:v>Activa</x:v>
      </x:c>
      <x:c r="G1368" t="str">
        <x:v>Gratuita</x:v>
      </x:c>
      <x:c r="H1368" t="n">
        <x:v>4</x:v>
      </x:c>
    </x:row>
    <x:row r="1369">
      <x:c r="A1369" t="str">
        <x:v>SUS-001368</x:v>
      </x:c>
      <x:c r="B1369" t="str">
        <x:v>USR-00954</x:v>
      </x:c>
      <x:c r="C1369" t="str">
        <x:v>Cero</x:v>
      </x:c>
      <x:c r="D1369" t="n">
        <x:v>46174</x:v>
      </x:c>
      <x:c r="E1369" t="n">
        <x:v>46266</x:v>
      </x:c>
      <x:c r="F1369" t="str">
        <x:v>Activa</x:v>
      </x:c>
      <x:c r="G1369" t="str">
        <x:v>Gratuita</x:v>
      </x:c>
      <x:c r="H1369" t="n">
        <x:v>4</x:v>
      </x:c>
    </x:row>
    <x:row r="1370">
      <x:c r="A1370" t="str">
        <x:v>SUS-001369</x:v>
      </x:c>
      <x:c r="B1370" t="str">
        <x:v>USR-00955</x:v>
      </x:c>
      <x:c r="C1370" t="str">
        <x:v>Plus mensual</x:v>
      </x:c>
      <x:c r="D1370" t="n">
        <x:v>46174</x:v>
      </x:c>
      <x:c r="E1370" t="n">
        <x:v>46266</x:v>
      </x:c>
      <x:c r="F1370" t="str">
        <x:v>Activa</x:v>
      </x:c>
      <x:c r="G1370" t="str">
        <x:v>Mensual</x:v>
      </x:c>
      <x:c r="H1370" t="n">
        <x:v>4</x:v>
      </x:c>
    </x:row>
    <x:row r="1371">
      <x:c r="A1371" t="str">
        <x:v>SUS-001370</x:v>
      </x:c>
      <x:c r="B1371" t="str">
        <x:v>USR-00956</x:v>
      </x:c>
      <x:c r="C1371" t="str">
        <x:v>Cero</x:v>
      </x:c>
      <x:c r="D1371" t="n">
        <x:v>46174</x:v>
      </x:c>
      <x:c r="E1371" t="n">
        <x:v>46266</x:v>
      </x:c>
      <x:c r="F1371" t="str">
        <x:v>Activa</x:v>
      </x:c>
      <x:c r="G1371" t="str">
        <x:v>Gratuita</x:v>
      </x:c>
      <x:c r="H1371" t="n">
        <x:v>4</x:v>
      </x:c>
    </x:row>
    <x:row r="1372">
      <x:c r="A1372" t="str">
        <x:v>SUS-001371</x:v>
      </x:c>
      <x:c r="B1372" t="str">
        <x:v>USR-00957</x:v>
      </x:c>
      <x:c r="C1372" t="str">
        <x:v>Cero</x:v>
      </x:c>
      <x:c r="D1372" t="n">
        <x:v>46174</x:v>
      </x:c>
      <x:c r="E1372" t="n">
        <x:v>46266</x:v>
      </x:c>
      <x:c r="F1372" t="str">
        <x:v>Activa</x:v>
      </x:c>
      <x:c r="G1372" t="str">
        <x:v>Gratuita</x:v>
      </x:c>
      <x:c r="H1372" t="n">
        <x:v>4</x:v>
      </x:c>
    </x:row>
    <x:row r="1373">
      <x:c r="A1373" t="str">
        <x:v>SUS-001372</x:v>
      </x:c>
      <x:c r="B1373" t="str">
        <x:v>USR-00958</x:v>
      </x:c>
      <x:c r="C1373" t="str">
        <x:v>Cero</x:v>
      </x:c>
      <x:c r="D1373" t="n">
        <x:v>46174</x:v>
      </x:c>
      <x:c r="E1373" t="n">
        <x:v>46204</x:v>
      </x:c>
      <x:c r="F1373" t="str">
        <x:v>Finalizada</x:v>
      </x:c>
      <x:c r="G1373" t="str">
        <x:v>Gratuita</x:v>
      </x:c>
      <x:c r="H1373" t="n">
        <x:v>2</x:v>
      </x:c>
    </x:row>
    <x:row r="1374">
      <x:c r="A1374" t="str">
        <x:v>SUS-001373</x:v>
      </x:c>
      <x:c r="B1374" t="str">
        <x:v>USR-00959</x:v>
      </x:c>
      <x:c r="C1374" t="str">
        <x:v>Cero</x:v>
      </x:c>
      <x:c r="D1374" t="n">
        <x:v>46174</x:v>
      </x:c>
      <x:c r="E1374" t="n">
        <x:v>46266</x:v>
      </x:c>
      <x:c r="F1374" t="str">
        <x:v>Activa</x:v>
      </x:c>
      <x:c r="G1374" t="str">
        <x:v>Gratuita</x:v>
      </x:c>
      <x:c r="H1374" t="n">
        <x:v>4</x:v>
      </x:c>
    </x:row>
    <x:row r="1375">
      <x:c r="A1375" t="str">
        <x:v>SUS-001374</x:v>
      </x:c>
      <x:c r="B1375" t="str">
        <x:v>USR-00960</x:v>
      </x:c>
      <x:c r="C1375" t="str">
        <x:v>Cero</x:v>
      </x:c>
      <x:c r="D1375" t="n">
        <x:v>46174</x:v>
      </x:c>
      <x:c r="E1375" t="n">
        <x:v>46266</x:v>
      </x:c>
      <x:c r="F1375" t="str">
        <x:v>Activa</x:v>
      </x:c>
      <x:c r="G1375" t="str">
        <x:v>Gratuita</x:v>
      </x:c>
      <x:c r="H1375" t="n">
        <x:v>4</x:v>
      </x:c>
    </x:row>
    <x:row r="1376">
      <x:c r="A1376" t="str">
        <x:v>SUS-001375</x:v>
      </x:c>
      <x:c r="B1376" t="str">
        <x:v>USR-00961</x:v>
      </x:c>
      <x:c r="C1376" t="str">
        <x:v>Cero</x:v>
      </x:c>
      <x:c r="D1376" t="n">
        <x:v>46174</x:v>
      </x:c>
      <x:c r="E1376" t="n">
        <x:v>46266</x:v>
      </x:c>
      <x:c r="F1376" t="str">
        <x:v>Activa</x:v>
      </x:c>
      <x:c r="G1376" t="str">
        <x:v>Gratuita</x:v>
      </x:c>
      <x:c r="H1376" t="n">
        <x:v>4</x:v>
      </x:c>
    </x:row>
    <x:row r="1377">
      <x:c r="A1377" t="str">
        <x:v>SUS-001376</x:v>
      </x:c>
      <x:c r="B1377" t="str">
        <x:v>USR-00962</x:v>
      </x:c>
      <x:c r="C1377" t="str">
        <x:v>Cero</x:v>
      </x:c>
      <x:c r="D1377" t="n">
        <x:v>46174</x:v>
      </x:c>
      <x:c r="E1377" t="n">
        <x:v>46266</x:v>
      </x:c>
      <x:c r="F1377" t="str">
        <x:v>Activa</x:v>
      </x:c>
      <x:c r="G1377" t="str">
        <x:v>Gratuita</x:v>
      </x:c>
      <x:c r="H1377" t="n">
        <x:v>4</x:v>
      </x:c>
    </x:row>
    <x:row r="1378">
      <x:c r="A1378" t="str">
        <x:v>SUS-001377</x:v>
      </x:c>
      <x:c r="B1378" t="str">
        <x:v>USR-00963</x:v>
      </x:c>
      <x:c r="C1378" t="str">
        <x:v>Cero</x:v>
      </x:c>
      <x:c r="D1378" t="n">
        <x:v>46174</x:v>
      </x:c>
      <x:c r="E1378" t="n">
        <x:v>46266</x:v>
      </x:c>
      <x:c r="F1378" t="str">
        <x:v>Activa</x:v>
      </x:c>
      <x:c r="G1378" t="str">
        <x:v>Gratuita</x:v>
      </x:c>
      <x:c r="H1378" t="n">
        <x:v>4</x:v>
      </x:c>
    </x:row>
    <x:row r="1379">
      <x:c r="A1379" t="str">
        <x:v>SUS-001378</x:v>
      </x:c>
      <x:c r="B1379" t="str">
        <x:v>USR-00964</x:v>
      </x:c>
      <x:c r="C1379" t="str">
        <x:v>Cero</x:v>
      </x:c>
      <x:c r="D1379" t="n">
        <x:v>46174</x:v>
      </x:c>
      <x:c r="E1379" t="n">
        <x:v>46266</x:v>
      </x:c>
      <x:c r="F1379" t="str">
        <x:v>Activa</x:v>
      </x:c>
      <x:c r="G1379" t="str">
        <x:v>Gratuita</x:v>
      </x:c>
      <x:c r="H1379" t="n">
        <x:v>4</x:v>
      </x:c>
    </x:row>
    <x:row r="1380">
      <x:c r="A1380" t="str">
        <x:v>SUS-001379</x:v>
      </x:c>
      <x:c r="B1380" t="str">
        <x:v>USR-00965</x:v>
      </x:c>
      <x:c r="C1380" t="str">
        <x:v>Cero</x:v>
      </x:c>
      <x:c r="D1380" t="n">
        <x:v>46174</x:v>
      </x:c>
      <x:c r="E1380" t="n">
        <x:v>46266</x:v>
      </x:c>
      <x:c r="F1380" t="str">
        <x:v>Activa</x:v>
      </x:c>
      <x:c r="G1380" t="str">
        <x:v>Gratuita</x:v>
      </x:c>
      <x:c r="H1380" t="n">
        <x:v>4</x:v>
      </x:c>
    </x:row>
    <x:row r="1381">
      <x:c r="A1381" t="str">
        <x:v>SUS-001380</x:v>
      </x:c>
      <x:c r="B1381" t="str">
        <x:v>USR-00966</x:v>
      </x:c>
      <x:c r="C1381" t="str">
        <x:v>Plus mensual</x:v>
      </x:c>
      <x:c r="D1381" t="n">
        <x:v>46174</x:v>
      </x:c>
      <x:c r="E1381" t="n">
        <x:v>46266</x:v>
      </x:c>
      <x:c r="F1381" t="str">
        <x:v>Activa</x:v>
      </x:c>
      <x:c r="G1381" t="str">
        <x:v>Mensual</x:v>
      </x:c>
      <x:c r="H1381" t="n">
        <x:v>4</x:v>
      </x:c>
    </x:row>
    <x:row r="1382">
      <x:c r="A1382" t="str">
        <x:v>SUS-001381</x:v>
      </x:c>
      <x:c r="B1382" t="str">
        <x:v>USR-00967</x:v>
      </x:c>
      <x:c r="C1382" t="str">
        <x:v>Cero</x:v>
      </x:c>
      <x:c r="D1382" t="n">
        <x:v>46174</x:v>
      </x:c>
      <x:c r="E1382" t="n">
        <x:v>46266</x:v>
      </x:c>
      <x:c r="F1382" t="str">
        <x:v>Activa</x:v>
      </x:c>
      <x:c r="G1382" t="str">
        <x:v>Gratuita</x:v>
      </x:c>
      <x:c r="H1382" t="n">
        <x:v>4</x:v>
      </x:c>
    </x:row>
    <x:row r="1383">
      <x:c r="A1383" t="str">
        <x:v>SUS-001382</x:v>
      </x:c>
      <x:c r="B1383" t="str">
        <x:v>USR-00968</x:v>
      </x:c>
      <x:c r="C1383" t="str">
        <x:v>Plus mensual</x:v>
      </x:c>
      <x:c r="D1383" t="n">
        <x:v>46174</x:v>
      </x:c>
      <x:c r="E1383" t="n">
        <x:v>46266</x:v>
      </x:c>
      <x:c r="F1383" t="str">
        <x:v>Activa</x:v>
      </x:c>
      <x:c r="G1383" t="str">
        <x:v>Mensual</x:v>
      </x:c>
      <x:c r="H1383" t="n">
        <x:v>4</x:v>
      </x:c>
    </x:row>
    <x:row r="1384">
      <x:c r="A1384" t="str">
        <x:v>SUS-001383</x:v>
      </x:c>
      <x:c r="B1384" t="str">
        <x:v>USR-00969</x:v>
      </x:c>
      <x:c r="C1384" t="str">
        <x:v>Cero</x:v>
      </x:c>
      <x:c r="D1384" t="n">
        <x:v>46174</x:v>
      </x:c>
      <x:c r="E1384" t="n">
        <x:v>46266</x:v>
      </x:c>
      <x:c r="F1384" t="str">
        <x:v>Activa</x:v>
      </x:c>
      <x:c r="G1384" t="str">
        <x:v>Gratuita</x:v>
      </x:c>
      <x:c r="H1384" t="n">
        <x:v>4</x:v>
      </x:c>
    </x:row>
    <x:row r="1385">
      <x:c r="A1385" t="str">
        <x:v>SUS-001384</x:v>
      </x:c>
      <x:c r="B1385" t="str">
        <x:v>USR-00970</x:v>
      </x:c>
      <x:c r="C1385" t="str">
        <x:v>Cero</x:v>
      </x:c>
      <x:c r="D1385" t="n">
        <x:v>46174</x:v>
      </x:c>
      <x:c r="E1385" t="n">
        <x:v>46266</x:v>
      </x:c>
      <x:c r="F1385" t="str">
        <x:v>Activa</x:v>
      </x:c>
      <x:c r="G1385" t="str">
        <x:v>Gratuita</x:v>
      </x:c>
      <x:c r="H1385" t="n">
        <x:v>4</x:v>
      </x:c>
    </x:row>
    <x:row r="1386">
      <x:c r="A1386" t="str">
        <x:v>SUS-001385</x:v>
      </x:c>
      <x:c r="B1386" t="str">
        <x:v>USR-00971</x:v>
      </x:c>
      <x:c r="C1386" t="str">
        <x:v>Cero</x:v>
      </x:c>
      <x:c r="D1386" t="n">
        <x:v>46174</x:v>
      </x:c>
      <x:c r="E1386" t="n">
        <x:v>46266</x:v>
      </x:c>
      <x:c r="F1386" t="str">
        <x:v>Activa</x:v>
      </x:c>
      <x:c r="G1386" t="str">
        <x:v>Gratuita</x:v>
      </x:c>
      <x:c r="H1386" t="n">
        <x:v>4</x:v>
      </x:c>
    </x:row>
    <x:row r="1387">
      <x:c r="A1387" t="str">
        <x:v>SUS-001386</x:v>
      </x:c>
      <x:c r="B1387" t="str">
        <x:v>USR-00972</x:v>
      </x:c>
      <x:c r="C1387" t="str">
        <x:v>Cero</x:v>
      </x:c>
      <x:c r="D1387" t="n">
        <x:v>46174</x:v>
      </x:c>
      <x:c r="E1387" t="n">
        <x:v>46235</x:v>
      </x:c>
      <x:c r="F1387" t="str">
        <x:v>Finalizada</x:v>
      </x:c>
      <x:c r="G1387" t="str">
        <x:v>Gratuita</x:v>
      </x:c>
      <x:c r="H1387" t="n">
        <x:v>3</x:v>
      </x:c>
    </x:row>
    <x:row r="1388">
      <x:c r="A1388" t="str">
        <x:v>SUS-001387</x:v>
      </x:c>
      <x:c r="B1388" t="str">
        <x:v>USR-00973</x:v>
      </x:c>
      <x:c r="C1388" t="str">
        <x:v>Cero</x:v>
      </x:c>
      <x:c r="D1388" t="n">
        <x:v>46174</x:v>
      </x:c>
      <x:c r="E1388" t="n">
        <x:v>46204</x:v>
      </x:c>
      <x:c r="F1388" t="str">
        <x:v>Finalizada</x:v>
      </x:c>
      <x:c r="G1388" t="str">
        <x:v>Gratuita</x:v>
      </x:c>
      <x:c r="H1388" t="n">
        <x:v>2</x:v>
      </x:c>
    </x:row>
    <x:row r="1389">
      <x:c r="A1389" t="str">
        <x:v>SUS-001388</x:v>
      </x:c>
      <x:c r="B1389" t="str">
        <x:v>USR-00974</x:v>
      </x:c>
      <x:c r="C1389" t="str">
        <x:v>Cero</x:v>
      </x:c>
      <x:c r="D1389" t="n">
        <x:v>46174</x:v>
      </x:c>
      <x:c r="E1389" t="n">
        <x:v>46266</x:v>
      </x:c>
      <x:c r="F1389" t="str">
        <x:v>Activa</x:v>
      </x:c>
      <x:c r="G1389" t="str">
        <x:v>Gratuita</x:v>
      </x:c>
      <x:c r="H1389" t="n">
        <x:v>4</x:v>
      </x:c>
    </x:row>
    <x:row r="1390">
      <x:c r="A1390" t="str">
        <x:v>SUS-001389</x:v>
      </x:c>
      <x:c r="B1390" t="str">
        <x:v>USR-00975</x:v>
      </x:c>
      <x:c r="C1390" t="str">
        <x:v>Plus mensual</x:v>
      </x:c>
      <x:c r="D1390" t="n">
        <x:v>46174</x:v>
      </x:c>
      <x:c r="E1390" t="n">
        <x:v>46266</x:v>
      </x:c>
      <x:c r="F1390" t="str">
        <x:v>Activa</x:v>
      </x:c>
      <x:c r="G1390" t="str">
        <x:v>Mensual</x:v>
      </x:c>
      <x:c r="H1390" t="n">
        <x:v>4</x:v>
      </x:c>
    </x:row>
    <x:row r="1391">
      <x:c r="A1391" t="str">
        <x:v>SUS-001390</x:v>
      </x:c>
      <x:c r="B1391" t="str">
        <x:v>USR-00976</x:v>
      </x:c>
      <x:c r="C1391" t="str">
        <x:v>Plus mensual</x:v>
      </x:c>
      <x:c r="D1391" t="n">
        <x:v>46174</x:v>
      </x:c>
      <x:c r="E1391" t="n">
        <x:v>46266</x:v>
      </x:c>
      <x:c r="F1391" t="str">
        <x:v>Activa</x:v>
      </x:c>
      <x:c r="G1391" t="str">
        <x:v>Mensual</x:v>
      </x:c>
      <x:c r="H1391" t="n">
        <x:v>4</x:v>
      </x:c>
    </x:row>
    <x:row r="1392">
      <x:c r="A1392" t="str">
        <x:v>SUS-001391</x:v>
      </x:c>
      <x:c r="B1392" t="str">
        <x:v>USR-00977</x:v>
      </x:c>
      <x:c r="C1392" t="str">
        <x:v>Cero</x:v>
      </x:c>
      <x:c r="D1392" t="n">
        <x:v>46174</x:v>
      </x:c>
      <x:c r="E1392" t="n">
        <x:v>46266</x:v>
      </x:c>
      <x:c r="F1392" t="str">
        <x:v>Activa</x:v>
      </x:c>
      <x:c r="G1392" t="str">
        <x:v>Gratuita</x:v>
      </x:c>
      <x:c r="H1392" t="n">
        <x:v>4</x:v>
      </x:c>
    </x:row>
    <x:row r="1393">
      <x:c r="A1393" t="str">
        <x:v>SUS-001392</x:v>
      </x:c>
      <x:c r="B1393" t="str">
        <x:v>USR-00978</x:v>
      </x:c>
      <x:c r="C1393" t="str">
        <x:v>Cero</x:v>
      </x:c>
      <x:c r="D1393" t="n">
        <x:v>46174</x:v>
      </x:c>
      <x:c r="E1393" t="n">
        <x:v>46266</x:v>
      </x:c>
      <x:c r="F1393" t="str">
        <x:v>Activa</x:v>
      </x:c>
      <x:c r="G1393" t="str">
        <x:v>Gratuita</x:v>
      </x:c>
      <x:c r="H1393" t="n">
        <x:v>4</x:v>
      </x:c>
    </x:row>
    <x:row r="1394">
      <x:c r="A1394" t="str">
        <x:v>SUS-001393</x:v>
      </x:c>
      <x:c r="B1394" t="str">
        <x:v>USR-00979</x:v>
      </x:c>
      <x:c r="C1394" t="str">
        <x:v>Cero</x:v>
      </x:c>
      <x:c r="D1394" t="n">
        <x:v>46174</x:v>
      </x:c>
      <x:c r="E1394" t="n">
        <x:v>46266</x:v>
      </x:c>
      <x:c r="F1394" t="str">
        <x:v>Activa</x:v>
      </x:c>
      <x:c r="G1394" t="str">
        <x:v>Gratuita</x:v>
      </x:c>
      <x:c r="H1394" t="n">
        <x:v>4</x:v>
      </x:c>
    </x:row>
    <x:row r="1395">
      <x:c r="A1395" t="str">
        <x:v>SUS-001394</x:v>
      </x:c>
      <x:c r="B1395" t="str">
        <x:v>USR-00980</x:v>
      </x:c>
      <x:c r="C1395" t="str">
        <x:v>Cero</x:v>
      </x:c>
      <x:c r="D1395" t="n">
        <x:v>46174</x:v>
      </x:c>
      <x:c r="E1395" t="n">
        <x:v>46266</x:v>
      </x:c>
      <x:c r="F1395" t="str">
        <x:v>Activa</x:v>
      </x:c>
      <x:c r="G1395" t="str">
        <x:v>Gratuita</x:v>
      </x:c>
      <x:c r="H1395" t="n">
        <x:v>4</x:v>
      </x:c>
    </x:row>
    <x:row r="1396">
      <x:c r="A1396" t="str">
        <x:v>SUS-001395</x:v>
      </x:c>
      <x:c r="B1396" t="str">
        <x:v>USR-00006</x:v>
      </x:c>
      <x:c r="C1396" t="str">
        <x:v>Plus mensual</x:v>
      </x:c>
      <x:c r="D1396" t="n">
        <x:v>46204</x:v>
      </x:c>
      <x:c r="E1396" t="n">
        <x:v>46266</x:v>
      </x:c>
      <x:c r="F1396" t="str">
        <x:v>Activa</x:v>
      </x:c>
      <x:c r="G1396" t="str">
        <x:v>Mensual</x:v>
      </x:c>
      <x:c r="H1396" t="n">
        <x:v>3</x:v>
      </x:c>
    </x:row>
    <x:row r="1397">
      <x:c r="A1397" t="str">
        <x:v>SUS-001396</x:v>
      </x:c>
      <x:c r="B1397" t="str">
        <x:v>USR-00009</x:v>
      </x:c>
      <x:c r="C1397" t="str">
        <x:v>Plus mensual</x:v>
      </x:c>
      <x:c r="D1397" t="n">
        <x:v>46204</x:v>
      </x:c>
      <x:c r="E1397" t="n">
        <x:v>46266</x:v>
      </x:c>
      <x:c r="F1397" t="str">
        <x:v>Activa</x:v>
      </x:c>
      <x:c r="G1397" t="str">
        <x:v>Mensual</x:v>
      </x:c>
      <x:c r="H1397" t="n">
        <x:v>3</x:v>
      </x:c>
    </x:row>
    <x:row r="1398">
      <x:c r="A1398" t="str">
        <x:v>SUS-001397</x:v>
      </x:c>
      <x:c r="B1398" t="str">
        <x:v>USR-00029</x:v>
      </x:c>
      <x:c r="C1398" t="str">
        <x:v>Plus mensual</x:v>
      </x:c>
      <x:c r="D1398" t="n">
        <x:v>46204</x:v>
      </x:c>
      <x:c r="E1398" t="n">
        <x:v>46266</x:v>
      </x:c>
      <x:c r="F1398" t="str">
        <x:v>Activa</x:v>
      </x:c>
      <x:c r="G1398" t="str">
        <x:v>Mensual</x:v>
      </x:c>
      <x:c r="H1398" t="n">
        <x:v>3</x:v>
      </x:c>
    </x:row>
    <x:row r="1399">
      <x:c r="A1399" t="str">
        <x:v>SUS-001398</x:v>
      </x:c>
      <x:c r="B1399" t="str">
        <x:v>USR-00032</x:v>
      </x:c>
      <x:c r="C1399" t="str">
        <x:v>Plus mensual</x:v>
      </x:c>
      <x:c r="D1399" t="n">
        <x:v>46204</x:v>
      </x:c>
      <x:c r="E1399" t="n">
        <x:v>46266</x:v>
      </x:c>
      <x:c r="F1399" t="str">
        <x:v>Activa</x:v>
      </x:c>
      <x:c r="G1399" t="str">
        <x:v>Mensual</x:v>
      </x:c>
      <x:c r="H1399" t="n">
        <x:v>3</x:v>
      </x:c>
    </x:row>
    <x:row r="1400">
      <x:c r="A1400" t="str">
        <x:v>SUS-001399</x:v>
      </x:c>
      <x:c r="B1400" t="str">
        <x:v>USR-00070</x:v>
      </x:c>
      <x:c r="C1400" t="str">
        <x:v>Plus mensual</x:v>
      </x:c>
      <x:c r="D1400" t="n">
        <x:v>46204</x:v>
      </x:c>
      <x:c r="E1400" t="n">
        <x:v>46266</x:v>
      </x:c>
      <x:c r="F1400" t="str">
        <x:v>Activa</x:v>
      </x:c>
      <x:c r="G1400" t="str">
        <x:v>Mensual</x:v>
      </x:c>
      <x:c r="H1400" t="n">
        <x:v>3</x:v>
      </x:c>
    </x:row>
    <x:row r="1401">
      <x:c r="A1401" t="str">
        <x:v>SUS-001400</x:v>
      </x:c>
      <x:c r="B1401" t="str">
        <x:v>USR-00087</x:v>
      </x:c>
      <x:c r="C1401" t="str">
        <x:v>Plus mensual</x:v>
      </x:c>
      <x:c r="D1401" t="n">
        <x:v>46204</x:v>
      </x:c>
      <x:c r="E1401" t="n">
        <x:v>46266</x:v>
      </x:c>
      <x:c r="F1401" t="str">
        <x:v>Activa</x:v>
      </x:c>
      <x:c r="G1401" t="str">
        <x:v>Mensual</x:v>
      </x:c>
      <x:c r="H1401" t="n">
        <x:v>3</x:v>
      </x:c>
    </x:row>
    <x:row r="1402">
      <x:c r="A1402" t="str">
        <x:v>SUS-001401</x:v>
      </x:c>
      <x:c r="B1402" t="str">
        <x:v>USR-00098</x:v>
      </x:c>
      <x:c r="C1402" t="str">
        <x:v>Plus mensual</x:v>
      </x:c>
      <x:c r="D1402" t="n">
        <x:v>46204</x:v>
      </x:c>
      <x:c r="E1402" t="n">
        <x:v>46266</x:v>
      </x:c>
      <x:c r="F1402" t="str">
        <x:v>Activa</x:v>
      </x:c>
      <x:c r="G1402" t="str">
        <x:v>Mensual</x:v>
      </x:c>
      <x:c r="H1402" t="n">
        <x:v>3</x:v>
      </x:c>
    </x:row>
    <x:row r="1403">
      <x:c r="A1403" t="str">
        <x:v>SUS-001402</x:v>
      </x:c>
      <x:c r="B1403" t="str">
        <x:v>USR-00104</x:v>
      </x:c>
      <x:c r="C1403" t="str">
        <x:v>Plus mensual</x:v>
      </x:c>
      <x:c r="D1403" t="n">
        <x:v>46204</x:v>
      </x:c>
      <x:c r="E1403" t="n">
        <x:v>46266</x:v>
      </x:c>
      <x:c r="F1403" t="str">
        <x:v>Activa</x:v>
      </x:c>
      <x:c r="G1403" t="str">
        <x:v>Mensual</x:v>
      </x:c>
      <x:c r="H1403" t="n">
        <x:v>3</x:v>
      </x:c>
    </x:row>
    <x:row r="1404">
      <x:c r="A1404" t="str">
        <x:v>SUS-001403</x:v>
      </x:c>
      <x:c r="B1404" t="str">
        <x:v>USR-00106</x:v>
      </x:c>
      <x:c r="C1404" t="str">
        <x:v>Plus mensual</x:v>
      </x:c>
      <x:c r="D1404" t="n">
        <x:v>46204</x:v>
      </x:c>
      <x:c r="E1404" t="n">
        <x:v>46204</x:v>
      </x:c>
      <x:c r="F1404" t="str">
        <x:v>Finalizada</x:v>
      </x:c>
      <x:c r="G1404" t="str">
        <x:v>Mensual</x:v>
      </x:c>
      <x:c r="H1404" t="n">
        <x:v>1</x:v>
      </x:c>
    </x:row>
    <x:row r="1405">
      <x:c r="A1405" t="str">
        <x:v>SUS-001404</x:v>
      </x:c>
      <x:c r="B1405" t="str">
        <x:v>USR-00118</x:v>
      </x:c>
      <x:c r="C1405" t="str">
        <x:v>Plus mensual</x:v>
      </x:c>
      <x:c r="D1405" t="n">
        <x:v>46204</x:v>
      </x:c>
      <x:c r="E1405" t="n">
        <x:v>46266</x:v>
      </x:c>
      <x:c r="F1405" t="str">
        <x:v>Activa</x:v>
      </x:c>
      <x:c r="G1405" t="str">
        <x:v>Mensual</x:v>
      </x:c>
      <x:c r="H1405" t="n">
        <x:v>3</x:v>
      </x:c>
    </x:row>
    <x:row r="1406">
      <x:c r="A1406" t="str">
        <x:v>SUS-001405</x:v>
      </x:c>
      <x:c r="B1406" t="str">
        <x:v>USR-00123</x:v>
      </x:c>
      <x:c r="C1406" t="str">
        <x:v>Plus anual</x:v>
      </x:c>
      <x:c r="D1406" t="n">
        <x:v>46204</x:v>
      </x:c>
      <x:c r="E1406" t="n">
        <x:v>46266</x:v>
      </x:c>
      <x:c r="F1406" t="str">
        <x:v>Activa</x:v>
      </x:c>
      <x:c r="G1406" t="str">
        <x:v>Anual</x:v>
      </x:c>
      <x:c r="H1406" t="n">
        <x:v>3</x:v>
      </x:c>
    </x:row>
    <x:row r="1407">
      <x:c r="A1407" t="str">
        <x:v>SUS-001406</x:v>
      </x:c>
      <x:c r="B1407" t="str">
        <x:v>USR-00139</x:v>
      </x:c>
      <x:c r="C1407" t="str">
        <x:v>Plus mensual</x:v>
      </x:c>
      <x:c r="D1407" t="n">
        <x:v>46204</x:v>
      </x:c>
      <x:c r="E1407" t="n">
        <x:v>46266</x:v>
      </x:c>
      <x:c r="F1407" t="str">
        <x:v>Activa</x:v>
      </x:c>
      <x:c r="G1407" t="str">
        <x:v>Mensual</x:v>
      </x:c>
      <x:c r="H1407" t="n">
        <x:v>3</x:v>
      </x:c>
    </x:row>
    <x:row r="1408">
      <x:c r="A1408" t="str">
        <x:v>SUS-001407</x:v>
      </x:c>
      <x:c r="B1408" t="str">
        <x:v>USR-00142</x:v>
      </x:c>
      <x:c r="C1408" t="str">
        <x:v>Plus mensual</x:v>
      </x:c>
      <x:c r="D1408" t="n">
        <x:v>46204</x:v>
      </x:c>
      <x:c r="E1408" t="n">
        <x:v>46266</x:v>
      </x:c>
      <x:c r="F1408" t="str">
        <x:v>Activa</x:v>
      </x:c>
      <x:c r="G1408" t="str">
        <x:v>Mensual</x:v>
      </x:c>
      <x:c r="H1408" t="n">
        <x:v>3</x:v>
      </x:c>
    </x:row>
    <x:row r="1409">
      <x:c r="A1409" t="str">
        <x:v>SUS-001408</x:v>
      </x:c>
      <x:c r="B1409" t="str">
        <x:v>USR-00148</x:v>
      </x:c>
      <x:c r="C1409" t="str">
        <x:v>Cero</x:v>
      </x:c>
      <x:c r="D1409" t="n">
        <x:v>46204</x:v>
      </x:c>
      <x:c r="E1409" t="n">
        <x:v>46266</x:v>
      </x:c>
      <x:c r="F1409" t="str">
        <x:v>Activa</x:v>
      </x:c>
      <x:c r="G1409" t="str">
        <x:v>Gratuita</x:v>
      </x:c>
      <x:c r="H1409" t="n">
        <x:v>3</x:v>
      </x:c>
    </x:row>
    <x:row r="1410">
      <x:c r="A1410" t="str">
        <x:v>SUS-001409</x:v>
      </x:c>
      <x:c r="B1410" t="str">
        <x:v>USR-00155</x:v>
      </x:c>
      <x:c r="C1410" t="str">
        <x:v>Cero</x:v>
      </x:c>
      <x:c r="D1410" t="n">
        <x:v>46204</x:v>
      </x:c>
      <x:c r="E1410" t="n">
        <x:v>46266</x:v>
      </x:c>
      <x:c r="F1410" t="str">
        <x:v>Activa</x:v>
      </x:c>
      <x:c r="G1410" t="str">
        <x:v>Gratuita</x:v>
      </x:c>
      <x:c r="H1410" t="n">
        <x:v>3</x:v>
      </x:c>
    </x:row>
    <x:row r="1411">
      <x:c r="A1411" t="str">
        <x:v>SUS-001410</x:v>
      </x:c>
      <x:c r="B1411" t="str">
        <x:v>USR-00158</x:v>
      </x:c>
      <x:c r="C1411" t="str">
        <x:v>Cero</x:v>
      </x:c>
      <x:c r="D1411" t="n">
        <x:v>46204</x:v>
      </x:c>
      <x:c r="E1411" t="n">
        <x:v>46266</x:v>
      </x:c>
      <x:c r="F1411" t="str">
        <x:v>Activa</x:v>
      </x:c>
      <x:c r="G1411" t="str">
        <x:v>Gratuita</x:v>
      </x:c>
      <x:c r="H1411" t="n">
        <x:v>3</x:v>
      </x:c>
    </x:row>
    <x:row r="1412">
      <x:c r="A1412" t="str">
        <x:v>SUS-001411</x:v>
      </x:c>
      <x:c r="B1412" t="str">
        <x:v>USR-00179</x:v>
      </x:c>
      <x:c r="C1412" t="str">
        <x:v>Cero</x:v>
      </x:c>
      <x:c r="D1412" t="n">
        <x:v>46204</x:v>
      </x:c>
      <x:c r="E1412" t="n">
        <x:v>46266</x:v>
      </x:c>
      <x:c r="F1412" t="str">
        <x:v>Activa</x:v>
      </x:c>
      <x:c r="G1412" t="str">
        <x:v>Gratuita</x:v>
      </x:c>
      <x:c r="H1412" t="n">
        <x:v>3</x:v>
      </x:c>
    </x:row>
    <x:row r="1413">
      <x:c r="A1413" t="str">
        <x:v>SUS-001412</x:v>
      </x:c>
      <x:c r="B1413" t="str">
        <x:v>USR-00203</x:v>
      </x:c>
      <x:c r="C1413" t="str">
        <x:v>Plus mensual</x:v>
      </x:c>
      <x:c r="D1413" t="n">
        <x:v>46204</x:v>
      </x:c>
      <x:c r="E1413" t="n">
        <x:v>46266</x:v>
      </x:c>
      <x:c r="F1413" t="str">
        <x:v>Activa</x:v>
      </x:c>
      <x:c r="G1413" t="str">
        <x:v>Mensual</x:v>
      </x:c>
      <x:c r="H1413" t="n">
        <x:v>3</x:v>
      </x:c>
    </x:row>
    <x:row r="1414">
      <x:c r="A1414" t="str">
        <x:v>SUS-001413</x:v>
      </x:c>
      <x:c r="B1414" t="str">
        <x:v>USR-00211</x:v>
      </x:c>
      <x:c r="C1414" t="str">
        <x:v>Cero</x:v>
      </x:c>
      <x:c r="D1414" t="n">
        <x:v>46204</x:v>
      </x:c>
      <x:c r="E1414" t="n">
        <x:v>46266</x:v>
      </x:c>
      <x:c r="F1414" t="str">
        <x:v>Activa</x:v>
      </x:c>
      <x:c r="G1414" t="str">
        <x:v>Gratuita</x:v>
      </x:c>
      <x:c r="H1414" t="n">
        <x:v>3</x:v>
      </x:c>
    </x:row>
    <x:row r="1415">
      <x:c r="A1415" t="str">
        <x:v>SUS-001414</x:v>
      </x:c>
      <x:c r="B1415" t="str">
        <x:v>USR-00213</x:v>
      </x:c>
      <x:c r="C1415" t="str">
        <x:v>Cero</x:v>
      </x:c>
      <x:c r="D1415" t="n">
        <x:v>46204</x:v>
      </x:c>
      <x:c r="E1415" t="n">
        <x:v>46266</x:v>
      </x:c>
      <x:c r="F1415" t="str">
        <x:v>Activa</x:v>
      </x:c>
      <x:c r="G1415" t="str">
        <x:v>Gratuita</x:v>
      </x:c>
      <x:c r="H1415" t="n">
        <x:v>3</x:v>
      </x:c>
    </x:row>
    <x:row r="1416">
      <x:c r="A1416" t="str">
        <x:v>SUS-001415</x:v>
      </x:c>
      <x:c r="B1416" t="str">
        <x:v>USR-00220</x:v>
      </x:c>
      <x:c r="C1416" t="str">
        <x:v>Cero</x:v>
      </x:c>
      <x:c r="D1416" t="n">
        <x:v>46204</x:v>
      </x:c>
      <x:c r="E1416" t="n">
        <x:v>46266</x:v>
      </x:c>
      <x:c r="F1416" t="str">
        <x:v>Activa</x:v>
      </x:c>
      <x:c r="G1416" t="str">
        <x:v>Gratuita</x:v>
      </x:c>
      <x:c r="H1416" t="n">
        <x:v>3</x:v>
      </x:c>
    </x:row>
    <x:row r="1417">
      <x:c r="A1417" t="str">
        <x:v>SUS-001416</x:v>
      </x:c>
      <x:c r="B1417" t="str">
        <x:v>USR-00248</x:v>
      </x:c>
      <x:c r="C1417" t="str">
        <x:v>Plus anual</x:v>
      </x:c>
      <x:c r="D1417" t="n">
        <x:v>46204</x:v>
      </x:c>
      <x:c r="E1417" t="n">
        <x:v>46266</x:v>
      </x:c>
      <x:c r="F1417" t="str">
        <x:v>Activa</x:v>
      </x:c>
      <x:c r="G1417" t="str">
        <x:v>Anual</x:v>
      </x:c>
      <x:c r="H1417" t="n">
        <x:v>3</x:v>
      </x:c>
    </x:row>
    <x:row r="1418">
      <x:c r="A1418" t="str">
        <x:v>SUS-001417</x:v>
      </x:c>
      <x:c r="B1418" t="str">
        <x:v>USR-00254</x:v>
      </x:c>
      <x:c r="C1418" t="str">
        <x:v>Plus anual</x:v>
      </x:c>
      <x:c r="D1418" t="n">
        <x:v>46204</x:v>
      </x:c>
      <x:c r="E1418" t="n">
        <x:v>46266</x:v>
      </x:c>
      <x:c r="F1418" t="str">
        <x:v>Activa</x:v>
      </x:c>
      <x:c r="G1418" t="str">
        <x:v>Anual</x:v>
      </x:c>
      <x:c r="H1418" t="n">
        <x:v>3</x:v>
      </x:c>
    </x:row>
    <x:row r="1419">
      <x:c r="A1419" t="str">
        <x:v>SUS-001418</x:v>
      </x:c>
      <x:c r="B1419" t="str">
        <x:v>USR-00258</x:v>
      </x:c>
      <x:c r="C1419" t="str">
        <x:v>Cero</x:v>
      </x:c>
      <x:c r="D1419" t="n">
        <x:v>46204</x:v>
      </x:c>
      <x:c r="E1419" t="n">
        <x:v>46266</x:v>
      </x:c>
      <x:c r="F1419" t="str">
        <x:v>Activa</x:v>
      </x:c>
      <x:c r="G1419" t="str">
        <x:v>Gratuita</x:v>
      </x:c>
      <x:c r="H1419" t="n">
        <x:v>3</x:v>
      </x:c>
    </x:row>
    <x:row r="1420">
      <x:c r="A1420" t="str">
        <x:v>SUS-001419</x:v>
      </x:c>
      <x:c r="B1420" t="str">
        <x:v>USR-00263</x:v>
      </x:c>
      <x:c r="C1420" t="str">
        <x:v>Plus mensual</x:v>
      </x:c>
      <x:c r="D1420" t="n">
        <x:v>46204</x:v>
      </x:c>
      <x:c r="E1420" t="n">
        <x:v>46266</x:v>
      </x:c>
      <x:c r="F1420" t="str">
        <x:v>Activa</x:v>
      </x:c>
      <x:c r="G1420" t="str">
        <x:v>Mensual</x:v>
      </x:c>
      <x:c r="H1420" t="n">
        <x:v>3</x:v>
      </x:c>
    </x:row>
    <x:row r="1421">
      <x:c r="A1421" t="str">
        <x:v>SUS-001420</x:v>
      </x:c>
      <x:c r="B1421" t="str">
        <x:v>USR-00269</x:v>
      </x:c>
      <x:c r="C1421" t="str">
        <x:v>Plus mensual</x:v>
      </x:c>
      <x:c r="D1421" t="n">
        <x:v>46204</x:v>
      </x:c>
      <x:c r="E1421" t="n">
        <x:v>46204</x:v>
      </x:c>
      <x:c r="F1421" t="str">
        <x:v>Finalizada</x:v>
      </x:c>
      <x:c r="G1421" t="str">
        <x:v>Mensual</x:v>
      </x:c>
      <x:c r="H1421" t="n">
        <x:v>1</x:v>
      </x:c>
    </x:row>
    <x:row r="1422">
      <x:c r="A1422" t="str">
        <x:v>SUS-001421</x:v>
      </x:c>
      <x:c r="B1422" t="str">
        <x:v>USR-00293</x:v>
      </x:c>
      <x:c r="C1422" t="str">
        <x:v>Plus anual</x:v>
      </x:c>
      <x:c r="D1422" t="n">
        <x:v>46204</x:v>
      </x:c>
      <x:c r="E1422" t="n">
        <x:v>46266</x:v>
      </x:c>
      <x:c r="F1422" t="str">
        <x:v>Activa</x:v>
      </x:c>
      <x:c r="G1422" t="str">
        <x:v>Anual</x:v>
      </x:c>
      <x:c r="H1422" t="n">
        <x:v>3</x:v>
      </x:c>
    </x:row>
    <x:row r="1423">
      <x:c r="A1423" t="str">
        <x:v>SUS-001422</x:v>
      </x:c>
      <x:c r="B1423" t="str">
        <x:v>USR-00333</x:v>
      </x:c>
      <x:c r="C1423" t="str">
        <x:v>Plus mensual</x:v>
      </x:c>
      <x:c r="D1423" t="n">
        <x:v>46204</x:v>
      </x:c>
      <x:c r="E1423" t="n">
        <x:v>46235</x:v>
      </x:c>
      <x:c r="F1423" t="str">
        <x:v>Finalizada</x:v>
      </x:c>
      <x:c r="G1423" t="str">
        <x:v>Mensual</x:v>
      </x:c>
      <x:c r="H1423" t="n">
        <x:v>2</x:v>
      </x:c>
    </x:row>
    <x:row r="1424">
      <x:c r="A1424" t="str">
        <x:v>SUS-001423</x:v>
      </x:c>
      <x:c r="B1424" t="str">
        <x:v>USR-00340</x:v>
      </x:c>
      <x:c r="C1424" t="str">
        <x:v>Cero</x:v>
      </x:c>
      <x:c r="D1424" t="n">
        <x:v>46204</x:v>
      </x:c>
      <x:c r="E1424" t="n">
        <x:v>46266</x:v>
      </x:c>
      <x:c r="F1424" t="str">
        <x:v>Activa</x:v>
      </x:c>
      <x:c r="G1424" t="str">
        <x:v>Gratuita</x:v>
      </x:c>
      <x:c r="H1424" t="n">
        <x:v>3</x:v>
      </x:c>
    </x:row>
    <x:row r="1425">
      <x:c r="A1425" t="str">
        <x:v>SUS-001424</x:v>
      </x:c>
      <x:c r="B1425" t="str">
        <x:v>USR-00358</x:v>
      </x:c>
      <x:c r="C1425" t="str">
        <x:v>Cero</x:v>
      </x:c>
      <x:c r="D1425" t="n">
        <x:v>46204</x:v>
      </x:c>
      <x:c r="E1425" t="n">
        <x:v>46266</x:v>
      </x:c>
      <x:c r="F1425" t="str">
        <x:v>Activa</x:v>
      </x:c>
      <x:c r="G1425" t="str">
        <x:v>Gratuita</x:v>
      </x:c>
      <x:c r="H1425" t="n">
        <x:v>3</x:v>
      </x:c>
    </x:row>
    <x:row r="1426">
      <x:c r="A1426" t="str">
        <x:v>SUS-001425</x:v>
      </x:c>
      <x:c r="B1426" t="str">
        <x:v>USR-00359</x:v>
      </x:c>
      <x:c r="C1426" t="str">
        <x:v>Cero</x:v>
      </x:c>
      <x:c r="D1426" t="n">
        <x:v>46204</x:v>
      </x:c>
      <x:c r="E1426" t="n">
        <x:v>46266</x:v>
      </x:c>
      <x:c r="F1426" t="str">
        <x:v>Activa</x:v>
      </x:c>
      <x:c r="G1426" t="str">
        <x:v>Gratuita</x:v>
      </x:c>
      <x:c r="H1426" t="n">
        <x:v>3</x:v>
      </x:c>
    </x:row>
    <x:row r="1427">
      <x:c r="A1427" t="str">
        <x:v>SUS-001426</x:v>
      </x:c>
      <x:c r="B1427" t="str">
        <x:v>USR-00366</x:v>
      </x:c>
      <x:c r="C1427" t="str">
        <x:v>Plus anual</x:v>
      </x:c>
      <x:c r="D1427" t="n">
        <x:v>46204</x:v>
      </x:c>
      <x:c r="E1427" t="n">
        <x:v>46266</x:v>
      </x:c>
      <x:c r="F1427" t="str">
        <x:v>Activa</x:v>
      </x:c>
      <x:c r="G1427" t="str">
        <x:v>Anual</x:v>
      </x:c>
      <x:c r="H1427" t="n">
        <x:v>3</x:v>
      </x:c>
    </x:row>
    <x:row r="1428">
      <x:c r="A1428" t="str">
        <x:v>SUS-001427</x:v>
      </x:c>
      <x:c r="B1428" t="str">
        <x:v>USR-00378</x:v>
      </x:c>
      <x:c r="C1428" t="str">
        <x:v>Plus mensual</x:v>
      </x:c>
      <x:c r="D1428" t="n">
        <x:v>46204</x:v>
      </x:c>
      <x:c r="E1428" t="n">
        <x:v>46266</x:v>
      </x:c>
      <x:c r="F1428" t="str">
        <x:v>Activa</x:v>
      </x:c>
      <x:c r="G1428" t="str">
        <x:v>Mensual</x:v>
      </x:c>
      <x:c r="H1428" t="n">
        <x:v>3</x:v>
      </x:c>
    </x:row>
    <x:row r="1429">
      <x:c r="A1429" t="str">
        <x:v>SUS-001428</x:v>
      </x:c>
      <x:c r="B1429" t="str">
        <x:v>USR-00379</x:v>
      </x:c>
      <x:c r="C1429" t="str">
        <x:v>Plus mensual</x:v>
      </x:c>
      <x:c r="D1429" t="n">
        <x:v>46204</x:v>
      </x:c>
      <x:c r="E1429" t="n">
        <x:v>46266</x:v>
      </x:c>
      <x:c r="F1429" t="str">
        <x:v>Activa</x:v>
      </x:c>
      <x:c r="G1429" t="str">
        <x:v>Mensual</x:v>
      </x:c>
      <x:c r="H1429" t="n">
        <x:v>3</x:v>
      </x:c>
    </x:row>
    <x:row r="1430">
      <x:c r="A1430" t="str">
        <x:v>SUS-001429</x:v>
      </x:c>
      <x:c r="B1430" t="str">
        <x:v>USR-00455</x:v>
      </x:c>
      <x:c r="C1430" t="str">
        <x:v>Plus mensual</x:v>
      </x:c>
      <x:c r="D1430" t="n">
        <x:v>46204</x:v>
      </x:c>
      <x:c r="E1430" t="n">
        <x:v>46266</x:v>
      </x:c>
      <x:c r="F1430" t="str">
        <x:v>Activa</x:v>
      </x:c>
      <x:c r="G1430" t="str">
        <x:v>Mensual</x:v>
      </x:c>
      <x:c r="H1430" t="n">
        <x:v>3</x:v>
      </x:c>
    </x:row>
    <x:row r="1431">
      <x:c r="A1431" t="str">
        <x:v>SUS-001430</x:v>
      </x:c>
      <x:c r="B1431" t="str">
        <x:v>USR-00457</x:v>
      </x:c>
      <x:c r="C1431" t="str">
        <x:v>Plus mensual</x:v>
      </x:c>
      <x:c r="D1431" t="n">
        <x:v>46204</x:v>
      </x:c>
      <x:c r="E1431" t="n">
        <x:v>46266</x:v>
      </x:c>
      <x:c r="F1431" t="str">
        <x:v>Activa</x:v>
      </x:c>
      <x:c r="G1431" t="str">
        <x:v>Mensual</x:v>
      </x:c>
      <x:c r="H1431" t="n">
        <x:v>3</x:v>
      </x:c>
    </x:row>
    <x:row r="1432">
      <x:c r="A1432" t="str">
        <x:v>SUS-001431</x:v>
      </x:c>
      <x:c r="B1432" t="str">
        <x:v>USR-00473</x:v>
      </x:c>
      <x:c r="C1432" t="str">
        <x:v>Cero</x:v>
      </x:c>
      <x:c r="D1432" t="n">
        <x:v>46204</x:v>
      </x:c>
      <x:c r="E1432" t="n">
        <x:v>46266</x:v>
      </x:c>
      <x:c r="F1432" t="str">
        <x:v>Activa</x:v>
      </x:c>
      <x:c r="G1432" t="str">
        <x:v>Gratuita</x:v>
      </x:c>
      <x:c r="H1432" t="n">
        <x:v>3</x:v>
      </x:c>
    </x:row>
    <x:row r="1433">
      <x:c r="A1433" t="str">
        <x:v>SUS-001432</x:v>
      </x:c>
      <x:c r="B1433" t="str">
        <x:v>USR-00486</x:v>
      </x:c>
      <x:c r="C1433" t="str">
        <x:v>Plus mensual</x:v>
      </x:c>
      <x:c r="D1433" t="n">
        <x:v>46204</x:v>
      </x:c>
      <x:c r="E1433" t="n">
        <x:v>46266</x:v>
      </x:c>
      <x:c r="F1433" t="str">
        <x:v>Activa</x:v>
      </x:c>
      <x:c r="G1433" t="str">
        <x:v>Mensual</x:v>
      </x:c>
      <x:c r="H1433" t="n">
        <x:v>3</x:v>
      </x:c>
    </x:row>
    <x:row r="1434">
      <x:c r="A1434" t="str">
        <x:v>SUS-001433</x:v>
      </x:c>
      <x:c r="B1434" t="str">
        <x:v>USR-00488</x:v>
      </x:c>
      <x:c r="C1434" t="str">
        <x:v>Plus anual</x:v>
      </x:c>
      <x:c r="D1434" t="n">
        <x:v>46204</x:v>
      </x:c>
      <x:c r="E1434" t="n">
        <x:v>46266</x:v>
      </x:c>
      <x:c r="F1434" t="str">
        <x:v>Activa</x:v>
      </x:c>
      <x:c r="G1434" t="str">
        <x:v>Anual</x:v>
      </x:c>
      <x:c r="H1434" t="n">
        <x:v>3</x:v>
      </x:c>
    </x:row>
    <x:row r="1435">
      <x:c r="A1435" t="str">
        <x:v>SUS-001434</x:v>
      </x:c>
      <x:c r="B1435" t="str">
        <x:v>USR-00500</x:v>
      </x:c>
      <x:c r="C1435" t="str">
        <x:v>Plus mensual</x:v>
      </x:c>
      <x:c r="D1435" t="n">
        <x:v>46204</x:v>
      </x:c>
      <x:c r="E1435" t="n">
        <x:v>46266</x:v>
      </x:c>
      <x:c r="F1435" t="str">
        <x:v>Activa</x:v>
      </x:c>
      <x:c r="G1435" t="str">
        <x:v>Mensual</x:v>
      </x:c>
      <x:c r="H1435" t="n">
        <x:v>3</x:v>
      </x:c>
    </x:row>
    <x:row r="1436">
      <x:c r="A1436" t="str">
        <x:v>SUS-001435</x:v>
      </x:c>
      <x:c r="B1436" t="str">
        <x:v>USR-00514</x:v>
      </x:c>
      <x:c r="C1436" t="str">
        <x:v>Plus mensual</x:v>
      </x:c>
      <x:c r="D1436" t="n">
        <x:v>46204</x:v>
      </x:c>
      <x:c r="E1436" t="n">
        <x:v>46266</x:v>
      </x:c>
      <x:c r="F1436" t="str">
        <x:v>Activa</x:v>
      </x:c>
      <x:c r="G1436" t="str">
        <x:v>Mensual</x:v>
      </x:c>
      <x:c r="H1436" t="n">
        <x:v>3</x:v>
      </x:c>
    </x:row>
    <x:row r="1437">
      <x:c r="A1437" t="str">
        <x:v>SUS-001436</x:v>
      </x:c>
      <x:c r="B1437" t="str">
        <x:v>USR-00529</x:v>
      </x:c>
      <x:c r="C1437" t="str">
        <x:v>Plus mensual</x:v>
      </x:c>
      <x:c r="D1437" t="n">
        <x:v>46204</x:v>
      </x:c>
      <x:c r="E1437" t="n">
        <x:v>46266</x:v>
      </x:c>
      <x:c r="F1437" t="str">
        <x:v>Activa</x:v>
      </x:c>
      <x:c r="G1437" t="str">
        <x:v>Mensual</x:v>
      </x:c>
      <x:c r="H1437" t="n">
        <x:v>3</x:v>
      </x:c>
    </x:row>
    <x:row r="1438">
      <x:c r="A1438" t="str">
        <x:v>SUS-001437</x:v>
      </x:c>
      <x:c r="B1438" t="str">
        <x:v>USR-00538</x:v>
      </x:c>
      <x:c r="C1438" t="str">
        <x:v>Cero</x:v>
      </x:c>
      <x:c r="D1438" t="n">
        <x:v>46204</x:v>
      </x:c>
      <x:c r="E1438" t="n">
        <x:v>46266</x:v>
      </x:c>
      <x:c r="F1438" t="str">
        <x:v>Activa</x:v>
      </x:c>
      <x:c r="G1438" t="str">
        <x:v>Gratuita</x:v>
      </x:c>
      <x:c r="H1438" t="n">
        <x:v>3</x:v>
      </x:c>
    </x:row>
    <x:row r="1439">
      <x:c r="A1439" t="str">
        <x:v>SUS-001438</x:v>
      </x:c>
      <x:c r="B1439" t="str">
        <x:v>USR-00548</x:v>
      </x:c>
      <x:c r="C1439" t="str">
        <x:v>Plus anual</x:v>
      </x:c>
      <x:c r="D1439" t="n">
        <x:v>46204</x:v>
      </x:c>
      <x:c r="E1439" t="n">
        <x:v>46266</x:v>
      </x:c>
      <x:c r="F1439" t="str">
        <x:v>Activa</x:v>
      </x:c>
      <x:c r="G1439" t="str">
        <x:v>Anual</x:v>
      </x:c>
      <x:c r="H1439" t="n">
        <x:v>3</x:v>
      </x:c>
    </x:row>
    <x:row r="1440">
      <x:c r="A1440" t="str">
        <x:v>SUS-001439</x:v>
      </x:c>
      <x:c r="B1440" t="str">
        <x:v>USR-00556</x:v>
      </x:c>
      <x:c r="C1440" t="str">
        <x:v>Plus anual</x:v>
      </x:c>
      <x:c r="D1440" t="n">
        <x:v>46204</x:v>
      </x:c>
      <x:c r="E1440" t="n">
        <x:v>46266</x:v>
      </x:c>
      <x:c r="F1440" t="str">
        <x:v>Activa</x:v>
      </x:c>
      <x:c r="G1440" t="str">
        <x:v>Anual</x:v>
      </x:c>
      <x:c r="H1440" t="n">
        <x:v>3</x:v>
      </x:c>
    </x:row>
    <x:row r="1441">
      <x:c r="A1441" t="str">
        <x:v>SUS-001440</x:v>
      </x:c>
      <x:c r="B1441" t="str">
        <x:v>USR-00558</x:v>
      </x:c>
      <x:c r="C1441" t="str">
        <x:v>Cero</x:v>
      </x:c>
      <x:c r="D1441" t="n">
        <x:v>46204</x:v>
      </x:c>
      <x:c r="E1441" t="n">
        <x:v>46235</x:v>
      </x:c>
      <x:c r="F1441" t="str">
        <x:v>Finalizada</x:v>
      </x:c>
      <x:c r="G1441" t="str">
        <x:v>Gratuita</x:v>
      </x:c>
      <x:c r="H1441" t="n">
        <x:v>2</x:v>
      </x:c>
    </x:row>
    <x:row r="1442">
      <x:c r="A1442" t="str">
        <x:v>SUS-001441</x:v>
      </x:c>
      <x:c r="B1442" t="str">
        <x:v>USR-00581</x:v>
      </x:c>
      <x:c r="C1442" t="str">
        <x:v>Plus anual</x:v>
      </x:c>
      <x:c r="D1442" t="n">
        <x:v>46204</x:v>
      </x:c>
      <x:c r="E1442" t="n">
        <x:v>46266</x:v>
      </x:c>
      <x:c r="F1442" t="str">
        <x:v>Activa</x:v>
      </x:c>
      <x:c r="G1442" t="str">
        <x:v>Anual</x:v>
      </x:c>
      <x:c r="H1442" t="n">
        <x:v>3</x:v>
      </x:c>
    </x:row>
    <x:row r="1443">
      <x:c r="A1443" t="str">
        <x:v>SUS-001442</x:v>
      </x:c>
      <x:c r="B1443" t="str">
        <x:v>USR-00589</x:v>
      </x:c>
      <x:c r="C1443" t="str">
        <x:v>Plus mensual</x:v>
      </x:c>
      <x:c r="D1443" t="n">
        <x:v>46204</x:v>
      </x:c>
      <x:c r="E1443" t="n">
        <x:v>46266</x:v>
      </x:c>
      <x:c r="F1443" t="str">
        <x:v>Activa</x:v>
      </x:c>
      <x:c r="G1443" t="str">
        <x:v>Mensual</x:v>
      </x:c>
      <x:c r="H1443" t="n">
        <x:v>3</x:v>
      </x:c>
    </x:row>
    <x:row r="1444">
      <x:c r="A1444" t="str">
        <x:v>SUS-001443</x:v>
      </x:c>
      <x:c r="B1444" t="str">
        <x:v>USR-00594</x:v>
      </x:c>
      <x:c r="C1444" t="str">
        <x:v>Plus mensual</x:v>
      </x:c>
      <x:c r="D1444" t="n">
        <x:v>46204</x:v>
      </x:c>
      <x:c r="E1444" t="n">
        <x:v>46266</x:v>
      </x:c>
      <x:c r="F1444" t="str">
        <x:v>Activa</x:v>
      </x:c>
      <x:c r="G1444" t="str">
        <x:v>Mensual</x:v>
      </x:c>
      <x:c r="H1444" t="n">
        <x:v>3</x:v>
      </x:c>
    </x:row>
    <x:row r="1445">
      <x:c r="A1445" t="str">
        <x:v>SUS-001444</x:v>
      </x:c>
      <x:c r="B1445" t="str">
        <x:v>USR-00597</x:v>
      </x:c>
      <x:c r="C1445" t="str">
        <x:v>Plus anual</x:v>
      </x:c>
      <x:c r="D1445" t="n">
        <x:v>46204</x:v>
      </x:c>
      <x:c r="E1445" t="n">
        <x:v>46266</x:v>
      </x:c>
      <x:c r="F1445" t="str">
        <x:v>Activa</x:v>
      </x:c>
      <x:c r="G1445" t="str">
        <x:v>Anual</x:v>
      </x:c>
      <x:c r="H1445" t="n">
        <x:v>3</x:v>
      </x:c>
    </x:row>
    <x:row r="1446">
      <x:c r="A1446" t="str">
        <x:v>SUS-001445</x:v>
      </x:c>
      <x:c r="B1446" t="str">
        <x:v>USR-00601</x:v>
      </x:c>
      <x:c r="C1446" t="str">
        <x:v>Plus mensual</x:v>
      </x:c>
      <x:c r="D1446" t="n">
        <x:v>46204</x:v>
      </x:c>
      <x:c r="E1446" t="n">
        <x:v>46266</x:v>
      </x:c>
      <x:c r="F1446" t="str">
        <x:v>Activa</x:v>
      </x:c>
      <x:c r="G1446" t="str">
        <x:v>Mensual</x:v>
      </x:c>
      <x:c r="H1446" t="n">
        <x:v>3</x:v>
      </x:c>
    </x:row>
    <x:row r="1447">
      <x:c r="A1447" t="str">
        <x:v>SUS-001446</x:v>
      </x:c>
      <x:c r="B1447" t="str">
        <x:v>USR-00619</x:v>
      </x:c>
      <x:c r="C1447" t="str">
        <x:v>Cero</x:v>
      </x:c>
      <x:c r="D1447" t="n">
        <x:v>46204</x:v>
      </x:c>
      <x:c r="E1447" t="n">
        <x:v>46266</x:v>
      </x:c>
      <x:c r="F1447" t="str">
        <x:v>Activa</x:v>
      </x:c>
      <x:c r="G1447" t="str">
        <x:v>Gratuita</x:v>
      </x:c>
      <x:c r="H1447" t="n">
        <x:v>3</x:v>
      </x:c>
    </x:row>
    <x:row r="1448">
      <x:c r="A1448" t="str">
        <x:v>SUS-001447</x:v>
      </x:c>
      <x:c r="B1448" t="str">
        <x:v>USR-00624</x:v>
      </x:c>
      <x:c r="C1448" t="str">
        <x:v>Plus mensual</x:v>
      </x:c>
      <x:c r="D1448" t="n">
        <x:v>46204</x:v>
      </x:c>
      <x:c r="E1448" t="n">
        <x:v>46266</x:v>
      </x:c>
      <x:c r="F1448" t="str">
        <x:v>Activa</x:v>
      </x:c>
      <x:c r="G1448" t="str">
        <x:v>Mensual</x:v>
      </x:c>
      <x:c r="H1448" t="n">
        <x:v>3</x:v>
      </x:c>
    </x:row>
    <x:row r="1449">
      <x:c r="A1449" t="str">
        <x:v>SUS-001448</x:v>
      </x:c>
      <x:c r="B1449" t="str">
        <x:v>USR-00629</x:v>
      </x:c>
      <x:c r="C1449" t="str">
        <x:v>Plus anual</x:v>
      </x:c>
      <x:c r="D1449" t="n">
        <x:v>46204</x:v>
      </x:c>
      <x:c r="E1449" t="n">
        <x:v>46266</x:v>
      </x:c>
      <x:c r="F1449" t="str">
        <x:v>Activa</x:v>
      </x:c>
      <x:c r="G1449" t="str">
        <x:v>Anual</x:v>
      </x:c>
      <x:c r="H1449" t="n">
        <x:v>3</x:v>
      </x:c>
    </x:row>
    <x:row r="1450">
      <x:c r="A1450" t="str">
        <x:v>SUS-001449</x:v>
      </x:c>
      <x:c r="B1450" t="str">
        <x:v>USR-00637</x:v>
      </x:c>
      <x:c r="C1450" t="str">
        <x:v>Plus mensual</x:v>
      </x:c>
      <x:c r="D1450" t="n">
        <x:v>46204</x:v>
      </x:c>
      <x:c r="E1450" t="n">
        <x:v>46204</x:v>
      </x:c>
      <x:c r="F1450" t="str">
        <x:v>Finalizada</x:v>
      </x:c>
      <x:c r="G1450" t="str">
        <x:v>Mensual</x:v>
      </x:c>
      <x:c r="H1450" t="n">
        <x:v>1</x:v>
      </x:c>
    </x:row>
    <x:row r="1451">
      <x:c r="A1451" t="str">
        <x:v>SUS-001450</x:v>
      </x:c>
      <x:c r="B1451" t="str">
        <x:v>USR-00661</x:v>
      </x:c>
      <x:c r="C1451" t="str">
        <x:v>Plus anual</x:v>
      </x:c>
      <x:c r="D1451" t="n">
        <x:v>46204</x:v>
      </x:c>
      <x:c r="E1451" t="n">
        <x:v>46266</x:v>
      </x:c>
      <x:c r="F1451" t="str">
        <x:v>Activa</x:v>
      </x:c>
      <x:c r="G1451" t="str">
        <x:v>Anual</x:v>
      </x:c>
      <x:c r="H1451" t="n">
        <x:v>3</x:v>
      </x:c>
    </x:row>
    <x:row r="1452">
      <x:c r="A1452" t="str">
        <x:v>SUS-001451</x:v>
      </x:c>
      <x:c r="B1452" t="str">
        <x:v>USR-00680</x:v>
      </x:c>
      <x:c r="C1452" t="str">
        <x:v>Plus mensual</x:v>
      </x:c>
      <x:c r="D1452" t="n">
        <x:v>46204</x:v>
      </x:c>
      <x:c r="E1452" t="n">
        <x:v>46266</x:v>
      </x:c>
      <x:c r="F1452" t="str">
        <x:v>Activa</x:v>
      </x:c>
      <x:c r="G1452" t="str">
        <x:v>Mensual</x:v>
      </x:c>
      <x:c r="H1452" t="n">
        <x:v>3</x:v>
      </x:c>
    </x:row>
    <x:row r="1453">
      <x:c r="A1453" t="str">
        <x:v>SUS-001452</x:v>
      </x:c>
      <x:c r="B1453" t="str">
        <x:v>USR-00689</x:v>
      </x:c>
      <x:c r="C1453" t="str">
        <x:v>Plus mensual</x:v>
      </x:c>
      <x:c r="D1453" t="n">
        <x:v>46204</x:v>
      </x:c>
      <x:c r="E1453" t="n">
        <x:v>46266</x:v>
      </x:c>
      <x:c r="F1453" t="str">
        <x:v>Activa</x:v>
      </x:c>
      <x:c r="G1453" t="str">
        <x:v>Mensual</x:v>
      </x:c>
      <x:c r="H1453" t="n">
        <x:v>3</x:v>
      </x:c>
    </x:row>
    <x:row r="1454">
      <x:c r="A1454" t="str">
        <x:v>SUS-001453</x:v>
      </x:c>
      <x:c r="B1454" t="str">
        <x:v>USR-00694</x:v>
      </x:c>
      <x:c r="C1454" t="str">
        <x:v>Plus mensual</x:v>
      </x:c>
      <x:c r="D1454" t="n">
        <x:v>46204</x:v>
      </x:c>
      <x:c r="E1454" t="n">
        <x:v>46235</x:v>
      </x:c>
      <x:c r="F1454" t="str">
        <x:v>Finalizada</x:v>
      </x:c>
      <x:c r="G1454" t="str">
        <x:v>Mensual</x:v>
      </x:c>
      <x:c r="H1454" t="n">
        <x:v>2</x:v>
      </x:c>
    </x:row>
    <x:row r="1455">
      <x:c r="A1455" t="str">
        <x:v>SUS-001454</x:v>
      </x:c>
      <x:c r="B1455" t="str">
        <x:v>USR-00714</x:v>
      </x:c>
      <x:c r="C1455" t="str">
        <x:v>Cero</x:v>
      </x:c>
      <x:c r="D1455" t="n">
        <x:v>46204</x:v>
      </x:c>
      <x:c r="E1455" t="n">
        <x:v>46266</x:v>
      </x:c>
      <x:c r="F1455" t="str">
        <x:v>Activa</x:v>
      </x:c>
      <x:c r="G1455" t="str">
        <x:v>Gratuita</x:v>
      </x:c>
      <x:c r="H1455" t="n">
        <x:v>3</x:v>
      </x:c>
    </x:row>
    <x:row r="1456">
      <x:c r="A1456" t="str">
        <x:v>SUS-001455</x:v>
      </x:c>
      <x:c r="B1456" t="str">
        <x:v>USR-00724</x:v>
      </x:c>
      <x:c r="C1456" t="str">
        <x:v>Cero</x:v>
      </x:c>
      <x:c r="D1456" t="n">
        <x:v>46204</x:v>
      </x:c>
      <x:c r="E1456" t="n">
        <x:v>46266</x:v>
      </x:c>
      <x:c r="F1456" t="str">
        <x:v>Activa</x:v>
      </x:c>
      <x:c r="G1456" t="str">
        <x:v>Gratuita</x:v>
      </x:c>
      <x:c r="H1456" t="n">
        <x:v>3</x:v>
      </x:c>
    </x:row>
    <x:row r="1457">
      <x:c r="A1457" t="str">
        <x:v>SUS-001456</x:v>
      </x:c>
      <x:c r="B1457" t="str">
        <x:v>USR-00726</x:v>
      </x:c>
      <x:c r="C1457" t="str">
        <x:v>Plus anual</x:v>
      </x:c>
      <x:c r="D1457" t="n">
        <x:v>46204</x:v>
      </x:c>
      <x:c r="E1457" t="n">
        <x:v>46266</x:v>
      </x:c>
      <x:c r="F1457" t="str">
        <x:v>Activa</x:v>
      </x:c>
      <x:c r="G1457" t="str">
        <x:v>Anual</x:v>
      </x:c>
      <x:c r="H1457" t="n">
        <x:v>3</x:v>
      </x:c>
    </x:row>
    <x:row r="1458">
      <x:c r="A1458" t="str">
        <x:v>SUS-001457</x:v>
      </x:c>
      <x:c r="B1458" t="str">
        <x:v>USR-00732</x:v>
      </x:c>
      <x:c r="C1458" t="str">
        <x:v>Plus mensual</x:v>
      </x:c>
      <x:c r="D1458" t="n">
        <x:v>46204</x:v>
      </x:c>
      <x:c r="E1458" t="n">
        <x:v>46266</x:v>
      </x:c>
      <x:c r="F1458" t="str">
        <x:v>Activa</x:v>
      </x:c>
      <x:c r="G1458" t="str">
        <x:v>Mensual</x:v>
      </x:c>
      <x:c r="H1458" t="n">
        <x:v>3</x:v>
      </x:c>
    </x:row>
    <x:row r="1459">
      <x:c r="A1459" t="str">
        <x:v>SUS-001458</x:v>
      </x:c>
      <x:c r="B1459" t="str">
        <x:v>USR-00734</x:v>
      </x:c>
      <x:c r="C1459" t="str">
        <x:v>Cero</x:v>
      </x:c>
      <x:c r="D1459" t="n">
        <x:v>46204</x:v>
      </x:c>
      <x:c r="E1459" t="n">
        <x:v>46266</x:v>
      </x:c>
      <x:c r="F1459" t="str">
        <x:v>Activa</x:v>
      </x:c>
      <x:c r="G1459" t="str">
        <x:v>Gratuita</x:v>
      </x:c>
      <x:c r="H1459" t="n">
        <x:v>3</x:v>
      </x:c>
    </x:row>
    <x:row r="1460">
      <x:c r="A1460" t="str">
        <x:v>SUS-001459</x:v>
      </x:c>
      <x:c r="B1460" t="str">
        <x:v>USR-00745</x:v>
      </x:c>
      <x:c r="C1460" t="str">
        <x:v>Plus anual</x:v>
      </x:c>
      <x:c r="D1460" t="n">
        <x:v>46204</x:v>
      </x:c>
      <x:c r="E1460" t="n">
        <x:v>46266</x:v>
      </x:c>
      <x:c r="F1460" t="str">
        <x:v>Activa</x:v>
      </x:c>
      <x:c r="G1460" t="str">
        <x:v>Anual</x:v>
      </x:c>
      <x:c r="H1460" t="n">
        <x:v>3</x:v>
      </x:c>
    </x:row>
    <x:row r="1461">
      <x:c r="A1461" t="str">
        <x:v>SUS-001460</x:v>
      </x:c>
      <x:c r="B1461" t="str">
        <x:v>USR-00757</x:v>
      </x:c>
      <x:c r="C1461" t="str">
        <x:v>Plus mensual</x:v>
      </x:c>
      <x:c r="D1461" t="n">
        <x:v>46204</x:v>
      </x:c>
      <x:c r="E1461" t="n">
        <x:v>46266</x:v>
      </x:c>
      <x:c r="F1461" t="str">
        <x:v>Activa</x:v>
      </x:c>
      <x:c r="G1461" t="str">
        <x:v>Mensual</x:v>
      </x:c>
      <x:c r="H1461" t="n">
        <x:v>3</x:v>
      </x:c>
    </x:row>
    <x:row r="1462">
      <x:c r="A1462" t="str">
        <x:v>SUS-001461</x:v>
      </x:c>
      <x:c r="B1462" t="str">
        <x:v>USR-00776</x:v>
      </x:c>
      <x:c r="C1462" t="str">
        <x:v>Plus mensual</x:v>
      </x:c>
      <x:c r="D1462" t="n">
        <x:v>46204</x:v>
      </x:c>
      <x:c r="E1462" t="n">
        <x:v>46266</x:v>
      </x:c>
      <x:c r="F1462" t="str">
        <x:v>Activa</x:v>
      </x:c>
      <x:c r="G1462" t="str">
        <x:v>Mensual</x:v>
      </x:c>
      <x:c r="H1462" t="n">
        <x:v>3</x:v>
      </x:c>
    </x:row>
    <x:row r="1463">
      <x:c r="A1463" t="str">
        <x:v>SUS-001462</x:v>
      </x:c>
      <x:c r="B1463" t="str">
        <x:v>USR-00777</x:v>
      </x:c>
      <x:c r="C1463" t="str">
        <x:v>Plus mensual</x:v>
      </x:c>
      <x:c r="D1463" t="n">
        <x:v>46204</x:v>
      </x:c>
      <x:c r="E1463" t="n">
        <x:v>46266</x:v>
      </x:c>
      <x:c r="F1463" t="str">
        <x:v>Activa</x:v>
      </x:c>
      <x:c r="G1463" t="str">
        <x:v>Mensual</x:v>
      </x:c>
      <x:c r="H1463" t="n">
        <x:v>3</x:v>
      </x:c>
    </x:row>
    <x:row r="1464">
      <x:c r="A1464" t="str">
        <x:v>SUS-001463</x:v>
      </x:c>
      <x:c r="B1464" t="str">
        <x:v>USR-00786</x:v>
      </x:c>
      <x:c r="C1464" t="str">
        <x:v>Plus anual</x:v>
      </x:c>
      <x:c r="D1464" t="n">
        <x:v>46204</x:v>
      </x:c>
      <x:c r="E1464" t="n">
        <x:v>46266</x:v>
      </x:c>
      <x:c r="F1464" t="str">
        <x:v>Activa</x:v>
      </x:c>
      <x:c r="G1464" t="str">
        <x:v>Anual</x:v>
      </x:c>
      <x:c r="H1464" t="n">
        <x:v>3</x:v>
      </x:c>
    </x:row>
    <x:row r="1465">
      <x:c r="A1465" t="str">
        <x:v>SUS-001464</x:v>
      </x:c>
      <x:c r="B1465" t="str">
        <x:v>USR-00816</x:v>
      </x:c>
      <x:c r="C1465" t="str">
        <x:v>Plus mensual</x:v>
      </x:c>
      <x:c r="D1465" t="n">
        <x:v>46204</x:v>
      </x:c>
      <x:c r="E1465" t="n">
        <x:v>46266</x:v>
      </x:c>
      <x:c r="F1465" t="str">
        <x:v>Activa</x:v>
      </x:c>
      <x:c r="G1465" t="str">
        <x:v>Mensual</x:v>
      </x:c>
      <x:c r="H1465" t="n">
        <x:v>3</x:v>
      </x:c>
    </x:row>
    <x:row r="1466">
      <x:c r="A1466" t="str">
        <x:v>SUS-001465</x:v>
      </x:c>
      <x:c r="B1466" t="str">
        <x:v>USR-00852</x:v>
      </x:c>
      <x:c r="C1466" t="str">
        <x:v>Plus anual</x:v>
      </x:c>
      <x:c r="D1466" t="n">
        <x:v>46204</x:v>
      </x:c>
      <x:c r="E1466" t="n">
        <x:v>46266</x:v>
      </x:c>
      <x:c r="F1466" t="str">
        <x:v>Activa</x:v>
      </x:c>
      <x:c r="G1466" t="str">
        <x:v>Anual</x:v>
      </x:c>
      <x:c r="H1466" t="n">
        <x:v>3</x:v>
      </x:c>
    </x:row>
    <x:row r="1467">
      <x:c r="A1467" t="str">
        <x:v>SUS-001466</x:v>
      </x:c>
      <x:c r="B1467" t="str">
        <x:v>USR-00876</x:v>
      </x:c>
      <x:c r="C1467" t="str">
        <x:v>Plus mensual</x:v>
      </x:c>
      <x:c r="D1467" t="n">
        <x:v>46204</x:v>
      </x:c>
      <x:c r="E1467" t="n">
        <x:v>46266</x:v>
      </x:c>
      <x:c r="F1467" t="str">
        <x:v>Activa</x:v>
      </x:c>
      <x:c r="G1467" t="str">
        <x:v>Mensual</x:v>
      </x:c>
      <x:c r="H1467" t="n">
        <x:v>3</x:v>
      </x:c>
    </x:row>
    <x:row r="1468">
      <x:c r="A1468" t="str">
        <x:v>SUS-001467</x:v>
      </x:c>
      <x:c r="B1468" t="str">
        <x:v>USR-00882</x:v>
      </x:c>
      <x:c r="C1468" t="str">
        <x:v>Cero</x:v>
      </x:c>
      <x:c r="D1468" t="n">
        <x:v>46204</x:v>
      </x:c>
      <x:c r="E1468" t="n">
        <x:v>46266</x:v>
      </x:c>
      <x:c r="F1468" t="str">
        <x:v>Activa</x:v>
      </x:c>
      <x:c r="G1468" t="str">
        <x:v>Gratuita</x:v>
      </x:c>
      <x:c r="H1468" t="n">
        <x:v>3</x:v>
      </x:c>
    </x:row>
    <x:row r="1469">
      <x:c r="A1469" t="str">
        <x:v>SUS-001468</x:v>
      </x:c>
      <x:c r="B1469" t="str">
        <x:v>USR-00886</x:v>
      </x:c>
      <x:c r="C1469" t="str">
        <x:v>Plus mensual</x:v>
      </x:c>
      <x:c r="D1469" t="n">
        <x:v>46204</x:v>
      </x:c>
      <x:c r="E1469" t="n">
        <x:v>46266</x:v>
      </x:c>
      <x:c r="F1469" t="str">
        <x:v>Activa</x:v>
      </x:c>
      <x:c r="G1469" t="str">
        <x:v>Mensual</x:v>
      </x:c>
      <x:c r="H1469" t="n">
        <x:v>3</x:v>
      </x:c>
    </x:row>
    <x:row r="1470">
      <x:c r="A1470" t="str">
        <x:v>SUS-001469</x:v>
      </x:c>
      <x:c r="B1470" t="str">
        <x:v>USR-00904</x:v>
      </x:c>
      <x:c r="C1470" t="str">
        <x:v>Plus mensual</x:v>
      </x:c>
      <x:c r="D1470" t="n">
        <x:v>46204</x:v>
      </x:c>
      <x:c r="E1470" t="n">
        <x:v>46266</x:v>
      </x:c>
      <x:c r="F1470" t="str">
        <x:v>Activa</x:v>
      </x:c>
      <x:c r="G1470" t="str">
        <x:v>Mensual</x:v>
      </x:c>
      <x:c r="H1470" t="n">
        <x:v>3</x:v>
      </x:c>
    </x:row>
    <x:row r="1471">
      <x:c r="A1471" t="str">
        <x:v>SUS-001470</x:v>
      </x:c>
      <x:c r="B1471" t="str">
        <x:v>USR-00912</x:v>
      </x:c>
      <x:c r="C1471" t="str">
        <x:v>Plus anual</x:v>
      </x:c>
      <x:c r="D1471" t="n">
        <x:v>46204</x:v>
      </x:c>
      <x:c r="E1471" t="n">
        <x:v>46266</x:v>
      </x:c>
      <x:c r="F1471" t="str">
        <x:v>Activa</x:v>
      </x:c>
      <x:c r="G1471" t="str">
        <x:v>Anual</x:v>
      </x:c>
      <x:c r="H1471" t="n">
        <x:v>3</x:v>
      </x:c>
    </x:row>
    <x:row r="1472">
      <x:c r="A1472" t="str">
        <x:v>SUS-001471</x:v>
      </x:c>
      <x:c r="B1472" t="str">
        <x:v>USR-00926</x:v>
      </x:c>
      <x:c r="C1472" t="str">
        <x:v>Plus mensual</x:v>
      </x:c>
      <x:c r="D1472" t="n">
        <x:v>46204</x:v>
      </x:c>
      <x:c r="E1472" t="n">
        <x:v>46204</x:v>
      </x:c>
      <x:c r="F1472" t="str">
        <x:v>Finalizada</x:v>
      </x:c>
      <x:c r="G1472" t="str">
        <x:v>Mensual</x:v>
      </x:c>
      <x:c r="H1472" t="n">
        <x:v>1</x:v>
      </x:c>
    </x:row>
    <x:row r="1473">
      <x:c r="A1473" t="str">
        <x:v>SUS-001472</x:v>
      </x:c>
      <x:c r="B1473" t="str">
        <x:v>USR-00929</x:v>
      </x:c>
      <x:c r="C1473" t="str">
        <x:v>Plus mensual</x:v>
      </x:c>
      <x:c r="D1473" t="n">
        <x:v>46204</x:v>
      </x:c>
      <x:c r="E1473" t="n">
        <x:v>46266</x:v>
      </x:c>
      <x:c r="F1473" t="str">
        <x:v>Activa</x:v>
      </x:c>
      <x:c r="G1473" t="str">
        <x:v>Mensual</x:v>
      </x:c>
      <x:c r="H1473" t="n">
        <x:v>3</x:v>
      </x:c>
    </x:row>
    <x:row r="1474">
      <x:c r="A1474" t="str">
        <x:v>SUS-001473</x:v>
      </x:c>
      <x:c r="B1474" t="str">
        <x:v>USR-00937</x:v>
      </x:c>
      <x:c r="C1474" t="str">
        <x:v>Plus anual</x:v>
      </x:c>
      <x:c r="D1474" t="n">
        <x:v>46204</x:v>
      </x:c>
      <x:c r="E1474" t="n">
        <x:v>46266</x:v>
      </x:c>
      <x:c r="F1474" t="str">
        <x:v>Activa</x:v>
      </x:c>
      <x:c r="G1474" t="str">
        <x:v>Anual</x:v>
      </x:c>
      <x:c r="H1474" t="n">
        <x:v>3</x:v>
      </x:c>
    </x:row>
    <x:row r="1475">
      <x:c r="A1475" t="str">
        <x:v>SUS-001474</x:v>
      </x:c>
      <x:c r="B1475" t="str">
        <x:v>USR-00938</x:v>
      </x:c>
      <x:c r="C1475" t="str">
        <x:v>Plus mensual</x:v>
      </x:c>
      <x:c r="D1475" t="n">
        <x:v>46204</x:v>
      </x:c>
      <x:c r="E1475" t="n">
        <x:v>46266</x:v>
      </x:c>
      <x:c r="F1475" t="str">
        <x:v>Activa</x:v>
      </x:c>
      <x:c r="G1475" t="str">
        <x:v>Mensual</x:v>
      </x:c>
      <x:c r="H1475" t="n">
        <x:v>3</x:v>
      </x:c>
    </x:row>
    <x:row r="1476">
      <x:c r="A1476" t="str">
        <x:v>SUS-001475</x:v>
      </x:c>
      <x:c r="B1476" t="str">
        <x:v>USR-00981</x:v>
      </x:c>
      <x:c r="C1476" t="str">
        <x:v>Plus mensual</x:v>
      </x:c>
      <x:c r="D1476" t="n">
        <x:v>46204</x:v>
      </x:c>
      <x:c r="E1476" t="n">
        <x:v>46266</x:v>
      </x:c>
      <x:c r="F1476" t="str">
        <x:v>Activa</x:v>
      </x:c>
      <x:c r="G1476" t="str">
        <x:v>Mensual</x:v>
      </x:c>
      <x:c r="H1476" t="n">
        <x:v>3</x:v>
      </x:c>
    </x:row>
    <x:row r="1477">
      <x:c r="A1477" t="str">
        <x:v>SUS-001476</x:v>
      </x:c>
      <x:c r="B1477" t="str">
        <x:v>USR-00982</x:v>
      </x:c>
      <x:c r="C1477" t="str">
        <x:v>Cero</x:v>
      </x:c>
      <x:c r="D1477" t="n">
        <x:v>46204</x:v>
      </x:c>
      <x:c r="E1477" t="n">
        <x:v>46266</x:v>
      </x:c>
      <x:c r="F1477" t="str">
        <x:v>Activa</x:v>
      </x:c>
      <x:c r="G1477" t="str">
        <x:v>Gratuita</x:v>
      </x:c>
      <x:c r="H1477" t="n">
        <x:v>3</x:v>
      </x:c>
    </x:row>
    <x:row r="1478">
      <x:c r="A1478" t="str">
        <x:v>SUS-001477</x:v>
      </x:c>
      <x:c r="B1478" t="str">
        <x:v>USR-00983</x:v>
      </x:c>
      <x:c r="C1478" t="str">
        <x:v>Cero</x:v>
      </x:c>
      <x:c r="D1478" t="n">
        <x:v>46204</x:v>
      </x:c>
      <x:c r="E1478" t="n">
        <x:v>46266</x:v>
      </x:c>
      <x:c r="F1478" t="str">
        <x:v>Activa</x:v>
      </x:c>
      <x:c r="G1478" t="str">
        <x:v>Gratuita</x:v>
      </x:c>
      <x:c r="H1478" t="n">
        <x:v>3</x:v>
      </x:c>
    </x:row>
    <x:row r="1479">
      <x:c r="A1479" t="str">
        <x:v>SUS-001478</x:v>
      </x:c>
      <x:c r="B1479" t="str">
        <x:v>USR-00984</x:v>
      </x:c>
      <x:c r="C1479" t="str">
        <x:v>Cero</x:v>
      </x:c>
      <x:c r="D1479" t="n">
        <x:v>46204</x:v>
      </x:c>
      <x:c r="E1479" t="n">
        <x:v>46266</x:v>
      </x:c>
      <x:c r="F1479" t="str">
        <x:v>Activa</x:v>
      </x:c>
      <x:c r="G1479" t="str">
        <x:v>Gratuita</x:v>
      </x:c>
      <x:c r="H1479" t="n">
        <x:v>3</x:v>
      </x:c>
    </x:row>
    <x:row r="1480">
      <x:c r="A1480" t="str">
        <x:v>SUS-001479</x:v>
      </x:c>
      <x:c r="B1480" t="str">
        <x:v>USR-00985</x:v>
      </x:c>
      <x:c r="C1480" t="str">
        <x:v>Cero</x:v>
      </x:c>
      <x:c r="D1480" t="n">
        <x:v>46204</x:v>
      </x:c>
      <x:c r="E1480" t="n">
        <x:v>46266</x:v>
      </x:c>
      <x:c r="F1480" t="str">
        <x:v>Activa</x:v>
      </x:c>
      <x:c r="G1480" t="str">
        <x:v>Gratuita</x:v>
      </x:c>
      <x:c r="H1480" t="n">
        <x:v>3</x:v>
      </x:c>
    </x:row>
    <x:row r="1481">
      <x:c r="A1481" t="str">
        <x:v>SUS-001480</x:v>
      </x:c>
      <x:c r="B1481" t="str">
        <x:v>USR-00986</x:v>
      </x:c>
      <x:c r="C1481" t="str">
        <x:v>Plus anual</x:v>
      </x:c>
      <x:c r="D1481" t="n">
        <x:v>46204</x:v>
      </x:c>
      <x:c r="E1481" t="n">
        <x:v>46266</x:v>
      </x:c>
      <x:c r="F1481" t="str">
        <x:v>Activa</x:v>
      </x:c>
      <x:c r="G1481" t="str">
        <x:v>Anual</x:v>
      </x:c>
      <x:c r="H1481" t="n">
        <x:v>3</x:v>
      </x:c>
    </x:row>
    <x:row r="1482">
      <x:c r="A1482" t="str">
        <x:v>SUS-001481</x:v>
      </x:c>
      <x:c r="B1482" t="str">
        <x:v>USR-00987</x:v>
      </x:c>
      <x:c r="C1482" t="str">
        <x:v>Cero</x:v>
      </x:c>
      <x:c r="D1482" t="n">
        <x:v>46204</x:v>
      </x:c>
      <x:c r="E1482" t="n">
        <x:v>46266</x:v>
      </x:c>
      <x:c r="F1482" t="str">
        <x:v>Activa</x:v>
      </x:c>
      <x:c r="G1482" t="str">
        <x:v>Gratuita</x:v>
      </x:c>
      <x:c r="H1482" t="n">
        <x:v>3</x:v>
      </x:c>
    </x:row>
    <x:row r="1483">
      <x:c r="A1483" t="str">
        <x:v>SUS-001482</x:v>
      </x:c>
      <x:c r="B1483" t="str">
        <x:v>USR-00988</x:v>
      </x:c>
      <x:c r="C1483" t="str">
        <x:v>Cero</x:v>
      </x:c>
      <x:c r="D1483" t="n">
        <x:v>46204</x:v>
      </x:c>
      <x:c r="E1483" t="n">
        <x:v>46266</x:v>
      </x:c>
      <x:c r="F1483" t="str">
        <x:v>Activa</x:v>
      </x:c>
      <x:c r="G1483" t="str">
        <x:v>Gratuita</x:v>
      </x:c>
      <x:c r="H1483" t="n">
        <x:v>3</x:v>
      </x:c>
    </x:row>
    <x:row r="1484">
      <x:c r="A1484" t="str">
        <x:v>SUS-001483</x:v>
      </x:c>
      <x:c r="B1484" t="str">
        <x:v>USR-00989</x:v>
      </x:c>
      <x:c r="C1484" t="str">
        <x:v>Cero</x:v>
      </x:c>
      <x:c r="D1484" t="n">
        <x:v>46204</x:v>
      </x:c>
      <x:c r="E1484" t="n">
        <x:v>46266</x:v>
      </x:c>
      <x:c r="F1484" t="str">
        <x:v>Activa</x:v>
      </x:c>
      <x:c r="G1484" t="str">
        <x:v>Gratuita</x:v>
      </x:c>
      <x:c r="H1484" t="n">
        <x:v>3</x:v>
      </x:c>
    </x:row>
    <x:row r="1485">
      <x:c r="A1485" t="str">
        <x:v>SUS-001484</x:v>
      </x:c>
      <x:c r="B1485" t="str">
        <x:v>USR-00990</x:v>
      </x:c>
      <x:c r="C1485" t="str">
        <x:v>Cero</x:v>
      </x:c>
      <x:c r="D1485" t="n">
        <x:v>46204</x:v>
      </x:c>
      <x:c r="E1485" t="n">
        <x:v>46266</x:v>
      </x:c>
      <x:c r="F1485" t="str">
        <x:v>Activa</x:v>
      </x:c>
      <x:c r="G1485" t="str">
        <x:v>Gratuita</x:v>
      </x:c>
      <x:c r="H1485" t="n">
        <x:v>3</x:v>
      </x:c>
    </x:row>
    <x:row r="1486">
      <x:c r="A1486" t="str">
        <x:v>SUS-001485</x:v>
      </x:c>
      <x:c r="B1486" t="str">
        <x:v>USR-00991</x:v>
      </x:c>
      <x:c r="C1486" t="str">
        <x:v>Cero</x:v>
      </x:c>
      <x:c r="D1486" t="n">
        <x:v>46204</x:v>
      </x:c>
      <x:c r="E1486" t="n">
        <x:v>46266</x:v>
      </x:c>
      <x:c r="F1486" t="str">
        <x:v>Activa</x:v>
      </x:c>
      <x:c r="G1486" t="str">
        <x:v>Gratuita</x:v>
      </x:c>
      <x:c r="H1486" t="n">
        <x:v>3</x:v>
      </x:c>
    </x:row>
    <x:row r="1487">
      <x:c r="A1487" t="str">
        <x:v>SUS-001486</x:v>
      </x:c>
      <x:c r="B1487" t="str">
        <x:v>USR-00992</x:v>
      </x:c>
      <x:c r="C1487" t="str">
        <x:v>Cero</x:v>
      </x:c>
      <x:c r="D1487" t="n">
        <x:v>46204</x:v>
      </x:c>
      <x:c r="E1487" t="n">
        <x:v>46266</x:v>
      </x:c>
      <x:c r="F1487" t="str">
        <x:v>Activa</x:v>
      </x:c>
      <x:c r="G1487" t="str">
        <x:v>Gratuita</x:v>
      </x:c>
      <x:c r="H1487" t="n">
        <x:v>3</x:v>
      </x:c>
    </x:row>
    <x:row r="1488">
      <x:c r="A1488" t="str">
        <x:v>SUS-001487</x:v>
      </x:c>
      <x:c r="B1488" t="str">
        <x:v>USR-00993</x:v>
      </x:c>
      <x:c r="C1488" t="str">
        <x:v>Cero</x:v>
      </x:c>
      <x:c r="D1488" t="n">
        <x:v>46204</x:v>
      </x:c>
      <x:c r="E1488" t="n">
        <x:v>46266</x:v>
      </x:c>
      <x:c r="F1488" t="str">
        <x:v>Activa</x:v>
      </x:c>
      <x:c r="G1488" t="str">
        <x:v>Gratuita</x:v>
      </x:c>
      <x:c r="H1488" t="n">
        <x:v>3</x:v>
      </x:c>
    </x:row>
    <x:row r="1489">
      <x:c r="A1489" t="str">
        <x:v>SUS-001488</x:v>
      </x:c>
      <x:c r="B1489" t="str">
        <x:v>USR-00994</x:v>
      </x:c>
      <x:c r="C1489" t="str">
        <x:v>Cero</x:v>
      </x:c>
      <x:c r="D1489" t="n">
        <x:v>46204</x:v>
      </x:c>
      <x:c r="E1489" t="n">
        <x:v>46266</x:v>
      </x:c>
      <x:c r="F1489" t="str">
        <x:v>Activa</x:v>
      </x:c>
      <x:c r="G1489" t="str">
        <x:v>Gratuita</x:v>
      </x:c>
      <x:c r="H1489" t="n">
        <x:v>3</x:v>
      </x:c>
    </x:row>
    <x:row r="1490">
      <x:c r="A1490" t="str">
        <x:v>SUS-001489</x:v>
      </x:c>
      <x:c r="B1490" t="str">
        <x:v>USR-00995</x:v>
      </x:c>
      <x:c r="C1490" t="str">
        <x:v>Cero</x:v>
      </x:c>
      <x:c r="D1490" t="n">
        <x:v>46204</x:v>
      </x:c>
      <x:c r="E1490" t="n">
        <x:v>46266</x:v>
      </x:c>
      <x:c r="F1490" t="str">
        <x:v>Activa</x:v>
      </x:c>
      <x:c r="G1490" t="str">
        <x:v>Gratuita</x:v>
      </x:c>
      <x:c r="H1490" t="n">
        <x:v>3</x:v>
      </x:c>
    </x:row>
    <x:row r="1491">
      <x:c r="A1491" t="str">
        <x:v>SUS-001490</x:v>
      </x:c>
      <x:c r="B1491" t="str">
        <x:v>USR-00996</x:v>
      </x:c>
      <x:c r="C1491" t="str">
        <x:v>Cero</x:v>
      </x:c>
      <x:c r="D1491" t="n">
        <x:v>46204</x:v>
      </x:c>
      <x:c r="E1491" t="n">
        <x:v>46266</x:v>
      </x:c>
      <x:c r="F1491" t="str">
        <x:v>Activa</x:v>
      </x:c>
      <x:c r="G1491" t="str">
        <x:v>Gratuita</x:v>
      </x:c>
      <x:c r="H1491" t="n">
        <x:v>3</x:v>
      </x:c>
    </x:row>
    <x:row r="1492">
      <x:c r="A1492" t="str">
        <x:v>SUS-001491</x:v>
      </x:c>
      <x:c r="B1492" t="str">
        <x:v>USR-00997</x:v>
      </x:c>
      <x:c r="C1492" t="str">
        <x:v>Cero</x:v>
      </x:c>
      <x:c r="D1492" t="n">
        <x:v>46204</x:v>
      </x:c>
      <x:c r="E1492" t="n">
        <x:v>46266</x:v>
      </x:c>
      <x:c r="F1492" t="str">
        <x:v>Activa</x:v>
      </x:c>
      <x:c r="G1492" t="str">
        <x:v>Gratuita</x:v>
      </x:c>
      <x:c r="H1492" t="n">
        <x:v>3</x:v>
      </x:c>
    </x:row>
    <x:row r="1493">
      <x:c r="A1493" t="str">
        <x:v>SUS-001492</x:v>
      </x:c>
      <x:c r="B1493" t="str">
        <x:v>USR-00998</x:v>
      </x:c>
      <x:c r="C1493" t="str">
        <x:v>Cero</x:v>
      </x:c>
      <x:c r="D1493" t="n">
        <x:v>46204</x:v>
      </x:c>
      <x:c r="E1493" t="n">
        <x:v>46266</x:v>
      </x:c>
      <x:c r="F1493" t="str">
        <x:v>Activa</x:v>
      </x:c>
      <x:c r="G1493" t="str">
        <x:v>Gratuita</x:v>
      </x:c>
      <x:c r="H1493" t="n">
        <x:v>3</x:v>
      </x:c>
    </x:row>
    <x:row r="1494">
      <x:c r="A1494" t="str">
        <x:v>SUS-001493</x:v>
      </x:c>
      <x:c r="B1494" t="str">
        <x:v>USR-00999</x:v>
      </x:c>
      <x:c r="C1494" t="str">
        <x:v>Cero</x:v>
      </x:c>
      <x:c r="D1494" t="n">
        <x:v>46204</x:v>
      </x:c>
      <x:c r="E1494" t="n">
        <x:v>46266</x:v>
      </x:c>
      <x:c r="F1494" t="str">
        <x:v>Activa</x:v>
      </x:c>
      <x:c r="G1494" t="str">
        <x:v>Gratuita</x:v>
      </x:c>
      <x:c r="H1494" t="n">
        <x:v>3</x:v>
      </x:c>
    </x:row>
    <x:row r="1495">
      <x:c r="A1495" t="str">
        <x:v>SUS-001494</x:v>
      </x:c>
      <x:c r="B1495" t="str">
        <x:v>USR-01000</x:v>
      </x:c>
      <x:c r="C1495" t="str">
        <x:v>Plus anual</x:v>
      </x:c>
      <x:c r="D1495" t="n">
        <x:v>46204</x:v>
      </x:c>
      <x:c r="E1495" t="n">
        <x:v>46266</x:v>
      </x:c>
      <x:c r="F1495" t="str">
        <x:v>Activa</x:v>
      </x:c>
      <x:c r="G1495" t="str">
        <x:v>Anual</x:v>
      </x:c>
      <x:c r="H1495" t="n">
        <x:v>3</x:v>
      </x:c>
    </x:row>
    <x:row r="1496">
      <x:c r="A1496" t="str">
        <x:v>SUS-001495</x:v>
      </x:c>
      <x:c r="B1496" t="str">
        <x:v>USR-01001</x:v>
      </x:c>
      <x:c r="C1496" t="str">
        <x:v>Plus anual</x:v>
      </x:c>
      <x:c r="D1496" t="n">
        <x:v>46204</x:v>
      </x:c>
      <x:c r="E1496" t="n">
        <x:v>46266</x:v>
      </x:c>
      <x:c r="F1496" t="str">
        <x:v>Activa</x:v>
      </x:c>
      <x:c r="G1496" t="str">
        <x:v>Anual</x:v>
      </x:c>
      <x:c r="H1496" t="n">
        <x:v>3</x:v>
      </x:c>
    </x:row>
    <x:row r="1497">
      <x:c r="A1497" t="str">
        <x:v>SUS-001496</x:v>
      </x:c>
      <x:c r="B1497" t="str">
        <x:v>USR-01002</x:v>
      </x:c>
      <x:c r="C1497" t="str">
        <x:v>Cero</x:v>
      </x:c>
      <x:c r="D1497" t="n">
        <x:v>46204</x:v>
      </x:c>
      <x:c r="E1497" t="n">
        <x:v>46266</x:v>
      </x:c>
      <x:c r="F1497" t="str">
        <x:v>Activa</x:v>
      </x:c>
      <x:c r="G1497" t="str">
        <x:v>Gratuita</x:v>
      </x:c>
      <x:c r="H1497" t="n">
        <x:v>3</x:v>
      </x:c>
    </x:row>
    <x:row r="1498">
      <x:c r="A1498" t="str">
        <x:v>SUS-001497</x:v>
      </x:c>
      <x:c r="B1498" t="str">
        <x:v>USR-01003</x:v>
      </x:c>
      <x:c r="C1498" t="str">
        <x:v>Cero</x:v>
      </x:c>
      <x:c r="D1498" t="n">
        <x:v>46204</x:v>
      </x:c>
      <x:c r="E1498" t="n">
        <x:v>46266</x:v>
      </x:c>
      <x:c r="F1498" t="str">
        <x:v>Activa</x:v>
      </x:c>
      <x:c r="G1498" t="str">
        <x:v>Gratuita</x:v>
      </x:c>
      <x:c r="H1498" t="n">
        <x:v>3</x:v>
      </x:c>
    </x:row>
    <x:row r="1499">
      <x:c r="A1499" t="str">
        <x:v>SUS-001498</x:v>
      </x:c>
      <x:c r="B1499" t="str">
        <x:v>USR-01004</x:v>
      </x:c>
      <x:c r="C1499" t="str">
        <x:v>Cero</x:v>
      </x:c>
      <x:c r="D1499" t="n">
        <x:v>46204</x:v>
      </x:c>
      <x:c r="E1499" t="n">
        <x:v>46266</x:v>
      </x:c>
      <x:c r="F1499" t="str">
        <x:v>Activa</x:v>
      </x:c>
      <x:c r="G1499" t="str">
        <x:v>Gratuita</x:v>
      </x:c>
      <x:c r="H1499" t="n">
        <x:v>3</x:v>
      </x:c>
    </x:row>
    <x:row r="1500">
      <x:c r="A1500" t="str">
        <x:v>SUS-001499</x:v>
      </x:c>
      <x:c r="B1500" t="str">
        <x:v>USR-01005</x:v>
      </x:c>
      <x:c r="C1500" t="str">
        <x:v>Plus anual</x:v>
      </x:c>
      <x:c r="D1500" t="n">
        <x:v>46204</x:v>
      </x:c>
      <x:c r="E1500" t="n">
        <x:v>46266</x:v>
      </x:c>
      <x:c r="F1500" t="str">
        <x:v>Activa</x:v>
      </x:c>
      <x:c r="G1500" t="str">
        <x:v>Anual</x:v>
      </x:c>
      <x:c r="H1500" t="n">
        <x:v>3</x:v>
      </x:c>
    </x:row>
    <x:row r="1501">
      <x:c r="A1501" t="str">
        <x:v>SUS-001500</x:v>
      </x:c>
      <x:c r="B1501" t="str">
        <x:v>USR-01006</x:v>
      </x:c>
      <x:c r="C1501" t="str">
        <x:v>Cero</x:v>
      </x:c>
      <x:c r="D1501" t="n">
        <x:v>46204</x:v>
      </x:c>
      <x:c r="E1501" t="n">
        <x:v>46266</x:v>
      </x:c>
      <x:c r="F1501" t="str">
        <x:v>Activa</x:v>
      </x:c>
      <x:c r="G1501" t="str">
        <x:v>Gratuita</x:v>
      </x:c>
      <x:c r="H1501" t="n">
        <x:v>3</x:v>
      </x:c>
    </x:row>
    <x:row r="1502">
      <x:c r="A1502" t="str">
        <x:v>SUS-001501</x:v>
      </x:c>
      <x:c r="B1502" t="str">
        <x:v>USR-01007</x:v>
      </x:c>
      <x:c r="C1502" t="str">
        <x:v>Cero</x:v>
      </x:c>
      <x:c r="D1502" t="n">
        <x:v>46204</x:v>
      </x:c>
      <x:c r="E1502" t="n">
        <x:v>46266</x:v>
      </x:c>
      <x:c r="F1502" t="str">
        <x:v>Activa</x:v>
      </x:c>
      <x:c r="G1502" t="str">
        <x:v>Gratuita</x:v>
      </x:c>
      <x:c r="H1502" t="n">
        <x:v>3</x:v>
      </x:c>
    </x:row>
    <x:row r="1503">
      <x:c r="A1503" t="str">
        <x:v>SUS-001502</x:v>
      </x:c>
      <x:c r="B1503" t="str">
        <x:v>USR-01008</x:v>
      </x:c>
      <x:c r="C1503" t="str">
        <x:v>Cero</x:v>
      </x:c>
      <x:c r="D1503" t="n">
        <x:v>46204</x:v>
      </x:c>
      <x:c r="E1503" t="n">
        <x:v>46266</x:v>
      </x:c>
      <x:c r="F1503" t="str">
        <x:v>Activa</x:v>
      </x:c>
      <x:c r="G1503" t="str">
        <x:v>Gratuita</x:v>
      </x:c>
      <x:c r="H1503" t="n">
        <x:v>3</x:v>
      </x:c>
    </x:row>
    <x:row r="1504">
      <x:c r="A1504" t="str">
        <x:v>SUS-001503</x:v>
      </x:c>
      <x:c r="B1504" t="str">
        <x:v>USR-01009</x:v>
      </x:c>
      <x:c r="C1504" t="str">
        <x:v>Cero</x:v>
      </x:c>
      <x:c r="D1504" t="n">
        <x:v>46204</x:v>
      </x:c>
      <x:c r="E1504" t="n">
        <x:v>46266</x:v>
      </x:c>
      <x:c r="F1504" t="str">
        <x:v>Activa</x:v>
      </x:c>
      <x:c r="G1504" t="str">
        <x:v>Gratuita</x:v>
      </x:c>
      <x:c r="H1504" t="n">
        <x:v>3</x:v>
      </x:c>
    </x:row>
    <x:row r="1505">
      <x:c r="A1505" t="str">
        <x:v>SUS-001504</x:v>
      </x:c>
      <x:c r="B1505" t="str">
        <x:v>USR-01010</x:v>
      </x:c>
      <x:c r="C1505" t="str">
        <x:v>Cero</x:v>
      </x:c>
      <x:c r="D1505" t="n">
        <x:v>46204</x:v>
      </x:c>
      <x:c r="E1505" t="n">
        <x:v>46266</x:v>
      </x:c>
      <x:c r="F1505" t="str">
        <x:v>Activa</x:v>
      </x:c>
      <x:c r="G1505" t="str">
        <x:v>Gratuita</x:v>
      </x:c>
      <x:c r="H1505" t="n">
        <x:v>3</x:v>
      </x:c>
    </x:row>
    <x:row r="1506">
      <x:c r="A1506" t="str">
        <x:v>SUS-001505</x:v>
      </x:c>
      <x:c r="B1506" t="str">
        <x:v>USR-01011</x:v>
      </x:c>
      <x:c r="C1506" t="str">
        <x:v>Cero</x:v>
      </x:c>
      <x:c r="D1506" t="n">
        <x:v>46204</x:v>
      </x:c>
      <x:c r="E1506" t="n">
        <x:v>46266</x:v>
      </x:c>
      <x:c r="F1506" t="str">
        <x:v>Activa</x:v>
      </x:c>
      <x:c r="G1506" t="str">
        <x:v>Gratuita</x:v>
      </x:c>
      <x:c r="H1506" t="n">
        <x:v>3</x:v>
      </x:c>
    </x:row>
    <x:row r="1507">
      <x:c r="A1507" t="str">
        <x:v>SUS-001506</x:v>
      </x:c>
      <x:c r="B1507" t="str">
        <x:v>USR-01012</x:v>
      </x:c>
      <x:c r="C1507" t="str">
        <x:v>Cero</x:v>
      </x:c>
      <x:c r="D1507" t="n">
        <x:v>46204</x:v>
      </x:c>
      <x:c r="E1507" t="n">
        <x:v>46266</x:v>
      </x:c>
      <x:c r="F1507" t="str">
        <x:v>Activa</x:v>
      </x:c>
      <x:c r="G1507" t="str">
        <x:v>Gratuita</x:v>
      </x:c>
      <x:c r="H1507" t="n">
        <x:v>3</x:v>
      </x:c>
    </x:row>
    <x:row r="1508">
      <x:c r="A1508" t="str">
        <x:v>SUS-001507</x:v>
      </x:c>
      <x:c r="B1508" t="str">
        <x:v>USR-01013</x:v>
      </x:c>
      <x:c r="C1508" t="str">
        <x:v>Cero</x:v>
      </x:c>
      <x:c r="D1508" t="n">
        <x:v>46204</x:v>
      </x:c>
      <x:c r="E1508" t="n">
        <x:v>46266</x:v>
      </x:c>
      <x:c r="F1508" t="str">
        <x:v>Activa</x:v>
      </x:c>
      <x:c r="G1508" t="str">
        <x:v>Gratuita</x:v>
      </x:c>
      <x:c r="H1508" t="n">
        <x:v>3</x:v>
      </x:c>
    </x:row>
    <x:row r="1509">
      <x:c r="A1509" t="str">
        <x:v>SUS-001508</x:v>
      </x:c>
      <x:c r="B1509" t="str">
        <x:v>USR-01014</x:v>
      </x:c>
      <x:c r="C1509" t="str">
        <x:v>Cero</x:v>
      </x:c>
      <x:c r="D1509" t="n">
        <x:v>46204</x:v>
      </x:c>
      <x:c r="E1509" t="n">
        <x:v>46266</x:v>
      </x:c>
      <x:c r="F1509" t="str">
        <x:v>Activa</x:v>
      </x:c>
      <x:c r="G1509" t="str">
        <x:v>Gratuita</x:v>
      </x:c>
      <x:c r="H1509" t="n">
        <x:v>3</x:v>
      </x:c>
    </x:row>
    <x:row r="1510">
      <x:c r="A1510" t="str">
        <x:v>SUS-001509</x:v>
      </x:c>
      <x:c r="B1510" t="str">
        <x:v>USR-01015</x:v>
      </x:c>
      <x:c r="C1510" t="str">
        <x:v>Cero</x:v>
      </x:c>
      <x:c r="D1510" t="n">
        <x:v>46204</x:v>
      </x:c>
      <x:c r="E1510" t="n">
        <x:v>46266</x:v>
      </x:c>
      <x:c r="F1510" t="str">
        <x:v>Activa</x:v>
      </x:c>
      <x:c r="G1510" t="str">
        <x:v>Gratuita</x:v>
      </x:c>
      <x:c r="H1510" t="n">
        <x:v>3</x:v>
      </x:c>
    </x:row>
    <x:row r="1511">
      <x:c r="A1511" t="str">
        <x:v>SUS-001510</x:v>
      </x:c>
      <x:c r="B1511" t="str">
        <x:v>USR-01016</x:v>
      </x:c>
      <x:c r="C1511" t="str">
        <x:v>Cero</x:v>
      </x:c>
      <x:c r="D1511" t="n">
        <x:v>46204</x:v>
      </x:c>
      <x:c r="E1511" t="n">
        <x:v>46266</x:v>
      </x:c>
      <x:c r="F1511" t="str">
        <x:v>Activa</x:v>
      </x:c>
      <x:c r="G1511" t="str">
        <x:v>Gratuita</x:v>
      </x:c>
      <x:c r="H1511" t="n">
        <x:v>3</x:v>
      </x:c>
    </x:row>
    <x:row r="1512">
      <x:c r="A1512" t="str">
        <x:v>SUS-001511</x:v>
      </x:c>
      <x:c r="B1512" t="str">
        <x:v>USR-01017</x:v>
      </x:c>
      <x:c r="C1512" t="str">
        <x:v>Cero</x:v>
      </x:c>
      <x:c r="D1512" t="n">
        <x:v>46204</x:v>
      </x:c>
      <x:c r="E1512" t="n">
        <x:v>46235</x:v>
      </x:c>
      <x:c r="F1512" t="str">
        <x:v>Finalizada</x:v>
      </x:c>
      <x:c r="G1512" t="str">
        <x:v>Gratuita</x:v>
      </x:c>
      <x:c r="H1512" t="n">
        <x:v>2</x:v>
      </x:c>
    </x:row>
    <x:row r="1513">
      <x:c r="A1513" t="str">
        <x:v>SUS-001512</x:v>
      </x:c>
      <x:c r="B1513" t="str">
        <x:v>USR-01018</x:v>
      </x:c>
      <x:c r="C1513" t="str">
        <x:v>Cero</x:v>
      </x:c>
      <x:c r="D1513" t="n">
        <x:v>46204</x:v>
      </x:c>
      <x:c r="E1513" t="n">
        <x:v>46266</x:v>
      </x:c>
      <x:c r="F1513" t="str">
        <x:v>Activa</x:v>
      </x:c>
      <x:c r="G1513" t="str">
        <x:v>Gratuita</x:v>
      </x:c>
      <x:c r="H1513" t="n">
        <x:v>3</x:v>
      </x:c>
    </x:row>
    <x:row r="1514">
      <x:c r="A1514" t="str">
        <x:v>SUS-001513</x:v>
      </x:c>
      <x:c r="B1514" t="str">
        <x:v>USR-01019</x:v>
      </x:c>
      <x:c r="C1514" t="str">
        <x:v>Plus mensual</x:v>
      </x:c>
      <x:c r="D1514" t="n">
        <x:v>46204</x:v>
      </x:c>
      <x:c r="E1514" t="n">
        <x:v>46266</x:v>
      </x:c>
      <x:c r="F1514" t="str">
        <x:v>Activa</x:v>
      </x:c>
      <x:c r="G1514" t="str">
        <x:v>Mensual</x:v>
      </x:c>
      <x:c r="H1514" t="n">
        <x:v>3</x:v>
      </x:c>
    </x:row>
    <x:row r="1515">
      <x:c r="A1515" t="str">
        <x:v>SUS-001514</x:v>
      </x:c>
      <x:c r="B1515" t="str">
        <x:v>USR-01020</x:v>
      </x:c>
      <x:c r="C1515" t="str">
        <x:v>Cero</x:v>
      </x:c>
      <x:c r="D1515" t="n">
        <x:v>46204</x:v>
      </x:c>
      <x:c r="E1515" t="n">
        <x:v>46266</x:v>
      </x:c>
      <x:c r="F1515" t="str">
        <x:v>Activa</x:v>
      </x:c>
      <x:c r="G1515" t="str">
        <x:v>Gratuita</x:v>
      </x:c>
      <x:c r="H1515" t="n">
        <x:v>3</x:v>
      </x:c>
    </x:row>
    <x:row r="1516">
      <x:c r="A1516" t="str">
        <x:v>SUS-001515</x:v>
      </x:c>
      <x:c r="B1516" t="str">
        <x:v>USR-01021</x:v>
      </x:c>
      <x:c r="C1516" t="str">
        <x:v>Plus anual</x:v>
      </x:c>
      <x:c r="D1516" t="n">
        <x:v>46204</x:v>
      </x:c>
      <x:c r="E1516" t="n">
        <x:v>46266</x:v>
      </x:c>
      <x:c r="F1516" t="str">
        <x:v>Activa</x:v>
      </x:c>
      <x:c r="G1516" t="str">
        <x:v>Anual</x:v>
      </x:c>
      <x:c r="H1516" t="n">
        <x:v>3</x:v>
      </x:c>
    </x:row>
    <x:row r="1517">
      <x:c r="A1517" t="str">
        <x:v>SUS-001516</x:v>
      </x:c>
      <x:c r="B1517" t="str">
        <x:v>USR-01022</x:v>
      </x:c>
      <x:c r="C1517" t="str">
        <x:v>Cero</x:v>
      </x:c>
      <x:c r="D1517" t="n">
        <x:v>46204</x:v>
      </x:c>
      <x:c r="E1517" t="n">
        <x:v>46266</x:v>
      </x:c>
      <x:c r="F1517" t="str">
        <x:v>Activa</x:v>
      </x:c>
      <x:c r="G1517" t="str">
        <x:v>Gratuita</x:v>
      </x:c>
      <x:c r="H1517" t="n">
        <x:v>3</x:v>
      </x:c>
    </x:row>
    <x:row r="1518">
      <x:c r="A1518" t="str">
        <x:v>SUS-001517</x:v>
      </x:c>
      <x:c r="B1518" t="str">
        <x:v>USR-01023</x:v>
      </x:c>
      <x:c r="C1518" t="str">
        <x:v>Cero</x:v>
      </x:c>
      <x:c r="D1518" t="n">
        <x:v>46204</x:v>
      </x:c>
      <x:c r="E1518" t="n">
        <x:v>46266</x:v>
      </x:c>
      <x:c r="F1518" t="str">
        <x:v>Activa</x:v>
      </x:c>
      <x:c r="G1518" t="str">
        <x:v>Gratuita</x:v>
      </x:c>
      <x:c r="H1518" t="n">
        <x:v>3</x:v>
      </x:c>
    </x:row>
    <x:row r="1519">
      <x:c r="A1519" t="str">
        <x:v>SUS-001518</x:v>
      </x:c>
      <x:c r="B1519" t="str">
        <x:v>USR-01024</x:v>
      </x:c>
      <x:c r="C1519" t="str">
        <x:v>Cero</x:v>
      </x:c>
      <x:c r="D1519" t="n">
        <x:v>46204</x:v>
      </x:c>
      <x:c r="E1519" t="n">
        <x:v>46204</x:v>
      </x:c>
      <x:c r="F1519" t="str">
        <x:v>Finalizada</x:v>
      </x:c>
      <x:c r="G1519" t="str">
        <x:v>Gratuita</x:v>
      </x:c>
      <x:c r="H1519" t="n">
        <x:v>1</x:v>
      </x:c>
    </x:row>
    <x:row r="1520">
      <x:c r="A1520" t="str">
        <x:v>SUS-001519</x:v>
      </x:c>
      <x:c r="B1520" t="str">
        <x:v>USR-01025</x:v>
      </x:c>
      <x:c r="C1520" t="str">
        <x:v>Cero</x:v>
      </x:c>
      <x:c r="D1520" t="n">
        <x:v>46204</x:v>
      </x:c>
      <x:c r="E1520" t="n">
        <x:v>46266</x:v>
      </x:c>
      <x:c r="F1520" t="str">
        <x:v>Activa</x:v>
      </x:c>
      <x:c r="G1520" t="str">
        <x:v>Gratuita</x:v>
      </x:c>
      <x:c r="H1520" t="n">
        <x:v>3</x:v>
      </x:c>
    </x:row>
    <x:row r="1521">
      <x:c r="A1521" t="str">
        <x:v>SUS-001520</x:v>
      </x:c>
      <x:c r="B1521" t="str">
        <x:v>USR-01026</x:v>
      </x:c>
      <x:c r="C1521" t="str">
        <x:v>Cero</x:v>
      </x:c>
      <x:c r="D1521" t="n">
        <x:v>46204</x:v>
      </x:c>
      <x:c r="E1521" t="n">
        <x:v>46266</x:v>
      </x:c>
      <x:c r="F1521" t="str">
        <x:v>Activa</x:v>
      </x:c>
      <x:c r="G1521" t="str">
        <x:v>Gratuita</x:v>
      </x:c>
      <x:c r="H1521" t="n">
        <x:v>3</x:v>
      </x:c>
    </x:row>
    <x:row r="1522">
      <x:c r="A1522" t="str">
        <x:v>SUS-001521</x:v>
      </x:c>
      <x:c r="B1522" t="str">
        <x:v>USR-01027</x:v>
      </x:c>
      <x:c r="C1522" t="str">
        <x:v>Cero</x:v>
      </x:c>
      <x:c r="D1522" t="n">
        <x:v>46204</x:v>
      </x:c>
      <x:c r="E1522" t="n">
        <x:v>46266</x:v>
      </x:c>
      <x:c r="F1522" t="str">
        <x:v>Activa</x:v>
      </x:c>
      <x:c r="G1522" t="str">
        <x:v>Gratuita</x:v>
      </x:c>
      <x:c r="H1522" t="n">
        <x:v>3</x:v>
      </x:c>
    </x:row>
    <x:row r="1523">
      <x:c r="A1523" t="str">
        <x:v>SUS-001522</x:v>
      </x:c>
      <x:c r="B1523" t="str">
        <x:v>USR-01028</x:v>
      </x:c>
      <x:c r="C1523" t="str">
        <x:v>Cero</x:v>
      </x:c>
      <x:c r="D1523" t="n">
        <x:v>46204</x:v>
      </x:c>
      <x:c r="E1523" t="n">
        <x:v>46235</x:v>
      </x:c>
      <x:c r="F1523" t="str">
        <x:v>Finalizada</x:v>
      </x:c>
      <x:c r="G1523" t="str">
        <x:v>Gratuita</x:v>
      </x:c>
      <x:c r="H1523" t="n">
        <x:v>2</x:v>
      </x:c>
    </x:row>
    <x:row r="1524">
      <x:c r="A1524" t="str">
        <x:v>SUS-001523</x:v>
      </x:c>
      <x:c r="B1524" t="str">
        <x:v>USR-01029</x:v>
      </x:c>
      <x:c r="C1524" t="str">
        <x:v>Cero</x:v>
      </x:c>
      <x:c r="D1524" t="n">
        <x:v>46204</x:v>
      </x:c>
      <x:c r="E1524" t="n">
        <x:v>46235</x:v>
      </x:c>
      <x:c r="F1524" t="str">
        <x:v>Finalizada</x:v>
      </x:c>
      <x:c r="G1524" t="str">
        <x:v>Gratuita</x:v>
      </x:c>
      <x:c r="H1524" t="n">
        <x:v>2</x:v>
      </x:c>
    </x:row>
    <x:row r="1525">
      <x:c r="A1525" t="str">
        <x:v>SUS-001524</x:v>
      </x:c>
      <x:c r="B1525" t="str">
        <x:v>USR-01030</x:v>
      </x:c>
      <x:c r="C1525" t="str">
        <x:v>Cero</x:v>
      </x:c>
      <x:c r="D1525" t="n">
        <x:v>46204</x:v>
      </x:c>
      <x:c r="E1525" t="n">
        <x:v>46266</x:v>
      </x:c>
      <x:c r="F1525" t="str">
        <x:v>Activa</x:v>
      </x:c>
      <x:c r="G1525" t="str">
        <x:v>Gratuita</x:v>
      </x:c>
      <x:c r="H1525" t="n">
        <x:v>3</x:v>
      </x:c>
    </x:row>
    <x:row r="1526">
      <x:c r="A1526" t="str">
        <x:v>SUS-001525</x:v>
      </x:c>
      <x:c r="B1526" t="str">
        <x:v>USR-01031</x:v>
      </x:c>
      <x:c r="C1526" t="str">
        <x:v>Cero</x:v>
      </x:c>
      <x:c r="D1526" t="n">
        <x:v>46204</x:v>
      </x:c>
      <x:c r="E1526" t="n">
        <x:v>46235</x:v>
      </x:c>
      <x:c r="F1526" t="str">
        <x:v>Finalizada</x:v>
      </x:c>
      <x:c r="G1526" t="str">
        <x:v>Gratuita</x:v>
      </x:c>
      <x:c r="H1526" t="n">
        <x:v>2</x:v>
      </x:c>
    </x:row>
    <x:row r="1527">
      <x:c r="A1527" t="str">
        <x:v>SUS-001526</x:v>
      </x:c>
      <x:c r="B1527" t="str">
        <x:v>USR-01032</x:v>
      </x:c>
      <x:c r="C1527" t="str">
        <x:v>Cero</x:v>
      </x:c>
      <x:c r="D1527" t="n">
        <x:v>46204</x:v>
      </x:c>
      <x:c r="E1527" t="n">
        <x:v>46266</x:v>
      </x:c>
      <x:c r="F1527" t="str">
        <x:v>Activa</x:v>
      </x:c>
      <x:c r="G1527" t="str">
        <x:v>Gratuita</x:v>
      </x:c>
      <x:c r="H1527" t="n">
        <x:v>3</x:v>
      </x:c>
    </x:row>
    <x:row r="1528">
      <x:c r="A1528" t="str">
        <x:v>SUS-001527</x:v>
      </x:c>
      <x:c r="B1528" t="str">
        <x:v>USR-01033</x:v>
      </x:c>
      <x:c r="C1528" t="str">
        <x:v>Cero</x:v>
      </x:c>
      <x:c r="D1528" t="n">
        <x:v>46204</x:v>
      </x:c>
      <x:c r="E1528" t="n">
        <x:v>46266</x:v>
      </x:c>
      <x:c r="F1528" t="str">
        <x:v>Activa</x:v>
      </x:c>
      <x:c r="G1528" t="str">
        <x:v>Gratuita</x:v>
      </x:c>
      <x:c r="H1528" t="n">
        <x:v>3</x:v>
      </x:c>
    </x:row>
    <x:row r="1529">
      <x:c r="A1529" t="str">
        <x:v>SUS-001528</x:v>
      </x:c>
      <x:c r="B1529" t="str">
        <x:v>USR-01034</x:v>
      </x:c>
      <x:c r="C1529" t="str">
        <x:v>Cero</x:v>
      </x:c>
      <x:c r="D1529" t="n">
        <x:v>46204</x:v>
      </x:c>
      <x:c r="E1529" t="n">
        <x:v>46266</x:v>
      </x:c>
      <x:c r="F1529" t="str">
        <x:v>Activa</x:v>
      </x:c>
      <x:c r="G1529" t="str">
        <x:v>Gratuita</x:v>
      </x:c>
      <x:c r="H1529" t="n">
        <x:v>3</x:v>
      </x:c>
    </x:row>
    <x:row r="1530">
      <x:c r="A1530" t="str">
        <x:v>SUS-001529</x:v>
      </x:c>
      <x:c r="B1530" t="str">
        <x:v>USR-01035</x:v>
      </x:c>
      <x:c r="C1530" t="str">
        <x:v>Cero</x:v>
      </x:c>
      <x:c r="D1530" t="n">
        <x:v>46204</x:v>
      </x:c>
      <x:c r="E1530" t="n">
        <x:v>46266</x:v>
      </x:c>
      <x:c r="F1530" t="str">
        <x:v>Activa</x:v>
      </x:c>
      <x:c r="G1530" t="str">
        <x:v>Gratuita</x:v>
      </x:c>
      <x:c r="H1530" t="n">
        <x:v>3</x:v>
      </x:c>
    </x:row>
    <x:row r="1531">
      <x:c r="A1531" t="str">
        <x:v>SUS-001530</x:v>
      </x:c>
      <x:c r="B1531" t="str">
        <x:v>USR-01036</x:v>
      </x:c>
      <x:c r="C1531" t="str">
        <x:v>Plus anual</x:v>
      </x:c>
      <x:c r="D1531" t="n">
        <x:v>46204</x:v>
      </x:c>
      <x:c r="E1531" t="n">
        <x:v>46266</x:v>
      </x:c>
      <x:c r="F1531" t="str">
        <x:v>Activa</x:v>
      </x:c>
      <x:c r="G1531" t="str">
        <x:v>Anual</x:v>
      </x:c>
      <x:c r="H1531" t="n">
        <x:v>3</x:v>
      </x:c>
    </x:row>
    <x:row r="1532">
      <x:c r="A1532" t="str">
        <x:v>SUS-001531</x:v>
      </x:c>
      <x:c r="B1532" t="str">
        <x:v>USR-01037</x:v>
      </x:c>
      <x:c r="C1532" t="str">
        <x:v>Cero</x:v>
      </x:c>
      <x:c r="D1532" t="n">
        <x:v>46204</x:v>
      </x:c>
      <x:c r="E1532" t="n">
        <x:v>46266</x:v>
      </x:c>
      <x:c r="F1532" t="str">
        <x:v>Activa</x:v>
      </x:c>
      <x:c r="G1532" t="str">
        <x:v>Gratuita</x:v>
      </x:c>
      <x:c r="H1532" t="n">
        <x:v>3</x:v>
      </x:c>
    </x:row>
    <x:row r="1533">
      <x:c r="A1533" t="str">
        <x:v>SUS-001532</x:v>
      </x:c>
      <x:c r="B1533" t="str">
        <x:v>USR-01038</x:v>
      </x:c>
      <x:c r="C1533" t="str">
        <x:v>Plus mensual</x:v>
      </x:c>
      <x:c r="D1533" t="n">
        <x:v>46204</x:v>
      </x:c>
      <x:c r="E1533" t="n">
        <x:v>46266</x:v>
      </x:c>
      <x:c r="F1533" t="str">
        <x:v>Activa</x:v>
      </x:c>
      <x:c r="G1533" t="str">
        <x:v>Mensual</x:v>
      </x:c>
      <x:c r="H1533" t="n">
        <x:v>3</x:v>
      </x:c>
    </x:row>
    <x:row r="1534">
      <x:c r="A1534" t="str">
        <x:v>SUS-001533</x:v>
      </x:c>
      <x:c r="B1534" t="str">
        <x:v>USR-01039</x:v>
      </x:c>
      <x:c r="C1534" t="str">
        <x:v>Cero</x:v>
      </x:c>
      <x:c r="D1534" t="n">
        <x:v>46204</x:v>
      </x:c>
      <x:c r="E1534" t="n">
        <x:v>46266</x:v>
      </x:c>
      <x:c r="F1534" t="str">
        <x:v>Activa</x:v>
      </x:c>
      <x:c r="G1534" t="str">
        <x:v>Gratuita</x:v>
      </x:c>
      <x:c r="H1534" t="n">
        <x:v>3</x:v>
      </x:c>
    </x:row>
    <x:row r="1535">
      <x:c r="A1535" t="str">
        <x:v>SUS-001534</x:v>
      </x:c>
      <x:c r="B1535" t="str">
        <x:v>USR-01040</x:v>
      </x:c>
      <x:c r="C1535" t="str">
        <x:v>Cero</x:v>
      </x:c>
      <x:c r="D1535" t="n">
        <x:v>46204</x:v>
      </x:c>
      <x:c r="E1535" t="n">
        <x:v>46266</x:v>
      </x:c>
      <x:c r="F1535" t="str">
        <x:v>Activa</x:v>
      </x:c>
      <x:c r="G1535" t="str">
        <x:v>Gratuita</x:v>
      </x:c>
      <x:c r="H1535" t="n">
        <x:v>3</x:v>
      </x:c>
    </x:row>
    <x:row r="1536">
      <x:c r="A1536" t="str">
        <x:v>SUS-001535</x:v>
      </x:c>
      <x:c r="B1536" t="str">
        <x:v>USR-01041</x:v>
      </x:c>
      <x:c r="C1536" t="str">
        <x:v>Cero</x:v>
      </x:c>
      <x:c r="D1536" t="n">
        <x:v>46204</x:v>
      </x:c>
      <x:c r="E1536" t="n">
        <x:v>46204</x:v>
      </x:c>
      <x:c r="F1536" t="str">
        <x:v>Finalizada</x:v>
      </x:c>
      <x:c r="G1536" t="str">
        <x:v>Gratuita</x:v>
      </x:c>
      <x:c r="H1536" t="n">
        <x:v>1</x:v>
      </x:c>
    </x:row>
    <x:row r="1537">
      <x:c r="A1537" t="str">
        <x:v>SUS-001536</x:v>
      </x:c>
      <x:c r="B1537" t="str">
        <x:v>USR-01042</x:v>
      </x:c>
      <x:c r="C1537" t="str">
        <x:v>Cero</x:v>
      </x:c>
      <x:c r="D1537" t="n">
        <x:v>46204</x:v>
      </x:c>
      <x:c r="E1537" t="n">
        <x:v>46266</x:v>
      </x:c>
      <x:c r="F1537" t="str">
        <x:v>Activa</x:v>
      </x:c>
      <x:c r="G1537" t="str">
        <x:v>Gratuita</x:v>
      </x:c>
      <x:c r="H1537" t="n">
        <x:v>3</x:v>
      </x:c>
    </x:row>
    <x:row r="1538">
      <x:c r="A1538" t="str">
        <x:v>SUS-001537</x:v>
      </x:c>
      <x:c r="B1538" t="str">
        <x:v>USR-01043</x:v>
      </x:c>
      <x:c r="C1538" t="str">
        <x:v>Cero</x:v>
      </x:c>
      <x:c r="D1538" t="n">
        <x:v>46204</x:v>
      </x:c>
      <x:c r="E1538" t="n">
        <x:v>46266</x:v>
      </x:c>
      <x:c r="F1538" t="str">
        <x:v>Activa</x:v>
      </x:c>
      <x:c r="G1538" t="str">
        <x:v>Gratuita</x:v>
      </x:c>
      <x:c r="H1538" t="n">
        <x:v>3</x:v>
      </x:c>
    </x:row>
    <x:row r="1539">
      <x:c r="A1539" t="str">
        <x:v>SUS-001538</x:v>
      </x:c>
      <x:c r="B1539" t="str">
        <x:v>USR-01044</x:v>
      </x:c>
      <x:c r="C1539" t="str">
        <x:v>Cero</x:v>
      </x:c>
      <x:c r="D1539" t="n">
        <x:v>46204</x:v>
      </x:c>
      <x:c r="E1539" t="n">
        <x:v>46266</x:v>
      </x:c>
      <x:c r="F1539" t="str">
        <x:v>Activa</x:v>
      </x:c>
      <x:c r="G1539" t="str">
        <x:v>Gratuita</x:v>
      </x:c>
      <x:c r="H1539" t="n">
        <x:v>3</x:v>
      </x:c>
    </x:row>
    <x:row r="1540">
      <x:c r="A1540" t="str">
        <x:v>SUS-001539</x:v>
      </x:c>
      <x:c r="B1540" t="str">
        <x:v>USR-01045</x:v>
      </x:c>
      <x:c r="C1540" t="str">
        <x:v>Cero</x:v>
      </x:c>
      <x:c r="D1540" t="n">
        <x:v>46204</x:v>
      </x:c>
      <x:c r="E1540" t="n">
        <x:v>46266</x:v>
      </x:c>
      <x:c r="F1540" t="str">
        <x:v>Activa</x:v>
      </x:c>
      <x:c r="G1540" t="str">
        <x:v>Gratuita</x:v>
      </x:c>
      <x:c r="H1540" t="n">
        <x:v>3</x:v>
      </x:c>
    </x:row>
    <x:row r="1541">
      <x:c r="A1541" t="str">
        <x:v>SUS-001540</x:v>
      </x:c>
      <x:c r="B1541" t="str">
        <x:v>USR-01046</x:v>
      </x:c>
      <x:c r="C1541" t="str">
        <x:v>Cero</x:v>
      </x:c>
      <x:c r="D1541" t="n">
        <x:v>46204</x:v>
      </x:c>
      <x:c r="E1541" t="n">
        <x:v>46235</x:v>
      </x:c>
      <x:c r="F1541" t="str">
        <x:v>Finalizada</x:v>
      </x:c>
      <x:c r="G1541" t="str">
        <x:v>Gratuita</x:v>
      </x:c>
      <x:c r="H1541" t="n">
        <x:v>2</x:v>
      </x:c>
    </x:row>
    <x:row r="1542">
      <x:c r="A1542" t="str">
        <x:v>SUS-001541</x:v>
      </x:c>
      <x:c r="B1542" t="str">
        <x:v>USR-01047</x:v>
      </x:c>
      <x:c r="C1542" t="str">
        <x:v>Plus mensual</x:v>
      </x:c>
      <x:c r="D1542" t="n">
        <x:v>46204</x:v>
      </x:c>
      <x:c r="E1542" t="n">
        <x:v>46266</x:v>
      </x:c>
      <x:c r="F1542" t="str">
        <x:v>Activa</x:v>
      </x:c>
      <x:c r="G1542" t="str">
        <x:v>Mensual</x:v>
      </x:c>
      <x:c r="H1542" t="n">
        <x:v>3</x:v>
      </x:c>
    </x:row>
    <x:row r="1543">
      <x:c r="A1543" t="str">
        <x:v>SUS-001542</x:v>
      </x:c>
      <x:c r="B1543" t="str">
        <x:v>USR-01048</x:v>
      </x:c>
      <x:c r="C1543" t="str">
        <x:v>Cero</x:v>
      </x:c>
      <x:c r="D1543" t="n">
        <x:v>46204</x:v>
      </x:c>
      <x:c r="E1543" t="n">
        <x:v>46266</x:v>
      </x:c>
      <x:c r="F1543" t="str">
        <x:v>Activa</x:v>
      </x:c>
      <x:c r="G1543" t="str">
        <x:v>Gratuita</x:v>
      </x:c>
      <x:c r="H1543" t="n">
        <x:v>3</x:v>
      </x:c>
    </x:row>
    <x:row r="1544">
      <x:c r="A1544" t="str">
        <x:v>SUS-001543</x:v>
      </x:c>
      <x:c r="B1544" t="str">
        <x:v>USR-01049</x:v>
      </x:c>
      <x:c r="C1544" t="str">
        <x:v>Cero</x:v>
      </x:c>
      <x:c r="D1544" t="n">
        <x:v>46204</x:v>
      </x:c>
      <x:c r="E1544" t="n">
        <x:v>46266</x:v>
      </x:c>
      <x:c r="F1544" t="str">
        <x:v>Activa</x:v>
      </x:c>
      <x:c r="G1544" t="str">
        <x:v>Gratuita</x:v>
      </x:c>
      <x:c r="H1544" t="n">
        <x:v>3</x:v>
      </x:c>
    </x:row>
    <x:row r="1545">
      <x:c r="A1545" t="str">
        <x:v>SUS-001544</x:v>
      </x:c>
      <x:c r="B1545" t="str">
        <x:v>USR-01050</x:v>
      </x:c>
      <x:c r="C1545" t="str">
        <x:v>Cero</x:v>
      </x:c>
      <x:c r="D1545" t="n">
        <x:v>46204</x:v>
      </x:c>
      <x:c r="E1545" t="n">
        <x:v>46266</x:v>
      </x:c>
      <x:c r="F1545" t="str">
        <x:v>Activa</x:v>
      </x:c>
      <x:c r="G1545" t="str">
        <x:v>Gratuita</x:v>
      </x:c>
      <x:c r="H1545" t="n">
        <x:v>3</x:v>
      </x:c>
    </x:row>
    <x:row r="1546">
      <x:c r="A1546" t="str">
        <x:v>SUS-001545</x:v>
      </x:c>
      <x:c r="B1546" t="str">
        <x:v>USR-01051</x:v>
      </x:c>
      <x:c r="C1546" t="str">
        <x:v>Cero</x:v>
      </x:c>
      <x:c r="D1546" t="n">
        <x:v>46204</x:v>
      </x:c>
      <x:c r="E1546" t="n">
        <x:v>46266</x:v>
      </x:c>
      <x:c r="F1546" t="str">
        <x:v>Activa</x:v>
      </x:c>
      <x:c r="G1546" t="str">
        <x:v>Gratuita</x:v>
      </x:c>
      <x:c r="H1546" t="n">
        <x:v>3</x:v>
      </x:c>
    </x:row>
    <x:row r="1547">
      <x:c r="A1547" t="str">
        <x:v>SUS-001546</x:v>
      </x:c>
      <x:c r="B1547" t="str">
        <x:v>USR-01052</x:v>
      </x:c>
      <x:c r="C1547" t="str">
        <x:v>Cero</x:v>
      </x:c>
      <x:c r="D1547" t="n">
        <x:v>46204</x:v>
      </x:c>
      <x:c r="E1547" t="n">
        <x:v>46266</x:v>
      </x:c>
      <x:c r="F1547" t="str">
        <x:v>Activa</x:v>
      </x:c>
      <x:c r="G1547" t="str">
        <x:v>Gratuita</x:v>
      </x:c>
      <x:c r="H1547" t="n">
        <x:v>3</x:v>
      </x:c>
    </x:row>
    <x:row r="1548">
      <x:c r="A1548" t="str">
        <x:v>SUS-001547</x:v>
      </x:c>
      <x:c r="B1548" t="str">
        <x:v>USR-01053</x:v>
      </x:c>
      <x:c r="C1548" t="str">
        <x:v>Cero</x:v>
      </x:c>
      <x:c r="D1548" t="n">
        <x:v>46204</x:v>
      </x:c>
      <x:c r="E1548" t="n">
        <x:v>46266</x:v>
      </x:c>
      <x:c r="F1548" t="str">
        <x:v>Activa</x:v>
      </x:c>
      <x:c r="G1548" t="str">
        <x:v>Gratuita</x:v>
      </x:c>
      <x:c r="H1548" t="n">
        <x:v>3</x:v>
      </x:c>
    </x:row>
    <x:row r="1549">
      <x:c r="A1549" t="str">
        <x:v>SUS-001548</x:v>
      </x:c>
      <x:c r="B1549" t="str">
        <x:v>USR-01054</x:v>
      </x:c>
      <x:c r="C1549" t="str">
        <x:v>Cero</x:v>
      </x:c>
      <x:c r="D1549" t="n">
        <x:v>46204</x:v>
      </x:c>
      <x:c r="E1549" t="n">
        <x:v>46266</x:v>
      </x:c>
      <x:c r="F1549" t="str">
        <x:v>Activa</x:v>
      </x:c>
      <x:c r="G1549" t="str">
        <x:v>Gratuita</x:v>
      </x:c>
      <x:c r="H1549" t="n">
        <x:v>3</x:v>
      </x:c>
    </x:row>
    <x:row r="1550">
      <x:c r="A1550" t="str">
        <x:v>SUS-001549</x:v>
      </x:c>
      <x:c r="B1550" t="str">
        <x:v>USR-01055</x:v>
      </x:c>
      <x:c r="C1550" t="str">
        <x:v>Cero</x:v>
      </x:c>
      <x:c r="D1550" t="n">
        <x:v>46204</x:v>
      </x:c>
      <x:c r="E1550" t="n">
        <x:v>46235</x:v>
      </x:c>
      <x:c r="F1550" t="str">
        <x:v>Finalizada</x:v>
      </x:c>
      <x:c r="G1550" t="str">
        <x:v>Gratuita</x:v>
      </x:c>
      <x:c r="H1550" t="n">
        <x:v>2</x:v>
      </x:c>
    </x:row>
    <x:row r="1551">
      <x:c r="A1551" t="str">
        <x:v>SUS-001550</x:v>
      </x:c>
      <x:c r="B1551" t="str">
        <x:v>USR-01056</x:v>
      </x:c>
      <x:c r="C1551" t="str">
        <x:v>Cero</x:v>
      </x:c>
      <x:c r="D1551" t="n">
        <x:v>46204</x:v>
      </x:c>
      <x:c r="E1551" t="n">
        <x:v>46266</x:v>
      </x:c>
      <x:c r="F1551" t="str">
        <x:v>Activa</x:v>
      </x:c>
      <x:c r="G1551" t="str">
        <x:v>Gratuita</x:v>
      </x:c>
      <x:c r="H1551" t="n">
        <x:v>3</x:v>
      </x:c>
    </x:row>
    <x:row r="1552">
      <x:c r="A1552" t="str">
        <x:v>SUS-001551</x:v>
      </x:c>
      <x:c r="B1552" t="str">
        <x:v>USR-01057</x:v>
      </x:c>
      <x:c r="C1552" t="str">
        <x:v>Cero</x:v>
      </x:c>
      <x:c r="D1552" t="n">
        <x:v>46204</x:v>
      </x:c>
      <x:c r="E1552" t="n">
        <x:v>46266</x:v>
      </x:c>
      <x:c r="F1552" t="str">
        <x:v>Activa</x:v>
      </x:c>
      <x:c r="G1552" t="str">
        <x:v>Gratuita</x:v>
      </x:c>
      <x:c r="H1552" t="n">
        <x:v>3</x:v>
      </x:c>
    </x:row>
    <x:row r="1553">
      <x:c r="A1553" t="str">
        <x:v>SUS-001552</x:v>
      </x:c>
      <x:c r="B1553" t="str">
        <x:v>USR-01058</x:v>
      </x:c>
      <x:c r="C1553" t="str">
        <x:v>Cero</x:v>
      </x:c>
      <x:c r="D1553" t="n">
        <x:v>46204</x:v>
      </x:c>
      <x:c r="E1553" t="n">
        <x:v>46266</x:v>
      </x:c>
      <x:c r="F1553" t="str">
        <x:v>Activa</x:v>
      </x:c>
      <x:c r="G1553" t="str">
        <x:v>Gratuita</x:v>
      </x:c>
      <x:c r="H1553" t="n">
        <x:v>3</x:v>
      </x:c>
    </x:row>
    <x:row r="1554">
      <x:c r="A1554" t="str">
        <x:v>SUS-001553</x:v>
      </x:c>
      <x:c r="B1554" t="str">
        <x:v>USR-01059</x:v>
      </x:c>
      <x:c r="C1554" t="str">
        <x:v>Cero</x:v>
      </x:c>
      <x:c r="D1554" t="n">
        <x:v>46204</x:v>
      </x:c>
      <x:c r="E1554" t="n">
        <x:v>46266</x:v>
      </x:c>
      <x:c r="F1554" t="str">
        <x:v>Activa</x:v>
      </x:c>
      <x:c r="G1554" t="str">
        <x:v>Gratuita</x:v>
      </x:c>
      <x:c r="H1554" t="n">
        <x:v>3</x:v>
      </x:c>
    </x:row>
    <x:row r="1555">
      <x:c r="A1555" t="str">
        <x:v>SUS-001554</x:v>
      </x:c>
      <x:c r="B1555" t="str">
        <x:v>USR-01060</x:v>
      </x:c>
      <x:c r="C1555" t="str">
        <x:v>Cero</x:v>
      </x:c>
      <x:c r="D1555" t="n">
        <x:v>46204</x:v>
      </x:c>
      <x:c r="E1555" t="n">
        <x:v>46266</x:v>
      </x:c>
      <x:c r="F1555" t="str">
        <x:v>Activa</x:v>
      </x:c>
      <x:c r="G1555" t="str">
        <x:v>Gratuita</x:v>
      </x:c>
      <x:c r="H1555" t="n">
        <x:v>3</x:v>
      </x:c>
    </x:row>
    <x:row r="1556">
      <x:c r="A1556" t="str">
        <x:v>SUS-001555</x:v>
      </x:c>
      <x:c r="B1556" t="str">
        <x:v>USR-00043</x:v>
      </x:c>
      <x:c r="C1556" t="str">
        <x:v>Plus mensual</x:v>
      </x:c>
      <x:c r="D1556" t="n">
        <x:v>46235</x:v>
      </x:c>
      <x:c r="E1556" t="n">
        <x:v>46266</x:v>
      </x:c>
      <x:c r="F1556" t="str">
        <x:v>Activa</x:v>
      </x:c>
      <x:c r="G1556" t="str">
        <x:v>Mensual</x:v>
      </x:c>
      <x:c r="H1556" t="n">
        <x:v>2</x:v>
      </x:c>
    </x:row>
    <x:row r="1557">
      <x:c r="A1557" t="str">
        <x:v>SUS-001556</x:v>
      </x:c>
      <x:c r="B1557" t="str">
        <x:v>USR-00097</x:v>
      </x:c>
      <x:c r="C1557" t="str">
        <x:v>Plus anual</x:v>
      </x:c>
      <x:c r="D1557" t="n">
        <x:v>46235</x:v>
      </x:c>
      <x:c r="E1557" t="n">
        <x:v>46266</x:v>
      </x:c>
      <x:c r="F1557" t="str">
        <x:v>Activa</x:v>
      </x:c>
      <x:c r="G1557" t="str">
        <x:v>Anual</x:v>
      </x:c>
      <x:c r="H1557" t="n">
        <x:v>2</x:v>
      </x:c>
    </x:row>
    <x:row r="1558">
      <x:c r="A1558" t="str">
        <x:v>SUS-001557</x:v>
      </x:c>
      <x:c r="B1558" t="str">
        <x:v>USR-00106</x:v>
      </x:c>
      <x:c r="C1558" t="str">
        <x:v>Plus anual</x:v>
      </x:c>
      <x:c r="D1558" t="n">
        <x:v>46235</x:v>
      </x:c>
      <x:c r="E1558" t="n">
        <x:v>46266</x:v>
      </x:c>
      <x:c r="F1558" t="str">
        <x:v>Activa</x:v>
      </x:c>
      <x:c r="G1558" t="str">
        <x:v>Anual</x:v>
      </x:c>
      <x:c r="H1558" t="n">
        <x:v>2</x:v>
      </x:c>
    </x:row>
    <x:row r="1559">
      <x:c r="A1559" t="str">
        <x:v>SUS-001558</x:v>
      </x:c>
      <x:c r="B1559" t="str">
        <x:v>USR-00108</x:v>
      </x:c>
      <x:c r="C1559" t="str">
        <x:v>Cero</x:v>
      </x:c>
      <x:c r="D1559" t="n">
        <x:v>46235</x:v>
      </x:c>
      <x:c r="E1559" t="n">
        <x:v>46266</x:v>
      </x:c>
      <x:c r="F1559" t="str">
        <x:v>Activa</x:v>
      </x:c>
      <x:c r="G1559" t="str">
        <x:v>Gratuita</x:v>
      </x:c>
      <x:c r="H1559" t="n">
        <x:v>2</x:v>
      </x:c>
    </x:row>
    <x:row r="1560">
      <x:c r="A1560" t="str">
        <x:v>SUS-001559</x:v>
      </x:c>
      <x:c r="B1560" t="str">
        <x:v>USR-00143</x:v>
      </x:c>
      <x:c r="C1560" t="str">
        <x:v>Plus anual</x:v>
      </x:c>
      <x:c r="D1560" t="n">
        <x:v>46235</x:v>
      </x:c>
      <x:c r="E1560" t="n">
        <x:v>46266</x:v>
      </x:c>
      <x:c r="F1560" t="str">
        <x:v>Activa</x:v>
      </x:c>
      <x:c r="G1560" t="str">
        <x:v>Anual</x:v>
      </x:c>
      <x:c r="H1560" t="n">
        <x:v>2</x:v>
      </x:c>
    </x:row>
    <x:row r="1561">
      <x:c r="A1561" t="str">
        <x:v>SUS-001560</x:v>
      </x:c>
      <x:c r="B1561" t="str">
        <x:v>USR-00154</x:v>
      </x:c>
      <x:c r="C1561" t="str">
        <x:v>Plus anual</x:v>
      </x:c>
      <x:c r="D1561" t="n">
        <x:v>46235</x:v>
      </x:c>
      <x:c r="E1561" t="n">
        <x:v>46266</x:v>
      </x:c>
      <x:c r="F1561" t="str">
        <x:v>Activa</x:v>
      </x:c>
      <x:c r="G1561" t="str">
        <x:v>Anual</x:v>
      </x:c>
      <x:c r="H1561" t="n">
        <x:v>2</x:v>
      </x:c>
    </x:row>
    <x:row r="1562">
      <x:c r="A1562" t="str">
        <x:v>SUS-001561</x:v>
      </x:c>
      <x:c r="B1562" t="str">
        <x:v>USR-00161</x:v>
      </x:c>
      <x:c r="C1562" t="str">
        <x:v>Plus mensual</x:v>
      </x:c>
      <x:c r="D1562" t="n">
        <x:v>46235</x:v>
      </x:c>
      <x:c r="E1562" t="n">
        <x:v>46266</x:v>
      </x:c>
      <x:c r="F1562" t="str">
        <x:v>Activa</x:v>
      </x:c>
      <x:c r="G1562" t="str">
        <x:v>Mensual</x:v>
      </x:c>
      <x:c r="H1562" t="n">
        <x:v>2</x:v>
      </x:c>
    </x:row>
    <x:row r="1563">
      <x:c r="A1563" t="str">
        <x:v>SUS-001562</x:v>
      </x:c>
      <x:c r="B1563" t="str">
        <x:v>USR-00201</x:v>
      </x:c>
      <x:c r="C1563" t="str">
        <x:v>Plus anual</x:v>
      </x:c>
      <x:c r="D1563" t="n">
        <x:v>46235</x:v>
      </x:c>
      <x:c r="E1563" t="n">
        <x:v>46266</x:v>
      </x:c>
      <x:c r="F1563" t="str">
        <x:v>Activa</x:v>
      </x:c>
      <x:c r="G1563" t="str">
        <x:v>Anual</x:v>
      </x:c>
      <x:c r="H1563" t="n">
        <x:v>2</x:v>
      </x:c>
    </x:row>
    <x:row r="1564">
      <x:c r="A1564" t="str">
        <x:v>SUS-001563</x:v>
      </x:c>
      <x:c r="B1564" t="str">
        <x:v>USR-00216</x:v>
      </x:c>
      <x:c r="C1564" t="str">
        <x:v>Plus mensual</x:v>
      </x:c>
      <x:c r="D1564" t="n">
        <x:v>46235</x:v>
      </x:c>
      <x:c r="E1564" t="n">
        <x:v>46266</x:v>
      </x:c>
      <x:c r="F1564" t="str">
        <x:v>Activa</x:v>
      </x:c>
      <x:c r="G1564" t="str">
        <x:v>Mensual</x:v>
      </x:c>
      <x:c r="H1564" t="n">
        <x:v>2</x:v>
      </x:c>
    </x:row>
    <x:row r="1565">
      <x:c r="A1565" t="str">
        <x:v>SUS-001564</x:v>
      </x:c>
      <x:c r="B1565" t="str">
        <x:v>USR-00234</x:v>
      </x:c>
      <x:c r="C1565" t="str">
        <x:v>Plus mensual</x:v>
      </x:c>
      <x:c r="D1565" t="n">
        <x:v>46235</x:v>
      </x:c>
      <x:c r="E1565" t="n">
        <x:v>46266</x:v>
      </x:c>
      <x:c r="F1565" t="str">
        <x:v>Activa</x:v>
      </x:c>
      <x:c r="G1565" t="str">
        <x:v>Mensual</x:v>
      </x:c>
      <x:c r="H1565" t="n">
        <x:v>2</x:v>
      </x:c>
    </x:row>
    <x:row r="1566">
      <x:c r="A1566" t="str">
        <x:v>SUS-001565</x:v>
      </x:c>
      <x:c r="B1566" t="str">
        <x:v>USR-00238</x:v>
      </x:c>
      <x:c r="C1566" t="str">
        <x:v>Plus anual</x:v>
      </x:c>
      <x:c r="D1566" t="n">
        <x:v>46235</x:v>
      </x:c>
      <x:c r="E1566" t="n">
        <x:v>46266</x:v>
      </x:c>
      <x:c r="F1566" t="str">
        <x:v>Activa</x:v>
      </x:c>
      <x:c r="G1566" t="str">
        <x:v>Anual</x:v>
      </x:c>
      <x:c r="H1566" t="n">
        <x:v>2</x:v>
      </x:c>
    </x:row>
    <x:row r="1567">
      <x:c r="A1567" t="str">
        <x:v>SUS-001566</x:v>
      </x:c>
      <x:c r="B1567" t="str">
        <x:v>USR-00269</x:v>
      </x:c>
      <x:c r="C1567" t="str">
        <x:v>Plus anual</x:v>
      </x:c>
      <x:c r="D1567" t="n">
        <x:v>46235</x:v>
      </x:c>
      <x:c r="E1567" t="n">
        <x:v>46266</x:v>
      </x:c>
      <x:c r="F1567" t="str">
        <x:v>Activa</x:v>
      </x:c>
      <x:c r="G1567" t="str">
        <x:v>Anual</x:v>
      </x:c>
      <x:c r="H1567" t="n">
        <x:v>2</x:v>
      </x:c>
    </x:row>
    <x:row r="1568">
      <x:c r="A1568" t="str">
        <x:v>SUS-001567</x:v>
      </x:c>
      <x:c r="B1568" t="str">
        <x:v>USR-00286</x:v>
      </x:c>
      <x:c r="C1568" t="str">
        <x:v>Plus anual</x:v>
      </x:c>
      <x:c r="D1568" t="n">
        <x:v>46235</x:v>
      </x:c>
      <x:c r="E1568" t="n">
        <x:v>46266</x:v>
      </x:c>
      <x:c r="F1568" t="str">
        <x:v>Activa</x:v>
      </x:c>
      <x:c r="G1568" t="str">
        <x:v>Anual</x:v>
      </x:c>
      <x:c r="H1568" t="n">
        <x:v>2</x:v>
      </x:c>
    </x:row>
    <x:row r="1569">
      <x:c r="A1569" t="str">
        <x:v>SUS-001568</x:v>
      </x:c>
      <x:c r="B1569" t="str">
        <x:v>USR-00292</x:v>
      </x:c>
      <x:c r="C1569" t="str">
        <x:v>Cero</x:v>
      </x:c>
      <x:c r="D1569" t="n">
        <x:v>46235</x:v>
      </x:c>
      <x:c r="E1569" t="n">
        <x:v>46266</x:v>
      </x:c>
      <x:c r="F1569" t="str">
        <x:v>Activa</x:v>
      </x:c>
      <x:c r="G1569" t="str">
        <x:v>Gratuita</x:v>
      </x:c>
      <x:c r="H1569" t="n">
        <x:v>2</x:v>
      </x:c>
    </x:row>
    <x:row r="1570">
      <x:c r="A1570" t="str">
        <x:v>SUS-001569</x:v>
      </x:c>
      <x:c r="B1570" t="str">
        <x:v>USR-00295</x:v>
      </x:c>
      <x:c r="C1570" t="str">
        <x:v>Plus mensual</x:v>
      </x:c>
      <x:c r="D1570" t="n">
        <x:v>46235</x:v>
      </x:c>
      <x:c r="E1570" t="n">
        <x:v>46266</x:v>
      </x:c>
      <x:c r="F1570" t="str">
        <x:v>Activa</x:v>
      </x:c>
      <x:c r="G1570" t="str">
        <x:v>Mensual</x:v>
      </x:c>
      <x:c r="H1570" t="n">
        <x:v>2</x:v>
      </x:c>
    </x:row>
    <x:row r="1571">
      <x:c r="A1571" t="str">
        <x:v>SUS-001570</x:v>
      </x:c>
      <x:c r="B1571" t="str">
        <x:v>USR-00296</x:v>
      </x:c>
      <x:c r="C1571" t="str">
        <x:v>Plus anual</x:v>
      </x:c>
      <x:c r="D1571" t="n">
        <x:v>46235</x:v>
      </x:c>
      <x:c r="E1571" t="n">
        <x:v>46266</x:v>
      </x:c>
      <x:c r="F1571" t="str">
        <x:v>Activa</x:v>
      </x:c>
      <x:c r="G1571" t="str">
        <x:v>Anual</x:v>
      </x:c>
      <x:c r="H1571" t="n">
        <x:v>2</x:v>
      </x:c>
    </x:row>
    <x:row r="1572">
      <x:c r="A1572" t="str">
        <x:v>SUS-001571</x:v>
      </x:c>
      <x:c r="B1572" t="str">
        <x:v>USR-00298</x:v>
      </x:c>
      <x:c r="C1572" t="str">
        <x:v>Plus mensual</x:v>
      </x:c>
      <x:c r="D1572" t="n">
        <x:v>46235</x:v>
      </x:c>
      <x:c r="E1572" t="n">
        <x:v>46235</x:v>
      </x:c>
      <x:c r="F1572" t="str">
        <x:v>Finalizada</x:v>
      </x:c>
      <x:c r="G1572" t="str">
        <x:v>Mensual</x:v>
      </x:c>
      <x:c r="H1572" t="n">
        <x:v>1</x:v>
      </x:c>
    </x:row>
    <x:row r="1573">
      <x:c r="A1573" t="str">
        <x:v>SUS-001572</x:v>
      </x:c>
      <x:c r="B1573" t="str">
        <x:v>USR-00301</x:v>
      </x:c>
      <x:c r="C1573" t="str">
        <x:v>Plus mensual</x:v>
      </x:c>
      <x:c r="D1573" t="n">
        <x:v>46235</x:v>
      </x:c>
      <x:c r="E1573" t="n">
        <x:v>46266</x:v>
      </x:c>
      <x:c r="F1573" t="str">
        <x:v>Activa</x:v>
      </x:c>
      <x:c r="G1573" t="str">
        <x:v>Mensual</x:v>
      </x:c>
      <x:c r="H1573" t="n">
        <x:v>2</x:v>
      </x:c>
    </x:row>
    <x:row r="1574">
      <x:c r="A1574" t="str">
        <x:v>SUS-001573</x:v>
      </x:c>
      <x:c r="B1574" t="str">
        <x:v>USR-00316</x:v>
      </x:c>
      <x:c r="C1574" t="str">
        <x:v>Cero</x:v>
      </x:c>
      <x:c r="D1574" t="n">
        <x:v>46235</x:v>
      </x:c>
      <x:c r="E1574" t="n">
        <x:v>46266</x:v>
      </x:c>
      <x:c r="F1574" t="str">
        <x:v>Activa</x:v>
      </x:c>
      <x:c r="G1574" t="str">
        <x:v>Gratuita</x:v>
      </x:c>
      <x:c r="H1574" t="n">
        <x:v>2</x:v>
      </x:c>
    </x:row>
    <x:row r="1575">
      <x:c r="A1575" t="str">
        <x:v>SUS-001574</x:v>
      </x:c>
      <x:c r="B1575" t="str">
        <x:v>USR-00323</x:v>
      </x:c>
      <x:c r="C1575" t="str">
        <x:v>Plus anual</x:v>
      </x:c>
      <x:c r="D1575" t="n">
        <x:v>46235</x:v>
      </x:c>
      <x:c r="E1575" t="n">
        <x:v>46266</x:v>
      </x:c>
      <x:c r="F1575" t="str">
        <x:v>Activa</x:v>
      </x:c>
      <x:c r="G1575" t="str">
        <x:v>Anual</x:v>
      </x:c>
      <x:c r="H1575" t="n">
        <x:v>2</x:v>
      </x:c>
    </x:row>
    <x:row r="1576">
      <x:c r="A1576" t="str">
        <x:v>SUS-001575</x:v>
      </x:c>
      <x:c r="B1576" t="str">
        <x:v>USR-00335</x:v>
      </x:c>
      <x:c r="C1576" t="str">
        <x:v>Cero</x:v>
      </x:c>
      <x:c r="D1576" t="n">
        <x:v>46235</x:v>
      </x:c>
      <x:c r="E1576" t="n">
        <x:v>46266</x:v>
      </x:c>
      <x:c r="F1576" t="str">
        <x:v>Activa</x:v>
      </x:c>
      <x:c r="G1576" t="str">
        <x:v>Gratuita</x:v>
      </x:c>
      <x:c r="H1576" t="n">
        <x:v>2</x:v>
      </x:c>
    </x:row>
    <x:row r="1577">
      <x:c r="A1577" t="str">
        <x:v>SUS-001576</x:v>
      </x:c>
      <x:c r="B1577" t="str">
        <x:v>USR-00343</x:v>
      </x:c>
      <x:c r="C1577" t="str">
        <x:v>Plus anual</x:v>
      </x:c>
      <x:c r="D1577" t="n">
        <x:v>46235</x:v>
      </x:c>
      <x:c r="E1577" t="n">
        <x:v>46266</x:v>
      </x:c>
      <x:c r="F1577" t="str">
        <x:v>Activa</x:v>
      </x:c>
      <x:c r="G1577" t="str">
        <x:v>Anual</x:v>
      </x:c>
      <x:c r="H1577" t="n">
        <x:v>2</x:v>
      </x:c>
    </x:row>
    <x:row r="1578">
      <x:c r="A1578" t="str">
        <x:v>SUS-001577</x:v>
      </x:c>
      <x:c r="B1578" t="str">
        <x:v>USR-00419</x:v>
      </x:c>
      <x:c r="C1578" t="str">
        <x:v>Cero</x:v>
      </x:c>
      <x:c r="D1578" t="n">
        <x:v>46235</x:v>
      </x:c>
      <x:c r="E1578" t="n">
        <x:v>46266</x:v>
      </x:c>
      <x:c r="F1578" t="str">
        <x:v>Activa</x:v>
      </x:c>
      <x:c r="G1578" t="str">
        <x:v>Gratuita</x:v>
      </x:c>
      <x:c r="H1578" t="n">
        <x:v>2</x:v>
      </x:c>
    </x:row>
    <x:row r="1579">
      <x:c r="A1579" t="str">
        <x:v>SUS-001578</x:v>
      </x:c>
      <x:c r="B1579" t="str">
        <x:v>USR-00422</x:v>
      </x:c>
      <x:c r="C1579" t="str">
        <x:v>Plus mensual</x:v>
      </x:c>
      <x:c r="D1579" t="n">
        <x:v>46235</x:v>
      </x:c>
      <x:c r="E1579" t="n">
        <x:v>46266</x:v>
      </x:c>
      <x:c r="F1579" t="str">
        <x:v>Activa</x:v>
      </x:c>
      <x:c r="G1579" t="str">
        <x:v>Mensual</x:v>
      </x:c>
      <x:c r="H1579" t="n">
        <x:v>2</x:v>
      </x:c>
    </x:row>
    <x:row r="1580">
      <x:c r="A1580" t="str">
        <x:v>SUS-001579</x:v>
      </x:c>
      <x:c r="B1580" t="str">
        <x:v>USR-00444</x:v>
      </x:c>
      <x:c r="C1580" t="str">
        <x:v>Plus mensual</x:v>
      </x:c>
      <x:c r="D1580" t="n">
        <x:v>46235</x:v>
      </x:c>
      <x:c r="E1580" t="n">
        <x:v>46266</x:v>
      </x:c>
      <x:c r="F1580" t="str">
        <x:v>Activa</x:v>
      </x:c>
      <x:c r="G1580" t="str">
        <x:v>Mensual</x:v>
      </x:c>
      <x:c r="H1580" t="n">
        <x:v>2</x:v>
      </x:c>
    </x:row>
    <x:row r="1581">
      <x:c r="A1581" t="str">
        <x:v>SUS-001580</x:v>
      </x:c>
      <x:c r="B1581" t="str">
        <x:v>USR-00459</x:v>
      </x:c>
      <x:c r="C1581" t="str">
        <x:v>Plus mensual</x:v>
      </x:c>
      <x:c r="D1581" t="n">
        <x:v>46235</x:v>
      </x:c>
      <x:c r="E1581" t="n">
        <x:v>46266</x:v>
      </x:c>
      <x:c r="F1581" t="str">
        <x:v>Activa</x:v>
      </x:c>
      <x:c r="G1581" t="str">
        <x:v>Mensual</x:v>
      </x:c>
      <x:c r="H1581" t="n">
        <x:v>2</x:v>
      </x:c>
    </x:row>
    <x:row r="1582">
      <x:c r="A1582" t="str">
        <x:v>SUS-001581</x:v>
      </x:c>
      <x:c r="B1582" t="str">
        <x:v>USR-00461</x:v>
      </x:c>
      <x:c r="C1582" t="str">
        <x:v>Plus mensual</x:v>
      </x:c>
      <x:c r="D1582" t="n">
        <x:v>46235</x:v>
      </x:c>
      <x:c r="E1582" t="n">
        <x:v>46266</x:v>
      </x:c>
      <x:c r="F1582" t="str">
        <x:v>Activa</x:v>
      </x:c>
      <x:c r="G1582" t="str">
        <x:v>Mensual</x:v>
      </x:c>
      <x:c r="H1582" t="n">
        <x:v>2</x:v>
      </x:c>
    </x:row>
    <x:row r="1583">
      <x:c r="A1583" t="str">
        <x:v>SUS-001582</x:v>
      </x:c>
      <x:c r="B1583" t="str">
        <x:v>USR-00498</x:v>
      </x:c>
      <x:c r="C1583" t="str">
        <x:v>Plus mensual</x:v>
      </x:c>
      <x:c r="D1583" t="n">
        <x:v>46235</x:v>
      </x:c>
      <x:c r="E1583" t="n">
        <x:v>46266</x:v>
      </x:c>
      <x:c r="F1583" t="str">
        <x:v>Activa</x:v>
      </x:c>
      <x:c r="G1583" t="str">
        <x:v>Mensual</x:v>
      </x:c>
      <x:c r="H1583" t="n">
        <x:v>2</x:v>
      </x:c>
    </x:row>
    <x:row r="1584">
      <x:c r="A1584" t="str">
        <x:v>SUS-001583</x:v>
      </x:c>
      <x:c r="B1584" t="str">
        <x:v>USR-00503</x:v>
      </x:c>
      <x:c r="C1584" t="str">
        <x:v>Plus anual</x:v>
      </x:c>
      <x:c r="D1584" t="n">
        <x:v>46235</x:v>
      </x:c>
      <x:c r="E1584" t="n">
        <x:v>46266</x:v>
      </x:c>
      <x:c r="F1584" t="str">
        <x:v>Activa</x:v>
      </x:c>
      <x:c r="G1584" t="str">
        <x:v>Anual</x:v>
      </x:c>
      <x:c r="H1584" t="n">
        <x:v>2</x:v>
      </x:c>
    </x:row>
    <x:row r="1585">
      <x:c r="A1585" t="str">
        <x:v>SUS-001584</x:v>
      </x:c>
      <x:c r="B1585" t="str">
        <x:v>USR-00516</x:v>
      </x:c>
      <x:c r="C1585" t="str">
        <x:v>Plus mensual</x:v>
      </x:c>
      <x:c r="D1585" t="n">
        <x:v>46235</x:v>
      </x:c>
      <x:c r="E1585" t="n">
        <x:v>46266</x:v>
      </x:c>
      <x:c r="F1585" t="str">
        <x:v>Activa</x:v>
      </x:c>
      <x:c r="G1585" t="str">
        <x:v>Mensual</x:v>
      </x:c>
      <x:c r="H1585" t="n">
        <x:v>2</x:v>
      </x:c>
    </x:row>
    <x:row r="1586">
      <x:c r="A1586" t="str">
        <x:v>SUS-001585</x:v>
      </x:c>
      <x:c r="B1586" t="str">
        <x:v>USR-00528</x:v>
      </x:c>
      <x:c r="C1586" t="str">
        <x:v>Plus anual</x:v>
      </x:c>
      <x:c r="D1586" t="n">
        <x:v>46235</x:v>
      </x:c>
      <x:c r="E1586" t="n">
        <x:v>46266</x:v>
      </x:c>
      <x:c r="F1586" t="str">
        <x:v>Activa</x:v>
      </x:c>
      <x:c r="G1586" t="str">
        <x:v>Anual</x:v>
      </x:c>
      <x:c r="H1586" t="n">
        <x:v>2</x:v>
      </x:c>
    </x:row>
    <x:row r="1587">
      <x:c r="A1587" t="str">
        <x:v>SUS-001586</x:v>
      </x:c>
      <x:c r="B1587" t="str">
        <x:v>USR-00576</x:v>
      </x:c>
      <x:c r="C1587" t="str">
        <x:v>Plus mensual</x:v>
      </x:c>
      <x:c r="D1587" t="n">
        <x:v>46235</x:v>
      </x:c>
      <x:c r="E1587" t="n">
        <x:v>46235</x:v>
      </x:c>
      <x:c r="F1587" t="str">
        <x:v>Finalizada</x:v>
      </x:c>
      <x:c r="G1587" t="str">
        <x:v>Mensual</x:v>
      </x:c>
      <x:c r="H1587" t="n">
        <x:v>1</x:v>
      </x:c>
    </x:row>
    <x:row r="1588">
      <x:c r="A1588" t="str">
        <x:v>SUS-001587</x:v>
      </x:c>
      <x:c r="B1588" t="str">
        <x:v>USR-00636</x:v>
      </x:c>
      <x:c r="C1588" t="str">
        <x:v>Plus anual</x:v>
      </x:c>
      <x:c r="D1588" t="n">
        <x:v>46235</x:v>
      </x:c>
      <x:c r="E1588" t="n">
        <x:v>46266</x:v>
      </x:c>
      <x:c r="F1588" t="str">
        <x:v>Activa</x:v>
      </x:c>
      <x:c r="G1588" t="str">
        <x:v>Anual</x:v>
      </x:c>
      <x:c r="H1588" t="n">
        <x:v>2</x:v>
      </x:c>
    </x:row>
    <x:row r="1589">
      <x:c r="A1589" t="str">
        <x:v>SUS-001588</x:v>
      </x:c>
      <x:c r="B1589" t="str">
        <x:v>USR-00637</x:v>
      </x:c>
      <x:c r="C1589" t="str">
        <x:v>Plus anual</x:v>
      </x:c>
      <x:c r="D1589" t="n">
        <x:v>46235</x:v>
      </x:c>
      <x:c r="E1589" t="n">
        <x:v>46266</x:v>
      </x:c>
      <x:c r="F1589" t="str">
        <x:v>Activa</x:v>
      </x:c>
      <x:c r="G1589" t="str">
        <x:v>Anual</x:v>
      </x:c>
      <x:c r="H1589" t="n">
        <x:v>2</x:v>
      </x:c>
    </x:row>
    <x:row r="1590">
      <x:c r="A1590" t="str">
        <x:v>SUS-001589</x:v>
      </x:c>
      <x:c r="B1590" t="str">
        <x:v>USR-00639</x:v>
      </x:c>
      <x:c r="C1590" t="str">
        <x:v>Plus mensual</x:v>
      </x:c>
      <x:c r="D1590" t="n">
        <x:v>46235</x:v>
      </x:c>
      <x:c r="E1590" t="n">
        <x:v>46266</x:v>
      </x:c>
      <x:c r="F1590" t="str">
        <x:v>Activa</x:v>
      </x:c>
      <x:c r="G1590" t="str">
        <x:v>Mensual</x:v>
      </x:c>
      <x:c r="H1590" t="n">
        <x:v>2</x:v>
      </x:c>
    </x:row>
    <x:row r="1591">
      <x:c r="A1591" t="str">
        <x:v>SUS-001590</x:v>
      </x:c>
      <x:c r="B1591" t="str">
        <x:v>USR-00651</x:v>
      </x:c>
      <x:c r="C1591" t="str">
        <x:v>Plus anual</x:v>
      </x:c>
      <x:c r="D1591" t="n">
        <x:v>46235</x:v>
      </x:c>
      <x:c r="E1591" t="n">
        <x:v>46266</x:v>
      </x:c>
      <x:c r="F1591" t="str">
        <x:v>Activa</x:v>
      </x:c>
      <x:c r="G1591" t="str">
        <x:v>Anual</x:v>
      </x:c>
      <x:c r="H1591" t="n">
        <x:v>2</x:v>
      </x:c>
    </x:row>
    <x:row r="1592">
      <x:c r="A1592" t="str">
        <x:v>SUS-001591</x:v>
      </x:c>
      <x:c r="B1592" t="str">
        <x:v>USR-00719</x:v>
      </x:c>
      <x:c r="C1592" t="str">
        <x:v>Plus mensual</x:v>
      </x:c>
      <x:c r="D1592" t="n">
        <x:v>46235</x:v>
      </x:c>
      <x:c r="E1592" t="n">
        <x:v>46266</x:v>
      </x:c>
      <x:c r="F1592" t="str">
        <x:v>Activa</x:v>
      </x:c>
      <x:c r="G1592" t="str">
        <x:v>Mensual</x:v>
      </x:c>
      <x:c r="H1592" t="n">
        <x:v>2</x:v>
      </x:c>
    </x:row>
    <x:row r="1593">
      <x:c r="A1593" t="str">
        <x:v>SUS-001592</x:v>
      </x:c>
      <x:c r="B1593" t="str">
        <x:v>USR-00741</x:v>
      </x:c>
      <x:c r="C1593" t="str">
        <x:v>Cero</x:v>
      </x:c>
      <x:c r="D1593" t="n">
        <x:v>46235</x:v>
      </x:c>
      <x:c r="E1593" t="n">
        <x:v>46266</x:v>
      </x:c>
      <x:c r="F1593" t="str">
        <x:v>Activa</x:v>
      </x:c>
      <x:c r="G1593" t="str">
        <x:v>Gratuita</x:v>
      </x:c>
      <x:c r="H1593" t="n">
        <x:v>2</x:v>
      </x:c>
    </x:row>
    <x:row r="1594">
      <x:c r="A1594" t="str">
        <x:v>SUS-001593</x:v>
      </x:c>
      <x:c r="B1594" t="str">
        <x:v>USR-00751</x:v>
      </x:c>
      <x:c r="C1594" t="str">
        <x:v>Cero</x:v>
      </x:c>
      <x:c r="D1594" t="n">
        <x:v>46235</x:v>
      </x:c>
      <x:c r="E1594" t="n">
        <x:v>46266</x:v>
      </x:c>
      <x:c r="F1594" t="str">
        <x:v>Activa</x:v>
      </x:c>
      <x:c r="G1594" t="str">
        <x:v>Gratuita</x:v>
      </x:c>
      <x:c r="H1594" t="n">
        <x:v>2</x:v>
      </x:c>
    </x:row>
    <x:row r="1595">
      <x:c r="A1595" t="str">
        <x:v>SUS-001594</x:v>
      </x:c>
      <x:c r="B1595" t="str">
        <x:v>USR-00755</x:v>
      </x:c>
      <x:c r="C1595" t="str">
        <x:v>Plus mensual</x:v>
      </x:c>
      <x:c r="D1595" t="n">
        <x:v>46235</x:v>
      </x:c>
      <x:c r="E1595" t="n">
        <x:v>46266</x:v>
      </x:c>
      <x:c r="F1595" t="str">
        <x:v>Activa</x:v>
      </x:c>
      <x:c r="G1595" t="str">
        <x:v>Mensual</x:v>
      </x:c>
      <x:c r="H1595" t="n">
        <x:v>2</x:v>
      </x:c>
    </x:row>
    <x:row r="1596">
      <x:c r="A1596" t="str">
        <x:v>SUS-001595</x:v>
      </x:c>
      <x:c r="B1596" t="str">
        <x:v>USR-00760</x:v>
      </x:c>
      <x:c r="C1596" t="str">
        <x:v>Plus anual</x:v>
      </x:c>
      <x:c r="D1596" t="n">
        <x:v>46235</x:v>
      </x:c>
      <x:c r="E1596" t="n">
        <x:v>46266</x:v>
      </x:c>
      <x:c r="F1596" t="str">
        <x:v>Activa</x:v>
      </x:c>
      <x:c r="G1596" t="str">
        <x:v>Anual</x:v>
      </x:c>
      <x:c r="H1596" t="n">
        <x:v>2</x:v>
      </x:c>
    </x:row>
    <x:row r="1597">
      <x:c r="A1597" t="str">
        <x:v>SUS-001596</x:v>
      </x:c>
      <x:c r="B1597" t="str">
        <x:v>USR-00769</x:v>
      </x:c>
      <x:c r="C1597" t="str">
        <x:v>Plus anual</x:v>
      </x:c>
      <x:c r="D1597" t="n">
        <x:v>46235</x:v>
      </x:c>
      <x:c r="E1597" t="n">
        <x:v>46266</x:v>
      </x:c>
      <x:c r="F1597" t="str">
        <x:v>Activa</x:v>
      </x:c>
      <x:c r="G1597" t="str">
        <x:v>Anual</x:v>
      </x:c>
      <x:c r="H1597" t="n">
        <x:v>2</x:v>
      </x:c>
    </x:row>
    <x:row r="1598">
      <x:c r="A1598" t="str">
        <x:v>SUS-001597</x:v>
      </x:c>
      <x:c r="B1598" t="str">
        <x:v>USR-00785</x:v>
      </x:c>
      <x:c r="C1598" t="str">
        <x:v>Plus anual</x:v>
      </x:c>
      <x:c r="D1598" t="n">
        <x:v>46235</x:v>
      </x:c>
      <x:c r="E1598" t="n">
        <x:v>46266</x:v>
      </x:c>
      <x:c r="F1598" t="str">
        <x:v>Activa</x:v>
      </x:c>
      <x:c r="G1598" t="str">
        <x:v>Anual</x:v>
      </x:c>
      <x:c r="H1598" t="n">
        <x:v>2</x:v>
      </x:c>
    </x:row>
    <x:row r="1599">
      <x:c r="A1599" t="str">
        <x:v>SUS-001598</x:v>
      </x:c>
      <x:c r="B1599" t="str">
        <x:v>USR-00817</x:v>
      </x:c>
      <x:c r="C1599" t="str">
        <x:v>Plus anual</x:v>
      </x:c>
      <x:c r="D1599" t="n">
        <x:v>46235</x:v>
      </x:c>
      <x:c r="E1599" t="n">
        <x:v>46266</x:v>
      </x:c>
      <x:c r="F1599" t="str">
        <x:v>Activa</x:v>
      </x:c>
      <x:c r="G1599" t="str">
        <x:v>Anual</x:v>
      </x:c>
      <x:c r="H1599" t="n">
        <x:v>2</x:v>
      </x:c>
    </x:row>
    <x:row r="1600">
      <x:c r="A1600" t="str">
        <x:v>SUS-001599</x:v>
      </x:c>
      <x:c r="B1600" t="str">
        <x:v>USR-00848</x:v>
      </x:c>
      <x:c r="C1600" t="str">
        <x:v>Plus anual</x:v>
      </x:c>
      <x:c r="D1600" t="n">
        <x:v>46235</x:v>
      </x:c>
      <x:c r="E1600" t="n">
        <x:v>46266</x:v>
      </x:c>
      <x:c r="F1600" t="str">
        <x:v>Activa</x:v>
      </x:c>
      <x:c r="G1600" t="str">
        <x:v>Anual</x:v>
      </x:c>
      <x:c r="H1600" t="n">
        <x:v>2</x:v>
      </x:c>
    </x:row>
    <x:row r="1601">
      <x:c r="A1601" t="str">
        <x:v>SUS-001600</x:v>
      </x:c>
      <x:c r="B1601" t="str">
        <x:v>USR-00849</x:v>
      </x:c>
      <x:c r="C1601" t="str">
        <x:v>Plus mensual</x:v>
      </x:c>
      <x:c r="D1601" t="n">
        <x:v>46235</x:v>
      </x:c>
      <x:c r="E1601" t="n">
        <x:v>46266</x:v>
      </x:c>
      <x:c r="F1601" t="str">
        <x:v>Activa</x:v>
      </x:c>
      <x:c r="G1601" t="str">
        <x:v>Mensual</x:v>
      </x:c>
      <x:c r="H1601" t="n">
        <x:v>2</x:v>
      </x:c>
    </x:row>
    <x:row r="1602">
      <x:c r="A1602" t="str">
        <x:v>SUS-001601</x:v>
      </x:c>
      <x:c r="B1602" t="str">
        <x:v>USR-00866</x:v>
      </x:c>
      <x:c r="C1602" t="str">
        <x:v>Plus mensual</x:v>
      </x:c>
      <x:c r="D1602" t="n">
        <x:v>46235</x:v>
      </x:c>
      <x:c r="E1602" t="n">
        <x:v>46266</x:v>
      </x:c>
      <x:c r="F1602" t="str">
        <x:v>Activa</x:v>
      </x:c>
      <x:c r="G1602" t="str">
        <x:v>Mensual</x:v>
      </x:c>
      <x:c r="H1602" t="n">
        <x:v>2</x:v>
      </x:c>
    </x:row>
    <x:row r="1603">
      <x:c r="A1603" t="str">
        <x:v>SUS-001602</x:v>
      </x:c>
      <x:c r="B1603" t="str">
        <x:v>USR-00909</x:v>
      </x:c>
      <x:c r="C1603" t="str">
        <x:v>Cero</x:v>
      </x:c>
      <x:c r="D1603" t="n">
        <x:v>46235</x:v>
      </x:c>
      <x:c r="E1603" t="n">
        <x:v>46266</x:v>
      </x:c>
      <x:c r="F1603" t="str">
        <x:v>Activa</x:v>
      </x:c>
      <x:c r="G1603" t="str">
        <x:v>Gratuita</x:v>
      </x:c>
      <x:c r="H1603" t="n">
        <x:v>2</x:v>
      </x:c>
    </x:row>
    <x:row r="1604">
      <x:c r="A1604" t="str">
        <x:v>SUS-001603</x:v>
      </x:c>
      <x:c r="B1604" t="str">
        <x:v>USR-00926</x:v>
      </x:c>
      <x:c r="C1604" t="str">
        <x:v>Cero</x:v>
      </x:c>
      <x:c r="D1604" t="n">
        <x:v>46235</x:v>
      </x:c>
      <x:c r="E1604" t="n">
        <x:v>46266</x:v>
      </x:c>
      <x:c r="F1604" t="str">
        <x:v>Activa</x:v>
      </x:c>
      <x:c r="G1604" t="str">
        <x:v>Gratuita</x:v>
      </x:c>
      <x:c r="H1604" t="n">
        <x:v>2</x:v>
      </x:c>
    </x:row>
    <x:row r="1605">
      <x:c r="A1605" t="str">
        <x:v>SUS-001604</x:v>
      </x:c>
      <x:c r="B1605" t="str">
        <x:v>USR-00951</x:v>
      </x:c>
      <x:c r="C1605" t="str">
        <x:v>Plus mensual</x:v>
      </x:c>
      <x:c r="D1605" t="n">
        <x:v>46235</x:v>
      </x:c>
      <x:c r="E1605" t="n">
        <x:v>46266</x:v>
      </x:c>
      <x:c r="F1605" t="str">
        <x:v>Activa</x:v>
      </x:c>
      <x:c r="G1605" t="str">
        <x:v>Mensual</x:v>
      </x:c>
      <x:c r="H1605" t="n">
        <x:v>2</x:v>
      </x:c>
    </x:row>
    <x:row r="1606">
      <x:c r="A1606" t="str">
        <x:v>SUS-001605</x:v>
      </x:c>
      <x:c r="B1606" t="str">
        <x:v>USR-00973</x:v>
      </x:c>
      <x:c r="C1606" t="str">
        <x:v>Plus mensual</x:v>
      </x:c>
      <x:c r="D1606" t="n">
        <x:v>46235</x:v>
      </x:c>
      <x:c r="E1606" t="n">
        <x:v>46266</x:v>
      </x:c>
      <x:c r="F1606" t="str">
        <x:v>Activa</x:v>
      </x:c>
      <x:c r="G1606" t="str">
        <x:v>Mensual</x:v>
      </x:c>
      <x:c r="H1606" t="n">
        <x:v>2</x:v>
      </x:c>
    </x:row>
    <x:row r="1607">
      <x:c r="A1607" t="str">
        <x:v>SUS-001606</x:v>
      </x:c>
      <x:c r="B1607" t="str">
        <x:v>USR-01024</x:v>
      </x:c>
      <x:c r="C1607" t="str">
        <x:v>Plus mensual</x:v>
      </x:c>
      <x:c r="D1607" t="n">
        <x:v>46235</x:v>
      </x:c>
      <x:c r="E1607" t="n">
        <x:v>46266</x:v>
      </x:c>
      <x:c r="F1607" t="str">
        <x:v>Activa</x:v>
      </x:c>
      <x:c r="G1607" t="str">
        <x:v>Mensual</x:v>
      </x:c>
      <x:c r="H1607" t="n">
        <x:v>2</x:v>
      </x:c>
    </x:row>
    <x:row r="1608">
      <x:c r="A1608" t="str">
        <x:v>SUS-001607</x:v>
      </x:c>
      <x:c r="B1608" t="str">
        <x:v>USR-01041</x:v>
      </x:c>
      <x:c r="C1608" t="str">
        <x:v>Plus mensual</x:v>
      </x:c>
      <x:c r="D1608" t="n">
        <x:v>46235</x:v>
      </x:c>
      <x:c r="E1608" t="n">
        <x:v>46266</x:v>
      </x:c>
      <x:c r="F1608" t="str">
        <x:v>Activa</x:v>
      </x:c>
      <x:c r="G1608" t="str">
        <x:v>Mensual</x:v>
      </x:c>
      <x:c r="H1608" t="n">
        <x:v>2</x:v>
      </x:c>
    </x:row>
    <x:row r="1609">
      <x:c r="A1609" t="str">
        <x:v>SUS-001608</x:v>
      </x:c>
      <x:c r="B1609" t="str">
        <x:v>USR-01061</x:v>
      </x:c>
      <x:c r="C1609" t="str">
        <x:v>Plus anual</x:v>
      </x:c>
      <x:c r="D1609" t="n">
        <x:v>46235</x:v>
      </x:c>
      <x:c r="E1609" t="n">
        <x:v>46266</x:v>
      </x:c>
      <x:c r="F1609" t="str">
        <x:v>Activa</x:v>
      </x:c>
      <x:c r="G1609" t="str">
        <x:v>Anual</x:v>
      </x:c>
      <x:c r="H1609" t="n">
        <x:v>2</x:v>
      </x:c>
    </x:row>
    <x:row r="1610">
      <x:c r="A1610" t="str">
        <x:v>SUS-001609</x:v>
      </x:c>
      <x:c r="B1610" t="str">
        <x:v>USR-01062</x:v>
      </x:c>
      <x:c r="C1610" t="str">
        <x:v>Cero</x:v>
      </x:c>
      <x:c r="D1610" t="n">
        <x:v>46235</x:v>
      </x:c>
      <x:c r="E1610" t="n">
        <x:v>46266</x:v>
      </x:c>
      <x:c r="F1610" t="str">
        <x:v>Activa</x:v>
      </x:c>
      <x:c r="G1610" t="str">
        <x:v>Gratuita</x:v>
      </x:c>
      <x:c r="H1610" t="n">
        <x:v>2</x:v>
      </x:c>
    </x:row>
    <x:row r="1611">
      <x:c r="A1611" t="str">
        <x:v>SUS-001610</x:v>
      </x:c>
      <x:c r="B1611" t="str">
        <x:v>USR-01063</x:v>
      </x:c>
      <x:c r="C1611" t="str">
        <x:v>Cero</x:v>
      </x:c>
      <x:c r="D1611" t="n">
        <x:v>46235</x:v>
      </x:c>
      <x:c r="E1611" t="n">
        <x:v>46266</x:v>
      </x:c>
      <x:c r="F1611" t="str">
        <x:v>Activa</x:v>
      </x:c>
      <x:c r="G1611" t="str">
        <x:v>Gratuita</x:v>
      </x:c>
      <x:c r="H1611" t="n">
        <x:v>2</x:v>
      </x:c>
    </x:row>
    <x:row r="1612">
      <x:c r="A1612" t="str">
        <x:v>SUS-001611</x:v>
      </x:c>
      <x:c r="B1612" t="str">
        <x:v>USR-01064</x:v>
      </x:c>
      <x:c r="C1612" t="str">
        <x:v>Cero</x:v>
      </x:c>
      <x:c r="D1612" t="n">
        <x:v>46235</x:v>
      </x:c>
      <x:c r="E1612" t="n">
        <x:v>46266</x:v>
      </x:c>
      <x:c r="F1612" t="str">
        <x:v>Activa</x:v>
      </x:c>
      <x:c r="G1612" t="str">
        <x:v>Gratuita</x:v>
      </x:c>
      <x:c r="H1612" t="n">
        <x:v>2</x:v>
      </x:c>
    </x:row>
    <x:row r="1613">
      <x:c r="A1613" t="str">
        <x:v>SUS-001612</x:v>
      </x:c>
      <x:c r="B1613" t="str">
        <x:v>USR-01065</x:v>
      </x:c>
      <x:c r="C1613" t="str">
        <x:v>Plus anual</x:v>
      </x:c>
      <x:c r="D1613" t="n">
        <x:v>46235</x:v>
      </x:c>
      <x:c r="E1613" t="n">
        <x:v>46266</x:v>
      </x:c>
      <x:c r="F1613" t="str">
        <x:v>Activa</x:v>
      </x:c>
      <x:c r="G1613" t="str">
        <x:v>Anual</x:v>
      </x:c>
      <x:c r="H1613" t="n">
        <x:v>2</x:v>
      </x:c>
    </x:row>
    <x:row r="1614">
      <x:c r="A1614" t="str">
        <x:v>SUS-001613</x:v>
      </x:c>
      <x:c r="B1614" t="str">
        <x:v>USR-01066</x:v>
      </x:c>
      <x:c r="C1614" t="str">
        <x:v>Plus mensual</x:v>
      </x:c>
      <x:c r="D1614" t="n">
        <x:v>46235</x:v>
      </x:c>
      <x:c r="E1614" t="n">
        <x:v>46266</x:v>
      </x:c>
      <x:c r="F1614" t="str">
        <x:v>Activa</x:v>
      </x:c>
      <x:c r="G1614" t="str">
        <x:v>Mensual</x:v>
      </x:c>
      <x:c r="H1614" t="n">
        <x:v>2</x:v>
      </x:c>
    </x:row>
    <x:row r="1615">
      <x:c r="A1615" t="str">
        <x:v>SUS-001614</x:v>
      </x:c>
      <x:c r="B1615" t="str">
        <x:v>USR-01067</x:v>
      </x:c>
      <x:c r="C1615" t="str">
        <x:v>Cero</x:v>
      </x:c>
      <x:c r="D1615" t="n">
        <x:v>46235</x:v>
      </x:c>
      <x:c r="E1615" t="n">
        <x:v>46266</x:v>
      </x:c>
      <x:c r="F1615" t="str">
        <x:v>Activa</x:v>
      </x:c>
      <x:c r="G1615" t="str">
        <x:v>Gratuita</x:v>
      </x:c>
      <x:c r="H1615" t="n">
        <x:v>2</x:v>
      </x:c>
    </x:row>
    <x:row r="1616">
      <x:c r="A1616" t="str">
        <x:v>SUS-001615</x:v>
      </x:c>
      <x:c r="B1616" t="str">
        <x:v>USR-01068</x:v>
      </x:c>
      <x:c r="C1616" t="str">
        <x:v>Cero</x:v>
      </x:c>
      <x:c r="D1616" t="n">
        <x:v>46235</x:v>
      </x:c>
      <x:c r="E1616" t="n">
        <x:v>46266</x:v>
      </x:c>
      <x:c r="F1616" t="str">
        <x:v>Activa</x:v>
      </x:c>
      <x:c r="G1616" t="str">
        <x:v>Gratuita</x:v>
      </x:c>
      <x:c r="H1616" t="n">
        <x:v>2</x:v>
      </x:c>
    </x:row>
    <x:row r="1617">
      <x:c r="A1617" t="str">
        <x:v>SUS-001616</x:v>
      </x:c>
      <x:c r="B1617" t="str">
        <x:v>USR-01069</x:v>
      </x:c>
      <x:c r="C1617" t="str">
        <x:v>Plus mensual</x:v>
      </x:c>
      <x:c r="D1617" t="n">
        <x:v>46235</x:v>
      </x:c>
      <x:c r="E1617" t="n">
        <x:v>46266</x:v>
      </x:c>
      <x:c r="F1617" t="str">
        <x:v>Activa</x:v>
      </x:c>
      <x:c r="G1617" t="str">
        <x:v>Mensual</x:v>
      </x:c>
      <x:c r="H1617" t="n">
        <x:v>2</x:v>
      </x:c>
    </x:row>
    <x:row r="1618">
      <x:c r="A1618" t="str">
        <x:v>SUS-001617</x:v>
      </x:c>
      <x:c r="B1618" t="str">
        <x:v>USR-01070</x:v>
      </x:c>
      <x:c r="C1618" t="str">
        <x:v>Cero</x:v>
      </x:c>
      <x:c r="D1618" t="n">
        <x:v>46235</x:v>
      </x:c>
      <x:c r="E1618" t="n">
        <x:v>46266</x:v>
      </x:c>
      <x:c r="F1618" t="str">
        <x:v>Activa</x:v>
      </x:c>
      <x:c r="G1618" t="str">
        <x:v>Gratuita</x:v>
      </x:c>
      <x:c r="H1618" t="n">
        <x:v>2</x:v>
      </x:c>
    </x:row>
    <x:row r="1619">
      <x:c r="A1619" t="str">
        <x:v>SUS-001618</x:v>
      </x:c>
      <x:c r="B1619" t="str">
        <x:v>USR-01071</x:v>
      </x:c>
      <x:c r="C1619" t="str">
        <x:v>Cero</x:v>
      </x:c>
      <x:c r="D1619" t="n">
        <x:v>46235</x:v>
      </x:c>
      <x:c r="E1619" t="n">
        <x:v>46266</x:v>
      </x:c>
      <x:c r="F1619" t="str">
        <x:v>Activa</x:v>
      </x:c>
      <x:c r="G1619" t="str">
        <x:v>Gratuita</x:v>
      </x:c>
      <x:c r="H1619" t="n">
        <x:v>2</x:v>
      </x:c>
    </x:row>
    <x:row r="1620">
      <x:c r="A1620" t="str">
        <x:v>SUS-001619</x:v>
      </x:c>
      <x:c r="B1620" t="str">
        <x:v>USR-01072</x:v>
      </x:c>
      <x:c r="C1620" t="str">
        <x:v>Plus mensual</x:v>
      </x:c>
      <x:c r="D1620" t="n">
        <x:v>46235</x:v>
      </x:c>
      <x:c r="E1620" t="n">
        <x:v>46266</x:v>
      </x:c>
      <x:c r="F1620" t="str">
        <x:v>Activa</x:v>
      </x:c>
      <x:c r="G1620" t="str">
        <x:v>Mensual</x:v>
      </x:c>
      <x:c r="H1620" t="n">
        <x:v>2</x:v>
      </x:c>
    </x:row>
    <x:row r="1621">
      <x:c r="A1621" t="str">
        <x:v>SUS-001620</x:v>
      </x:c>
      <x:c r="B1621" t="str">
        <x:v>USR-01073</x:v>
      </x:c>
      <x:c r="C1621" t="str">
        <x:v>Cero</x:v>
      </x:c>
      <x:c r="D1621" t="n">
        <x:v>46235</x:v>
      </x:c>
      <x:c r="E1621" t="n">
        <x:v>46266</x:v>
      </x:c>
      <x:c r="F1621" t="str">
        <x:v>Activa</x:v>
      </x:c>
      <x:c r="G1621" t="str">
        <x:v>Gratuita</x:v>
      </x:c>
      <x:c r="H1621" t="n">
        <x:v>2</x:v>
      </x:c>
    </x:row>
    <x:row r="1622">
      <x:c r="A1622" t="str">
        <x:v>SUS-001621</x:v>
      </x:c>
      <x:c r="B1622" t="str">
        <x:v>USR-01074</x:v>
      </x:c>
      <x:c r="C1622" t="str">
        <x:v>Cero</x:v>
      </x:c>
      <x:c r="D1622" t="n">
        <x:v>46235</x:v>
      </x:c>
      <x:c r="E1622" t="n">
        <x:v>46266</x:v>
      </x:c>
      <x:c r="F1622" t="str">
        <x:v>Activa</x:v>
      </x:c>
      <x:c r="G1622" t="str">
        <x:v>Gratuita</x:v>
      </x:c>
      <x:c r="H1622" t="n">
        <x:v>2</x:v>
      </x:c>
    </x:row>
    <x:row r="1623">
      <x:c r="A1623" t="str">
        <x:v>SUS-001622</x:v>
      </x:c>
      <x:c r="B1623" t="str">
        <x:v>USR-01075</x:v>
      </x:c>
      <x:c r="C1623" t="str">
        <x:v>Cero</x:v>
      </x:c>
      <x:c r="D1623" t="n">
        <x:v>46235</x:v>
      </x:c>
      <x:c r="E1623" t="n">
        <x:v>46266</x:v>
      </x:c>
      <x:c r="F1623" t="str">
        <x:v>Activa</x:v>
      </x:c>
      <x:c r="G1623" t="str">
        <x:v>Gratuita</x:v>
      </x:c>
      <x:c r="H1623" t="n">
        <x:v>2</x:v>
      </x:c>
    </x:row>
    <x:row r="1624">
      <x:c r="A1624" t="str">
        <x:v>SUS-001623</x:v>
      </x:c>
      <x:c r="B1624" t="str">
        <x:v>USR-01076</x:v>
      </x:c>
      <x:c r="C1624" t="str">
        <x:v>Cero</x:v>
      </x:c>
      <x:c r="D1624" t="n">
        <x:v>46235</x:v>
      </x:c>
      <x:c r="E1624" t="n">
        <x:v>46266</x:v>
      </x:c>
      <x:c r="F1624" t="str">
        <x:v>Activa</x:v>
      </x:c>
      <x:c r="G1624" t="str">
        <x:v>Gratuita</x:v>
      </x:c>
      <x:c r="H1624" t="n">
        <x:v>2</x:v>
      </x:c>
    </x:row>
    <x:row r="1625">
      <x:c r="A1625" t="str">
        <x:v>SUS-001624</x:v>
      </x:c>
      <x:c r="B1625" t="str">
        <x:v>USR-01077</x:v>
      </x:c>
      <x:c r="C1625" t="str">
        <x:v>Plus mensual</x:v>
      </x:c>
      <x:c r="D1625" t="n">
        <x:v>46235</x:v>
      </x:c>
      <x:c r="E1625" t="n">
        <x:v>46266</x:v>
      </x:c>
      <x:c r="F1625" t="str">
        <x:v>Activa</x:v>
      </x:c>
      <x:c r="G1625" t="str">
        <x:v>Mensual</x:v>
      </x:c>
      <x:c r="H1625" t="n">
        <x:v>2</x:v>
      </x:c>
    </x:row>
    <x:row r="1626">
      <x:c r="A1626" t="str">
        <x:v>SUS-001625</x:v>
      </x:c>
      <x:c r="B1626" t="str">
        <x:v>USR-01078</x:v>
      </x:c>
      <x:c r="C1626" t="str">
        <x:v>Cero</x:v>
      </x:c>
      <x:c r="D1626" t="n">
        <x:v>46235</x:v>
      </x:c>
      <x:c r="E1626" t="n">
        <x:v>46266</x:v>
      </x:c>
      <x:c r="F1626" t="str">
        <x:v>Activa</x:v>
      </x:c>
      <x:c r="G1626" t="str">
        <x:v>Gratuita</x:v>
      </x:c>
      <x:c r="H1626" t="n">
        <x:v>2</x:v>
      </x:c>
    </x:row>
    <x:row r="1627">
      <x:c r="A1627" t="str">
        <x:v>SUS-001626</x:v>
      </x:c>
      <x:c r="B1627" t="str">
        <x:v>USR-01079</x:v>
      </x:c>
      <x:c r="C1627" t="str">
        <x:v>Cero</x:v>
      </x:c>
      <x:c r="D1627" t="n">
        <x:v>46235</x:v>
      </x:c>
      <x:c r="E1627" t="n">
        <x:v>46266</x:v>
      </x:c>
      <x:c r="F1627" t="str">
        <x:v>Activa</x:v>
      </x:c>
      <x:c r="G1627" t="str">
        <x:v>Gratuita</x:v>
      </x:c>
      <x:c r="H1627" t="n">
        <x:v>2</x:v>
      </x:c>
    </x:row>
    <x:row r="1628">
      <x:c r="A1628" t="str">
        <x:v>SUS-001627</x:v>
      </x:c>
      <x:c r="B1628" t="str">
        <x:v>USR-01080</x:v>
      </x:c>
      <x:c r="C1628" t="str">
        <x:v>Cero</x:v>
      </x:c>
      <x:c r="D1628" t="n">
        <x:v>46235</x:v>
      </x:c>
      <x:c r="E1628" t="n">
        <x:v>46266</x:v>
      </x:c>
      <x:c r="F1628" t="str">
        <x:v>Activa</x:v>
      </x:c>
      <x:c r="G1628" t="str">
        <x:v>Gratuita</x:v>
      </x:c>
      <x:c r="H1628" t="n">
        <x:v>2</x:v>
      </x:c>
    </x:row>
    <x:row r="1629">
      <x:c r="A1629" t="str">
        <x:v>SUS-001628</x:v>
      </x:c>
      <x:c r="B1629" t="str">
        <x:v>USR-01081</x:v>
      </x:c>
      <x:c r="C1629" t="str">
        <x:v>Cero</x:v>
      </x:c>
      <x:c r="D1629" t="n">
        <x:v>46235</x:v>
      </x:c>
      <x:c r="E1629" t="n">
        <x:v>46235</x:v>
      </x:c>
      <x:c r="F1629" t="str">
        <x:v>Finalizada</x:v>
      </x:c>
      <x:c r="G1629" t="str">
        <x:v>Gratuita</x:v>
      </x:c>
      <x:c r="H1629" t="n">
        <x:v>1</x:v>
      </x:c>
    </x:row>
    <x:row r="1630">
      <x:c r="A1630" t="str">
        <x:v>SUS-001629</x:v>
      </x:c>
      <x:c r="B1630" t="str">
        <x:v>USR-01082</x:v>
      </x:c>
      <x:c r="C1630" t="str">
        <x:v>Plus mensual</x:v>
      </x:c>
      <x:c r="D1630" t="n">
        <x:v>46235</x:v>
      </x:c>
      <x:c r="E1630" t="n">
        <x:v>46266</x:v>
      </x:c>
      <x:c r="F1630" t="str">
        <x:v>Activa</x:v>
      </x:c>
      <x:c r="G1630" t="str">
        <x:v>Mensual</x:v>
      </x:c>
      <x:c r="H1630" t="n">
        <x:v>2</x:v>
      </x:c>
    </x:row>
    <x:row r="1631">
      <x:c r="A1631" t="str">
        <x:v>SUS-001630</x:v>
      </x:c>
      <x:c r="B1631" t="str">
        <x:v>USR-01083</x:v>
      </x:c>
      <x:c r="C1631" t="str">
        <x:v>Cero</x:v>
      </x:c>
      <x:c r="D1631" t="n">
        <x:v>46235</x:v>
      </x:c>
      <x:c r="E1631" t="n">
        <x:v>46266</x:v>
      </x:c>
      <x:c r="F1631" t="str">
        <x:v>Activa</x:v>
      </x:c>
      <x:c r="G1631" t="str">
        <x:v>Gratuita</x:v>
      </x:c>
      <x:c r="H1631" t="n">
        <x:v>2</x:v>
      </x:c>
    </x:row>
    <x:row r="1632">
      <x:c r="A1632" t="str">
        <x:v>SUS-001631</x:v>
      </x:c>
      <x:c r="B1632" t="str">
        <x:v>USR-01084</x:v>
      </x:c>
      <x:c r="C1632" t="str">
        <x:v>Cero</x:v>
      </x:c>
      <x:c r="D1632" t="n">
        <x:v>46235</x:v>
      </x:c>
      <x:c r="E1632" t="n">
        <x:v>46266</x:v>
      </x:c>
      <x:c r="F1632" t="str">
        <x:v>Activa</x:v>
      </x:c>
      <x:c r="G1632" t="str">
        <x:v>Gratuita</x:v>
      </x:c>
      <x:c r="H1632" t="n">
        <x:v>2</x:v>
      </x:c>
    </x:row>
    <x:row r="1633">
      <x:c r="A1633" t="str">
        <x:v>SUS-001632</x:v>
      </x:c>
      <x:c r="B1633" t="str">
        <x:v>USR-01085</x:v>
      </x:c>
      <x:c r="C1633" t="str">
        <x:v>Plus anual</x:v>
      </x:c>
      <x:c r="D1633" t="n">
        <x:v>46235</x:v>
      </x:c>
      <x:c r="E1633" t="n">
        <x:v>46266</x:v>
      </x:c>
      <x:c r="F1633" t="str">
        <x:v>Activa</x:v>
      </x:c>
      <x:c r="G1633" t="str">
        <x:v>Anual</x:v>
      </x:c>
      <x:c r="H1633" t="n">
        <x:v>2</x:v>
      </x:c>
    </x:row>
    <x:row r="1634">
      <x:c r="A1634" t="str">
        <x:v>SUS-001633</x:v>
      </x:c>
      <x:c r="B1634" t="str">
        <x:v>USR-01086</x:v>
      </x:c>
      <x:c r="C1634" t="str">
        <x:v>Plus anual</x:v>
      </x:c>
      <x:c r="D1634" t="n">
        <x:v>46235</x:v>
      </x:c>
      <x:c r="E1634" t="n">
        <x:v>46266</x:v>
      </x:c>
      <x:c r="F1634" t="str">
        <x:v>Activa</x:v>
      </x:c>
      <x:c r="G1634" t="str">
        <x:v>Anual</x:v>
      </x:c>
      <x:c r="H1634" t="n">
        <x:v>2</x:v>
      </x:c>
    </x:row>
    <x:row r="1635">
      <x:c r="A1635" t="str">
        <x:v>SUS-001634</x:v>
      </x:c>
      <x:c r="B1635" t="str">
        <x:v>USR-01087</x:v>
      </x:c>
      <x:c r="C1635" t="str">
        <x:v>Cero</x:v>
      </x:c>
      <x:c r="D1635" t="n">
        <x:v>46235</x:v>
      </x:c>
      <x:c r="E1635" t="n">
        <x:v>46266</x:v>
      </x:c>
      <x:c r="F1635" t="str">
        <x:v>Activa</x:v>
      </x:c>
      <x:c r="G1635" t="str">
        <x:v>Gratuita</x:v>
      </x:c>
      <x:c r="H1635" t="n">
        <x:v>2</x:v>
      </x:c>
    </x:row>
    <x:row r="1636">
      <x:c r="A1636" t="str">
        <x:v>SUS-001635</x:v>
      </x:c>
      <x:c r="B1636" t="str">
        <x:v>USR-01088</x:v>
      </x:c>
      <x:c r="C1636" t="str">
        <x:v>Cero</x:v>
      </x:c>
      <x:c r="D1636" t="n">
        <x:v>46235</x:v>
      </x:c>
      <x:c r="E1636" t="n">
        <x:v>46266</x:v>
      </x:c>
      <x:c r="F1636" t="str">
        <x:v>Activa</x:v>
      </x:c>
      <x:c r="G1636" t="str">
        <x:v>Gratuita</x:v>
      </x:c>
      <x:c r="H1636" t="n">
        <x:v>2</x:v>
      </x:c>
    </x:row>
    <x:row r="1637">
      <x:c r="A1637" t="str">
        <x:v>SUS-001636</x:v>
      </x:c>
      <x:c r="B1637" t="str">
        <x:v>USR-01089</x:v>
      </x:c>
      <x:c r="C1637" t="str">
        <x:v>Cero</x:v>
      </x:c>
      <x:c r="D1637" t="n">
        <x:v>46235</x:v>
      </x:c>
      <x:c r="E1637" t="n">
        <x:v>46266</x:v>
      </x:c>
      <x:c r="F1637" t="str">
        <x:v>Activa</x:v>
      </x:c>
      <x:c r="G1637" t="str">
        <x:v>Gratuita</x:v>
      </x:c>
      <x:c r="H1637" t="n">
        <x:v>2</x:v>
      </x:c>
    </x:row>
    <x:row r="1638">
      <x:c r="A1638" t="str">
        <x:v>SUS-001637</x:v>
      </x:c>
      <x:c r="B1638" t="str">
        <x:v>USR-01090</x:v>
      </x:c>
      <x:c r="C1638" t="str">
        <x:v>Cero</x:v>
      </x:c>
      <x:c r="D1638" t="n">
        <x:v>46235</x:v>
      </x:c>
      <x:c r="E1638" t="n">
        <x:v>46266</x:v>
      </x:c>
      <x:c r="F1638" t="str">
        <x:v>Activa</x:v>
      </x:c>
      <x:c r="G1638" t="str">
        <x:v>Gratuita</x:v>
      </x:c>
      <x:c r="H1638" t="n">
        <x:v>2</x:v>
      </x:c>
    </x:row>
    <x:row r="1639">
      <x:c r="A1639" t="str">
        <x:v>SUS-001638</x:v>
      </x:c>
      <x:c r="B1639" t="str">
        <x:v>USR-01091</x:v>
      </x:c>
      <x:c r="C1639" t="str">
        <x:v>Cero</x:v>
      </x:c>
      <x:c r="D1639" t="n">
        <x:v>46235</x:v>
      </x:c>
      <x:c r="E1639" t="n">
        <x:v>46266</x:v>
      </x:c>
      <x:c r="F1639" t="str">
        <x:v>Activa</x:v>
      </x:c>
      <x:c r="G1639" t="str">
        <x:v>Gratuita</x:v>
      </x:c>
      <x:c r="H1639" t="n">
        <x:v>2</x:v>
      </x:c>
    </x:row>
    <x:row r="1640">
      <x:c r="A1640" t="str">
        <x:v>SUS-001639</x:v>
      </x:c>
      <x:c r="B1640" t="str">
        <x:v>USR-01092</x:v>
      </x:c>
      <x:c r="C1640" t="str">
        <x:v>Cero</x:v>
      </x:c>
      <x:c r="D1640" t="n">
        <x:v>46235</x:v>
      </x:c>
      <x:c r="E1640" t="n">
        <x:v>46266</x:v>
      </x:c>
      <x:c r="F1640" t="str">
        <x:v>Activa</x:v>
      </x:c>
      <x:c r="G1640" t="str">
        <x:v>Gratuita</x:v>
      </x:c>
      <x:c r="H1640" t="n">
        <x:v>2</x:v>
      </x:c>
    </x:row>
    <x:row r="1641">
      <x:c r="A1641" t="str">
        <x:v>SUS-001640</x:v>
      </x:c>
      <x:c r="B1641" t="str">
        <x:v>USR-01093</x:v>
      </x:c>
      <x:c r="C1641" t="str">
        <x:v>Plus mensual</x:v>
      </x:c>
      <x:c r="D1641" t="n">
        <x:v>46235</x:v>
      </x:c>
      <x:c r="E1641" t="n">
        <x:v>46266</x:v>
      </x:c>
      <x:c r="F1641" t="str">
        <x:v>Activa</x:v>
      </x:c>
      <x:c r="G1641" t="str">
        <x:v>Mensual</x:v>
      </x:c>
      <x:c r="H1641" t="n">
        <x:v>2</x:v>
      </x:c>
    </x:row>
    <x:row r="1642">
      <x:c r="A1642" t="str">
        <x:v>SUS-001641</x:v>
      </x:c>
      <x:c r="B1642" t="str">
        <x:v>USR-01094</x:v>
      </x:c>
      <x:c r="C1642" t="str">
        <x:v>Cero</x:v>
      </x:c>
      <x:c r="D1642" t="n">
        <x:v>46235</x:v>
      </x:c>
      <x:c r="E1642" t="n">
        <x:v>46266</x:v>
      </x:c>
      <x:c r="F1642" t="str">
        <x:v>Activa</x:v>
      </x:c>
      <x:c r="G1642" t="str">
        <x:v>Gratuita</x:v>
      </x:c>
      <x:c r="H1642" t="n">
        <x:v>2</x:v>
      </x:c>
    </x:row>
    <x:row r="1643">
      <x:c r="A1643" t="str">
        <x:v>SUS-001642</x:v>
      </x:c>
      <x:c r="B1643" t="str">
        <x:v>USR-01095</x:v>
      </x:c>
      <x:c r="C1643" t="str">
        <x:v>Cero</x:v>
      </x:c>
      <x:c r="D1643" t="n">
        <x:v>46235</x:v>
      </x:c>
      <x:c r="E1643" t="n">
        <x:v>46266</x:v>
      </x:c>
      <x:c r="F1643" t="str">
        <x:v>Activa</x:v>
      </x:c>
      <x:c r="G1643" t="str">
        <x:v>Gratuita</x:v>
      </x:c>
      <x:c r="H1643" t="n">
        <x:v>2</x:v>
      </x:c>
    </x:row>
    <x:row r="1644">
      <x:c r="A1644" t="str">
        <x:v>SUS-001643</x:v>
      </x:c>
      <x:c r="B1644" t="str">
        <x:v>USR-01096</x:v>
      </x:c>
      <x:c r="C1644" t="str">
        <x:v>Cero</x:v>
      </x:c>
      <x:c r="D1644" t="n">
        <x:v>46235</x:v>
      </x:c>
      <x:c r="E1644" t="n">
        <x:v>46266</x:v>
      </x:c>
      <x:c r="F1644" t="str">
        <x:v>Activa</x:v>
      </x:c>
      <x:c r="G1644" t="str">
        <x:v>Gratuita</x:v>
      </x:c>
      <x:c r="H1644" t="n">
        <x:v>2</x:v>
      </x:c>
    </x:row>
    <x:row r="1645">
      <x:c r="A1645" t="str">
        <x:v>SUS-001644</x:v>
      </x:c>
      <x:c r="B1645" t="str">
        <x:v>USR-01097</x:v>
      </x:c>
      <x:c r="C1645" t="str">
        <x:v>Cero</x:v>
      </x:c>
      <x:c r="D1645" t="n">
        <x:v>46235</x:v>
      </x:c>
      <x:c r="E1645" t="n">
        <x:v>46266</x:v>
      </x:c>
      <x:c r="F1645" t="str">
        <x:v>Activa</x:v>
      </x:c>
      <x:c r="G1645" t="str">
        <x:v>Gratuita</x:v>
      </x:c>
      <x:c r="H1645" t="n">
        <x:v>2</x:v>
      </x:c>
    </x:row>
    <x:row r="1646">
      <x:c r="A1646" t="str">
        <x:v>SUS-001645</x:v>
      </x:c>
      <x:c r="B1646" t="str">
        <x:v>USR-01098</x:v>
      </x:c>
      <x:c r="C1646" t="str">
        <x:v>Cero</x:v>
      </x:c>
      <x:c r="D1646" t="n">
        <x:v>46235</x:v>
      </x:c>
      <x:c r="E1646" t="n">
        <x:v>46266</x:v>
      </x:c>
      <x:c r="F1646" t="str">
        <x:v>Activa</x:v>
      </x:c>
      <x:c r="G1646" t="str">
        <x:v>Gratuita</x:v>
      </x:c>
      <x:c r="H1646" t="n">
        <x:v>2</x:v>
      </x:c>
    </x:row>
    <x:row r="1647">
      <x:c r="A1647" t="str">
        <x:v>SUS-001646</x:v>
      </x:c>
      <x:c r="B1647" t="str">
        <x:v>USR-01099</x:v>
      </x:c>
      <x:c r="C1647" t="str">
        <x:v>Cero</x:v>
      </x:c>
      <x:c r="D1647" t="n">
        <x:v>46235</x:v>
      </x:c>
      <x:c r="E1647" t="n">
        <x:v>46266</x:v>
      </x:c>
      <x:c r="F1647" t="str">
        <x:v>Activa</x:v>
      </x:c>
      <x:c r="G1647" t="str">
        <x:v>Gratuita</x:v>
      </x:c>
      <x:c r="H1647" t="n">
        <x:v>2</x:v>
      </x:c>
    </x:row>
    <x:row r="1648">
      <x:c r="A1648" t="str">
        <x:v>SUS-001647</x:v>
      </x:c>
      <x:c r="B1648" t="str">
        <x:v>USR-01100</x:v>
      </x:c>
      <x:c r="C1648" t="str">
        <x:v>Cero</x:v>
      </x:c>
      <x:c r="D1648" t="n">
        <x:v>46235</x:v>
      </x:c>
      <x:c r="E1648" t="n">
        <x:v>46266</x:v>
      </x:c>
      <x:c r="F1648" t="str">
        <x:v>Activa</x:v>
      </x:c>
      <x:c r="G1648" t="str">
        <x:v>Gratuita</x:v>
      </x:c>
      <x:c r="H1648" t="n">
        <x:v>2</x:v>
      </x:c>
    </x:row>
    <x:row r="1649">
      <x:c r="A1649" t="str">
        <x:v>SUS-001648</x:v>
      </x:c>
      <x:c r="B1649" t="str">
        <x:v>USR-01101</x:v>
      </x:c>
      <x:c r="C1649" t="str">
        <x:v>Cero</x:v>
      </x:c>
      <x:c r="D1649" t="n">
        <x:v>46235</x:v>
      </x:c>
      <x:c r="E1649" t="n">
        <x:v>46266</x:v>
      </x:c>
      <x:c r="F1649" t="str">
        <x:v>Activa</x:v>
      </x:c>
      <x:c r="G1649" t="str">
        <x:v>Gratuita</x:v>
      </x:c>
      <x:c r="H1649" t="n">
        <x:v>2</x:v>
      </x:c>
    </x:row>
    <x:row r="1650">
      <x:c r="A1650" t="str">
        <x:v>SUS-001649</x:v>
      </x:c>
      <x:c r="B1650" t="str">
        <x:v>USR-01102</x:v>
      </x:c>
      <x:c r="C1650" t="str">
        <x:v>Cero</x:v>
      </x:c>
      <x:c r="D1650" t="n">
        <x:v>46235</x:v>
      </x:c>
      <x:c r="E1650" t="n">
        <x:v>46266</x:v>
      </x:c>
      <x:c r="F1650" t="str">
        <x:v>Activa</x:v>
      </x:c>
      <x:c r="G1650" t="str">
        <x:v>Gratuita</x:v>
      </x:c>
      <x:c r="H1650" t="n">
        <x:v>2</x:v>
      </x:c>
    </x:row>
    <x:row r="1651">
      <x:c r="A1651" t="str">
        <x:v>SUS-001650</x:v>
      </x:c>
      <x:c r="B1651" t="str">
        <x:v>USR-01103</x:v>
      </x:c>
      <x:c r="C1651" t="str">
        <x:v>Cero</x:v>
      </x:c>
      <x:c r="D1651" t="n">
        <x:v>46235</x:v>
      </x:c>
      <x:c r="E1651" t="n">
        <x:v>46266</x:v>
      </x:c>
      <x:c r="F1651" t="str">
        <x:v>Activa</x:v>
      </x:c>
      <x:c r="G1651" t="str">
        <x:v>Gratuita</x:v>
      </x:c>
      <x:c r="H1651" t="n">
        <x:v>2</x:v>
      </x:c>
    </x:row>
    <x:row r="1652">
      <x:c r="A1652" t="str">
        <x:v>SUS-001651</x:v>
      </x:c>
      <x:c r="B1652" t="str">
        <x:v>USR-01104</x:v>
      </x:c>
      <x:c r="C1652" t="str">
        <x:v>Plus anual</x:v>
      </x:c>
      <x:c r="D1652" t="n">
        <x:v>46235</x:v>
      </x:c>
      <x:c r="E1652" t="n">
        <x:v>46266</x:v>
      </x:c>
      <x:c r="F1652" t="str">
        <x:v>Activa</x:v>
      </x:c>
      <x:c r="G1652" t="str">
        <x:v>Anual</x:v>
      </x:c>
      <x:c r="H1652" t="n">
        <x:v>2</x:v>
      </x:c>
    </x:row>
    <x:row r="1653">
      <x:c r="A1653" t="str">
        <x:v>SUS-001652</x:v>
      </x:c>
      <x:c r="B1653" t="str">
        <x:v>USR-01105</x:v>
      </x:c>
      <x:c r="C1653" t="str">
        <x:v>Plus mensual</x:v>
      </x:c>
      <x:c r="D1653" t="n">
        <x:v>46235</x:v>
      </x:c>
      <x:c r="E1653" t="n">
        <x:v>46266</x:v>
      </x:c>
      <x:c r="F1653" t="str">
        <x:v>Activa</x:v>
      </x:c>
      <x:c r="G1653" t="str">
        <x:v>Mensual</x:v>
      </x:c>
      <x:c r="H1653" t="n">
        <x:v>2</x:v>
      </x:c>
    </x:row>
    <x:row r="1654">
      <x:c r="A1654" t="str">
        <x:v>SUS-001653</x:v>
      </x:c>
      <x:c r="B1654" t="str">
        <x:v>USR-01106</x:v>
      </x:c>
      <x:c r="C1654" t="str">
        <x:v>Plus mensual</x:v>
      </x:c>
      <x:c r="D1654" t="n">
        <x:v>46235</x:v>
      </x:c>
      <x:c r="E1654" t="n">
        <x:v>46266</x:v>
      </x:c>
      <x:c r="F1654" t="str">
        <x:v>Activa</x:v>
      </x:c>
      <x:c r="G1654" t="str">
        <x:v>Mensual</x:v>
      </x:c>
      <x:c r="H1654" t="n">
        <x:v>2</x:v>
      </x:c>
    </x:row>
    <x:row r="1655">
      <x:c r="A1655" t="str">
        <x:v>SUS-001654</x:v>
      </x:c>
      <x:c r="B1655" t="str">
        <x:v>USR-01107</x:v>
      </x:c>
      <x:c r="C1655" t="str">
        <x:v>Cero</x:v>
      </x:c>
      <x:c r="D1655" t="n">
        <x:v>46235</x:v>
      </x:c>
      <x:c r="E1655" t="n">
        <x:v>46266</x:v>
      </x:c>
      <x:c r="F1655" t="str">
        <x:v>Activa</x:v>
      </x:c>
      <x:c r="G1655" t="str">
        <x:v>Gratuita</x:v>
      </x:c>
      <x:c r="H1655" t="n">
        <x:v>2</x:v>
      </x:c>
    </x:row>
    <x:row r="1656">
      <x:c r="A1656" t="str">
        <x:v>SUS-001655</x:v>
      </x:c>
      <x:c r="B1656" t="str">
        <x:v>USR-01108</x:v>
      </x:c>
      <x:c r="C1656" t="str">
        <x:v>Cero</x:v>
      </x:c>
      <x:c r="D1656" t="n">
        <x:v>46235</x:v>
      </x:c>
      <x:c r="E1656" t="n">
        <x:v>46266</x:v>
      </x:c>
      <x:c r="F1656" t="str">
        <x:v>Activa</x:v>
      </x:c>
      <x:c r="G1656" t="str">
        <x:v>Gratuita</x:v>
      </x:c>
      <x:c r="H1656" t="n">
        <x:v>2</x:v>
      </x:c>
    </x:row>
    <x:row r="1657">
      <x:c r="A1657" t="str">
        <x:v>SUS-001656</x:v>
      </x:c>
      <x:c r="B1657" t="str">
        <x:v>USR-01109</x:v>
      </x:c>
      <x:c r="C1657" t="str">
        <x:v>Cero</x:v>
      </x:c>
      <x:c r="D1657" t="n">
        <x:v>46235</x:v>
      </x:c>
      <x:c r="E1657" t="n">
        <x:v>46266</x:v>
      </x:c>
      <x:c r="F1657" t="str">
        <x:v>Activa</x:v>
      </x:c>
      <x:c r="G1657" t="str">
        <x:v>Gratuita</x:v>
      </x:c>
      <x:c r="H1657" t="n">
        <x:v>2</x:v>
      </x:c>
    </x:row>
    <x:row r="1658">
      <x:c r="A1658" t="str">
        <x:v>SUS-001657</x:v>
      </x:c>
      <x:c r="B1658" t="str">
        <x:v>USR-01110</x:v>
      </x:c>
      <x:c r="C1658" t="str">
        <x:v>Cero</x:v>
      </x:c>
      <x:c r="D1658" t="n">
        <x:v>46235</x:v>
      </x:c>
      <x:c r="E1658" t="n">
        <x:v>46266</x:v>
      </x:c>
      <x:c r="F1658" t="str">
        <x:v>Activa</x:v>
      </x:c>
      <x:c r="G1658" t="str">
        <x:v>Gratuita</x:v>
      </x:c>
      <x:c r="H1658" t="n">
        <x:v>2</x:v>
      </x:c>
    </x:row>
    <x:row r="1659">
      <x:c r="A1659" t="str">
        <x:v>SUS-001658</x:v>
      </x:c>
      <x:c r="B1659" t="str">
        <x:v>USR-01111</x:v>
      </x:c>
      <x:c r="C1659" t="str">
        <x:v>Cero</x:v>
      </x:c>
      <x:c r="D1659" t="n">
        <x:v>46235</x:v>
      </x:c>
      <x:c r="E1659" t="n">
        <x:v>46266</x:v>
      </x:c>
      <x:c r="F1659" t="str">
        <x:v>Activa</x:v>
      </x:c>
      <x:c r="G1659" t="str">
        <x:v>Gratuita</x:v>
      </x:c>
      <x:c r="H1659" t="n">
        <x:v>2</x:v>
      </x:c>
    </x:row>
    <x:row r="1660">
      <x:c r="A1660" t="str">
        <x:v>SUS-001659</x:v>
      </x:c>
      <x:c r="B1660" t="str">
        <x:v>USR-01112</x:v>
      </x:c>
      <x:c r="C1660" t="str">
        <x:v>Cero</x:v>
      </x:c>
      <x:c r="D1660" t="n">
        <x:v>46235</x:v>
      </x:c>
      <x:c r="E1660" t="n">
        <x:v>46266</x:v>
      </x:c>
      <x:c r="F1660" t="str">
        <x:v>Activa</x:v>
      </x:c>
      <x:c r="G1660" t="str">
        <x:v>Gratuita</x:v>
      </x:c>
      <x:c r="H1660" t="n">
        <x:v>2</x:v>
      </x:c>
    </x:row>
    <x:row r="1661">
      <x:c r="A1661" t="str">
        <x:v>SUS-001660</x:v>
      </x:c>
      <x:c r="B1661" t="str">
        <x:v>USR-01113</x:v>
      </x:c>
      <x:c r="C1661" t="str">
        <x:v>Cero</x:v>
      </x:c>
      <x:c r="D1661" t="n">
        <x:v>46235</x:v>
      </x:c>
      <x:c r="E1661" t="n">
        <x:v>46266</x:v>
      </x:c>
      <x:c r="F1661" t="str">
        <x:v>Activa</x:v>
      </x:c>
      <x:c r="G1661" t="str">
        <x:v>Gratuita</x:v>
      </x:c>
      <x:c r="H1661" t="n">
        <x:v>2</x:v>
      </x:c>
    </x:row>
    <x:row r="1662">
      <x:c r="A1662" t="str">
        <x:v>SUS-001661</x:v>
      </x:c>
      <x:c r="B1662" t="str">
        <x:v>USR-01114</x:v>
      </x:c>
      <x:c r="C1662" t="str">
        <x:v>Cero</x:v>
      </x:c>
      <x:c r="D1662" t="n">
        <x:v>46235</x:v>
      </x:c>
      <x:c r="E1662" t="n">
        <x:v>46266</x:v>
      </x:c>
      <x:c r="F1662" t="str">
        <x:v>Activa</x:v>
      </x:c>
      <x:c r="G1662" t="str">
        <x:v>Gratuita</x:v>
      </x:c>
      <x:c r="H1662" t="n">
        <x:v>2</x:v>
      </x:c>
    </x:row>
    <x:row r="1663">
      <x:c r="A1663" t="str">
        <x:v>SUS-001662</x:v>
      </x:c>
      <x:c r="B1663" t="str">
        <x:v>USR-01115</x:v>
      </x:c>
      <x:c r="C1663" t="str">
        <x:v>Plus mensual</x:v>
      </x:c>
      <x:c r="D1663" t="n">
        <x:v>46235</x:v>
      </x:c>
      <x:c r="E1663" t="n">
        <x:v>46266</x:v>
      </x:c>
      <x:c r="F1663" t="str">
        <x:v>Activa</x:v>
      </x:c>
      <x:c r="G1663" t="str">
        <x:v>Mensual</x:v>
      </x:c>
      <x:c r="H1663" t="n">
        <x:v>2</x:v>
      </x:c>
    </x:row>
    <x:row r="1664">
      <x:c r="A1664" t="str">
        <x:v>SUS-001663</x:v>
      </x:c>
      <x:c r="B1664" t="str">
        <x:v>USR-01116</x:v>
      </x:c>
      <x:c r="C1664" t="str">
        <x:v>Cero</x:v>
      </x:c>
      <x:c r="D1664" t="n">
        <x:v>46235</x:v>
      </x:c>
      <x:c r="E1664" t="n">
        <x:v>46266</x:v>
      </x:c>
      <x:c r="F1664" t="str">
        <x:v>Activa</x:v>
      </x:c>
      <x:c r="G1664" t="str">
        <x:v>Gratuita</x:v>
      </x:c>
      <x:c r="H1664" t="n">
        <x:v>2</x:v>
      </x:c>
    </x:row>
    <x:row r="1665">
      <x:c r="A1665" t="str">
        <x:v>SUS-001664</x:v>
      </x:c>
      <x:c r="B1665" t="str">
        <x:v>USR-01117</x:v>
      </x:c>
      <x:c r="C1665" t="str">
        <x:v>Plus mensual</x:v>
      </x:c>
      <x:c r="D1665" t="n">
        <x:v>46235</x:v>
      </x:c>
      <x:c r="E1665" t="n">
        <x:v>46266</x:v>
      </x:c>
      <x:c r="F1665" t="str">
        <x:v>Activa</x:v>
      </x:c>
      <x:c r="G1665" t="str">
        <x:v>Mensual</x:v>
      </x:c>
      <x:c r="H1665" t="n">
        <x:v>2</x:v>
      </x:c>
    </x:row>
    <x:row r="1666">
      <x:c r="A1666" t="str">
        <x:v>SUS-001665</x:v>
      </x:c>
      <x:c r="B1666" t="str">
        <x:v>USR-01118</x:v>
      </x:c>
      <x:c r="C1666" t="str">
        <x:v>Cero</x:v>
      </x:c>
      <x:c r="D1666" t="n">
        <x:v>46235</x:v>
      </x:c>
      <x:c r="E1666" t="n">
        <x:v>46266</x:v>
      </x:c>
      <x:c r="F1666" t="str">
        <x:v>Activa</x:v>
      </x:c>
      <x:c r="G1666" t="str">
        <x:v>Gratuita</x:v>
      </x:c>
      <x:c r="H1666" t="n">
        <x:v>2</x:v>
      </x:c>
    </x:row>
    <x:row r="1667">
      <x:c r="A1667" t="str">
        <x:v>SUS-001666</x:v>
      </x:c>
      <x:c r="B1667" t="str">
        <x:v>USR-01119</x:v>
      </x:c>
      <x:c r="C1667" t="str">
        <x:v>Cero</x:v>
      </x:c>
      <x:c r="D1667" t="n">
        <x:v>46235</x:v>
      </x:c>
      <x:c r="E1667" t="n">
        <x:v>46266</x:v>
      </x:c>
      <x:c r="F1667" t="str">
        <x:v>Activa</x:v>
      </x:c>
      <x:c r="G1667" t="str">
        <x:v>Gratuita</x:v>
      </x:c>
      <x:c r="H1667" t="n">
        <x:v>2</x:v>
      </x:c>
    </x:row>
    <x:row r="1668">
      <x:c r="A1668" t="str">
        <x:v>SUS-001667</x:v>
      </x:c>
      <x:c r="B1668" t="str">
        <x:v>USR-01120</x:v>
      </x:c>
      <x:c r="C1668" t="str">
        <x:v>Cero</x:v>
      </x:c>
      <x:c r="D1668" t="n">
        <x:v>46235</x:v>
      </x:c>
      <x:c r="E1668" t="n">
        <x:v>46266</x:v>
      </x:c>
      <x:c r="F1668" t="str">
        <x:v>Activa</x:v>
      </x:c>
      <x:c r="G1668" t="str">
        <x:v>Gratuita</x:v>
      </x:c>
      <x:c r="H1668" t="n">
        <x:v>2</x:v>
      </x:c>
    </x:row>
    <x:row r="1669">
      <x:c r="A1669" t="str">
        <x:v>SUS-001668</x:v>
      </x:c>
      <x:c r="B1669" t="str">
        <x:v>USR-01121</x:v>
      </x:c>
      <x:c r="C1669" t="str">
        <x:v>Plus mensual</x:v>
      </x:c>
      <x:c r="D1669" t="n">
        <x:v>46235</x:v>
      </x:c>
      <x:c r="E1669" t="n">
        <x:v>46266</x:v>
      </x:c>
      <x:c r="F1669" t="str">
        <x:v>Activa</x:v>
      </x:c>
      <x:c r="G1669" t="str">
        <x:v>Mensual</x:v>
      </x:c>
      <x:c r="H1669" t="n">
        <x:v>2</x:v>
      </x:c>
    </x:row>
    <x:row r="1670">
      <x:c r="A1670" t="str">
        <x:v>SUS-001669</x:v>
      </x:c>
      <x:c r="B1670" t="str">
        <x:v>USR-01122</x:v>
      </x:c>
      <x:c r="C1670" t="str">
        <x:v>Cero</x:v>
      </x:c>
      <x:c r="D1670" t="n">
        <x:v>46235</x:v>
      </x:c>
      <x:c r="E1670" t="n">
        <x:v>46266</x:v>
      </x:c>
      <x:c r="F1670" t="str">
        <x:v>Activa</x:v>
      </x:c>
      <x:c r="G1670" t="str">
        <x:v>Gratuita</x:v>
      </x:c>
      <x:c r="H1670" t="n">
        <x:v>2</x:v>
      </x:c>
    </x:row>
    <x:row r="1671">
      <x:c r="A1671" t="str">
        <x:v>SUS-001670</x:v>
      </x:c>
      <x:c r="B1671" t="str">
        <x:v>USR-01123</x:v>
      </x:c>
      <x:c r="C1671" t="str">
        <x:v>Cero</x:v>
      </x:c>
      <x:c r="D1671" t="n">
        <x:v>46235</x:v>
      </x:c>
      <x:c r="E1671" t="n">
        <x:v>46266</x:v>
      </x:c>
      <x:c r="F1671" t="str">
        <x:v>Activa</x:v>
      </x:c>
      <x:c r="G1671" t="str">
        <x:v>Gratuita</x:v>
      </x:c>
      <x:c r="H1671" t="n">
        <x:v>2</x:v>
      </x:c>
    </x:row>
    <x:row r="1672">
      <x:c r="A1672" t="str">
        <x:v>SUS-001671</x:v>
      </x:c>
      <x:c r="B1672" t="str">
        <x:v>USR-01124</x:v>
      </x:c>
      <x:c r="C1672" t="str">
        <x:v>Cero</x:v>
      </x:c>
      <x:c r="D1672" t="n">
        <x:v>46235</x:v>
      </x:c>
      <x:c r="E1672" t="n">
        <x:v>46266</x:v>
      </x:c>
      <x:c r="F1672" t="str">
        <x:v>Activa</x:v>
      </x:c>
      <x:c r="G1672" t="str">
        <x:v>Gratuita</x:v>
      </x:c>
      <x:c r="H1672" t="n">
        <x:v>2</x:v>
      </x:c>
    </x:row>
    <x:row r="1673">
      <x:c r="A1673" t="str">
        <x:v>SUS-001672</x:v>
      </x:c>
      <x:c r="B1673" t="str">
        <x:v>USR-01125</x:v>
      </x:c>
      <x:c r="C1673" t="str">
        <x:v>Cero</x:v>
      </x:c>
      <x:c r="D1673" t="n">
        <x:v>46235</x:v>
      </x:c>
      <x:c r="E1673" t="n">
        <x:v>46266</x:v>
      </x:c>
      <x:c r="F1673" t="str">
        <x:v>Activa</x:v>
      </x:c>
      <x:c r="G1673" t="str">
        <x:v>Gratuita</x:v>
      </x:c>
      <x:c r="H1673" t="n">
        <x:v>2</x:v>
      </x:c>
    </x:row>
    <x:row r="1674">
      <x:c r="A1674" t="str">
        <x:v>SUS-001673</x:v>
      </x:c>
      <x:c r="B1674" t="str">
        <x:v>USR-01126</x:v>
      </x:c>
      <x:c r="C1674" t="str">
        <x:v>Plus mensual</x:v>
      </x:c>
      <x:c r="D1674" t="n">
        <x:v>46235</x:v>
      </x:c>
      <x:c r="E1674" t="n">
        <x:v>46266</x:v>
      </x:c>
      <x:c r="F1674" t="str">
        <x:v>Activa</x:v>
      </x:c>
      <x:c r="G1674" t="str">
        <x:v>Mensual</x:v>
      </x:c>
      <x:c r="H1674" t="n">
        <x:v>2</x:v>
      </x:c>
    </x:row>
    <x:row r="1675">
      <x:c r="A1675" t="str">
        <x:v>SUS-001674</x:v>
      </x:c>
      <x:c r="B1675" t="str">
        <x:v>USR-01127</x:v>
      </x:c>
      <x:c r="C1675" t="str">
        <x:v>Cero</x:v>
      </x:c>
      <x:c r="D1675" t="n">
        <x:v>46235</x:v>
      </x:c>
      <x:c r="E1675" t="n">
        <x:v>46266</x:v>
      </x:c>
      <x:c r="F1675" t="str">
        <x:v>Activa</x:v>
      </x:c>
      <x:c r="G1675" t="str">
        <x:v>Gratuita</x:v>
      </x:c>
      <x:c r="H1675" t="n">
        <x:v>2</x:v>
      </x:c>
    </x:row>
    <x:row r="1676">
      <x:c r="A1676" t="str">
        <x:v>SUS-001675</x:v>
      </x:c>
      <x:c r="B1676" t="str">
        <x:v>USR-01128</x:v>
      </x:c>
      <x:c r="C1676" t="str">
        <x:v>Cero</x:v>
      </x:c>
      <x:c r="D1676" t="n">
        <x:v>46235</x:v>
      </x:c>
      <x:c r="E1676" t="n">
        <x:v>46266</x:v>
      </x:c>
      <x:c r="F1676" t="str">
        <x:v>Activa</x:v>
      </x:c>
      <x:c r="G1676" t="str">
        <x:v>Gratuita</x:v>
      </x:c>
      <x:c r="H1676" t="n">
        <x:v>2</x:v>
      </x:c>
    </x:row>
    <x:row r="1677">
      <x:c r="A1677" t="str">
        <x:v>SUS-001676</x:v>
      </x:c>
      <x:c r="B1677" t="str">
        <x:v>USR-01129</x:v>
      </x:c>
      <x:c r="C1677" t="str">
        <x:v>Cero</x:v>
      </x:c>
      <x:c r="D1677" t="n">
        <x:v>46235</x:v>
      </x:c>
      <x:c r="E1677" t="n">
        <x:v>46266</x:v>
      </x:c>
      <x:c r="F1677" t="str">
        <x:v>Activa</x:v>
      </x:c>
      <x:c r="G1677" t="str">
        <x:v>Gratuita</x:v>
      </x:c>
      <x:c r="H1677" t="n">
        <x:v>2</x:v>
      </x:c>
    </x:row>
    <x:row r="1678">
      <x:c r="A1678" t="str">
        <x:v>SUS-001677</x:v>
      </x:c>
      <x:c r="B1678" t="str">
        <x:v>USR-01130</x:v>
      </x:c>
      <x:c r="C1678" t="str">
        <x:v>Cero</x:v>
      </x:c>
      <x:c r="D1678" t="n">
        <x:v>46235</x:v>
      </x:c>
      <x:c r="E1678" t="n">
        <x:v>46266</x:v>
      </x:c>
      <x:c r="F1678" t="str">
        <x:v>Activa</x:v>
      </x:c>
      <x:c r="G1678" t="str">
        <x:v>Gratuita</x:v>
      </x:c>
      <x:c r="H1678" t="n">
        <x:v>2</x:v>
      </x:c>
    </x:row>
    <x:row r="1679">
      <x:c r="A1679" t="str">
        <x:v>SUS-001678</x:v>
      </x:c>
      <x:c r="B1679" t="str">
        <x:v>USR-01131</x:v>
      </x:c>
      <x:c r="C1679" t="str">
        <x:v>Cero</x:v>
      </x:c>
      <x:c r="D1679" t="n">
        <x:v>46235</x:v>
      </x:c>
      <x:c r="E1679" t="n">
        <x:v>46266</x:v>
      </x:c>
      <x:c r="F1679" t="str">
        <x:v>Activa</x:v>
      </x:c>
      <x:c r="G1679" t="str">
        <x:v>Gratuita</x:v>
      </x:c>
      <x:c r="H1679" t="n">
        <x:v>2</x:v>
      </x:c>
    </x:row>
    <x:row r="1680">
      <x:c r="A1680" t="str">
        <x:v>SUS-001679</x:v>
      </x:c>
      <x:c r="B1680" t="str">
        <x:v>USR-01132</x:v>
      </x:c>
      <x:c r="C1680" t="str">
        <x:v>Cero</x:v>
      </x:c>
      <x:c r="D1680" t="n">
        <x:v>46235</x:v>
      </x:c>
      <x:c r="E1680" t="n">
        <x:v>46266</x:v>
      </x:c>
      <x:c r="F1680" t="str">
        <x:v>Activa</x:v>
      </x:c>
      <x:c r="G1680" t="str">
        <x:v>Gratuita</x:v>
      </x:c>
      <x:c r="H1680" t="n">
        <x:v>2</x:v>
      </x:c>
    </x:row>
    <x:row r="1681">
      <x:c r="A1681" t="str">
        <x:v>SUS-001680</x:v>
      </x:c>
      <x:c r="B1681" t="str">
        <x:v>USR-01133</x:v>
      </x:c>
      <x:c r="C1681" t="str">
        <x:v>Cero</x:v>
      </x:c>
      <x:c r="D1681" t="n">
        <x:v>46235</x:v>
      </x:c>
      <x:c r="E1681" t="n">
        <x:v>46266</x:v>
      </x:c>
      <x:c r="F1681" t="str">
        <x:v>Activa</x:v>
      </x:c>
      <x:c r="G1681" t="str">
        <x:v>Gratuita</x:v>
      </x:c>
      <x:c r="H1681" t="n">
        <x:v>2</x:v>
      </x:c>
    </x:row>
    <x:row r="1682">
      <x:c r="A1682" t="str">
        <x:v>SUS-001681</x:v>
      </x:c>
      <x:c r="B1682" t="str">
        <x:v>USR-01134</x:v>
      </x:c>
      <x:c r="C1682" t="str">
        <x:v>Cero</x:v>
      </x:c>
      <x:c r="D1682" t="n">
        <x:v>46235</x:v>
      </x:c>
      <x:c r="E1682" t="n">
        <x:v>46266</x:v>
      </x:c>
      <x:c r="F1682" t="str">
        <x:v>Activa</x:v>
      </x:c>
      <x:c r="G1682" t="str">
        <x:v>Gratuita</x:v>
      </x:c>
      <x:c r="H1682" t="n">
        <x:v>2</x:v>
      </x:c>
    </x:row>
    <x:row r="1683">
      <x:c r="A1683" t="str">
        <x:v>SUS-001682</x:v>
      </x:c>
      <x:c r="B1683" t="str">
        <x:v>USR-01135</x:v>
      </x:c>
      <x:c r="C1683" t="str">
        <x:v>Cero</x:v>
      </x:c>
      <x:c r="D1683" t="n">
        <x:v>46235</x:v>
      </x:c>
      <x:c r="E1683" t="n">
        <x:v>46266</x:v>
      </x:c>
      <x:c r="F1683" t="str">
        <x:v>Activa</x:v>
      </x:c>
      <x:c r="G1683" t="str">
        <x:v>Gratuita</x:v>
      </x:c>
      <x:c r="H1683" t="n">
        <x:v>2</x:v>
      </x:c>
    </x:row>
    <x:row r="1684">
      <x:c r="A1684" t="str">
        <x:v>SUS-001683</x:v>
      </x:c>
      <x:c r="B1684" t="str">
        <x:v>USR-01136</x:v>
      </x:c>
      <x:c r="C1684" t="str">
        <x:v>Cero</x:v>
      </x:c>
      <x:c r="D1684" t="n">
        <x:v>46235</x:v>
      </x:c>
      <x:c r="E1684" t="n">
        <x:v>46266</x:v>
      </x:c>
      <x:c r="F1684" t="str">
        <x:v>Activa</x:v>
      </x:c>
      <x:c r="G1684" t="str">
        <x:v>Gratuita</x:v>
      </x:c>
      <x:c r="H1684" t="n">
        <x:v>2</x:v>
      </x:c>
    </x:row>
    <x:row r="1685">
      <x:c r="A1685" t="str">
        <x:v>SUS-001684</x:v>
      </x:c>
      <x:c r="B1685" t="str">
        <x:v>USR-01137</x:v>
      </x:c>
      <x:c r="C1685" t="str">
        <x:v>Cero</x:v>
      </x:c>
      <x:c r="D1685" t="n">
        <x:v>46235</x:v>
      </x:c>
      <x:c r="E1685" t="n">
        <x:v>46235</x:v>
      </x:c>
      <x:c r="F1685" t="str">
        <x:v>Finalizada</x:v>
      </x:c>
      <x:c r="G1685" t="str">
        <x:v>Gratuita</x:v>
      </x:c>
      <x:c r="H1685" t="n">
        <x:v>1</x:v>
      </x:c>
    </x:row>
    <x:row r="1686">
      <x:c r="A1686" t="str">
        <x:v>SUS-001685</x:v>
      </x:c>
      <x:c r="B1686" t="str">
        <x:v>USR-01138</x:v>
      </x:c>
      <x:c r="C1686" t="str">
        <x:v>Cero</x:v>
      </x:c>
      <x:c r="D1686" t="n">
        <x:v>46235</x:v>
      </x:c>
      <x:c r="E1686" t="n">
        <x:v>46266</x:v>
      </x:c>
      <x:c r="F1686" t="str">
        <x:v>Activa</x:v>
      </x:c>
      <x:c r="G1686" t="str">
        <x:v>Gratuita</x:v>
      </x:c>
      <x:c r="H1686" t="n">
        <x:v>2</x:v>
      </x:c>
    </x:row>
    <x:row r="1687">
      <x:c r="A1687" t="str">
        <x:v>SUS-001686</x:v>
      </x:c>
      <x:c r="B1687" t="str">
        <x:v>USR-01139</x:v>
      </x:c>
      <x:c r="C1687" t="str">
        <x:v>Plus anual</x:v>
      </x:c>
      <x:c r="D1687" t="n">
        <x:v>46235</x:v>
      </x:c>
      <x:c r="E1687" t="n">
        <x:v>46266</x:v>
      </x:c>
      <x:c r="F1687" t="str">
        <x:v>Activa</x:v>
      </x:c>
      <x:c r="G1687" t="str">
        <x:v>Anual</x:v>
      </x:c>
      <x:c r="H1687" t="n">
        <x:v>2</x:v>
      </x:c>
    </x:row>
    <x:row r="1688">
      <x:c r="A1688" t="str">
        <x:v>SUS-001687</x:v>
      </x:c>
      <x:c r="B1688" t="str">
        <x:v>USR-01140</x:v>
      </x:c>
      <x:c r="C1688" t="str">
        <x:v>Cero</x:v>
      </x:c>
      <x:c r="D1688" t="n">
        <x:v>46235</x:v>
      </x:c>
      <x:c r="E1688" t="n">
        <x:v>46235</x:v>
      </x:c>
      <x:c r="F1688" t="str">
        <x:v>Finalizada</x:v>
      </x:c>
      <x:c r="G1688" t="str">
        <x:v>Gratuita</x:v>
      </x:c>
      <x:c r="H1688" t="n">
        <x:v>1</x:v>
      </x:c>
    </x:row>
    <x:row r="1689">
      <x:c r="A1689" t="str">
        <x:v>SUS-001688</x:v>
      </x:c>
      <x:c r="B1689" t="str">
        <x:v>USR-01141</x:v>
      </x:c>
      <x:c r="C1689" t="str">
        <x:v>Cero</x:v>
      </x:c>
      <x:c r="D1689" t="n">
        <x:v>46235</x:v>
      </x:c>
      <x:c r="E1689" t="n">
        <x:v>46266</x:v>
      </x:c>
      <x:c r="F1689" t="str">
        <x:v>Activa</x:v>
      </x:c>
      <x:c r="G1689" t="str">
        <x:v>Gratuita</x:v>
      </x:c>
      <x:c r="H1689" t="n">
        <x:v>2</x:v>
      </x:c>
    </x:row>
    <x:row r="1690">
      <x:c r="A1690" t="str">
        <x:v>SUS-001689</x:v>
      </x:c>
      <x:c r="B1690" t="str">
        <x:v>USR-01142</x:v>
      </x:c>
      <x:c r="C1690" t="str">
        <x:v>Cero</x:v>
      </x:c>
      <x:c r="D1690" t="n">
        <x:v>46235</x:v>
      </x:c>
      <x:c r="E1690" t="n">
        <x:v>46266</x:v>
      </x:c>
      <x:c r="F1690" t="str">
        <x:v>Activa</x:v>
      </x:c>
      <x:c r="G1690" t="str">
        <x:v>Gratuita</x:v>
      </x:c>
      <x:c r="H1690" t="n">
        <x:v>2</x:v>
      </x:c>
    </x:row>
    <x:row r="1691">
      <x:c r="A1691" t="str">
        <x:v>SUS-001690</x:v>
      </x:c>
      <x:c r="B1691" t="str">
        <x:v>USR-01143</x:v>
      </x:c>
      <x:c r="C1691" t="str">
        <x:v>Plus mensual</x:v>
      </x:c>
      <x:c r="D1691" t="n">
        <x:v>46235</x:v>
      </x:c>
      <x:c r="E1691" t="n">
        <x:v>46266</x:v>
      </x:c>
      <x:c r="F1691" t="str">
        <x:v>Activa</x:v>
      </x:c>
      <x:c r="G1691" t="str">
        <x:v>Mensual</x:v>
      </x:c>
      <x:c r="H1691" t="n">
        <x:v>2</x:v>
      </x:c>
    </x:row>
    <x:row r="1692">
      <x:c r="A1692" t="str">
        <x:v>SUS-001691</x:v>
      </x:c>
      <x:c r="B1692" t="str">
        <x:v>USR-01144</x:v>
      </x:c>
      <x:c r="C1692" t="str">
        <x:v>Plus mensual</x:v>
      </x:c>
      <x:c r="D1692" t="n">
        <x:v>46235</x:v>
      </x:c>
      <x:c r="E1692" t="n">
        <x:v>46266</x:v>
      </x:c>
      <x:c r="F1692" t="str">
        <x:v>Activa</x:v>
      </x:c>
      <x:c r="G1692" t="str">
        <x:v>Mensual</x:v>
      </x:c>
      <x:c r="H1692" t="n">
        <x:v>2</x:v>
      </x:c>
    </x:row>
    <x:row r="1693">
      <x:c r="A1693" t="str">
        <x:v>SUS-001692</x:v>
      </x:c>
      <x:c r="B1693" t="str">
        <x:v>USR-01145</x:v>
      </x:c>
      <x:c r="C1693" t="str">
        <x:v>Cero</x:v>
      </x:c>
      <x:c r="D1693" t="n">
        <x:v>46235</x:v>
      </x:c>
      <x:c r="E1693" t="n">
        <x:v>46266</x:v>
      </x:c>
      <x:c r="F1693" t="str">
        <x:v>Activa</x:v>
      </x:c>
      <x:c r="G1693" t="str">
        <x:v>Gratuita</x:v>
      </x:c>
      <x:c r="H1693" t="n">
        <x:v>2</x:v>
      </x:c>
    </x:row>
    <x:row r="1694">
      <x:c r="A1694" t="str">
        <x:v>SUS-001693</x:v>
      </x:c>
      <x:c r="B1694" t="str">
        <x:v>USR-01146</x:v>
      </x:c>
      <x:c r="C1694" t="str">
        <x:v>Cero</x:v>
      </x:c>
      <x:c r="D1694" t="n">
        <x:v>46235</x:v>
      </x:c>
      <x:c r="E1694" t="n">
        <x:v>46266</x:v>
      </x:c>
      <x:c r="F1694" t="str">
        <x:v>Activa</x:v>
      </x:c>
      <x:c r="G1694" t="str">
        <x:v>Gratuita</x:v>
      </x:c>
      <x:c r="H1694" t="n">
        <x:v>2</x:v>
      </x:c>
    </x:row>
    <x:row r="1695">
      <x:c r="A1695" t="str">
        <x:v>SUS-001694</x:v>
      </x:c>
      <x:c r="B1695" t="str">
        <x:v>USR-01147</x:v>
      </x:c>
      <x:c r="C1695" t="str">
        <x:v>Cero</x:v>
      </x:c>
      <x:c r="D1695" t="n">
        <x:v>46235</x:v>
      </x:c>
      <x:c r="E1695" t="n">
        <x:v>46266</x:v>
      </x:c>
      <x:c r="F1695" t="str">
        <x:v>Activa</x:v>
      </x:c>
      <x:c r="G1695" t="str">
        <x:v>Gratuita</x:v>
      </x:c>
      <x:c r="H1695" t="n">
        <x:v>2</x:v>
      </x:c>
    </x:row>
    <x:row r="1696">
      <x:c r="A1696" t="str">
        <x:v>SUS-001695</x:v>
      </x:c>
      <x:c r="B1696" t="str">
        <x:v>USR-01148</x:v>
      </x:c>
      <x:c r="C1696" t="str">
        <x:v>Cero</x:v>
      </x:c>
      <x:c r="D1696" t="n">
        <x:v>46235</x:v>
      </x:c>
      <x:c r="E1696" t="n">
        <x:v>46266</x:v>
      </x:c>
      <x:c r="F1696" t="str">
        <x:v>Activa</x:v>
      </x:c>
      <x:c r="G1696" t="str">
        <x:v>Gratuita</x:v>
      </x:c>
      <x:c r="H1696" t="n">
        <x:v>2</x:v>
      </x:c>
    </x:row>
    <x:row r="1697">
      <x:c r="A1697" t="str">
        <x:v>SUS-001696</x:v>
      </x:c>
      <x:c r="B1697" t="str">
        <x:v>USR-01149</x:v>
      </x:c>
      <x:c r="C1697" t="str">
        <x:v>Cero</x:v>
      </x:c>
      <x:c r="D1697" t="n">
        <x:v>46235</x:v>
      </x:c>
      <x:c r="E1697" t="n">
        <x:v>46266</x:v>
      </x:c>
      <x:c r="F1697" t="str">
        <x:v>Activa</x:v>
      </x:c>
      <x:c r="G1697" t="str">
        <x:v>Gratuita</x:v>
      </x:c>
      <x:c r="H1697" t="n">
        <x:v>2</x:v>
      </x:c>
    </x:row>
    <x:row r="1698">
      <x:c r="A1698" t="str">
        <x:v>SUS-001697</x:v>
      </x:c>
      <x:c r="B1698" t="str">
        <x:v>USR-01150</x:v>
      </x:c>
      <x:c r="C1698" t="str">
        <x:v>Cero</x:v>
      </x:c>
      <x:c r="D1698" t="n">
        <x:v>46235</x:v>
      </x:c>
      <x:c r="E1698" t="n">
        <x:v>46266</x:v>
      </x:c>
      <x:c r="F1698" t="str">
        <x:v>Activa</x:v>
      </x:c>
      <x:c r="G1698" t="str">
        <x:v>Gratuita</x:v>
      </x:c>
      <x:c r="H1698" t="n">
        <x:v>2</x:v>
      </x:c>
    </x:row>
    <x:row r="1699">
      <x:c r="A1699" t="str">
        <x:v>SUS-001698</x:v>
      </x:c>
      <x:c r="B1699" t="str">
        <x:v>USR-01151</x:v>
      </x:c>
      <x:c r="C1699" t="str">
        <x:v>Cero</x:v>
      </x:c>
      <x:c r="D1699" t="n">
        <x:v>46235</x:v>
      </x:c>
      <x:c r="E1699" t="n">
        <x:v>46266</x:v>
      </x:c>
      <x:c r="F1699" t="str">
        <x:v>Activa</x:v>
      </x:c>
      <x:c r="G1699" t="str">
        <x:v>Gratuita</x:v>
      </x:c>
      <x:c r="H1699" t="n">
        <x:v>2</x:v>
      </x:c>
    </x:row>
    <x:row r="1700">
      <x:c r="A1700" t="str">
        <x:v>SUS-001699</x:v>
      </x:c>
      <x:c r="B1700" t="str">
        <x:v>USR-00012</x:v>
      </x:c>
      <x:c r="C1700" t="str">
        <x:v>Cero</x:v>
      </x:c>
      <x:c r="D1700" t="n">
        <x:v>46266</x:v>
      </x:c>
      <x:c r="E1700" t="n">
        <x:v>46266</x:v>
      </x:c>
      <x:c r="F1700" t="str">
        <x:v>Activa</x:v>
      </x:c>
      <x:c r="G1700" t="str">
        <x:v>Gratuita</x:v>
      </x:c>
      <x:c r="H1700" t="n">
        <x:v>1</x:v>
      </x:c>
    </x:row>
    <x:row r="1701">
      <x:c r="A1701" t="str">
        <x:v>SUS-001700</x:v>
      </x:c>
      <x:c r="B1701" t="str">
        <x:v>USR-00022</x:v>
      </x:c>
      <x:c r="C1701" t="str">
        <x:v>Plus anual</x:v>
      </x:c>
      <x:c r="D1701" t="n">
        <x:v>46266</x:v>
      </x:c>
      <x:c r="E1701" t="n">
        <x:v>46266</x:v>
      </x:c>
      <x:c r="F1701" t="str">
        <x:v>Activa</x:v>
      </x:c>
      <x:c r="G1701" t="str">
        <x:v>Anual</x:v>
      </x:c>
      <x:c r="H1701" t="n">
        <x:v>1</x:v>
      </x:c>
    </x:row>
    <x:row r="1702">
      <x:c r="A1702" t="str">
        <x:v>SUS-001701</x:v>
      </x:c>
      <x:c r="B1702" t="str">
        <x:v>USR-00062</x:v>
      </x:c>
      <x:c r="C1702" t="str">
        <x:v>Plus mensual</x:v>
      </x:c>
      <x:c r="D1702" t="n">
        <x:v>46266</x:v>
      </x:c>
      <x:c r="E1702" t="n">
        <x:v>46266</x:v>
      </x:c>
      <x:c r="F1702" t="str">
        <x:v>Activa</x:v>
      </x:c>
      <x:c r="G1702" t="str">
        <x:v>Mensual</x:v>
      </x:c>
      <x:c r="H1702" t="n">
        <x:v>1</x:v>
      </x:c>
    </x:row>
    <x:row r="1703">
      <x:c r="A1703" t="str">
        <x:v>SUS-001702</x:v>
      </x:c>
      <x:c r="B1703" t="str">
        <x:v>USR-00067</x:v>
      </x:c>
      <x:c r="C1703" t="str">
        <x:v>Cero</x:v>
      </x:c>
      <x:c r="D1703" t="n">
        <x:v>46266</x:v>
      </x:c>
      <x:c r="E1703" t="n">
        <x:v>46266</x:v>
      </x:c>
      <x:c r="F1703" t="str">
        <x:v>Activa</x:v>
      </x:c>
      <x:c r="G1703" t="str">
        <x:v>Gratuita</x:v>
      </x:c>
      <x:c r="H1703" t="n">
        <x:v>1</x:v>
      </x:c>
    </x:row>
    <x:row r="1704">
      <x:c r="A1704" t="str">
        <x:v>SUS-001703</x:v>
      </x:c>
      <x:c r="B1704" t="str">
        <x:v>USR-00075</x:v>
      </x:c>
      <x:c r="C1704" t="str">
        <x:v>Plus mensual</x:v>
      </x:c>
      <x:c r="D1704" t="n">
        <x:v>46266</x:v>
      </x:c>
      <x:c r="E1704" t="n">
        <x:v>46266</x:v>
      </x:c>
      <x:c r="F1704" t="str">
        <x:v>Activa</x:v>
      </x:c>
      <x:c r="G1704" t="str">
        <x:v>Mensual</x:v>
      </x:c>
      <x:c r="H1704" t="n">
        <x:v>1</x:v>
      </x:c>
    </x:row>
    <x:row r="1705">
      <x:c r="A1705" t="str">
        <x:v>SUS-001704</x:v>
      </x:c>
      <x:c r="B1705" t="str">
        <x:v>USR-00177</x:v>
      </x:c>
      <x:c r="C1705" t="str">
        <x:v>Plus mensual</x:v>
      </x:c>
      <x:c r="D1705" t="n">
        <x:v>46266</x:v>
      </x:c>
      <x:c r="E1705" t="n">
        <x:v>46266</x:v>
      </x:c>
      <x:c r="F1705" t="str">
        <x:v>Activa</x:v>
      </x:c>
      <x:c r="G1705" t="str">
        <x:v>Mensual</x:v>
      </x:c>
      <x:c r="H1705" t="n">
        <x:v>1</x:v>
      </x:c>
    </x:row>
    <x:row r="1706">
      <x:c r="A1706" t="str">
        <x:v>SUS-001705</x:v>
      </x:c>
      <x:c r="B1706" t="str">
        <x:v>USR-00225</x:v>
      </x:c>
      <x:c r="C1706" t="str">
        <x:v>Cero</x:v>
      </x:c>
      <x:c r="D1706" t="n">
        <x:v>46266</x:v>
      </x:c>
      <x:c r="E1706" t="n">
        <x:v>46266</x:v>
      </x:c>
      <x:c r="F1706" t="str">
        <x:v>Activa</x:v>
      </x:c>
      <x:c r="G1706" t="str">
        <x:v>Gratuita</x:v>
      </x:c>
      <x:c r="H1706" t="n">
        <x:v>1</x:v>
      </x:c>
    </x:row>
    <x:row r="1707">
      <x:c r="A1707" t="str">
        <x:v>SUS-001706</x:v>
      </x:c>
      <x:c r="B1707" t="str">
        <x:v>USR-00230</x:v>
      </x:c>
      <x:c r="C1707" t="str">
        <x:v>Plus anual</x:v>
      </x:c>
      <x:c r="D1707" t="n">
        <x:v>46266</x:v>
      </x:c>
      <x:c r="E1707" t="n">
        <x:v>46266</x:v>
      </x:c>
      <x:c r="F1707" t="str">
        <x:v>Activa</x:v>
      </x:c>
      <x:c r="G1707" t="str">
        <x:v>Anual</x:v>
      </x:c>
      <x:c r="H1707" t="n">
        <x:v>1</x:v>
      </x:c>
    </x:row>
    <x:row r="1708">
      <x:c r="A1708" t="str">
        <x:v>SUS-001707</x:v>
      </x:c>
      <x:c r="B1708" t="str">
        <x:v>USR-00252</x:v>
      </x:c>
      <x:c r="C1708" t="str">
        <x:v>Plus anual</x:v>
      </x:c>
      <x:c r="D1708" t="n">
        <x:v>46266</x:v>
      </x:c>
      <x:c r="E1708" t="n">
        <x:v>46266</x:v>
      </x:c>
      <x:c r="F1708" t="str">
        <x:v>Activa</x:v>
      </x:c>
      <x:c r="G1708" t="str">
        <x:v>Anual</x:v>
      </x:c>
      <x:c r="H1708" t="n">
        <x:v>1</x:v>
      </x:c>
    </x:row>
    <x:row r="1709">
      <x:c r="A1709" t="str">
        <x:v>SUS-001708</x:v>
      </x:c>
      <x:c r="B1709" t="str">
        <x:v>USR-00256</x:v>
      </x:c>
      <x:c r="C1709" t="str">
        <x:v>Plus mensual</x:v>
      </x:c>
      <x:c r="D1709" t="n">
        <x:v>46266</x:v>
      </x:c>
      <x:c r="E1709" t="n">
        <x:v>46266</x:v>
      </x:c>
      <x:c r="F1709" t="str">
        <x:v>Activa</x:v>
      </x:c>
      <x:c r="G1709" t="str">
        <x:v>Mensual</x:v>
      </x:c>
      <x:c r="H1709" t="n">
        <x:v>1</x:v>
      </x:c>
    </x:row>
    <x:row r="1710">
      <x:c r="A1710" t="str">
        <x:v>SUS-001709</x:v>
      </x:c>
      <x:c r="B1710" t="str">
        <x:v>USR-00272</x:v>
      </x:c>
      <x:c r="C1710" t="str">
        <x:v>Plus mensual</x:v>
      </x:c>
      <x:c r="D1710" t="n">
        <x:v>46266</x:v>
      </x:c>
      <x:c r="E1710" t="n">
        <x:v>46266</x:v>
      </x:c>
      <x:c r="F1710" t="str">
        <x:v>Activa</x:v>
      </x:c>
      <x:c r="G1710" t="str">
        <x:v>Mensual</x:v>
      </x:c>
      <x:c r="H1710" t="n">
        <x:v>1</x:v>
      </x:c>
    </x:row>
    <x:row r="1711">
      <x:c r="A1711" t="str">
        <x:v>SUS-001710</x:v>
      </x:c>
      <x:c r="B1711" t="str">
        <x:v>USR-00298</x:v>
      </x:c>
      <x:c r="C1711" t="str">
        <x:v>Cero</x:v>
      </x:c>
      <x:c r="D1711" t="n">
        <x:v>46266</x:v>
      </x:c>
      <x:c r="E1711" t="n">
        <x:v>46266</x:v>
      </x:c>
      <x:c r="F1711" t="str">
        <x:v>Activa</x:v>
      </x:c>
      <x:c r="G1711" t="str">
        <x:v>Gratuita</x:v>
      </x:c>
      <x:c r="H1711" t="n">
        <x:v>1</x:v>
      </x:c>
    </x:row>
    <x:row r="1712">
      <x:c r="A1712" t="str">
        <x:v>SUS-001711</x:v>
      </x:c>
      <x:c r="B1712" t="str">
        <x:v>USR-00305</x:v>
      </x:c>
      <x:c r="C1712" t="str">
        <x:v>Plus mensual</x:v>
      </x:c>
      <x:c r="D1712" t="n">
        <x:v>46266</x:v>
      </x:c>
      <x:c r="E1712" t="n">
        <x:v>46266</x:v>
      </x:c>
      <x:c r="F1712" t="str">
        <x:v>Activa</x:v>
      </x:c>
      <x:c r="G1712" t="str">
        <x:v>Mensual</x:v>
      </x:c>
      <x:c r="H1712" t="n">
        <x:v>1</x:v>
      </x:c>
    </x:row>
    <x:row r="1713">
      <x:c r="A1713" t="str">
        <x:v>SUS-001712</x:v>
      </x:c>
      <x:c r="B1713" t="str">
        <x:v>USR-00333</x:v>
      </x:c>
      <x:c r="C1713" t="str">
        <x:v>Cero</x:v>
      </x:c>
      <x:c r="D1713" t="n">
        <x:v>46266</x:v>
      </x:c>
      <x:c r="E1713" t="n">
        <x:v>46266</x:v>
      </x:c>
      <x:c r="F1713" t="str">
        <x:v>Activa</x:v>
      </x:c>
      <x:c r="G1713" t="str">
        <x:v>Gratuita</x:v>
      </x:c>
      <x:c r="H1713" t="n">
        <x:v>1</x:v>
      </x:c>
    </x:row>
    <x:row r="1714">
      <x:c r="A1714" t="str">
        <x:v>SUS-001713</x:v>
      </x:c>
      <x:c r="B1714" t="str">
        <x:v>USR-00346</x:v>
      </x:c>
      <x:c r="C1714" t="str">
        <x:v>Plus mensual</x:v>
      </x:c>
      <x:c r="D1714" t="n">
        <x:v>46266</x:v>
      </x:c>
      <x:c r="E1714" t="n">
        <x:v>46266</x:v>
      </x:c>
      <x:c r="F1714" t="str">
        <x:v>Activa</x:v>
      </x:c>
      <x:c r="G1714" t="str">
        <x:v>Mensual</x:v>
      </x:c>
      <x:c r="H1714" t="n">
        <x:v>1</x:v>
      </x:c>
    </x:row>
    <x:row r="1715">
      <x:c r="A1715" t="str">
        <x:v>SUS-001714</x:v>
      </x:c>
      <x:c r="B1715" t="str">
        <x:v>USR-00360</x:v>
      </x:c>
      <x:c r="C1715" t="str">
        <x:v>Cero</x:v>
      </x:c>
      <x:c r="D1715" t="n">
        <x:v>46266</x:v>
      </x:c>
      <x:c r="E1715" t="n">
        <x:v>46266</x:v>
      </x:c>
      <x:c r="F1715" t="str">
        <x:v>Activa</x:v>
      </x:c>
      <x:c r="G1715" t="str">
        <x:v>Gratuita</x:v>
      </x:c>
      <x:c r="H1715" t="n">
        <x:v>1</x:v>
      </x:c>
    </x:row>
    <x:row r="1716">
      <x:c r="A1716" t="str">
        <x:v>SUS-001715</x:v>
      </x:c>
      <x:c r="B1716" t="str">
        <x:v>USR-00362</x:v>
      </x:c>
      <x:c r="C1716" t="str">
        <x:v>Plus mensual</x:v>
      </x:c>
      <x:c r="D1716" t="n">
        <x:v>46266</x:v>
      </x:c>
      <x:c r="E1716" t="n">
        <x:v>46266</x:v>
      </x:c>
      <x:c r="F1716" t="str">
        <x:v>Activa</x:v>
      </x:c>
      <x:c r="G1716" t="str">
        <x:v>Mensual</x:v>
      </x:c>
      <x:c r="H1716" t="n">
        <x:v>1</x:v>
      </x:c>
    </x:row>
    <x:row r="1717">
      <x:c r="A1717" t="str">
        <x:v>SUS-001716</x:v>
      </x:c>
      <x:c r="B1717" t="str">
        <x:v>USR-00375</x:v>
      </x:c>
      <x:c r="C1717" t="str">
        <x:v>Plus mensual</x:v>
      </x:c>
      <x:c r="D1717" t="n">
        <x:v>46266</x:v>
      </x:c>
      <x:c r="E1717" t="n">
        <x:v>46266</x:v>
      </x:c>
      <x:c r="F1717" t="str">
        <x:v>Activa</x:v>
      </x:c>
      <x:c r="G1717" t="str">
        <x:v>Mensual</x:v>
      </x:c>
      <x:c r="H1717" t="n">
        <x:v>1</x:v>
      </x:c>
    </x:row>
    <x:row r="1718">
      <x:c r="A1718" t="str">
        <x:v>SUS-001717</x:v>
      </x:c>
      <x:c r="B1718" t="str">
        <x:v>USR-00387</x:v>
      </x:c>
      <x:c r="C1718" t="str">
        <x:v>Cero</x:v>
      </x:c>
      <x:c r="D1718" t="n">
        <x:v>46266</x:v>
      </x:c>
      <x:c r="E1718" t="n">
        <x:v>46266</x:v>
      </x:c>
      <x:c r="F1718" t="str">
        <x:v>Activa</x:v>
      </x:c>
      <x:c r="G1718" t="str">
        <x:v>Gratuita</x:v>
      </x:c>
      <x:c r="H1718" t="n">
        <x:v>1</x:v>
      </x:c>
    </x:row>
    <x:row r="1719">
      <x:c r="A1719" t="str">
        <x:v>SUS-001718</x:v>
      </x:c>
      <x:c r="B1719" t="str">
        <x:v>USR-00420</x:v>
      </x:c>
      <x:c r="C1719" t="str">
        <x:v>Plus mensual</x:v>
      </x:c>
      <x:c r="D1719" t="n">
        <x:v>46266</x:v>
      </x:c>
      <x:c r="E1719" t="n">
        <x:v>46266</x:v>
      </x:c>
      <x:c r="F1719" t="str">
        <x:v>Activa</x:v>
      </x:c>
      <x:c r="G1719" t="str">
        <x:v>Mensual</x:v>
      </x:c>
      <x:c r="H1719" t="n">
        <x:v>1</x:v>
      </x:c>
    </x:row>
    <x:row r="1720">
      <x:c r="A1720" t="str">
        <x:v>SUS-001719</x:v>
      </x:c>
      <x:c r="B1720" t="str">
        <x:v>USR-00437</x:v>
      </x:c>
      <x:c r="C1720" t="str">
        <x:v>Plus mensual</x:v>
      </x:c>
      <x:c r="D1720" t="n">
        <x:v>46266</x:v>
      </x:c>
      <x:c r="E1720" t="n">
        <x:v>46266</x:v>
      </x:c>
      <x:c r="F1720" t="str">
        <x:v>Activa</x:v>
      </x:c>
      <x:c r="G1720" t="str">
        <x:v>Mensual</x:v>
      </x:c>
      <x:c r="H1720" t="n">
        <x:v>1</x:v>
      </x:c>
    </x:row>
    <x:row r="1721">
      <x:c r="A1721" t="str">
        <x:v>SUS-001720</x:v>
      </x:c>
      <x:c r="B1721" t="str">
        <x:v>USR-00438</x:v>
      </x:c>
      <x:c r="C1721" t="str">
        <x:v>Plus anual</x:v>
      </x:c>
      <x:c r="D1721" t="n">
        <x:v>46266</x:v>
      </x:c>
      <x:c r="E1721" t="n">
        <x:v>46266</x:v>
      </x:c>
      <x:c r="F1721" t="str">
        <x:v>Activa</x:v>
      </x:c>
      <x:c r="G1721" t="str">
        <x:v>Anual</x:v>
      </x:c>
      <x:c r="H1721" t="n">
        <x:v>1</x:v>
      </x:c>
    </x:row>
    <x:row r="1722">
      <x:c r="A1722" t="str">
        <x:v>SUS-001721</x:v>
      </x:c>
      <x:c r="B1722" t="str">
        <x:v>USR-00450</x:v>
      </x:c>
      <x:c r="C1722" t="str">
        <x:v>Cero</x:v>
      </x:c>
      <x:c r="D1722" t="n">
        <x:v>46266</x:v>
      </x:c>
      <x:c r="E1722" t="n">
        <x:v>46266</x:v>
      </x:c>
      <x:c r="F1722" t="str">
        <x:v>Activa</x:v>
      </x:c>
      <x:c r="G1722" t="str">
        <x:v>Gratuita</x:v>
      </x:c>
      <x:c r="H1722" t="n">
        <x:v>1</x:v>
      </x:c>
    </x:row>
    <x:row r="1723">
      <x:c r="A1723" t="str">
        <x:v>SUS-001722</x:v>
      </x:c>
      <x:c r="B1723" t="str">
        <x:v>USR-00452</x:v>
      </x:c>
      <x:c r="C1723" t="str">
        <x:v>Plus anual</x:v>
      </x:c>
      <x:c r="D1723" t="n">
        <x:v>46266</x:v>
      </x:c>
      <x:c r="E1723" t="n">
        <x:v>46266</x:v>
      </x:c>
      <x:c r="F1723" t="str">
        <x:v>Activa</x:v>
      </x:c>
      <x:c r="G1723" t="str">
        <x:v>Anual</x:v>
      </x:c>
      <x:c r="H1723" t="n">
        <x:v>1</x:v>
      </x:c>
    </x:row>
    <x:row r="1724">
      <x:c r="A1724" t="str">
        <x:v>SUS-001723</x:v>
      </x:c>
      <x:c r="B1724" t="str">
        <x:v>USR-00489</x:v>
      </x:c>
      <x:c r="C1724" t="str">
        <x:v>Cero</x:v>
      </x:c>
      <x:c r="D1724" t="n">
        <x:v>46266</x:v>
      </x:c>
      <x:c r="E1724" t="n">
        <x:v>46266</x:v>
      </x:c>
      <x:c r="F1724" t="str">
        <x:v>Activa</x:v>
      </x:c>
      <x:c r="G1724" t="str">
        <x:v>Gratuita</x:v>
      </x:c>
      <x:c r="H1724" t="n">
        <x:v>1</x:v>
      </x:c>
    </x:row>
    <x:row r="1725">
      <x:c r="A1725" t="str">
        <x:v>SUS-001724</x:v>
      </x:c>
      <x:c r="B1725" t="str">
        <x:v>USR-00508</x:v>
      </x:c>
      <x:c r="C1725" t="str">
        <x:v>Plus mensual</x:v>
      </x:c>
      <x:c r="D1725" t="n">
        <x:v>46266</x:v>
      </x:c>
      <x:c r="E1725" t="n">
        <x:v>46266</x:v>
      </x:c>
      <x:c r="F1725" t="str">
        <x:v>Activa</x:v>
      </x:c>
      <x:c r="G1725" t="str">
        <x:v>Mensual</x:v>
      </x:c>
      <x:c r="H1725" t="n">
        <x:v>1</x:v>
      </x:c>
    </x:row>
    <x:row r="1726">
      <x:c r="A1726" t="str">
        <x:v>SUS-001725</x:v>
      </x:c>
      <x:c r="B1726" t="str">
        <x:v>USR-00558</x:v>
      </x:c>
      <x:c r="C1726" t="str">
        <x:v>Plus anual</x:v>
      </x:c>
      <x:c r="D1726" t="n">
        <x:v>46266</x:v>
      </x:c>
      <x:c r="E1726" t="n">
        <x:v>46266</x:v>
      </x:c>
      <x:c r="F1726" t="str">
        <x:v>Activa</x:v>
      </x:c>
      <x:c r="G1726" t="str">
        <x:v>Anual</x:v>
      </x:c>
      <x:c r="H1726" t="n">
        <x:v>1</x:v>
      </x:c>
    </x:row>
    <x:row r="1727">
      <x:c r="A1727" t="str">
        <x:v>SUS-001726</x:v>
      </x:c>
      <x:c r="B1727" t="str">
        <x:v>USR-00572</x:v>
      </x:c>
      <x:c r="C1727" t="str">
        <x:v>Plus mensual</x:v>
      </x:c>
      <x:c r="D1727" t="n">
        <x:v>46266</x:v>
      </x:c>
      <x:c r="E1727" t="n">
        <x:v>46266</x:v>
      </x:c>
      <x:c r="F1727" t="str">
        <x:v>Activa</x:v>
      </x:c>
      <x:c r="G1727" t="str">
        <x:v>Mensual</x:v>
      </x:c>
      <x:c r="H1727" t="n">
        <x:v>1</x:v>
      </x:c>
    </x:row>
    <x:row r="1728">
      <x:c r="A1728" t="str">
        <x:v>SUS-001727</x:v>
      </x:c>
      <x:c r="B1728" t="str">
        <x:v>USR-00576</x:v>
      </x:c>
      <x:c r="C1728" t="str">
        <x:v>Cero</x:v>
      </x:c>
      <x:c r="D1728" t="n">
        <x:v>46266</x:v>
      </x:c>
      <x:c r="E1728" t="n">
        <x:v>46266</x:v>
      </x:c>
      <x:c r="F1728" t="str">
        <x:v>Activa</x:v>
      </x:c>
      <x:c r="G1728" t="str">
        <x:v>Gratuita</x:v>
      </x:c>
      <x:c r="H1728" t="n">
        <x:v>1</x:v>
      </x:c>
    </x:row>
    <x:row r="1729">
      <x:c r="A1729" t="str">
        <x:v>SUS-001728</x:v>
      </x:c>
      <x:c r="B1729" t="str">
        <x:v>USR-00595</x:v>
      </x:c>
      <x:c r="C1729" t="str">
        <x:v>Plus mensual</x:v>
      </x:c>
      <x:c r="D1729" t="n">
        <x:v>46266</x:v>
      </x:c>
      <x:c r="E1729" t="n">
        <x:v>46266</x:v>
      </x:c>
      <x:c r="F1729" t="str">
        <x:v>Activa</x:v>
      </x:c>
      <x:c r="G1729" t="str">
        <x:v>Mensual</x:v>
      </x:c>
      <x:c r="H1729" t="n">
        <x:v>1</x:v>
      </x:c>
    </x:row>
    <x:row r="1730">
      <x:c r="A1730" t="str">
        <x:v>SUS-001729</x:v>
      </x:c>
      <x:c r="B1730" t="str">
        <x:v>USR-00628</x:v>
      </x:c>
      <x:c r="C1730" t="str">
        <x:v>Plus anual</x:v>
      </x:c>
      <x:c r="D1730" t="n">
        <x:v>46266</x:v>
      </x:c>
      <x:c r="E1730" t="n">
        <x:v>46266</x:v>
      </x:c>
      <x:c r="F1730" t="str">
        <x:v>Activa</x:v>
      </x:c>
      <x:c r="G1730" t="str">
        <x:v>Anual</x:v>
      </x:c>
      <x:c r="H1730" t="n">
        <x:v>1</x:v>
      </x:c>
    </x:row>
    <x:row r="1731">
      <x:c r="A1731" t="str">
        <x:v>SUS-001730</x:v>
      </x:c>
      <x:c r="B1731" t="str">
        <x:v>USR-00630</x:v>
      </x:c>
      <x:c r="C1731" t="str">
        <x:v>Plus mensual</x:v>
      </x:c>
      <x:c r="D1731" t="n">
        <x:v>46266</x:v>
      </x:c>
      <x:c r="E1731" t="n">
        <x:v>46266</x:v>
      </x:c>
      <x:c r="F1731" t="str">
        <x:v>Activa</x:v>
      </x:c>
      <x:c r="G1731" t="str">
        <x:v>Mensual</x:v>
      </x:c>
      <x:c r="H1731" t="n">
        <x:v>1</x:v>
      </x:c>
    </x:row>
    <x:row r="1732">
      <x:c r="A1732" t="str">
        <x:v>SUS-001731</x:v>
      </x:c>
      <x:c r="B1732" t="str">
        <x:v>USR-00644</x:v>
      </x:c>
      <x:c r="C1732" t="str">
        <x:v>Cero</x:v>
      </x:c>
      <x:c r="D1732" t="n">
        <x:v>46266</x:v>
      </x:c>
      <x:c r="E1732" t="n">
        <x:v>46266</x:v>
      </x:c>
      <x:c r="F1732" t="str">
        <x:v>Activa</x:v>
      </x:c>
      <x:c r="G1732" t="str">
        <x:v>Gratuita</x:v>
      </x:c>
      <x:c r="H1732" t="n">
        <x:v>1</x:v>
      </x:c>
    </x:row>
    <x:row r="1733">
      <x:c r="A1733" t="str">
        <x:v>SUS-001732</x:v>
      </x:c>
      <x:c r="B1733" t="str">
        <x:v>USR-00664</x:v>
      </x:c>
      <x:c r="C1733" t="str">
        <x:v>Plus anual</x:v>
      </x:c>
      <x:c r="D1733" t="n">
        <x:v>46266</x:v>
      </x:c>
      <x:c r="E1733" t="n">
        <x:v>46266</x:v>
      </x:c>
      <x:c r="F1733" t="str">
        <x:v>Activa</x:v>
      </x:c>
      <x:c r="G1733" t="str">
        <x:v>Anual</x:v>
      </x:c>
      <x:c r="H1733" t="n">
        <x:v>1</x:v>
      </x:c>
    </x:row>
    <x:row r="1734">
      <x:c r="A1734" t="str">
        <x:v>SUS-001733</x:v>
      </x:c>
      <x:c r="B1734" t="str">
        <x:v>USR-00666</x:v>
      </x:c>
      <x:c r="C1734" t="str">
        <x:v>Cero</x:v>
      </x:c>
      <x:c r="D1734" t="n">
        <x:v>46266</x:v>
      </x:c>
      <x:c r="E1734" t="n">
        <x:v>46266</x:v>
      </x:c>
      <x:c r="F1734" t="str">
        <x:v>Activa</x:v>
      </x:c>
      <x:c r="G1734" t="str">
        <x:v>Gratuita</x:v>
      </x:c>
      <x:c r="H1734" t="n">
        <x:v>1</x:v>
      </x:c>
    </x:row>
    <x:row r="1735">
      <x:c r="A1735" t="str">
        <x:v>SUS-001734</x:v>
      </x:c>
      <x:c r="B1735" t="str">
        <x:v>USR-00687</x:v>
      </x:c>
      <x:c r="C1735" t="str">
        <x:v>Cero</x:v>
      </x:c>
      <x:c r="D1735" t="n">
        <x:v>46266</x:v>
      </x:c>
      <x:c r="E1735" t="n">
        <x:v>46266</x:v>
      </x:c>
      <x:c r="F1735" t="str">
        <x:v>Activa</x:v>
      </x:c>
      <x:c r="G1735" t="str">
        <x:v>Gratuita</x:v>
      </x:c>
      <x:c r="H1735" t="n">
        <x:v>1</x:v>
      </x:c>
    </x:row>
    <x:row r="1736">
      <x:c r="A1736" t="str">
        <x:v>SUS-001735</x:v>
      </x:c>
      <x:c r="B1736" t="str">
        <x:v>USR-00694</x:v>
      </x:c>
      <x:c r="C1736" t="str">
        <x:v>Cero</x:v>
      </x:c>
      <x:c r="D1736" t="n">
        <x:v>46266</x:v>
      </x:c>
      <x:c r="E1736" t="n">
        <x:v>46266</x:v>
      </x:c>
      <x:c r="F1736" t="str">
        <x:v>Activa</x:v>
      </x:c>
      <x:c r="G1736" t="str">
        <x:v>Gratuita</x:v>
      </x:c>
      <x:c r="H1736" t="n">
        <x:v>1</x:v>
      </x:c>
    </x:row>
    <x:row r="1737">
      <x:c r="A1737" t="str">
        <x:v>SUS-001736</x:v>
      </x:c>
      <x:c r="B1737" t="str">
        <x:v>USR-00721</x:v>
      </x:c>
      <x:c r="C1737" t="str">
        <x:v>Plus mensual</x:v>
      </x:c>
      <x:c r="D1737" t="n">
        <x:v>46266</x:v>
      </x:c>
      <x:c r="E1737" t="n">
        <x:v>46266</x:v>
      </x:c>
      <x:c r="F1737" t="str">
        <x:v>Activa</x:v>
      </x:c>
      <x:c r="G1737" t="str">
        <x:v>Mensual</x:v>
      </x:c>
      <x:c r="H1737" t="n">
        <x:v>1</x:v>
      </x:c>
    </x:row>
    <x:row r="1738">
      <x:c r="A1738" t="str">
        <x:v>SUS-001737</x:v>
      </x:c>
      <x:c r="B1738" t="str">
        <x:v>USR-00722</x:v>
      </x:c>
      <x:c r="C1738" t="str">
        <x:v>Cero</x:v>
      </x:c>
      <x:c r="D1738" t="n">
        <x:v>46266</x:v>
      </x:c>
      <x:c r="E1738" t="n">
        <x:v>46266</x:v>
      </x:c>
      <x:c r="F1738" t="str">
        <x:v>Activa</x:v>
      </x:c>
      <x:c r="G1738" t="str">
        <x:v>Gratuita</x:v>
      </x:c>
      <x:c r="H1738" t="n">
        <x:v>1</x:v>
      </x:c>
    </x:row>
    <x:row r="1739">
      <x:c r="A1739" t="str">
        <x:v>SUS-001738</x:v>
      </x:c>
      <x:c r="B1739" t="str">
        <x:v>USR-00754</x:v>
      </x:c>
      <x:c r="C1739" t="str">
        <x:v>Plus mensual</x:v>
      </x:c>
      <x:c r="D1739" t="n">
        <x:v>46266</x:v>
      </x:c>
      <x:c r="E1739" t="n">
        <x:v>46266</x:v>
      </x:c>
      <x:c r="F1739" t="str">
        <x:v>Activa</x:v>
      </x:c>
      <x:c r="G1739" t="str">
        <x:v>Mensual</x:v>
      </x:c>
      <x:c r="H1739" t="n">
        <x:v>1</x:v>
      </x:c>
    </x:row>
    <x:row r="1740">
      <x:c r="A1740" t="str">
        <x:v>SUS-001739</x:v>
      </x:c>
      <x:c r="B1740" t="str">
        <x:v>USR-00798</x:v>
      </x:c>
      <x:c r="C1740" t="str">
        <x:v>Cero</x:v>
      </x:c>
      <x:c r="D1740" t="n">
        <x:v>46266</x:v>
      </x:c>
      <x:c r="E1740" t="n">
        <x:v>46266</x:v>
      </x:c>
      <x:c r="F1740" t="str">
        <x:v>Activa</x:v>
      </x:c>
      <x:c r="G1740" t="str">
        <x:v>Gratuita</x:v>
      </x:c>
      <x:c r="H1740" t="n">
        <x:v>1</x:v>
      </x:c>
    </x:row>
    <x:row r="1741">
      <x:c r="A1741" t="str">
        <x:v>SUS-001740</x:v>
      </x:c>
      <x:c r="B1741" t="str">
        <x:v>USR-00811</x:v>
      </x:c>
      <x:c r="C1741" t="str">
        <x:v>Plus mensual</x:v>
      </x:c>
      <x:c r="D1741" t="n">
        <x:v>46266</x:v>
      </x:c>
      <x:c r="E1741" t="n">
        <x:v>46266</x:v>
      </x:c>
      <x:c r="F1741" t="str">
        <x:v>Activa</x:v>
      </x:c>
      <x:c r="G1741" t="str">
        <x:v>Mensual</x:v>
      </x:c>
      <x:c r="H1741" t="n">
        <x:v>1</x:v>
      </x:c>
    </x:row>
    <x:row r="1742">
      <x:c r="A1742" t="str">
        <x:v>SUS-001741</x:v>
      </x:c>
      <x:c r="B1742" t="str">
        <x:v>USR-00841</x:v>
      </x:c>
      <x:c r="C1742" t="str">
        <x:v>Plus mensual</x:v>
      </x:c>
      <x:c r="D1742" t="n">
        <x:v>46266</x:v>
      </x:c>
      <x:c r="E1742" t="n">
        <x:v>46266</x:v>
      </x:c>
      <x:c r="F1742" t="str">
        <x:v>Activa</x:v>
      </x:c>
      <x:c r="G1742" t="str">
        <x:v>Mensual</x:v>
      </x:c>
      <x:c r="H1742" t="n">
        <x:v>1</x:v>
      </x:c>
    </x:row>
    <x:row r="1743">
      <x:c r="A1743" t="str">
        <x:v>SUS-001742</x:v>
      </x:c>
      <x:c r="B1743" t="str">
        <x:v>USR-00856</x:v>
      </x:c>
      <x:c r="C1743" t="str">
        <x:v>Plus mensual</x:v>
      </x:c>
      <x:c r="D1743" t="n">
        <x:v>46266</x:v>
      </x:c>
      <x:c r="E1743" t="n">
        <x:v>46266</x:v>
      </x:c>
      <x:c r="F1743" t="str">
        <x:v>Activa</x:v>
      </x:c>
      <x:c r="G1743" t="str">
        <x:v>Mensual</x:v>
      </x:c>
      <x:c r="H1743" t="n">
        <x:v>1</x:v>
      </x:c>
    </x:row>
    <x:row r="1744">
      <x:c r="A1744" t="str">
        <x:v>SUS-001743</x:v>
      </x:c>
      <x:c r="B1744" t="str">
        <x:v>USR-00879</x:v>
      </x:c>
      <x:c r="C1744" t="str">
        <x:v>Plus mensual</x:v>
      </x:c>
      <x:c r="D1744" t="n">
        <x:v>46266</x:v>
      </x:c>
      <x:c r="E1744" t="n">
        <x:v>46266</x:v>
      </x:c>
      <x:c r="F1744" t="str">
        <x:v>Activa</x:v>
      </x:c>
      <x:c r="G1744" t="str">
        <x:v>Mensual</x:v>
      </x:c>
      <x:c r="H1744" t="n">
        <x:v>1</x:v>
      </x:c>
    </x:row>
    <x:row r="1745">
      <x:c r="A1745" t="str">
        <x:v>SUS-001744</x:v>
      </x:c>
      <x:c r="B1745" t="str">
        <x:v>USR-00899</x:v>
      </x:c>
      <x:c r="C1745" t="str">
        <x:v>Plus mensual</x:v>
      </x:c>
      <x:c r="D1745" t="n">
        <x:v>46266</x:v>
      </x:c>
      <x:c r="E1745" t="n">
        <x:v>46266</x:v>
      </x:c>
      <x:c r="F1745" t="str">
        <x:v>Activa</x:v>
      </x:c>
      <x:c r="G1745" t="str">
        <x:v>Mensual</x:v>
      </x:c>
      <x:c r="H1745" t="n">
        <x:v>1</x:v>
      </x:c>
    </x:row>
    <x:row r="1746">
      <x:c r="A1746" t="str">
        <x:v>SUS-001745</x:v>
      </x:c>
      <x:c r="B1746" t="str">
        <x:v>USR-00914</x:v>
      </x:c>
      <x:c r="C1746" t="str">
        <x:v>Plus mensual</x:v>
      </x:c>
      <x:c r="D1746" t="n">
        <x:v>46266</x:v>
      </x:c>
      <x:c r="E1746" t="n">
        <x:v>46266</x:v>
      </x:c>
      <x:c r="F1746" t="str">
        <x:v>Activa</x:v>
      </x:c>
      <x:c r="G1746" t="str">
        <x:v>Mensual</x:v>
      </x:c>
      <x:c r="H1746" t="n">
        <x:v>1</x:v>
      </x:c>
    </x:row>
    <x:row r="1747">
      <x:c r="A1747" t="str">
        <x:v>SUS-001746</x:v>
      </x:c>
      <x:c r="B1747" t="str">
        <x:v>USR-00924</x:v>
      </x:c>
      <x:c r="C1747" t="str">
        <x:v>Plus mensual</x:v>
      </x:c>
      <x:c r="D1747" t="n">
        <x:v>46266</x:v>
      </x:c>
      <x:c r="E1747" t="n">
        <x:v>46266</x:v>
      </x:c>
      <x:c r="F1747" t="str">
        <x:v>Activa</x:v>
      </x:c>
      <x:c r="G1747" t="str">
        <x:v>Mensual</x:v>
      </x:c>
      <x:c r="H1747" t="n">
        <x:v>1</x:v>
      </x:c>
    </x:row>
    <x:row r="1748">
      <x:c r="A1748" t="str">
        <x:v>SUS-001747</x:v>
      </x:c>
      <x:c r="B1748" t="str">
        <x:v>USR-00925</x:v>
      </x:c>
      <x:c r="C1748" t="str">
        <x:v>Plus anual</x:v>
      </x:c>
      <x:c r="D1748" t="n">
        <x:v>46266</x:v>
      </x:c>
      <x:c r="E1748" t="n">
        <x:v>46266</x:v>
      </x:c>
      <x:c r="F1748" t="str">
        <x:v>Activa</x:v>
      </x:c>
      <x:c r="G1748" t="str">
        <x:v>Anual</x:v>
      </x:c>
      <x:c r="H1748" t="n">
        <x:v>1</x:v>
      </x:c>
    </x:row>
    <x:row r="1749">
      <x:c r="A1749" t="str">
        <x:v>SUS-001748</x:v>
      </x:c>
      <x:c r="B1749" t="str">
        <x:v>USR-00942</x:v>
      </x:c>
      <x:c r="C1749" t="str">
        <x:v>Plus mensual</x:v>
      </x:c>
      <x:c r="D1749" t="n">
        <x:v>46266</x:v>
      </x:c>
      <x:c r="E1749" t="n">
        <x:v>46266</x:v>
      </x:c>
      <x:c r="F1749" t="str">
        <x:v>Activa</x:v>
      </x:c>
      <x:c r="G1749" t="str">
        <x:v>Mensual</x:v>
      </x:c>
      <x:c r="H1749" t="n">
        <x:v>1</x:v>
      </x:c>
    </x:row>
    <x:row r="1750">
      <x:c r="A1750" t="str">
        <x:v>SUS-001749</x:v>
      </x:c>
      <x:c r="B1750" t="str">
        <x:v>USR-01017</x:v>
      </x:c>
      <x:c r="C1750" t="str">
        <x:v>Plus mensual</x:v>
      </x:c>
      <x:c r="D1750" t="n">
        <x:v>46266</x:v>
      </x:c>
      <x:c r="E1750" t="n">
        <x:v>46266</x:v>
      </x:c>
      <x:c r="F1750" t="str">
        <x:v>Activa</x:v>
      </x:c>
      <x:c r="G1750" t="str">
        <x:v>Mensual</x:v>
      </x:c>
      <x:c r="H1750" t="n">
        <x:v>1</x:v>
      </x:c>
    </x:row>
    <x:row r="1751">
      <x:c r="A1751" t="str">
        <x:v>SUS-001750</x:v>
      </x:c>
      <x:c r="B1751" t="str">
        <x:v>USR-01028</x:v>
      </x:c>
      <x:c r="C1751" t="str">
        <x:v>Plus mensual</x:v>
      </x:c>
      <x:c r="D1751" t="n">
        <x:v>46266</x:v>
      </x:c>
      <x:c r="E1751" t="n">
        <x:v>46266</x:v>
      </x:c>
      <x:c r="F1751" t="str">
        <x:v>Activa</x:v>
      </x:c>
      <x:c r="G1751" t="str">
        <x:v>Mensual</x:v>
      </x:c>
      <x:c r="H1751" t="n">
        <x:v>1</x:v>
      </x:c>
    </x:row>
    <x:row r="1752">
      <x:c r="A1752" t="str">
        <x:v>SUS-001751</x:v>
      </x:c>
      <x:c r="B1752" t="str">
        <x:v>USR-01029</x:v>
      </x:c>
      <x:c r="C1752" t="str">
        <x:v>Plus mensual</x:v>
      </x:c>
      <x:c r="D1752" t="n">
        <x:v>46266</x:v>
      </x:c>
      <x:c r="E1752" t="n">
        <x:v>46266</x:v>
      </x:c>
      <x:c r="F1752" t="str">
        <x:v>Activa</x:v>
      </x:c>
      <x:c r="G1752" t="str">
        <x:v>Mensual</x:v>
      </x:c>
      <x:c r="H1752" t="n">
        <x:v>1</x:v>
      </x:c>
    </x:row>
    <x:row r="1753">
      <x:c r="A1753" t="str">
        <x:v>SUS-001752</x:v>
      </x:c>
      <x:c r="B1753" t="str">
        <x:v>USR-01031</x:v>
      </x:c>
      <x:c r="C1753" t="str">
        <x:v>Plus anual</x:v>
      </x:c>
      <x:c r="D1753" t="n">
        <x:v>46266</x:v>
      </x:c>
      <x:c r="E1753" t="n">
        <x:v>46266</x:v>
      </x:c>
      <x:c r="F1753" t="str">
        <x:v>Activa</x:v>
      </x:c>
      <x:c r="G1753" t="str">
        <x:v>Anual</x:v>
      </x:c>
      <x:c r="H1753" t="n">
        <x:v>1</x:v>
      </x:c>
    </x:row>
    <x:row r="1754">
      <x:c r="A1754" t="str">
        <x:v>SUS-001753</x:v>
      </x:c>
      <x:c r="B1754" t="str">
        <x:v>USR-01046</x:v>
      </x:c>
      <x:c r="C1754" t="str">
        <x:v>Plus anual</x:v>
      </x:c>
      <x:c r="D1754" t="n">
        <x:v>46266</x:v>
      </x:c>
      <x:c r="E1754" t="n">
        <x:v>46266</x:v>
      </x:c>
      <x:c r="F1754" t="str">
        <x:v>Activa</x:v>
      </x:c>
      <x:c r="G1754" t="str">
        <x:v>Anual</x:v>
      </x:c>
      <x:c r="H1754" t="n">
        <x:v>1</x:v>
      </x:c>
    </x:row>
    <x:row r="1755">
      <x:c r="A1755" t="str">
        <x:v>SUS-001754</x:v>
      </x:c>
      <x:c r="B1755" t="str">
        <x:v>USR-01055</x:v>
      </x:c>
      <x:c r="C1755" t="str">
        <x:v>Plus mensual</x:v>
      </x:c>
      <x:c r="D1755" t="n">
        <x:v>46266</x:v>
      </x:c>
      <x:c r="E1755" t="n">
        <x:v>46266</x:v>
      </x:c>
      <x:c r="F1755" t="str">
        <x:v>Activa</x:v>
      </x:c>
      <x:c r="G1755" t="str">
        <x:v>Mensual</x:v>
      </x:c>
      <x:c r="H1755" t="n">
        <x:v>1</x:v>
      </x:c>
    </x:row>
    <x:row r="1756">
      <x:c r="A1756" t="str">
        <x:v>SUS-001755</x:v>
      </x:c>
      <x:c r="B1756" t="str">
        <x:v>USR-01081</x:v>
      </x:c>
      <x:c r="C1756" t="str">
        <x:v>Plus mensual</x:v>
      </x:c>
      <x:c r="D1756" t="n">
        <x:v>46266</x:v>
      </x:c>
      <x:c r="E1756" t="n">
        <x:v>46266</x:v>
      </x:c>
      <x:c r="F1756" t="str">
        <x:v>Activa</x:v>
      </x:c>
      <x:c r="G1756" t="str">
        <x:v>Mensual</x:v>
      </x:c>
      <x:c r="H1756" t="n">
        <x:v>1</x:v>
      </x:c>
    </x:row>
    <x:row r="1757">
      <x:c r="A1757" t="str">
        <x:v>SUS-001756</x:v>
      </x:c>
      <x:c r="B1757" t="str">
        <x:v>USR-01137</x:v>
      </x:c>
      <x:c r="C1757" t="str">
        <x:v>Plus mensual</x:v>
      </x:c>
      <x:c r="D1757" t="n">
        <x:v>46266</x:v>
      </x:c>
      <x:c r="E1757" t="n">
        <x:v>46266</x:v>
      </x:c>
      <x:c r="F1757" t="str">
        <x:v>Activa</x:v>
      </x:c>
      <x:c r="G1757" t="str">
        <x:v>Mensual</x:v>
      </x:c>
      <x:c r="H1757" t="n">
        <x:v>1</x:v>
      </x:c>
    </x:row>
    <x:row r="1758">
      <x:c r="A1758" t="str">
        <x:v>SUS-001757</x:v>
      </x:c>
      <x:c r="B1758" t="str">
        <x:v>USR-01140</x:v>
      </x:c>
      <x:c r="C1758" t="str">
        <x:v>Plus mensual</x:v>
      </x:c>
      <x:c r="D1758" t="n">
        <x:v>46266</x:v>
      </x:c>
      <x:c r="E1758" t="n">
        <x:v>46266</x:v>
      </x:c>
      <x:c r="F1758" t="str">
        <x:v>Activa</x:v>
      </x:c>
      <x:c r="G1758" t="str">
        <x:v>Mensual</x:v>
      </x:c>
      <x:c r="H1758" t="n">
        <x:v>1</x:v>
      </x:c>
    </x:row>
    <x:row r="1759">
      <x:c r="A1759" t="str">
        <x:v>SUS-001758</x:v>
      </x:c>
      <x:c r="B1759" t="str">
        <x:v>USR-01152</x:v>
      </x:c>
      <x:c r="C1759" t="str">
        <x:v>Cero</x:v>
      </x:c>
      <x:c r="D1759" t="n">
        <x:v>46266</x:v>
      </x:c>
      <x:c r="E1759" t="n">
        <x:v>46266</x:v>
      </x:c>
      <x:c r="F1759" t="str">
        <x:v>Activa</x:v>
      </x:c>
      <x:c r="G1759" t="str">
        <x:v>Gratuita</x:v>
      </x:c>
      <x:c r="H1759" t="n">
        <x:v>1</x:v>
      </x:c>
    </x:row>
    <x:row r="1760">
      <x:c r="A1760" t="str">
        <x:v>SUS-001759</x:v>
      </x:c>
      <x:c r="B1760" t="str">
        <x:v>USR-01153</x:v>
      </x:c>
      <x:c r="C1760" t="str">
        <x:v>Cero</x:v>
      </x:c>
      <x:c r="D1760" t="n">
        <x:v>46266</x:v>
      </x:c>
      <x:c r="E1760" t="n">
        <x:v>46266</x:v>
      </x:c>
      <x:c r="F1760" t="str">
        <x:v>Activa</x:v>
      </x:c>
      <x:c r="G1760" t="str">
        <x:v>Gratuita</x:v>
      </x:c>
      <x:c r="H1760" t="n">
        <x:v>1</x:v>
      </x:c>
    </x:row>
    <x:row r="1761">
      <x:c r="A1761" t="str">
        <x:v>SUS-001760</x:v>
      </x:c>
      <x:c r="B1761" t="str">
        <x:v>USR-01154</x:v>
      </x:c>
      <x:c r="C1761" t="str">
        <x:v>Plus mensual</x:v>
      </x:c>
      <x:c r="D1761" t="n">
        <x:v>46266</x:v>
      </x:c>
      <x:c r="E1761" t="n">
        <x:v>46266</x:v>
      </x:c>
      <x:c r="F1761" t="str">
        <x:v>Activa</x:v>
      </x:c>
      <x:c r="G1761" t="str">
        <x:v>Mensual</x:v>
      </x:c>
      <x:c r="H1761" t="n">
        <x:v>1</x:v>
      </x:c>
    </x:row>
    <x:row r="1762">
      <x:c r="A1762" t="str">
        <x:v>SUS-001761</x:v>
      </x:c>
      <x:c r="B1762" t="str">
        <x:v>USR-01155</x:v>
      </x:c>
      <x:c r="C1762" t="str">
        <x:v>Cero</x:v>
      </x:c>
      <x:c r="D1762" t="n">
        <x:v>46266</x:v>
      </x:c>
      <x:c r="E1762" t="n">
        <x:v>46266</x:v>
      </x:c>
      <x:c r="F1762" t="str">
        <x:v>Activa</x:v>
      </x:c>
      <x:c r="G1762" t="str">
        <x:v>Gratuita</x:v>
      </x:c>
      <x:c r="H1762" t="n">
        <x:v>1</x:v>
      </x:c>
    </x:row>
    <x:row r="1763">
      <x:c r="A1763" t="str">
        <x:v>SUS-001762</x:v>
      </x:c>
      <x:c r="B1763" t="str">
        <x:v>USR-01156</x:v>
      </x:c>
      <x:c r="C1763" t="str">
        <x:v>Cero</x:v>
      </x:c>
      <x:c r="D1763" t="n">
        <x:v>46266</x:v>
      </x:c>
      <x:c r="E1763" t="n">
        <x:v>46266</x:v>
      </x:c>
      <x:c r="F1763" t="str">
        <x:v>Activa</x:v>
      </x:c>
      <x:c r="G1763" t="str">
        <x:v>Gratuita</x:v>
      </x:c>
      <x:c r="H1763" t="n">
        <x:v>1</x:v>
      </x:c>
    </x:row>
    <x:row r="1764">
      <x:c r="A1764" t="str">
        <x:v>SUS-001763</x:v>
      </x:c>
      <x:c r="B1764" t="str">
        <x:v>USR-01157</x:v>
      </x:c>
      <x:c r="C1764" t="str">
        <x:v>Plus mensual</x:v>
      </x:c>
      <x:c r="D1764" t="n">
        <x:v>46266</x:v>
      </x:c>
      <x:c r="E1764" t="n">
        <x:v>46266</x:v>
      </x:c>
      <x:c r="F1764" t="str">
        <x:v>Activa</x:v>
      </x:c>
      <x:c r="G1764" t="str">
        <x:v>Mensual</x:v>
      </x:c>
      <x:c r="H1764" t="n">
        <x:v>1</x:v>
      </x:c>
    </x:row>
    <x:row r="1765">
      <x:c r="A1765" t="str">
        <x:v>SUS-001764</x:v>
      </x:c>
      <x:c r="B1765" t="str">
        <x:v>USR-01158</x:v>
      </x:c>
      <x:c r="C1765" t="str">
        <x:v>Cero</x:v>
      </x:c>
      <x:c r="D1765" t="n">
        <x:v>46266</x:v>
      </x:c>
      <x:c r="E1765" t="n">
        <x:v>46266</x:v>
      </x:c>
      <x:c r="F1765" t="str">
        <x:v>Activa</x:v>
      </x:c>
      <x:c r="G1765" t="str">
        <x:v>Gratuita</x:v>
      </x:c>
      <x:c r="H1765" t="n">
        <x:v>1</x:v>
      </x:c>
    </x:row>
    <x:row r="1766">
      <x:c r="A1766" t="str">
        <x:v>SUS-001765</x:v>
      </x:c>
      <x:c r="B1766" t="str">
        <x:v>USR-01159</x:v>
      </x:c>
      <x:c r="C1766" t="str">
        <x:v>Plus mensual</x:v>
      </x:c>
      <x:c r="D1766" t="n">
        <x:v>46266</x:v>
      </x:c>
      <x:c r="E1766" t="n">
        <x:v>46266</x:v>
      </x:c>
      <x:c r="F1766" t="str">
        <x:v>Activa</x:v>
      </x:c>
      <x:c r="G1766" t="str">
        <x:v>Mensual</x:v>
      </x:c>
      <x:c r="H1766" t="n">
        <x:v>1</x:v>
      </x:c>
    </x:row>
    <x:row r="1767">
      <x:c r="A1767" t="str">
        <x:v>SUS-001766</x:v>
      </x:c>
      <x:c r="B1767" t="str">
        <x:v>USR-01160</x:v>
      </x:c>
      <x:c r="C1767" t="str">
        <x:v>Cero</x:v>
      </x:c>
      <x:c r="D1767" t="n">
        <x:v>46266</x:v>
      </x:c>
      <x:c r="E1767" t="n">
        <x:v>46266</x:v>
      </x:c>
      <x:c r="F1767" t="str">
        <x:v>Activa</x:v>
      </x:c>
      <x:c r="G1767" t="str">
        <x:v>Gratuita</x:v>
      </x:c>
      <x:c r="H1767" t="n">
        <x:v>1</x:v>
      </x:c>
    </x:row>
    <x:row r="1768">
      <x:c r="A1768" t="str">
        <x:v>SUS-001767</x:v>
      </x:c>
      <x:c r="B1768" t="str">
        <x:v>USR-01161</x:v>
      </x:c>
      <x:c r="C1768" t="str">
        <x:v>Cero</x:v>
      </x:c>
      <x:c r="D1768" t="n">
        <x:v>46266</x:v>
      </x:c>
      <x:c r="E1768" t="n">
        <x:v>46266</x:v>
      </x:c>
      <x:c r="F1768" t="str">
        <x:v>Activa</x:v>
      </x:c>
      <x:c r="G1768" t="str">
        <x:v>Gratuita</x:v>
      </x:c>
      <x:c r="H1768" t="n">
        <x:v>1</x:v>
      </x:c>
    </x:row>
    <x:row r="1769">
      <x:c r="A1769" t="str">
        <x:v>SUS-001768</x:v>
      </x:c>
      <x:c r="B1769" t="str">
        <x:v>USR-01162</x:v>
      </x:c>
      <x:c r="C1769" t="str">
        <x:v>Cero</x:v>
      </x:c>
      <x:c r="D1769" t="n">
        <x:v>46266</x:v>
      </x:c>
      <x:c r="E1769" t="n">
        <x:v>46266</x:v>
      </x:c>
      <x:c r="F1769" t="str">
        <x:v>Activa</x:v>
      </x:c>
      <x:c r="G1769" t="str">
        <x:v>Gratuita</x:v>
      </x:c>
      <x:c r="H1769" t="n">
        <x:v>1</x:v>
      </x:c>
    </x:row>
    <x:row r="1770">
      <x:c r="A1770" t="str">
        <x:v>SUS-001769</x:v>
      </x:c>
      <x:c r="B1770" t="str">
        <x:v>USR-01163</x:v>
      </x:c>
      <x:c r="C1770" t="str">
        <x:v>Cero</x:v>
      </x:c>
      <x:c r="D1770" t="n">
        <x:v>46266</x:v>
      </x:c>
      <x:c r="E1770" t="n">
        <x:v>46266</x:v>
      </x:c>
      <x:c r="F1770" t="str">
        <x:v>Activa</x:v>
      </x:c>
      <x:c r="G1770" t="str">
        <x:v>Gratuita</x:v>
      </x:c>
      <x:c r="H1770" t="n">
        <x:v>1</x:v>
      </x:c>
    </x:row>
    <x:row r="1771">
      <x:c r="A1771" t="str">
        <x:v>SUS-001770</x:v>
      </x:c>
      <x:c r="B1771" t="str">
        <x:v>USR-01164</x:v>
      </x:c>
      <x:c r="C1771" t="str">
        <x:v>Cero</x:v>
      </x:c>
      <x:c r="D1771" t="n">
        <x:v>46266</x:v>
      </x:c>
      <x:c r="E1771" t="n">
        <x:v>46266</x:v>
      </x:c>
      <x:c r="F1771" t="str">
        <x:v>Activa</x:v>
      </x:c>
      <x:c r="G1771" t="str">
        <x:v>Gratuita</x:v>
      </x:c>
      <x:c r="H1771" t="n">
        <x:v>1</x:v>
      </x:c>
    </x:row>
    <x:row r="1772">
      <x:c r="A1772" t="str">
        <x:v>SUS-001771</x:v>
      </x:c>
      <x:c r="B1772" t="str">
        <x:v>USR-01165</x:v>
      </x:c>
      <x:c r="C1772" t="str">
        <x:v>Plus mensual</x:v>
      </x:c>
      <x:c r="D1772" t="n">
        <x:v>46266</x:v>
      </x:c>
      <x:c r="E1772" t="n">
        <x:v>46266</x:v>
      </x:c>
      <x:c r="F1772" t="str">
        <x:v>Activa</x:v>
      </x:c>
      <x:c r="G1772" t="str">
        <x:v>Mensual</x:v>
      </x:c>
      <x:c r="H1772" t="n">
        <x:v>1</x:v>
      </x:c>
    </x:row>
    <x:row r="1773">
      <x:c r="A1773" t="str">
        <x:v>SUS-001772</x:v>
      </x:c>
      <x:c r="B1773" t="str">
        <x:v>USR-01166</x:v>
      </x:c>
      <x:c r="C1773" t="str">
        <x:v>Plus mensual</x:v>
      </x:c>
      <x:c r="D1773" t="n">
        <x:v>46266</x:v>
      </x:c>
      <x:c r="E1773" t="n">
        <x:v>46266</x:v>
      </x:c>
      <x:c r="F1773" t="str">
        <x:v>Activa</x:v>
      </x:c>
      <x:c r="G1773" t="str">
        <x:v>Mensual</x:v>
      </x:c>
      <x:c r="H1773" t="n">
        <x:v>1</x:v>
      </x:c>
    </x:row>
    <x:row r="1774">
      <x:c r="A1774" t="str">
        <x:v>SUS-001773</x:v>
      </x:c>
      <x:c r="B1774" t="str">
        <x:v>USR-01167</x:v>
      </x:c>
      <x:c r="C1774" t="str">
        <x:v>Cero</x:v>
      </x:c>
      <x:c r="D1774" t="n">
        <x:v>46266</x:v>
      </x:c>
      <x:c r="E1774" t="n">
        <x:v>46266</x:v>
      </x:c>
      <x:c r="F1774" t="str">
        <x:v>Activa</x:v>
      </x:c>
      <x:c r="G1774" t="str">
        <x:v>Gratuita</x:v>
      </x:c>
      <x:c r="H1774" t="n">
        <x:v>1</x:v>
      </x:c>
    </x:row>
    <x:row r="1775">
      <x:c r="A1775" t="str">
        <x:v>SUS-001774</x:v>
      </x:c>
      <x:c r="B1775" t="str">
        <x:v>USR-01168</x:v>
      </x:c>
      <x:c r="C1775" t="str">
        <x:v>Cero</x:v>
      </x:c>
      <x:c r="D1775" t="n">
        <x:v>46266</x:v>
      </x:c>
      <x:c r="E1775" t="n">
        <x:v>46266</x:v>
      </x:c>
      <x:c r="F1775" t="str">
        <x:v>Activa</x:v>
      </x:c>
      <x:c r="G1775" t="str">
        <x:v>Gratuita</x:v>
      </x:c>
      <x:c r="H1775" t="n">
        <x:v>1</x:v>
      </x:c>
    </x:row>
    <x:row r="1776">
      <x:c r="A1776" t="str">
        <x:v>SUS-001775</x:v>
      </x:c>
      <x:c r="B1776" t="str">
        <x:v>USR-01169</x:v>
      </x:c>
      <x:c r="C1776" t="str">
        <x:v>Cero</x:v>
      </x:c>
      <x:c r="D1776" t="n">
        <x:v>46266</x:v>
      </x:c>
      <x:c r="E1776" t="n">
        <x:v>46266</x:v>
      </x:c>
      <x:c r="F1776" t="str">
        <x:v>Activa</x:v>
      </x:c>
      <x:c r="G1776" t="str">
        <x:v>Gratuita</x:v>
      </x:c>
      <x:c r="H1776" t="n">
        <x:v>1</x:v>
      </x:c>
    </x:row>
    <x:row r="1777">
      <x:c r="A1777" t="str">
        <x:v>SUS-001776</x:v>
      </x:c>
      <x:c r="B1777" t="str">
        <x:v>USR-01170</x:v>
      </x:c>
      <x:c r="C1777" t="str">
        <x:v>Cero</x:v>
      </x:c>
      <x:c r="D1777" t="n">
        <x:v>46266</x:v>
      </x:c>
      <x:c r="E1777" t="n">
        <x:v>46266</x:v>
      </x:c>
      <x:c r="F1777" t="str">
        <x:v>Activa</x:v>
      </x:c>
      <x:c r="G1777" t="str">
        <x:v>Gratuita</x:v>
      </x:c>
      <x:c r="H1777" t="n">
        <x:v>1</x:v>
      </x:c>
    </x:row>
    <x:row r="1778">
      <x:c r="A1778" t="str">
        <x:v>SUS-001777</x:v>
      </x:c>
      <x:c r="B1778" t="str">
        <x:v>USR-01171</x:v>
      </x:c>
      <x:c r="C1778" t="str">
        <x:v>Cero</x:v>
      </x:c>
      <x:c r="D1778" t="n">
        <x:v>46266</x:v>
      </x:c>
      <x:c r="E1778" t="n">
        <x:v>46266</x:v>
      </x:c>
      <x:c r="F1778" t="str">
        <x:v>Activa</x:v>
      </x:c>
      <x:c r="G1778" t="str">
        <x:v>Gratuita</x:v>
      </x:c>
      <x:c r="H1778" t="n">
        <x:v>1</x:v>
      </x:c>
    </x:row>
    <x:row r="1779">
      <x:c r="A1779" t="str">
        <x:v>SUS-001778</x:v>
      </x:c>
      <x:c r="B1779" t="str">
        <x:v>USR-01172</x:v>
      </x:c>
      <x:c r="C1779" t="str">
        <x:v>Cero</x:v>
      </x:c>
      <x:c r="D1779" t="n">
        <x:v>46266</x:v>
      </x:c>
      <x:c r="E1779" t="n">
        <x:v>46266</x:v>
      </x:c>
      <x:c r="F1779" t="str">
        <x:v>Activa</x:v>
      </x:c>
      <x:c r="G1779" t="str">
        <x:v>Gratuita</x:v>
      </x:c>
      <x:c r="H1779" t="n">
        <x:v>1</x:v>
      </x:c>
    </x:row>
    <x:row r="1780">
      <x:c r="A1780" t="str">
        <x:v>SUS-001779</x:v>
      </x:c>
      <x:c r="B1780" t="str">
        <x:v>USR-01173</x:v>
      </x:c>
      <x:c r="C1780" t="str">
        <x:v>Cero</x:v>
      </x:c>
      <x:c r="D1780" t="n">
        <x:v>46266</x:v>
      </x:c>
      <x:c r="E1780" t="n">
        <x:v>46266</x:v>
      </x:c>
      <x:c r="F1780" t="str">
        <x:v>Activa</x:v>
      </x:c>
      <x:c r="G1780" t="str">
        <x:v>Gratuita</x:v>
      </x:c>
      <x:c r="H1780" t="n">
        <x:v>1</x:v>
      </x:c>
    </x:row>
    <x:row r="1781">
      <x:c r="A1781" t="str">
        <x:v>SUS-001780</x:v>
      </x:c>
      <x:c r="B1781" t="str">
        <x:v>USR-01174</x:v>
      </x:c>
      <x:c r="C1781" t="str">
        <x:v>Cero</x:v>
      </x:c>
      <x:c r="D1781" t="n">
        <x:v>46266</x:v>
      </x:c>
      <x:c r="E1781" t="n">
        <x:v>46266</x:v>
      </x:c>
      <x:c r="F1781" t="str">
        <x:v>Activa</x:v>
      </x:c>
      <x:c r="G1781" t="str">
        <x:v>Gratuita</x:v>
      </x:c>
      <x:c r="H1781" t="n">
        <x:v>1</x:v>
      </x:c>
    </x:row>
    <x:row r="1782">
      <x:c r="A1782" t="str">
        <x:v>SUS-001781</x:v>
      </x:c>
      <x:c r="B1782" t="str">
        <x:v>USR-01175</x:v>
      </x:c>
      <x:c r="C1782" t="str">
        <x:v>Plus anual</x:v>
      </x:c>
      <x:c r="D1782" t="n">
        <x:v>46266</x:v>
      </x:c>
      <x:c r="E1782" t="n">
        <x:v>46266</x:v>
      </x:c>
      <x:c r="F1782" t="str">
        <x:v>Activa</x:v>
      </x:c>
      <x:c r="G1782" t="str">
        <x:v>Anual</x:v>
      </x:c>
      <x:c r="H1782" t="n">
        <x:v>1</x:v>
      </x:c>
    </x:row>
    <x:row r="1783">
      <x:c r="A1783" t="str">
        <x:v>SUS-001782</x:v>
      </x:c>
      <x:c r="B1783" t="str">
        <x:v>USR-01176</x:v>
      </x:c>
      <x:c r="C1783" t="str">
        <x:v>Plus mensual</x:v>
      </x:c>
      <x:c r="D1783" t="n">
        <x:v>46266</x:v>
      </x:c>
      <x:c r="E1783" t="n">
        <x:v>46266</x:v>
      </x:c>
      <x:c r="F1783" t="str">
        <x:v>Activa</x:v>
      </x:c>
      <x:c r="G1783" t="str">
        <x:v>Mensual</x:v>
      </x:c>
      <x:c r="H1783" t="n">
        <x:v>1</x:v>
      </x:c>
    </x:row>
    <x:row r="1784">
      <x:c r="A1784" t="str">
        <x:v>SUS-001783</x:v>
      </x:c>
      <x:c r="B1784" t="str">
        <x:v>USR-01177</x:v>
      </x:c>
      <x:c r="C1784" t="str">
        <x:v>Cero</x:v>
      </x:c>
      <x:c r="D1784" t="n">
        <x:v>46266</x:v>
      </x:c>
      <x:c r="E1784" t="n">
        <x:v>46266</x:v>
      </x:c>
      <x:c r="F1784" t="str">
        <x:v>Activa</x:v>
      </x:c>
      <x:c r="G1784" t="str">
        <x:v>Gratuita</x:v>
      </x:c>
      <x:c r="H1784" t="n">
        <x:v>1</x:v>
      </x:c>
    </x:row>
    <x:row r="1785">
      <x:c r="A1785" t="str">
        <x:v>SUS-001784</x:v>
      </x:c>
      <x:c r="B1785" t="str">
        <x:v>USR-01178</x:v>
      </x:c>
      <x:c r="C1785" t="str">
        <x:v>Cero</x:v>
      </x:c>
      <x:c r="D1785" t="n">
        <x:v>46266</x:v>
      </x:c>
      <x:c r="E1785" t="n">
        <x:v>46266</x:v>
      </x:c>
      <x:c r="F1785" t="str">
        <x:v>Activa</x:v>
      </x:c>
      <x:c r="G1785" t="str">
        <x:v>Gratuita</x:v>
      </x:c>
      <x:c r="H1785" t="n">
        <x:v>1</x:v>
      </x:c>
    </x:row>
    <x:row r="1786">
      <x:c r="A1786" t="str">
        <x:v>SUS-001785</x:v>
      </x:c>
      <x:c r="B1786" t="str">
        <x:v>USR-01179</x:v>
      </x:c>
      <x:c r="C1786" t="str">
        <x:v>Cero</x:v>
      </x:c>
      <x:c r="D1786" t="n">
        <x:v>46266</x:v>
      </x:c>
      <x:c r="E1786" t="n">
        <x:v>46266</x:v>
      </x:c>
      <x:c r="F1786" t="str">
        <x:v>Activa</x:v>
      </x:c>
      <x:c r="G1786" t="str">
        <x:v>Gratuita</x:v>
      </x:c>
      <x:c r="H1786" t="n">
        <x:v>1</x:v>
      </x:c>
    </x:row>
    <x:row r="1787">
      <x:c r="A1787" t="str">
        <x:v>SUS-001786</x:v>
      </x:c>
      <x:c r="B1787" t="str">
        <x:v>USR-01180</x:v>
      </x:c>
      <x:c r="C1787" t="str">
        <x:v>Plus mensual</x:v>
      </x:c>
      <x:c r="D1787" t="n">
        <x:v>46266</x:v>
      </x:c>
      <x:c r="E1787" t="n">
        <x:v>46266</x:v>
      </x:c>
      <x:c r="F1787" t="str">
        <x:v>Activa</x:v>
      </x:c>
      <x:c r="G1787" t="str">
        <x:v>Mensual</x:v>
      </x:c>
      <x:c r="H1787" t="n">
        <x:v>1</x:v>
      </x:c>
    </x:row>
    <x:row r="1788">
      <x:c r="A1788" t="str">
        <x:v>SUS-001787</x:v>
      </x:c>
      <x:c r="B1788" t="str">
        <x:v>USR-01181</x:v>
      </x:c>
      <x:c r="C1788" t="str">
        <x:v>Cero</x:v>
      </x:c>
      <x:c r="D1788" t="n">
        <x:v>46266</x:v>
      </x:c>
      <x:c r="E1788" t="n">
        <x:v>46266</x:v>
      </x:c>
      <x:c r="F1788" t="str">
        <x:v>Activa</x:v>
      </x:c>
      <x:c r="G1788" t="str">
        <x:v>Gratuita</x:v>
      </x:c>
      <x:c r="H1788" t="n">
        <x:v>1</x:v>
      </x:c>
    </x:row>
    <x:row r="1789">
      <x:c r="A1789" t="str">
        <x:v>SUS-001788</x:v>
      </x:c>
      <x:c r="B1789" t="str">
        <x:v>USR-01182</x:v>
      </x:c>
      <x:c r="C1789" t="str">
        <x:v>Cero</x:v>
      </x:c>
      <x:c r="D1789" t="n">
        <x:v>46266</x:v>
      </x:c>
      <x:c r="E1789" t="n">
        <x:v>46266</x:v>
      </x:c>
      <x:c r="F1789" t="str">
        <x:v>Activa</x:v>
      </x:c>
      <x:c r="G1789" t="str">
        <x:v>Gratuita</x:v>
      </x:c>
      <x:c r="H1789" t="n">
        <x:v>1</x:v>
      </x:c>
    </x:row>
    <x:row r="1790">
      <x:c r="A1790" t="str">
        <x:v>SUS-001789</x:v>
      </x:c>
      <x:c r="B1790" t="str">
        <x:v>USR-01183</x:v>
      </x:c>
      <x:c r="C1790" t="str">
        <x:v>Cero</x:v>
      </x:c>
      <x:c r="D1790" t="n">
        <x:v>46266</x:v>
      </x:c>
      <x:c r="E1790" t="n">
        <x:v>46266</x:v>
      </x:c>
      <x:c r="F1790" t="str">
        <x:v>Activa</x:v>
      </x:c>
      <x:c r="G1790" t="str">
        <x:v>Gratuita</x:v>
      </x:c>
      <x:c r="H1790" t="n">
        <x:v>1</x:v>
      </x:c>
    </x:row>
    <x:row r="1791">
      <x:c r="A1791" t="str">
        <x:v>SUS-001790</x:v>
      </x:c>
      <x:c r="B1791" t="str">
        <x:v>USR-01184</x:v>
      </x:c>
      <x:c r="C1791" t="str">
        <x:v>Cero</x:v>
      </x:c>
      <x:c r="D1791" t="n">
        <x:v>46266</x:v>
      </x:c>
      <x:c r="E1791" t="n">
        <x:v>46266</x:v>
      </x:c>
      <x:c r="F1791" t="str">
        <x:v>Activa</x:v>
      </x:c>
      <x:c r="G1791" t="str">
        <x:v>Gratuita</x:v>
      </x:c>
      <x:c r="H1791" t="n">
        <x:v>1</x:v>
      </x:c>
    </x:row>
    <x:row r="1792">
      <x:c r="A1792" t="str">
        <x:v>SUS-001791</x:v>
      </x:c>
      <x:c r="B1792" t="str">
        <x:v>USR-01185</x:v>
      </x:c>
      <x:c r="C1792" t="str">
        <x:v>Cero</x:v>
      </x:c>
      <x:c r="D1792" t="n">
        <x:v>46266</x:v>
      </x:c>
      <x:c r="E1792" t="n">
        <x:v>46266</x:v>
      </x:c>
      <x:c r="F1792" t="str">
        <x:v>Activa</x:v>
      </x:c>
      <x:c r="G1792" t="str">
        <x:v>Gratuita</x:v>
      </x:c>
      <x:c r="H1792" t="n">
        <x:v>1</x:v>
      </x:c>
    </x:row>
    <x:row r="1793">
      <x:c r="A1793" t="str">
        <x:v>SUS-001792</x:v>
      </x:c>
      <x:c r="B1793" t="str">
        <x:v>USR-01186</x:v>
      </x:c>
      <x:c r="C1793" t="str">
        <x:v>Cero</x:v>
      </x:c>
      <x:c r="D1793" t="n">
        <x:v>46266</x:v>
      </x:c>
      <x:c r="E1793" t="n">
        <x:v>46266</x:v>
      </x:c>
      <x:c r="F1793" t="str">
        <x:v>Activa</x:v>
      </x:c>
      <x:c r="G1793" t="str">
        <x:v>Gratuita</x:v>
      </x:c>
      <x:c r="H1793" t="n">
        <x:v>1</x:v>
      </x:c>
    </x:row>
    <x:row r="1794">
      <x:c r="A1794" t="str">
        <x:v>SUS-001793</x:v>
      </x:c>
      <x:c r="B1794" t="str">
        <x:v>USR-01187</x:v>
      </x:c>
      <x:c r="C1794" t="str">
        <x:v>Plus mensual</x:v>
      </x:c>
      <x:c r="D1794" t="n">
        <x:v>46266</x:v>
      </x:c>
      <x:c r="E1794" t="n">
        <x:v>46266</x:v>
      </x:c>
      <x:c r="F1794" t="str">
        <x:v>Activa</x:v>
      </x:c>
      <x:c r="G1794" t="str">
        <x:v>Mensual</x:v>
      </x:c>
      <x:c r="H1794" t="n">
        <x:v>1</x:v>
      </x:c>
    </x:row>
    <x:row r="1795">
      <x:c r="A1795" t="str">
        <x:v>SUS-001794</x:v>
      </x:c>
      <x:c r="B1795" t="str">
        <x:v>USR-01188</x:v>
      </x:c>
      <x:c r="C1795" t="str">
        <x:v>Cero</x:v>
      </x:c>
      <x:c r="D1795" t="n">
        <x:v>46266</x:v>
      </x:c>
      <x:c r="E1795" t="n">
        <x:v>46266</x:v>
      </x:c>
      <x:c r="F1795" t="str">
        <x:v>Activa</x:v>
      </x:c>
      <x:c r="G1795" t="str">
        <x:v>Gratuita</x:v>
      </x:c>
      <x:c r="H1795" t="n">
        <x:v>1</x:v>
      </x:c>
    </x:row>
    <x:row r="1796">
      <x:c r="A1796" t="str">
        <x:v>SUS-001795</x:v>
      </x:c>
      <x:c r="B1796" t="str">
        <x:v>USR-01189</x:v>
      </x:c>
      <x:c r="C1796" t="str">
        <x:v>Plus anual</x:v>
      </x:c>
      <x:c r="D1796" t="n">
        <x:v>46266</x:v>
      </x:c>
      <x:c r="E1796" t="n">
        <x:v>46266</x:v>
      </x:c>
      <x:c r="F1796" t="str">
        <x:v>Activa</x:v>
      </x:c>
      <x:c r="G1796" t="str">
        <x:v>Anual</x:v>
      </x:c>
      <x:c r="H1796" t="n">
        <x:v>1</x:v>
      </x:c>
    </x:row>
    <x:row r="1797">
      <x:c r="A1797" t="str">
        <x:v>SUS-001796</x:v>
      </x:c>
      <x:c r="B1797" t="str">
        <x:v>USR-01190</x:v>
      </x:c>
      <x:c r="C1797" t="str">
        <x:v>Cero</x:v>
      </x:c>
      <x:c r="D1797" t="n">
        <x:v>46266</x:v>
      </x:c>
      <x:c r="E1797" t="n">
        <x:v>46266</x:v>
      </x:c>
      <x:c r="F1797" t="str">
        <x:v>Activa</x:v>
      </x:c>
      <x:c r="G1797" t="str">
        <x:v>Gratuita</x:v>
      </x:c>
      <x:c r="H1797" t="n">
        <x:v>1</x:v>
      </x:c>
    </x:row>
    <x:row r="1798">
      <x:c r="A1798" t="str">
        <x:v>SUS-001797</x:v>
      </x:c>
      <x:c r="B1798" t="str">
        <x:v>USR-01191</x:v>
      </x:c>
      <x:c r="C1798" t="str">
        <x:v>Cero</x:v>
      </x:c>
      <x:c r="D1798" t="n">
        <x:v>46266</x:v>
      </x:c>
      <x:c r="E1798" t="n">
        <x:v>46266</x:v>
      </x:c>
      <x:c r="F1798" t="str">
        <x:v>Activa</x:v>
      </x:c>
      <x:c r="G1798" t="str">
        <x:v>Gratuita</x:v>
      </x:c>
      <x:c r="H1798" t="n">
        <x:v>1</x:v>
      </x:c>
    </x:row>
    <x:row r="1799">
      <x:c r="A1799" t="str">
        <x:v>SUS-001798</x:v>
      </x:c>
      <x:c r="B1799" t="str">
        <x:v>USR-01192</x:v>
      </x:c>
      <x:c r="C1799" t="str">
        <x:v>Cero</x:v>
      </x:c>
      <x:c r="D1799" t="n">
        <x:v>46266</x:v>
      </x:c>
      <x:c r="E1799" t="n">
        <x:v>46266</x:v>
      </x:c>
      <x:c r="F1799" t="str">
        <x:v>Activa</x:v>
      </x:c>
      <x:c r="G1799" t="str">
        <x:v>Gratuita</x:v>
      </x:c>
      <x:c r="H1799" t="n">
        <x:v>1</x:v>
      </x:c>
    </x:row>
    <x:row r="1800">
      <x:c r="A1800" t="str">
        <x:v>SUS-001799</x:v>
      </x:c>
      <x:c r="B1800" t="str">
        <x:v>USR-01193</x:v>
      </x:c>
      <x:c r="C1800" t="str">
        <x:v>Cero</x:v>
      </x:c>
      <x:c r="D1800" t="n">
        <x:v>46266</x:v>
      </x:c>
      <x:c r="E1800" t="n">
        <x:v>46266</x:v>
      </x:c>
      <x:c r="F1800" t="str">
        <x:v>Activa</x:v>
      </x:c>
      <x:c r="G1800" t="str">
        <x:v>Gratuita</x:v>
      </x:c>
      <x:c r="H1800" t="n">
        <x:v>1</x:v>
      </x:c>
    </x:row>
    <x:row r="1801">
      <x:c r="A1801" t="str">
        <x:v>SUS-001800</x:v>
      </x:c>
      <x:c r="B1801" t="str">
        <x:v>USR-01194</x:v>
      </x:c>
      <x:c r="C1801" t="str">
        <x:v>Cero</x:v>
      </x:c>
      <x:c r="D1801" t="n">
        <x:v>46266</x:v>
      </x:c>
      <x:c r="E1801" t="n">
        <x:v>46266</x:v>
      </x:c>
      <x:c r="F1801" t="str">
        <x:v>Activa</x:v>
      </x:c>
      <x:c r="G1801" t="str">
        <x:v>Gratuita</x:v>
      </x:c>
      <x:c r="H1801" t="n">
        <x:v>1</x:v>
      </x:c>
    </x:row>
    <x:row r="1802">
      <x:c r="A1802" t="str">
        <x:v>SUS-001801</x:v>
      </x:c>
      <x:c r="B1802" t="str">
        <x:v>USR-01195</x:v>
      </x:c>
      <x:c r="C1802" t="str">
        <x:v>Plus mensual</x:v>
      </x:c>
      <x:c r="D1802" t="n">
        <x:v>46266</x:v>
      </x:c>
      <x:c r="E1802" t="n">
        <x:v>46266</x:v>
      </x:c>
      <x:c r="F1802" t="str">
        <x:v>Activa</x:v>
      </x:c>
      <x:c r="G1802" t="str">
        <x:v>Mensual</x:v>
      </x:c>
      <x:c r="H1802" t="n">
        <x:v>1</x:v>
      </x:c>
    </x:row>
    <x:row r="1803">
      <x:c r="A1803" t="str">
        <x:v>SUS-001802</x:v>
      </x:c>
      <x:c r="B1803" t="str">
        <x:v>USR-01196</x:v>
      </x:c>
      <x:c r="C1803" t="str">
        <x:v>Cero</x:v>
      </x:c>
      <x:c r="D1803" t="n">
        <x:v>46266</x:v>
      </x:c>
      <x:c r="E1803" t="n">
        <x:v>46266</x:v>
      </x:c>
      <x:c r="F1803" t="str">
        <x:v>Activa</x:v>
      </x:c>
      <x:c r="G1803" t="str">
        <x:v>Gratuita</x:v>
      </x:c>
      <x:c r="H1803" t="n">
        <x:v>1</x:v>
      </x:c>
    </x:row>
    <x:row r="1804">
      <x:c r="A1804" t="str">
        <x:v>SUS-001803</x:v>
      </x:c>
      <x:c r="B1804" t="str">
        <x:v>USR-01197</x:v>
      </x:c>
      <x:c r="C1804" t="str">
        <x:v>Cero</x:v>
      </x:c>
      <x:c r="D1804" t="n">
        <x:v>46266</x:v>
      </x:c>
      <x:c r="E1804" t="n">
        <x:v>46266</x:v>
      </x:c>
      <x:c r="F1804" t="str">
        <x:v>Activa</x:v>
      </x:c>
      <x:c r="G1804" t="str">
        <x:v>Gratuita</x:v>
      </x:c>
      <x:c r="H1804" t="n">
        <x:v>1</x:v>
      </x:c>
    </x:row>
    <x:row r="1805">
      <x:c r="A1805" t="str">
        <x:v>SUS-001804</x:v>
      </x:c>
      <x:c r="B1805" t="str">
        <x:v>USR-01198</x:v>
      </x:c>
      <x:c r="C1805" t="str">
        <x:v>Plus anual</x:v>
      </x:c>
      <x:c r="D1805" t="n">
        <x:v>46266</x:v>
      </x:c>
      <x:c r="E1805" t="n">
        <x:v>46266</x:v>
      </x:c>
      <x:c r="F1805" t="str">
        <x:v>Activa</x:v>
      </x:c>
      <x:c r="G1805" t="str">
        <x:v>Anual</x:v>
      </x:c>
      <x:c r="H1805" t="n">
        <x:v>1</x:v>
      </x:c>
    </x:row>
    <x:row r="1806">
      <x:c r="A1806" t="str">
        <x:v>SUS-001805</x:v>
      </x:c>
      <x:c r="B1806" t="str">
        <x:v>USR-01199</x:v>
      </x:c>
      <x:c r="C1806" t="str">
        <x:v>Cero</x:v>
      </x:c>
      <x:c r="D1806" t="n">
        <x:v>46266</x:v>
      </x:c>
      <x:c r="E1806" t="n">
        <x:v>46266</x:v>
      </x:c>
      <x:c r="F1806" t="str">
        <x:v>Activa</x:v>
      </x:c>
      <x:c r="G1806" t="str">
        <x:v>Gratuita</x:v>
      </x:c>
      <x:c r="H1806" t="n">
        <x:v>1</x:v>
      </x:c>
    </x:row>
    <x:row r="1807">
      <x:c r="A1807" t="str">
        <x:v>SUS-001806</x:v>
      </x:c>
      <x:c r="B1807" t="str">
        <x:v>USR-01200</x:v>
      </x:c>
      <x:c r="C1807" t="str">
        <x:v>Cero</x:v>
      </x:c>
      <x:c r="D1807" t="n">
        <x:v>46266</x:v>
      </x:c>
      <x:c r="E1807" t="n">
        <x:v>46266</x:v>
      </x:c>
      <x:c r="F1807" t="str">
        <x:v>Activa</x:v>
      </x:c>
      <x:c r="G1807" t="str">
        <x:v>Gratuita</x:v>
      </x:c>
      <x:c r="H1807" t="n">
        <x:v>1</x:v>
      </x:c>
    </x:row>
    <x:row r="1808">
      <x:c r="A1808" t="str">
        <x:v>SUS-001807</x:v>
      </x:c>
      <x:c r="B1808" t="str">
        <x:v>USR-01201</x:v>
      </x:c>
      <x:c r="C1808" t="str">
        <x:v>Cero</x:v>
      </x:c>
      <x:c r="D1808" t="n">
        <x:v>46266</x:v>
      </x:c>
      <x:c r="E1808" t="n">
        <x:v>46266</x:v>
      </x:c>
      <x:c r="F1808" t="str">
        <x:v>Activa</x:v>
      </x:c>
      <x:c r="G1808" t="str">
        <x:v>Gratuita</x:v>
      </x:c>
      <x:c r="H1808" t="n">
        <x:v>1</x:v>
      </x:c>
    </x:row>
    <x:row r="1809">
      <x:c r="A1809" t="str">
        <x:v>SUS-001808</x:v>
      </x:c>
      <x:c r="B1809" t="str">
        <x:v>USR-01202</x:v>
      </x:c>
      <x:c r="C1809" t="str">
        <x:v>Cero</x:v>
      </x:c>
      <x:c r="D1809" t="n">
        <x:v>46266</x:v>
      </x:c>
      <x:c r="E1809" t="n">
        <x:v>46266</x:v>
      </x:c>
      <x:c r="F1809" t="str">
        <x:v>Activa</x:v>
      </x:c>
      <x:c r="G1809" t="str">
        <x:v>Gratuita</x:v>
      </x:c>
      <x:c r="H1809" t="n">
        <x:v>1</x:v>
      </x:c>
    </x:row>
    <x:row r="1810">
      <x:c r="A1810" t="str">
        <x:v>SUS-001809</x:v>
      </x:c>
      <x:c r="B1810" t="str">
        <x:v>USR-01203</x:v>
      </x:c>
      <x:c r="C1810" t="str">
        <x:v>Cero</x:v>
      </x:c>
      <x:c r="D1810" t="n">
        <x:v>46266</x:v>
      </x:c>
      <x:c r="E1810" t="n">
        <x:v>46266</x:v>
      </x:c>
      <x:c r="F1810" t="str">
        <x:v>Activa</x:v>
      </x:c>
      <x:c r="G1810" t="str">
        <x:v>Gratuita</x:v>
      </x:c>
      <x:c r="H1810" t="n">
        <x:v>1</x:v>
      </x:c>
    </x:row>
    <x:row r="1811">
      <x:c r="A1811" t="str">
        <x:v>SUS-001810</x:v>
      </x:c>
      <x:c r="B1811" t="str">
        <x:v>USR-01204</x:v>
      </x:c>
      <x:c r="C1811" t="str">
        <x:v>Plus mensual</x:v>
      </x:c>
      <x:c r="D1811" t="n">
        <x:v>46266</x:v>
      </x:c>
      <x:c r="E1811" t="n">
        <x:v>46266</x:v>
      </x:c>
      <x:c r="F1811" t="str">
        <x:v>Activa</x:v>
      </x:c>
      <x:c r="G1811" t="str">
        <x:v>Mensual</x:v>
      </x:c>
      <x:c r="H1811" t="n">
        <x:v>1</x:v>
      </x:c>
    </x:row>
    <x:row r="1812">
      <x:c r="A1812" t="str">
        <x:v>SUS-001811</x:v>
      </x:c>
      <x:c r="B1812" t="str">
        <x:v>USR-01205</x:v>
      </x:c>
      <x:c r="C1812" t="str">
        <x:v>Cero</x:v>
      </x:c>
      <x:c r="D1812" t="n">
        <x:v>46266</x:v>
      </x:c>
      <x:c r="E1812" t="n">
        <x:v>46266</x:v>
      </x:c>
      <x:c r="F1812" t="str">
        <x:v>Activa</x:v>
      </x:c>
      <x:c r="G1812" t="str">
        <x:v>Gratuita</x:v>
      </x:c>
      <x:c r="H1812" t="n">
        <x:v>1</x:v>
      </x:c>
    </x:row>
    <x:row r="1813">
      <x:c r="A1813" t="str">
        <x:v>SUS-001812</x:v>
      </x:c>
      <x:c r="B1813" t="str">
        <x:v>USR-01206</x:v>
      </x:c>
      <x:c r="C1813" t="str">
        <x:v>Cero</x:v>
      </x:c>
      <x:c r="D1813" t="n">
        <x:v>46266</x:v>
      </x:c>
      <x:c r="E1813" t="n">
        <x:v>46266</x:v>
      </x:c>
      <x:c r="F1813" t="str">
        <x:v>Activa</x:v>
      </x:c>
      <x:c r="G1813" t="str">
        <x:v>Gratuita</x:v>
      </x:c>
      <x:c r="H1813" t="n">
        <x:v>1</x:v>
      </x:c>
    </x:row>
    <x:row r="1814">
      <x:c r="A1814" t="str">
        <x:v>SUS-001813</x:v>
      </x:c>
      <x:c r="B1814" t="str">
        <x:v>USR-01207</x:v>
      </x:c>
      <x:c r="C1814" t="str">
        <x:v>Cero</x:v>
      </x:c>
      <x:c r="D1814" t="n">
        <x:v>46266</x:v>
      </x:c>
      <x:c r="E1814" t="n">
        <x:v>46266</x:v>
      </x:c>
      <x:c r="F1814" t="str">
        <x:v>Activa</x:v>
      </x:c>
      <x:c r="G1814" t="str">
        <x:v>Gratuita</x:v>
      </x:c>
      <x:c r="H1814" t="n">
        <x:v>1</x:v>
      </x:c>
    </x:row>
    <x:row r="1815">
      <x:c r="A1815" t="str">
        <x:v>SUS-001814</x:v>
      </x:c>
      <x:c r="B1815" t="str">
        <x:v>USR-01208</x:v>
      </x:c>
      <x:c r="C1815" t="str">
        <x:v>Cero</x:v>
      </x:c>
      <x:c r="D1815" t="n">
        <x:v>46266</x:v>
      </x:c>
      <x:c r="E1815" t="n">
        <x:v>46266</x:v>
      </x:c>
      <x:c r="F1815" t="str">
        <x:v>Activa</x:v>
      </x:c>
      <x:c r="G1815" t="str">
        <x:v>Gratuita</x:v>
      </x:c>
      <x:c r="H1815" t="n">
        <x:v>1</x:v>
      </x:c>
    </x:row>
    <x:row r="1816">
      <x:c r="A1816" t="str">
        <x:v>SUS-001815</x:v>
      </x:c>
      <x:c r="B1816" t="str">
        <x:v>USR-01209</x:v>
      </x:c>
      <x:c r="C1816" t="str">
        <x:v>Cero</x:v>
      </x:c>
      <x:c r="D1816" t="n">
        <x:v>46266</x:v>
      </x:c>
      <x:c r="E1816" t="n">
        <x:v>46266</x:v>
      </x:c>
      <x:c r="F1816" t="str">
        <x:v>Activa</x:v>
      </x:c>
      <x:c r="G1816" t="str">
        <x:v>Gratuita</x:v>
      </x:c>
      <x:c r="H1816" t="n">
        <x:v>1</x:v>
      </x:c>
    </x:row>
    <x:row r="1817">
      <x:c r="A1817" t="str">
        <x:v>SUS-001816</x:v>
      </x:c>
      <x:c r="B1817" t="str">
        <x:v>USR-01210</x:v>
      </x:c>
      <x:c r="C1817" t="str">
        <x:v>Cero</x:v>
      </x:c>
      <x:c r="D1817" t="n">
        <x:v>46266</x:v>
      </x:c>
      <x:c r="E1817" t="n">
        <x:v>46266</x:v>
      </x:c>
      <x:c r="F1817" t="str">
        <x:v>Activa</x:v>
      </x:c>
      <x:c r="G1817" t="str">
        <x:v>Gratuita</x:v>
      </x:c>
      <x:c r="H1817" t="n">
        <x:v>1</x:v>
      </x:c>
    </x:row>
    <x:row r="1818">
      <x:c r="A1818" t="str">
        <x:v>SUS-001817</x:v>
      </x:c>
      <x:c r="B1818" t="str">
        <x:v>USR-01211</x:v>
      </x:c>
      <x:c r="C1818" t="str">
        <x:v>Cero</x:v>
      </x:c>
      <x:c r="D1818" t="n">
        <x:v>46266</x:v>
      </x:c>
      <x:c r="E1818" t="n">
        <x:v>46266</x:v>
      </x:c>
      <x:c r="F1818" t="str">
        <x:v>Activa</x:v>
      </x:c>
      <x:c r="G1818" t="str">
        <x:v>Gratuita</x:v>
      </x:c>
      <x:c r="H1818" t="n">
        <x:v>1</x:v>
      </x:c>
    </x:row>
    <x:row r="1819">
      <x:c r="A1819" t="str">
        <x:v>SUS-001818</x:v>
      </x:c>
      <x:c r="B1819" t="str">
        <x:v>USR-01212</x:v>
      </x:c>
      <x:c r="C1819" t="str">
        <x:v>Cero</x:v>
      </x:c>
      <x:c r="D1819" t="n">
        <x:v>46266</x:v>
      </x:c>
      <x:c r="E1819" t="n">
        <x:v>46266</x:v>
      </x:c>
      <x:c r="F1819" t="str">
        <x:v>Activa</x:v>
      </x:c>
      <x:c r="G1819" t="str">
        <x:v>Gratuita</x:v>
      </x:c>
      <x:c r="H1819" t="n">
        <x:v>1</x:v>
      </x:c>
    </x:row>
    <x:row r="1820">
      <x:c r="A1820" t="str">
        <x:v>SUS-001819</x:v>
      </x:c>
      <x:c r="B1820" t="str">
        <x:v>USR-01213</x:v>
      </x:c>
      <x:c r="C1820" t="str">
        <x:v>Cero</x:v>
      </x:c>
      <x:c r="D1820" t="n">
        <x:v>46266</x:v>
      </x:c>
      <x:c r="E1820" t="n">
        <x:v>46266</x:v>
      </x:c>
      <x:c r="F1820" t="str">
        <x:v>Activa</x:v>
      </x:c>
      <x:c r="G1820" t="str">
        <x:v>Gratuita</x:v>
      </x:c>
      <x:c r="H1820" t="n">
        <x:v>1</x:v>
      </x:c>
    </x:row>
    <x:row r="1821">
      <x:c r="A1821" t="str">
        <x:v>SUS-001820</x:v>
      </x:c>
      <x:c r="B1821" t="str">
        <x:v>USR-01214</x:v>
      </x:c>
      <x:c r="C1821" t="str">
        <x:v>Cero</x:v>
      </x:c>
      <x:c r="D1821" t="n">
        <x:v>46266</x:v>
      </x:c>
      <x:c r="E1821" t="n">
        <x:v>46266</x:v>
      </x:c>
      <x:c r="F1821" t="str">
        <x:v>Activa</x:v>
      </x:c>
      <x:c r="G1821" t="str">
        <x:v>Gratuita</x:v>
      </x:c>
      <x:c r="H1821" t="n">
        <x:v>1</x:v>
      </x:c>
    </x:row>
    <x:row r="1822">
      <x:c r="A1822" t="str">
        <x:v>SUS-001821</x:v>
      </x:c>
      <x:c r="B1822" t="str">
        <x:v>USR-01215</x:v>
      </x:c>
      <x:c r="C1822" t="str">
        <x:v>Plus mensual</x:v>
      </x:c>
      <x:c r="D1822" t="n">
        <x:v>46266</x:v>
      </x:c>
      <x:c r="E1822" t="n">
        <x:v>46266</x:v>
      </x:c>
      <x:c r="F1822" t="str">
        <x:v>Activa</x:v>
      </x:c>
      <x:c r="G1822" t="str">
        <x:v>Mensual</x:v>
      </x:c>
      <x:c r="H1822" t="n">
        <x:v>1</x:v>
      </x:c>
    </x:row>
    <x:row r="1823">
      <x:c r="A1823" t="str">
        <x:v>SUS-001822</x:v>
      </x:c>
      <x:c r="B1823" t="str">
        <x:v>USR-01216</x:v>
      </x:c>
      <x:c r="C1823" t="str">
        <x:v>Cero</x:v>
      </x:c>
      <x:c r="D1823" t="n">
        <x:v>46266</x:v>
      </x:c>
      <x:c r="E1823" t="n">
        <x:v>46266</x:v>
      </x:c>
      <x:c r="F1823" t="str">
        <x:v>Activa</x:v>
      </x:c>
      <x:c r="G1823" t="str">
        <x:v>Gratuita</x:v>
      </x:c>
      <x:c r="H1823" t="n">
        <x:v>1</x:v>
      </x:c>
    </x:row>
    <x:row r="1824">
      <x:c r="A1824" t="str">
        <x:v>SUS-001823</x:v>
      </x:c>
      <x:c r="B1824" t="str">
        <x:v>USR-01217</x:v>
      </x:c>
      <x:c r="C1824" t="str">
        <x:v>Cero</x:v>
      </x:c>
      <x:c r="D1824" t="n">
        <x:v>46266</x:v>
      </x:c>
      <x:c r="E1824" t="n">
        <x:v>46266</x:v>
      </x:c>
      <x:c r="F1824" t="str">
        <x:v>Activa</x:v>
      </x:c>
      <x:c r="G1824" t="str">
        <x:v>Gratuita</x:v>
      </x:c>
      <x:c r="H1824" t="n">
        <x:v>1</x:v>
      </x:c>
    </x:row>
    <x:row r="1825">
      <x:c r="A1825" t="str">
        <x:v>SUS-001824</x:v>
      </x:c>
      <x:c r="B1825" t="str">
        <x:v>USR-01218</x:v>
      </x:c>
      <x:c r="C1825" t="str">
        <x:v>Cero</x:v>
      </x:c>
      <x:c r="D1825" t="n">
        <x:v>46266</x:v>
      </x:c>
      <x:c r="E1825" t="n">
        <x:v>46266</x:v>
      </x:c>
      <x:c r="F1825" t="str">
        <x:v>Activa</x:v>
      </x:c>
      <x:c r="G1825" t="str">
        <x:v>Gratuita</x:v>
      </x:c>
      <x:c r="H1825" t="n">
        <x:v>1</x:v>
      </x:c>
    </x:row>
    <x:row r="1826">
      <x:c r="A1826" t="str">
        <x:v>SUS-001825</x:v>
      </x:c>
      <x:c r="B1826" t="str">
        <x:v>USR-01219</x:v>
      </x:c>
      <x:c r="C1826" t="str">
        <x:v>Cero</x:v>
      </x:c>
      <x:c r="D1826" t="n">
        <x:v>46266</x:v>
      </x:c>
      <x:c r="E1826" t="n">
        <x:v>46266</x:v>
      </x:c>
      <x:c r="F1826" t="str">
        <x:v>Activa</x:v>
      </x:c>
      <x:c r="G1826" t="str">
        <x:v>Gratuita</x:v>
      </x:c>
      <x:c r="H1826" t="n">
        <x:v>1</x:v>
      </x:c>
    </x:row>
    <x:row r="1827">
      <x:c r="A1827" t="str">
        <x:v>SUS-001826</x:v>
      </x:c>
      <x:c r="B1827" t="str">
        <x:v>USR-01220</x:v>
      </x:c>
      <x:c r="C1827" t="str">
        <x:v>Cero</x:v>
      </x:c>
      <x:c r="D1827" t="n">
        <x:v>46266</x:v>
      </x:c>
      <x:c r="E1827" t="n">
        <x:v>46266</x:v>
      </x:c>
      <x:c r="F1827" t="str">
        <x:v>Activa</x:v>
      </x:c>
      <x:c r="G1827" t="str">
        <x:v>Gratuita</x:v>
      </x:c>
      <x:c r="H1827" t="n">
        <x:v>1</x:v>
      </x:c>
    </x:row>
    <x:row r="1828">
      <x:c r="A1828" t="str">
        <x:v>SUS-001827</x:v>
      </x:c>
      <x:c r="B1828" t="str">
        <x:v>USR-01221</x:v>
      </x:c>
      <x:c r="C1828" t="str">
        <x:v>Cero</x:v>
      </x:c>
      <x:c r="D1828" t="n">
        <x:v>46266</x:v>
      </x:c>
      <x:c r="E1828" t="n">
        <x:v>46266</x:v>
      </x:c>
      <x:c r="F1828" t="str">
        <x:v>Activa</x:v>
      </x:c>
      <x:c r="G1828" t="str">
        <x:v>Gratuita</x:v>
      </x:c>
      <x:c r="H1828" t="n">
        <x:v>1</x:v>
      </x:c>
    </x:row>
    <x:row r="1829">
      <x:c r="A1829" t="str">
        <x:v>SUS-001828</x:v>
      </x:c>
      <x:c r="B1829" t="str">
        <x:v>USR-01222</x:v>
      </x:c>
      <x:c r="C1829" t="str">
        <x:v>Cero</x:v>
      </x:c>
      <x:c r="D1829" t="n">
        <x:v>46266</x:v>
      </x:c>
      <x:c r="E1829" t="n">
        <x:v>46266</x:v>
      </x:c>
      <x:c r="F1829" t="str">
        <x:v>Activa</x:v>
      </x:c>
      <x:c r="G1829" t="str">
        <x:v>Gratuita</x:v>
      </x:c>
      <x:c r="H1829" t="n">
        <x:v>1</x:v>
      </x:c>
    </x:row>
    <x:row r="1830">
      <x:c r="A1830" t="str">
        <x:v>SUS-001829</x:v>
      </x:c>
      <x:c r="B1830" t="str">
        <x:v>USR-01223</x:v>
      </x:c>
      <x:c r="C1830" t="str">
        <x:v>Cero</x:v>
      </x:c>
      <x:c r="D1830" t="n">
        <x:v>46266</x:v>
      </x:c>
      <x:c r="E1830" t="n">
        <x:v>46266</x:v>
      </x:c>
      <x:c r="F1830" t="str">
        <x:v>Activa</x:v>
      </x:c>
      <x:c r="G1830" t="str">
        <x:v>Gratuita</x:v>
      </x:c>
      <x:c r="H1830" t="n">
        <x:v>1</x:v>
      </x:c>
    </x:row>
    <x:row r="1831">
      <x:c r="A1831" t="str">
        <x:v>SUS-001830</x:v>
      </x:c>
      <x:c r="B1831" t="str">
        <x:v>USR-01224</x:v>
      </x:c>
      <x:c r="C1831" t="str">
        <x:v>Cero</x:v>
      </x:c>
      <x:c r="D1831" t="n">
        <x:v>46266</x:v>
      </x:c>
      <x:c r="E1831" t="n">
        <x:v>46266</x:v>
      </x:c>
      <x:c r="F1831" t="str">
        <x:v>Activa</x:v>
      </x:c>
      <x:c r="G1831" t="str">
        <x:v>Gratuita</x:v>
      </x:c>
      <x:c r="H1831" t="n">
        <x:v>1</x:v>
      </x:c>
    </x:row>
    <x:row r="1832">
      <x:c r="A1832" t="str">
        <x:v>SUS-001831</x:v>
      </x:c>
      <x:c r="B1832" t="str">
        <x:v>USR-01225</x:v>
      </x:c>
      <x:c r="C1832" t="str">
        <x:v>Cero</x:v>
      </x:c>
      <x:c r="D1832" t="n">
        <x:v>46266</x:v>
      </x:c>
      <x:c r="E1832" t="n">
        <x:v>46266</x:v>
      </x:c>
      <x:c r="F1832" t="str">
        <x:v>Activa</x:v>
      </x:c>
      <x:c r="G1832" t="str">
        <x:v>Gratuita</x:v>
      </x:c>
      <x:c r="H1832" t="n">
        <x:v>1</x:v>
      </x:c>
    </x:row>
    <x:row r="1833">
      <x:c r="A1833" t="str">
        <x:v>SUS-001832</x:v>
      </x:c>
      <x:c r="B1833" t="str">
        <x:v>USR-01226</x:v>
      </x:c>
      <x:c r="C1833" t="str">
        <x:v>Cero</x:v>
      </x:c>
      <x:c r="D1833" t="n">
        <x:v>46266</x:v>
      </x:c>
      <x:c r="E1833" t="n">
        <x:v>46266</x:v>
      </x:c>
      <x:c r="F1833" t="str">
        <x:v>Activa</x:v>
      </x:c>
      <x:c r="G1833" t="str">
        <x:v>Gratuita</x:v>
      </x:c>
      <x:c r="H1833" t="n">
        <x:v>1</x:v>
      </x:c>
    </x:row>
    <x:row r="1834">
      <x:c r="A1834" t="str">
        <x:v>SUS-001833</x:v>
      </x:c>
      <x:c r="B1834" t="str">
        <x:v>USR-01227</x:v>
      </x:c>
      <x:c r="C1834" t="str">
        <x:v>Plus anual</x:v>
      </x:c>
      <x:c r="D1834" t="n">
        <x:v>46266</x:v>
      </x:c>
      <x:c r="E1834" t="n">
        <x:v>46266</x:v>
      </x:c>
      <x:c r="F1834" t="str">
        <x:v>Activa</x:v>
      </x:c>
      <x:c r="G1834" t="str">
        <x:v>Anual</x:v>
      </x:c>
      <x:c r="H1834" t="n">
        <x:v>1</x:v>
      </x:c>
    </x:row>
    <x:row r="1835">
      <x:c r="A1835" t="str">
        <x:v>SUS-001834</x:v>
      </x:c>
      <x:c r="B1835" t="str">
        <x:v>USR-01228</x:v>
      </x:c>
      <x:c r="C1835" t="str">
        <x:v>Cero</x:v>
      </x:c>
      <x:c r="D1835" t="n">
        <x:v>46266</x:v>
      </x:c>
      <x:c r="E1835" t="n">
        <x:v>46266</x:v>
      </x:c>
      <x:c r="F1835" t="str">
        <x:v>Activa</x:v>
      </x:c>
      <x:c r="G1835" t="str">
        <x:v>Gratuita</x:v>
      </x:c>
      <x:c r="H1835" t="n">
        <x:v>1</x:v>
      </x:c>
    </x:row>
    <x:row r="1836">
      <x:c r="A1836" t="str">
        <x:v>SUS-001835</x:v>
      </x:c>
      <x:c r="B1836" t="str">
        <x:v>USR-01229</x:v>
      </x:c>
      <x:c r="C1836" t="str">
        <x:v>Cero</x:v>
      </x:c>
      <x:c r="D1836" t="n">
        <x:v>46266</x:v>
      </x:c>
      <x:c r="E1836" t="n">
        <x:v>46266</x:v>
      </x:c>
      <x:c r="F1836" t="str">
        <x:v>Activa</x:v>
      </x:c>
      <x:c r="G1836" t="str">
        <x:v>Gratuita</x:v>
      </x:c>
      <x:c r="H1836" t="n">
        <x:v>1</x:v>
      </x:c>
    </x:row>
    <x:row r="1837">
      <x:c r="A1837" t="str">
        <x:v>SUS-001836</x:v>
      </x:c>
      <x:c r="B1837" t="str">
        <x:v>USR-01230</x:v>
      </x:c>
      <x:c r="C1837" t="str">
        <x:v>Plus mensual</x:v>
      </x:c>
      <x:c r="D1837" t="n">
        <x:v>46266</x:v>
      </x:c>
      <x:c r="E1837" t="n">
        <x:v>46266</x:v>
      </x:c>
      <x:c r="F1837" t="str">
        <x:v>Activa</x:v>
      </x:c>
      <x:c r="G1837" t="str">
        <x:v>Mensual</x:v>
      </x:c>
      <x:c r="H1837" t="n">
        <x:v>1</x:v>
      </x:c>
    </x:row>
    <x:row r="1838">
      <x:c r="A1838" t="str">
        <x:v>SUS-001837</x:v>
      </x:c>
      <x:c r="B1838" t="str">
        <x:v>USR-01231</x:v>
      </x:c>
      <x:c r="C1838" t="str">
        <x:v>Plus mensual</x:v>
      </x:c>
      <x:c r="D1838" t="n">
        <x:v>46266</x:v>
      </x:c>
      <x:c r="E1838" t="n">
        <x:v>46266</x:v>
      </x:c>
      <x:c r="F1838" t="str">
        <x:v>Activa</x:v>
      </x:c>
      <x:c r="G1838" t="str">
        <x:v>Mensual</x:v>
      </x:c>
      <x:c r="H1838" t="n">
        <x:v>1</x:v>
      </x:c>
    </x:row>
    <x:row r="1839">
      <x:c r="A1839" t="str">
        <x:v>SUS-001838</x:v>
      </x:c>
      <x:c r="B1839" t="str">
        <x:v>USR-01232</x:v>
      </x:c>
      <x:c r="C1839" t="str">
        <x:v>Plus mensual</x:v>
      </x:c>
      <x:c r="D1839" t="n">
        <x:v>46266</x:v>
      </x:c>
      <x:c r="E1839" t="n">
        <x:v>46266</x:v>
      </x:c>
      <x:c r="F1839" t="str">
        <x:v>Activa</x:v>
      </x:c>
      <x:c r="G1839" t="str">
        <x:v>Mensual</x:v>
      </x:c>
      <x:c r="H1839" t="n">
        <x:v>1</x:v>
      </x:c>
    </x:row>
    <x:row r="1840">
      <x:c r="A1840" t="str">
        <x:v>SUS-001839</x:v>
      </x:c>
      <x:c r="B1840" t="str">
        <x:v>USR-01233</x:v>
      </x:c>
      <x:c r="C1840" t="str">
        <x:v>Plus mensual</x:v>
      </x:c>
      <x:c r="D1840" t="n">
        <x:v>46266</x:v>
      </x:c>
      <x:c r="E1840" t="n">
        <x:v>46266</x:v>
      </x:c>
      <x:c r="F1840" t="str">
        <x:v>Activa</x:v>
      </x:c>
      <x:c r="G1840" t="str">
        <x:v>Mensual</x:v>
      </x:c>
      <x:c r="H1840" t="n">
        <x:v>1</x:v>
      </x:c>
    </x:row>
    <x:row r="1841">
      <x:c r="A1841" t="str">
        <x:v>SUS-001840</x:v>
      </x:c>
      <x:c r="B1841" t="str">
        <x:v>USR-01234</x:v>
      </x:c>
      <x:c r="C1841" t="str">
        <x:v>Cero</x:v>
      </x:c>
      <x:c r="D1841" t="n">
        <x:v>46266</x:v>
      </x:c>
      <x:c r="E1841" t="n">
        <x:v>46266</x:v>
      </x:c>
      <x:c r="F1841" t="str">
        <x:v>Activa</x:v>
      </x:c>
      <x:c r="G1841" t="str">
        <x:v>Gratuita</x:v>
      </x:c>
      <x:c r="H1841" t="n">
        <x:v>1</x:v>
      </x:c>
    </x:row>
    <x:row r="1842">
      <x:c r="A1842" t="str">
        <x:v>SUS-001841</x:v>
      </x:c>
      <x:c r="B1842" t="str">
        <x:v>USR-01235</x:v>
      </x:c>
      <x:c r="C1842" t="str">
        <x:v>Cero</x:v>
      </x:c>
      <x:c r="D1842" t="n">
        <x:v>46266</x:v>
      </x:c>
      <x:c r="E1842" t="n">
        <x:v>46266</x:v>
      </x:c>
      <x:c r="F1842" t="str">
        <x:v>Activa</x:v>
      </x:c>
      <x:c r="G1842" t="str">
        <x:v>Gratuita</x:v>
      </x:c>
      <x:c r="H1842" t="n">
        <x:v>1</x:v>
      </x:c>
    </x:row>
    <x:row r="1843">
      <x:c r="A1843" t="str">
        <x:v>SUS-001842</x:v>
      </x:c>
      <x:c r="B1843" t="str">
        <x:v>USR-01236</x:v>
      </x:c>
      <x:c r="C1843" t="str">
        <x:v>Cero</x:v>
      </x:c>
      <x:c r="D1843" t="n">
        <x:v>46266</x:v>
      </x:c>
      <x:c r="E1843" t="n">
        <x:v>46266</x:v>
      </x:c>
      <x:c r="F1843" t="str">
        <x:v>Activa</x:v>
      </x:c>
      <x:c r="G1843" t="str">
        <x:v>Gratuita</x:v>
      </x:c>
      <x:c r="H1843" t="n">
        <x:v>1</x:v>
      </x:c>
    </x:row>
    <x:row r="1844">
      <x:c r="A1844" t="str">
        <x:v>SUS-001843</x:v>
      </x:c>
      <x:c r="B1844" t="str">
        <x:v>USR-01237</x:v>
      </x:c>
      <x:c r="C1844" t="str">
        <x:v>Plus anual</x:v>
      </x:c>
      <x:c r="D1844" t="n">
        <x:v>46266</x:v>
      </x:c>
      <x:c r="E1844" t="n">
        <x:v>46266</x:v>
      </x:c>
      <x:c r="F1844" t="str">
        <x:v>Activa</x:v>
      </x:c>
      <x:c r="G1844" t="str">
        <x:v>Anual</x:v>
      </x:c>
      <x:c r="H1844" t="n">
        <x:v>1</x:v>
      </x:c>
    </x:row>
    <x:row r="1845">
      <x:c r="A1845" t="str">
        <x:v>SUS-001844</x:v>
      </x:c>
      <x:c r="B1845" t="str">
        <x:v>USR-01238</x:v>
      </x:c>
      <x:c r="C1845" t="str">
        <x:v>Cero</x:v>
      </x:c>
      <x:c r="D1845" t="n">
        <x:v>46266</x:v>
      </x:c>
      <x:c r="E1845" t="n">
        <x:v>46266</x:v>
      </x:c>
      <x:c r="F1845" t="str">
        <x:v>Activa</x:v>
      </x:c>
      <x:c r="G1845" t="str">
        <x:v>Gratuita</x:v>
      </x:c>
      <x:c r="H1845" t="n">
        <x:v>1</x:v>
      </x:c>
    </x:row>
    <x:row r="1846">
      <x:c r="A1846" t="str">
        <x:v>SUS-001845</x:v>
      </x:c>
      <x:c r="B1846" t="str">
        <x:v>USR-01239</x:v>
      </x:c>
      <x:c r="C1846" t="str">
        <x:v>Cero</x:v>
      </x:c>
      <x:c r="D1846" t="n">
        <x:v>46266</x:v>
      </x:c>
      <x:c r="E1846" t="n">
        <x:v>46266</x:v>
      </x:c>
      <x:c r="F1846" t="str">
        <x:v>Activa</x:v>
      </x:c>
      <x:c r="G1846" t="str">
        <x:v>Gratuita</x:v>
      </x:c>
      <x:c r="H1846" t="n">
        <x:v>1</x:v>
      </x:c>
    </x:row>
    <x:row r="1847">
      <x:c r="A1847" t="str">
        <x:v>SUS-001846</x:v>
      </x:c>
      <x:c r="B1847" t="str">
        <x:v>USR-01240</x:v>
      </x:c>
      <x:c r="C1847" t="str">
        <x:v>Plus anual</x:v>
      </x:c>
      <x:c r="D1847" t="n">
        <x:v>46266</x:v>
      </x:c>
      <x:c r="E1847" t="n">
        <x:v>46266</x:v>
      </x:c>
      <x:c r="F1847" t="str">
        <x:v>Activa</x:v>
      </x:c>
      <x:c r="G1847" t="str">
        <x:v>Anual</x:v>
      </x:c>
      <x:c r="H1847" t="n">
        <x:v>1</x:v>
      </x:c>
    </x:row>
    <x:row r="1848">
      <x:c r="A1848" t="str">
        <x:v>SUS-001847</x:v>
      </x:c>
      <x:c r="B1848" t="str">
        <x:v>USR-01241</x:v>
      </x:c>
      <x:c r="C1848" t="str">
        <x:v>Cero</x:v>
      </x:c>
      <x:c r="D1848" t="n">
        <x:v>46266</x:v>
      </x:c>
      <x:c r="E1848" t="n">
        <x:v>46266</x:v>
      </x:c>
      <x:c r="F1848" t="str">
        <x:v>Activa</x:v>
      </x:c>
      <x:c r="G1848" t="str">
        <x:v>Gratuita</x:v>
      </x:c>
      <x:c r="H1848" t="n">
        <x:v>1</x:v>
      </x:c>
    </x:row>
    <x:row r="1849">
      <x:c r="A1849" t="str">
        <x:v>SUS-001848</x:v>
      </x:c>
      <x:c r="B1849" t="str">
        <x:v>USR-01242</x:v>
      </x:c>
      <x:c r="C1849" t="str">
        <x:v>Cero</x:v>
      </x:c>
      <x:c r="D1849" t="n">
        <x:v>46266</x:v>
      </x:c>
      <x:c r="E1849" t="n">
        <x:v>46266</x:v>
      </x:c>
      <x:c r="F1849" t="str">
        <x:v>Activa</x:v>
      </x:c>
      <x:c r="G1849" t="str">
        <x:v>Gratuita</x:v>
      </x:c>
      <x:c r="H1849" t="n">
        <x:v>1</x:v>
      </x:c>
    </x:row>
    <x:row r="1850">
      <x:c r="A1850" t="str">
        <x:v>SUS-001849</x:v>
      </x:c>
      <x:c r="B1850" t="str">
        <x:v>USR-01243</x:v>
      </x:c>
      <x:c r="C1850" t="str">
        <x:v>Cero</x:v>
      </x:c>
      <x:c r="D1850" t="n">
        <x:v>46266</x:v>
      </x:c>
      <x:c r="E1850" t="n">
        <x:v>46266</x:v>
      </x:c>
      <x:c r="F1850" t="str">
        <x:v>Activa</x:v>
      </x:c>
      <x:c r="G1850" t="str">
        <x:v>Gratuita</x:v>
      </x:c>
      <x:c r="H1850" t="n">
        <x:v>1</x:v>
      </x:c>
    </x:row>
    <x:row r="1851">
      <x:c r="A1851" t="str">
        <x:v>SUS-001850</x:v>
      </x:c>
      <x:c r="B1851" t="str">
        <x:v>USR-01244</x:v>
      </x:c>
      <x:c r="C1851" t="str">
        <x:v>Cero</x:v>
      </x:c>
      <x:c r="D1851" t="n">
        <x:v>46266</x:v>
      </x:c>
      <x:c r="E1851" t="n">
        <x:v>46266</x:v>
      </x:c>
      <x:c r="F1851" t="str">
        <x:v>Activa</x:v>
      </x:c>
      <x:c r="G1851" t="str">
        <x:v>Gratuita</x:v>
      </x:c>
      <x:c r="H1851" t="n">
        <x:v>1</x:v>
      </x:c>
    </x:row>
    <x:row r="1852">
      <x:c r="A1852" t="str">
        <x:v>SUS-001851</x:v>
      </x:c>
      <x:c r="B1852" t="str">
        <x:v>USR-01245</x:v>
      </x:c>
      <x:c r="C1852" t="str">
        <x:v>Cero</x:v>
      </x:c>
      <x:c r="D1852" t="n">
        <x:v>46266</x:v>
      </x:c>
      <x:c r="E1852" t="n">
        <x:v>46266</x:v>
      </x:c>
      <x:c r="F1852" t="str">
        <x:v>Activa</x:v>
      </x:c>
      <x:c r="G1852" t="str">
        <x:v>Gratuita</x:v>
      </x:c>
      <x:c r="H1852" t="n">
        <x:v>1</x:v>
      </x:c>
    </x:row>
    <x:row r="1853">
      <x:c r="A1853" t="str">
        <x:v>SUS-001852</x:v>
      </x:c>
      <x:c r="B1853" t="str">
        <x:v>USR-01246</x:v>
      </x:c>
      <x:c r="C1853" t="str">
        <x:v>Cero</x:v>
      </x:c>
      <x:c r="D1853" t="n">
        <x:v>46266</x:v>
      </x:c>
      <x:c r="E1853" t="n">
        <x:v>46266</x:v>
      </x:c>
      <x:c r="F1853" t="str">
        <x:v>Activa</x:v>
      </x:c>
      <x:c r="G1853" t="str">
        <x:v>Gratuita</x:v>
      </x:c>
      <x:c r="H1853" t="n">
        <x:v>1</x:v>
      </x:c>
    </x:row>
    <x:row r="1854">
      <x:c r="A1854" t="str">
        <x:v>SUS-001853</x:v>
      </x:c>
      <x:c r="B1854" t="str">
        <x:v>USR-01247</x:v>
      </x:c>
      <x:c r="C1854" t="str">
        <x:v>Cero</x:v>
      </x:c>
      <x:c r="D1854" t="n">
        <x:v>46266</x:v>
      </x:c>
      <x:c r="E1854" t="n">
        <x:v>46266</x:v>
      </x:c>
      <x:c r="F1854" t="str">
        <x:v>Activa</x:v>
      </x:c>
      <x:c r="G1854" t="str">
        <x:v>Gratuita</x:v>
      </x:c>
      <x:c r="H1854" t="n">
        <x:v>1</x:v>
      </x:c>
    </x:row>
    <x:row r="1855">
      <x:c r="A1855" t="str">
        <x:v>SUS-001854</x:v>
      </x:c>
      <x:c r="B1855" t="str">
        <x:v>USR-01248</x:v>
      </x:c>
      <x:c r="C1855" t="str">
        <x:v>Cero</x:v>
      </x:c>
      <x:c r="D1855" t="n">
        <x:v>46266</x:v>
      </x:c>
      <x:c r="E1855" t="n">
        <x:v>46266</x:v>
      </x:c>
      <x:c r="F1855" t="str">
        <x:v>Activa</x:v>
      </x:c>
      <x:c r="G1855" t="str">
        <x:v>Gratuita</x:v>
      </x:c>
      <x:c r="H1855" t="n">
        <x:v>1</x:v>
      </x:c>
    </x:row>
    <x:row r="1856">
      <x:c r="A1856" t="str">
        <x:v>SUS-001855</x:v>
      </x:c>
      <x:c r="B1856" t="str">
        <x:v>USR-01249</x:v>
      </x:c>
      <x:c r="C1856" t="str">
        <x:v>Plus anual</x:v>
      </x:c>
      <x:c r="D1856" t="n">
        <x:v>46266</x:v>
      </x:c>
      <x:c r="E1856" t="n">
        <x:v>46266</x:v>
      </x:c>
      <x:c r="F1856" t="str">
        <x:v>Activa</x:v>
      </x:c>
      <x:c r="G1856" t="str">
        <x:v>Anual</x:v>
      </x:c>
      <x:c r="H1856" t="n">
        <x:v>1</x:v>
      </x:c>
    </x:row>
    <x:row r="1857">
      <x:c r="A1857" t="str">
        <x:v>SUS-001856</x:v>
      </x:c>
      <x:c r="B1857" t="str">
        <x:v>USR-01250</x:v>
      </x:c>
      <x:c r="C1857" t="str">
        <x:v>Cero</x:v>
      </x:c>
      <x:c r="D1857" t="n">
        <x:v>46266</x:v>
      </x:c>
      <x:c r="E1857" t="n">
        <x:v>46266</x:v>
      </x:c>
      <x:c r="F1857" t="str">
        <x:v>Activa</x:v>
      </x:c>
      <x:c r="G1857" t="str">
        <x:v>Gratuita</x:v>
      </x:c>
      <x:c r="H1857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3" hidden="0" customWidth="1"/>
    <x:col min="8" max="8" width="17" hidden="0" customWidth="1"/>
    <x:col min="9" max="9" width="20" hidden="0" customWidth="1"/>
    <x:col min="10" max="10" width="17" hidden="0" customWidth="1"/>
    <x:col min="11" max="11" width="28" hidden="0" customWidth="1"/>
    <x:col min="12" max="12" width="27" hidden="0" customWidth="1"/>
    <x:col min="13" max="13" width="24" hidden="0" customWidth="1"/>
    <x:col min="14" max="14" width="19" hidden="0" customWidth="1"/>
    <x:col min="15" max="15" width="22" hidden="0" customWidth="1"/>
    <x:col min="16" max="16" width="19" hidden="0" customWidth="1"/>
  </x:cols>
  <x:sheetData>
    <x:row r="1" ht="34" customHeight="1">
      <x:c r="A1" s="36" t="str">
        <x:v>mes</x:v>
      </x:c>
      <x:c r="B1" s="36" t="str">
        <x:v>usuario_id</x:v>
      </x:c>
      <x:c r="C1" s="36" t="str">
        <x:v>plan</x:v>
      </x:c>
      <x:c r="D1" s="36" t="str">
        <x:v>tipo_plan</x:v>
      </x:c>
      <x:c r="E1" s="36" t="str">
        <x:v>ciudad</x:v>
      </x:c>
      <x:c r="F1" s="36" t="str">
        <x:v>departamento</x:v>
      </x:c>
      <x:c r="G1" s="36" t="str">
        <x:v>edad</x:v>
      </x:c>
      <x:c r="H1" s="36" t="str">
        <x:v>rango_ingresos</x:v>
      </x:c>
      <x:c r="I1" s="36" t="str">
        <x:v>canal_adquisicion</x:v>
      </x:c>
      <x:c r="J1" s="36" t="str">
        <x:v>deudas_activas</x:v>
      </x:c>
      <x:c r="K1" s="36" t="str">
        <x:v>deudas_pagadas_acumuladas</x:v>
      </x:c>
      <x:c r="L1" s="36" t="str">
        <x:v>saldo_deudas_fin_mes_cop</x:v>
      </x:c>
      <x:c r="M1" s="36" t="str">
        <x:v>abonos_deudas_mes_cop</x:v>
      </x:c>
      <x:c r="N1" s="36" t="str">
        <x:v>cantidad_abonos_mes</x:v>
      </x:c>
      <x:c r="O1" s="36" t="str">
        <x:v>mrr_equivalente_cop</x:v>
      </x:c>
      <x:c r="P1" s="36" t="str">
        <x:v>antiguedad_meses</x:v>
      </x:c>
    </x:row>
    <x:row r="2">
      <x:c r="A2" t="str">
        <x:v>2025-01</x:v>
      </x:c>
      <x:c r="B2" t="str">
        <x:v>USR-00001</x:v>
      </x:c>
      <x:c r="C2" t="str">
        <x:v>Cero</x:v>
      </x:c>
      <x:c r="D2" t="str">
        <x:v>Gratuita</x:v>
      </x:c>
      <x:c r="E2" t="str">
        <x:v>Medellín</x:v>
      </x:c>
      <x:c r="F2" t="str">
        <x:v>Antioquia</x:v>
      </x:c>
      <x:c r="G2" t="n">
        <x:v>44</x:v>
      </x:c>
      <x:c r="H2" t="str">
        <x:v>Entre $1,5 M y $3 M</x:v>
      </x:c>
      <x:c r="I2" t="str">
        <x:v>Redes sociales</x:v>
      </x:c>
      <x:c r="J2" t="n">
        <x:v>1</x:v>
      </x:c>
      <x:c r="K2" t="n">
        <x:v>0</x:v>
      </x:c>
      <x:c r="L2" t="n">
        <x:v>17953749.08</x:v>
      </x:c>
      <x:c r="M2" t="n">
        <x:v>0</x:v>
      </x:c>
      <x:c r="N2" t="n">
        <x:v>0</x:v>
      </x:c>
      <x:c r="O2" t="n">
        <x:v>0</x:v>
      </x:c>
      <x:c r="P2" t="n">
        <x:v>1</x:v>
      </x:c>
    </x:row>
    <x:row r="3">
      <x:c r="A3" t="str">
        <x:v>2025-01</x:v>
      </x:c>
      <x:c r="B3" t="str">
        <x:v>USR-00002</x:v>
      </x:c>
      <x:c r="C3" t="str">
        <x:v>Cero</x:v>
      </x:c>
      <x:c r="D3" t="str">
        <x:v>Gratuita</x:v>
      </x:c>
      <x:c r="E3" t="str">
        <x:v>Bogotá</x:v>
      </x:c>
      <x:c r="F3" t="str">
        <x:v>Bogotá D.C.</x:v>
      </x:c>
      <x:c r="G3" t="n">
        <x:v>54</x:v>
      </x:c>
      <x:c r="H3" t="str">
        <x:v>Entre $3 M y $5 M</x:v>
      </x:c>
      <x:c r="I3" t="str">
        <x:v>Alianzas</x:v>
      </x:c>
      <x:c r="J3" t="n">
        <x:v>2</x:v>
      </x:c>
      <x:c r="K3" t="n">
        <x:v>0</x:v>
      </x:c>
      <x:c r="L3" t="n">
        <x:v>33035447.72</x:v>
      </x:c>
      <x:c r="M3" t="n">
        <x:v>982100</x:v>
      </x:c>
      <x:c r="N3" t="n">
        <x:v>1</x:v>
      </x:c>
      <x:c r="O3" t="n">
        <x:v>0</x:v>
      </x:c>
      <x:c r="P3" t="n">
        <x:v>1</x:v>
      </x:c>
    </x:row>
    <x:row r="4">
      <x:c r="A4" t="str">
        <x:v>2025-01</x:v>
      </x:c>
      <x:c r="B4" t="str">
        <x:v>USR-00003</x:v>
      </x:c>
      <x:c r="C4" t="str">
        <x:v>Cero</x:v>
      </x:c>
      <x:c r="D4" t="str">
        <x:v>Gratuita</x:v>
      </x:c>
      <x:c r="E4" t="str">
        <x:v>Bogotá</x:v>
      </x:c>
      <x:c r="F4" t="str">
        <x:v>Bogotá D.C.</x:v>
      </x:c>
      <x:c r="G4" t="n">
        <x:v>63</x:v>
      </x:c>
      <x:c r="H4" t="str">
        <x:v>Entre $1,5 M y $3 M</x:v>
      </x:c>
      <x:c r="I4" t="str">
        <x:v>Redes sociales</x:v>
      </x:c>
      <x:c r="J4" t="n">
        <x:v>2</x:v>
      </x:c>
      <x:c r="K4" t="n">
        <x:v>0</x:v>
      </x:c>
      <x:c r="L4" t="n">
        <x:v>21575331.32</x:v>
      </x:c>
      <x:c r="M4" t="n">
        <x:v>532600</x:v>
      </x:c>
      <x:c r="N4" t="n">
        <x:v>1</x:v>
      </x:c>
      <x:c r="O4" t="n">
        <x:v>0</x:v>
      </x:c>
      <x:c r="P4" t="n">
        <x:v>1</x:v>
      </x:c>
    </x:row>
    <x:row r="5">
      <x:c r="A5" t="str">
        <x:v>2025-01</x:v>
      </x:c>
      <x:c r="B5" t="str">
        <x:v>USR-00004</x:v>
      </x:c>
      <x:c r="C5" t="str">
        <x:v>Plus mensual</x:v>
      </x:c>
      <x:c r="D5" t="str">
        <x:v>Pago</x:v>
      </x:c>
      <x:c r="E5" t="str">
        <x:v>Bogotá</x:v>
      </x:c>
      <x:c r="F5" t="str">
        <x:v>Bogotá D.C.</x:v>
      </x:c>
      <x:c r="G5" t="n">
        <x:v>49</x:v>
      </x:c>
      <x:c r="H5" t="str">
        <x:v>Menos de $1,5 M</x:v>
      </x:c>
      <x:c r="I5" t="str">
        <x:v>Alianzas</x:v>
      </x:c>
      <x:c r="J5" t="n">
        <x:v>2</x:v>
      </x:c>
      <x:c r="K5" t="n">
        <x:v>0</x:v>
      </x:c>
      <x:c r="L5" t="n">
        <x:v>18967352.59</x:v>
      </x:c>
      <x:c r="M5" t="n">
        <x:v>864000</x:v>
      </x:c>
      <x:c r="N5" t="n">
        <x:v>2</x:v>
      </x:c>
      <x:c r="O5" t="n">
        <x:v>29900</x:v>
      </x:c>
      <x:c r="P5" t="n">
        <x:v>1</x:v>
      </x:c>
    </x:row>
    <x:row r="6">
      <x:c r="A6" t="str">
        <x:v>2025-01</x:v>
      </x:c>
      <x:c r="B6" t="str">
        <x:v>USR-00005</x:v>
      </x:c>
      <x:c r="C6" t="str">
        <x:v>Cero</x:v>
      </x:c>
      <x:c r="D6" t="str">
        <x:v>Gratuita</x:v>
      </x:c>
      <x:c r="E6" t="str">
        <x:v>Bogotá</x:v>
      </x:c>
      <x:c r="F6" t="str">
        <x:v>Bogotá D.C.</x:v>
      </x:c>
      <x:c r="G6" t="n">
        <x:v>45</x:v>
      </x:c>
      <x:c r="H6" t="str">
        <x:v>Entre $1,5 M y $3 M</x:v>
      </x:c>
      <x:c r="I6" t="str">
        <x:v>Orgánico</x:v>
      </x:c>
      <x:c r="J6" t="n">
        <x:v>1</x:v>
      </x:c>
      <x:c r="K6" t="n">
        <x:v>0</x:v>
      </x:c>
      <x:c r="L6" t="n">
        <x:v>6878551.29</x:v>
      </x:c>
      <x:c r="M6" t="n">
        <x:v>368600</x:v>
      </x:c>
      <x:c r="N6" t="n">
        <x:v>1</x:v>
      </x:c>
      <x:c r="O6" t="n">
        <x:v>0</x:v>
      </x:c>
      <x:c r="P6" t="n">
        <x:v>1</x:v>
      </x:c>
    </x:row>
    <x:row r="7">
      <x:c r="A7" t="str">
        <x:v>2025-01</x:v>
      </x:c>
      <x:c r="B7" t="str">
        <x:v>USR-00006</x:v>
      </x:c>
      <x:c r="C7" t="str">
        <x:v>Cero</x:v>
      </x:c>
      <x:c r="D7" t="str">
        <x:v>Gratuita</x:v>
      </x:c>
      <x:c r="E7" t="str">
        <x:v>Medellín</x:v>
      </x:c>
      <x:c r="F7" t="str">
        <x:v>Antioquia</x:v>
      </x:c>
      <x:c r="G7" t="n">
        <x:v>62</x:v>
      </x:c>
      <x:c r="H7" t="str">
        <x:v>Entre $3 M y $5 M</x:v>
      </x:c>
      <x:c r="I7" t="str">
        <x:v>Redes sociales</x:v>
      </x:c>
      <x:c r="J7" t="n">
        <x:v>1</x:v>
      </x:c>
      <x:c r="K7" t="n">
        <x:v>0</x:v>
      </x:c>
      <x:c r="L7" t="n">
        <x:v>12442700.97</x:v>
      </x:c>
      <x:c r="M7" t="n">
        <x:v>471700</x:v>
      </x:c>
      <x:c r="N7" t="n">
        <x:v>1</x:v>
      </x:c>
      <x:c r="O7" t="n">
        <x:v>0</x:v>
      </x:c>
      <x:c r="P7" t="n">
        <x:v>1</x:v>
      </x:c>
    </x:row>
    <x:row r="8">
      <x:c r="A8" t="str">
        <x:v>2025-01</x:v>
      </x:c>
      <x:c r="B8" t="str">
        <x:v>USR-00007</x:v>
      </x:c>
      <x:c r="C8" t="str">
        <x:v>Plus mensual</x:v>
      </x:c>
      <x:c r="D8" t="str">
        <x:v>Pago</x:v>
      </x:c>
      <x:c r="E8" t="str">
        <x:v>Bogotá</x:v>
      </x:c>
      <x:c r="F8" t="str">
        <x:v>Bogotá D.C.</x:v>
      </x:c>
      <x:c r="G8" t="n">
        <x:v>34</x:v>
      </x:c>
      <x:c r="H8" t="str">
        <x:v>Entre $1,5 M y $3 M</x:v>
      </x:c>
      <x:c r="I8" t="str">
        <x:v>Redes sociales</x:v>
      </x:c>
      <x:c r="J8" t="n">
        <x:v>2</x:v>
      </x:c>
      <x:c r="K8" t="n">
        <x:v>0</x:v>
      </x:c>
      <x:c r="L8" t="n">
        <x:v>23629178.4</x:v>
      </x:c>
      <x:c r="M8" t="n">
        <x:v>661600</x:v>
      </x:c>
      <x:c r="N8" t="n">
        <x:v>1</x:v>
      </x:c>
      <x:c r="O8" t="n">
        <x:v>29900</x:v>
      </x:c>
      <x:c r="P8" t="n">
        <x:v>1</x:v>
      </x:c>
    </x:row>
    <x:row r="9">
      <x:c r="A9" t="str">
        <x:v>2025-01</x:v>
      </x:c>
      <x:c r="B9" t="str">
        <x:v>USR-00008</x:v>
      </x:c>
      <x:c r="C9" t="str">
        <x:v>Cero</x:v>
      </x:c>
      <x:c r="D9" t="str">
        <x:v>Gratuita</x:v>
      </x:c>
      <x:c r="E9" t="str">
        <x:v>Barranquilla</x:v>
      </x:c>
      <x:c r="F9" t="str">
        <x:v>Atlántico</x:v>
      </x:c>
      <x:c r="G9" t="n">
        <x:v>33</x:v>
      </x:c>
      <x:c r="H9" t="str">
        <x:v>Más de $5 M</x:v>
      </x:c>
      <x:c r="I9" t="str">
        <x:v>Redes sociales</x:v>
      </x:c>
      <x:c r="J9" t="n">
        <x:v>2</x:v>
      </x:c>
      <x:c r="K9" t="n">
        <x:v>0</x:v>
      </x:c>
      <x:c r="L9" t="n">
        <x:v>28739293.44</x:v>
      </x:c>
      <x:c r="M9" t="n">
        <x:v>975000</x:v>
      </x:c>
      <x:c r="N9" t="n">
        <x:v>1</x:v>
      </x:c>
      <x:c r="O9" t="n">
        <x:v>0</x:v>
      </x:c>
      <x:c r="P9" t="n">
        <x:v>1</x:v>
      </x:c>
    </x:row>
    <x:row r="10">
      <x:c r="A10" t="str">
        <x:v>2025-01</x:v>
      </x:c>
      <x:c r="B10" t="str">
        <x:v>USR-00009</x:v>
      </x:c>
      <x:c r="C10" t="str">
        <x:v>Cero</x:v>
      </x:c>
      <x:c r="D10" t="str">
        <x:v>Gratuita</x:v>
      </x:c>
      <x:c r="E10" t="str">
        <x:v>Barranquilla</x:v>
      </x:c>
      <x:c r="F10" t="str">
        <x:v>Atlántico</x:v>
      </x:c>
      <x:c r="G10" t="n">
        <x:v>46</x:v>
      </x:c>
      <x:c r="H10" t="str">
        <x:v>Entre $1,5 M y $3 M</x:v>
      </x:c>
      <x:c r="I10" t="str">
        <x:v>Orgánico</x:v>
      </x:c>
      <x:c r="J10" t="n">
        <x:v>1</x:v>
      </x:c>
      <x:c r="K10" t="n">
        <x:v>0</x:v>
      </x:c>
      <x:c r="L10" t="n">
        <x:v>5725643.19</x:v>
      </x:c>
      <x:c r="M10" t="n">
        <x:v>206900</x:v>
      </x:c>
      <x:c r="N10" t="n">
        <x:v>1</x:v>
      </x:c>
      <x:c r="O10" t="n">
        <x:v>0</x:v>
      </x:c>
      <x:c r="P10" t="n">
        <x:v>1</x:v>
      </x:c>
    </x:row>
    <x:row r="11">
      <x:c r="A11" t="str">
        <x:v>2025-01</x:v>
      </x:c>
      <x:c r="B11" t="str">
        <x:v>USR-00010</x:v>
      </x:c>
      <x:c r="C11" t="str">
        <x:v>Cero</x:v>
      </x:c>
      <x:c r="D11" t="str">
        <x:v>Gratuita</x:v>
      </x:c>
      <x:c r="E11" t="str">
        <x:v>Bogotá</x:v>
      </x:c>
      <x:c r="F11" t="str">
        <x:v>Bogotá D.C.</x:v>
      </x:c>
      <x:c r="G11" t="n">
        <x:v>63</x:v>
      </x:c>
      <x:c r="H11" t="str">
        <x:v>Entre $3 M y $5 M</x:v>
      </x:c>
      <x:c r="I11" t="str">
        <x:v>Contenido educativo</x:v>
      </x:c>
      <x:c r="J11" t="n">
        <x:v>2</x:v>
      </x:c>
      <x:c r="K11" t="n">
        <x:v>0</x:v>
      </x:c>
      <x:c r="L11" t="n">
        <x:v>22072090.46</x:v>
      </x:c>
      <x:c r="M11" t="n">
        <x:v>1667200</x:v>
      </x:c>
      <x:c r="N11" t="n">
        <x:v>1</x:v>
      </x:c>
      <x:c r="O11" t="n">
        <x:v>0</x:v>
      </x:c>
      <x:c r="P11" t="n">
        <x:v>1</x:v>
      </x:c>
    </x:row>
    <x:row r="12">
      <x:c r="A12" t="str">
        <x:v>2025-01</x:v>
      </x:c>
      <x:c r="B12" t="str">
        <x:v>USR-00011</x:v>
      </x:c>
      <x:c r="C12" t="str">
        <x:v>Cero</x:v>
      </x:c>
      <x:c r="D12" t="str">
        <x:v>Gratuita</x:v>
      </x:c>
      <x:c r="E12" t="str">
        <x:v>Bogotá</x:v>
      </x:c>
      <x:c r="F12" t="str">
        <x:v>Bogotá D.C.</x:v>
      </x:c>
      <x:c r="G12" t="n">
        <x:v>38</x:v>
      </x:c>
      <x:c r="H12" t="str">
        <x:v>Entre $1,5 M y $3 M</x:v>
      </x:c>
      <x:c r="I12" t="str">
        <x:v>Contenido educativo</x:v>
      </x:c>
      <x:c r="J12" t="n">
        <x:v>2</x:v>
      </x:c>
      <x:c r="K12" t="n">
        <x:v>0</x:v>
      </x:c>
      <x:c r="L12" t="n">
        <x:v>22786766.75</x:v>
      </x:c>
      <x:c r="M12" t="n">
        <x:v>1862500</x:v>
      </x:c>
      <x:c r="N12" t="n">
        <x:v>2</x:v>
      </x:c>
      <x:c r="O12" t="n">
        <x:v>0</x:v>
      </x:c>
      <x:c r="P12" t="n">
        <x:v>1</x:v>
      </x:c>
    </x:row>
    <x:row r="13">
      <x:c r="A13" t="str">
        <x:v>2025-01</x:v>
      </x:c>
      <x:c r="B13" t="str">
        <x:v>USR-00012</x:v>
      </x:c>
      <x:c r="C13" t="str">
        <x:v>Cero</x:v>
      </x:c>
      <x:c r="D13" t="str">
        <x:v>Gratuita</x:v>
      </x:c>
      <x:c r="E13" t="str">
        <x:v>Bogotá</x:v>
      </x:c>
      <x:c r="F13" t="str">
        <x:v>Bogotá D.C.</x:v>
      </x:c>
      <x:c r="G13" t="n">
        <x:v>37</x:v>
      </x:c>
      <x:c r="H13" t="str">
        <x:v>Entre $1,5 M y $3 M</x:v>
      </x:c>
      <x:c r="I13" t="str">
        <x:v>Referidos</x:v>
      </x:c>
      <x:c r="J13" t="n">
        <x:v>2</x:v>
      </x:c>
      <x:c r="K13" t="n">
        <x:v>0</x:v>
      </x:c>
      <x:c r="L13" t="n">
        <x:v>17811106.64</x:v>
      </x:c>
      <x:c r="M13" t="n">
        <x:v>498300</x:v>
      </x:c>
      <x:c r="N13" t="n">
        <x:v>1</x:v>
      </x:c>
      <x:c r="O13" t="n">
        <x:v>0</x:v>
      </x:c>
      <x:c r="P13" t="n">
        <x:v>1</x:v>
      </x:c>
    </x:row>
    <x:row r="14">
      <x:c r="A14" t="str">
        <x:v>2025-01</x:v>
      </x:c>
      <x:c r="B14" t="str">
        <x:v>USR-00013</x:v>
      </x:c>
      <x:c r="C14" t="str">
        <x:v>Cero</x:v>
      </x:c>
      <x:c r="D14" t="str">
        <x:v>Gratuita</x:v>
      </x:c>
      <x:c r="E14" t="str">
        <x:v>Barranquilla</x:v>
      </x:c>
      <x:c r="F14" t="str">
        <x:v>Atlántico</x:v>
      </x:c>
      <x:c r="G14" t="n">
        <x:v>48</x:v>
      </x:c>
      <x:c r="H14" t="str">
        <x:v>Entre $1,5 M y $3 M</x:v>
      </x:c>
      <x:c r="I14" t="str">
        <x:v>Búsqueda paga</x:v>
      </x:c>
      <x:c r="J14" t="n">
        <x:v>2</x:v>
      </x:c>
      <x:c r="K14" t="n">
        <x:v>0</x:v>
      </x:c>
      <x:c r="L14" t="n">
        <x:v>51365280.17</x:v>
      </x:c>
      <x:c r="M14" t="n">
        <x:v>3350200</x:v>
      </x:c>
      <x:c r="N14" t="n">
        <x:v>2</x:v>
      </x:c>
      <x:c r="O14" t="n">
        <x:v>0</x:v>
      </x:c>
      <x:c r="P14" t="n">
        <x:v>1</x:v>
      </x:c>
    </x:row>
    <x:row r="15">
      <x:c r="A15" t="str">
        <x:v>2025-01</x:v>
      </x:c>
      <x:c r="B15" t="str">
        <x:v>USR-00014</x:v>
      </x:c>
      <x:c r="C15" t="str">
        <x:v>Cero</x:v>
      </x:c>
      <x:c r="D15" t="str">
        <x:v>Gratuita</x:v>
      </x:c>
      <x:c r="E15" t="str">
        <x:v>Bucaramanga</x:v>
      </x:c>
      <x:c r="F15" t="str">
        <x:v>Santander</x:v>
      </x:c>
      <x:c r="G15" t="n">
        <x:v>37</x:v>
      </x:c>
      <x:c r="H15" t="str">
        <x:v>Entre $1,5 M y $3 M</x:v>
      </x:c>
      <x:c r="I15" t="str">
        <x:v>Redes sociales</x:v>
      </x:c>
      <x:c r="J15" t="n">
        <x:v>2</x:v>
      </x:c>
      <x:c r="K15" t="n">
        <x:v>0</x:v>
      </x:c>
      <x:c r="L15" t="n">
        <x:v>10001103.7</x:v>
      </x:c>
      <x:c r="M15" t="n">
        <x:v>940400</x:v>
      </x:c>
      <x:c r="N15" t="n">
        <x:v>2</x:v>
      </x:c>
      <x:c r="O15" t="n">
        <x:v>0</x:v>
      </x:c>
      <x:c r="P15" t="n">
        <x:v>1</x:v>
      </x:c>
    </x:row>
    <x:row r="16">
      <x:c r="A16" t="str">
        <x:v>2025-01</x:v>
      </x:c>
      <x:c r="B16" t="str">
        <x:v>USR-00015</x:v>
      </x:c>
      <x:c r="C16" t="str">
        <x:v>Cero</x:v>
      </x:c>
      <x:c r="D16" t="str">
        <x:v>Gratuita</x:v>
      </x:c>
      <x:c r="E16" t="str">
        <x:v>Barranquilla</x:v>
      </x:c>
      <x:c r="F16" t="str">
        <x:v>Atlántico</x:v>
      </x:c>
      <x:c r="G16" t="n">
        <x:v>58</x:v>
      </x:c>
      <x:c r="H16" t="str">
        <x:v>Menos de $1,5 M</x:v>
      </x:c>
      <x:c r="I16" t="str">
        <x:v>Contenido educativo</x:v>
      </x:c>
      <x:c r="J16" t="n">
        <x:v>2</x:v>
      </x:c>
      <x:c r="K16" t="n">
        <x:v>0</x:v>
      </x:c>
      <x:c r="L16" t="n">
        <x:v>19944145</x:v>
      </x:c>
      <x:c r="M16" t="n">
        <x:v>22400</x:v>
      </x:c>
      <x:c r="N16" t="n">
        <x:v>1</x:v>
      </x:c>
      <x:c r="O16" t="n">
        <x:v>0</x:v>
      </x:c>
      <x:c r="P16" t="n">
        <x:v>1</x:v>
      </x:c>
    </x:row>
    <x:row r="17">
      <x:c r="A17" t="str">
        <x:v>2025-01</x:v>
      </x:c>
      <x:c r="B17" t="str">
        <x:v>USR-00016</x:v>
      </x:c>
      <x:c r="C17" t="str">
        <x:v>Cero</x:v>
      </x:c>
      <x:c r="D17" t="str">
        <x:v>Gratuita</x:v>
      </x:c>
      <x:c r="E17" t="str">
        <x:v>Bogotá</x:v>
      </x:c>
      <x:c r="F17" t="str">
        <x:v>Bogotá D.C.</x:v>
      </x:c>
      <x:c r="G17" t="n">
        <x:v>38</x:v>
      </x:c>
      <x:c r="H17" t="str">
        <x:v>Menos de $1,5 M</x:v>
      </x:c>
      <x:c r="I17" t="str">
        <x:v>Búsqueda paga</x:v>
      </x:c>
      <x:c r="J17" t="n">
        <x:v>1</x:v>
      </x:c>
      <x:c r="K17" t="n">
        <x:v>0</x:v>
      </x:c>
      <x:c r="L17" t="n">
        <x:v>4331816.95</x:v>
      </x:c>
      <x:c r="M17" t="n">
        <x:v>179400</x:v>
      </x:c>
      <x:c r="N17" t="n">
        <x:v>1</x:v>
      </x:c>
      <x:c r="O17" t="n">
        <x:v>0</x:v>
      </x:c>
      <x:c r="P17" t="n">
        <x:v>1</x:v>
      </x:c>
    </x:row>
    <x:row r="18">
      <x:c r="A18" t="str">
        <x:v>2025-01</x:v>
      </x:c>
      <x:c r="B18" t="str">
        <x:v>USR-00017</x:v>
      </x:c>
      <x:c r="C18" t="str">
        <x:v>Cero</x:v>
      </x:c>
      <x:c r="D18" t="str">
        <x:v>Gratuita</x:v>
      </x:c>
      <x:c r="E18" t="str">
        <x:v>Bogotá</x:v>
      </x:c>
      <x:c r="F18" t="str">
        <x:v>Bogotá D.C.</x:v>
      </x:c>
      <x:c r="G18" t="n">
        <x:v>35</x:v>
      </x:c>
      <x:c r="H18" t="str">
        <x:v>Entre $1,5 M y $3 M</x:v>
      </x:c>
      <x:c r="I18" t="str">
        <x:v>Orgánico</x:v>
      </x:c>
      <x:c r="J18" t="n">
        <x:v>1</x:v>
      </x:c>
      <x:c r="K18" t="n">
        <x:v>0</x:v>
      </x:c>
      <x:c r="L18" t="n">
        <x:v>2546115.79</x:v>
      </x:c>
      <x:c r="M18" t="n">
        <x:v>0</x:v>
      </x:c>
      <x:c r="N18" t="n">
        <x:v>0</x:v>
      </x:c>
      <x:c r="O18" t="n">
        <x:v>0</x:v>
      </x:c>
      <x:c r="P18" t="n">
        <x:v>1</x:v>
      </x:c>
    </x:row>
    <x:row r="19">
      <x:c r="A19" t="str">
        <x:v>2025-01</x:v>
      </x:c>
      <x:c r="B19" t="str">
        <x:v>USR-00018</x:v>
      </x:c>
      <x:c r="C19" t="str">
        <x:v>Cero</x:v>
      </x:c>
      <x:c r="D19" t="str">
        <x:v>Gratuita</x:v>
      </x:c>
      <x:c r="E19" t="str">
        <x:v>Bogotá</x:v>
      </x:c>
      <x:c r="F19" t="str">
        <x:v>Bogotá D.C.</x:v>
      </x:c>
      <x:c r="G19" t="n">
        <x:v>44</x:v>
      </x:c>
      <x:c r="H19" t="str">
        <x:v>Entre $1,5 M y $3 M</x:v>
      </x:c>
      <x:c r="I19" t="str">
        <x:v>Referidos</x:v>
      </x:c>
      <x:c r="J19" t="n">
        <x:v>1</x:v>
      </x:c>
      <x:c r="K19" t="n">
        <x:v>0</x:v>
      </x:c>
      <x:c r="L19" t="n">
        <x:v>9180541.47</x:v>
      </x:c>
      <x:c r="M19" t="n">
        <x:v>768000</x:v>
      </x:c>
      <x:c r="N19" t="n">
        <x:v>1</x:v>
      </x:c>
      <x:c r="O19" t="n">
        <x:v>0</x:v>
      </x:c>
      <x:c r="P19" t="n">
        <x:v>1</x:v>
      </x:c>
    </x:row>
    <x:row r="20">
      <x:c r="A20" t="str">
        <x:v>2025-01</x:v>
      </x:c>
      <x:c r="B20" t="str">
        <x:v>USR-00019</x:v>
      </x:c>
      <x:c r="C20" t="str">
        <x:v>Cero</x:v>
      </x:c>
      <x:c r="D20" t="str">
        <x:v>Gratuita</x:v>
      </x:c>
      <x:c r="E20" t="str">
        <x:v>Bogotá</x:v>
      </x:c>
      <x:c r="F20" t="str">
        <x:v>Bogotá D.C.</x:v>
      </x:c>
      <x:c r="G20" t="n">
        <x:v>60</x:v>
      </x:c>
      <x:c r="H20" t="str">
        <x:v>Entre $3 M y $5 M</x:v>
      </x:c>
      <x:c r="I20" t="str">
        <x:v>Redes sociales</x:v>
      </x:c>
      <x:c r="J20" t="n">
        <x:v>2</x:v>
      </x:c>
      <x:c r="K20" t="n">
        <x:v>0</x:v>
      </x:c>
      <x:c r="L20" t="n">
        <x:v>13629235.79</x:v>
      </x:c>
      <x:c r="M20" t="n">
        <x:v>658200</x:v>
      </x:c>
      <x:c r="N20" t="n">
        <x:v>2</x:v>
      </x:c>
      <x:c r="O20" t="n">
        <x:v>0</x:v>
      </x:c>
      <x:c r="P20" t="n">
        <x:v>1</x:v>
      </x:c>
    </x:row>
    <x:row r="21">
      <x:c r="A21" t="str">
        <x:v>2025-01</x:v>
      </x:c>
      <x:c r="B21" t="str">
        <x:v>USR-00020</x:v>
      </x:c>
      <x:c r="C21" t="str">
        <x:v>Cero</x:v>
      </x:c>
      <x:c r="D21" t="str">
        <x:v>Gratuita</x:v>
      </x:c>
      <x:c r="E21" t="str">
        <x:v>Bogotá</x:v>
      </x:c>
      <x:c r="F21" t="str">
        <x:v>Bogotá D.C.</x:v>
      </x:c>
      <x:c r="G21" t="n">
        <x:v>50</x:v>
      </x:c>
      <x:c r="H21" t="str">
        <x:v>Entre $1,5 M y $3 M</x:v>
      </x:c>
      <x:c r="I21" t="str">
        <x:v>Alianzas</x:v>
      </x:c>
      <x:c r="J21" t="n">
        <x:v>1</x:v>
      </x:c>
      <x:c r="K21" t="n">
        <x:v>0</x:v>
      </x:c>
      <x:c r="L21" t="n">
        <x:v>5469448.92</x:v>
      </x:c>
      <x:c r="M21" t="n">
        <x:v>178200</x:v>
      </x:c>
      <x:c r="N21" t="n">
        <x:v>1</x:v>
      </x:c>
      <x:c r="O21" t="n">
        <x:v>0</x:v>
      </x:c>
      <x:c r="P21" t="n">
        <x:v>1</x:v>
      </x:c>
    </x:row>
    <x:row r="22">
      <x:c r="A22" t="str">
        <x:v>2025-01</x:v>
      </x:c>
      <x:c r="B22" t="str">
        <x:v>USR-00021</x:v>
      </x:c>
      <x:c r="C22" t="str">
        <x:v>Cero</x:v>
      </x:c>
      <x:c r="D22" t="str">
        <x:v>Gratuita</x:v>
      </x:c>
      <x:c r="E22" t="str">
        <x:v>Cali</x:v>
      </x:c>
      <x:c r="F22" t="str">
        <x:v>Valle del Cauca</x:v>
      </x:c>
      <x:c r="G22" t="n">
        <x:v>51</x:v>
      </x:c>
      <x:c r="H22" t="str">
        <x:v>Menos de $1,5 M</x:v>
      </x:c>
      <x:c r="I22" t="str">
        <x:v>Redes sociales</x:v>
      </x:c>
      <x:c r="J22" t="n">
        <x:v>1</x:v>
      </x:c>
      <x:c r="K22" t="n">
        <x:v>0</x:v>
      </x:c>
      <x:c r="L22" t="n">
        <x:v>25890128.82</x:v>
      </x:c>
      <x:c r="M22" t="n">
        <x:v>1361500</x:v>
      </x:c>
      <x:c r="N22" t="n">
        <x:v>1</x:v>
      </x:c>
      <x:c r="O22" t="n">
        <x:v>0</x:v>
      </x:c>
      <x:c r="P22" t="n">
        <x:v>1</x:v>
      </x:c>
    </x:row>
    <x:row r="23">
      <x:c r="A23" t="str">
        <x:v>2025-01</x:v>
      </x:c>
      <x:c r="B23" t="str">
        <x:v>USR-00022</x:v>
      </x:c>
      <x:c r="C23" t="str">
        <x:v>Cero</x:v>
      </x:c>
      <x:c r="D23" t="str">
        <x:v>Gratuita</x:v>
      </x:c>
      <x:c r="E23" t="str">
        <x:v>Bogotá</x:v>
      </x:c>
      <x:c r="F23" t="str">
        <x:v>Bogotá D.C.</x:v>
      </x:c>
      <x:c r="G23" t="n">
        <x:v>36</x:v>
      </x:c>
      <x:c r="H23" t="str">
        <x:v>Entre $3 M y $5 M</x:v>
      </x:c>
      <x:c r="I23" t="str">
        <x:v>Orgánico</x:v>
      </x:c>
      <x:c r="J23" t="n">
        <x:v>2</x:v>
      </x:c>
      <x:c r="K23" t="n">
        <x:v>0</x:v>
      </x:c>
      <x:c r="L23" t="n">
        <x:v>20154541.03</x:v>
      </x:c>
      <x:c r="M23" t="n">
        <x:v>121300</x:v>
      </x:c>
      <x:c r="N23" t="n">
        <x:v>1</x:v>
      </x:c>
      <x:c r="O23" t="n">
        <x:v>0</x:v>
      </x:c>
      <x:c r="P23" t="n">
        <x:v>1</x:v>
      </x:c>
    </x:row>
    <x:row r="24">
      <x:c r="A24" t="str">
        <x:v>2025-01</x:v>
      </x:c>
      <x:c r="B24" t="str">
        <x:v>USR-00023</x:v>
      </x:c>
      <x:c r="C24" t="str">
        <x:v>Cero</x:v>
      </x:c>
      <x:c r="D24" t="str">
        <x:v>Gratuita</x:v>
      </x:c>
      <x:c r="E24" t="str">
        <x:v>Bogotá</x:v>
      </x:c>
      <x:c r="F24" t="str">
        <x:v>Bogotá D.C.</x:v>
      </x:c>
      <x:c r="G24" t="n">
        <x:v>24</x:v>
      </x:c>
      <x:c r="H24" t="str">
        <x:v>Menos de $1,5 M</x:v>
      </x:c>
      <x:c r="I24" t="str">
        <x:v>Alianzas</x:v>
      </x:c>
      <x:c r="J24" t="n">
        <x:v>1</x:v>
      </x:c>
      <x:c r="K24" t="n">
        <x:v>0</x:v>
      </x:c>
      <x:c r="L24" t="n">
        <x:v>5791209.53</x:v>
      </x:c>
      <x:c r="M24" t="n">
        <x:v>201500</x:v>
      </x:c>
      <x:c r="N24" t="n">
        <x:v>1</x:v>
      </x:c>
      <x:c r="O24" t="n">
        <x:v>0</x:v>
      </x:c>
      <x:c r="P24" t="n">
        <x:v>1</x:v>
      </x:c>
    </x:row>
    <x:row r="25">
      <x:c r="A25" t="str">
        <x:v>2025-01</x:v>
      </x:c>
      <x:c r="B25" t="str">
        <x:v>USR-00024</x:v>
      </x:c>
      <x:c r="C25" t="str">
        <x:v>Cero</x:v>
      </x:c>
      <x:c r="D25" t="str">
        <x:v>Gratuita</x:v>
      </x:c>
      <x:c r="E25" t="str">
        <x:v>Bogotá</x:v>
      </x:c>
      <x:c r="F25" t="str">
        <x:v>Bogotá D.C.</x:v>
      </x:c>
      <x:c r="G25" t="n">
        <x:v>59</x:v>
      </x:c>
      <x:c r="H25" t="str">
        <x:v>Menos de $1,5 M</x:v>
      </x:c>
      <x:c r="I25" t="str">
        <x:v>Orgánico</x:v>
      </x:c>
      <x:c r="J25" t="n">
        <x:v>2</x:v>
      </x:c>
      <x:c r="K25" t="n">
        <x:v>0</x:v>
      </x:c>
      <x:c r="L25" t="n">
        <x:v>55023674.08</x:v>
      </x:c>
      <x:c r="M25" t="n">
        <x:v>28300</x:v>
      </x:c>
      <x:c r="N25" t="n">
        <x:v>1</x:v>
      </x:c>
      <x:c r="O25" t="n">
        <x:v>0</x:v>
      </x:c>
      <x:c r="P25" t="n">
        <x:v>1</x:v>
      </x:c>
    </x:row>
    <x:row r="26">
      <x:c r="A26" t="str">
        <x:v>2025-01</x:v>
      </x:c>
      <x:c r="B26" t="str">
        <x:v>USR-00025</x:v>
      </x:c>
      <x:c r="C26" t="str">
        <x:v>Plus anual</x:v>
      </x:c>
      <x:c r="D26" t="str">
        <x:v>Pago</x:v>
      </x:c>
      <x:c r="E26" t="str">
        <x:v>Pereira</x:v>
      </x:c>
      <x:c r="F26" t="str">
        <x:v>Risaralda</x:v>
      </x:c>
      <x:c r="G26" t="n">
        <x:v>57</x:v>
      </x:c>
      <x:c r="H26" t="str">
        <x:v>Entre $1,5 M y $3 M</x:v>
      </x:c>
      <x:c r="I26" t="str">
        <x:v>Orgánico</x:v>
      </x:c>
      <x:c r="J26" t="n">
        <x:v>2</x:v>
      </x:c>
      <x:c r="K26" t="n">
        <x:v>0</x:v>
      </x:c>
      <x:c r="L26" t="n">
        <x:v>12449586.53</x:v>
      </x:c>
      <x:c r="M26" t="n">
        <x:v>680300</x:v>
      </x:c>
      <x:c r="N26" t="n">
        <x:v>2</x:v>
      </x:c>
      <x:c r="O26" t="n">
        <x:v>24916.67</x:v>
      </x:c>
      <x:c r="P26" t="n">
        <x:v>1</x:v>
      </x:c>
    </x:row>
    <x:row r="27">
      <x:c r="A27" t="str">
        <x:v>2025-01</x:v>
      </x:c>
      <x:c r="B27" t="str">
        <x:v>USR-00026</x:v>
      </x:c>
      <x:c r="C27" t="str">
        <x:v>Cero</x:v>
      </x:c>
      <x:c r="D27" t="str">
        <x:v>Gratuita</x:v>
      </x:c>
      <x:c r="E27" t="str">
        <x:v>Bogotá</x:v>
      </x:c>
      <x:c r="F27" t="str">
        <x:v>Bogotá D.C.</x:v>
      </x:c>
      <x:c r="G27" t="n">
        <x:v>57</x:v>
      </x:c>
      <x:c r="H27" t="str">
        <x:v>Entre $3 M y $5 M</x:v>
      </x:c>
      <x:c r="I27" t="str">
        <x:v>Redes sociales</x:v>
      </x:c>
      <x:c r="J27" t="n">
        <x:v>1</x:v>
      </x:c>
      <x:c r="K27" t="n">
        <x:v>0</x:v>
      </x:c>
      <x:c r="L27" t="n">
        <x:v>5533008.9</x:v>
      </x:c>
      <x:c r="M27" t="n">
        <x:v>187900</x:v>
      </x:c>
      <x:c r="N27" t="n">
        <x:v>1</x:v>
      </x:c>
      <x:c r="O27" t="n">
        <x:v>0</x:v>
      </x:c>
      <x:c r="P27" t="n">
        <x:v>1</x:v>
      </x:c>
    </x:row>
    <x:row r="28">
      <x:c r="A28" t="str">
        <x:v>2025-01</x:v>
      </x:c>
      <x:c r="B28" t="str">
        <x:v>USR-00027</x:v>
      </x:c>
      <x:c r="C28" t="str">
        <x:v>Plus mensual</x:v>
      </x:c>
      <x:c r="D28" t="str">
        <x:v>Pago</x:v>
      </x:c>
      <x:c r="E28" t="str">
        <x:v>Bogotá</x:v>
      </x:c>
      <x:c r="F28" t="str">
        <x:v>Bogotá D.C.</x:v>
      </x:c>
      <x:c r="G28" t="n">
        <x:v>51</x:v>
      </x:c>
      <x:c r="H28" t="str">
        <x:v>Entre $1,5 M y $3 M</x:v>
      </x:c>
      <x:c r="I28" t="str">
        <x:v>Alianzas</x:v>
      </x:c>
      <x:c r="J28" t="n">
        <x:v>4</x:v>
      </x:c>
      <x:c r="K28" t="n">
        <x:v>0</x:v>
      </x:c>
      <x:c r="L28" t="n">
        <x:v>52957313.2</x:v>
      </x:c>
      <x:c r="M28" t="n">
        <x:v>3165000</x:v>
      </x:c>
      <x:c r="N28" t="n">
        <x:v>4</x:v>
      </x:c>
      <x:c r="O28" t="n">
        <x:v>29900</x:v>
      </x:c>
      <x:c r="P28" t="n">
        <x:v>1</x:v>
      </x:c>
    </x:row>
    <x:row r="29">
      <x:c r="A29" t="str">
        <x:v>2025-01</x:v>
      </x:c>
      <x:c r="B29" t="str">
        <x:v>USR-00028</x:v>
      </x:c>
      <x:c r="C29" t="str">
        <x:v>Cero</x:v>
      </x:c>
      <x:c r="D29" t="str">
        <x:v>Gratuita</x:v>
      </x:c>
      <x:c r="E29" t="str">
        <x:v>Cali</x:v>
      </x:c>
      <x:c r="F29" t="str">
        <x:v>Valle del Cauca</x:v>
      </x:c>
      <x:c r="G29" t="n">
        <x:v>40</x:v>
      </x:c>
      <x:c r="H29" t="str">
        <x:v>Entre $1,5 M y $3 M</x:v>
      </x:c>
      <x:c r="I29" t="str">
        <x:v>Referidos</x:v>
      </x:c>
      <x:c r="J29" t="n">
        <x:v>2</x:v>
      </x:c>
      <x:c r="K29" t="n">
        <x:v>0</x:v>
      </x:c>
      <x:c r="L29" t="n">
        <x:v>19926253.29</x:v>
      </x:c>
      <x:c r="M29" t="n">
        <x:v>266100</x:v>
      </x:c>
      <x:c r="N29" t="n">
        <x:v>1</x:v>
      </x:c>
      <x:c r="O29" t="n">
        <x:v>0</x:v>
      </x:c>
      <x:c r="P29" t="n">
        <x:v>1</x:v>
      </x:c>
    </x:row>
    <x:row r="30">
      <x:c r="A30" t="str">
        <x:v>2025-01</x:v>
      </x:c>
      <x:c r="B30" t="str">
        <x:v>USR-00029</x:v>
      </x:c>
      <x:c r="C30" t="str">
        <x:v>Cero</x:v>
      </x:c>
      <x:c r="D30" t="str">
        <x:v>Gratuita</x:v>
      </x:c>
      <x:c r="E30" t="str">
        <x:v>Manizales</x:v>
      </x:c>
      <x:c r="F30" t="str">
        <x:v>Caldas</x:v>
      </x:c>
      <x:c r="G30" t="n">
        <x:v>36</x:v>
      </x:c>
      <x:c r="H30" t="str">
        <x:v>Entre $1,5 M y $3 M</x:v>
      </x:c>
      <x:c r="I30" t="str">
        <x:v>Orgánico</x:v>
      </x:c>
      <x:c r="J30" t="n">
        <x:v>2</x:v>
      </x:c>
      <x:c r="K30" t="n">
        <x:v>0</x:v>
      </x:c>
      <x:c r="L30" t="n">
        <x:v>7445445.37</x:v>
      </x:c>
      <x:c r="M30" t="n">
        <x:v>258700</x:v>
      </x:c>
      <x:c r="N30" t="n">
        <x:v>2</x:v>
      </x:c>
      <x:c r="O30" t="n">
        <x:v>0</x:v>
      </x:c>
      <x:c r="P30" t="n">
        <x:v>1</x:v>
      </x:c>
    </x:row>
    <x:row r="31">
      <x:c r="A31" t="str">
        <x:v>2025-01</x:v>
      </x:c>
      <x:c r="B31" t="str">
        <x:v>USR-00030</x:v>
      </x:c>
      <x:c r="C31" t="str">
        <x:v>Cero</x:v>
      </x:c>
      <x:c r="D31" t="str">
        <x:v>Gratuita</x:v>
      </x:c>
      <x:c r="E31" t="str">
        <x:v>Bogotá</x:v>
      </x:c>
      <x:c r="F31" t="str">
        <x:v>Bogotá D.C.</x:v>
      </x:c>
      <x:c r="G31" t="n">
        <x:v>41</x:v>
      </x:c>
      <x:c r="H31" t="str">
        <x:v>Entre $1,5 M y $3 M</x:v>
      </x:c>
      <x:c r="I31" t="str">
        <x:v>Alianzas</x:v>
      </x:c>
      <x:c r="J31" t="n">
        <x:v>1</x:v>
      </x:c>
      <x:c r="K31" t="n">
        <x:v>0</x:v>
      </x:c>
      <x:c r="L31" t="n">
        <x:v>5861224.69</x:v>
      </x:c>
      <x:c r="M31" t="n">
        <x:v>326500</x:v>
      </x:c>
      <x:c r="N31" t="n">
        <x:v>1</x:v>
      </x:c>
      <x:c r="O31" t="n">
        <x:v>0</x:v>
      </x:c>
      <x:c r="P31" t="n">
        <x:v>1</x:v>
      </x:c>
    </x:row>
    <x:row r="32">
      <x:c r="A32" t="str">
        <x:v>2025-01</x:v>
      </x:c>
      <x:c r="B32" t="str">
        <x:v>USR-00031</x:v>
      </x:c>
      <x:c r="C32" t="str">
        <x:v>Cero</x:v>
      </x:c>
      <x:c r="D32" t="str">
        <x:v>Gratuita</x:v>
      </x:c>
      <x:c r="E32" t="str">
        <x:v>Bucaramanga</x:v>
      </x:c>
      <x:c r="F32" t="str">
        <x:v>Santander</x:v>
      </x:c>
      <x:c r="G32" t="n">
        <x:v>63</x:v>
      </x:c>
      <x:c r="H32" t="str">
        <x:v>Entre $1,5 M y $3 M</x:v>
      </x:c>
      <x:c r="I32" t="str">
        <x:v>Redes sociales</x:v>
      </x:c>
      <x:c r="J32" t="n">
        <x:v>2</x:v>
      </x:c>
      <x:c r="K32" t="n">
        <x:v>0</x:v>
      </x:c>
      <x:c r="L32" t="n">
        <x:v>40859224.06</x:v>
      </x:c>
      <x:c r="M32" t="n">
        <x:v>2818900</x:v>
      </x:c>
      <x:c r="N32" t="n">
        <x:v>2</x:v>
      </x:c>
      <x:c r="O32" t="n">
        <x:v>0</x:v>
      </x:c>
      <x:c r="P32" t="n">
        <x:v>1</x:v>
      </x:c>
    </x:row>
    <x:row r="33">
      <x:c r="A33" t="str">
        <x:v>2025-02</x:v>
      </x:c>
      <x:c r="B33" t="str">
        <x:v>USR-00001</x:v>
      </x:c>
      <x:c r="C33" t="str">
        <x:v>Cero</x:v>
      </x:c>
      <x:c r="D33" t="str">
        <x:v>Gratuita</x:v>
      </x:c>
      <x:c r="E33" t="str">
        <x:v>Medellín</x:v>
      </x:c>
      <x:c r="F33" t="str">
        <x:v>Antioquia</x:v>
      </x:c>
      <x:c r="G33" t="n">
        <x:v>44</x:v>
      </x:c>
      <x:c r="H33" t="str">
        <x:v>Entre $1,5 M y $3 M</x:v>
      </x:c>
      <x:c r="I33" t="str">
        <x:v>Redes sociales</x:v>
      </x:c>
      <x:c r="J33" t="n">
        <x:v>1</x:v>
      </x:c>
      <x:c r="K33" t="n">
        <x:v>0</x:v>
      </x:c>
      <x:c r="L33" t="n">
        <x:v>17258381.61</x:v>
      </x:c>
      <x:c r="M33" t="n">
        <x:v>932200</x:v>
      </x:c>
      <x:c r="N33" t="n">
        <x:v>1</x:v>
      </x:c>
      <x:c r="O33" t="n">
        <x:v>0</x:v>
      </x:c>
      <x:c r="P33" t="n">
        <x:v>2</x:v>
      </x:c>
    </x:row>
    <x:row r="34">
      <x:c r="A34" t="str">
        <x:v>2025-02</x:v>
      </x:c>
      <x:c r="B34" t="str">
        <x:v>USR-00002</x:v>
      </x:c>
      <x:c r="C34" t="str">
        <x:v>Cero</x:v>
      </x:c>
      <x:c r="D34" t="str">
        <x:v>Gratuita</x:v>
      </x:c>
      <x:c r="E34" t="str">
        <x:v>Bogotá</x:v>
      </x:c>
      <x:c r="F34" t="str">
        <x:v>Bogotá D.C.</x:v>
      </x:c>
      <x:c r="G34" t="n">
        <x:v>54</x:v>
      </x:c>
      <x:c r="H34" t="str">
        <x:v>Entre $3 M y $5 M</x:v>
      </x:c>
      <x:c r="I34" t="str">
        <x:v>Alianzas</x:v>
      </x:c>
      <x:c r="J34" t="n">
        <x:v>2</x:v>
      </x:c>
      <x:c r="K34" t="n">
        <x:v>0</x:v>
      </x:c>
      <x:c r="L34" t="n">
        <x:v>33510461.77</x:v>
      </x:c>
      <x:c r="M34" t="n">
        <x:v>0</x:v>
      </x:c>
      <x:c r="N34" t="n">
        <x:v>0</x:v>
      </x:c>
      <x:c r="O34" t="n">
        <x:v>0</x:v>
      </x:c>
      <x:c r="P34" t="n">
        <x:v>2</x:v>
      </x:c>
    </x:row>
    <x:row r="35">
      <x:c r="A35" t="str">
        <x:v>2025-02</x:v>
      </x:c>
      <x:c r="B35" t="str">
        <x:v>USR-00003</x:v>
      </x:c>
      <x:c r="C35" t="str">
        <x:v>Cero</x:v>
      </x:c>
      <x:c r="D35" t="str">
        <x:v>Gratuita</x:v>
      </x:c>
      <x:c r="E35" t="str">
        <x:v>Bogotá</x:v>
      </x:c>
      <x:c r="F35" t="str">
        <x:v>Bogotá D.C.</x:v>
      </x:c>
      <x:c r="G35" t="n">
        <x:v>63</x:v>
      </x:c>
      <x:c r="H35" t="str">
        <x:v>Entre $1,5 M y $3 M</x:v>
      </x:c>
      <x:c r="I35" t="str">
        <x:v>Redes sociales</x:v>
      </x:c>
      <x:c r="J35" t="n">
        <x:v>2</x:v>
      </x:c>
      <x:c r="K35" t="n">
        <x:v>0</x:v>
      </x:c>
      <x:c r="L35" t="n">
        <x:v>21233785.9</x:v>
      </x:c>
      <x:c r="M35" t="n">
        <x:v>694600</x:v>
      </x:c>
      <x:c r="N35" t="n">
        <x:v>1</x:v>
      </x:c>
      <x:c r="O35" t="n">
        <x:v>0</x:v>
      </x:c>
      <x:c r="P35" t="n">
        <x:v>2</x:v>
      </x:c>
    </x:row>
    <x:row r="36">
      <x:c r="A36" t="str">
        <x:v>2025-02</x:v>
      </x:c>
      <x:c r="B36" t="str">
        <x:v>USR-00004</x:v>
      </x:c>
      <x:c r="C36" t="str">
        <x:v>Plus anual</x:v>
      </x:c>
      <x:c r="D36" t="str">
        <x:v>Pago</x:v>
      </x:c>
      <x:c r="E36" t="str">
        <x:v>Bogotá</x:v>
      </x:c>
      <x:c r="F36" t="str">
        <x:v>Bogotá D.C.</x:v>
      </x:c>
      <x:c r="G36" t="n">
        <x:v>49</x:v>
      </x:c>
      <x:c r="H36" t="str">
        <x:v>Menos de $1,5 M</x:v>
      </x:c>
      <x:c r="I36" t="str">
        <x:v>Alianzas</x:v>
      </x:c>
      <x:c r="J36" t="n">
        <x:v>2</x:v>
      </x:c>
      <x:c r="K36" t="n">
        <x:v>0</x:v>
      </x:c>
      <x:c r="L36" t="n">
        <x:v>18286827.85</x:v>
      </x:c>
      <x:c r="M36" t="n">
        <x:v>993600</x:v>
      </x:c>
      <x:c r="N36" t="n">
        <x:v>2</x:v>
      </x:c>
      <x:c r="O36" t="n">
        <x:v>24916.67</x:v>
      </x:c>
      <x:c r="P36" t="n">
        <x:v>2</x:v>
      </x:c>
    </x:row>
    <x:row r="37">
      <x:c r="A37" t="str">
        <x:v>2025-02</x:v>
      </x:c>
      <x:c r="B37" t="str">
        <x:v>USR-00005</x:v>
      </x:c>
      <x:c r="C37" t="str">
        <x:v>Plus anual</x:v>
      </x:c>
      <x:c r="D37" t="str">
        <x:v>Pago</x:v>
      </x:c>
      <x:c r="E37" t="str">
        <x:v>Bogotá</x:v>
      </x:c>
      <x:c r="F37" t="str">
        <x:v>Bogotá D.C.</x:v>
      </x:c>
      <x:c r="G37" t="n">
        <x:v>45</x:v>
      </x:c>
      <x:c r="H37" t="str">
        <x:v>Entre $1,5 M y $3 M</x:v>
      </x:c>
      <x:c r="I37" t="str">
        <x:v>Orgánico</x:v>
      </x:c>
      <x:c r="J37" t="n">
        <x:v>2</x:v>
      </x:c>
      <x:c r="K37" t="n">
        <x:v>0</x:v>
      </x:c>
      <x:c r="L37" t="n">
        <x:v>9275791.52</x:v>
      </x:c>
      <x:c r="M37" t="n">
        <x:v>564000</x:v>
      </x:c>
      <x:c r="N37" t="n">
        <x:v>2</x:v>
      </x:c>
      <x:c r="O37" t="n">
        <x:v>24916.67</x:v>
      </x:c>
      <x:c r="P37" t="n">
        <x:v>2</x:v>
      </x:c>
    </x:row>
    <x:row r="38">
      <x:c r="A38" t="str">
        <x:v>2025-02</x:v>
      </x:c>
      <x:c r="B38" t="str">
        <x:v>USR-00006</x:v>
      </x:c>
      <x:c r="C38" t="str">
        <x:v>Cero</x:v>
      </x:c>
      <x:c r="D38" t="str">
        <x:v>Gratuita</x:v>
      </x:c>
      <x:c r="E38" t="str">
        <x:v>Medellín</x:v>
      </x:c>
      <x:c r="F38" t="str">
        <x:v>Antioquia</x:v>
      </x:c>
      <x:c r="G38" t="n">
        <x:v>62</x:v>
      </x:c>
      <x:c r="H38" t="str">
        <x:v>Entre $3 M y $5 M</x:v>
      </x:c>
      <x:c r="I38" t="str">
        <x:v>Redes sociales</x:v>
      </x:c>
      <x:c r="J38" t="n">
        <x:v>1</x:v>
      </x:c>
      <x:c r="K38" t="n">
        <x:v>0</x:v>
      </x:c>
      <x:c r="L38" t="n">
        <x:v>12054965.89</x:v>
      </x:c>
      <x:c r="M38" t="n">
        <x:v>678000</x:v>
      </x:c>
      <x:c r="N38" t="n">
        <x:v>1</x:v>
      </x:c>
      <x:c r="O38" t="n">
        <x:v>0</x:v>
      </x:c>
      <x:c r="P38" t="n">
        <x:v>2</x:v>
      </x:c>
    </x:row>
    <x:row r="39">
      <x:c r="A39" t="str">
        <x:v>2025-02</x:v>
      </x:c>
      <x:c r="B39" t="str">
        <x:v>USR-00007</x:v>
      </x:c>
      <x:c r="C39" t="str">
        <x:v>Plus mensual</x:v>
      </x:c>
      <x:c r="D39" t="str">
        <x:v>Pago</x:v>
      </x:c>
      <x:c r="E39" t="str">
        <x:v>Bogotá</x:v>
      </x:c>
      <x:c r="F39" t="str">
        <x:v>Bogotá D.C.</x:v>
      </x:c>
      <x:c r="G39" t="n">
        <x:v>34</x:v>
      </x:c>
      <x:c r="H39" t="str">
        <x:v>Entre $1,5 M y $3 M</x:v>
      </x:c>
      <x:c r="I39" t="str">
        <x:v>Redes sociales</x:v>
      </x:c>
      <x:c r="J39" t="n">
        <x:v>2</x:v>
      </x:c>
      <x:c r="K39" t="n">
        <x:v>0</x:v>
      </x:c>
      <x:c r="L39" t="n">
        <x:v>22848164.31</x:v>
      </x:c>
      <x:c r="M39" t="n">
        <x:v>1267400</x:v>
      </x:c>
      <x:c r="N39" t="n">
        <x:v>2</x:v>
      </x:c>
      <x:c r="O39" t="n">
        <x:v>29900</x:v>
      </x:c>
      <x:c r="P39" t="n">
        <x:v>2</x:v>
      </x:c>
    </x:row>
    <x:row r="40">
      <x:c r="A40" t="str">
        <x:v>2025-02</x:v>
      </x:c>
      <x:c r="B40" t="str">
        <x:v>USR-00008</x:v>
      </x:c>
      <x:c r="C40" t="str">
        <x:v>Cero</x:v>
      </x:c>
      <x:c r="D40" t="str">
        <x:v>Gratuita</x:v>
      </x:c>
      <x:c r="E40" t="str">
        <x:v>Barranquilla</x:v>
      </x:c>
      <x:c r="F40" t="str">
        <x:v>Atlántico</x:v>
      </x:c>
      <x:c r="G40" t="n">
        <x:v>33</x:v>
      </x:c>
      <x:c r="H40" t="str">
        <x:v>Más de $5 M</x:v>
      </x:c>
      <x:c r="I40" t="str">
        <x:v>Redes sociales</x:v>
      </x:c>
      <x:c r="J40" t="n">
        <x:v>2</x:v>
      </x:c>
      <x:c r="K40" t="n">
        <x:v>0</x:v>
      </x:c>
      <x:c r="L40" t="n">
        <x:v>29066369.89</x:v>
      </x:c>
      <x:c r="M40" t="n">
        <x:v>0</x:v>
      </x:c>
      <x:c r="N40" t="n">
        <x:v>0</x:v>
      </x:c>
      <x:c r="O40" t="n">
        <x:v>0</x:v>
      </x:c>
      <x:c r="P40" t="n">
        <x:v>2</x:v>
      </x:c>
    </x:row>
    <x:row r="41">
      <x:c r="A41" t="str">
        <x:v>2025-02</x:v>
      </x:c>
      <x:c r="B41" t="str">
        <x:v>USR-00009</x:v>
      </x:c>
      <x:c r="C41" t="str">
        <x:v>Cero</x:v>
      </x:c>
      <x:c r="D41" t="str">
        <x:v>Gratuita</x:v>
      </x:c>
      <x:c r="E41" t="str">
        <x:v>Barranquilla</x:v>
      </x:c>
      <x:c r="F41" t="str">
        <x:v>Atlántico</x:v>
      </x:c>
      <x:c r="G41" t="n">
        <x:v>46</x:v>
      </x:c>
      <x:c r="H41" t="str">
        <x:v>Entre $1,5 M y $3 M</x:v>
      </x:c>
      <x:c r="I41" t="str">
        <x:v>Orgánico</x:v>
      </x:c>
      <x:c r="J41" t="n">
        <x:v>1</x:v>
      </x:c>
      <x:c r="K41" t="n">
        <x:v>0</x:v>
      </x:c>
      <x:c r="L41" t="n">
        <x:v>5659701.99</x:v>
      </x:c>
      <x:c r="M41" t="n">
        <x:v>206900</x:v>
      </x:c>
      <x:c r="N41" t="n">
        <x:v>1</x:v>
      </x:c>
      <x:c r="O41" t="n">
        <x:v>0</x:v>
      </x:c>
      <x:c r="P41" t="n">
        <x:v>2</x:v>
      </x:c>
    </x:row>
    <x:row r="42">
      <x:c r="A42" t="str">
        <x:v>2025-02</x:v>
      </x:c>
      <x:c r="B42" t="str">
        <x:v>USR-00010</x:v>
      </x:c>
      <x:c r="C42" t="str">
        <x:v>Cero</x:v>
      </x:c>
      <x:c r="D42" t="str">
        <x:v>Gratuita</x:v>
      </x:c>
      <x:c r="E42" t="str">
        <x:v>Bogotá</x:v>
      </x:c>
      <x:c r="F42" t="str">
        <x:v>Bogotá D.C.</x:v>
      </x:c>
      <x:c r="G42" t="n">
        <x:v>63</x:v>
      </x:c>
      <x:c r="H42" t="str">
        <x:v>Entre $3 M y $5 M</x:v>
      </x:c>
      <x:c r="I42" t="str">
        <x:v>Contenido educativo</x:v>
      </x:c>
      <x:c r="J42" t="n">
        <x:v>2</x:v>
      </x:c>
      <x:c r="K42" t="n">
        <x:v>0</x:v>
      </x:c>
      <x:c r="L42" t="n">
        <x:v>21389147.57</x:v>
      </x:c>
      <x:c r="M42" t="n">
        <x:v>1205600</x:v>
      </x:c>
      <x:c r="N42" t="n">
        <x:v>2</x:v>
      </x:c>
      <x:c r="O42" t="n">
        <x:v>0</x:v>
      </x:c>
      <x:c r="P42" t="n">
        <x:v>2</x:v>
      </x:c>
    </x:row>
    <x:row r="43">
      <x:c r="A43" t="str">
        <x:v>2025-02</x:v>
      </x:c>
      <x:c r="B43" t="str">
        <x:v>USR-00011</x:v>
      </x:c>
      <x:c r="C43" t="str">
        <x:v>Cero</x:v>
      </x:c>
      <x:c r="D43" t="str">
        <x:v>Gratuita</x:v>
      </x:c>
      <x:c r="E43" t="str">
        <x:v>Bogotá</x:v>
      </x:c>
      <x:c r="F43" t="str">
        <x:v>Bogotá D.C.</x:v>
      </x:c>
      <x:c r="G43" t="n">
        <x:v>38</x:v>
      </x:c>
      <x:c r="H43" t="str">
        <x:v>Entre $1,5 M y $3 M</x:v>
      </x:c>
      <x:c r="I43" t="str">
        <x:v>Contenido educativo</x:v>
      </x:c>
      <x:c r="J43" t="n">
        <x:v>2</x:v>
      </x:c>
      <x:c r="K43" t="n">
        <x:v>0</x:v>
      </x:c>
      <x:c r="L43" t="n">
        <x:v>20800993.35</x:v>
      </x:c>
      <x:c r="M43" t="n">
        <x:v>2524500</x:v>
      </x:c>
      <x:c r="N43" t="n">
        <x:v>2</x:v>
      </x:c>
      <x:c r="O43" t="n">
        <x:v>0</x:v>
      </x:c>
      <x:c r="P43" t="n">
        <x:v>2</x:v>
      </x:c>
    </x:row>
    <x:row r="44">
      <x:c r="A44" t="str">
        <x:v>2025-02</x:v>
      </x:c>
      <x:c r="B44" t="str">
        <x:v>USR-00012</x:v>
      </x:c>
      <x:c r="C44" t="str">
        <x:v>Cero</x:v>
      </x:c>
      <x:c r="D44" t="str">
        <x:v>Gratuita</x:v>
      </x:c>
      <x:c r="E44" t="str">
        <x:v>Bogotá</x:v>
      </x:c>
      <x:c r="F44" t="str">
        <x:v>Bogotá D.C.</x:v>
      </x:c>
      <x:c r="G44" t="n">
        <x:v>37</x:v>
      </x:c>
      <x:c r="H44" t="str">
        <x:v>Entre $1,5 M y $3 M</x:v>
      </x:c>
      <x:c r="I44" t="str">
        <x:v>Referidos</x:v>
      </x:c>
      <x:c r="J44" t="n">
        <x:v>2</x:v>
      </x:c>
      <x:c r="K44" t="n">
        <x:v>0</x:v>
      </x:c>
      <x:c r="L44" t="n">
        <x:v>17681019.17</x:v>
      </x:c>
      <x:c r="M44" t="n">
        <x:v>498300</x:v>
      </x:c>
      <x:c r="N44" t="n">
        <x:v>1</x:v>
      </x:c>
      <x:c r="O44" t="n">
        <x:v>0</x:v>
      </x:c>
      <x:c r="P44" t="n">
        <x:v>2</x:v>
      </x:c>
    </x:row>
    <x:row r="45">
      <x:c r="A45" t="str">
        <x:v>2025-02</x:v>
      </x:c>
      <x:c r="B45" t="str">
        <x:v>USR-00013</x:v>
      </x:c>
      <x:c r="C45" t="str">
        <x:v>Cero</x:v>
      </x:c>
      <x:c r="D45" t="str">
        <x:v>Gratuita</x:v>
      </x:c>
      <x:c r="E45" t="str">
        <x:v>Barranquilla</x:v>
      </x:c>
      <x:c r="F45" t="str">
        <x:v>Atlántico</x:v>
      </x:c>
      <x:c r="G45" t="n">
        <x:v>48</x:v>
      </x:c>
      <x:c r="H45" t="str">
        <x:v>Entre $1,5 M y $3 M</x:v>
      </x:c>
      <x:c r="I45" t="str">
        <x:v>Búsqueda paga</x:v>
      </x:c>
      <x:c r="J45" t="n">
        <x:v>2</x:v>
      </x:c>
      <x:c r="K45" t="n">
        <x:v>0</x:v>
      </x:c>
      <x:c r="L45" t="n">
        <x:v>52211096.64</x:v>
      </x:c>
      <x:c r="M45" t="n">
        <x:v>0</x:v>
      </x:c>
      <x:c r="N45" t="n">
        <x:v>0</x:v>
      </x:c>
      <x:c r="O45" t="n">
        <x:v>0</x:v>
      </x:c>
      <x:c r="P45" t="n">
        <x:v>2</x:v>
      </x:c>
    </x:row>
    <x:row r="46">
      <x:c r="A46" t="str">
        <x:v>2025-02</x:v>
      </x:c>
      <x:c r="B46" t="str">
        <x:v>USR-00014</x:v>
      </x:c>
      <x:c r="C46" t="str">
        <x:v>Cero</x:v>
      </x:c>
      <x:c r="D46" t="str">
        <x:v>Gratuita</x:v>
      </x:c>
      <x:c r="E46" t="str">
        <x:v>Bucaramanga</x:v>
      </x:c>
      <x:c r="F46" t="str">
        <x:v>Santander</x:v>
      </x:c>
      <x:c r="G46" t="n">
        <x:v>37</x:v>
      </x:c>
      <x:c r="H46" t="str">
        <x:v>Entre $1,5 M y $3 M</x:v>
      </x:c>
      <x:c r="I46" t="str">
        <x:v>Redes sociales</x:v>
      </x:c>
      <x:c r="J46" t="n">
        <x:v>2</x:v>
      </x:c>
      <x:c r="K46" t="n">
        <x:v>0</x:v>
      </x:c>
      <x:c r="L46" t="n">
        <x:v>10025313.1</x:v>
      </x:c>
      <x:c r="M46" t="n">
        <x:v>191600</x:v>
      </x:c>
      <x:c r="N46" t="n">
        <x:v>1</x:v>
      </x:c>
      <x:c r="O46" t="n">
        <x:v>0</x:v>
      </x:c>
      <x:c r="P46" t="n">
        <x:v>2</x:v>
      </x:c>
    </x:row>
    <x:row r="47">
      <x:c r="A47" t="str">
        <x:v>2025-02</x:v>
      </x:c>
      <x:c r="B47" t="str">
        <x:v>USR-00015</x:v>
      </x:c>
      <x:c r="C47" t="str">
        <x:v>Cero</x:v>
      </x:c>
      <x:c r="D47" t="str">
        <x:v>Gratuita</x:v>
      </x:c>
      <x:c r="E47" t="str">
        <x:v>Barranquilla</x:v>
      </x:c>
      <x:c r="F47" t="str">
        <x:v>Atlántico</x:v>
      </x:c>
      <x:c r="G47" t="n">
        <x:v>58</x:v>
      </x:c>
      <x:c r="H47" t="str">
        <x:v>Menos de $1,5 M</x:v>
      </x:c>
      <x:c r="I47" t="str">
        <x:v>Contenido educativo</x:v>
      </x:c>
      <x:c r="J47" t="n">
        <x:v>2</x:v>
      </x:c>
      <x:c r="K47" t="n">
        <x:v>0</x:v>
      </x:c>
      <x:c r="L47" t="n">
        <x:v>19452807.41</x:v>
      </x:c>
      <x:c r="M47" t="n">
        <x:v>853900</x:v>
      </x:c>
      <x:c r="N47" t="n">
        <x:v>2</x:v>
      </x:c>
      <x:c r="O47" t="n">
        <x:v>0</x:v>
      </x:c>
      <x:c r="P47" t="n">
        <x:v>2</x:v>
      </x:c>
    </x:row>
    <x:row r="48">
      <x:c r="A48" t="str">
        <x:v>2025-02</x:v>
      </x:c>
      <x:c r="B48" t="str">
        <x:v>USR-00016</x:v>
      </x:c>
      <x:c r="C48" t="str">
        <x:v>Cero</x:v>
      </x:c>
      <x:c r="D48" t="str">
        <x:v>Gratuita</x:v>
      </x:c>
      <x:c r="E48" t="str">
        <x:v>Bogotá</x:v>
      </x:c>
      <x:c r="F48" t="str">
        <x:v>Bogotá D.C.</x:v>
      </x:c>
      <x:c r="G48" t="n">
        <x:v>38</x:v>
      </x:c>
      <x:c r="H48" t="str">
        <x:v>Menos de $1,5 M</x:v>
      </x:c>
      <x:c r="I48" t="str">
        <x:v>Búsqueda paga</x:v>
      </x:c>
      <x:c r="J48" t="n">
        <x:v>1</x:v>
      </x:c>
      <x:c r="K48" t="n">
        <x:v>0</x:v>
      </x:c>
      <x:c r="L48" t="n">
        <x:v>4176998.66</x:v>
      </x:c>
      <x:c r="M48" t="n">
        <x:v>224300</x:v>
      </x:c>
      <x:c r="N48" t="n">
        <x:v>1</x:v>
      </x:c>
      <x:c r="O48" t="n">
        <x:v>0</x:v>
      </x:c>
      <x:c r="P48" t="n">
        <x:v>2</x:v>
      </x:c>
    </x:row>
    <x:row r="49">
      <x:c r="A49" t="str">
        <x:v>2025-02</x:v>
      </x:c>
      <x:c r="B49" t="str">
        <x:v>USR-00017</x:v>
      </x:c>
      <x:c r="C49" t="str">
        <x:v>Plus anual</x:v>
      </x:c>
      <x:c r="D49" t="str">
        <x:v>Pago</x:v>
      </x:c>
      <x:c r="E49" t="str">
        <x:v>Bogotá</x:v>
      </x:c>
      <x:c r="F49" t="str">
        <x:v>Bogotá D.C.</x:v>
      </x:c>
      <x:c r="G49" t="n">
        <x:v>35</x:v>
      </x:c>
      <x:c r="H49" t="str">
        <x:v>Entre $1,5 M y $3 M</x:v>
      </x:c>
      <x:c r="I49" t="str">
        <x:v>Orgánico</x:v>
      </x:c>
      <x:c r="J49" t="n">
        <x:v>1</x:v>
      </x:c>
      <x:c r="K49" t="n">
        <x:v>0</x:v>
      </x:c>
      <x:c r="L49" t="n">
        <x:v>2488302.23</x:v>
      </x:c>
      <x:c r="M49" t="n">
        <x:v>84200</x:v>
      </x:c>
      <x:c r="N49" t="n">
        <x:v>1</x:v>
      </x:c>
      <x:c r="O49" t="n">
        <x:v>24916.67</x:v>
      </x:c>
      <x:c r="P49" t="n">
        <x:v>2</x:v>
      </x:c>
    </x:row>
    <x:row r="50">
      <x:c r="A50" t="str">
        <x:v>2025-02</x:v>
      </x:c>
      <x:c r="B50" t="str">
        <x:v>USR-00018</x:v>
      </x:c>
      <x:c r="C50" t="str">
        <x:v>Cero</x:v>
      </x:c>
      <x:c r="D50" t="str">
        <x:v>Gratuita</x:v>
      </x:c>
      <x:c r="E50" t="str">
        <x:v>Bogotá</x:v>
      </x:c>
      <x:c r="F50" t="str">
        <x:v>Bogotá D.C.</x:v>
      </x:c>
      <x:c r="G50" t="n">
        <x:v>44</x:v>
      </x:c>
      <x:c r="H50" t="str">
        <x:v>Entre $1,5 M y $3 M</x:v>
      </x:c>
      <x:c r="I50" t="str">
        <x:v>Referidos</x:v>
      </x:c>
      <x:c r="J50" t="n">
        <x:v>1</x:v>
      </x:c>
      <x:c r="K50" t="n">
        <x:v>0</x:v>
      </x:c>
      <x:c r="L50" t="n">
        <x:v>8845889.09</x:v>
      </x:c>
      <x:c r="M50" t="n">
        <x:v>512000</x:v>
      </x:c>
      <x:c r="N50" t="n">
        <x:v>1</x:v>
      </x:c>
      <x:c r="O50" t="n">
        <x:v>0</x:v>
      </x:c>
      <x:c r="P50" t="n">
        <x:v>2</x:v>
      </x:c>
    </x:row>
    <x:row r="51">
      <x:c r="A51" t="str">
        <x:v>2025-02</x:v>
      </x:c>
      <x:c r="B51" t="str">
        <x:v>USR-00019</x:v>
      </x:c>
      <x:c r="C51" t="str">
        <x:v>Cero</x:v>
      </x:c>
      <x:c r="D51" t="str">
        <x:v>Gratuita</x:v>
      </x:c>
      <x:c r="E51" t="str">
        <x:v>Bogotá</x:v>
      </x:c>
      <x:c r="F51" t="str">
        <x:v>Bogotá D.C.</x:v>
      </x:c>
      <x:c r="G51" t="n">
        <x:v>60</x:v>
      </x:c>
      <x:c r="H51" t="str">
        <x:v>Entre $3 M y $5 M</x:v>
      </x:c>
      <x:c r="I51" t="str">
        <x:v>Redes sociales</x:v>
      </x:c>
      <x:c r="J51" t="n">
        <x:v>2</x:v>
      </x:c>
      <x:c r="K51" t="n">
        <x:v>0</x:v>
      </x:c>
      <x:c r="L51" t="n">
        <x:v>13187393.34</x:v>
      </x:c>
      <x:c r="M51" t="n">
        <x:v>701400</x:v>
      </x:c>
      <x:c r="N51" t="n">
        <x:v>2</x:v>
      </x:c>
      <x:c r="O51" t="n">
        <x:v>0</x:v>
      </x:c>
      <x:c r="P51" t="n">
        <x:v>2</x:v>
      </x:c>
    </x:row>
    <x:row r="52">
      <x:c r="A52" t="str">
        <x:v>2025-02</x:v>
      </x:c>
      <x:c r="B52" t="str">
        <x:v>USR-00020</x:v>
      </x:c>
      <x:c r="C52" t="str">
        <x:v>Plus mensual</x:v>
      </x:c>
      <x:c r="D52" t="str">
        <x:v>Pago</x:v>
      </x:c>
      <x:c r="E52" t="str">
        <x:v>Bogotá</x:v>
      </x:c>
      <x:c r="F52" t="str">
        <x:v>Bogotá D.C.</x:v>
      </x:c>
      <x:c r="G52" t="n">
        <x:v>50</x:v>
      </x:c>
      <x:c r="H52" t="str">
        <x:v>Entre $1,5 M y $3 M</x:v>
      </x:c>
      <x:c r="I52" t="str">
        <x:v>Alianzas</x:v>
      </x:c>
      <x:c r="J52" t="n">
        <x:v>1</x:v>
      </x:c>
      <x:c r="K52" t="n">
        <x:v>0</x:v>
      </x:c>
      <x:c r="L52" t="n">
        <x:v>5606084.8</x:v>
      </x:c>
      <x:c r="M52" t="n">
        <x:v>0</x:v>
      </x:c>
      <x:c r="N52" t="n">
        <x:v>0</x:v>
      </x:c>
      <x:c r="O52" t="n">
        <x:v>29900</x:v>
      </x:c>
      <x:c r="P52" t="n">
        <x:v>2</x:v>
      </x:c>
    </x:row>
    <x:row r="53">
      <x:c r="A53" t="str">
        <x:v>2025-02</x:v>
      </x:c>
      <x:c r="B53" t="str">
        <x:v>USR-00021</x:v>
      </x:c>
      <x:c r="C53" t="str">
        <x:v>Cero</x:v>
      </x:c>
      <x:c r="D53" t="str">
        <x:v>Gratuita</x:v>
      </x:c>
      <x:c r="E53" t="str">
        <x:v>Cali</x:v>
      </x:c>
      <x:c r="F53" t="str">
        <x:v>Valle del Cauca</x:v>
      </x:c>
      <x:c r="G53" t="n">
        <x:v>51</x:v>
      </x:c>
      <x:c r="H53" t="str">
        <x:v>Menos de $1,5 M</x:v>
      </x:c>
      <x:c r="I53" t="str">
        <x:v>Redes sociales</x:v>
      </x:c>
      <x:c r="J53" t="n">
        <x:v>1</x:v>
      </x:c>
      <x:c r="K53" t="n">
        <x:v>0</x:v>
      </x:c>
      <x:c r="L53" t="n">
        <x:v>26316605.02</x:v>
      </x:c>
      <x:c r="M53" t="n">
        <x:v>0</x:v>
      </x:c>
      <x:c r="N53" t="n">
        <x:v>0</x:v>
      </x:c>
      <x:c r="O53" t="n">
        <x:v>0</x:v>
      </x:c>
      <x:c r="P53" t="n">
        <x:v>2</x:v>
      </x:c>
    </x:row>
    <x:row r="54">
      <x:c r="A54" t="str">
        <x:v>2025-02</x:v>
      </x:c>
      <x:c r="B54" t="str">
        <x:v>USR-00022</x:v>
      </x:c>
      <x:c r="C54" t="str">
        <x:v>Cero</x:v>
      </x:c>
      <x:c r="D54" t="str">
        <x:v>Gratuita</x:v>
      </x:c>
      <x:c r="E54" t="str">
        <x:v>Bogotá</x:v>
      </x:c>
      <x:c r="F54" t="str">
        <x:v>Bogotá D.C.</x:v>
      </x:c>
      <x:c r="G54" t="n">
        <x:v>36</x:v>
      </x:c>
      <x:c r="H54" t="str">
        <x:v>Entre $3 M y $5 M</x:v>
      </x:c>
      <x:c r="I54" t="str">
        <x:v>Orgánico</x:v>
      </x:c>
      <x:c r="J54" t="n">
        <x:v>2</x:v>
      </x:c>
      <x:c r="K54" t="n">
        <x:v>0</x:v>
      </x:c>
      <x:c r="L54" t="n">
        <x:v>20483944.74</x:v>
      </x:c>
      <x:c r="M54" t="n">
        <x:v>0</x:v>
      </x:c>
      <x:c r="N54" t="n">
        <x:v>0</x:v>
      </x:c>
      <x:c r="O54" t="n">
        <x:v>0</x:v>
      </x:c>
      <x:c r="P54" t="n">
        <x:v>2</x:v>
      </x:c>
    </x:row>
    <x:row r="55">
      <x:c r="A55" t="str">
        <x:v>2025-02</x:v>
      </x:c>
      <x:c r="B55" t="str">
        <x:v>USR-00023</x:v>
      </x:c>
      <x:c r="C55" t="str">
        <x:v>Cero</x:v>
      </x:c>
      <x:c r="D55" t="str">
        <x:v>Gratuita</x:v>
      </x:c>
      <x:c r="E55" t="str">
        <x:v>Bogotá</x:v>
      </x:c>
      <x:c r="F55" t="str">
        <x:v>Bogotá D.C.</x:v>
      </x:c>
      <x:c r="G55" t="n">
        <x:v>24</x:v>
      </x:c>
      <x:c r="H55" t="str">
        <x:v>Menos de $1,5 M</x:v>
      </x:c>
      <x:c r="I55" t="str">
        <x:v>Alianzas</x:v>
      </x:c>
      <x:c r="J55" t="n">
        <x:v>1</x:v>
      </x:c>
      <x:c r="K55" t="n">
        <x:v>0</x:v>
      </x:c>
      <x:c r="L55" t="n">
        <x:v>5761161.19</x:v>
      </x:c>
      <x:c r="M55" t="n">
        <x:v>161200</x:v>
      </x:c>
      <x:c r="N55" t="n">
        <x:v>1</x:v>
      </x:c>
      <x:c r="O55" t="n">
        <x:v>0</x:v>
      </x:c>
      <x:c r="P55" t="n">
        <x:v>2</x:v>
      </x:c>
    </x:row>
    <x:row r="56">
      <x:c r="A56" t="str">
        <x:v>2025-02</x:v>
      </x:c>
      <x:c r="B56" t="str">
        <x:v>USR-00024</x:v>
      </x:c>
      <x:c r="C56" t="str">
        <x:v>Cero</x:v>
      </x:c>
      <x:c r="D56" t="str">
        <x:v>Gratuita</x:v>
      </x:c>
      <x:c r="E56" t="str">
        <x:v>Bogotá</x:v>
      </x:c>
      <x:c r="F56" t="str">
        <x:v>Bogotá D.C.</x:v>
      </x:c>
      <x:c r="G56" t="n">
        <x:v>59</x:v>
      </x:c>
      <x:c r="H56" t="str">
        <x:v>Menos de $1,5 M</x:v>
      </x:c>
      <x:c r="I56" t="str">
        <x:v>Orgánico</x:v>
      </x:c>
      <x:c r="J56" t="n">
        <x:v>2</x:v>
      </x:c>
      <x:c r="K56" t="n">
        <x:v>0</x:v>
      </x:c>
      <x:c r="L56" t="n">
        <x:v>54391890.35</x:v>
      </x:c>
      <x:c r="M56" t="n">
        <x:v>1964900</x:v>
      </x:c>
      <x:c r="N56" t="n">
        <x:v>2</x:v>
      </x:c>
      <x:c r="O56" t="n">
        <x:v>0</x:v>
      </x:c>
      <x:c r="P56" t="n">
        <x:v>2</x:v>
      </x:c>
    </x:row>
    <x:row r="57">
      <x:c r="A57" t="str">
        <x:v>2025-02</x:v>
      </x:c>
      <x:c r="B57" t="str">
        <x:v>USR-00025</x:v>
      </x:c>
      <x:c r="C57" t="str">
        <x:v>Plus anual</x:v>
      </x:c>
      <x:c r="D57" t="str">
        <x:v>Pago</x:v>
      </x:c>
      <x:c r="E57" t="str">
        <x:v>Pereira</x:v>
      </x:c>
      <x:c r="F57" t="str">
        <x:v>Risaralda</x:v>
      </x:c>
      <x:c r="G57" t="n">
        <x:v>57</x:v>
      </x:c>
      <x:c r="H57" t="str">
        <x:v>Entre $1,5 M y $3 M</x:v>
      </x:c>
      <x:c r="I57" t="str">
        <x:v>Orgánico</x:v>
      </x:c>
      <x:c r="J57" t="n">
        <x:v>2</x:v>
      </x:c>
      <x:c r="K57" t="n">
        <x:v>0</x:v>
      </x:c>
      <x:c r="L57" t="n">
        <x:v>12226500.52</x:v>
      </x:c>
      <x:c r="M57" t="n">
        <x:v>396900</x:v>
      </x:c>
      <x:c r="N57" t="n">
        <x:v>2</x:v>
      </x:c>
      <x:c r="O57" t="n">
        <x:v>24916.67</x:v>
      </x:c>
      <x:c r="P57" t="n">
        <x:v>2</x:v>
      </x:c>
    </x:row>
    <x:row r="58">
      <x:c r="A58" t="str">
        <x:v>2025-02</x:v>
      </x:c>
      <x:c r="B58" t="str">
        <x:v>USR-00026</x:v>
      </x:c>
      <x:c r="C58" t="str">
        <x:v>Cero</x:v>
      </x:c>
      <x:c r="D58" t="str">
        <x:v>Gratuita</x:v>
      </x:c>
      <x:c r="E58" t="str">
        <x:v>Bogotá</x:v>
      </x:c>
      <x:c r="F58" t="str">
        <x:v>Bogotá D.C.</x:v>
      </x:c>
      <x:c r="G58" t="n">
        <x:v>57</x:v>
      </x:c>
      <x:c r="H58" t="str">
        <x:v>Entre $3 M y $5 M</x:v>
      </x:c>
      <x:c r="I58" t="str">
        <x:v>Redes sociales</x:v>
      </x:c>
      <x:c r="J58" t="n">
        <x:v>1</x:v>
      </x:c>
      <x:c r="K58" t="n">
        <x:v>0</x:v>
      </x:c>
      <x:c r="L58" t="n">
        <x:v>5448982.95</x:v>
      </x:c>
      <x:c r="M58" t="n">
        <x:v>163400</x:v>
      </x:c>
      <x:c r="N58" t="n">
        <x:v>1</x:v>
      </x:c>
      <x:c r="O58" t="n">
        <x:v>0</x:v>
      </x:c>
      <x:c r="P58" t="n">
        <x:v>2</x:v>
      </x:c>
    </x:row>
    <x:row r="59">
      <x:c r="A59" t="str">
        <x:v>2025-02</x:v>
      </x:c>
      <x:c r="B59" t="str">
        <x:v>USR-00027</x:v>
      </x:c>
      <x:c r="C59" t="str">
        <x:v>Plus mensual</x:v>
      </x:c>
      <x:c r="D59" t="str">
        <x:v>Pago</x:v>
      </x:c>
      <x:c r="E59" t="str">
        <x:v>Bogotá</x:v>
      </x:c>
      <x:c r="F59" t="str">
        <x:v>Bogotá D.C.</x:v>
      </x:c>
      <x:c r="G59" t="n">
        <x:v>51</x:v>
      </x:c>
      <x:c r="H59" t="str">
        <x:v>Entre $1,5 M y $3 M</x:v>
      </x:c>
      <x:c r="I59" t="str">
        <x:v>Alianzas</x:v>
      </x:c>
      <x:c r="J59" t="n">
        <x:v>4</x:v>
      </x:c>
      <x:c r="K59" t="n">
        <x:v>0</x:v>
      </x:c>
      <x:c r="L59" t="n">
        <x:v>51842244.4</x:v>
      </x:c>
      <x:c r="M59" t="n">
        <x:v>1800600</x:v>
      </x:c>
      <x:c r="N59" t="n">
        <x:v>2</x:v>
      </x:c>
      <x:c r="O59" t="n">
        <x:v>29900</x:v>
      </x:c>
      <x:c r="P59" t="n">
        <x:v>2</x:v>
      </x:c>
    </x:row>
    <x:row r="60">
      <x:c r="A60" t="str">
        <x:v>2025-02</x:v>
      </x:c>
      <x:c r="B60" t="str">
        <x:v>USR-00028</x:v>
      </x:c>
      <x:c r="C60" t="str">
        <x:v>Cero</x:v>
      </x:c>
      <x:c r="D60" t="str">
        <x:v>Gratuita</x:v>
      </x:c>
      <x:c r="E60" t="str">
        <x:v>Cali</x:v>
      </x:c>
      <x:c r="F60" t="str">
        <x:v>Valle del Cauca</x:v>
      </x:c>
      <x:c r="G60" t="n">
        <x:v>40</x:v>
      </x:c>
      <x:c r="H60" t="str">
        <x:v>Entre $1,5 M y $3 M</x:v>
      </x:c>
      <x:c r="I60" t="str">
        <x:v>Referidos</x:v>
      </x:c>
      <x:c r="J60" t="n">
        <x:v>2</x:v>
      </x:c>
      <x:c r="K60" t="n">
        <x:v>0</x:v>
      </x:c>
      <x:c r="L60" t="n">
        <x:v>19921391.15</x:v>
      </x:c>
      <x:c r="M60" t="n">
        <x:v>266100</x:v>
      </x:c>
      <x:c r="N60" t="n">
        <x:v>1</x:v>
      </x:c>
      <x:c r="O60" t="n">
        <x:v>0</x:v>
      </x:c>
      <x:c r="P60" t="n">
        <x:v>2</x:v>
      </x:c>
    </x:row>
    <x:row r="61">
      <x:c r="A61" t="str">
        <x:v>2025-02</x:v>
      </x:c>
      <x:c r="B61" t="str">
        <x:v>USR-00029</x:v>
      </x:c>
      <x:c r="C61" t="str">
        <x:v>Cero</x:v>
      </x:c>
      <x:c r="D61" t="str">
        <x:v>Gratuita</x:v>
      </x:c>
      <x:c r="E61" t="str">
        <x:v>Manizales</x:v>
      </x:c>
      <x:c r="F61" t="str">
        <x:v>Caldas</x:v>
      </x:c>
      <x:c r="G61" t="n">
        <x:v>36</x:v>
      </x:c>
      <x:c r="H61" t="str">
        <x:v>Entre $1,5 M y $3 M</x:v>
      </x:c>
      <x:c r="I61" t="str">
        <x:v>Orgánico</x:v>
      </x:c>
      <x:c r="J61" t="n">
        <x:v>2</x:v>
      </x:c>
      <x:c r="K61" t="n">
        <x:v>0</x:v>
      </x:c>
      <x:c r="L61" t="n">
        <x:v>7284401.95</x:v>
      </x:c>
      <x:c r="M61" t="n">
        <x:v>313100</x:v>
      </x:c>
      <x:c r="N61" t="n">
        <x:v>2</x:v>
      </x:c>
      <x:c r="O61" t="n">
        <x:v>0</x:v>
      </x:c>
      <x:c r="P61" t="n">
        <x:v>2</x:v>
      </x:c>
    </x:row>
    <x:row r="62">
      <x:c r="A62" t="str">
        <x:v>2025-02</x:v>
      </x:c>
      <x:c r="B62" t="str">
        <x:v>USR-00030</x:v>
      </x:c>
      <x:c r="C62" t="str">
        <x:v>Cero</x:v>
      </x:c>
      <x:c r="D62" t="str">
        <x:v>Gratuita</x:v>
      </x:c>
      <x:c r="E62" t="str">
        <x:v>Bogotá</x:v>
      </x:c>
      <x:c r="F62" t="str">
        <x:v>Bogotá D.C.</x:v>
      </x:c>
      <x:c r="G62" t="n">
        <x:v>41</x:v>
      </x:c>
      <x:c r="H62" t="str">
        <x:v>Entre $1,5 M y $3 M</x:v>
      </x:c>
      <x:c r="I62" t="str">
        <x:v>Alianzas</x:v>
      </x:c>
      <x:c r="J62" t="n">
        <x:v>1</x:v>
      </x:c>
      <x:c r="K62" t="n">
        <x:v>0</x:v>
      </x:c>
      <x:c r="L62" t="n">
        <x:v>5658259.85</x:v>
      </x:c>
      <x:c r="M62" t="n">
        <x:v>326500</x:v>
      </x:c>
      <x:c r="N62" t="n">
        <x:v>1</x:v>
      </x:c>
      <x:c r="O62" t="n">
        <x:v>0</x:v>
      </x:c>
      <x:c r="P62" t="n">
        <x:v>2</x:v>
      </x:c>
    </x:row>
    <x:row r="63">
      <x:c r="A63" t="str">
        <x:v>2025-02</x:v>
      </x:c>
      <x:c r="B63" t="str">
        <x:v>USR-00031</x:v>
      </x:c>
      <x:c r="C63" t="str">
        <x:v>Cero</x:v>
      </x:c>
      <x:c r="D63" t="str">
        <x:v>Gratuita</x:v>
      </x:c>
      <x:c r="E63" t="str">
        <x:v>Bucaramanga</x:v>
      </x:c>
      <x:c r="F63" t="str">
        <x:v>Santander</x:v>
      </x:c>
      <x:c r="G63" t="n">
        <x:v>63</x:v>
      </x:c>
      <x:c r="H63" t="str">
        <x:v>Entre $1,5 M y $3 M</x:v>
      </x:c>
      <x:c r="I63" t="str">
        <x:v>Redes sociales</x:v>
      </x:c>
      <x:c r="J63" t="n">
        <x:v>2</x:v>
      </x:c>
      <x:c r="K63" t="n">
        <x:v>0</x:v>
      </x:c>
      <x:c r="L63" t="n">
        <x:v>39902903.29</x:v>
      </x:c>
      <x:c r="M63" t="n">
        <x:v>1667800</x:v>
      </x:c>
      <x:c r="N63" t="n">
        <x:v>2</x:v>
      </x:c>
      <x:c r="O63" t="n">
        <x:v>0</x:v>
      </x:c>
      <x:c r="P63" t="n">
        <x:v>2</x:v>
      </x:c>
    </x:row>
    <x:row r="64">
      <x:c r="A64" t="str">
        <x:v>2025-02</x:v>
      </x:c>
      <x:c r="B64" t="str">
        <x:v>USR-00032</x:v>
      </x:c>
      <x:c r="C64" t="str">
        <x:v>Cero</x:v>
      </x:c>
      <x:c r="D64" t="str">
        <x:v>Gratuita</x:v>
      </x:c>
      <x:c r="E64" t="str">
        <x:v>Manizales</x:v>
      </x:c>
      <x:c r="F64" t="str">
        <x:v>Caldas</x:v>
      </x:c>
      <x:c r="G64" t="n">
        <x:v>22</x:v>
      </x:c>
      <x:c r="H64" t="str">
        <x:v>Menos de $1,5 M</x:v>
      </x:c>
      <x:c r="I64" t="str">
        <x:v>Búsqueda paga</x:v>
      </x:c>
      <x:c r="J64" t="n">
        <x:v>2</x:v>
      </x:c>
      <x:c r="K64" t="n">
        <x:v>0</x:v>
      </x:c>
      <x:c r="L64" t="n">
        <x:v>21239339.5</x:v>
      </x:c>
      <x:c r="M64" t="n">
        <x:v>1552200</x:v>
      </x:c>
      <x:c r="N64" t="n">
        <x:v>2</x:v>
      </x:c>
      <x:c r="O64" t="n">
        <x:v>0</x:v>
      </x:c>
      <x:c r="P64" t="n">
        <x:v>1</x:v>
      </x:c>
    </x:row>
    <x:row r="65">
      <x:c r="A65" t="str">
        <x:v>2025-02</x:v>
      </x:c>
      <x:c r="B65" t="str">
        <x:v>USR-00033</x:v>
      </x:c>
      <x:c r="C65" t="str">
        <x:v>Cero</x:v>
      </x:c>
      <x:c r="D65" t="str">
        <x:v>Gratuita</x:v>
      </x:c>
      <x:c r="E65" t="str">
        <x:v>Medellín</x:v>
      </x:c>
      <x:c r="F65" t="str">
        <x:v>Antioquia</x:v>
      </x:c>
      <x:c r="G65" t="n">
        <x:v>39</x:v>
      </x:c>
      <x:c r="H65" t="str">
        <x:v>Entre $1,5 M y $3 M</x:v>
      </x:c>
      <x:c r="I65" t="str">
        <x:v>Referidos</x:v>
      </x:c>
      <x:c r="J65" t="n">
        <x:v>1</x:v>
      </x:c>
      <x:c r="K65" t="n">
        <x:v>0</x:v>
      </x:c>
      <x:c r="L65" t="n">
        <x:v>3481571.53</x:v>
      </x:c>
      <x:c r="M65" t="n">
        <x:v>358100</x:v>
      </x:c>
      <x:c r="N65" t="n">
        <x:v>1</x:v>
      </x:c>
      <x:c r="O65" t="n">
        <x:v>0</x:v>
      </x:c>
      <x:c r="P65" t="n">
        <x:v>1</x:v>
      </x:c>
    </x:row>
    <x:row r="66">
      <x:c r="A66" t="str">
        <x:v>2025-02</x:v>
      </x:c>
      <x:c r="B66" t="str">
        <x:v>USR-00034</x:v>
      </x:c>
      <x:c r="C66" t="str">
        <x:v>Cero</x:v>
      </x:c>
      <x:c r="D66" t="str">
        <x:v>Gratuita</x:v>
      </x:c>
      <x:c r="E66" t="str">
        <x:v>Bogotá</x:v>
      </x:c>
      <x:c r="F66" t="str">
        <x:v>Bogotá D.C.</x:v>
      </x:c>
      <x:c r="G66" t="n">
        <x:v>59</x:v>
      </x:c>
      <x:c r="H66" t="str">
        <x:v>Entre $3 M y $5 M</x:v>
      </x:c>
      <x:c r="I66" t="str">
        <x:v>Referidos</x:v>
      </x:c>
      <x:c r="J66" t="n">
        <x:v>2</x:v>
      </x:c>
      <x:c r="K66" t="n">
        <x:v>0</x:v>
      </x:c>
      <x:c r="L66" t="n">
        <x:v>10969520.01</x:v>
      </x:c>
      <x:c r="M66" t="n">
        <x:v>524400</x:v>
      </x:c>
      <x:c r="N66" t="n">
        <x:v>2</x:v>
      </x:c>
      <x:c r="O66" t="n">
        <x:v>0</x:v>
      </x:c>
      <x:c r="P66" t="n">
        <x:v>1</x:v>
      </x:c>
    </x:row>
    <x:row r="67">
      <x:c r="A67" t="str">
        <x:v>2025-02</x:v>
      </x:c>
      <x:c r="B67" t="str">
        <x:v>USR-00035</x:v>
      </x:c>
      <x:c r="C67" t="str">
        <x:v>Cero</x:v>
      </x:c>
      <x:c r="D67" t="str">
        <x:v>Gratuita</x:v>
      </x:c>
      <x:c r="E67" t="str">
        <x:v>Bogotá</x:v>
      </x:c>
      <x:c r="F67" t="str">
        <x:v>Bogotá D.C.</x:v>
      </x:c>
      <x:c r="G67" t="n">
        <x:v>46</x:v>
      </x:c>
      <x:c r="H67" t="str">
        <x:v>Entre $1,5 M y $3 M</x:v>
      </x:c>
      <x:c r="I67" t="str">
        <x:v>Contenido educativo</x:v>
      </x:c>
      <x:c r="J67" t="n">
        <x:v>2</x:v>
      </x:c>
      <x:c r="K67" t="n">
        <x:v>0</x:v>
      </x:c>
      <x:c r="L67" t="n">
        <x:v>7859068.25</x:v>
      </x:c>
      <x:c r="M67" t="n">
        <x:v>56600</x:v>
      </x:c>
      <x:c r="N67" t="n">
        <x:v>1</x:v>
      </x:c>
      <x:c r="O67" t="n">
        <x:v>0</x:v>
      </x:c>
      <x:c r="P67" t="n">
        <x:v>1</x:v>
      </x:c>
    </x:row>
    <x:row r="68">
      <x:c r="A68" t="str">
        <x:v>2025-02</x:v>
      </x:c>
      <x:c r="B68" t="str">
        <x:v>USR-00036</x:v>
      </x:c>
      <x:c r="C68" t="str">
        <x:v>Cero</x:v>
      </x:c>
      <x:c r="D68" t="str">
        <x:v>Gratuita</x:v>
      </x:c>
      <x:c r="E68" t="str">
        <x:v>Medellín</x:v>
      </x:c>
      <x:c r="F68" t="str">
        <x:v>Antioquia</x:v>
      </x:c>
      <x:c r="G68" t="n">
        <x:v>51</x:v>
      </x:c>
      <x:c r="H68" t="str">
        <x:v>Menos de $1,5 M</x:v>
      </x:c>
      <x:c r="I68" t="str">
        <x:v>Redes sociales</x:v>
      </x:c>
      <x:c r="J68" t="n">
        <x:v>2</x:v>
      </x:c>
      <x:c r="K68" t="n">
        <x:v>0</x:v>
      </x:c>
      <x:c r="L68" t="n">
        <x:v>24233089.58</x:v>
      </x:c>
      <x:c r="M68" t="n">
        <x:v>863900</x:v>
      </x:c>
      <x:c r="N68" t="n">
        <x:v>2</x:v>
      </x:c>
      <x:c r="O68" t="n">
        <x:v>0</x:v>
      </x:c>
      <x:c r="P68" t="n">
        <x:v>1</x:v>
      </x:c>
    </x:row>
    <x:row r="69">
      <x:c r="A69" t="str">
        <x:v>2025-02</x:v>
      </x:c>
      <x:c r="B69" t="str">
        <x:v>USR-00037</x:v>
      </x:c>
      <x:c r="C69" t="str">
        <x:v>Cero</x:v>
      </x:c>
      <x:c r="D69" t="str">
        <x:v>Gratuita</x:v>
      </x:c>
      <x:c r="E69" t="str">
        <x:v>Bogotá</x:v>
      </x:c>
      <x:c r="F69" t="str">
        <x:v>Bogotá D.C.</x:v>
      </x:c>
      <x:c r="G69" t="n">
        <x:v>20</x:v>
      </x:c>
      <x:c r="H69" t="str">
        <x:v>Menos de $1,5 M</x:v>
      </x:c>
      <x:c r="I69" t="str">
        <x:v>Alianzas</x:v>
      </x:c>
      <x:c r="J69" t="n">
        <x:v>2</x:v>
      </x:c>
      <x:c r="K69" t="n">
        <x:v>0</x:v>
      </x:c>
      <x:c r="L69" t="n">
        <x:v>12698455.58</x:v>
      </x:c>
      <x:c r="M69" t="n">
        <x:v>0</x:v>
      </x:c>
      <x:c r="N69" t="n">
        <x:v>0</x:v>
      </x:c>
      <x:c r="O69" t="n">
        <x:v>0</x:v>
      </x:c>
      <x:c r="P69" t="n">
        <x:v>1</x:v>
      </x:c>
    </x:row>
    <x:row r="70">
      <x:c r="A70" t="str">
        <x:v>2025-02</x:v>
      </x:c>
      <x:c r="B70" t="str">
        <x:v>USR-00038</x:v>
      </x:c>
      <x:c r="C70" t="str">
        <x:v>Plus anual</x:v>
      </x:c>
      <x:c r="D70" t="str">
        <x:v>Pago</x:v>
      </x:c>
      <x:c r="E70" t="str">
        <x:v>Medellín</x:v>
      </x:c>
      <x:c r="F70" t="str">
        <x:v>Antioquia</x:v>
      </x:c>
      <x:c r="G70" t="n">
        <x:v>64</x:v>
      </x:c>
      <x:c r="H70" t="str">
        <x:v>Entre $1,5 M y $3 M</x:v>
      </x:c>
      <x:c r="I70" t="str">
        <x:v>Orgánico</x:v>
      </x:c>
      <x:c r="J70" t="n">
        <x:v>2</x:v>
      </x:c>
      <x:c r="K70" t="n">
        <x:v>0</x:v>
      </x:c>
      <x:c r="L70" t="n">
        <x:v>34412860.43</x:v>
      </x:c>
      <x:c r="M70" t="n">
        <x:v>888100</x:v>
      </x:c>
      <x:c r="N70" t="n">
        <x:v>1</x:v>
      </x:c>
      <x:c r="O70" t="n">
        <x:v>24916.67</x:v>
      </x:c>
      <x:c r="P70" t="n">
        <x:v>1</x:v>
      </x:c>
    </x:row>
    <x:row r="71">
      <x:c r="A71" t="str">
        <x:v>2025-02</x:v>
      </x:c>
      <x:c r="B71" t="str">
        <x:v>USR-00039</x:v>
      </x:c>
      <x:c r="C71" t="str">
        <x:v>Cero</x:v>
      </x:c>
      <x:c r="D71" t="str">
        <x:v>Gratuita</x:v>
      </x:c>
      <x:c r="E71" t="str">
        <x:v>Bogotá</x:v>
      </x:c>
      <x:c r="F71" t="str">
        <x:v>Bogotá D.C.</x:v>
      </x:c>
      <x:c r="G71" t="n">
        <x:v>56</x:v>
      </x:c>
      <x:c r="H71" t="str">
        <x:v>Entre $3 M y $5 M</x:v>
      </x:c>
      <x:c r="I71" t="str">
        <x:v>Orgánico</x:v>
      </x:c>
      <x:c r="J71" t="n">
        <x:v>2</x:v>
      </x:c>
      <x:c r="K71" t="n">
        <x:v>0</x:v>
      </x:c>
      <x:c r="L71" t="n">
        <x:v>29725501.94</x:v>
      </x:c>
      <x:c r="M71" t="n">
        <x:v>2330200</x:v>
      </x:c>
      <x:c r="N71" t="n">
        <x:v>2</x:v>
      </x:c>
      <x:c r="O71" t="n">
        <x:v>0</x:v>
      </x:c>
      <x:c r="P71" t="n">
        <x:v>1</x:v>
      </x:c>
    </x:row>
    <x:row r="72">
      <x:c r="A72" t="str">
        <x:v>2025-02</x:v>
      </x:c>
      <x:c r="B72" t="str">
        <x:v>USR-00040</x:v>
      </x:c>
      <x:c r="C72" t="str">
        <x:v>Cero</x:v>
      </x:c>
      <x:c r="D72" t="str">
        <x:v>Gratuita</x:v>
      </x:c>
      <x:c r="E72" t="str">
        <x:v>Bucaramanga</x:v>
      </x:c>
      <x:c r="F72" t="str">
        <x:v>Santander</x:v>
      </x:c>
      <x:c r="G72" t="n">
        <x:v>51</x:v>
      </x:c>
      <x:c r="H72" t="str">
        <x:v>Entre $3 M y $5 M</x:v>
      </x:c>
      <x:c r="I72" t="str">
        <x:v>Búsqueda paga</x:v>
      </x:c>
      <x:c r="J72" t="n">
        <x:v>2</x:v>
      </x:c>
      <x:c r="K72" t="n">
        <x:v>0</x:v>
      </x:c>
      <x:c r="L72" t="n">
        <x:v>26422119.81</x:v>
      </x:c>
      <x:c r="M72" t="n">
        <x:v>1416400</x:v>
      </x:c>
      <x:c r="N72" t="n">
        <x:v>2</x:v>
      </x:c>
      <x:c r="O72" t="n">
        <x:v>0</x:v>
      </x:c>
      <x:c r="P72" t="n">
        <x:v>1</x:v>
      </x:c>
    </x:row>
    <x:row r="73">
      <x:c r="A73" t="str">
        <x:v>2025-02</x:v>
      </x:c>
      <x:c r="B73" t="str">
        <x:v>USR-00041</x:v>
      </x:c>
      <x:c r="C73" t="str">
        <x:v>Cero</x:v>
      </x:c>
      <x:c r="D73" t="str">
        <x:v>Gratuita</x:v>
      </x:c>
      <x:c r="E73" t="str">
        <x:v>Bogotá</x:v>
      </x:c>
      <x:c r="F73" t="str">
        <x:v>Bogotá D.C.</x:v>
      </x:c>
      <x:c r="G73" t="n">
        <x:v>36</x:v>
      </x:c>
      <x:c r="H73" t="str">
        <x:v>Entre $1,5 M y $3 M</x:v>
      </x:c>
      <x:c r="I73" t="str">
        <x:v>Orgánico</x:v>
      </x:c>
      <x:c r="J73" t="n">
        <x:v>1</x:v>
      </x:c>
      <x:c r="K73" t="n">
        <x:v>0</x:v>
      </x:c>
      <x:c r="L73" t="n">
        <x:v>21627998.81</x:v>
      </x:c>
      <x:c r="M73" t="n">
        <x:v>1756800</x:v>
      </x:c>
      <x:c r="N73" t="n">
        <x:v>1</x:v>
      </x:c>
      <x:c r="O73" t="n">
        <x:v>0</x:v>
      </x:c>
      <x:c r="P73" t="n">
        <x:v>1</x:v>
      </x:c>
    </x:row>
    <x:row r="74">
      <x:c r="A74" t="str">
        <x:v>2025-02</x:v>
      </x:c>
      <x:c r="B74" t="str">
        <x:v>USR-00042</x:v>
      </x:c>
      <x:c r="C74" t="str">
        <x:v>Cero</x:v>
      </x:c>
      <x:c r="D74" t="str">
        <x:v>Gratuita</x:v>
      </x:c>
      <x:c r="E74" t="str">
        <x:v>Bogotá</x:v>
      </x:c>
      <x:c r="F74" t="str">
        <x:v>Bogotá D.C.</x:v>
      </x:c>
      <x:c r="G74" t="n">
        <x:v>55</x:v>
      </x:c>
      <x:c r="H74" t="str">
        <x:v>Menos de $1,5 M</x:v>
      </x:c>
      <x:c r="I74" t="str">
        <x:v>Redes sociales</x:v>
      </x:c>
      <x:c r="J74" t="n">
        <x:v>2</x:v>
      </x:c>
      <x:c r="K74" t="n">
        <x:v>0</x:v>
      </x:c>
      <x:c r="L74" t="n">
        <x:v>9044239.17</x:v>
      </x:c>
      <x:c r="M74" t="n">
        <x:v>250100</x:v>
      </x:c>
      <x:c r="N74" t="n">
        <x:v>2</x:v>
      </x:c>
      <x:c r="O74" t="n">
        <x:v>0</x:v>
      </x:c>
      <x:c r="P74" t="n">
        <x:v>1</x:v>
      </x:c>
    </x:row>
    <x:row r="75">
      <x:c r="A75" t="str">
        <x:v>2025-02</x:v>
      </x:c>
      <x:c r="B75" t="str">
        <x:v>USR-00043</x:v>
      </x:c>
      <x:c r="C75" t="str">
        <x:v>Cero</x:v>
      </x:c>
      <x:c r="D75" t="str">
        <x:v>Gratuita</x:v>
      </x:c>
      <x:c r="E75" t="str">
        <x:v>Cali</x:v>
      </x:c>
      <x:c r="F75" t="str">
        <x:v>Valle del Cauca</x:v>
      </x:c>
      <x:c r="G75" t="n">
        <x:v>23</x:v>
      </x:c>
      <x:c r="H75" t="str">
        <x:v>Entre $3 M y $5 M</x:v>
      </x:c>
      <x:c r="I75" t="str">
        <x:v>Contenido educativo</x:v>
      </x:c>
      <x:c r="J75" t="n">
        <x:v>2</x:v>
      </x:c>
      <x:c r="K75" t="n">
        <x:v>0</x:v>
      </x:c>
      <x:c r="L75" t="n">
        <x:v>26801341.4</x:v>
      </x:c>
      <x:c r="M75" t="n">
        <x:v>1038200</x:v>
      </x:c>
      <x:c r="N75" t="n">
        <x:v>2</x:v>
      </x:c>
      <x:c r="O75" t="n">
        <x:v>0</x:v>
      </x:c>
      <x:c r="P75" t="n">
        <x:v>1</x:v>
      </x:c>
    </x:row>
    <x:row r="76">
      <x:c r="A76" t="str">
        <x:v>2025-02</x:v>
      </x:c>
      <x:c r="B76" t="str">
        <x:v>USR-00044</x:v>
      </x:c>
      <x:c r="C76" t="str">
        <x:v>Cero</x:v>
      </x:c>
      <x:c r="D76" t="str">
        <x:v>Gratuita</x:v>
      </x:c>
      <x:c r="E76" t="str">
        <x:v>Barranquilla</x:v>
      </x:c>
      <x:c r="F76" t="str">
        <x:v>Atlántico</x:v>
      </x:c>
      <x:c r="G76" t="n">
        <x:v>62</x:v>
      </x:c>
      <x:c r="H76" t="str">
        <x:v>Más de $5 M</x:v>
      </x:c>
      <x:c r="I76" t="str">
        <x:v>Referidos</x:v>
      </x:c>
      <x:c r="J76" t="n">
        <x:v>2</x:v>
      </x:c>
      <x:c r="K76" t="n">
        <x:v>0</x:v>
      </x:c>
      <x:c r="L76" t="n">
        <x:v>31731180.05</x:v>
      </x:c>
      <x:c r="M76" t="n">
        <x:v>1461900</x:v>
      </x:c>
      <x:c r="N76" t="n">
        <x:v>2</x:v>
      </x:c>
      <x:c r="O76" t="n">
        <x:v>0</x:v>
      </x:c>
      <x:c r="P76" t="n">
        <x:v>1</x:v>
      </x:c>
    </x:row>
    <x:row r="77">
      <x:c r="A77" t="str">
        <x:v>2025-02</x:v>
      </x:c>
      <x:c r="B77" t="str">
        <x:v>USR-00045</x:v>
      </x:c>
      <x:c r="C77" t="str">
        <x:v>Cero</x:v>
      </x:c>
      <x:c r="D77" t="str">
        <x:v>Gratuita</x:v>
      </x:c>
      <x:c r="E77" t="str">
        <x:v>Bogotá</x:v>
      </x:c>
      <x:c r="F77" t="str">
        <x:v>Bogotá D.C.</x:v>
      </x:c>
      <x:c r="G77" t="n">
        <x:v>39</x:v>
      </x:c>
      <x:c r="H77" t="str">
        <x:v>Entre $3 M y $5 M</x:v>
      </x:c>
      <x:c r="I77" t="str">
        <x:v>Orgánico</x:v>
      </x:c>
      <x:c r="J77" t="n">
        <x:v>1</x:v>
      </x:c>
      <x:c r="K77" t="n">
        <x:v>0</x:v>
      </x:c>
      <x:c r="L77" t="n">
        <x:v>8563044.54</x:v>
      </x:c>
      <x:c r="M77" t="n">
        <x:v>0</x:v>
      </x:c>
      <x:c r="N77" t="n">
        <x:v>0</x:v>
      </x:c>
      <x:c r="O77" t="n">
        <x:v>0</x:v>
      </x:c>
      <x:c r="P77" t="n">
        <x:v>1</x:v>
      </x:c>
    </x:row>
    <x:row r="78">
      <x:c r="A78" t="str">
        <x:v>2025-02</x:v>
      </x:c>
      <x:c r="B78" t="str">
        <x:v>USR-00046</x:v>
      </x:c>
      <x:c r="C78" t="str">
        <x:v>Cero</x:v>
      </x:c>
      <x:c r="D78" t="str">
        <x:v>Gratuita</x:v>
      </x:c>
      <x:c r="E78" t="str">
        <x:v>Bucaramanga</x:v>
      </x:c>
      <x:c r="F78" t="str">
        <x:v>Santander</x:v>
      </x:c>
      <x:c r="G78" t="n">
        <x:v>46</x:v>
      </x:c>
      <x:c r="H78" t="str">
        <x:v>Más de $5 M</x:v>
      </x:c>
      <x:c r="I78" t="str">
        <x:v>Orgánico</x:v>
      </x:c>
      <x:c r="J78" t="n">
        <x:v>1</x:v>
      </x:c>
      <x:c r="K78" t="n">
        <x:v>0</x:v>
      </x:c>
      <x:c r="L78" t="n">
        <x:v>7208989.73</x:v>
      </x:c>
      <x:c r="M78" t="n">
        <x:v>261400</x:v>
      </x:c>
      <x:c r="N78" t="n">
        <x:v>1</x:v>
      </x:c>
      <x:c r="O78" t="n">
        <x:v>0</x:v>
      </x:c>
      <x:c r="P78" t="n">
        <x:v>1</x:v>
      </x:c>
    </x:row>
    <x:row r="79">
      <x:c r="A79" t="str">
        <x:v>2025-02</x:v>
      </x:c>
      <x:c r="B79" t="str">
        <x:v>USR-00047</x:v>
      </x:c>
      <x:c r="C79" t="str">
        <x:v>Cero</x:v>
      </x:c>
      <x:c r="D79" t="str">
        <x:v>Gratuita</x:v>
      </x:c>
      <x:c r="E79" t="str">
        <x:v>Bogotá</x:v>
      </x:c>
      <x:c r="F79" t="str">
        <x:v>Bogotá D.C.</x:v>
      </x:c>
      <x:c r="G79" t="n">
        <x:v>21</x:v>
      </x:c>
      <x:c r="H79" t="str">
        <x:v>Menos de $1,5 M</x:v>
      </x:c>
      <x:c r="I79" t="str">
        <x:v>Alianzas</x:v>
      </x:c>
      <x:c r="J79" t="n">
        <x:v>2</x:v>
      </x:c>
      <x:c r="K79" t="n">
        <x:v>0</x:v>
      </x:c>
      <x:c r="L79" t="n">
        <x:v>10621864.35</x:v>
      </x:c>
      <x:c r="M79" t="n">
        <x:v>589100</x:v>
      </x:c>
      <x:c r="N79" t="n">
        <x:v>2</x:v>
      </x:c>
      <x:c r="O79" t="n">
        <x:v>0</x:v>
      </x:c>
      <x:c r="P79" t="n">
        <x:v>1</x:v>
      </x:c>
    </x:row>
    <x:row r="80">
      <x:c r="A80" t="str">
        <x:v>2025-02</x:v>
      </x:c>
      <x:c r="B80" t="str">
        <x:v>USR-00048</x:v>
      </x:c>
      <x:c r="C80" t="str">
        <x:v>Cero</x:v>
      </x:c>
      <x:c r="D80" t="str">
        <x:v>Gratuita</x:v>
      </x:c>
      <x:c r="E80" t="str">
        <x:v>Bucaramanga</x:v>
      </x:c>
      <x:c r="F80" t="str">
        <x:v>Santander</x:v>
      </x:c>
      <x:c r="G80" t="n">
        <x:v>51</x:v>
      </x:c>
      <x:c r="H80" t="str">
        <x:v>Entre $1,5 M y $3 M</x:v>
      </x:c>
      <x:c r="I80" t="str">
        <x:v>Redes sociales</x:v>
      </x:c>
      <x:c r="J80" t="n">
        <x:v>2</x:v>
      </x:c>
      <x:c r="K80" t="n">
        <x:v>0</x:v>
      </x:c>
      <x:c r="L80" t="n">
        <x:v>39980941.28</x:v>
      </x:c>
      <x:c r="M80" t="n">
        <x:v>1076100</x:v>
      </x:c>
      <x:c r="N80" t="n">
        <x:v>2</x:v>
      </x:c>
      <x:c r="O80" t="n">
        <x:v>0</x:v>
      </x:c>
      <x:c r="P80" t="n">
        <x:v>1</x:v>
      </x:c>
    </x:row>
    <x:row r="81">
      <x:c r="A81" t="str">
        <x:v>2025-02</x:v>
      </x:c>
      <x:c r="B81" t="str">
        <x:v>USR-00049</x:v>
      </x:c>
      <x:c r="C81" t="str">
        <x:v>Cero</x:v>
      </x:c>
      <x:c r="D81" t="str">
        <x:v>Gratuita</x:v>
      </x:c>
      <x:c r="E81" t="str">
        <x:v>Bogotá</x:v>
      </x:c>
      <x:c r="F81" t="str">
        <x:v>Bogotá D.C.</x:v>
      </x:c>
      <x:c r="G81" t="n">
        <x:v>53</x:v>
      </x:c>
      <x:c r="H81" t="str">
        <x:v>Entre $1,5 M y $3 M</x:v>
      </x:c>
      <x:c r="I81" t="str">
        <x:v>Búsqueda paga</x:v>
      </x:c>
      <x:c r="J81" t="n">
        <x:v>1</x:v>
      </x:c>
      <x:c r="K81" t="n">
        <x:v>0</x:v>
      </x:c>
      <x:c r="L81" t="n">
        <x:v>20329326.9</x:v>
      </x:c>
      <x:c r="M81" t="n">
        <x:v>867300</x:v>
      </x:c>
      <x:c r="N81" t="n">
        <x:v>1</x:v>
      </x:c>
      <x:c r="O81" t="n">
        <x:v>0</x:v>
      </x:c>
      <x:c r="P81" t="n">
        <x:v>1</x:v>
      </x:c>
    </x:row>
    <x:row r="82">
      <x:c r="A82" t="str">
        <x:v>2025-02</x:v>
      </x:c>
      <x:c r="B82" t="str">
        <x:v>USR-00050</x:v>
      </x:c>
      <x:c r="C82" t="str">
        <x:v>Cero</x:v>
      </x:c>
      <x:c r="D82" t="str">
        <x:v>Gratuita</x:v>
      </x:c>
      <x:c r="E82" t="str">
        <x:v>Medellín</x:v>
      </x:c>
      <x:c r="F82" t="str">
        <x:v>Antioquia</x:v>
      </x:c>
      <x:c r="G82" t="n">
        <x:v>62</x:v>
      </x:c>
      <x:c r="H82" t="str">
        <x:v>Entre $1,5 M y $3 M</x:v>
      </x:c>
      <x:c r="I82" t="str">
        <x:v>Referidos</x:v>
      </x:c>
      <x:c r="J82" t="n">
        <x:v>1</x:v>
      </x:c>
      <x:c r="K82" t="n">
        <x:v>0</x:v>
      </x:c>
      <x:c r="L82" t="n">
        <x:v>4006820.59</x:v>
      </x:c>
      <x:c r="M82" t="n">
        <x:v>147200</x:v>
      </x:c>
      <x:c r="N82" t="n">
        <x:v>1</x:v>
      </x:c>
      <x:c r="O82" t="n">
        <x:v>0</x:v>
      </x:c>
      <x:c r="P82" t="n">
        <x:v>1</x:v>
      </x:c>
    </x:row>
    <x:row r="83">
      <x:c r="A83" t="str">
        <x:v>2025-02</x:v>
      </x:c>
      <x:c r="B83" t="str">
        <x:v>USR-00051</x:v>
      </x:c>
      <x:c r="C83" t="str">
        <x:v>Plus mensual</x:v>
      </x:c>
      <x:c r="D83" t="str">
        <x:v>Pago</x:v>
      </x:c>
      <x:c r="E83" t="str">
        <x:v>Bogotá</x:v>
      </x:c>
      <x:c r="F83" t="str">
        <x:v>Bogotá D.C.</x:v>
      </x:c>
      <x:c r="G83" t="n">
        <x:v>58</x:v>
      </x:c>
      <x:c r="H83" t="str">
        <x:v>Más de $5 M</x:v>
      </x:c>
      <x:c r="I83" t="str">
        <x:v>Referidos</x:v>
      </x:c>
      <x:c r="J83" t="n">
        <x:v>5</x:v>
      </x:c>
      <x:c r="K83" t="n">
        <x:v>0</x:v>
      </x:c>
      <x:c r="L83" t="n">
        <x:v>42440166.28</x:v>
      </x:c>
      <x:c r="M83" t="n">
        <x:v>2772200</x:v>
      </x:c>
      <x:c r="N83" t="n">
        <x:v>4</x:v>
      </x:c>
      <x:c r="O83" t="n">
        <x:v>29900</x:v>
      </x:c>
      <x:c r="P83" t="n">
        <x:v>1</x:v>
      </x:c>
    </x:row>
    <x:row r="84">
      <x:c r="A84" t="str">
        <x:v>2025-02</x:v>
      </x:c>
      <x:c r="B84" t="str">
        <x:v>USR-00052</x:v>
      </x:c>
      <x:c r="C84" t="str">
        <x:v>Cero</x:v>
      </x:c>
      <x:c r="D84" t="str">
        <x:v>Gratuita</x:v>
      </x:c>
      <x:c r="E84" t="str">
        <x:v>Barranquilla</x:v>
      </x:c>
      <x:c r="F84" t="str">
        <x:v>Atlántico</x:v>
      </x:c>
      <x:c r="G84" t="n">
        <x:v>29</x:v>
      </x:c>
      <x:c r="H84" t="str">
        <x:v>Entre $1,5 M y $3 M</x:v>
      </x:c>
      <x:c r="I84" t="str">
        <x:v>Alianzas</x:v>
      </x:c>
      <x:c r="J84" t="n">
        <x:v>1</x:v>
      </x:c>
      <x:c r="K84" t="n">
        <x:v>0</x:v>
      </x:c>
      <x:c r="L84" t="n">
        <x:v>20630599.24</x:v>
      </x:c>
      <x:c r="M84" t="n">
        <x:v>571100</x:v>
      </x:c>
      <x:c r="N84" t="n">
        <x:v>1</x:v>
      </x:c>
      <x:c r="O84" t="n">
        <x:v>0</x:v>
      </x:c>
      <x:c r="P84" t="n">
        <x:v>1</x:v>
      </x:c>
    </x:row>
    <x:row r="85">
      <x:c r="A85" t="str">
        <x:v>2025-02</x:v>
      </x:c>
      <x:c r="B85" t="str">
        <x:v>USR-00053</x:v>
      </x:c>
      <x:c r="C85" t="str">
        <x:v>Plus mensual</x:v>
      </x:c>
      <x:c r="D85" t="str">
        <x:v>Pago</x:v>
      </x:c>
      <x:c r="E85" t="str">
        <x:v>Bogotá</x:v>
      </x:c>
      <x:c r="F85" t="str">
        <x:v>Bogotá D.C.</x:v>
      </x:c>
      <x:c r="G85" t="n">
        <x:v>51</x:v>
      </x:c>
      <x:c r="H85" t="str">
        <x:v>Menos de $1,5 M</x:v>
      </x:c>
      <x:c r="I85" t="str">
        <x:v>Orgánico</x:v>
      </x:c>
      <x:c r="J85" t="n">
        <x:v>4</x:v>
      </x:c>
      <x:c r="K85" t="n">
        <x:v>0</x:v>
      </x:c>
      <x:c r="L85" t="n">
        <x:v>16675356.02</x:v>
      </x:c>
      <x:c r="M85" t="n">
        <x:v>156600</x:v>
      </x:c>
      <x:c r="N85" t="n">
        <x:v>1</x:v>
      </x:c>
      <x:c r="O85" t="n">
        <x:v>29900</x:v>
      </x:c>
      <x:c r="P85" t="n">
        <x:v>1</x:v>
      </x:c>
    </x:row>
    <x:row r="86">
      <x:c r="A86" t="str">
        <x:v>2025-02</x:v>
      </x:c>
      <x:c r="B86" t="str">
        <x:v>USR-00054</x:v>
      </x:c>
      <x:c r="C86" t="str">
        <x:v>Plus mensual</x:v>
      </x:c>
      <x:c r="D86" t="str">
        <x:v>Pago</x:v>
      </x:c>
      <x:c r="E86" t="str">
        <x:v>Bogotá</x:v>
      </x:c>
      <x:c r="F86" t="str">
        <x:v>Bogotá D.C.</x:v>
      </x:c>
      <x:c r="G86" t="n">
        <x:v>21</x:v>
      </x:c>
      <x:c r="H86" t="str">
        <x:v>Entre $1,5 M y $3 M</x:v>
      </x:c>
      <x:c r="I86" t="str">
        <x:v>Redes sociales</x:v>
      </x:c>
      <x:c r="J86" t="n">
        <x:v>4</x:v>
      </x:c>
      <x:c r="K86" t="n">
        <x:v>0</x:v>
      </x:c>
      <x:c r="L86" t="n">
        <x:v>50727025.27</x:v>
      </x:c>
      <x:c r="M86" t="n">
        <x:v>4205000</x:v>
      </x:c>
      <x:c r="N86" t="n">
        <x:v>4</x:v>
      </x:c>
      <x:c r="O86" t="n">
        <x:v>29900</x:v>
      </x:c>
      <x:c r="P86" t="n">
        <x:v>1</x:v>
      </x:c>
    </x:row>
    <x:row r="87">
      <x:c r="A87" t="str">
        <x:v>2025-02</x:v>
      </x:c>
      <x:c r="B87" t="str">
        <x:v>USR-00055</x:v>
      </x:c>
      <x:c r="C87" t="str">
        <x:v>Cero</x:v>
      </x:c>
      <x:c r="D87" t="str">
        <x:v>Gratuita</x:v>
      </x:c>
      <x:c r="E87" t="str">
        <x:v>Barranquilla</x:v>
      </x:c>
      <x:c r="F87" t="str">
        <x:v>Atlántico</x:v>
      </x:c>
      <x:c r="G87" t="n">
        <x:v>45</x:v>
      </x:c>
      <x:c r="H87" t="str">
        <x:v>Entre $3 M y $5 M</x:v>
      </x:c>
      <x:c r="I87" t="str">
        <x:v>Redes sociales</x:v>
      </x:c>
      <x:c r="J87" t="n">
        <x:v>2</x:v>
      </x:c>
      <x:c r="K87" t="n">
        <x:v>0</x:v>
      </x:c>
      <x:c r="L87" t="n">
        <x:v>13094518.39</x:v>
      </x:c>
      <x:c r="M87" t="n">
        <x:v>0</x:v>
      </x:c>
      <x:c r="N87" t="n">
        <x:v>0</x:v>
      </x:c>
      <x:c r="O87" t="n">
        <x:v>0</x:v>
      </x:c>
      <x:c r="P87" t="n">
        <x:v>1</x:v>
      </x:c>
    </x:row>
    <x:row r="88">
      <x:c r="A88" t="str">
        <x:v>2025-03</x:v>
      </x:c>
      <x:c r="B88" t="str">
        <x:v>USR-00001</x:v>
      </x:c>
      <x:c r="C88" t="str">
        <x:v>Cero</x:v>
      </x:c>
      <x:c r="D88" t="str">
        <x:v>Gratuita</x:v>
      </x:c>
      <x:c r="E88" t="str">
        <x:v>Medellín</x:v>
      </x:c>
      <x:c r="F88" t="str">
        <x:v>Antioquia</x:v>
      </x:c>
      <x:c r="G88" t="n">
        <x:v>44</x:v>
      </x:c>
      <x:c r="H88" t="str">
        <x:v>Entre $1,5 M y $3 M</x:v>
      </x:c>
      <x:c r="I88" t="str">
        <x:v>Redes sociales</x:v>
      </x:c>
      <x:c r="J88" t="n">
        <x:v>1</x:v>
      </x:c>
      <x:c r="K88" t="n">
        <x:v>0</x:v>
      </x:c>
      <x:c r="L88" t="n">
        <x:v>17486041.37</x:v>
      </x:c>
      <x:c r="M88" t="n">
        <x:v>0</x:v>
      </x:c>
      <x:c r="N88" t="n">
        <x:v>0</x:v>
      </x:c>
      <x:c r="O88" t="n">
        <x:v>0</x:v>
      </x:c>
      <x:c r="P88" t="n">
        <x:v>3</x:v>
      </x:c>
    </x:row>
    <x:row r="89">
      <x:c r="A89" t="str">
        <x:v>2025-03</x:v>
      </x:c>
      <x:c r="B89" t="str">
        <x:v>USR-00002</x:v>
      </x:c>
      <x:c r="C89" t="str">
        <x:v>Cero</x:v>
      </x:c>
      <x:c r="D89" t="str">
        <x:v>Gratuita</x:v>
      </x:c>
      <x:c r="E89" t="str">
        <x:v>Bogotá</x:v>
      </x:c>
      <x:c r="F89" t="str">
        <x:v>Bogotá D.C.</x:v>
      </x:c>
      <x:c r="G89" t="n">
        <x:v>54</x:v>
      </x:c>
      <x:c r="H89" t="str">
        <x:v>Entre $3 M y $5 M</x:v>
      </x:c>
      <x:c r="I89" t="str">
        <x:v>Alianzas</x:v>
      </x:c>
      <x:c r="J89" t="n">
        <x:v>2</x:v>
      </x:c>
      <x:c r="K89" t="n">
        <x:v>0</x:v>
      </x:c>
      <x:c r="L89" t="n">
        <x:v>33500096.11</x:v>
      </x:c>
      <x:c r="M89" t="n">
        <x:v>493300</x:v>
      </x:c>
      <x:c r="N89" t="n">
        <x:v>1</x:v>
      </x:c>
      <x:c r="O89" t="n">
        <x:v>0</x:v>
      </x:c>
      <x:c r="P89" t="n">
        <x:v>3</x:v>
      </x:c>
    </x:row>
    <x:row r="90">
      <x:c r="A90" t="str">
        <x:v>2025-03</x:v>
      </x:c>
      <x:c r="B90" t="str">
        <x:v>USR-00003</x:v>
      </x:c>
      <x:c r="C90" t="str">
        <x:v>Cero</x:v>
      </x:c>
      <x:c r="D90" t="str">
        <x:v>Gratuita</x:v>
      </x:c>
      <x:c r="E90" t="str">
        <x:v>Bogotá</x:v>
      </x:c>
      <x:c r="F90" t="str">
        <x:v>Bogotá D.C.</x:v>
      </x:c>
      <x:c r="G90" t="n">
        <x:v>63</x:v>
      </x:c>
      <x:c r="H90" t="str">
        <x:v>Entre $1,5 M y $3 M</x:v>
      </x:c>
      <x:c r="I90" t="str">
        <x:v>Redes sociales</x:v>
      </x:c>
      <x:c r="J90" t="n">
        <x:v>2</x:v>
      </x:c>
      <x:c r="K90" t="n">
        <x:v>0</x:v>
      </x:c>
      <x:c r="L90" t="n">
        <x:v>20781918.68</x:v>
      </x:c>
      <x:c r="M90" t="n">
        <x:v>796600</x:v>
      </x:c>
      <x:c r="N90" t="n">
        <x:v>2</x:v>
      </x:c>
      <x:c r="O90" t="n">
        <x:v>0</x:v>
      </x:c>
      <x:c r="P90" t="n">
        <x:v>3</x:v>
      </x:c>
    </x:row>
    <x:row r="91">
      <x:c r="A91" t="str">
        <x:v>2025-03</x:v>
      </x:c>
      <x:c r="B91" t="str">
        <x:v>USR-00004</x:v>
      </x:c>
      <x:c r="C91" t="str">
        <x:v>Plus anual</x:v>
      </x:c>
      <x:c r="D91" t="str">
        <x:v>Pago</x:v>
      </x:c>
      <x:c r="E91" t="str">
        <x:v>Bogotá</x:v>
      </x:c>
      <x:c r="F91" t="str">
        <x:v>Bogotá D.C.</x:v>
      </x:c>
      <x:c r="G91" t="n">
        <x:v>49</x:v>
      </x:c>
      <x:c r="H91" t="str">
        <x:v>Menos de $1,5 M</x:v>
      </x:c>
      <x:c r="I91" t="str">
        <x:v>Alianzas</x:v>
      </x:c>
      <x:c r="J91" t="n">
        <x:v>2</x:v>
      </x:c>
      <x:c r="K91" t="n">
        <x:v>0</x:v>
      </x:c>
      <x:c r="L91" t="n">
        <x:v>18275331.9</x:v>
      </x:c>
      <x:c r="M91" t="n">
        <x:v>314100</x:v>
      </x:c>
      <x:c r="N91" t="n">
        <x:v>1</x:v>
      </x:c>
      <x:c r="O91" t="n">
        <x:v>24916.67</x:v>
      </x:c>
      <x:c r="P91" t="n">
        <x:v>3</x:v>
      </x:c>
    </x:row>
    <x:row r="92">
      <x:c r="A92" t="str">
        <x:v>2025-03</x:v>
      </x:c>
      <x:c r="B92" t="str">
        <x:v>USR-00005</x:v>
      </x:c>
      <x:c r="C92" t="str">
        <x:v>Plus anual</x:v>
      </x:c>
      <x:c r="D92" t="str">
        <x:v>Pago</x:v>
      </x:c>
      <x:c r="E92" t="str">
        <x:v>Bogotá</x:v>
      </x:c>
      <x:c r="F92" t="str">
        <x:v>Bogotá D.C.</x:v>
      </x:c>
      <x:c r="G92" t="n">
        <x:v>45</x:v>
      </x:c>
      <x:c r="H92" t="str">
        <x:v>Entre $1,5 M y $3 M</x:v>
      </x:c>
      <x:c r="I92" t="str">
        <x:v>Orgánico</x:v>
      </x:c>
      <x:c r="J92" t="n">
        <x:v>2</x:v>
      </x:c>
      <x:c r="K92" t="n">
        <x:v>0</x:v>
      </x:c>
      <x:c r="L92" t="n">
        <x:v>8890833.63</x:v>
      </x:c>
      <x:c r="M92" t="n">
        <x:v>529600</x:v>
      </x:c>
      <x:c r="N92" t="n">
        <x:v>2</x:v>
      </x:c>
      <x:c r="O92" t="n">
        <x:v>24916.67</x:v>
      </x:c>
      <x:c r="P92" t="n">
        <x:v>3</x:v>
      </x:c>
    </x:row>
    <x:row r="93">
      <x:c r="A93" t="str">
        <x:v>2025-03</x:v>
      </x:c>
      <x:c r="B93" t="str">
        <x:v>USR-00006</x:v>
      </x:c>
      <x:c r="C93" t="str">
        <x:v>Cero</x:v>
      </x:c>
      <x:c r="D93" t="str">
        <x:v>Gratuita</x:v>
      </x:c>
      <x:c r="E93" t="str">
        <x:v>Medellín</x:v>
      </x:c>
      <x:c r="F93" t="str">
        <x:v>Antioquia</x:v>
      </x:c>
      <x:c r="G93" t="n">
        <x:v>62</x:v>
      </x:c>
      <x:c r="H93" t="str">
        <x:v>Entre $3 M y $5 M</x:v>
      </x:c>
      <x:c r="I93" t="str">
        <x:v>Redes sociales</x:v>
      </x:c>
      <x:c r="J93" t="n">
        <x:v>1</x:v>
      </x:c>
      <x:c r="K93" t="n">
        <x:v>0</x:v>
      </x:c>
      <x:c r="L93" t="n">
        <x:v>11658185.67</x:v>
      </x:c>
      <x:c r="M93" t="n">
        <x:v>678000</x:v>
      </x:c>
      <x:c r="N93" t="n">
        <x:v>1</x:v>
      </x:c>
      <x:c r="O93" t="n">
        <x:v>0</x:v>
      </x:c>
      <x:c r="P93" t="n">
        <x:v>3</x:v>
      </x:c>
    </x:row>
    <x:row r="94">
      <x:c r="A94" t="str">
        <x:v>2025-03</x:v>
      </x:c>
      <x:c r="B94" t="str">
        <x:v>USR-00007</x:v>
      </x:c>
      <x:c r="C94" t="str">
        <x:v>Plus mensual</x:v>
      </x:c>
      <x:c r="D94" t="str">
        <x:v>Pago</x:v>
      </x:c>
      <x:c r="E94" t="str">
        <x:v>Bogotá</x:v>
      </x:c>
      <x:c r="F94" t="str">
        <x:v>Bogotá D.C.</x:v>
      </x:c>
      <x:c r="G94" t="n">
        <x:v>34</x:v>
      </x:c>
      <x:c r="H94" t="str">
        <x:v>Entre $1,5 M y $3 M</x:v>
      </x:c>
      <x:c r="I94" t="str">
        <x:v>Redes sociales</x:v>
      </x:c>
      <x:c r="J94" t="n">
        <x:v>2</x:v>
      </x:c>
      <x:c r="K94" t="n">
        <x:v>0</x:v>
      </x:c>
      <x:c r="L94" t="n">
        <x:v>22051063.3</x:v>
      </x:c>
      <x:c r="M94" t="n">
        <x:v>1267400</x:v>
      </x:c>
      <x:c r="N94" t="n">
        <x:v>2</x:v>
      </x:c>
      <x:c r="O94" t="n">
        <x:v>29900</x:v>
      </x:c>
      <x:c r="P94" t="n">
        <x:v>3</x:v>
      </x:c>
    </x:row>
    <x:row r="95">
      <x:c r="A95" t="str">
        <x:v>2025-03</x:v>
      </x:c>
      <x:c r="B95" t="str">
        <x:v>USR-00008</x:v>
      </x:c>
      <x:c r="C95" t="str">
        <x:v>Cero</x:v>
      </x:c>
      <x:c r="D95" t="str">
        <x:v>Gratuita</x:v>
      </x:c>
      <x:c r="E95" t="str">
        <x:v>Barranquilla</x:v>
      </x:c>
      <x:c r="F95" t="str">
        <x:v>Atlántico</x:v>
      </x:c>
      <x:c r="G95" t="n">
        <x:v>33</x:v>
      </x:c>
      <x:c r="H95" t="str">
        <x:v>Más de $5 M</x:v>
      </x:c>
      <x:c r="I95" t="str">
        <x:v>Redes sociales</x:v>
      </x:c>
      <x:c r="J95" t="n">
        <x:v>2</x:v>
      </x:c>
      <x:c r="K95" t="n">
        <x:v>0</x:v>
      </x:c>
      <x:c r="L95" t="n">
        <x:v>28746668.93</x:v>
      </x:c>
      <x:c r="M95" t="n">
        <x:v>650500</x:v>
      </x:c>
      <x:c r="N95" t="n">
        <x:v>1</x:v>
      </x:c>
      <x:c r="O95" t="n">
        <x:v>0</x:v>
      </x:c>
      <x:c r="P95" t="n">
        <x:v>3</x:v>
      </x:c>
    </x:row>
    <x:row r="96">
      <x:c r="A96" t="str">
        <x:v>2025-03</x:v>
      </x:c>
      <x:c r="B96" t="str">
        <x:v>USR-00009</x:v>
      </x:c>
      <x:c r="C96" t="str">
        <x:v>Cero</x:v>
      </x:c>
      <x:c r="D96" t="str">
        <x:v>Gratuita</x:v>
      </x:c>
      <x:c r="E96" t="str">
        <x:v>Barranquilla</x:v>
      </x:c>
      <x:c r="F96" t="str">
        <x:v>Atlántico</x:v>
      </x:c>
      <x:c r="G96" t="n">
        <x:v>46</x:v>
      </x:c>
      <x:c r="H96" t="str">
        <x:v>Entre $1,5 M y $3 M</x:v>
      </x:c>
      <x:c r="I96" t="str">
        <x:v>Orgánico</x:v>
      </x:c>
      <x:c r="J96" t="n">
        <x:v>1</x:v>
      </x:c>
      <x:c r="K96" t="n">
        <x:v>0</x:v>
      </x:c>
      <x:c r="L96" t="n">
        <x:v>5633537.39</x:v>
      </x:c>
      <x:c r="M96" t="n">
        <x:v>165500</x:v>
      </x:c>
      <x:c r="N96" t="n">
        <x:v>1</x:v>
      </x:c>
      <x:c r="O96" t="n">
        <x:v>0</x:v>
      </x:c>
      <x:c r="P96" t="n">
        <x:v>3</x:v>
      </x:c>
    </x:row>
    <x:row r="97">
      <x:c r="A97" t="str">
        <x:v>2025-03</x:v>
      </x:c>
      <x:c r="B97" t="str">
        <x:v>USR-00010</x:v>
      </x:c>
      <x:c r="C97" t="str">
        <x:v>Cero</x:v>
      </x:c>
      <x:c r="D97" t="str">
        <x:v>Gratuita</x:v>
      </x:c>
      <x:c r="E97" t="str">
        <x:v>Bogotá</x:v>
      </x:c>
      <x:c r="F97" t="str">
        <x:v>Bogotá D.C.</x:v>
      </x:c>
      <x:c r="G97" t="n">
        <x:v>63</x:v>
      </x:c>
      <x:c r="H97" t="str">
        <x:v>Entre $3 M y $5 M</x:v>
      </x:c>
      <x:c r="I97" t="str">
        <x:v>Contenido educativo</x:v>
      </x:c>
      <x:c r="J97" t="n">
        <x:v>2</x:v>
      </x:c>
      <x:c r="K97" t="n">
        <x:v>0</x:v>
      </x:c>
      <x:c r="L97" t="n">
        <x:v>20689980.41</x:v>
      </x:c>
      <x:c r="M97" t="n">
        <x:v>1205600</x:v>
      </x:c>
      <x:c r="N97" t="n">
        <x:v>2</x:v>
      </x:c>
      <x:c r="O97" t="n">
        <x:v>0</x:v>
      </x:c>
      <x:c r="P97" t="n">
        <x:v>3</x:v>
      </x:c>
    </x:row>
    <x:row r="98">
      <x:c r="A98" t="str">
        <x:v>2025-03</x:v>
      </x:c>
      <x:c r="B98" t="str">
        <x:v>USR-00011</x:v>
      </x:c>
      <x:c r="C98" t="str">
        <x:v>Cero</x:v>
      </x:c>
      <x:c r="D98" t="str">
        <x:v>Gratuita</x:v>
      </x:c>
      <x:c r="E98" t="str">
        <x:v>Bogotá</x:v>
      </x:c>
      <x:c r="F98" t="str">
        <x:v>Bogotá D.C.</x:v>
      </x:c>
      <x:c r="G98" t="n">
        <x:v>38</x:v>
      </x:c>
      <x:c r="H98" t="str">
        <x:v>Entre $1,5 M y $3 M</x:v>
      </x:c>
      <x:c r="I98" t="str">
        <x:v>Contenido educativo</x:v>
      </x:c>
      <x:c r="J98" t="n">
        <x:v>2</x:v>
      </x:c>
      <x:c r="K98" t="n">
        <x:v>0</x:v>
      </x:c>
      <x:c r="L98" t="n">
        <x:v>19400888.5</x:v>
      </x:c>
      <x:c r="M98" t="n">
        <x:v>1891400</x:v>
      </x:c>
      <x:c r="N98" t="n">
        <x:v>1</x:v>
      </x:c>
      <x:c r="O98" t="n">
        <x:v>0</x:v>
      </x:c>
      <x:c r="P98" t="n">
        <x:v>3</x:v>
      </x:c>
    </x:row>
    <x:row r="99">
      <x:c r="A99" t="str">
        <x:v>2025-03</x:v>
      </x:c>
      <x:c r="B99" t="str">
        <x:v>USR-00012</x:v>
      </x:c>
      <x:c r="C99" t="str">
        <x:v>Cero</x:v>
      </x:c>
      <x:c r="D99" t="str">
        <x:v>Gratuita</x:v>
      </x:c>
      <x:c r="E99" t="str">
        <x:v>Bogotá</x:v>
      </x:c>
      <x:c r="F99" t="str">
        <x:v>Bogotá D.C.</x:v>
      </x:c>
      <x:c r="G99" t="n">
        <x:v>37</x:v>
      </x:c>
      <x:c r="H99" t="str">
        <x:v>Entre $1,5 M y $3 M</x:v>
      </x:c>
      <x:c r="I99" t="str">
        <x:v>Referidos</x:v>
      </x:c>
      <x:c r="J99" t="n">
        <x:v>2</x:v>
      </x:c>
      <x:c r="K99" t="n">
        <x:v>0</x:v>
      </x:c>
      <x:c r="L99" t="n">
        <x:v>17023442.94</x:v>
      </x:c>
      <x:c r="M99" t="n">
        <x:v>1024600</x:v>
      </x:c>
      <x:c r="N99" t="n">
        <x:v>2</x:v>
      </x:c>
      <x:c r="O99" t="n">
        <x:v>0</x:v>
      </x:c>
      <x:c r="P99" t="n">
        <x:v>3</x:v>
      </x:c>
    </x:row>
    <x:row r="100">
      <x:c r="A100" t="str">
        <x:v>2025-03</x:v>
      </x:c>
      <x:c r="B100" t="str">
        <x:v>USR-00013</x:v>
      </x:c>
      <x:c r="C100" t="str">
        <x:v>Cero</x:v>
      </x:c>
      <x:c r="D100" t="str">
        <x:v>Gratuita</x:v>
      </x:c>
      <x:c r="E100" t="str">
        <x:v>Barranquilla</x:v>
      </x:c>
      <x:c r="F100" t="str">
        <x:v>Atlántico</x:v>
      </x:c>
      <x:c r="G100" t="n">
        <x:v>48</x:v>
      </x:c>
      <x:c r="H100" t="str">
        <x:v>Entre $1,5 M y $3 M</x:v>
      </x:c>
      <x:c r="I100" t="str">
        <x:v>Búsqueda paga</x:v>
      </x:c>
      <x:c r="J100" t="n">
        <x:v>2</x:v>
      </x:c>
      <x:c r="K100" t="n">
        <x:v>0</x:v>
      </x:c>
      <x:c r="L100" t="n">
        <x:v>49720988.29</x:v>
      </x:c>
      <x:c r="M100" t="n">
        <x:v>3350200</x:v>
      </x:c>
      <x:c r="N100" t="n">
        <x:v>2</x:v>
      </x:c>
      <x:c r="O100" t="n">
        <x:v>0</x:v>
      </x:c>
      <x:c r="P100" t="n">
        <x:v>3</x:v>
      </x:c>
    </x:row>
    <x:row r="101">
      <x:c r="A101" t="str">
        <x:v>2025-03</x:v>
      </x:c>
      <x:c r="B101" t="str">
        <x:v>USR-00014</x:v>
      </x:c>
      <x:c r="C101" t="str">
        <x:v>Cero</x:v>
      </x:c>
      <x:c r="D101" t="str">
        <x:v>Gratuita</x:v>
      </x:c>
      <x:c r="E101" t="str">
        <x:v>Bucaramanga</x:v>
      </x:c>
      <x:c r="F101" t="str">
        <x:v>Santander</x:v>
      </x:c>
      <x:c r="G101" t="n">
        <x:v>37</x:v>
      </x:c>
      <x:c r="H101" t="str">
        <x:v>Entre $1,5 M y $3 M</x:v>
      </x:c>
      <x:c r="I101" t="str">
        <x:v>Redes sociales</x:v>
      </x:c>
      <x:c r="J101" t="n">
        <x:v>2</x:v>
      </x:c>
      <x:c r="K101" t="n">
        <x:v>0</x:v>
      </x:c>
      <x:c r="L101" t="n">
        <x:v>9490398.15</x:v>
      </x:c>
      <x:c r="M101" t="n">
        <x:v>752300</x:v>
      </x:c>
      <x:c r="N101" t="n">
        <x:v>2</x:v>
      </x:c>
      <x:c r="O101" t="n">
        <x:v>0</x:v>
      </x:c>
      <x:c r="P101" t="n">
        <x:v>3</x:v>
      </x:c>
    </x:row>
    <x:row r="102">
      <x:c r="A102" t="str">
        <x:v>2025-03</x:v>
      </x:c>
      <x:c r="B102" t="str">
        <x:v>USR-00015</x:v>
      </x:c>
      <x:c r="C102" t="str">
        <x:v>Cero</x:v>
      </x:c>
      <x:c r="D102" t="str">
        <x:v>Gratuita</x:v>
      </x:c>
      <x:c r="E102" t="str">
        <x:v>Barranquilla</x:v>
      </x:c>
      <x:c r="F102" t="str">
        <x:v>Atlántico</x:v>
      </x:c>
      <x:c r="G102" t="n">
        <x:v>58</x:v>
      </x:c>
      <x:c r="H102" t="str">
        <x:v>Menos de $1,5 M</x:v>
      </x:c>
      <x:c r="I102" t="str">
        <x:v>Contenido educativo</x:v>
      </x:c>
      <x:c r="J102" t="n">
        <x:v>2</x:v>
      </x:c>
      <x:c r="K102" t="n">
        <x:v>0</x:v>
      </x:c>
      <x:c r="L102" t="n">
        <x:v>19155938.59</x:v>
      </x:c>
      <x:c r="M102" t="n">
        <x:v>650500</x:v>
      </x:c>
      <x:c r="N102" t="n">
        <x:v>1</x:v>
      </x:c>
      <x:c r="O102" t="n">
        <x:v>0</x:v>
      </x:c>
      <x:c r="P102" t="n">
        <x:v>3</x:v>
      </x:c>
    </x:row>
    <x:row r="103">
      <x:c r="A103" t="str">
        <x:v>2025-03</x:v>
      </x:c>
      <x:c r="B103" t="str">
        <x:v>USR-00016</x:v>
      </x:c>
      <x:c r="C103" t="str">
        <x:v>Cero</x:v>
      </x:c>
      <x:c r="D103" t="str">
        <x:v>Gratuita</x:v>
      </x:c>
      <x:c r="E103" t="str">
        <x:v>Bogotá</x:v>
      </x:c>
      <x:c r="F103" t="str">
        <x:v>Bogotá D.C.</x:v>
      </x:c>
      <x:c r="G103" t="n">
        <x:v>38</x:v>
      </x:c>
      <x:c r="H103" t="str">
        <x:v>Menos de $1,5 M</x:v>
      </x:c>
      <x:c r="I103" t="str">
        <x:v>Búsqueda paga</x:v>
      </x:c>
      <x:c r="J103" t="n">
        <x:v>1</x:v>
      </x:c>
      <x:c r="K103" t="n">
        <x:v>0</x:v>
      </x:c>
      <x:c r="L103" t="n">
        <x:v>4243997.1</x:v>
      </x:c>
      <x:c r="M103" t="n">
        <x:v>0</x:v>
      </x:c>
      <x:c r="N103" t="n">
        <x:v>0</x:v>
      </x:c>
      <x:c r="O103" t="n">
        <x:v>0</x:v>
      </x:c>
      <x:c r="P103" t="n">
        <x:v>3</x:v>
      </x:c>
    </x:row>
    <x:row r="104">
      <x:c r="A104" t="str">
        <x:v>2025-03</x:v>
      </x:c>
      <x:c r="B104" t="str">
        <x:v>USR-00017</x:v>
      </x:c>
      <x:c r="C104" t="str">
        <x:v>Plus anual</x:v>
      </x:c>
      <x:c r="D104" t="str">
        <x:v>Pago</x:v>
      </x:c>
      <x:c r="E104" t="str">
        <x:v>Bogotá</x:v>
      </x:c>
      <x:c r="F104" t="str">
        <x:v>Bogotá D.C.</x:v>
      </x:c>
      <x:c r="G104" t="n">
        <x:v>35</x:v>
      </x:c>
      <x:c r="H104" t="str">
        <x:v>Entre $1,5 M y $3 M</x:v>
      </x:c>
      <x:c r="I104" t="str">
        <x:v>Orgánico</x:v>
      </x:c>
      <x:c r="J104" t="n">
        <x:v>1</x:v>
      </x:c>
      <x:c r="K104" t="n">
        <x:v>0</x:v>
      </x:c>
      <x:c r="L104" t="n">
        <x:v>2417289.52</x:v>
      </x:c>
      <x:c r="M104" t="n">
        <x:v>96800</x:v>
      </x:c>
      <x:c r="N104" t="n">
        <x:v>1</x:v>
      </x:c>
      <x:c r="O104" t="n">
        <x:v>24916.67</x:v>
      </x:c>
      <x:c r="P104" t="n">
        <x:v>3</x:v>
      </x:c>
    </x:row>
    <x:row r="105">
      <x:c r="A105" t="str">
        <x:v>2025-03</x:v>
      </x:c>
      <x:c r="B105" t="str">
        <x:v>USR-00018</x:v>
      </x:c>
      <x:c r="C105" t="str">
        <x:v>Cero</x:v>
      </x:c>
      <x:c r="D105" t="str">
        <x:v>Gratuita</x:v>
      </x:c>
      <x:c r="E105" t="str">
        <x:v>Bogotá</x:v>
      </x:c>
      <x:c r="F105" t="str">
        <x:v>Bogotá D.C.</x:v>
      </x:c>
      <x:c r="G105" t="n">
        <x:v>44</x:v>
      </x:c>
      <x:c r="H105" t="str">
        <x:v>Entre $1,5 M y $3 M</x:v>
      </x:c>
      <x:c r="I105" t="str">
        <x:v>Referidos</x:v>
      </x:c>
      <x:c r="J105" t="n">
        <x:v>1</x:v>
      </x:c>
      <x:c r="K105" t="n">
        <x:v>0</x:v>
      </x:c>
      <x:c r="L105" t="n">
        <x:v>8735171.97</x:v>
      </x:c>
      <x:c r="M105" t="n">
        <x:v>281600</x:v>
      </x:c>
      <x:c r="N105" t="n">
        <x:v>1</x:v>
      </x:c>
      <x:c r="O105" t="n">
        <x:v>0</x:v>
      </x:c>
      <x:c r="P105" t="n">
        <x:v>3</x:v>
      </x:c>
    </x:row>
    <x:row r="106">
      <x:c r="A106" t="str">
        <x:v>2025-03</x:v>
      </x:c>
      <x:c r="B106" t="str">
        <x:v>USR-00019</x:v>
      </x:c>
      <x:c r="C106" t="str">
        <x:v>Cero</x:v>
      </x:c>
      <x:c r="D106" t="str">
        <x:v>Gratuita</x:v>
      </x:c>
      <x:c r="E106" t="str">
        <x:v>Bogotá</x:v>
      </x:c>
      <x:c r="F106" t="str">
        <x:v>Bogotá D.C.</x:v>
      </x:c>
      <x:c r="G106" t="n">
        <x:v>60</x:v>
      </x:c>
      <x:c r="H106" t="str">
        <x:v>Entre $3 M y $5 M</x:v>
      </x:c>
      <x:c r="I106" t="str">
        <x:v>Redes sociales</x:v>
      </x:c>
      <x:c r="J106" t="n">
        <x:v>2</x:v>
      </x:c>
      <x:c r="K106" t="n">
        <x:v>0</x:v>
      </x:c>
      <x:c r="L106" t="n">
        <x:v>12788859.43</x:v>
      </x:c>
      <x:c r="M106" t="n">
        <x:v>649300</x:v>
      </x:c>
      <x:c r="N106" t="n">
        <x:v>2</x:v>
      </x:c>
      <x:c r="O106" t="n">
        <x:v>0</x:v>
      </x:c>
      <x:c r="P106" t="n">
        <x:v>3</x:v>
      </x:c>
    </x:row>
    <x:row r="107">
      <x:c r="A107" t="str">
        <x:v>2025-03</x:v>
      </x:c>
      <x:c r="B107" t="str">
        <x:v>USR-00020</x:v>
      </x:c>
      <x:c r="C107" t="str">
        <x:v>Cero</x:v>
      </x:c>
      <x:c r="D107" t="str">
        <x:v>Gratuita</x:v>
      </x:c>
      <x:c r="E107" t="str">
        <x:v>Bogotá</x:v>
      </x:c>
      <x:c r="F107" t="str">
        <x:v>Bogotá D.C.</x:v>
      </x:c>
      <x:c r="G107" t="n">
        <x:v>50</x:v>
      </x:c>
      <x:c r="H107" t="str">
        <x:v>Entre $1,5 M y $3 M</x:v>
      </x:c>
      <x:c r="I107" t="str">
        <x:v>Alianzas</x:v>
      </x:c>
      <x:c r="J107" t="n">
        <x:v>1</x:v>
      </x:c>
      <x:c r="K107" t="n">
        <x:v>0</x:v>
      </x:c>
      <x:c r="L107" t="n">
        <x:v>5746134.07</x:v>
      </x:c>
      <x:c r="M107" t="n">
        <x:v>0</x:v>
      </x:c>
      <x:c r="N107" t="n">
        <x:v>0</x:v>
      </x:c>
      <x:c r="O107" t="n">
        <x:v>0</x:v>
      </x:c>
      <x:c r="P107" t="n">
        <x:v>3</x:v>
      </x:c>
    </x:row>
    <x:row r="108">
      <x:c r="A108" t="str">
        <x:v>2025-03</x:v>
      </x:c>
      <x:c r="B108" t="str">
        <x:v>USR-00021</x:v>
      </x:c>
      <x:c r="C108" t="str">
        <x:v>Cero</x:v>
      </x:c>
      <x:c r="D108" t="str">
        <x:v>Gratuita</x:v>
      </x:c>
      <x:c r="E108" t="str">
        <x:v>Cali</x:v>
      </x:c>
      <x:c r="F108" t="str">
        <x:v>Valle del Cauca</x:v>
      </x:c>
      <x:c r="G108" t="n">
        <x:v>51</x:v>
      </x:c>
      <x:c r="H108" t="str">
        <x:v>Menos de $1,5 M</x:v>
      </x:c>
      <x:c r="I108" t="str">
        <x:v>Redes sociales</x:v>
      </x:c>
      <x:c r="J108" t="n">
        <x:v>1</x:v>
      </x:c>
      <x:c r="K108" t="n">
        <x:v>0</x:v>
      </x:c>
      <x:c r="L108" t="n">
        <x:v>25660906.37</x:v>
      </x:c>
      <x:c r="M108" t="n">
        <x:v>1089200</x:v>
      </x:c>
      <x:c r="N108" t="n">
        <x:v>1</x:v>
      </x:c>
      <x:c r="O108" t="n">
        <x:v>0</x:v>
      </x:c>
      <x:c r="P108" t="n">
        <x:v>3</x:v>
      </x:c>
    </x:row>
    <x:row r="109">
      <x:c r="A109" t="str">
        <x:v>2025-03</x:v>
      </x:c>
      <x:c r="B109" t="str">
        <x:v>USR-00022</x:v>
      </x:c>
      <x:c r="C109" t="str">
        <x:v>Cero</x:v>
      </x:c>
      <x:c r="D109" t="str">
        <x:v>Gratuita</x:v>
      </x:c>
      <x:c r="E109" t="str">
        <x:v>Bogotá</x:v>
      </x:c>
      <x:c r="F109" t="str">
        <x:v>Bogotá D.C.</x:v>
      </x:c>
      <x:c r="G109" t="n">
        <x:v>36</x:v>
      </x:c>
      <x:c r="H109" t="str">
        <x:v>Entre $3 M y $5 M</x:v>
      </x:c>
      <x:c r="I109" t="str">
        <x:v>Orgánico</x:v>
      </x:c>
      <x:c r="J109" t="n">
        <x:v>2</x:v>
      </x:c>
      <x:c r="K109" t="n">
        <x:v>0</x:v>
      </x:c>
      <x:c r="L109" t="n">
        <x:v>19599150.09</x:v>
      </x:c>
      <x:c r="M109" t="n">
        <x:v>1219600</x:v>
      </x:c>
      <x:c r="N109" t="n">
        <x:v>2</x:v>
      </x:c>
      <x:c r="O109" t="n">
        <x:v>0</x:v>
      </x:c>
      <x:c r="P109" t="n">
        <x:v>3</x:v>
      </x:c>
    </x:row>
    <x:row r="110">
      <x:c r="A110" t="str">
        <x:v>2025-03</x:v>
      </x:c>
      <x:c r="B110" t="str">
        <x:v>USR-00023</x:v>
      </x:c>
      <x:c r="C110" t="str">
        <x:v>Cero</x:v>
      </x:c>
      <x:c r="D110" t="str">
        <x:v>Gratuita</x:v>
      </x:c>
      <x:c r="E110" t="str">
        <x:v>Bogotá</x:v>
      </x:c>
      <x:c r="F110" t="str">
        <x:v>Bogotá D.C.</x:v>
      </x:c>
      <x:c r="G110" t="n">
        <x:v>24</x:v>
      </x:c>
      <x:c r="H110" t="str">
        <x:v>Menos de $1,5 M</x:v>
      </x:c>
      <x:c r="I110" t="str">
        <x:v>Alianzas</x:v>
      </x:c>
      <x:c r="J110" t="n">
        <x:v>1</x:v>
      </x:c>
      <x:c r="K110" t="n">
        <x:v>0</x:v>
      </x:c>
      <x:c r="L110" t="n">
        <x:v>5690132.35</x:v>
      </x:c>
      <x:c r="M110" t="n">
        <x:v>201500</x:v>
      </x:c>
      <x:c r="N110" t="n">
        <x:v>1</x:v>
      </x:c>
      <x:c r="O110" t="n">
        <x:v>0</x:v>
      </x:c>
      <x:c r="P110" t="n">
        <x:v>3</x:v>
      </x:c>
    </x:row>
    <x:row r="111">
      <x:c r="A111" t="str">
        <x:v>2025-03</x:v>
      </x:c>
      <x:c r="B111" t="str">
        <x:v>USR-00024</x:v>
      </x:c>
      <x:c r="C111" t="str">
        <x:v>Cero</x:v>
      </x:c>
      <x:c r="D111" t="str">
        <x:v>Gratuita</x:v>
      </x:c>
      <x:c r="E111" t="str">
        <x:v>Bogotá</x:v>
      </x:c>
      <x:c r="F111" t="str">
        <x:v>Bogotá D.C.</x:v>
      </x:c>
      <x:c r="G111" t="n">
        <x:v>59</x:v>
      </x:c>
      <x:c r="H111" t="str">
        <x:v>Menos de $1,5 M</x:v>
      </x:c>
      <x:c r="I111" t="str">
        <x:v>Orgánico</x:v>
      </x:c>
      <x:c r="J111" t="n">
        <x:v>2</x:v>
      </x:c>
      <x:c r="K111" t="n">
        <x:v>0</x:v>
      </x:c>
      <x:c r="L111" t="n">
        <x:v>54002820.74</x:v>
      </x:c>
      <x:c r="M111" t="n">
        <x:v>1706900</x:v>
      </x:c>
      <x:c r="N111" t="n">
        <x:v>2</x:v>
      </x:c>
      <x:c r="O111" t="n">
        <x:v>0</x:v>
      </x:c>
      <x:c r="P111" t="n">
        <x:v>3</x:v>
      </x:c>
    </x:row>
    <x:row r="112">
      <x:c r="A112" t="str">
        <x:v>2025-03</x:v>
      </x:c>
      <x:c r="B112" t="str">
        <x:v>USR-00025</x:v>
      </x:c>
      <x:c r="C112" t="str">
        <x:v>Plus anual</x:v>
      </x:c>
      <x:c r="D112" t="str">
        <x:v>Pago</x:v>
      </x:c>
      <x:c r="E112" t="str">
        <x:v>Pereira</x:v>
      </x:c>
      <x:c r="F112" t="str">
        <x:v>Risaralda</x:v>
      </x:c>
      <x:c r="G112" t="n">
        <x:v>57</x:v>
      </x:c>
      <x:c r="H112" t="str">
        <x:v>Entre $1,5 M y $3 M</x:v>
      </x:c>
      <x:c r="I112" t="str">
        <x:v>Orgánico</x:v>
      </x:c>
      <x:c r="J112" t="n">
        <x:v>2</x:v>
      </x:c>
      <x:c r="K112" t="n">
        <x:v>0</x:v>
      </x:c>
      <x:c r="L112" t="n">
        <x:v>11892373.05</x:v>
      </x:c>
      <x:c r="M112" t="n">
        <x:v>505100</x:v>
      </x:c>
      <x:c r="N112" t="n">
        <x:v>2</x:v>
      </x:c>
      <x:c r="O112" t="n">
        <x:v>24916.67</x:v>
      </x:c>
      <x:c r="P112" t="n">
        <x:v>3</x:v>
      </x:c>
    </x:row>
    <x:row r="113">
      <x:c r="A113" t="str">
        <x:v>2025-03</x:v>
      </x:c>
      <x:c r="B113" t="str">
        <x:v>USR-00026</x:v>
      </x:c>
      <x:c r="C113" t="str">
        <x:v>Cero</x:v>
      </x:c>
      <x:c r="D113" t="str">
        <x:v>Gratuita</x:v>
      </x:c>
      <x:c r="E113" t="str">
        <x:v>Bogotá</x:v>
      </x:c>
      <x:c r="F113" t="str">
        <x:v>Bogotá D.C.</x:v>
      </x:c>
      <x:c r="G113" t="n">
        <x:v>57</x:v>
      </x:c>
      <x:c r="H113" t="str">
        <x:v>Entre $3 M y $5 M</x:v>
      </x:c>
      <x:c r="I113" t="str">
        <x:v>Redes sociales</x:v>
      </x:c>
      <x:c r="J113" t="n">
        <x:v>1</x:v>
      </x:c>
      <x:c r="K113" t="n">
        <x:v>0</x:v>
      </x:c>
      <x:c r="L113" t="n">
        <x:v>5396451.61</x:v>
      </x:c>
      <x:c r="M113" t="n">
        <x:v>130700</x:v>
      </x:c>
      <x:c r="N113" t="n">
        <x:v>1</x:v>
      </x:c>
      <x:c r="O113" t="n">
        <x:v>0</x:v>
      </x:c>
      <x:c r="P113" t="n">
        <x:v>3</x:v>
      </x:c>
    </x:row>
    <x:row r="114">
      <x:c r="A114" t="str">
        <x:v>2025-03</x:v>
      </x:c>
      <x:c r="B114" t="str">
        <x:v>USR-00028</x:v>
      </x:c>
      <x:c r="C114" t="str">
        <x:v>Cero</x:v>
      </x:c>
      <x:c r="D114" t="str">
        <x:v>Gratuita</x:v>
      </x:c>
      <x:c r="E114" t="str">
        <x:v>Cali</x:v>
      </x:c>
      <x:c r="F114" t="str">
        <x:v>Valle del Cauca</x:v>
      </x:c>
      <x:c r="G114" t="n">
        <x:v>40</x:v>
      </x:c>
      <x:c r="H114" t="str">
        <x:v>Entre $1,5 M y $3 M</x:v>
      </x:c>
      <x:c r="I114" t="str">
        <x:v>Referidos</x:v>
      </x:c>
      <x:c r="J114" t="n">
        <x:v>2</x:v>
      </x:c>
      <x:c r="K114" t="n">
        <x:v>0</x:v>
      </x:c>
      <x:c r="L114" t="n">
        <x:v>19482181.97</x:v>
      </x:c>
      <x:c r="M114" t="n">
        <x:v>699300</x:v>
      </x:c>
      <x:c r="N114" t="n">
        <x:v>2</x:v>
      </x:c>
      <x:c r="O114" t="n">
        <x:v>0</x:v>
      </x:c>
      <x:c r="P114" t="n">
        <x:v>3</x:v>
      </x:c>
    </x:row>
    <x:row r="115">
      <x:c r="A115" t="str">
        <x:v>2025-03</x:v>
      </x:c>
      <x:c r="B115" t="str">
        <x:v>USR-00029</x:v>
      </x:c>
      <x:c r="C115" t="str">
        <x:v>Cero</x:v>
      </x:c>
      <x:c r="D115" t="str">
        <x:v>Gratuita</x:v>
      </x:c>
      <x:c r="E115" t="str">
        <x:v>Manizales</x:v>
      </x:c>
      <x:c r="F115" t="str">
        <x:v>Caldas</x:v>
      </x:c>
      <x:c r="G115" t="n">
        <x:v>36</x:v>
      </x:c>
      <x:c r="H115" t="str">
        <x:v>Entre $1,5 M y $3 M</x:v>
      </x:c>
      <x:c r="I115" t="str">
        <x:v>Orgánico</x:v>
      </x:c>
      <x:c r="J115" t="n">
        <x:v>2</x:v>
      </x:c>
      <x:c r="K115" t="n">
        <x:v>0</x:v>
      </x:c>
      <x:c r="L115" t="n">
        <x:v>7152078.88</x:v>
      </x:c>
      <x:c r="M115" t="n">
        <x:v>281200</x:v>
      </x:c>
      <x:c r="N115" t="n">
        <x:v>2</x:v>
      </x:c>
      <x:c r="O115" t="n">
        <x:v>0</x:v>
      </x:c>
      <x:c r="P115" t="n">
        <x:v>3</x:v>
      </x:c>
    </x:row>
    <x:row r="116">
      <x:c r="A116" t="str">
        <x:v>2025-03</x:v>
      </x:c>
      <x:c r="B116" t="str">
        <x:v>USR-00030</x:v>
      </x:c>
      <x:c r="C116" t="str">
        <x:v>Cero</x:v>
      </x:c>
      <x:c r="D116" t="str">
        <x:v>Gratuita</x:v>
      </x:c>
      <x:c r="E116" t="str">
        <x:v>Bogotá</x:v>
      </x:c>
      <x:c r="F116" t="str">
        <x:v>Bogotá D.C.</x:v>
      </x:c>
      <x:c r="G116" t="n">
        <x:v>41</x:v>
      </x:c>
      <x:c r="H116" t="str">
        <x:v>Entre $1,5 M y $3 M</x:v>
      </x:c>
      <x:c r="I116" t="str">
        <x:v>Alianzas</x:v>
      </x:c>
      <x:c r="J116" t="n">
        <x:v>1</x:v>
      </x:c>
      <x:c r="K116" t="n">
        <x:v>0</x:v>
      </x:c>
      <x:c r="L116" t="n">
        <x:v>5308217.19</x:v>
      </x:c>
      <x:c r="M116" t="n">
        <x:v>469300</x:v>
      </x:c>
      <x:c r="N116" t="n">
        <x:v>1</x:v>
      </x:c>
      <x:c r="O116" t="n">
        <x:v>0</x:v>
      </x:c>
      <x:c r="P116" t="n">
        <x:v>3</x:v>
      </x:c>
    </x:row>
    <x:row r="117">
      <x:c r="A117" t="str">
        <x:v>2025-03</x:v>
      </x:c>
      <x:c r="B117" t="str">
        <x:v>USR-00031</x:v>
      </x:c>
      <x:c r="C117" t="str">
        <x:v>Cero</x:v>
      </x:c>
      <x:c r="D117" t="str">
        <x:v>Gratuita</x:v>
      </x:c>
      <x:c r="E117" t="str">
        <x:v>Bucaramanga</x:v>
      </x:c>
      <x:c r="F117" t="str">
        <x:v>Santander</x:v>
      </x:c>
      <x:c r="G117" t="n">
        <x:v>63</x:v>
      </x:c>
      <x:c r="H117" t="str">
        <x:v>Entre $1,5 M y $3 M</x:v>
      </x:c>
      <x:c r="I117" t="str">
        <x:v>Redes sociales</x:v>
      </x:c>
      <x:c r="J117" t="n">
        <x:v>2</x:v>
      </x:c>
      <x:c r="K117" t="n">
        <x:v>0</x:v>
      </x:c>
      <x:c r="L117" t="n">
        <x:v>39751581.11</x:v>
      </x:c>
      <x:c r="M117" t="n">
        <x:v>845900</x:v>
      </x:c>
      <x:c r="N117" t="n">
        <x:v>1</x:v>
      </x:c>
      <x:c r="O117" t="n">
        <x:v>0</x:v>
      </x:c>
      <x:c r="P117" t="n">
        <x:v>3</x:v>
      </x:c>
    </x:row>
    <x:row r="118">
      <x:c r="A118" t="str">
        <x:v>2025-03</x:v>
      </x:c>
      <x:c r="B118" t="str">
        <x:v>USR-00032</x:v>
      </x:c>
      <x:c r="C118" t="str">
        <x:v>Cero</x:v>
      </x:c>
      <x:c r="D118" t="str">
        <x:v>Gratuita</x:v>
      </x:c>
      <x:c r="E118" t="str">
        <x:v>Manizales</x:v>
      </x:c>
      <x:c r="F118" t="str">
        <x:v>Caldas</x:v>
      </x:c>
      <x:c r="G118" t="n">
        <x:v>22</x:v>
      </x:c>
      <x:c r="H118" t="str">
        <x:v>Menos de $1,5 M</x:v>
      </x:c>
      <x:c r="I118" t="str">
        <x:v>Búsqueda paga</x:v>
      </x:c>
      <x:c r="J118" t="n">
        <x:v>2</x:v>
      </x:c>
      <x:c r="K118" t="n">
        <x:v>0</x:v>
      </x:c>
      <x:c r="L118" t="n">
        <x:v>20217676.14</x:v>
      </x:c>
      <x:c r="M118" t="n">
        <x:v>1297400</x:v>
      </x:c>
      <x:c r="N118" t="n">
        <x:v>2</x:v>
      </x:c>
      <x:c r="O118" t="n">
        <x:v>0</x:v>
      </x:c>
      <x:c r="P118" t="n">
        <x:v>2</x:v>
      </x:c>
    </x:row>
    <x:row r="119">
      <x:c r="A119" t="str">
        <x:v>2025-03</x:v>
      </x:c>
      <x:c r="B119" t="str">
        <x:v>USR-00033</x:v>
      </x:c>
      <x:c r="C119" t="str">
        <x:v>Cero</x:v>
      </x:c>
      <x:c r="D119" t="str">
        <x:v>Gratuita</x:v>
      </x:c>
      <x:c r="E119" t="str">
        <x:v>Medellín</x:v>
      </x:c>
      <x:c r="F119" t="str">
        <x:v>Antioquia</x:v>
      </x:c>
      <x:c r="G119" t="n">
        <x:v>39</x:v>
      </x:c>
      <x:c r="H119" t="str">
        <x:v>Entre $1,5 M y $3 M</x:v>
      </x:c>
      <x:c r="I119" t="str">
        <x:v>Referidos</x:v>
      </x:c>
      <x:c r="J119" t="n">
        <x:v>1</x:v>
      </x:c>
      <x:c r="K119" t="n">
        <x:v>0</x:v>
      </x:c>
      <x:c r="L119" t="n">
        <x:v>3197243.37</x:v>
      </x:c>
      <x:c r="M119" t="n">
        <x:v>358100</x:v>
      </x:c>
      <x:c r="N119" t="n">
        <x:v>1</x:v>
      </x:c>
      <x:c r="O119" t="n">
        <x:v>0</x:v>
      </x:c>
      <x:c r="P119" t="n">
        <x:v>2</x:v>
      </x:c>
    </x:row>
    <x:row r="120">
      <x:c r="A120" t="str">
        <x:v>2025-03</x:v>
      </x:c>
      <x:c r="B120" t="str">
        <x:v>USR-00034</x:v>
      </x:c>
      <x:c r="C120" t="str">
        <x:v>Cero</x:v>
      </x:c>
      <x:c r="D120" t="str">
        <x:v>Gratuita</x:v>
      </x:c>
      <x:c r="E120" t="str">
        <x:v>Bogotá</x:v>
      </x:c>
      <x:c r="F120" t="str">
        <x:v>Bogotá D.C.</x:v>
      </x:c>
      <x:c r="G120" t="n">
        <x:v>59</x:v>
      </x:c>
      <x:c r="H120" t="str">
        <x:v>Entre $3 M y $5 M</x:v>
      </x:c>
      <x:c r="I120" t="str">
        <x:v>Referidos</x:v>
      </x:c>
      <x:c r="J120" t="n">
        <x:v>2</x:v>
      </x:c>
      <x:c r="K120" t="n">
        <x:v>0</x:v>
      </x:c>
      <x:c r="L120" t="n">
        <x:v>10516464.43</x:v>
      </x:c>
      <x:c r="M120" t="n">
        <x:v>591500</x:v>
      </x:c>
      <x:c r="N120" t="n">
        <x:v>2</x:v>
      </x:c>
      <x:c r="O120" t="n">
        <x:v>0</x:v>
      </x:c>
      <x:c r="P120" t="n">
        <x:v>2</x:v>
      </x:c>
    </x:row>
    <x:row r="121">
      <x:c r="A121" t="str">
        <x:v>2025-03</x:v>
      </x:c>
      <x:c r="B121" t="str">
        <x:v>USR-00035</x:v>
      </x:c>
      <x:c r="C121" t="str">
        <x:v>Cero</x:v>
      </x:c>
      <x:c r="D121" t="str">
        <x:v>Gratuita</x:v>
      </x:c>
      <x:c r="E121" t="str">
        <x:v>Bogotá</x:v>
      </x:c>
      <x:c r="F121" t="str">
        <x:v>Bogotá D.C.</x:v>
      </x:c>
      <x:c r="G121" t="n">
        <x:v>46</x:v>
      </x:c>
      <x:c r="H121" t="str">
        <x:v>Entre $1,5 M y $3 M</x:v>
      </x:c>
      <x:c r="I121" t="str">
        <x:v>Contenido educativo</x:v>
      </x:c>
      <x:c r="J121" t="n">
        <x:v>2</x:v>
      </x:c>
      <x:c r="K121" t="n">
        <x:v>0</x:v>
      </x:c>
      <x:c r="L121" t="n">
        <x:v>7611557.49</x:v>
      </x:c>
      <x:c r="M121" t="n">
        <x:v>364000</x:v>
      </x:c>
      <x:c r="N121" t="n">
        <x:v>1</x:v>
      </x:c>
      <x:c r="O121" t="n">
        <x:v>0</x:v>
      </x:c>
      <x:c r="P121" t="n">
        <x:v>2</x:v>
      </x:c>
    </x:row>
    <x:row r="122">
      <x:c r="A122" t="str">
        <x:v>2025-03</x:v>
      </x:c>
      <x:c r="B122" t="str">
        <x:v>USR-00036</x:v>
      </x:c>
      <x:c r="C122" t="str">
        <x:v>Cero</x:v>
      </x:c>
      <x:c r="D122" t="str">
        <x:v>Gratuita</x:v>
      </x:c>
      <x:c r="E122" t="str">
        <x:v>Medellín</x:v>
      </x:c>
      <x:c r="F122" t="str">
        <x:v>Antioquia</x:v>
      </x:c>
      <x:c r="G122" t="n">
        <x:v>51</x:v>
      </x:c>
      <x:c r="H122" t="str">
        <x:v>Menos de $1,5 M</x:v>
      </x:c>
      <x:c r="I122" t="str">
        <x:v>Redes sociales</x:v>
      </x:c>
      <x:c r="J122" t="n">
        <x:v>2</x:v>
      </x:c>
      <x:c r="K122" t="n">
        <x:v>0</x:v>
      </x:c>
      <x:c r="L122" t="n">
        <x:v>24653640.31</x:v>
      </x:c>
      <x:c r="M122" t="n">
        <x:v>0</x:v>
      </x:c>
      <x:c r="N122" t="n">
        <x:v>0</x:v>
      </x:c>
      <x:c r="O122" t="n">
        <x:v>0</x:v>
      </x:c>
      <x:c r="P122" t="n">
        <x:v>2</x:v>
      </x:c>
    </x:row>
    <x:row r="123">
      <x:c r="A123" t="str">
        <x:v>2025-03</x:v>
      </x:c>
      <x:c r="B123" t="str">
        <x:v>USR-00037</x:v>
      </x:c>
      <x:c r="C123" t="str">
        <x:v>Cero</x:v>
      </x:c>
      <x:c r="D123" t="str">
        <x:v>Gratuita</x:v>
      </x:c>
      <x:c r="E123" t="str">
        <x:v>Bogotá</x:v>
      </x:c>
      <x:c r="F123" t="str">
        <x:v>Bogotá D.C.</x:v>
      </x:c>
      <x:c r="G123" t="n">
        <x:v>20</x:v>
      </x:c>
      <x:c r="H123" t="str">
        <x:v>Menos de $1,5 M</x:v>
      </x:c>
      <x:c r="I123" t="str">
        <x:v>Alianzas</x:v>
      </x:c>
      <x:c r="J123" t="n">
        <x:v>2</x:v>
      </x:c>
      <x:c r="K123" t="n">
        <x:v>0</x:v>
      </x:c>
      <x:c r="L123" t="n">
        <x:v>12518535.7</x:v>
      </x:c>
      <x:c r="M123" t="n">
        <x:v>391900</x:v>
      </x:c>
      <x:c r="N123" t="n">
        <x:v>1</x:v>
      </x:c>
      <x:c r="O123" t="n">
        <x:v>0</x:v>
      </x:c>
      <x:c r="P123" t="n">
        <x:v>2</x:v>
      </x:c>
    </x:row>
    <x:row r="124">
      <x:c r="A124" t="str">
        <x:v>2025-03</x:v>
      </x:c>
      <x:c r="B124" t="str">
        <x:v>USR-00038</x:v>
      </x:c>
      <x:c r="C124" t="str">
        <x:v>Plus anual</x:v>
      </x:c>
      <x:c r="D124" t="str">
        <x:v>Pago</x:v>
      </x:c>
      <x:c r="E124" t="str">
        <x:v>Medellín</x:v>
      </x:c>
      <x:c r="F124" t="str">
        <x:v>Antioquia</x:v>
      </x:c>
      <x:c r="G124" t="n">
        <x:v>64</x:v>
      </x:c>
      <x:c r="H124" t="str">
        <x:v>Entre $1,5 M y $3 M</x:v>
      </x:c>
      <x:c r="I124" t="str">
        <x:v>Orgánico</x:v>
      </x:c>
      <x:c r="J124" t="n">
        <x:v>2</x:v>
      </x:c>
      <x:c r="K124" t="n">
        <x:v>0</x:v>
      </x:c>
      <x:c r="L124" t="n">
        <x:v>33516278.06</x:v>
      </x:c>
      <x:c r="M124" t="n">
        <x:v>1342600</x:v>
      </x:c>
      <x:c r="N124" t="n">
        <x:v>2</x:v>
      </x:c>
      <x:c r="O124" t="n">
        <x:v>24916.67</x:v>
      </x:c>
      <x:c r="P124" t="n">
        <x:v>2</x:v>
      </x:c>
    </x:row>
    <x:row r="125">
      <x:c r="A125" t="str">
        <x:v>2025-03</x:v>
      </x:c>
      <x:c r="B125" t="str">
        <x:v>USR-00039</x:v>
      </x:c>
      <x:c r="C125" t="str">
        <x:v>Cero</x:v>
      </x:c>
      <x:c r="D125" t="str">
        <x:v>Gratuita</x:v>
      </x:c>
      <x:c r="E125" t="str">
        <x:v>Bogotá</x:v>
      </x:c>
      <x:c r="F125" t="str">
        <x:v>Bogotá D.C.</x:v>
      </x:c>
      <x:c r="G125" t="n">
        <x:v>56</x:v>
      </x:c>
      <x:c r="H125" t="str">
        <x:v>Entre $3 M y $5 M</x:v>
      </x:c>
      <x:c r="I125" t="str">
        <x:v>Orgánico</x:v>
      </x:c>
      <x:c r="J125" t="n">
        <x:v>2</x:v>
      </x:c>
      <x:c r="K125" t="n">
        <x:v>0</x:v>
      </x:c>
      <x:c r="L125" t="n">
        <x:v>28245130.57</x:v>
      </x:c>
      <x:c r="M125" t="n">
        <x:v>1896300</x:v>
      </x:c>
      <x:c r="N125" t="n">
        <x:v>2</x:v>
      </x:c>
      <x:c r="O125" t="n">
        <x:v>0</x:v>
      </x:c>
      <x:c r="P125" t="n">
        <x:v>2</x:v>
      </x:c>
    </x:row>
    <x:row r="126">
      <x:c r="A126" t="str">
        <x:v>2025-03</x:v>
      </x:c>
      <x:c r="B126" t="str">
        <x:v>USR-00040</x:v>
      </x:c>
      <x:c r="C126" t="str">
        <x:v>Cero</x:v>
      </x:c>
      <x:c r="D126" t="str">
        <x:v>Gratuita</x:v>
      </x:c>
      <x:c r="E126" t="str">
        <x:v>Bucaramanga</x:v>
      </x:c>
      <x:c r="F126" t="str">
        <x:v>Santander</x:v>
      </x:c>
      <x:c r="G126" t="n">
        <x:v>51</x:v>
      </x:c>
      <x:c r="H126" t="str">
        <x:v>Entre $3 M y $5 M</x:v>
      </x:c>
      <x:c r="I126" t="str">
        <x:v>Búsqueda paga</x:v>
      </x:c>
      <x:c r="J126" t="n">
        <x:v>2</x:v>
      </x:c>
      <x:c r="K126" t="n">
        <x:v>0</x:v>
      </x:c>
      <x:c r="L126" t="n">
        <x:v>26810299.07</x:v>
      </x:c>
      <x:c r="M126" t="n">
        <x:v>0</x:v>
      </x:c>
      <x:c r="N126" t="n">
        <x:v>0</x:v>
      </x:c>
      <x:c r="O126" t="n">
        <x:v>0</x:v>
      </x:c>
      <x:c r="P126" t="n">
        <x:v>2</x:v>
      </x:c>
    </x:row>
    <x:row r="127">
      <x:c r="A127" t="str">
        <x:v>2025-03</x:v>
      </x:c>
      <x:c r="B127" t="str">
        <x:v>USR-00041</x:v>
      </x:c>
      <x:c r="C127" t="str">
        <x:v>Cero</x:v>
      </x:c>
      <x:c r="D127" t="str">
        <x:v>Gratuita</x:v>
      </x:c>
      <x:c r="E127" t="str">
        <x:v>Bogotá</x:v>
      </x:c>
      <x:c r="F127" t="str">
        <x:v>Bogotá D.C.</x:v>
      </x:c>
      <x:c r="G127" t="n">
        <x:v>36</x:v>
      </x:c>
      <x:c r="H127" t="str">
        <x:v>Entre $1,5 M y $3 M</x:v>
      </x:c>
      <x:c r="I127" t="str">
        <x:v>Orgánico</x:v>
      </x:c>
      <x:c r="J127" t="n">
        <x:v>1</x:v>
      </x:c>
      <x:c r="K127" t="n">
        <x:v>0</x:v>
      </x:c>
      <x:c r="L127" t="n">
        <x:v>19918840.44</x:v>
      </x:c>
      <x:c r="M127" t="n">
        <x:v>2196000</x:v>
      </x:c>
      <x:c r="N127" t="n">
        <x:v>1</x:v>
      </x:c>
      <x:c r="O127" t="n">
        <x:v>0</x:v>
      </x:c>
      <x:c r="P127" t="n">
        <x:v>2</x:v>
      </x:c>
    </x:row>
    <x:row r="128">
      <x:c r="A128" t="str">
        <x:v>2025-03</x:v>
      </x:c>
      <x:c r="B128" t="str">
        <x:v>USR-00042</x:v>
      </x:c>
      <x:c r="C128" t="str">
        <x:v>Cero</x:v>
      </x:c>
      <x:c r="D128" t="str">
        <x:v>Gratuita</x:v>
      </x:c>
      <x:c r="E128" t="str">
        <x:v>Bogotá</x:v>
      </x:c>
      <x:c r="F128" t="str">
        <x:v>Bogotá D.C.</x:v>
      </x:c>
      <x:c r="G128" t="n">
        <x:v>55</x:v>
      </x:c>
      <x:c r="H128" t="str">
        <x:v>Menos de $1,5 M</x:v>
      </x:c>
      <x:c r="I128" t="str">
        <x:v>Redes sociales</x:v>
      </x:c>
      <x:c r="J128" t="n">
        <x:v>2</x:v>
      </x:c>
      <x:c r="K128" t="n">
        <x:v>0</x:v>
      </x:c>
      <x:c r="L128" t="n">
        <x:v>9025915.09</x:v>
      </x:c>
      <x:c r="M128" t="n">
        <x:v>161000</x:v>
      </x:c>
      <x:c r="N128" t="n">
        <x:v>1</x:v>
      </x:c>
      <x:c r="O128" t="n">
        <x:v>0</x:v>
      </x:c>
      <x:c r="P128" t="n">
        <x:v>2</x:v>
      </x:c>
    </x:row>
    <x:row r="129">
      <x:c r="A129" t="str">
        <x:v>2025-03</x:v>
      </x:c>
      <x:c r="B129" t="str">
        <x:v>USR-00043</x:v>
      </x:c>
      <x:c r="C129" t="str">
        <x:v>Cero</x:v>
      </x:c>
      <x:c r="D129" t="str">
        <x:v>Gratuita</x:v>
      </x:c>
      <x:c r="E129" t="str">
        <x:v>Cali</x:v>
      </x:c>
      <x:c r="F129" t="str">
        <x:v>Valle del Cauca</x:v>
      </x:c>
      <x:c r="G129" t="n">
        <x:v>23</x:v>
      </x:c>
      <x:c r="H129" t="str">
        <x:v>Entre $3 M y $5 M</x:v>
      </x:c>
      <x:c r="I129" t="str">
        <x:v>Contenido educativo</x:v>
      </x:c>
      <x:c r="J129" t="n">
        <x:v>2</x:v>
      </x:c>
      <x:c r="K129" t="n">
        <x:v>0</x:v>
      </x:c>
      <x:c r="L129" t="n">
        <x:v>27228134.58</x:v>
      </x:c>
      <x:c r="M129" t="n">
        <x:v>92800</x:v>
      </x:c>
      <x:c r="N129" t="n">
        <x:v>1</x:v>
      </x:c>
      <x:c r="O129" t="n">
        <x:v>0</x:v>
      </x:c>
      <x:c r="P129" t="n">
        <x:v>2</x:v>
      </x:c>
    </x:row>
    <x:row r="130">
      <x:c r="A130" t="str">
        <x:v>2025-03</x:v>
      </x:c>
      <x:c r="B130" t="str">
        <x:v>USR-00044</x:v>
      </x:c>
      <x:c r="C130" t="str">
        <x:v>Cero</x:v>
      </x:c>
      <x:c r="D130" t="str">
        <x:v>Gratuita</x:v>
      </x:c>
      <x:c r="E130" t="str">
        <x:v>Barranquilla</x:v>
      </x:c>
      <x:c r="F130" t="str">
        <x:v>Atlántico</x:v>
      </x:c>
      <x:c r="G130" t="n">
        <x:v>62</x:v>
      </x:c>
      <x:c r="H130" t="str">
        <x:v>Más de $5 M</x:v>
      </x:c>
      <x:c r="I130" t="str">
        <x:v>Referidos</x:v>
      </x:c>
      <x:c r="J130" t="n">
        <x:v>2</x:v>
      </x:c>
      <x:c r="K130" t="n">
        <x:v>0</x:v>
      </x:c>
      <x:c r="L130" t="n">
        <x:v>31849067.26</x:v>
      </x:c>
      <x:c r="M130" t="n">
        <x:v>489900</x:v>
      </x:c>
      <x:c r="N130" t="n">
        <x:v>1</x:v>
      </x:c>
      <x:c r="O130" t="n">
        <x:v>0</x:v>
      </x:c>
      <x:c r="P130" t="n">
        <x:v>2</x:v>
      </x:c>
    </x:row>
    <x:row r="131">
      <x:c r="A131" t="str">
        <x:v>2025-03</x:v>
      </x:c>
      <x:c r="B131" t="str">
        <x:v>USR-00045</x:v>
      </x:c>
      <x:c r="C131" t="str">
        <x:v>Cero</x:v>
      </x:c>
      <x:c r="D131" t="str">
        <x:v>Gratuita</x:v>
      </x:c>
      <x:c r="E131" t="str">
        <x:v>Bogotá</x:v>
      </x:c>
      <x:c r="F131" t="str">
        <x:v>Bogotá D.C.</x:v>
      </x:c>
      <x:c r="G131" t="n">
        <x:v>39</x:v>
      </x:c>
      <x:c r="H131" t="str">
        <x:v>Entre $3 M y $5 M</x:v>
      </x:c>
      <x:c r="I131" t="str">
        <x:v>Orgánico</x:v>
      </x:c>
      <x:c r="J131" t="n">
        <x:v>1</x:v>
      </x:c>
      <x:c r="K131" t="n">
        <x:v>0</x:v>
      </x:c>
      <x:c r="L131" t="n">
        <x:v>8739658.14</x:v>
      </x:c>
      <x:c r="M131" t="n">
        <x:v>0</x:v>
      </x:c>
      <x:c r="N131" t="n">
        <x:v>0</x:v>
      </x:c>
      <x:c r="O131" t="n">
        <x:v>0</x:v>
      </x:c>
      <x:c r="P131" t="n">
        <x:v>2</x:v>
      </x:c>
    </x:row>
    <x:row r="132">
      <x:c r="A132" t="str">
        <x:v>2025-03</x:v>
      </x:c>
      <x:c r="B132" t="str">
        <x:v>USR-00046</x:v>
      </x:c>
      <x:c r="C132" t="str">
        <x:v>Cero</x:v>
      </x:c>
      <x:c r="D132" t="str">
        <x:v>Gratuita</x:v>
      </x:c>
      <x:c r="E132" t="str">
        <x:v>Bucaramanga</x:v>
      </x:c>
      <x:c r="F132" t="str">
        <x:v>Santander</x:v>
      </x:c>
      <x:c r="G132" t="n">
        <x:v>46</x:v>
      </x:c>
      <x:c r="H132" t="str">
        <x:v>Más de $5 M</x:v>
      </x:c>
      <x:c r="I132" t="str">
        <x:v>Orgánico</x:v>
      </x:c>
      <x:c r="J132" t="n">
        <x:v>1</x:v>
      </x:c>
      <x:c r="K132" t="n">
        <x:v>0</x:v>
      </x:c>
      <x:c r="L132" t="n">
        <x:v>7149955.19</x:v>
      </x:c>
      <x:c r="M132" t="n">
        <x:v>227300</x:v>
      </x:c>
      <x:c r="N132" t="n">
        <x:v>1</x:v>
      </x:c>
      <x:c r="O132" t="n">
        <x:v>0</x:v>
      </x:c>
      <x:c r="P132" t="n">
        <x:v>2</x:v>
      </x:c>
    </x:row>
    <x:row r="133">
      <x:c r="A133" t="str">
        <x:v>2025-03</x:v>
      </x:c>
      <x:c r="B133" t="str">
        <x:v>USR-00047</x:v>
      </x:c>
      <x:c r="C133" t="str">
        <x:v>Cero</x:v>
      </x:c>
      <x:c r="D133" t="str">
        <x:v>Gratuita</x:v>
      </x:c>
      <x:c r="E133" t="str">
        <x:v>Bogotá</x:v>
      </x:c>
      <x:c r="F133" t="str">
        <x:v>Bogotá D.C.</x:v>
      </x:c>
      <x:c r="G133" t="n">
        <x:v>21</x:v>
      </x:c>
      <x:c r="H133" t="str">
        <x:v>Menos de $1,5 M</x:v>
      </x:c>
      <x:c r="I133" t="str">
        <x:v>Alianzas</x:v>
      </x:c>
      <x:c r="J133" t="n">
        <x:v>2</x:v>
      </x:c>
      <x:c r="K133" t="n">
        <x:v>0</x:v>
      </x:c>
      <x:c r="L133" t="n">
        <x:v>10855195.74</x:v>
      </x:c>
      <x:c r="M133" t="n">
        <x:v>0</x:v>
      </x:c>
      <x:c r="N133" t="n">
        <x:v>0</x:v>
      </x:c>
      <x:c r="O133" t="n">
        <x:v>0</x:v>
      </x:c>
      <x:c r="P133" t="n">
        <x:v>2</x:v>
      </x:c>
    </x:row>
    <x:row r="134">
      <x:c r="A134" t="str">
        <x:v>2025-03</x:v>
      </x:c>
      <x:c r="B134" t="str">
        <x:v>USR-00048</x:v>
      </x:c>
      <x:c r="C134" t="str">
        <x:v>Cero</x:v>
      </x:c>
      <x:c r="D134" t="str">
        <x:v>Gratuita</x:v>
      </x:c>
      <x:c r="E134" t="str">
        <x:v>Bucaramanga</x:v>
      </x:c>
      <x:c r="F134" t="str">
        <x:v>Santander</x:v>
      </x:c>
      <x:c r="G134" t="n">
        <x:v>51</x:v>
      </x:c>
      <x:c r="H134" t="str">
        <x:v>Entre $1,5 M y $3 M</x:v>
      </x:c>
      <x:c r="I134" t="str">
        <x:v>Redes sociales</x:v>
      </x:c>
      <x:c r="J134" t="n">
        <x:v>2</x:v>
      </x:c>
      <x:c r="K134" t="n">
        <x:v>0</x:v>
      </x:c>
      <x:c r="L134" t="n">
        <x:v>39689519.13</x:v>
      </x:c>
      <x:c r="M134" t="n">
        <x:v>652000</x:v>
      </x:c>
      <x:c r="N134" t="n">
        <x:v>1</x:v>
      </x:c>
      <x:c r="O134" t="n">
        <x:v>0</x:v>
      </x:c>
      <x:c r="P134" t="n">
        <x:v>2</x:v>
      </x:c>
    </x:row>
    <x:row r="135">
      <x:c r="A135" t="str">
        <x:v>2025-03</x:v>
      </x:c>
      <x:c r="B135" t="str">
        <x:v>USR-00049</x:v>
      </x:c>
      <x:c r="C135" t="str">
        <x:v>Cero</x:v>
      </x:c>
      <x:c r="D135" t="str">
        <x:v>Gratuita</x:v>
      </x:c>
      <x:c r="E135" t="str">
        <x:v>Bogotá</x:v>
      </x:c>
      <x:c r="F135" t="str">
        <x:v>Bogotá D.C.</x:v>
      </x:c>
      <x:c r="G135" t="n">
        <x:v>53</x:v>
      </x:c>
      <x:c r="H135" t="str">
        <x:v>Entre $1,5 M y $3 M</x:v>
      </x:c>
      <x:c r="I135" t="str">
        <x:v>Búsqueda paga</x:v>
      </x:c>
      <x:c r="J135" t="n">
        <x:v>1</x:v>
      </x:c>
      <x:c r="K135" t="n">
        <x:v>0</x:v>
      </x:c>
      <x:c r="L135" t="n">
        <x:v>20042123.42</x:v>
      </x:c>
      <x:c r="M135" t="n">
        <x:v>664900</x:v>
      </x:c>
      <x:c r="N135" t="n">
        <x:v>1</x:v>
      </x:c>
      <x:c r="O135" t="n">
        <x:v>0</x:v>
      </x:c>
      <x:c r="P135" t="n">
        <x:v>2</x:v>
      </x:c>
    </x:row>
    <x:row r="136">
      <x:c r="A136" t="str">
        <x:v>2025-03</x:v>
      </x:c>
      <x:c r="B136" t="str">
        <x:v>USR-00050</x:v>
      </x:c>
      <x:c r="C136" t="str">
        <x:v>Cero</x:v>
      </x:c>
      <x:c r="D136" t="str">
        <x:v>Gratuita</x:v>
      </x:c>
      <x:c r="E136" t="str">
        <x:v>Medellín</x:v>
      </x:c>
      <x:c r="F136" t="str">
        <x:v>Antioquia</x:v>
      </x:c>
      <x:c r="G136" t="n">
        <x:v>62</x:v>
      </x:c>
      <x:c r="H136" t="str">
        <x:v>Entre $1,5 M y $3 M</x:v>
      </x:c>
      <x:c r="I136" t="str">
        <x:v>Referidos</x:v>
      </x:c>
      <x:c r="J136" t="n">
        <x:v>1</x:v>
      </x:c>
      <x:c r="K136" t="n">
        <x:v>0</x:v>
      </x:c>
      <x:c r="L136" t="n">
        <x:v>3887513.54</x:v>
      </x:c>
      <x:c r="M136" t="n">
        <x:v>192000</x:v>
      </x:c>
      <x:c r="N136" t="n">
        <x:v>1</x:v>
      </x:c>
      <x:c r="O136" t="n">
        <x:v>0</x:v>
      </x:c>
      <x:c r="P136" t="n">
        <x:v>2</x:v>
      </x:c>
    </x:row>
    <x:row r="137">
      <x:c r="A137" t="str">
        <x:v>2025-03</x:v>
      </x:c>
      <x:c r="B137" t="str">
        <x:v>USR-00051</x:v>
      </x:c>
      <x:c r="C137" t="str">
        <x:v>Plus mensual</x:v>
      </x:c>
      <x:c r="D137" t="str">
        <x:v>Pago</x:v>
      </x:c>
      <x:c r="E137" t="str">
        <x:v>Bogotá</x:v>
      </x:c>
      <x:c r="F137" t="str">
        <x:v>Bogotá D.C.</x:v>
      </x:c>
      <x:c r="G137" t="n">
        <x:v>58</x:v>
      </x:c>
      <x:c r="H137" t="str">
        <x:v>Más de $5 M</x:v>
      </x:c>
      <x:c r="I137" t="str">
        <x:v>Referidos</x:v>
      </x:c>
      <x:c r="J137" t="n">
        <x:v>5</x:v>
      </x:c>
      <x:c r="K137" t="n">
        <x:v>0</x:v>
      </x:c>
      <x:c r="L137" t="n">
        <x:v>38988369.41</x:v>
      </x:c>
      <x:c r="M137" t="n">
        <x:v>4101600</x:v>
      </x:c>
      <x:c r="N137" t="n">
        <x:v>5</x:v>
      </x:c>
      <x:c r="O137" t="n">
        <x:v>29900</x:v>
      </x:c>
      <x:c r="P137" t="n">
        <x:v>2</x:v>
      </x:c>
    </x:row>
    <x:row r="138">
      <x:c r="A138" t="str">
        <x:v>2025-03</x:v>
      </x:c>
      <x:c r="B138" t="str">
        <x:v>USR-00052</x:v>
      </x:c>
      <x:c r="C138" t="str">
        <x:v>Cero</x:v>
      </x:c>
      <x:c r="D138" t="str">
        <x:v>Gratuita</x:v>
      </x:c>
      <x:c r="E138" t="str">
        <x:v>Barranquilla</x:v>
      </x:c>
      <x:c r="F138" t="str">
        <x:v>Atlántico</x:v>
      </x:c>
      <x:c r="G138" t="n">
        <x:v>29</x:v>
      </x:c>
      <x:c r="H138" t="str">
        <x:v>Entre $1,5 M y $3 M</x:v>
      </x:c>
      <x:c r="I138" t="str">
        <x:v>Alianzas</x:v>
      </x:c>
      <x:c r="J138" t="n">
        <x:v>1</x:v>
      </x:c>
      <x:c r="K138" t="n">
        <x:v>0</x:v>
      </x:c>
      <x:c r="L138" t="n">
        <x:v>20554400.01</x:v>
      </x:c>
      <x:c r="M138" t="n">
        <x:v>314100</x:v>
      </x:c>
      <x:c r="N138" t="n">
        <x:v>1</x:v>
      </x:c>
      <x:c r="O138" t="n">
        <x:v>0</x:v>
      </x:c>
      <x:c r="P138" t="n">
        <x:v>2</x:v>
      </x:c>
    </x:row>
    <x:row r="139">
      <x:c r="A139" t="str">
        <x:v>2025-03</x:v>
      </x:c>
      <x:c r="B139" t="str">
        <x:v>USR-00053</x:v>
      </x:c>
      <x:c r="C139" t="str">
        <x:v>Plus mensual</x:v>
      </x:c>
      <x:c r="D139" t="str">
        <x:v>Pago</x:v>
      </x:c>
      <x:c r="E139" t="str">
        <x:v>Bogotá</x:v>
      </x:c>
      <x:c r="F139" t="str">
        <x:v>Bogotá D.C.</x:v>
      </x:c>
      <x:c r="G139" t="n">
        <x:v>51</x:v>
      </x:c>
      <x:c r="H139" t="str">
        <x:v>Menos de $1,5 M</x:v>
      </x:c>
      <x:c r="I139" t="str">
        <x:v>Orgánico</x:v>
      </x:c>
      <x:c r="J139" t="n">
        <x:v>4</x:v>
      </x:c>
      <x:c r="K139" t="n">
        <x:v>0</x:v>
      </x:c>
      <x:c r="L139" t="n">
        <x:v>16248100.08</x:v>
      </x:c>
      <x:c r="M139" t="n">
        <x:v>752600</x:v>
      </x:c>
      <x:c r="N139" t="n">
        <x:v>3</x:v>
      </x:c>
      <x:c r="O139" t="n">
        <x:v>29900</x:v>
      </x:c>
      <x:c r="P139" t="n">
        <x:v>2</x:v>
      </x:c>
    </x:row>
    <x:row r="140">
      <x:c r="A140" t="str">
        <x:v>2025-03</x:v>
      </x:c>
      <x:c r="B140" t="str">
        <x:v>USR-00054</x:v>
      </x:c>
      <x:c r="C140" t="str">
        <x:v>Plus mensual</x:v>
      </x:c>
      <x:c r="D140" t="str">
        <x:v>Pago</x:v>
      </x:c>
      <x:c r="E140" t="str">
        <x:v>Bogotá</x:v>
      </x:c>
      <x:c r="F140" t="str">
        <x:v>Bogotá D.C.</x:v>
      </x:c>
      <x:c r="G140" t="n">
        <x:v>21</x:v>
      </x:c>
      <x:c r="H140" t="str">
        <x:v>Entre $1,5 M y $3 M</x:v>
      </x:c>
      <x:c r="I140" t="str">
        <x:v>Redes sociales</x:v>
      </x:c>
      <x:c r="J140" t="n">
        <x:v>4</x:v>
      </x:c>
      <x:c r="K140" t="n">
        <x:v>0</x:v>
      </x:c>
      <x:c r="L140" t="n">
        <x:v>50692531.44</x:v>
      </x:c>
      <x:c r="M140" t="n">
        <x:v>689900</x:v>
      </x:c>
      <x:c r="N140" t="n">
        <x:v>2</x:v>
      </x:c>
      <x:c r="O140" t="n">
        <x:v>29900</x:v>
      </x:c>
      <x:c r="P140" t="n">
        <x:v>2</x:v>
      </x:c>
    </x:row>
    <x:row r="141">
      <x:c r="A141" t="str">
        <x:v>2025-03</x:v>
      </x:c>
      <x:c r="B141" t="str">
        <x:v>USR-00055</x:v>
      </x:c>
      <x:c r="C141" t="str">
        <x:v>Cero</x:v>
      </x:c>
      <x:c r="D141" t="str">
        <x:v>Gratuita</x:v>
      </x:c>
      <x:c r="E141" t="str">
        <x:v>Barranquilla</x:v>
      </x:c>
      <x:c r="F141" t="str">
        <x:v>Atlántico</x:v>
      </x:c>
      <x:c r="G141" t="n">
        <x:v>45</x:v>
      </x:c>
      <x:c r="H141" t="str">
        <x:v>Entre $3 M y $5 M</x:v>
      </x:c>
      <x:c r="I141" t="str">
        <x:v>Redes sociales</x:v>
      </x:c>
      <x:c r="J141" t="n">
        <x:v>2</x:v>
      </x:c>
      <x:c r="K141" t="n">
        <x:v>0</x:v>
      </x:c>
      <x:c r="L141" t="n">
        <x:v>13313183.93</x:v>
      </x:c>
      <x:c r="M141" t="n">
        <x:v>0</x:v>
      </x:c>
      <x:c r="N141" t="n">
        <x:v>0</x:v>
      </x:c>
      <x:c r="O141" t="n">
        <x:v>0</x:v>
      </x:c>
      <x:c r="P141" t="n">
        <x:v>2</x:v>
      </x:c>
    </x:row>
    <x:row r="142">
      <x:c r="A142" t="str">
        <x:v>2025-03</x:v>
      </x:c>
      <x:c r="B142" t="str">
        <x:v>USR-00056</x:v>
      </x:c>
      <x:c r="C142" t="str">
        <x:v>Cero</x:v>
      </x:c>
      <x:c r="D142" t="str">
        <x:v>Gratuita</x:v>
      </x:c>
      <x:c r="E142" t="str">
        <x:v>Bogotá</x:v>
      </x:c>
      <x:c r="F142" t="str">
        <x:v>Bogotá D.C.</x:v>
      </x:c>
      <x:c r="G142" t="n">
        <x:v>64</x:v>
      </x:c>
      <x:c r="H142" t="str">
        <x:v>Entre $1,5 M y $3 M</x:v>
      </x:c>
      <x:c r="I142" t="str">
        <x:v>Redes sociales</x:v>
      </x:c>
      <x:c r="J142" t="n">
        <x:v>1</x:v>
      </x:c>
      <x:c r="K142" t="n">
        <x:v>0</x:v>
      </x:c>
      <x:c r="L142" t="n">
        <x:v>2786318.54</x:v>
      </x:c>
      <x:c r="M142" t="n">
        <x:v>83000</x:v>
      </x:c>
      <x:c r="N142" t="n">
        <x:v>1</x:v>
      </x:c>
      <x:c r="O142" t="n">
        <x:v>0</x:v>
      </x:c>
      <x:c r="P142" t="n">
        <x:v>1</x:v>
      </x:c>
    </x:row>
    <x:row r="143">
      <x:c r="A143" t="str">
        <x:v>2025-03</x:v>
      </x:c>
      <x:c r="B143" t="str">
        <x:v>USR-00057</x:v>
      </x:c>
      <x:c r="C143" t="str">
        <x:v>Cero</x:v>
      </x:c>
      <x:c r="D143" t="str">
        <x:v>Gratuita</x:v>
      </x:c>
      <x:c r="E143" t="str">
        <x:v>Bogotá</x:v>
      </x:c>
      <x:c r="F143" t="str">
        <x:v>Bogotá D.C.</x:v>
      </x:c>
      <x:c r="G143" t="n">
        <x:v>27</x:v>
      </x:c>
      <x:c r="H143" t="str">
        <x:v>Entre $1,5 M y $3 M</x:v>
      </x:c>
      <x:c r="I143" t="str">
        <x:v>Orgánico</x:v>
      </x:c>
      <x:c r="J143" t="n">
        <x:v>2</x:v>
      </x:c>
      <x:c r="K143" t="n">
        <x:v>0</x:v>
      </x:c>
      <x:c r="L143" t="n">
        <x:v>79236504.56</x:v>
      </x:c>
      <x:c r="M143" t="n">
        <x:v>7751800</x:v>
      </x:c>
      <x:c r="N143" t="n">
        <x:v>2</x:v>
      </x:c>
      <x:c r="O143" t="n">
        <x:v>0</x:v>
      </x:c>
      <x:c r="P143" t="n">
        <x:v>1</x:v>
      </x:c>
    </x:row>
    <x:row r="144">
      <x:c r="A144" t="str">
        <x:v>2025-03</x:v>
      </x:c>
      <x:c r="B144" t="str">
        <x:v>USR-00058</x:v>
      </x:c>
      <x:c r="C144" t="str">
        <x:v>Cero</x:v>
      </x:c>
      <x:c r="D144" t="str">
        <x:v>Gratuita</x:v>
      </x:c>
      <x:c r="E144" t="str">
        <x:v>Bucaramanga</x:v>
      </x:c>
      <x:c r="F144" t="str">
        <x:v>Santander</x:v>
      </x:c>
      <x:c r="G144" t="n">
        <x:v>34</x:v>
      </x:c>
      <x:c r="H144" t="str">
        <x:v>Entre $1,5 M y $3 M</x:v>
      </x:c>
      <x:c r="I144" t="str">
        <x:v>Orgánico</x:v>
      </x:c>
      <x:c r="J144" t="n">
        <x:v>2</x:v>
      </x:c>
      <x:c r="K144" t="n">
        <x:v>0</x:v>
      </x:c>
      <x:c r="L144" t="n">
        <x:v>21388274.52</x:v>
      </x:c>
      <x:c r="M144" t="n">
        <x:v>2077900</x:v>
      </x:c>
      <x:c r="N144" t="n">
        <x:v>2</x:v>
      </x:c>
      <x:c r="O144" t="n">
        <x:v>0</x:v>
      </x:c>
      <x:c r="P144" t="n">
        <x:v>1</x:v>
      </x:c>
    </x:row>
    <x:row r="145">
      <x:c r="A145" t="str">
        <x:v>2025-03</x:v>
      </x:c>
      <x:c r="B145" t="str">
        <x:v>USR-00059</x:v>
      </x:c>
      <x:c r="C145" t="str">
        <x:v>Cero</x:v>
      </x:c>
      <x:c r="D145" t="str">
        <x:v>Gratuita</x:v>
      </x:c>
      <x:c r="E145" t="str">
        <x:v>Villavicencio</x:v>
      </x:c>
      <x:c r="F145" t="str">
        <x:v>Meta</x:v>
      </x:c>
      <x:c r="G145" t="n">
        <x:v>40</x:v>
      </x:c>
      <x:c r="H145" t="str">
        <x:v>Entre $1,5 M y $3 M</x:v>
      </x:c>
      <x:c r="I145" t="str">
        <x:v>Redes sociales</x:v>
      </x:c>
      <x:c r="J145" t="n">
        <x:v>2</x:v>
      </x:c>
      <x:c r="K145" t="n">
        <x:v>0</x:v>
      </x:c>
      <x:c r="L145" t="n">
        <x:v>50663755.47</x:v>
      </x:c>
      <x:c r="M145" t="n">
        <x:v>3313300</x:v>
      </x:c>
      <x:c r="N145" t="n">
        <x:v>2</x:v>
      </x:c>
      <x:c r="O145" t="n">
        <x:v>0</x:v>
      </x:c>
      <x:c r="P145" t="n">
        <x:v>1</x:v>
      </x:c>
    </x:row>
    <x:row r="146">
      <x:c r="A146" t="str">
        <x:v>2025-03</x:v>
      </x:c>
      <x:c r="B146" t="str">
        <x:v>USR-00060</x:v>
      </x:c>
      <x:c r="C146" t="str">
        <x:v>Cero</x:v>
      </x:c>
      <x:c r="D146" t="str">
        <x:v>Gratuita</x:v>
      </x:c>
      <x:c r="E146" t="str">
        <x:v>Barranquilla</x:v>
      </x:c>
      <x:c r="F146" t="str">
        <x:v>Atlántico</x:v>
      </x:c>
      <x:c r="G146" t="n">
        <x:v>55</x:v>
      </x:c>
      <x:c r="H146" t="str">
        <x:v>Menos de $1,5 M</x:v>
      </x:c>
      <x:c r="I146" t="str">
        <x:v>Referidos</x:v>
      </x:c>
      <x:c r="J146" t="n">
        <x:v>2</x:v>
      </x:c>
      <x:c r="K146" t="n">
        <x:v>0</x:v>
      </x:c>
      <x:c r="L146" t="n">
        <x:v>23517349.9</x:v>
      </x:c>
      <x:c r="M146" t="n">
        <x:v>136300</x:v>
      </x:c>
      <x:c r="N146" t="n">
        <x:v>1</x:v>
      </x:c>
      <x:c r="O146" t="n">
        <x:v>0</x:v>
      </x:c>
      <x:c r="P146" t="n">
        <x:v>1</x:v>
      </x:c>
    </x:row>
    <x:row r="147">
      <x:c r="A147" t="str">
        <x:v>2025-03</x:v>
      </x:c>
      <x:c r="B147" t="str">
        <x:v>USR-00061</x:v>
      </x:c>
      <x:c r="C147" t="str">
        <x:v>Cero</x:v>
      </x:c>
      <x:c r="D147" t="str">
        <x:v>Gratuita</x:v>
      </x:c>
      <x:c r="E147" t="str">
        <x:v>Manizales</x:v>
      </x:c>
      <x:c r="F147" t="str">
        <x:v>Caldas</x:v>
      </x:c>
      <x:c r="G147" t="n">
        <x:v>39</x:v>
      </x:c>
      <x:c r="H147" t="str">
        <x:v>Entre $1,5 M y $3 M</x:v>
      </x:c>
      <x:c r="I147" t="str">
        <x:v>Contenido educativo</x:v>
      </x:c>
      <x:c r="J147" t="n">
        <x:v>2</x:v>
      </x:c>
      <x:c r="K147" t="n">
        <x:v>0</x:v>
      </x:c>
      <x:c r="L147" t="n">
        <x:v>36764144.23</x:v>
      </x:c>
      <x:c r="M147" t="n">
        <x:v>1204600</x:v>
      </x:c>
      <x:c r="N147" t="n">
        <x:v>1</x:v>
      </x:c>
      <x:c r="O147" t="n">
        <x:v>0</x:v>
      </x:c>
      <x:c r="P147" t="n">
        <x:v>1</x:v>
      </x:c>
    </x:row>
    <x:row r="148">
      <x:c r="A148" t="str">
        <x:v>2025-03</x:v>
      </x:c>
      <x:c r="B148" t="str">
        <x:v>USR-00062</x:v>
      </x:c>
      <x:c r="C148" t="str">
        <x:v>Cero</x:v>
      </x:c>
      <x:c r="D148" t="str">
        <x:v>Gratuita</x:v>
      </x:c>
      <x:c r="E148" t="str">
        <x:v>Medellín</x:v>
      </x:c>
      <x:c r="F148" t="str">
        <x:v>Antioquia</x:v>
      </x:c>
      <x:c r="G148" t="n">
        <x:v>53</x:v>
      </x:c>
      <x:c r="H148" t="str">
        <x:v>Entre $1,5 M y $3 M</x:v>
      </x:c>
      <x:c r="I148" t="str">
        <x:v>Alianzas</x:v>
      </x:c>
      <x:c r="J148" t="n">
        <x:v>1</x:v>
      </x:c>
      <x:c r="K148" t="n">
        <x:v>0</x:v>
      </x:c>
      <x:c r="L148" t="n">
        <x:v>16972592.37</x:v>
      </x:c>
      <x:c r="M148" t="n">
        <x:v>952200</x:v>
      </x:c>
      <x:c r="N148" t="n">
        <x:v>1</x:v>
      </x:c>
      <x:c r="O148" t="n">
        <x:v>0</x:v>
      </x:c>
      <x:c r="P148" t="n">
        <x:v>1</x:v>
      </x:c>
    </x:row>
    <x:row r="149">
      <x:c r="A149" t="str">
        <x:v>2025-03</x:v>
      </x:c>
      <x:c r="B149" t="str">
        <x:v>USR-00063</x:v>
      </x:c>
      <x:c r="C149" t="str">
        <x:v>Cero</x:v>
      </x:c>
      <x:c r="D149" t="str">
        <x:v>Gratuita</x:v>
      </x:c>
      <x:c r="E149" t="str">
        <x:v>Bogotá</x:v>
      </x:c>
      <x:c r="F149" t="str">
        <x:v>Bogotá D.C.</x:v>
      </x:c>
      <x:c r="G149" t="n">
        <x:v>53</x:v>
      </x:c>
      <x:c r="H149" t="str">
        <x:v>Entre $1,5 M y $3 M</x:v>
      </x:c>
      <x:c r="I149" t="str">
        <x:v>Redes sociales</x:v>
      </x:c>
      <x:c r="J149" t="n">
        <x:v>2</x:v>
      </x:c>
      <x:c r="K149" t="n">
        <x:v>0</x:v>
      </x:c>
      <x:c r="L149" t="n">
        <x:v>30568438.09</x:v>
      </x:c>
      <x:c r="M149" t="n">
        <x:v>2606600</x:v>
      </x:c>
      <x:c r="N149" t="n">
        <x:v>2</x:v>
      </x:c>
      <x:c r="O149" t="n">
        <x:v>0</x:v>
      </x:c>
      <x:c r="P149" t="n">
        <x:v>1</x:v>
      </x:c>
    </x:row>
    <x:row r="150">
      <x:c r="A150" t="str">
        <x:v>2025-03</x:v>
      </x:c>
      <x:c r="B150" t="str">
        <x:v>USR-00064</x:v>
      </x:c>
      <x:c r="C150" t="str">
        <x:v>Cero</x:v>
      </x:c>
      <x:c r="D150" t="str">
        <x:v>Gratuita</x:v>
      </x:c>
      <x:c r="E150" t="str">
        <x:v>Bogotá</x:v>
      </x:c>
      <x:c r="F150" t="str">
        <x:v>Bogotá D.C.</x:v>
      </x:c>
      <x:c r="G150" t="n">
        <x:v>52</x:v>
      </x:c>
      <x:c r="H150" t="str">
        <x:v>Entre $1,5 M y $3 M</x:v>
      </x:c>
      <x:c r="I150" t="str">
        <x:v>Búsqueda paga</x:v>
      </x:c>
      <x:c r="J150" t="n">
        <x:v>1</x:v>
      </x:c>
      <x:c r="K150" t="n">
        <x:v>0</x:v>
      </x:c>
      <x:c r="L150" t="n">
        <x:v>1639665.89</x:v>
      </x:c>
      <x:c r="M150" t="n">
        <x:v>39000</x:v>
      </x:c>
      <x:c r="N150" t="n">
        <x:v>1</x:v>
      </x:c>
      <x:c r="O150" t="n">
        <x:v>0</x:v>
      </x:c>
      <x:c r="P150" t="n">
        <x:v>1</x:v>
      </x:c>
    </x:row>
    <x:row r="151">
      <x:c r="A151" t="str">
        <x:v>2025-03</x:v>
      </x:c>
      <x:c r="B151" t="str">
        <x:v>USR-00065</x:v>
      </x:c>
      <x:c r="C151" t="str">
        <x:v>Plus mensual</x:v>
      </x:c>
      <x:c r="D151" t="str">
        <x:v>Pago</x:v>
      </x:c>
      <x:c r="E151" t="str">
        <x:v>Cali</x:v>
      </x:c>
      <x:c r="F151" t="str">
        <x:v>Valle del Cauca</x:v>
      </x:c>
      <x:c r="G151" t="n">
        <x:v>40</x:v>
      </x:c>
      <x:c r="H151" t="str">
        <x:v>Entre $3 M y $5 M</x:v>
      </x:c>
      <x:c r="I151" t="str">
        <x:v>Referidos</x:v>
      </x:c>
      <x:c r="J151" t="n">
        <x:v>3</x:v>
      </x:c>
      <x:c r="K151" t="n">
        <x:v>0</x:v>
      </x:c>
      <x:c r="L151" t="n">
        <x:v>60395116.48</x:v>
      </x:c>
      <x:c r="M151" t="n">
        <x:v>2667600</x:v>
      </x:c>
      <x:c r="N151" t="n">
        <x:v>3</x:v>
      </x:c>
      <x:c r="O151" t="n">
        <x:v>29900</x:v>
      </x:c>
      <x:c r="P151" t="n">
        <x:v>1</x:v>
      </x:c>
    </x:row>
    <x:row r="152">
      <x:c r="A152" t="str">
        <x:v>2025-03</x:v>
      </x:c>
      <x:c r="B152" t="str">
        <x:v>USR-00066</x:v>
      </x:c>
      <x:c r="C152" t="str">
        <x:v>Plus mensual</x:v>
      </x:c>
      <x:c r="D152" t="str">
        <x:v>Pago</x:v>
      </x:c>
      <x:c r="E152" t="str">
        <x:v>Villavicencio</x:v>
      </x:c>
      <x:c r="F152" t="str">
        <x:v>Meta</x:v>
      </x:c>
      <x:c r="G152" t="n">
        <x:v>21</x:v>
      </x:c>
      <x:c r="H152" t="str">
        <x:v>Entre $1,5 M y $3 M</x:v>
      </x:c>
      <x:c r="I152" t="str">
        <x:v>Referidos</x:v>
      </x:c>
      <x:c r="J152" t="n">
        <x:v>4</x:v>
      </x:c>
      <x:c r="K152" t="n">
        <x:v>0</x:v>
      </x:c>
      <x:c r="L152" t="n">
        <x:v>34851100.75</x:v>
      </x:c>
      <x:c r="M152" t="n">
        <x:v>999800</x:v>
      </x:c>
      <x:c r="N152" t="n">
        <x:v>3</x:v>
      </x:c>
      <x:c r="O152" t="n">
        <x:v>29900</x:v>
      </x:c>
      <x:c r="P152" t="n">
        <x:v>1</x:v>
      </x:c>
    </x:row>
    <x:row r="153">
      <x:c r="A153" t="str">
        <x:v>2025-03</x:v>
      </x:c>
      <x:c r="B153" t="str">
        <x:v>USR-00067</x:v>
      </x:c>
      <x:c r="C153" t="str">
        <x:v>Plus mensual</x:v>
      </x:c>
      <x:c r="D153" t="str">
        <x:v>Pago</x:v>
      </x:c>
      <x:c r="E153" t="str">
        <x:v>Bogotá</x:v>
      </x:c>
      <x:c r="F153" t="str">
        <x:v>Bogotá D.C.</x:v>
      </x:c>
      <x:c r="G153" t="n">
        <x:v>56</x:v>
      </x:c>
      <x:c r="H153" t="str">
        <x:v>Entre $1,5 M y $3 M</x:v>
      </x:c>
      <x:c r="I153" t="str">
        <x:v>Alianzas</x:v>
      </x:c>
      <x:c r="J153" t="n">
        <x:v>4</x:v>
      </x:c>
      <x:c r="K153" t="n">
        <x:v>0</x:v>
      </x:c>
      <x:c r="L153" t="n">
        <x:v>86193617.52</x:v>
      </x:c>
      <x:c r="M153" t="n">
        <x:v>2237800</x:v>
      </x:c>
      <x:c r="N153" t="n">
        <x:v>3</x:v>
      </x:c>
      <x:c r="O153" t="n">
        <x:v>29900</x:v>
      </x:c>
      <x:c r="P153" t="n">
        <x:v>1</x:v>
      </x:c>
    </x:row>
    <x:row r="154">
      <x:c r="A154" t="str">
        <x:v>2025-03</x:v>
      </x:c>
      <x:c r="B154" t="str">
        <x:v>USR-00068</x:v>
      </x:c>
      <x:c r="C154" t="str">
        <x:v>Cero</x:v>
      </x:c>
      <x:c r="D154" t="str">
        <x:v>Gratuita</x:v>
      </x:c>
      <x:c r="E154" t="str">
        <x:v>Barranquilla</x:v>
      </x:c>
      <x:c r="F154" t="str">
        <x:v>Atlántico</x:v>
      </x:c>
      <x:c r="G154" t="n">
        <x:v>34</x:v>
      </x:c>
      <x:c r="H154" t="str">
        <x:v>Entre $3 M y $5 M</x:v>
      </x:c>
      <x:c r="I154" t="str">
        <x:v>Referidos</x:v>
      </x:c>
      <x:c r="J154" t="n">
        <x:v>1</x:v>
      </x:c>
      <x:c r="K154" t="n">
        <x:v>0</x:v>
      </x:c>
      <x:c r="L154" t="n">
        <x:v>4749825.32</x:v>
      </x:c>
      <x:c r="M154" t="n">
        <x:v>488400</x:v>
      </x:c>
      <x:c r="N154" t="n">
        <x:v>1</x:v>
      </x:c>
      <x:c r="O154" t="n">
        <x:v>0</x:v>
      </x:c>
      <x:c r="P154" t="n">
        <x:v>1</x:v>
      </x:c>
    </x:row>
    <x:row r="155">
      <x:c r="A155" t="str">
        <x:v>2025-03</x:v>
      </x:c>
      <x:c r="B155" t="str">
        <x:v>USR-00069</x:v>
      </x:c>
      <x:c r="C155" t="str">
        <x:v>Cero</x:v>
      </x:c>
      <x:c r="D155" t="str">
        <x:v>Gratuita</x:v>
      </x:c>
      <x:c r="E155" t="str">
        <x:v>Bogotá</x:v>
      </x:c>
      <x:c r="F155" t="str">
        <x:v>Bogotá D.C.</x:v>
      </x:c>
      <x:c r="G155" t="n">
        <x:v>62</x:v>
      </x:c>
      <x:c r="H155" t="str">
        <x:v>Más de $5 M</x:v>
      </x:c>
      <x:c r="I155" t="str">
        <x:v>Referidos</x:v>
      </x:c>
      <x:c r="J155" t="n">
        <x:v>1</x:v>
      </x:c>
      <x:c r="K155" t="n">
        <x:v>0</x:v>
      </x:c>
      <x:c r="L155" t="n">
        <x:v>7821670.54</x:v>
      </x:c>
      <x:c r="M155" t="n">
        <x:v>261100</x:v>
      </x:c>
      <x:c r="N155" t="n">
        <x:v>1</x:v>
      </x:c>
      <x:c r="O155" t="n">
        <x:v>0</x:v>
      </x:c>
      <x:c r="P155" t="n">
        <x:v>1</x:v>
      </x:c>
    </x:row>
    <x:row r="156">
      <x:c r="A156" t="str">
        <x:v>2025-03</x:v>
      </x:c>
      <x:c r="B156" t="str">
        <x:v>USR-00070</x:v>
      </x:c>
      <x:c r="C156" t="str">
        <x:v>Plus mensual</x:v>
      </x:c>
      <x:c r="D156" t="str">
        <x:v>Pago</x:v>
      </x:c>
      <x:c r="E156" t="str">
        <x:v>Pereira</x:v>
      </x:c>
      <x:c r="F156" t="str">
        <x:v>Risaralda</x:v>
      </x:c>
      <x:c r="G156" t="n">
        <x:v>24</x:v>
      </x:c>
      <x:c r="H156" t="str">
        <x:v>Entre $1,5 M y $3 M</x:v>
      </x:c>
      <x:c r="I156" t="str">
        <x:v>Redes sociales</x:v>
      </x:c>
      <x:c r="J156" t="n">
        <x:v>4</x:v>
      </x:c>
      <x:c r="K156" t="n">
        <x:v>0</x:v>
      </x:c>
      <x:c r="L156" t="n">
        <x:v>38726542.17</x:v>
      </x:c>
      <x:c r="M156" t="n">
        <x:v>3586000</x:v>
      </x:c>
      <x:c r="N156" t="n">
        <x:v>4</x:v>
      </x:c>
      <x:c r="O156" t="n">
        <x:v>29900</x:v>
      </x:c>
      <x:c r="P156" t="n">
        <x:v>1</x:v>
      </x:c>
    </x:row>
    <x:row r="157">
      <x:c r="A157" t="str">
        <x:v>2025-03</x:v>
      </x:c>
      <x:c r="B157" t="str">
        <x:v>USR-00071</x:v>
      </x:c>
      <x:c r="C157" t="str">
        <x:v>Cero</x:v>
      </x:c>
      <x:c r="D157" t="str">
        <x:v>Gratuita</x:v>
      </x:c>
      <x:c r="E157" t="str">
        <x:v>Barranquilla</x:v>
      </x:c>
      <x:c r="F157" t="str">
        <x:v>Atlántico</x:v>
      </x:c>
      <x:c r="G157" t="n">
        <x:v>48</x:v>
      </x:c>
      <x:c r="H157" t="str">
        <x:v>Entre $3 M y $5 M</x:v>
      </x:c>
      <x:c r="I157" t="str">
        <x:v>Referidos</x:v>
      </x:c>
      <x:c r="J157" t="n">
        <x:v>2</x:v>
      </x:c>
      <x:c r="K157" t="n">
        <x:v>0</x:v>
      </x:c>
      <x:c r="L157" t="n">
        <x:v>13201483.86</x:v>
      </x:c>
      <x:c r="M157" t="n">
        <x:v>706800</x:v>
      </x:c>
      <x:c r="N157" t="n">
        <x:v>2</x:v>
      </x:c>
      <x:c r="O157" t="n">
        <x:v>0</x:v>
      </x:c>
      <x:c r="P157" t="n">
        <x:v>1</x:v>
      </x:c>
    </x:row>
    <x:row r="158">
      <x:c r="A158" t="str">
        <x:v>2025-03</x:v>
      </x:c>
      <x:c r="B158" t="str">
        <x:v>USR-00072</x:v>
      </x:c>
      <x:c r="C158" t="str">
        <x:v>Cero</x:v>
      </x:c>
      <x:c r="D158" t="str">
        <x:v>Gratuita</x:v>
      </x:c>
      <x:c r="E158" t="str">
        <x:v>Cali</x:v>
      </x:c>
      <x:c r="F158" t="str">
        <x:v>Valle del Cauca</x:v>
      </x:c>
      <x:c r="G158" t="n">
        <x:v>25</x:v>
      </x:c>
      <x:c r="H158" t="str">
        <x:v>Entre $3 M y $5 M</x:v>
      </x:c>
      <x:c r="I158" t="str">
        <x:v>Búsqueda paga</x:v>
      </x:c>
      <x:c r="J158" t="n">
        <x:v>2</x:v>
      </x:c>
      <x:c r="K158" t="n">
        <x:v>0</x:v>
      </x:c>
      <x:c r="L158" t="n">
        <x:v>10645702.3</x:v>
      </x:c>
      <x:c r="M158" t="n">
        <x:v>441400</x:v>
      </x:c>
      <x:c r="N158" t="n">
        <x:v>2</x:v>
      </x:c>
      <x:c r="O158" t="n">
        <x:v>0</x:v>
      </x:c>
      <x:c r="P158" t="n">
        <x:v>1</x:v>
      </x:c>
    </x:row>
    <x:row r="159">
      <x:c r="A159" t="str">
        <x:v>2025-03</x:v>
      </x:c>
      <x:c r="B159" t="str">
        <x:v>USR-00073</x:v>
      </x:c>
      <x:c r="C159" t="str">
        <x:v>Cero</x:v>
      </x:c>
      <x:c r="D159" t="str">
        <x:v>Gratuita</x:v>
      </x:c>
      <x:c r="E159" t="str">
        <x:v>Bucaramanga</x:v>
      </x:c>
      <x:c r="F159" t="str">
        <x:v>Santander</x:v>
      </x:c>
      <x:c r="G159" t="n">
        <x:v>56</x:v>
      </x:c>
      <x:c r="H159" t="str">
        <x:v>Entre $3 M y $5 M</x:v>
      </x:c>
      <x:c r="I159" t="str">
        <x:v>Contenido educativo</x:v>
      </x:c>
      <x:c r="J159" t="n">
        <x:v>2</x:v>
      </x:c>
      <x:c r="K159" t="n">
        <x:v>0</x:v>
      </x:c>
      <x:c r="L159" t="n">
        <x:v>10581623.97</x:v>
      </x:c>
      <x:c r="M159" t="n">
        <x:v>877500</x:v>
      </x:c>
      <x:c r="N159" t="n">
        <x:v>2</x:v>
      </x:c>
      <x:c r="O159" t="n">
        <x:v>0</x:v>
      </x:c>
      <x:c r="P159" t="n">
        <x:v>1</x:v>
      </x:c>
    </x:row>
    <x:row r="160">
      <x:c r="A160" t="str">
        <x:v>2025-03</x:v>
      </x:c>
      <x:c r="B160" t="str">
        <x:v>USR-00074</x:v>
      </x:c>
      <x:c r="C160" t="str">
        <x:v>Cero</x:v>
      </x:c>
      <x:c r="D160" t="str">
        <x:v>Gratuita</x:v>
      </x:c>
      <x:c r="E160" t="str">
        <x:v>Medellín</x:v>
      </x:c>
      <x:c r="F160" t="str">
        <x:v>Antioquia</x:v>
      </x:c>
      <x:c r="G160" t="n">
        <x:v>32</x:v>
      </x:c>
      <x:c r="H160" t="str">
        <x:v>Menos de $1,5 M</x:v>
      </x:c>
      <x:c r="I160" t="str">
        <x:v>Contenido educativo</x:v>
      </x:c>
      <x:c r="J160" t="n">
        <x:v>1</x:v>
      </x:c>
      <x:c r="K160" t="n">
        <x:v>0</x:v>
      </x:c>
      <x:c r="L160" t="n">
        <x:v>1330329.5</x:v>
      </x:c>
      <x:c r="M160" t="n">
        <x:v>68600</x:v>
      </x:c>
      <x:c r="N160" t="n">
        <x:v>1</x:v>
      </x:c>
      <x:c r="O160" t="n">
        <x:v>0</x:v>
      </x:c>
      <x:c r="P160" t="n">
        <x:v>1</x:v>
      </x:c>
    </x:row>
    <x:row r="161">
      <x:c r="A161" t="str">
        <x:v>2025-03</x:v>
      </x:c>
      <x:c r="B161" t="str">
        <x:v>USR-00075</x:v>
      </x:c>
      <x:c r="C161" t="str">
        <x:v>Cero</x:v>
      </x:c>
      <x:c r="D161" t="str">
        <x:v>Gratuita</x:v>
      </x:c>
      <x:c r="E161" t="str">
        <x:v>Bucaramanga</x:v>
      </x:c>
      <x:c r="F161" t="str">
        <x:v>Santander</x:v>
      </x:c>
      <x:c r="G161" t="n">
        <x:v>47</x:v>
      </x:c>
      <x:c r="H161" t="str">
        <x:v>Más de $5 M</x:v>
      </x:c>
      <x:c r="I161" t="str">
        <x:v>Referidos</x:v>
      </x:c>
      <x:c r="J161" t="n">
        <x:v>2</x:v>
      </x:c>
      <x:c r="K161" t="n">
        <x:v>0</x:v>
      </x:c>
      <x:c r="L161" t="n">
        <x:v>72165709.87</x:v>
      </x:c>
      <x:c r="M161" t="n">
        <x:v>466300</x:v>
      </x:c>
      <x:c r="N161" t="n">
        <x:v>1</x:v>
      </x:c>
      <x:c r="O161" t="n">
        <x:v>0</x:v>
      </x:c>
      <x:c r="P161" t="n">
        <x:v>1</x:v>
      </x:c>
    </x:row>
    <x:row r="162">
      <x:c r="A162" t="str">
        <x:v>2025-03</x:v>
      </x:c>
      <x:c r="B162" t="str">
        <x:v>USR-00076</x:v>
      </x:c>
      <x:c r="C162" t="str">
        <x:v>Plus mensual</x:v>
      </x:c>
      <x:c r="D162" t="str">
        <x:v>Pago</x:v>
      </x:c>
      <x:c r="E162" t="str">
        <x:v>Cali</x:v>
      </x:c>
      <x:c r="F162" t="str">
        <x:v>Valle del Cauca</x:v>
      </x:c>
      <x:c r="G162" t="n">
        <x:v>34</x:v>
      </x:c>
      <x:c r="H162" t="str">
        <x:v>Entre $3 M y $5 M</x:v>
      </x:c>
      <x:c r="I162" t="str">
        <x:v>Orgánico</x:v>
      </x:c>
      <x:c r="J162" t="n">
        <x:v>2</x:v>
      </x:c>
      <x:c r="K162" t="n">
        <x:v>0</x:v>
      </x:c>
      <x:c r="L162" t="n">
        <x:v>21155777.8</x:v>
      </x:c>
      <x:c r="M162" t="n">
        <x:v>504500</x:v>
      </x:c>
      <x:c r="N162" t="n">
        <x:v>1</x:v>
      </x:c>
      <x:c r="O162" t="n">
        <x:v>29900</x:v>
      </x:c>
      <x:c r="P162" t="n">
        <x:v>1</x:v>
      </x:c>
    </x:row>
    <x:row r="163">
      <x:c r="A163" t="str">
        <x:v>2025-03</x:v>
      </x:c>
      <x:c r="B163" t="str">
        <x:v>USR-00077</x:v>
      </x:c>
      <x:c r="C163" t="str">
        <x:v>Cero</x:v>
      </x:c>
      <x:c r="D163" t="str">
        <x:v>Gratuita</x:v>
      </x:c>
      <x:c r="E163" t="str">
        <x:v>Barranquilla</x:v>
      </x:c>
      <x:c r="F163" t="str">
        <x:v>Atlántico</x:v>
      </x:c>
      <x:c r="G163" t="n">
        <x:v>25</x:v>
      </x:c>
      <x:c r="H163" t="str">
        <x:v>Entre $1,5 M y $3 M</x:v>
      </x:c>
      <x:c r="I163" t="str">
        <x:v>Orgánico</x:v>
      </x:c>
      <x:c r="J163" t="n">
        <x:v>2</x:v>
      </x:c>
      <x:c r="K163" t="n">
        <x:v>0</x:v>
      </x:c>
      <x:c r="L163" t="n">
        <x:v>9912545.47</x:v>
      </x:c>
      <x:c r="M163" t="n">
        <x:v>432900</x:v>
      </x:c>
      <x:c r="N163" t="n">
        <x:v>1</x:v>
      </x:c>
      <x:c r="O163" t="n">
        <x:v>0</x:v>
      </x:c>
      <x:c r="P163" t="n">
        <x:v>1</x:v>
      </x:c>
    </x:row>
    <x:row r="164">
      <x:c r="A164" t="str">
        <x:v>2025-03</x:v>
      </x:c>
      <x:c r="B164" t="str">
        <x:v>USR-00078</x:v>
      </x:c>
      <x:c r="C164" t="str">
        <x:v>Plus mensual</x:v>
      </x:c>
      <x:c r="D164" t="str">
        <x:v>Pago</x:v>
      </x:c>
      <x:c r="E164" t="str">
        <x:v>Cali</x:v>
      </x:c>
      <x:c r="F164" t="str">
        <x:v>Valle del Cauca</x:v>
      </x:c>
      <x:c r="G164" t="n">
        <x:v>24</x:v>
      </x:c>
      <x:c r="H164" t="str">
        <x:v>Entre $3 M y $5 M</x:v>
      </x:c>
      <x:c r="I164" t="str">
        <x:v>Orgánico</x:v>
      </x:c>
      <x:c r="J164" t="n">
        <x:v>4</x:v>
      </x:c>
      <x:c r="K164" t="n">
        <x:v>0</x:v>
      </x:c>
      <x:c r="L164" t="n">
        <x:v>30992266.63</x:v>
      </x:c>
      <x:c r="M164" t="n">
        <x:v>1189900</x:v>
      </x:c>
      <x:c r="N164" t="n">
        <x:v>3</x:v>
      </x:c>
      <x:c r="O164" t="n">
        <x:v>29900</x:v>
      </x:c>
      <x:c r="P164" t="n">
        <x:v>1</x:v>
      </x:c>
    </x:row>
    <x:row r="165">
      <x:c r="A165" t="str">
        <x:v>2025-03</x:v>
      </x:c>
      <x:c r="B165" t="str">
        <x:v>USR-00079</x:v>
      </x:c>
      <x:c r="C165" t="str">
        <x:v>Cero</x:v>
      </x:c>
      <x:c r="D165" t="str">
        <x:v>Gratuita</x:v>
      </x:c>
      <x:c r="E165" t="str">
        <x:v>Barranquilla</x:v>
      </x:c>
      <x:c r="F165" t="str">
        <x:v>Atlántico</x:v>
      </x:c>
      <x:c r="G165" t="n">
        <x:v>25</x:v>
      </x:c>
      <x:c r="H165" t="str">
        <x:v>Menos de $1,5 M</x:v>
      </x:c>
      <x:c r="I165" t="str">
        <x:v>Referidos</x:v>
      </x:c>
      <x:c r="J165" t="n">
        <x:v>1</x:v>
      </x:c>
      <x:c r="K165" t="n">
        <x:v>0</x:v>
      </x:c>
      <x:c r="L165" t="n">
        <x:v>53683581.43</x:v>
      </x:c>
      <x:c r="M165" t="n">
        <x:v>3515700</x:v>
      </x:c>
      <x:c r="N165" t="n">
        <x:v>1</x:v>
      </x:c>
      <x:c r="O165" t="n">
        <x:v>0</x:v>
      </x:c>
      <x:c r="P165" t="n">
        <x:v>1</x:v>
      </x:c>
    </x:row>
    <x:row r="166">
      <x:c r="A166" t="str">
        <x:v>2025-03</x:v>
      </x:c>
      <x:c r="B166" t="str">
        <x:v>USR-00080</x:v>
      </x:c>
      <x:c r="C166" t="str">
        <x:v>Cero</x:v>
      </x:c>
      <x:c r="D166" t="str">
        <x:v>Gratuita</x:v>
      </x:c>
      <x:c r="E166" t="str">
        <x:v>Bogotá</x:v>
      </x:c>
      <x:c r="F166" t="str">
        <x:v>Bogotá D.C.</x:v>
      </x:c>
      <x:c r="G166" t="n">
        <x:v>35</x:v>
      </x:c>
      <x:c r="H166" t="str">
        <x:v>Entre $3 M y $5 M</x:v>
      </x:c>
      <x:c r="I166" t="str">
        <x:v>Referidos</x:v>
      </x:c>
      <x:c r="J166" t="n">
        <x:v>1</x:v>
      </x:c>
      <x:c r="K166" t="n">
        <x:v>0</x:v>
      </x:c>
      <x:c r="L166" t="n">
        <x:v>18493541.19</x:v>
      </x:c>
      <x:c r="M166" t="n">
        <x:v>593600</x:v>
      </x:c>
      <x:c r="N166" t="n">
        <x:v>1</x:v>
      </x:c>
      <x:c r="O166" t="n">
        <x:v>0</x:v>
      </x:c>
      <x:c r="P166" t="n">
        <x:v>1</x:v>
      </x:c>
    </x:row>
    <x:row r="167">
      <x:c r="A167" t="str">
        <x:v>2025-03</x:v>
      </x:c>
      <x:c r="B167" t="str">
        <x:v>USR-00081</x:v>
      </x:c>
      <x:c r="C167" t="str">
        <x:v>Cero</x:v>
      </x:c>
      <x:c r="D167" t="str">
        <x:v>Gratuita</x:v>
      </x:c>
      <x:c r="E167" t="str">
        <x:v>Bogotá</x:v>
      </x:c>
      <x:c r="F167" t="str">
        <x:v>Bogotá D.C.</x:v>
      </x:c>
      <x:c r="G167" t="n">
        <x:v>44</x:v>
      </x:c>
      <x:c r="H167" t="str">
        <x:v>Más de $5 M</x:v>
      </x:c>
      <x:c r="I167" t="str">
        <x:v>Contenido educativo</x:v>
      </x:c>
      <x:c r="J167" t="n">
        <x:v>2</x:v>
      </x:c>
      <x:c r="K167" t="n">
        <x:v>0</x:v>
      </x:c>
      <x:c r="L167" t="n">
        <x:v>16177509.27</x:v>
      </x:c>
      <x:c r="M167" t="n">
        <x:v>438700</x:v>
      </x:c>
      <x:c r="N167" t="n">
        <x:v>1</x:v>
      </x:c>
      <x:c r="O167" t="n">
        <x:v>0</x:v>
      </x:c>
      <x:c r="P167" t="n">
        <x:v>1</x:v>
      </x:c>
    </x:row>
    <x:row r="168">
      <x:c r="A168" t="str">
        <x:v>2025-03</x:v>
      </x:c>
      <x:c r="B168" t="str">
        <x:v>USR-00082</x:v>
      </x:c>
      <x:c r="C168" t="str">
        <x:v>Cero</x:v>
      </x:c>
      <x:c r="D168" t="str">
        <x:v>Gratuita</x:v>
      </x:c>
      <x:c r="E168" t="str">
        <x:v>Villavicencio</x:v>
      </x:c>
      <x:c r="F168" t="str">
        <x:v>Meta</x:v>
      </x:c>
      <x:c r="G168" t="n">
        <x:v>44</x:v>
      </x:c>
      <x:c r="H168" t="str">
        <x:v>Entre $1,5 M y $3 M</x:v>
      </x:c>
      <x:c r="I168" t="str">
        <x:v>Referidos</x:v>
      </x:c>
      <x:c r="J168" t="n">
        <x:v>2</x:v>
      </x:c>
      <x:c r="K168" t="n">
        <x:v>0</x:v>
      </x:c>
      <x:c r="L168" t="n">
        <x:v>20171056.77</x:v>
      </x:c>
      <x:c r="M168" t="n">
        <x:v>736400</x:v>
      </x:c>
      <x:c r="N168" t="n">
        <x:v>1</x:v>
      </x:c>
      <x:c r="O168" t="n">
        <x:v>0</x:v>
      </x:c>
      <x:c r="P168" t="n">
        <x:v>1</x:v>
      </x:c>
    </x:row>
    <x:row r="169">
      <x:c r="A169" t="str">
        <x:v>2025-03</x:v>
      </x:c>
      <x:c r="B169" t="str">
        <x:v>USR-00083</x:v>
      </x:c>
      <x:c r="C169" t="str">
        <x:v>Cero</x:v>
      </x:c>
      <x:c r="D169" t="str">
        <x:v>Gratuita</x:v>
      </x:c>
      <x:c r="E169" t="str">
        <x:v>Bogotá</x:v>
      </x:c>
      <x:c r="F169" t="str">
        <x:v>Bogotá D.C.</x:v>
      </x:c>
      <x:c r="G169" t="n">
        <x:v>35</x:v>
      </x:c>
      <x:c r="H169" t="str">
        <x:v>Entre $3 M y $5 M</x:v>
      </x:c>
      <x:c r="I169" t="str">
        <x:v>Orgánico</x:v>
      </x:c>
      <x:c r="J169" t="n">
        <x:v>1</x:v>
      </x:c>
      <x:c r="K169" t="n">
        <x:v>0</x:v>
      </x:c>
      <x:c r="L169" t="n">
        <x:v>2484933.51</x:v>
      </x:c>
      <x:c r="M169" t="n">
        <x:v>210300</x:v>
      </x:c>
      <x:c r="N169" t="n">
        <x:v>1</x:v>
      </x:c>
      <x:c r="O169" t="n">
        <x:v>0</x:v>
      </x:c>
      <x:c r="P169" t="n">
        <x:v>1</x:v>
      </x:c>
    </x:row>
    <x:row r="170">
      <x:c r="A170" t="str">
        <x:v>2025-03</x:v>
      </x:c>
      <x:c r="B170" t="str">
        <x:v>USR-00084</x:v>
      </x:c>
      <x:c r="C170" t="str">
        <x:v>Cero</x:v>
      </x:c>
      <x:c r="D170" t="str">
        <x:v>Gratuita</x:v>
      </x:c>
      <x:c r="E170" t="str">
        <x:v>Manizales</x:v>
      </x:c>
      <x:c r="F170" t="str">
        <x:v>Caldas</x:v>
      </x:c>
      <x:c r="G170" t="n">
        <x:v>21</x:v>
      </x:c>
      <x:c r="H170" t="str">
        <x:v>Entre $1,5 M y $3 M</x:v>
      </x:c>
      <x:c r="I170" t="str">
        <x:v>Búsqueda paga</x:v>
      </x:c>
      <x:c r="J170" t="n">
        <x:v>2</x:v>
      </x:c>
      <x:c r="K170" t="n">
        <x:v>0</x:v>
      </x:c>
      <x:c r="L170" t="n">
        <x:v>28700828.9</x:v>
      </x:c>
      <x:c r="M170" t="n">
        <x:v>708100</x:v>
      </x:c>
      <x:c r="N170" t="n">
        <x:v>1</x:v>
      </x:c>
      <x:c r="O170" t="n">
        <x:v>0</x:v>
      </x:c>
      <x:c r="P170" t="n">
        <x:v>1</x:v>
      </x:c>
    </x:row>
    <x:row r="171">
      <x:c r="A171" t="str">
        <x:v>2025-03</x:v>
      </x:c>
      <x:c r="B171" t="str">
        <x:v>USR-00085</x:v>
      </x:c>
      <x:c r="C171" t="str">
        <x:v>Cero</x:v>
      </x:c>
      <x:c r="D171" t="str">
        <x:v>Gratuita</x:v>
      </x:c>
      <x:c r="E171" t="str">
        <x:v>Barranquilla</x:v>
      </x:c>
      <x:c r="F171" t="str">
        <x:v>Atlántico</x:v>
      </x:c>
      <x:c r="G171" t="n">
        <x:v>41</x:v>
      </x:c>
      <x:c r="H171" t="str">
        <x:v>Menos de $1,5 M</x:v>
      </x:c>
      <x:c r="I171" t="str">
        <x:v>Referidos</x:v>
      </x:c>
      <x:c r="J171" t="n">
        <x:v>1</x:v>
      </x:c>
      <x:c r="K171" t="n">
        <x:v>0</x:v>
      </x:c>
      <x:c r="L171" t="n">
        <x:v>12126112.51</x:v>
      </x:c>
      <x:c r="M171" t="n">
        <x:v>436300</x:v>
      </x:c>
      <x:c r="N171" t="n">
        <x:v>1</x:v>
      </x:c>
      <x:c r="O171" t="n">
        <x:v>0</x:v>
      </x:c>
      <x:c r="P171" t="n">
        <x:v>1</x:v>
      </x:c>
    </x:row>
    <x:row r="172">
      <x:c r="A172" t="str">
        <x:v>2025-03</x:v>
      </x:c>
      <x:c r="B172" t="str">
        <x:v>USR-00086</x:v>
      </x:c>
      <x:c r="C172" t="str">
        <x:v>Cero</x:v>
      </x:c>
      <x:c r="D172" t="str">
        <x:v>Gratuita</x:v>
      </x:c>
      <x:c r="E172" t="str">
        <x:v>Manizales</x:v>
      </x:c>
      <x:c r="F172" t="str">
        <x:v>Caldas</x:v>
      </x:c>
      <x:c r="G172" t="n">
        <x:v>47</x:v>
      </x:c>
      <x:c r="H172" t="str">
        <x:v>Más de $5 M</x:v>
      </x:c>
      <x:c r="I172" t="str">
        <x:v>Referidos</x:v>
      </x:c>
      <x:c r="J172" t="n">
        <x:v>1</x:v>
      </x:c>
      <x:c r="K172" t="n">
        <x:v>0</x:v>
      </x:c>
      <x:c r="L172" t="n">
        <x:v>2944863.05</x:v>
      </x:c>
      <x:c r="M172" t="n">
        <x:v>87400</x:v>
      </x:c>
      <x:c r="N172" t="n">
        <x:v>1</x:v>
      </x:c>
      <x:c r="O172" t="n">
        <x:v>0</x:v>
      </x:c>
      <x:c r="P172" t="n">
        <x:v>1</x:v>
      </x:c>
    </x:row>
    <x:row r="173">
      <x:c r="A173" t="str">
        <x:v>2025-03</x:v>
      </x:c>
      <x:c r="B173" t="str">
        <x:v>USR-00087</x:v>
      </x:c>
      <x:c r="C173" t="str">
        <x:v>Cero</x:v>
      </x:c>
      <x:c r="D173" t="str">
        <x:v>Gratuita</x:v>
      </x:c>
      <x:c r="E173" t="str">
        <x:v>Manizales</x:v>
      </x:c>
      <x:c r="F173" t="str">
        <x:v>Caldas</x:v>
      </x:c>
      <x:c r="G173" t="n">
        <x:v>51</x:v>
      </x:c>
      <x:c r="H173" t="str">
        <x:v>Entre $1,5 M y $3 M</x:v>
      </x:c>
      <x:c r="I173" t="str">
        <x:v>Búsqueda paga</x:v>
      </x:c>
      <x:c r="J173" t="n">
        <x:v>1</x:v>
      </x:c>
      <x:c r="K173" t="n">
        <x:v>0</x:v>
      </x:c>
      <x:c r="L173" t="n">
        <x:v>35073039.65</x:v>
      </x:c>
      <x:c r="M173" t="n">
        <x:v>1642200</x:v>
      </x:c>
      <x:c r="N173" t="n">
        <x:v>1</x:v>
      </x:c>
      <x:c r="O173" t="n">
        <x:v>0</x:v>
      </x:c>
      <x:c r="P173" t="n">
        <x:v>1</x:v>
      </x:c>
    </x:row>
    <x:row r="174">
      <x:c r="A174" t="str">
        <x:v>2025-03</x:v>
      </x:c>
      <x:c r="B174" t="str">
        <x:v>USR-00088</x:v>
      </x:c>
      <x:c r="C174" t="str">
        <x:v>Cero</x:v>
      </x:c>
      <x:c r="D174" t="str">
        <x:v>Gratuita</x:v>
      </x:c>
      <x:c r="E174" t="str">
        <x:v>Bucaramanga</x:v>
      </x:c>
      <x:c r="F174" t="str">
        <x:v>Santander</x:v>
      </x:c>
      <x:c r="G174" t="n">
        <x:v>52</x:v>
      </x:c>
      <x:c r="H174" t="str">
        <x:v>Entre $1,5 M y $3 M</x:v>
      </x:c>
      <x:c r="I174" t="str">
        <x:v>Redes sociales</x:v>
      </x:c>
      <x:c r="J174" t="n">
        <x:v>1</x:v>
      </x:c>
      <x:c r="K174" t="n">
        <x:v>0</x:v>
      </x:c>
      <x:c r="L174" t="n">
        <x:v>8477156.54</x:v>
      </x:c>
      <x:c r="M174" t="n">
        <x:v>514000</x:v>
      </x:c>
      <x:c r="N174" t="n">
        <x:v>1</x:v>
      </x:c>
      <x:c r="O174" t="n">
        <x:v>0</x:v>
      </x:c>
      <x:c r="P174" t="n">
        <x:v>1</x:v>
      </x:c>
    </x:row>
    <x:row r="175">
      <x:c r="A175" t="str">
        <x:v>2025-03</x:v>
      </x:c>
      <x:c r="B175" t="str">
        <x:v>USR-00089</x:v>
      </x:c>
      <x:c r="C175" t="str">
        <x:v>Cero</x:v>
      </x:c>
      <x:c r="D175" t="str">
        <x:v>Gratuita</x:v>
      </x:c>
      <x:c r="E175" t="str">
        <x:v>Bucaramanga</x:v>
      </x:c>
      <x:c r="F175" t="str">
        <x:v>Santander</x:v>
      </x:c>
      <x:c r="G175" t="n">
        <x:v>34</x:v>
      </x:c>
      <x:c r="H175" t="str">
        <x:v>Entre $1,5 M y $3 M</x:v>
      </x:c>
      <x:c r="I175" t="str">
        <x:v>Redes sociales</x:v>
      </x:c>
      <x:c r="J175" t="n">
        <x:v>2</x:v>
      </x:c>
      <x:c r="K175" t="n">
        <x:v>0</x:v>
      </x:c>
      <x:c r="L175" t="n">
        <x:v>23814146.43</x:v>
      </x:c>
      <x:c r="M175" t="n">
        <x:v>798800</x:v>
      </x:c>
      <x:c r="N175" t="n">
        <x:v>2</x:v>
      </x:c>
      <x:c r="O175" t="n">
        <x:v>0</x:v>
      </x:c>
      <x:c r="P175" t="n">
        <x:v>1</x:v>
      </x:c>
    </x:row>
    <x:row r="176">
      <x:c r="A176" t="str">
        <x:v>2025-03</x:v>
      </x:c>
      <x:c r="B176" t="str">
        <x:v>USR-00090</x:v>
      </x:c>
      <x:c r="C176" t="str">
        <x:v>Cero</x:v>
      </x:c>
      <x:c r="D176" t="str">
        <x:v>Gratuita</x:v>
      </x:c>
      <x:c r="E176" t="str">
        <x:v>Medellín</x:v>
      </x:c>
      <x:c r="F176" t="str">
        <x:v>Antioquia</x:v>
      </x:c>
      <x:c r="G176" t="n">
        <x:v>47</x:v>
      </x:c>
      <x:c r="H176" t="str">
        <x:v>Menos de $1,5 M</x:v>
      </x:c>
      <x:c r="I176" t="str">
        <x:v>Alianzas</x:v>
      </x:c>
      <x:c r="J176" t="n">
        <x:v>1</x:v>
      </x:c>
      <x:c r="K176" t="n">
        <x:v>0</x:v>
      </x:c>
      <x:c r="L176" t="n">
        <x:v>20117695.12</x:v>
      </x:c>
      <x:c r="M176" t="n">
        <x:v>0</x:v>
      </x:c>
      <x:c r="N176" t="n">
        <x:v>0</x:v>
      </x:c>
      <x:c r="O176" t="n">
        <x:v>0</x:v>
      </x:c>
      <x:c r="P176" t="n">
        <x:v>1</x:v>
      </x:c>
    </x:row>
    <x:row r="177">
      <x:c r="A177" t="str">
        <x:v>2025-03</x:v>
      </x:c>
      <x:c r="B177" t="str">
        <x:v>USR-00091</x:v>
      </x:c>
      <x:c r="C177" t="str">
        <x:v>Plus mensual</x:v>
      </x:c>
      <x:c r="D177" t="str">
        <x:v>Pago</x:v>
      </x:c>
      <x:c r="E177" t="str">
        <x:v>Bogotá</x:v>
      </x:c>
      <x:c r="F177" t="str">
        <x:v>Bogotá D.C.</x:v>
      </x:c>
      <x:c r="G177" t="n">
        <x:v>23</x:v>
      </x:c>
      <x:c r="H177" t="str">
        <x:v>Entre $3 M y $5 M</x:v>
      </x:c>
      <x:c r="I177" t="str">
        <x:v>Redes sociales</x:v>
      </x:c>
      <x:c r="J177" t="n">
        <x:v>4</x:v>
      </x:c>
      <x:c r="K177" t="n">
        <x:v>0</x:v>
      </x:c>
      <x:c r="L177" t="n">
        <x:v>36474343.13</x:v>
      </x:c>
      <x:c r="M177" t="n">
        <x:v>838500</x:v>
      </x:c>
      <x:c r="N177" t="n">
        <x:v>2</x:v>
      </x:c>
      <x:c r="O177" t="n">
        <x:v>29900</x:v>
      </x:c>
      <x:c r="P177" t="n">
        <x:v>1</x:v>
      </x:c>
    </x:row>
    <x:row r="178">
      <x:c r="A178" t="str">
        <x:v>2025-03</x:v>
      </x:c>
      <x:c r="B178" t="str">
        <x:v>USR-00092</x:v>
      </x:c>
      <x:c r="C178" t="str">
        <x:v>Cero</x:v>
      </x:c>
      <x:c r="D178" t="str">
        <x:v>Gratuita</x:v>
      </x:c>
      <x:c r="E178" t="str">
        <x:v>Cartagena</x:v>
      </x:c>
      <x:c r="F178" t="str">
        <x:v>Bolívar</x:v>
      </x:c>
      <x:c r="G178" t="n">
        <x:v>63</x:v>
      </x:c>
      <x:c r="H178" t="str">
        <x:v>Entre $1,5 M y $3 M</x:v>
      </x:c>
      <x:c r="I178" t="str">
        <x:v>Orgánico</x:v>
      </x:c>
      <x:c r="J178" t="n">
        <x:v>2</x:v>
      </x:c>
      <x:c r="K178" t="n">
        <x:v>0</x:v>
      </x:c>
      <x:c r="L178" t="n">
        <x:v>50992108.52</x:v>
      </x:c>
      <x:c r="M178" t="n">
        <x:v>906300</x:v>
      </x:c>
      <x:c r="N178" t="n">
        <x:v>1</x:v>
      </x:c>
      <x:c r="O178" t="n">
        <x:v>0</x:v>
      </x:c>
      <x:c r="P178" t="n">
        <x:v>1</x:v>
      </x:c>
    </x:row>
    <x:row r="179">
      <x:c r="A179" t="str">
        <x:v>2025-03</x:v>
      </x:c>
      <x:c r="B179" t="str">
        <x:v>USR-00093</x:v>
      </x:c>
      <x:c r="C179" t="str">
        <x:v>Plus anual</x:v>
      </x:c>
      <x:c r="D179" t="str">
        <x:v>Pago</x:v>
      </x:c>
      <x:c r="E179" t="str">
        <x:v>Bogotá</x:v>
      </x:c>
      <x:c r="F179" t="str">
        <x:v>Bogotá D.C.</x:v>
      </x:c>
      <x:c r="G179" t="n">
        <x:v>34</x:v>
      </x:c>
      <x:c r="H179" t="str">
        <x:v>Más de $5 M</x:v>
      </x:c>
      <x:c r="I179" t="str">
        <x:v>Búsqueda paga</x:v>
      </x:c>
      <x:c r="J179" t="n">
        <x:v>3</x:v>
      </x:c>
      <x:c r="K179" t="n">
        <x:v>0</x:v>
      </x:c>
      <x:c r="L179" t="n">
        <x:v>25733738.58</x:v>
      </x:c>
      <x:c r="M179" t="n">
        <x:v>1124400</x:v>
      </x:c>
      <x:c r="N179" t="n">
        <x:v>3</x:v>
      </x:c>
      <x:c r="O179" t="n">
        <x:v>24916.67</x:v>
      </x:c>
      <x:c r="P179" t="n">
        <x:v>1</x:v>
      </x:c>
    </x:row>
    <x:row r="180">
      <x:c r="A180" t="str">
        <x:v>2025-03</x:v>
      </x:c>
      <x:c r="B180" t="str">
        <x:v>USR-00094</x:v>
      </x:c>
      <x:c r="C180" t="str">
        <x:v>Cero</x:v>
      </x:c>
      <x:c r="D180" t="str">
        <x:v>Gratuita</x:v>
      </x:c>
      <x:c r="E180" t="str">
        <x:v>Bogotá</x:v>
      </x:c>
      <x:c r="F180" t="str">
        <x:v>Bogotá D.C.</x:v>
      </x:c>
      <x:c r="G180" t="n">
        <x:v>38</x:v>
      </x:c>
      <x:c r="H180" t="str">
        <x:v>Más de $5 M</x:v>
      </x:c>
      <x:c r="I180" t="str">
        <x:v>Alianzas</x:v>
      </x:c>
      <x:c r="J180" t="n">
        <x:v>2</x:v>
      </x:c>
      <x:c r="K180" t="n">
        <x:v>0</x:v>
      </x:c>
      <x:c r="L180" t="n">
        <x:v>12318056.02</x:v>
      </x:c>
      <x:c r="M180" t="n">
        <x:v>702300</x:v>
      </x:c>
      <x:c r="N180" t="n">
        <x:v>2</x:v>
      </x:c>
      <x:c r="O180" t="n">
        <x:v>0</x:v>
      </x:c>
      <x:c r="P180" t="n">
        <x:v>1</x:v>
      </x:c>
    </x:row>
    <x:row r="181">
      <x:c r="A181" t="str">
        <x:v>2025-04</x:v>
      </x:c>
      <x:c r="B181" t="str">
        <x:v>USR-00001</x:v>
      </x:c>
      <x:c r="C181" t="str">
        <x:v>Cero</x:v>
      </x:c>
      <x:c r="D181" t="str">
        <x:v>Gratuita</x:v>
      </x:c>
      <x:c r="E181" t="str">
        <x:v>Medellín</x:v>
      </x:c>
      <x:c r="F181" t="str">
        <x:v>Antioquia</x:v>
      </x:c>
      <x:c r="G181" t="n">
        <x:v>44</x:v>
      </x:c>
      <x:c r="H181" t="str">
        <x:v>Entre $1,5 M y $3 M</x:v>
      </x:c>
      <x:c r="I181" t="str">
        <x:v>Redes sociales</x:v>
      </x:c>
      <x:c r="J181" t="n">
        <x:v>1</x:v>
      </x:c>
      <x:c r="K181" t="n">
        <x:v>0</x:v>
      </x:c>
      <x:c r="L181" t="n">
        <x:v>17374904.24</x:v>
      </x:c>
      <x:c r="M181" t="n">
        <x:v>341800</x:v>
      </x:c>
      <x:c r="N181" t="n">
        <x:v>1</x:v>
      </x:c>
      <x:c r="O181" t="n">
        <x:v>0</x:v>
      </x:c>
      <x:c r="P181" t="n">
        <x:v>4</x:v>
      </x:c>
    </x:row>
    <x:row r="182">
      <x:c r="A182" t="str">
        <x:v>2025-04</x:v>
      </x:c>
      <x:c r="B182" t="str">
        <x:v>USR-00002</x:v>
      </x:c>
      <x:c r="C182" t="str">
        <x:v>Cero</x:v>
      </x:c>
      <x:c r="D182" t="str">
        <x:v>Gratuita</x:v>
      </x:c>
      <x:c r="E182" t="str">
        <x:v>Bogotá</x:v>
      </x:c>
      <x:c r="F182" t="str">
        <x:v>Bogotá D.C.</x:v>
      </x:c>
      <x:c r="G182" t="n">
        <x:v>54</x:v>
      </x:c>
      <x:c r="H182" t="str">
        <x:v>Entre $3 M y $5 M</x:v>
      </x:c>
      <x:c r="I182" t="str">
        <x:v>Alianzas</x:v>
      </x:c>
      <x:c r="J182" t="n">
        <x:v>2</x:v>
      </x:c>
      <x:c r="K182" t="n">
        <x:v>0</x:v>
      </x:c>
      <x:c r="L182" t="n">
        <x:v>32437020.86</x:v>
      </x:c>
      <x:c r="M182" t="n">
        <x:v>1549400</x:v>
      </x:c>
      <x:c r="N182" t="n">
        <x:v>2</x:v>
      </x:c>
      <x:c r="O182" t="n">
        <x:v>0</x:v>
      </x:c>
      <x:c r="P182" t="n">
        <x:v>4</x:v>
      </x:c>
    </x:row>
    <x:row r="183">
      <x:c r="A183" t="str">
        <x:v>2025-04</x:v>
      </x:c>
      <x:c r="B183" t="str">
        <x:v>USR-00003</x:v>
      </x:c>
      <x:c r="C183" t="str">
        <x:v>Cero</x:v>
      </x:c>
      <x:c r="D183" t="str">
        <x:v>Gratuita</x:v>
      </x:c>
      <x:c r="E183" t="str">
        <x:v>Bogotá</x:v>
      </x:c>
      <x:c r="F183" t="str">
        <x:v>Bogotá D.C.</x:v>
      </x:c>
      <x:c r="G183" t="n">
        <x:v>63</x:v>
      </x:c>
      <x:c r="H183" t="str">
        <x:v>Entre $1,5 M y $3 M</x:v>
      </x:c>
      <x:c r="I183" t="str">
        <x:v>Redes sociales</x:v>
      </x:c>
      <x:c r="J183" t="n">
        <x:v>2</x:v>
      </x:c>
      <x:c r="K183" t="n">
        <x:v>0</x:v>
      </x:c>
      <x:c r="L183" t="n">
        <x:v>20423990.49</x:v>
      </x:c>
      <x:c r="M183" t="n">
        <x:v>694600</x:v>
      </x:c>
      <x:c r="N183" t="n">
        <x:v>1</x:v>
      </x:c>
      <x:c r="O183" t="n">
        <x:v>0</x:v>
      </x:c>
      <x:c r="P183" t="n">
        <x:v>4</x:v>
      </x:c>
    </x:row>
    <x:row r="184">
      <x:c r="A184" t="str">
        <x:v>2025-04</x:v>
      </x:c>
      <x:c r="B184" t="str">
        <x:v>USR-00004</x:v>
      </x:c>
      <x:c r="C184" t="str">
        <x:v>Plus anual</x:v>
      </x:c>
      <x:c r="D184" t="str">
        <x:v>Pago</x:v>
      </x:c>
      <x:c r="E184" t="str">
        <x:v>Bogotá</x:v>
      </x:c>
      <x:c r="F184" t="str">
        <x:v>Bogotá D.C.</x:v>
      </x:c>
      <x:c r="G184" t="n">
        <x:v>49</x:v>
      </x:c>
      <x:c r="H184" t="str">
        <x:v>Menos de $1,5 M</x:v>
      </x:c>
      <x:c r="I184" t="str">
        <x:v>Alianzas</x:v>
      </x:c>
      <x:c r="J184" t="n">
        <x:v>2</x:v>
      </x:c>
      <x:c r="K184" t="n">
        <x:v>0</x:v>
      </x:c>
      <x:c r="L184" t="n">
        <x:v>17385218.71</x:v>
      </x:c>
      <x:c r="M184" t="n">
        <x:v>1191300</x:v>
      </x:c>
      <x:c r="N184" t="n">
        <x:v>2</x:v>
      </x:c>
      <x:c r="O184" t="n">
        <x:v>24916.67</x:v>
      </x:c>
      <x:c r="P184" t="n">
        <x:v>4</x:v>
      </x:c>
    </x:row>
    <x:row r="185">
      <x:c r="A185" t="str">
        <x:v>2025-04</x:v>
      </x:c>
      <x:c r="B185" t="str">
        <x:v>USR-00005</x:v>
      </x:c>
      <x:c r="C185" t="str">
        <x:v>Plus anual</x:v>
      </x:c>
      <x:c r="D185" t="str">
        <x:v>Pago</x:v>
      </x:c>
      <x:c r="E185" t="str">
        <x:v>Bogotá</x:v>
      </x:c>
      <x:c r="F185" t="str">
        <x:v>Bogotá D.C.</x:v>
      </x:c>
      <x:c r="G185" t="n">
        <x:v>45</x:v>
      </x:c>
      <x:c r="H185" t="str">
        <x:v>Entre $1,5 M y $3 M</x:v>
      </x:c>
      <x:c r="I185" t="str">
        <x:v>Orgánico</x:v>
      </x:c>
      <x:c r="J185" t="n">
        <x:v>2</x:v>
      </x:c>
      <x:c r="K185" t="n">
        <x:v>0</x:v>
      </x:c>
      <x:c r="L185" t="n">
        <x:v>8950139.61</x:v>
      </x:c>
      <x:c r="M185" t="n">
        <x:v>79100</x:v>
      </x:c>
      <x:c r="N185" t="n">
        <x:v>1</x:v>
      </x:c>
      <x:c r="O185" t="n">
        <x:v>24916.67</x:v>
      </x:c>
      <x:c r="P185" t="n">
        <x:v>4</x:v>
      </x:c>
    </x:row>
    <x:row r="186">
      <x:c r="A186" t="str">
        <x:v>2025-04</x:v>
      </x:c>
      <x:c r="B186" t="str">
        <x:v>USR-00006</x:v>
      </x:c>
      <x:c r="C186" t="str">
        <x:v>Cero</x:v>
      </x:c>
      <x:c r="D186" t="str">
        <x:v>Gratuita</x:v>
      </x:c>
      <x:c r="E186" t="str">
        <x:v>Medellín</x:v>
      </x:c>
      <x:c r="F186" t="str">
        <x:v>Antioquia</x:v>
      </x:c>
      <x:c r="G186" t="n">
        <x:v>62</x:v>
      </x:c>
      <x:c r="H186" t="str">
        <x:v>Entre $3 M y $5 M</x:v>
      </x:c>
      <x:c r="I186" t="str">
        <x:v>Redes sociales</x:v>
      </x:c>
      <x:c r="J186" t="n">
        <x:v>1</x:v>
      </x:c>
      <x:c r="K186" t="n">
        <x:v>0</x:v>
      </x:c>
      <x:c r="L186" t="n">
        <x:v>11930149.31</x:v>
      </x:c>
      <x:c r="M186" t="n">
        <x:v>0</x:v>
      </x:c>
      <x:c r="N186" t="n">
        <x:v>0</x:v>
      </x:c>
      <x:c r="O186" t="n">
        <x:v>0</x:v>
      </x:c>
      <x:c r="P186" t="n">
        <x:v>4</x:v>
      </x:c>
    </x:row>
    <x:row r="187">
      <x:c r="A187" t="str">
        <x:v>2025-04</x:v>
      </x:c>
      <x:c r="B187" t="str">
        <x:v>USR-00007</x:v>
      </x:c>
      <x:c r="C187" t="str">
        <x:v>Cero</x:v>
      </x:c>
      <x:c r="D187" t="str">
        <x:v>Gratuita</x:v>
      </x:c>
      <x:c r="E187" t="str">
        <x:v>Bogotá</x:v>
      </x:c>
      <x:c r="F187" t="str">
        <x:v>Bogotá D.C.</x:v>
      </x:c>
      <x:c r="G187" t="n">
        <x:v>34</x:v>
      </x:c>
      <x:c r="H187" t="str">
        <x:v>Entre $1,5 M y $3 M</x:v>
      </x:c>
      <x:c r="I187" t="str">
        <x:v>Redes sociales</x:v>
      </x:c>
      <x:c r="J187" t="n">
        <x:v>2</x:v>
      </x:c>
      <x:c r="K187" t="n">
        <x:v>0</x:v>
      </x:c>
      <x:c r="L187" t="n">
        <x:v>21843341.05</x:v>
      </x:c>
      <x:c r="M187" t="n">
        <x:v>661600</x:v>
      </x:c>
      <x:c r="N187" t="n">
        <x:v>1</x:v>
      </x:c>
      <x:c r="O187" t="n">
        <x:v>0</x:v>
      </x:c>
      <x:c r="P187" t="n">
        <x:v>4</x:v>
      </x:c>
    </x:row>
    <x:row r="188">
      <x:c r="A188" t="str">
        <x:v>2025-04</x:v>
      </x:c>
      <x:c r="B188" t="str">
        <x:v>USR-00008</x:v>
      </x:c>
      <x:c r="C188" t="str">
        <x:v>Cero</x:v>
      </x:c>
      <x:c r="D188" t="str">
        <x:v>Gratuita</x:v>
      </x:c>
      <x:c r="E188" t="str">
        <x:v>Barranquilla</x:v>
      </x:c>
      <x:c r="F188" t="str">
        <x:v>Atlántico</x:v>
      </x:c>
      <x:c r="G188" t="n">
        <x:v>33</x:v>
      </x:c>
      <x:c r="H188" t="str">
        <x:v>Más de $5 M</x:v>
      </x:c>
      <x:c r="I188" t="str">
        <x:v>Redes sociales</x:v>
      </x:c>
      <x:c r="J188" t="n">
        <x:v>2</x:v>
      </x:c>
      <x:c r="K188" t="n">
        <x:v>0</x:v>
      </x:c>
      <x:c r="L188" t="n">
        <x:v>26960774.74</x:v>
      </x:c>
      <x:c r="M188" t="n">
        <x:v>2113000</x:v>
      </x:c>
      <x:c r="N188" t="n">
        <x:v>2</x:v>
      </x:c>
      <x:c r="O188" t="n">
        <x:v>0</x:v>
      </x:c>
      <x:c r="P188" t="n">
        <x:v>4</x:v>
      </x:c>
    </x:row>
    <x:row r="189">
      <x:c r="A189" t="str">
        <x:v>2025-04</x:v>
      </x:c>
      <x:c r="B189" t="str">
        <x:v>USR-00009</x:v>
      </x:c>
      <x:c r="C189" t="str">
        <x:v>Cero</x:v>
      </x:c>
      <x:c r="D189" t="str">
        <x:v>Gratuita</x:v>
      </x:c>
      <x:c r="E189" t="str">
        <x:v>Barranquilla</x:v>
      </x:c>
      <x:c r="F189" t="str">
        <x:v>Atlántico</x:v>
      </x:c>
      <x:c r="G189" t="n">
        <x:v>46</x:v>
      </x:c>
      <x:c r="H189" t="str">
        <x:v>Entre $1,5 M y $3 M</x:v>
      </x:c>
      <x:c r="I189" t="str">
        <x:v>Orgánico</x:v>
      </x:c>
      <x:c r="J189" t="n">
        <x:v>1</x:v>
      </x:c>
      <x:c r="K189" t="n">
        <x:v>0</x:v>
      </x:c>
      <x:c r="L189" t="n">
        <x:v>5461828.65</x:v>
      </x:c>
      <x:c r="M189" t="n">
        <x:v>310400</x:v>
      </x:c>
      <x:c r="N189" t="n">
        <x:v>1</x:v>
      </x:c>
      <x:c r="O189" t="n">
        <x:v>0</x:v>
      </x:c>
      <x:c r="P189" t="n">
        <x:v>4</x:v>
      </x:c>
    </x:row>
    <x:row r="190">
      <x:c r="A190" t="str">
        <x:v>2025-04</x:v>
      </x:c>
      <x:c r="B190" t="str">
        <x:v>USR-00010</x:v>
      </x:c>
      <x:c r="C190" t="str">
        <x:v>Cero</x:v>
      </x:c>
      <x:c r="D190" t="str">
        <x:v>Gratuita</x:v>
      </x:c>
      <x:c r="E190" t="str">
        <x:v>Bogotá</x:v>
      </x:c>
      <x:c r="F190" t="str">
        <x:v>Bogotá D.C.</x:v>
      </x:c>
      <x:c r="G190" t="n">
        <x:v>63</x:v>
      </x:c>
      <x:c r="H190" t="str">
        <x:v>Entre $3 M y $5 M</x:v>
      </x:c>
      <x:c r="I190" t="str">
        <x:v>Contenido educativo</x:v>
      </x:c>
      <x:c r="J190" t="n">
        <x:v>2</x:v>
      </x:c>
      <x:c r="K190" t="n">
        <x:v>0</x:v>
      </x:c>
      <x:c r="L190" t="n">
        <x:v>19793403.53</x:v>
      </x:c>
      <x:c r="M190" t="n">
        <x:v>1386400</x:v>
      </x:c>
      <x:c r="N190" t="n">
        <x:v>2</x:v>
      </x:c>
      <x:c r="O190" t="n">
        <x:v>0</x:v>
      </x:c>
      <x:c r="P190" t="n">
        <x:v>4</x:v>
      </x:c>
    </x:row>
    <x:row r="191">
      <x:c r="A191" t="str">
        <x:v>2025-04</x:v>
      </x:c>
      <x:c r="B191" t="str">
        <x:v>USR-00011</x:v>
      </x:c>
      <x:c r="C191" t="str">
        <x:v>Cero</x:v>
      </x:c>
      <x:c r="D191" t="str">
        <x:v>Gratuita</x:v>
      </x:c>
      <x:c r="E191" t="str">
        <x:v>Bogotá</x:v>
      </x:c>
      <x:c r="F191" t="str">
        <x:v>Bogotá D.C.</x:v>
      </x:c>
      <x:c r="G191" t="n">
        <x:v>38</x:v>
      </x:c>
      <x:c r="H191" t="str">
        <x:v>Entre $1,5 M y $3 M</x:v>
      </x:c>
      <x:c r="I191" t="str">
        <x:v>Contenido educativo</x:v>
      </x:c>
      <x:c r="J191" t="n">
        <x:v>2</x:v>
      </x:c>
      <x:c r="K191" t="n">
        <x:v>0</x:v>
      </x:c>
      <x:c r="L191" t="n">
        <x:v>17682552.29</x:v>
      </x:c>
      <x:c r="M191" t="n">
        <x:v>2175100</x:v>
      </x:c>
      <x:c r="N191" t="n">
        <x:v>1</x:v>
      </x:c>
      <x:c r="O191" t="n">
        <x:v>0</x:v>
      </x:c>
      <x:c r="P191" t="n">
        <x:v>4</x:v>
      </x:c>
    </x:row>
    <x:row r="192">
      <x:c r="A192" t="str">
        <x:v>2025-04</x:v>
      </x:c>
      <x:c r="B192" t="str">
        <x:v>USR-00012</x:v>
      </x:c>
      <x:c r="C192" t="str">
        <x:v>Cero</x:v>
      </x:c>
      <x:c r="D192" t="str">
        <x:v>Gratuita</x:v>
      </x:c>
      <x:c r="E192" t="str">
        <x:v>Bogotá</x:v>
      </x:c>
      <x:c r="F192" t="str">
        <x:v>Bogotá D.C.</x:v>
      </x:c>
      <x:c r="G192" t="n">
        <x:v>37</x:v>
      </x:c>
      <x:c r="H192" t="str">
        <x:v>Entre $1,5 M y $3 M</x:v>
      </x:c>
      <x:c r="I192" t="str">
        <x:v>Referidos</x:v>
      </x:c>
      <x:c r="J192" t="n">
        <x:v>2</x:v>
      </x:c>
      <x:c r="K192" t="n">
        <x:v>0</x:v>
      </x:c>
      <x:c r="L192" t="n">
        <x:v>17171613.77</x:v>
      </x:c>
      <x:c r="M192" t="n">
        <x:v>206000</x:v>
      </x:c>
      <x:c r="N192" t="n">
        <x:v>1</x:v>
      </x:c>
      <x:c r="O192" t="n">
        <x:v>0</x:v>
      </x:c>
      <x:c r="P192" t="n">
        <x:v>4</x:v>
      </x:c>
    </x:row>
    <x:row r="193">
      <x:c r="A193" t="str">
        <x:v>2025-04</x:v>
      </x:c>
      <x:c r="B193" t="str">
        <x:v>USR-00013</x:v>
      </x:c>
      <x:c r="C193" t="str">
        <x:v>Cero</x:v>
      </x:c>
      <x:c r="D193" t="str">
        <x:v>Gratuita</x:v>
      </x:c>
      <x:c r="E193" t="str">
        <x:v>Barranquilla</x:v>
      </x:c>
      <x:c r="F193" t="str">
        <x:v>Atlántico</x:v>
      </x:c>
      <x:c r="G193" t="n">
        <x:v>48</x:v>
      </x:c>
      <x:c r="H193" t="str">
        <x:v>Entre $1,5 M y $3 M</x:v>
      </x:c>
      <x:c r="I193" t="str">
        <x:v>Búsqueda paga</x:v>
      </x:c>
      <x:c r="J193" t="n">
        <x:v>2</x:v>
      </x:c>
      <x:c r="K193" t="n">
        <x:v>0</x:v>
      </x:c>
      <x:c r="L193" t="n">
        <x:v>50541013.71</x:v>
      </x:c>
      <x:c r="M193" t="n">
        <x:v>0</x:v>
      </x:c>
      <x:c r="N193" t="n">
        <x:v>0</x:v>
      </x:c>
      <x:c r="O193" t="n">
        <x:v>0</x:v>
      </x:c>
      <x:c r="P193" t="n">
        <x:v>4</x:v>
      </x:c>
    </x:row>
    <x:row r="194">
      <x:c r="A194" t="str">
        <x:v>2025-04</x:v>
      </x:c>
      <x:c r="B194" t="str">
        <x:v>USR-00014</x:v>
      </x:c>
      <x:c r="C194" t="str">
        <x:v>Cero</x:v>
      </x:c>
      <x:c r="D194" t="str">
        <x:v>Gratuita</x:v>
      </x:c>
      <x:c r="E194" t="str">
        <x:v>Bucaramanga</x:v>
      </x:c>
      <x:c r="F194" t="str">
        <x:v>Santander</x:v>
      </x:c>
      <x:c r="G194" t="n">
        <x:v>37</x:v>
      </x:c>
      <x:c r="H194" t="str">
        <x:v>Entre $1,5 M y $3 M</x:v>
      </x:c>
      <x:c r="I194" t="str">
        <x:v>Redes sociales</x:v>
      </x:c>
      <x:c r="J194" t="n">
        <x:v>2</x:v>
      </x:c>
      <x:c r="K194" t="n">
        <x:v>0</x:v>
      </x:c>
      <x:c r="L194" t="n">
        <x:v>8419450.68</x:v>
      </x:c>
      <x:c r="M194" t="n">
        <x:v>1276500</x:v>
      </x:c>
      <x:c r="N194" t="n">
        <x:v>2</x:v>
      </x:c>
      <x:c r="O194" t="n">
        <x:v>0</x:v>
      </x:c>
      <x:c r="P194" t="n">
        <x:v>4</x:v>
      </x:c>
    </x:row>
    <x:row r="195">
      <x:c r="A195" t="str">
        <x:v>2025-04</x:v>
      </x:c>
      <x:c r="B195" t="str">
        <x:v>USR-00015</x:v>
      </x:c>
      <x:c r="C195" t="str">
        <x:v>Cero</x:v>
      </x:c>
      <x:c r="D195" t="str">
        <x:v>Gratuita</x:v>
      </x:c>
      <x:c r="E195" t="str">
        <x:v>Barranquilla</x:v>
      </x:c>
      <x:c r="F195" t="str">
        <x:v>Atlántico</x:v>
      </x:c>
      <x:c r="G195" t="n">
        <x:v>58</x:v>
      </x:c>
      <x:c r="H195" t="str">
        <x:v>Menos de $1,5 M</x:v>
      </x:c>
      <x:c r="I195" t="str">
        <x:v>Contenido educativo</x:v>
      </x:c>
      <x:c r="J195" t="n">
        <x:v>2</x:v>
      </x:c>
      <x:c r="K195" t="n">
        <x:v>0</x:v>
      </x:c>
      <x:c r="L195" t="n">
        <x:v>19504271.61</x:v>
      </x:c>
      <x:c r="M195" t="n">
        <x:v>0</x:v>
      </x:c>
      <x:c r="N195" t="n">
        <x:v>0</x:v>
      </x:c>
      <x:c r="O195" t="n">
        <x:v>0</x:v>
      </x:c>
      <x:c r="P195" t="n">
        <x:v>4</x:v>
      </x:c>
    </x:row>
    <x:row r="196">
      <x:c r="A196" t="str">
        <x:v>2025-04</x:v>
      </x:c>
      <x:c r="B196" t="str">
        <x:v>USR-00016</x:v>
      </x:c>
      <x:c r="C196" t="str">
        <x:v>Cero</x:v>
      </x:c>
      <x:c r="D196" t="str">
        <x:v>Gratuita</x:v>
      </x:c>
      <x:c r="E196" t="str">
        <x:v>Bogotá</x:v>
      </x:c>
      <x:c r="F196" t="str">
        <x:v>Bogotá D.C.</x:v>
      </x:c>
      <x:c r="G196" t="n">
        <x:v>38</x:v>
      </x:c>
      <x:c r="H196" t="str">
        <x:v>Menos de $1,5 M</x:v>
      </x:c>
      <x:c r="I196" t="str">
        <x:v>Búsqueda paga</x:v>
      </x:c>
      <x:c r="J196" t="n">
        <x:v>1</x:v>
      </x:c>
      <x:c r="K196" t="n">
        <x:v>0</x:v>
      </x:c>
      <x:c r="L196" t="n">
        <x:v>4132670.19</x:v>
      </x:c>
      <x:c r="M196" t="n">
        <x:v>179400</x:v>
      </x:c>
      <x:c r="N196" t="n">
        <x:v>1</x:v>
      </x:c>
      <x:c r="O196" t="n">
        <x:v>0</x:v>
      </x:c>
      <x:c r="P196" t="n">
        <x:v>4</x:v>
      </x:c>
    </x:row>
    <x:row r="197">
      <x:c r="A197" t="str">
        <x:v>2025-04</x:v>
      </x:c>
      <x:c r="B197" t="str">
        <x:v>USR-00017</x:v>
      </x:c>
      <x:c r="C197" t="str">
        <x:v>Plus anual</x:v>
      </x:c>
      <x:c r="D197" t="str">
        <x:v>Pago</x:v>
      </x:c>
      <x:c r="E197" t="str">
        <x:v>Bogotá</x:v>
      </x:c>
      <x:c r="F197" t="str">
        <x:v>Bogotá D.C.</x:v>
      </x:c>
      <x:c r="G197" t="n">
        <x:v>35</x:v>
      </x:c>
      <x:c r="H197" t="str">
        <x:v>Entre $1,5 M y $3 M</x:v>
      </x:c>
      <x:c r="I197" t="str">
        <x:v>Orgánico</x:v>
      </x:c>
      <x:c r="J197" t="n">
        <x:v>1</x:v>
      </x:c>
      <x:c r="K197" t="n">
        <x:v>0</x:v>
      </x:c>
      <x:c r="L197" t="n">
        <x:v>2358140.88</x:v>
      </x:c>
      <x:c r="M197" t="n">
        <x:v>84200</x:v>
      </x:c>
      <x:c r="N197" t="n">
        <x:v>1</x:v>
      </x:c>
      <x:c r="O197" t="n">
        <x:v>24916.67</x:v>
      </x:c>
      <x:c r="P197" t="n">
        <x:v>4</x:v>
      </x:c>
    </x:row>
    <x:row r="198">
      <x:c r="A198" t="str">
        <x:v>2025-04</x:v>
      </x:c>
      <x:c r="B198" t="str">
        <x:v>USR-00018</x:v>
      </x:c>
      <x:c r="C198" t="str">
        <x:v>Cero</x:v>
      </x:c>
      <x:c r="D198" t="str">
        <x:v>Gratuita</x:v>
      </x:c>
      <x:c r="E198" t="str">
        <x:v>Bogotá</x:v>
      </x:c>
      <x:c r="F198" t="str">
        <x:v>Bogotá D.C.</x:v>
      </x:c>
      <x:c r="G198" t="n">
        <x:v>44</x:v>
      </x:c>
      <x:c r="H198" t="str">
        <x:v>Entre $1,5 M y $3 M</x:v>
      </x:c>
      <x:c r="I198" t="str">
        <x:v>Referidos</x:v>
      </x:c>
      <x:c r="J198" t="n">
        <x:v>1</x:v>
      </x:c>
      <x:c r="K198" t="n">
        <x:v>0</x:v>
      </x:c>
      <x:c r="L198" t="n">
        <x:v>8622316.04</x:v>
      </x:c>
      <x:c r="M198" t="n">
        <x:v>281600</x:v>
      </x:c>
      <x:c r="N198" t="n">
        <x:v>1</x:v>
      </x:c>
      <x:c r="O198" t="n">
        <x:v>0</x:v>
      </x:c>
      <x:c r="P198" t="n">
        <x:v>4</x:v>
      </x:c>
    </x:row>
    <x:row r="199">
      <x:c r="A199" t="str">
        <x:v>2025-04</x:v>
      </x:c>
      <x:c r="B199" t="str">
        <x:v>USR-00019</x:v>
      </x:c>
      <x:c r="C199" t="str">
        <x:v>Cero</x:v>
      </x:c>
      <x:c r="D199" t="str">
        <x:v>Gratuita</x:v>
      </x:c>
      <x:c r="E199" t="str">
        <x:v>Bogotá</x:v>
      </x:c>
      <x:c r="F199" t="str">
        <x:v>Bogotá D.C.</x:v>
      </x:c>
      <x:c r="G199" t="n">
        <x:v>60</x:v>
      </x:c>
      <x:c r="H199" t="str">
        <x:v>Entre $3 M y $5 M</x:v>
      </x:c>
      <x:c r="I199" t="str">
        <x:v>Redes sociales</x:v>
      </x:c>
      <x:c r="J199" t="n">
        <x:v>2</x:v>
      </x:c>
      <x:c r="K199" t="n">
        <x:v>0</x:v>
      </x:c>
      <x:c r="L199" t="n">
        <x:v>12295870.64</x:v>
      </x:c>
      <x:c r="M199" t="n">
        <x:v>736000</x:v>
      </x:c>
      <x:c r="N199" t="n">
        <x:v>2</x:v>
      </x:c>
      <x:c r="O199" t="n">
        <x:v>0</x:v>
      </x:c>
      <x:c r="P199" t="n">
        <x:v>4</x:v>
      </x:c>
    </x:row>
    <x:row r="200">
      <x:c r="A200" t="str">
        <x:v>2025-04</x:v>
      </x:c>
      <x:c r="B200" t="str">
        <x:v>USR-00020</x:v>
      </x:c>
      <x:c r="C200" t="str">
        <x:v>Cero</x:v>
      </x:c>
      <x:c r="D200" t="str">
        <x:v>Gratuita</x:v>
      </x:c>
      <x:c r="E200" t="str">
        <x:v>Bogotá</x:v>
      </x:c>
      <x:c r="F200" t="str">
        <x:v>Bogotá D.C.</x:v>
      </x:c>
      <x:c r="G200" t="n">
        <x:v>50</x:v>
      </x:c>
      <x:c r="H200" t="str">
        <x:v>Entre $1,5 M y $3 M</x:v>
      </x:c>
      <x:c r="I200" t="str">
        <x:v>Alianzas</x:v>
      </x:c>
      <x:c r="J200" t="n">
        <x:v>1</x:v>
      </x:c>
      <x:c r="K200" t="n">
        <x:v>0</x:v>
      </x:c>
      <x:c r="L200" t="n">
        <x:v>5747082.01</x:v>
      </x:c>
      <x:c r="M200" t="n">
        <x:v>142600</x:v>
      </x:c>
      <x:c r="N200" t="n">
        <x:v>1</x:v>
      </x:c>
      <x:c r="O200" t="n">
        <x:v>0</x:v>
      </x:c>
      <x:c r="P200" t="n">
        <x:v>4</x:v>
      </x:c>
    </x:row>
    <x:row r="201">
      <x:c r="A201" t="str">
        <x:v>2025-04</x:v>
      </x:c>
      <x:c r="B201" t="str">
        <x:v>USR-00021</x:v>
      </x:c>
      <x:c r="C201" t="str">
        <x:v>Cero</x:v>
      </x:c>
      <x:c r="D201" t="str">
        <x:v>Gratuita</x:v>
      </x:c>
      <x:c r="E201" t="str">
        <x:v>Cali</x:v>
      </x:c>
      <x:c r="F201" t="str">
        <x:v>Valle del Cauca</x:v>
      </x:c>
      <x:c r="G201" t="n">
        <x:v>51</x:v>
      </x:c>
      <x:c r="H201" t="str">
        <x:v>Menos de $1,5 M</x:v>
      </x:c>
      <x:c r="I201" t="str">
        <x:v>Redes sociales</x:v>
      </x:c>
      <x:c r="J201" t="n">
        <x:v>1</x:v>
      </x:c>
      <x:c r="K201" t="n">
        <x:v>0</x:v>
      </x:c>
      <x:c r="L201" t="n">
        <x:v>24994406.7</x:v>
      </x:c>
      <x:c r="M201" t="n">
        <x:v>1089200</x:v>
      </x:c>
      <x:c r="N201" t="n">
        <x:v>1</x:v>
      </x:c>
      <x:c r="O201" t="n">
        <x:v>0</x:v>
      </x:c>
      <x:c r="P201" t="n">
        <x:v>4</x:v>
      </x:c>
    </x:row>
    <x:row r="202">
      <x:c r="A202" t="str">
        <x:v>2025-04</x:v>
      </x:c>
      <x:c r="B202" t="str">
        <x:v>USR-00022</x:v>
      </x:c>
      <x:c r="C202" t="str">
        <x:v>Cero</x:v>
      </x:c>
      <x:c r="D202" t="str">
        <x:v>Gratuita</x:v>
      </x:c>
      <x:c r="E202" t="str">
        <x:v>Bogotá</x:v>
      </x:c>
      <x:c r="F202" t="str">
        <x:v>Bogotá D.C.</x:v>
      </x:c>
      <x:c r="G202" t="n">
        <x:v>36</x:v>
      </x:c>
      <x:c r="H202" t="str">
        <x:v>Entre $3 M y $5 M</x:v>
      </x:c>
      <x:c r="I202" t="str">
        <x:v>Orgánico</x:v>
      </x:c>
      <x:c r="J202" t="n">
        <x:v>2</x:v>
      </x:c>
      <x:c r="K202" t="n">
        <x:v>0</x:v>
      </x:c>
      <x:c r="L202" t="n">
        <x:v>18675188.09</x:v>
      </x:c>
      <x:c r="M202" t="n">
        <x:v>1243900</x:v>
      </x:c>
      <x:c r="N202" t="n">
        <x:v>2</x:v>
      </x:c>
      <x:c r="O202" t="n">
        <x:v>0</x:v>
      </x:c>
      <x:c r="P202" t="n">
        <x:v>4</x:v>
      </x:c>
    </x:row>
    <x:row r="203">
      <x:c r="A203" t="str">
        <x:v>2025-04</x:v>
      </x:c>
      <x:c r="B203" t="str">
        <x:v>USR-00023</x:v>
      </x:c>
      <x:c r="C203" t="str">
        <x:v>Cero</x:v>
      </x:c>
      <x:c r="D203" t="str">
        <x:v>Gratuita</x:v>
      </x:c>
      <x:c r="E203" t="str">
        <x:v>Bogotá</x:v>
      </x:c>
      <x:c r="F203" t="str">
        <x:v>Bogotá D.C.</x:v>
      </x:c>
      <x:c r="G203" t="n">
        <x:v>24</x:v>
      </x:c>
      <x:c r="H203" t="str">
        <x:v>Menos de $1,5 M</x:v>
      </x:c>
      <x:c r="I203" t="str">
        <x:v>Alianzas</x:v>
      </x:c>
      <x:c r="J203" t="n">
        <x:v>1</x:v>
      </x:c>
      <x:c r="K203" t="n">
        <x:v>0</x:v>
      </x:c>
      <x:c r="L203" t="n">
        <x:v>5818994.94</x:v>
      </x:c>
      <x:c r="M203" t="n">
        <x:v>0</x:v>
      </x:c>
      <x:c r="N203" t="n">
        <x:v>0</x:v>
      </x:c>
      <x:c r="O203" t="n">
        <x:v>0</x:v>
      </x:c>
      <x:c r="P203" t="n">
        <x:v>4</x:v>
      </x:c>
    </x:row>
    <x:row r="204">
      <x:c r="A204" t="str">
        <x:v>2025-04</x:v>
      </x:c>
      <x:c r="B204" t="str">
        <x:v>USR-00024</x:v>
      </x:c>
      <x:c r="C204" t="str">
        <x:v>Cero</x:v>
      </x:c>
      <x:c r="D204" t="str">
        <x:v>Gratuita</x:v>
      </x:c>
      <x:c r="E204" t="str">
        <x:v>Bogotá</x:v>
      </x:c>
      <x:c r="F204" t="str">
        <x:v>Bogotá D.C.</x:v>
      </x:c>
      <x:c r="G204" t="n">
        <x:v>59</x:v>
      </x:c>
      <x:c r="H204" t="str">
        <x:v>Menos de $1,5 M</x:v>
      </x:c>
      <x:c r="I204" t="str">
        <x:v>Orgánico</x:v>
      </x:c>
      <x:c r="J204" t="n">
        <x:v>2</x:v>
      </x:c>
      <x:c r="K204" t="n">
        <x:v>0</x:v>
      </x:c>
      <x:c r="L204" t="n">
        <x:v>53610536</x:v>
      </x:c>
      <x:c r="M204" t="n">
        <x:v>1700700</x:v>
      </x:c>
      <x:c r="N204" t="n">
        <x:v>2</x:v>
      </x:c>
      <x:c r="O204" t="n">
        <x:v>0</x:v>
      </x:c>
      <x:c r="P204" t="n">
        <x:v>4</x:v>
      </x:c>
    </x:row>
    <x:row r="205">
      <x:c r="A205" t="str">
        <x:v>2025-04</x:v>
      </x:c>
      <x:c r="B205" t="str">
        <x:v>USR-00025</x:v>
      </x:c>
      <x:c r="C205" t="str">
        <x:v>Plus anual</x:v>
      </x:c>
      <x:c r="D205" t="str">
        <x:v>Pago</x:v>
      </x:c>
      <x:c r="E205" t="str">
        <x:v>Pereira</x:v>
      </x:c>
      <x:c r="F205" t="str">
        <x:v>Risaralda</x:v>
      </x:c>
      <x:c r="G205" t="n">
        <x:v>57</x:v>
      </x:c>
      <x:c r="H205" t="str">
        <x:v>Entre $1,5 M y $3 M</x:v>
      </x:c>
      <x:c r="I205" t="str">
        <x:v>Orgánico</x:v>
      </x:c>
      <x:c r="J205" t="n">
        <x:v>2</x:v>
      </x:c>
      <x:c r="K205" t="n">
        <x:v>0</x:v>
      </x:c>
      <x:c r="L205" t="n">
        <x:v>11662357.72</x:v>
      </x:c>
      <x:c r="M205" t="n">
        <x:v>396900</x:v>
      </x:c>
      <x:c r="N205" t="n">
        <x:v>2</x:v>
      </x:c>
      <x:c r="O205" t="n">
        <x:v>24916.67</x:v>
      </x:c>
      <x:c r="P205" t="n">
        <x:v>4</x:v>
      </x:c>
    </x:row>
    <x:row r="206">
      <x:c r="A206" t="str">
        <x:v>2025-04</x:v>
      </x:c>
      <x:c r="B206" t="str">
        <x:v>USR-00026</x:v>
      </x:c>
      <x:c r="C206" t="str">
        <x:v>Plus mensual</x:v>
      </x:c>
      <x:c r="D206" t="str">
        <x:v>Pago</x:v>
      </x:c>
      <x:c r="E206" t="str">
        <x:v>Bogotá</x:v>
      </x:c>
      <x:c r="F206" t="str">
        <x:v>Bogotá D.C.</x:v>
      </x:c>
      <x:c r="G206" t="n">
        <x:v>57</x:v>
      </x:c>
      <x:c r="H206" t="str">
        <x:v>Entre $3 M y $5 M</x:v>
      </x:c>
      <x:c r="I206" t="str">
        <x:v>Redes sociales</x:v>
      </x:c>
      <x:c r="J206" t="n">
        <x:v>1</x:v>
      </x:c>
      <x:c r="K206" t="n">
        <x:v>0</x:v>
      </x:c>
      <x:c r="L206" t="n">
        <x:v>5228766.68</x:v>
      </x:c>
      <x:c r="M206" t="n">
        <x:v>245100</x:v>
      </x:c>
      <x:c r="N206" t="n">
        <x:v>1</x:v>
      </x:c>
      <x:c r="O206" t="n">
        <x:v>29900</x:v>
      </x:c>
      <x:c r="P206" t="n">
        <x:v>4</x:v>
      </x:c>
    </x:row>
    <x:row r="207">
      <x:c r="A207" t="str">
        <x:v>2025-04</x:v>
      </x:c>
      <x:c r="B207" t="str">
        <x:v>USR-00028</x:v>
      </x:c>
      <x:c r="C207" t="str">
        <x:v>Cero</x:v>
      </x:c>
      <x:c r="D207" t="str">
        <x:v>Gratuita</x:v>
      </x:c>
      <x:c r="E207" t="str">
        <x:v>Cali</x:v>
      </x:c>
      <x:c r="F207" t="str">
        <x:v>Valle del Cauca</x:v>
      </x:c>
      <x:c r="G207" t="n">
        <x:v>40</x:v>
      </x:c>
      <x:c r="H207" t="str">
        <x:v>Entre $1,5 M y $3 M</x:v>
      </x:c>
      <x:c r="I207" t="str">
        <x:v>Referidos</x:v>
      </x:c>
      <x:c r="J207" t="n">
        <x:v>2</x:v>
      </x:c>
      <x:c r="K207" t="n">
        <x:v>0</x:v>
      </x:c>
      <x:c r="L207" t="n">
        <x:v>19505136.71</x:v>
      </x:c>
      <x:c r="M207" t="n">
        <x:v>231400</x:v>
      </x:c>
      <x:c r="N207" t="n">
        <x:v>1</x:v>
      </x:c>
      <x:c r="O207" t="n">
        <x:v>0</x:v>
      </x:c>
      <x:c r="P207" t="n">
        <x:v>4</x:v>
      </x:c>
    </x:row>
    <x:row r="208">
      <x:c r="A208" t="str">
        <x:v>2025-04</x:v>
      </x:c>
      <x:c r="B208" t="str">
        <x:v>USR-00029</x:v>
      </x:c>
      <x:c r="C208" t="str">
        <x:v>Cero</x:v>
      </x:c>
      <x:c r="D208" t="str">
        <x:v>Gratuita</x:v>
      </x:c>
      <x:c r="E208" t="str">
        <x:v>Manizales</x:v>
      </x:c>
      <x:c r="F208" t="str">
        <x:v>Caldas</x:v>
      </x:c>
      <x:c r="G208" t="n">
        <x:v>36</x:v>
      </x:c>
      <x:c r="H208" t="str">
        <x:v>Entre $1,5 M y $3 M</x:v>
      </x:c>
      <x:c r="I208" t="str">
        <x:v>Orgánico</x:v>
      </x:c>
      <x:c r="J208" t="n">
        <x:v>2</x:v>
      </x:c>
      <x:c r="K208" t="n">
        <x:v>0</x:v>
      </x:c>
      <x:c r="L208" t="n">
        <x:v>7298290.65</x:v>
      </x:c>
      <x:c r="M208" t="n">
        <x:v>0</x:v>
      </x:c>
      <x:c r="N208" t="n">
        <x:v>0</x:v>
      </x:c>
      <x:c r="O208" t="n">
        <x:v>0</x:v>
      </x:c>
      <x:c r="P208" t="n">
        <x:v>4</x:v>
      </x:c>
    </x:row>
    <x:row r="209">
      <x:c r="A209" t="str">
        <x:v>2025-04</x:v>
      </x:c>
      <x:c r="B209" t="str">
        <x:v>USR-00030</x:v>
      </x:c>
      <x:c r="C209" t="str">
        <x:v>Cero</x:v>
      </x:c>
      <x:c r="D209" t="str">
        <x:v>Gratuita</x:v>
      </x:c>
      <x:c r="E209" t="str">
        <x:v>Bogotá</x:v>
      </x:c>
      <x:c r="F209" t="str">
        <x:v>Bogotá D.C.</x:v>
      </x:c>
      <x:c r="G209" t="n">
        <x:v>41</x:v>
      </x:c>
      <x:c r="H209" t="str">
        <x:v>Entre $1,5 M y $3 M</x:v>
      </x:c>
      <x:c r="I209" t="str">
        <x:v>Alianzas</x:v>
      </x:c>
      <x:c r="J209" t="n">
        <x:v>1</x:v>
      </x:c>
      <x:c r="K209" t="n">
        <x:v>0</x:v>
      </x:c>
      <x:c r="L209" t="n">
        <x:v>5195596.79</x:v>
      </x:c>
      <x:c r="M209" t="n">
        <x:v>224500</x:v>
      </x:c>
      <x:c r="N209" t="n">
        <x:v>1</x:v>
      </x:c>
      <x:c r="O209" t="n">
        <x:v>0</x:v>
      </x:c>
      <x:c r="P209" t="n">
        <x:v>4</x:v>
      </x:c>
    </x:row>
    <x:row r="210">
      <x:c r="A210" t="str">
        <x:v>2025-04</x:v>
      </x:c>
      <x:c r="B210" t="str">
        <x:v>USR-00031</x:v>
      </x:c>
      <x:c r="C210" t="str">
        <x:v>Cero</x:v>
      </x:c>
      <x:c r="D210" t="str">
        <x:v>Gratuita</x:v>
      </x:c>
      <x:c r="E210" t="str">
        <x:v>Bucaramanga</x:v>
      </x:c>
      <x:c r="F210" t="str">
        <x:v>Santander</x:v>
      </x:c>
      <x:c r="G210" t="n">
        <x:v>63</x:v>
      </x:c>
      <x:c r="H210" t="str">
        <x:v>Entre $1,5 M y $3 M</x:v>
      </x:c>
      <x:c r="I210" t="str">
        <x:v>Redes sociales</x:v>
      </x:c>
      <x:c r="J210" t="n">
        <x:v>2</x:v>
      </x:c>
      <x:c r="K210" t="n">
        <x:v>0</x:v>
      </x:c>
      <x:c r="L210" t="n">
        <x:v>39497748.07</x:v>
      </x:c>
      <x:c r="M210" t="n">
        <x:v>945200</x:v>
      </x:c>
      <x:c r="N210" t="n">
        <x:v>1</x:v>
      </x:c>
      <x:c r="O210" t="n">
        <x:v>0</x:v>
      </x:c>
      <x:c r="P210" t="n">
        <x:v>4</x:v>
      </x:c>
    </x:row>
    <x:row r="211">
      <x:c r="A211" t="str">
        <x:v>2025-04</x:v>
      </x:c>
      <x:c r="B211" t="str">
        <x:v>USR-00032</x:v>
      </x:c>
      <x:c r="C211" t="str">
        <x:v>Cero</x:v>
      </x:c>
      <x:c r="D211" t="str">
        <x:v>Gratuita</x:v>
      </x:c>
      <x:c r="E211" t="str">
        <x:v>Manizales</x:v>
      </x:c>
      <x:c r="F211" t="str">
        <x:v>Caldas</x:v>
      </x:c>
      <x:c r="G211" t="n">
        <x:v>22</x:v>
      </x:c>
      <x:c r="H211" t="str">
        <x:v>Menos de $1,5 M</x:v>
      </x:c>
      <x:c r="I211" t="str">
        <x:v>Búsqueda paga</x:v>
      </x:c>
      <x:c r="J211" t="n">
        <x:v>2</x:v>
      </x:c>
      <x:c r="K211" t="n">
        <x:v>0</x:v>
      </x:c>
      <x:c r="L211" t="n">
        <x:v>19078753.9</x:v>
      </x:c>
      <x:c r="M211" t="n">
        <x:v>1401800</x:v>
      </x:c>
      <x:c r="N211" t="n">
        <x:v>2</x:v>
      </x:c>
      <x:c r="O211" t="n">
        <x:v>0</x:v>
      </x:c>
      <x:c r="P211" t="n">
        <x:v>3</x:v>
      </x:c>
    </x:row>
    <x:row r="212">
      <x:c r="A212" t="str">
        <x:v>2025-04</x:v>
      </x:c>
      <x:c r="B212" t="str">
        <x:v>USR-00033</x:v>
      </x:c>
      <x:c r="C212" t="str">
        <x:v>Cero</x:v>
      </x:c>
      <x:c r="D212" t="str">
        <x:v>Gratuita</x:v>
      </x:c>
      <x:c r="E212" t="str">
        <x:v>Medellín</x:v>
      </x:c>
      <x:c r="F212" t="str">
        <x:v>Antioquia</x:v>
      </x:c>
      <x:c r="G212" t="n">
        <x:v>39</x:v>
      </x:c>
      <x:c r="H212" t="str">
        <x:v>Entre $1,5 M y $3 M</x:v>
      </x:c>
      <x:c r="I212" t="str">
        <x:v>Referidos</x:v>
      </x:c>
      <x:c r="J212" t="n">
        <x:v>1</x:v>
      </x:c>
      <x:c r="K212" t="n">
        <x:v>0</x:v>
      </x:c>
      <x:c r="L212" t="n">
        <x:v>3264990.51</x:v>
      </x:c>
      <x:c r="M212" t="n">
        <x:v>0</x:v>
      </x:c>
      <x:c r="N212" t="n">
        <x:v>0</x:v>
      </x:c>
      <x:c r="O212" t="n">
        <x:v>0</x:v>
      </x:c>
      <x:c r="P212" t="n">
        <x:v>3</x:v>
      </x:c>
    </x:row>
    <x:row r="213">
      <x:c r="A213" t="str">
        <x:v>2025-04</x:v>
      </x:c>
      <x:c r="B213" t="str">
        <x:v>USR-00034</x:v>
      </x:c>
      <x:c r="C213" t="str">
        <x:v>Cero</x:v>
      </x:c>
      <x:c r="D213" t="str">
        <x:v>Gratuita</x:v>
      </x:c>
      <x:c r="E213" t="str">
        <x:v>Bogotá</x:v>
      </x:c>
      <x:c r="F213" t="str">
        <x:v>Bogotá D.C.</x:v>
      </x:c>
      <x:c r="G213" t="n">
        <x:v>59</x:v>
      </x:c>
      <x:c r="H213" t="str">
        <x:v>Entre $3 M y $5 M</x:v>
      </x:c>
      <x:c r="I213" t="str">
        <x:v>Referidos</x:v>
      </x:c>
      <x:c r="J213" t="n">
        <x:v>2</x:v>
      </x:c>
      <x:c r="K213" t="n">
        <x:v>0</x:v>
      </x:c>
      <x:c r="L213" t="n">
        <x:v>10235066.99</x:v>
      </x:c>
      <x:c r="M213" t="n">
        <x:v>413100</x:v>
      </x:c>
      <x:c r="N213" t="n">
        <x:v>2</x:v>
      </x:c>
      <x:c r="O213" t="n">
        <x:v>0</x:v>
      </x:c>
      <x:c r="P213" t="n">
        <x:v>3</x:v>
      </x:c>
    </x:row>
    <x:row r="214">
      <x:c r="A214" t="str">
        <x:v>2025-04</x:v>
      </x:c>
      <x:c r="B214" t="str">
        <x:v>USR-00035</x:v>
      </x:c>
      <x:c r="C214" t="str">
        <x:v>Cero</x:v>
      </x:c>
      <x:c r="D214" t="str">
        <x:v>Gratuita</x:v>
      </x:c>
      <x:c r="E214" t="str">
        <x:v>Bogotá</x:v>
      </x:c>
      <x:c r="F214" t="str">
        <x:v>Bogotá D.C.</x:v>
      </x:c>
      <x:c r="G214" t="n">
        <x:v>46</x:v>
      </x:c>
      <x:c r="H214" t="str">
        <x:v>Entre $1,5 M y $3 M</x:v>
      </x:c>
      <x:c r="I214" t="str">
        <x:v>Contenido educativo</x:v>
      </x:c>
      <x:c r="J214" t="n">
        <x:v>2</x:v>
      </x:c>
      <x:c r="K214" t="n">
        <x:v>0</x:v>
      </x:c>
      <x:c r="L214" t="n">
        <x:v>7621920.21</x:v>
      </x:c>
      <x:c r="M214" t="n">
        <x:v>102900</x:v>
      </x:c>
      <x:c r="N214" t="n">
        <x:v>1</x:v>
      </x:c>
      <x:c r="O214" t="n">
        <x:v>0</x:v>
      </x:c>
      <x:c r="P214" t="n">
        <x:v>3</x:v>
      </x:c>
    </x:row>
    <x:row r="215">
      <x:c r="A215" t="str">
        <x:v>2025-04</x:v>
      </x:c>
      <x:c r="B215" t="str">
        <x:v>USR-00036</x:v>
      </x:c>
      <x:c r="C215" t="str">
        <x:v>Cero</x:v>
      </x:c>
      <x:c r="D215" t="str">
        <x:v>Gratuita</x:v>
      </x:c>
      <x:c r="E215" t="str">
        <x:v>Medellín</x:v>
      </x:c>
      <x:c r="F215" t="str">
        <x:v>Antioquia</x:v>
      </x:c>
      <x:c r="G215" t="n">
        <x:v>51</x:v>
      </x:c>
      <x:c r="H215" t="str">
        <x:v>Menos de $1,5 M</x:v>
      </x:c>
      <x:c r="I215" t="str">
        <x:v>Redes sociales</x:v>
      </x:c>
      <x:c r="J215" t="n">
        <x:v>2</x:v>
      </x:c>
      <x:c r="K215" t="n">
        <x:v>0</x:v>
      </x:c>
      <x:c r="L215" t="n">
        <x:v>24087904.51</x:v>
      </x:c>
      <x:c r="M215" t="n">
        <x:v>994000</x:v>
      </x:c>
      <x:c r="N215" t="n">
        <x:v>2</x:v>
      </x:c>
      <x:c r="O215" t="n">
        <x:v>0</x:v>
      </x:c>
      <x:c r="P215" t="n">
        <x:v>3</x:v>
      </x:c>
    </x:row>
    <x:row r="216">
      <x:c r="A216" t="str">
        <x:v>2025-04</x:v>
      </x:c>
      <x:c r="B216" t="str">
        <x:v>USR-00037</x:v>
      </x:c>
      <x:c r="C216" t="str">
        <x:v>Cero</x:v>
      </x:c>
      <x:c r="D216" t="str">
        <x:v>Gratuita</x:v>
      </x:c>
      <x:c r="E216" t="str">
        <x:v>Bogotá</x:v>
      </x:c>
      <x:c r="F216" t="str">
        <x:v>Bogotá D.C.</x:v>
      </x:c>
      <x:c r="G216" t="n">
        <x:v>20</x:v>
      </x:c>
      <x:c r="H216" t="str">
        <x:v>Menos de $1,5 M</x:v>
      </x:c>
      <x:c r="I216" t="str">
        <x:v>Alianzas</x:v>
      </x:c>
      <x:c r="J216" t="n">
        <x:v>2</x:v>
      </x:c>
      <x:c r="K216" t="n">
        <x:v>0</x:v>
      </x:c>
      <x:c r="L216" t="n">
        <x:v>12154598.01</x:v>
      </x:c>
      <x:c r="M216" t="n">
        <x:v>572500</x:v>
      </x:c>
      <x:c r="N216" t="n">
        <x:v>2</x:v>
      </x:c>
      <x:c r="O216" t="n">
        <x:v>0</x:v>
      </x:c>
      <x:c r="P216" t="n">
        <x:v>3</x:v>
      </x:c>
    </x:row>
    <x:row r="217">
      <x:c r="A217" t="str">
        <x:v>2025-04</x:v>
      </x:c>
      <x:c r="B217" t="str">
        <x:v>USR-00038</x:v>
      </x:c>
      <x:c r="C217" t="str">
        <x:v>Plus anual</x:v>
      </x:c>
      <x:c r="D217" t="str">
        <x:v>Pago</x:v>
      </x:c>
      <x:c r="E217" t="str">
        <x:v>Medellín</x:v>
      </x:c>
      <x:c r="F217" t="str">
        <x:v>Antioquia</x:v>
      </x:c>
      <x:c r="G217" t="n">
        <x:v>64</x:v>
      </x:c>
      <x:c r="H217" t="str">
        <x:v>Entre $1,5 M y $3 M</x:v>
      </x:c>
      <x:c r="I217" t="str">
        <x:v>Orgánico</x:v>
      </x:c>
      <x:c r="J217" t="n">
        <x:v>2</x:v>
      </x:c>
      <x:c r="K217" t="n">
        <x:v>0</x:v>
      </x:c>
      <x:c r="L217" t="n">
        <x:v>32380562.26</x:v>
      </x:c>
      <x:c r="M217" t="n">
        <x:v>1569900</x:v>
      </x:c>
      <x:c r="N217" t="n">
        <x:v>2</x:v>
      </x:c>
      <x:c r="O217" t="n">
        <x:v>24916.67</x:v>
      </x:c>
      <x:c r="P217" t="n">
        <x:v>3</x:v>
      </x:c>
    </x:row>
    <x:row r="218">
      <x:c r="A218" t="str">
        <x:v>2025-04</x:v>
      </x:c>
      <x:c r="B218" t="str">
        <x:v>USR-00039</x:v>
      </x:c>
      <x:c r="C218" t="str">
        <x:v>Cero</x:v>
      </x:c>
      <x:c r="D218" t="str">
        <x:v>Gratuita</x:v>
      </x:c>
      <x:c r="E218" t="str">
        <x:v>Bogotá</x:v>
      </x:c>
      <x:c r="F218" t="str">
        <x:v>Bogotá D.C.</x:v>
      </x:c>
      <x:c r="G218" t="n">
        <x:v>56</x:v>
      </x:c>
      <x:c r="H218" t="str">
        <x:v>Entre $3 M y $5 M</x:v>
      </x:c>
      <x:c r="I218" t="str">
        <x:v>Orgánico</x:v>
      </x:c>
      <x:c r="J218" t="n">
        <x:v>2</x:v>
      </x:c>
      <x:c r="K218" t="n">
        <x:v>0</x:v>
      </x:c>
      <x:c r="L218" t="n">
        <x:v>27405718.86</x:v>
      </x:c>
      <x:c r="M218" t="n">
        <x:v>1239600</x:v>
      </x:c>
      <x:c r="N218" t="n">
        <x:v>1</x:v>
      </x:c>
      <x:c r="O218" t="n">
        <x:v>0</x:v>
      </x:c>
      <x:c r="P218" t="n">
        <x:v>3</x:v>
      </x:c>
    </x:row>
    <x:row r="219">
      <x:c r="A219" t="str">
        <x:v>2025-04</x:v>
      </x:c>
      <x:c r="B219" t="str">
        <x:v>USR-00040</x:v>
      </x:c>
      <x:c r="C219" t="str">
        <x:v>Cero</x:v>
      </x:c>
      <x:c r="D219" t="str">
        <x:v>Gratuita</x:v>
      </x:c>
      <x:c r="E219" t="str">
        <x:v>Bucaramanga</x:v>
      </x:c>
      <x:c r="F219" t="str">
        <x:v>Santander</x:v>
      </x:c>
      <x:c r="G219" t="n">
        <x:v>51</x:v>
      </x:c>
      <x:c r="H219" t="str">
        <x:v>Entre $3 M y $5 M</x:v>
      </x:c>
      <x:c r="I219" t="str">
        <x:v>Búsqueda paga</x:v>
      </x:c>
      <x:c r="J219" t="n">
        <x:v>2</x:v>
      </x:c>
      <x:c r="K219" t="n">
        <x:v>0</x:v>
      </x:c>
      <x:c r="L219" t="n">
        <x:v>26450068.09</x:v>
      </x:c>
      <x:c r="M219" t="n">
        <x:v>755000</x:v>
      </x:c>
      <x:c r="N219" t="n">
        <x:v>1</x:v>
      </x:c>
      <x:c r="O219" t="n">
        <x:v>0</x:v>
      </x:c>
      <x:c r="P219" t="n">
        <x:v>3</x:v>
      </x:c>
    </x:row>
    <x:row r="220">
      <x:c r="A220" t="str">
        <x:v>2025-04</x:v>
      </x:c>
      <x:c r="B220" t="str">
        <x:v>USR-00041</x:v>
      </x:c>
      <x:c r="C220" t="str">
        <x:v>Cero</x:v>
      </x:c>
      <x:c r="D220" t="str">
        <x:v>Gratuita</x:v>
      </x:c>
      <x:c r="E220" t="str">
        <x:v>Bogotá</x:v>
      </x:c>
      <x:c r="F220" t="str">
        <x:v>Bogotá D.C.</x:v>
      </x:c>
      <x:c r="G220" t="n">
        <x:v>36</x:v>
      </x:c>
      <x:c r="H220" t="str">
        <x:v>Entre $1,5 M y $3 M</x:v>
      </x:c>
      <x:c r="I220" t="str">
        <x:v>Orgánico</x:v>
      </x:c>
      <x:c r="J220" t="n">
        <x:v>1</x:v>
      </x:c>
      <x:c r="K220" t="n">
        <x:v>0</x:v>
      </x:c>
      <x:c r="L220" t="n">
        <x:v>18171209.28</x:v>
      </x:c>
      <x:c r="M220" t="n">
        <x:v>2196000</x:v>
      </x:c>
      <x:c r="N220" t="n">
        <x:v>1</x:v>
      </x:c>
      <x:c r="O220" t="n">
        <x:v>0</x:v>
      </x:c>
      <x:c r="P220" t="n">
        <x:v>3</x:v>
      </x:c>
    </x:row>
    <x:row r="221">
      <x:c r="A221" t="str">
        <x:v>2025-04</x:v>
      </x:c>
      <x:c r="B221" t="str">
        <x:v>USR-00042</x:v>
      </x:c>
      <x:c r="C221" t="str">
        <x:v>Cero</x:v>
      </x:c>
      <x:c r="D221" t="str">
        <x:v>Gratuita</x:v>
      </x:c>
      <x:c r="E221" t="str">
        <x:v>Bogotá</x:v>
      </x:c>
      <x:c r="F221" t="str">
        <x:v>Bogotá D.C.</x:v>
      </x:c>
      <x:c r="G221" t="n">
        <x:v>55</x:v>
      </x:c>
      <x:c r="H221" t="str">
        <x:v>Menos de $1,5 M</x:v>
      </x:c>
      <x:c r="I221" t="str">
        <x:v>Redes sociales</x:v>
      </x:c>
      <x:c r="J221" t="n">
        <x:v>2</x:v>
      </x:c>
      <x:c r="K221" t="n">
        <x:v>0</x:v>
      </x:c>
      <x:c r="L221" t="n">
        <x:v>8849861.33</x:v>
      </x:c>
      <x:c r="M221" t="n">
        <x:v>318400</x:v>
      </x:c>
      <x:c r="N221" t="n">
        <x:v>2</x:v>
      </x:c>
      <x:c r="O221" t="n">
        <x:v>0</x:v>
      </x:c>
      <x:c r="P221" t="n">
        <x:v>3</x:v>
      </x:c>
    </x:row>
    <x:row r="222">
      <x:c r="A222" t="str">
        <x:v>2025-04</x:v>
      </x:c>
      <x:c r="B222" t="str">
        <x:v>USR-00043</x:v>
      </x:c>
      <x:c r="C222" t="str">
        <x:v>Cero</x:v>
      </x:c>
      <x:c r="D222" t="str">
        <x:v>Gratuita</x:v>
      </x:c>
      <x:c r="E222" t="str">
        <x:v>Cali</x:v>
      </x:c>
      <x:c r="F222" t="str">
        <x:v>Valle del Cauca</x:v>
      </x:c>
      <x:c r="G222" t="n">
        <x:v>23</x:v>
      </x:c>
      <x:c r="H222" t="str">
        <x:v>Entre $3 M y $5 M</x:v>
      </x:c>
      <x:c r="I222" t="str">
        <x:v>Contenido educativo</x:v>
      </x:c>
      <x:c r="J222" t="n">
        <x:v>2</x:v>
      </x:c>
      <x:c r="K222" t="n">
        <x:v>0</x:v>
      </x:c>
      <x:c r="L222" t="n">
        <x:v>26866953.07</x:v>
      </x:c>
      <x:c r="M222" t="n">
        <x:v>889700</x:v>
      </x:c>
      <x:c r="N222" t="n">
        <x:v>2</x:v>
      </x:c>
      <x:c r="O222" t="n">
        <x:v>0</x:v>
      </x:c>
      <x:c r="P222" t="n">
        <x:v>3</x:v>
      </x:c>
    </x:row>
    <x:row r="223">
      <x:c r="A223" t="str">
        <x:v>2025-04</x:v>
      </x:c>
      <x:c r="B223" t="str">
        <x:v>USR-00044</x:v>
      </x:c>
      <x:c r="C223" t="str">
        <x:v>Cero</x:v>
      </x:c>
      <x:c r="D223" t="str">
        <x:v>Gratuita</x:v>
      </x:c>
      <x:c r="E223" t="str">
        <x:v>Barranquilla</x:v>
      </x:c>
      <x:c r="F223" t="str">
        <x:v>Atlántico</x:v>
      </x:c>
      <x:c r="G223" t="n">
        <x:v>62</x:v>
      </x:c>
      <x:c r="H223" t="str">
        <x:v>Más de $5 M</x:v>
      </x:c>
      <x:c r="I223" t="str">
        <x:v>Referidos</x:v>
      </x:c>
      <x:c r="J223" t="n">
        <x:v>2</x:v>
      </x:c>
      <x:c r="K223" t="n">
        <x:v>0</x:v>
      </x:c>
      <x:c r="L223" t="n">
        <x:v>31333350.98</x:v>
      </x:c>
      <x:c r="M223" t="n">
        <x:v>1124200</x:v>
      </x:c>
      <x:c r="N223" t="n">
        <x:v>2</x:v>
      </x:c>
      <x:c r="O223" t="n">
        <x:v>0</x:v>
      </x:c>
      <x:c r="P223" t="n">
        <x:v>3</x:v>
      </x:c>
    </x:row>
    <x:row r="224">
      <x:c r="A224" t="str">
        <x:v>2025-04</x:v>
      </x:c>
      <x:c r="B224" t="str">
        <x:v>USR-00045</x:v>
      </x:c>
      <x:c r="C224" t="str">
        <x:v>Cero</x:v>
      </x:c>
      <x:c r="D224" t="str">
        <x:v>Gratuita</x:v>
      </x:c>
      <x:c r="E224" t="str">
        <x:v>Bogotá</x:v>
      </x:c>
      <x:c r="F224" t="str">
        <x:v>Bogotá D.C.</x:v>
      </x:c>
      <x:c r="G224" t="n">
        <x:v>39</x:v>
      </x:c>
      <x:c r="H224" t="str">
        <x:v>Entre $3 M y $5 M</x:v>
      </x:c>
      <x:c r="I224" t="str">
        <x:v>Orgánico</x:v>
      </x:c>
      <x:c r="J224" t="n">
        <x:v>1</x:v>
      </x:c>
      <x:c r="K224" t="n">
        <x:v>0</x:v>
      </x:c>
      <x:c r="L224" t="n">
        <x:v>8919914.41</x:v>
      </x:c>
      <x:c r="M224" t="n">
        <x:v>0</x:v>
      </x:c>
      <x:c r="N224" t="n">
        <x:v>0</x:v>
      </x:c>
      <x:c r="O224" t="n">
        <x:v>0</x:v>
      </x:c>
      <x:c r="P224" t="n">
        <x:v>3</x:v>
      </x:c>
    </x:row>
    <x:row r="225">
      <x:c r="A225" t="str">
        <x:v>2025-04</x:v>
      </x:c>
      <x:c r="B225" t="str">
        <x:v>USR-00046</x:v>
      </x:c>
      <x:c r="C225" t="str">
        <x:v>Cero</x:v>
      </x:c>
      <x:c r="D225" t="str">
        <x:v>Gratuita</x:v>
      </x:c>
      <x:c r="E225" t="str">
        <x:v>Bucaramanga</x:v>
      </x:c>
      <x:c r="F225" t="str">
        <x:v>Santander</x:v>
      </x:c>
      <x:c r="G225" t="n">
        <x:v>46</x:v>
      </x:c>
      <x:c r="H225" t="str">
        <x:v>Más de $5 M</x:v>
      </x:c>
      <x:c r="I225" t="str">
        <x:v>Orgánico</x:v>
      </x:c>
      <x:c r="J225" t="n">
        <x:v>1</x:v>
      </x:c>
      <x:c r="K225" t="n">
        <x:v>0</x:v>
      </x:c>
      <x:c r="L225" t="n">
        <x:v>7055442.72</x:v>
      </x:c>
      <x:c r="M225" t="n">
        <x:v>261400</x:v>
      </x:c>
      <x:c r="N225" t="n">
        <x:v>1</x:v>
      </x:c>
      <x:c r="O225" t="n">
        <x:v>0</x:v>
      </x:c>
      <x:c r="P225" t="n">
        <x:v>3</x:v>
      </x:c>
    </x:row>
    <x:row r="226">
      <x:c r="A226" t="str">
        <x:v>2025-04</x:v>
      </x:c>
      <x:c r="B226" t="str">
        <x:v>USR-00047</x:v>
      </x:c>
      <x:c r="C226" t="str">
        <x:v>Cero</x:v>
      </x:c>
      <x:c r="D226" t="str">
        <x:v>Gratuita</x:v>
      </x:c>
      <x:c r="E226" t="str">
        <x:v>Bogotá</x:v>
      </x:c>
      <x:c r="F226" t="str">
        <x:v>Bogotá D.C.</x:v>
      </x:c>
      <x:c r="G226" t="n">
        <x:v>21</x:v>
      </x:c>
      <x:c r="H226" t="str">
        <x:v>Menos de $1,5 M</x:v>
      </x:c>
      <x:c r="I226" t="str">
        <x:v>Alianzas</x:v>
      </x:c>
      <x:c r="J226" t="n">
        <x:v>2</x:v>
      </x:c>
      <x:c r="K226" t="n">
        <x:v>0</x:v>
      </x:c>
      <x:c r="L226" t="n">
        <x:v>10928169.74</x:v>
      </x:c>
      <x:c r="M226" t="n">
        <x:v>165500</x:v>
      </x:c>
      <x:c r="N226" t="n">
        <x:v>1</x:v>
      </x:c>
      <x:c r="O226" t="n">
        <x:v>0</x:v>
      </x:c>
      <x:c r="P226" t="n">
        <x:v>3</x:v>
      </x:c>
    </x:row>
    <x:row r="227">
      <x:c r="A227" t="str">
        <x:v>2025-04</x:v>
      </x:c>
      <x:c r="B227" t="str">
        <x:v>USR-00048</x:v>
      </x:c>
      <x:c r="C227" t="str">
        <x:v>Cero</x:v>
      </x:c>
      <x:c r="D227" t="str">
        <x:v>Gratuita</x:v>
      </x:c>
      <x:c r="E227" t="str">
        <x:v>Bucaramanga</x:v>
      </x:c>
      <x:c r="F227" t="str">
        <x:v>Santander</x:v>
      </x:c>
      <x:c r="G227" t="n">
        <x:v>51</x:v>
      </x:c>
      <x:c r="H227" t="str">
        <x:v>Entre $1,5 M y $3 M</x:v>
      </x:c>
      <x:c r="I227" t="str">
        <x:v>Redes sociales</x:v>
      </x:c>
      <x:c r="J227" t="n">
        <x:v>2</x:v>
      </x:c>
      <x:c r="K227" t="n">
        <x:v>0</x:v>
      </x:c>
      <x:c r="L227" t="n">
        <x:v>38508539.92</x:v>
      </x:c>
      <x:c r="M227" t="n">
        <x:v>1538800</x:v>
      </x:c>
      <x:c r="N227" t="n">
        <x:v>2</x:v>
      </x:c>
      <x:c r="O227" t="n">
        <x:v>0</x:v>
      </x:c>
      <x:c r="P227" t="n">
        <x:v>3</x:v>
      </x:c>
    </x:row>
    <x:row r="228">
      <x:c r="A228" t="str">
        <x:v>2025-04</x:v>
      </x:c>
      <x:c r="B228" t="str">
        <x:v>USR-00049</x:v>
      </x:c>
      <x:c r="C228" t="str">
        <x:v>Cero</x:v>
      </x:c>
      <x:c r="D228" t="str">
        <x:v>Gratuita</x:v>
      </x:c>
      <x:c r="E228" t="str">
        <x:v>Bogotá</x:v>
      </x:c>
      <x:c r="F228" t="str">
        <x:v>Bogotá D.C.</x:v>
      </x:c>
      <x:c r="G228" t="n">
        <x:v>53</x:v>
      </x:c>
      <x:c r="H228" t="str">
        <x:v>Entre $1,5 M y $3 M</x:v>
      </x:c>
      <x:c r="I228" t="str">
        <x:v>Búsqueda paga</x:v>
      </x:c>
      <x:c r="J228" t="n">
        <x:v>1</x:v>
      </x:c>
      <x:c r="K228" t="n">
        <x:v>0</x:v>
      </x:c>
      <x:c r="L228" t="n">
        <x:v>19749584.01</x:v>
      </x:c>
      <x:c r="M228" t="n">
        <x:v>664900</x:v>
      </x:c>
      <x:c r="N228" t="n">
        <x:v>1</x:v>
      </x:c>
      <x:c r="O228" t="n">
        <x:v>0</x:v>
      </x:c>
      <x:c r="P228" t="n">
        <x:v>3</x:v>
      </x:c>
    </x:row>
    <x:row r="229">
      <x:c r="A229" t="str">
        <x:v>2025-04</x:v>
      </x:c>
      <x:c r="B229" t="str">
        <x:v>USR-00050</x:v>
      </x:c>
      <x:c r="C229" t="str">
        <x:v>Cero</x:v>
      </x:c>
      <x:c r="D229" t="str">
        <x:v>Gratuita</x:v>
      </x:c>
      <x:c r="E229" t="str">
        <x:v>Medellín</x:v>
      </x:c>
      <x:c r="F229" t="str">
        <x:v>Antioquia</x:v>
      </x:c>
      <x:c r="G229" t="n">
        <x:v>62</x:v>
      </x:c>
      <x:c r="H229" t="str">
        <x:v>Entre $1,5 M y $3 M</x:v>
      </x:c>
      <x:c r="I229" t="str">
        <x:v>Referidos</x:v>
      </x:c>
      <x:c r="J229" t="n">
        <x:v>1</x:v>
      </x:c>
      <x:c r="K229" t="n">
        <x:v>0</x:v>
      </x:c>
      <x:c r="L229" t="n">
        <x:v>3766041.99</x:v>
      </x:c>
      <x:c r="M229" t="n">
        <x:v>192000</x:v>
      </x:c>
      <x:c r="N229" t="n">
        <x:v>1</x:v>
      </x:c>
      <x:c r="O229" t="n">
        <x:v>0</x:v>
      </x:c>
      <x:c r="P229" t="n">
        <x:v>3</x:v>
      </x:c>
    </x:row>
    <x:row r="230">
      <x:c r="A230" t="str">
        <x:v>2025-04</x:v>
      </x:c>
      <x:c r="B230" t="str">
        <x:v>USR-00051</x:v>
      </x:c>
      <x:c r="C230" t="str">
        <x:v>Plus mensual</x:v>
      </x:c>
      <x:c r="D230" t="str">
        <x:v>Pago</x:v>
      </x:c>
      <x:c r="E230" t="str">
        <x:v>Bogotá</x:v>
      </x:c>
      <x:c r="F230" t="str">
        <x:v>Bogotá D.C.</x:v>
      </x:c>
      <x:c r="G230" t="n">
        <x:v>58</x:v>
      </x:c>
      <x:c r="H230" t="str">
        <x:v>Más de $5 M</x:v>
      </x:c>
      <x:c r="I230" t="str">
        <x:v>Referidos</x:v>
      </x:c>
      <x:c r="J230" t="n">
        <x:v>5</x:v>
      </x:c>
      <x:c r="K230" t="n">
        <x:v>0</x:v>
      </x:c>
      <x:c r="L230" t="n">
        <x:v>38100636.49</x:v>
      </x:c>
      <x:c r="M230" t="n">
        <x:v>1483700</x:v>
      </x:c>
      <x:c r="N230" t="n">
        <x:v>3</x:v>
      </x:c>
      <x:c r="O230" t="n">
        <x:v>29900</x:v>
      </x:c>
      <x:c r="P230" t="n">
        <x:v>3</x:v>
      </x:c>
    </x:row>
    <x:row r="231">
      <x:c r="A231" t="str">
        <x:v>2025-04</x:v>
      </x:c>
      <x:c r="B231" t="str">
        <x:v>USR-00052</x:v>
      </x:c>
      <x:c r="C231" t="str">
        <x:v>Cero</x:v>
      </x:c>
      <x:c r="D231" t="str">
        <x:v>Gratuita</x:v>
      </x:c>
      <x:c r="E231" t="str">
        <x:v>Barranquilla</x:v>
      </x:c>
      <x:c r="F231" t="str">
        <x:v>Atlántico</x:v>
      </x:c>
      <x:c r="G231" t="n">
        <x:v>29</x:v>
      </x:c>
      <x:c r="H231" t="str">
        <x:v>Entre $1,5 M y $3 M</x:v>
      </x:c>
      <x:c r="I231" t="str">
        <x:v>Alianzas</x:v>
      </x:c>
      <x:c r="J231" t="n">
        <x:v>1</x:v>
      </x:c>
      <x:c r="K231" t="n">
        <x:v>0</x:v>
      </x:c>
      <x:c r="L231" t="n">
        <x:v>20791422.09</x:v>
      </x:c>
      <x:c r="M231" t="n">
        <x:v>0</x:v>
      </x:c>
      <x:c r="N231" t="n">
        <x:v>0</x:v>
      </x:c>
      <x:c r="O231" t="n">
        <x:v>0</x:v>
      </x:c>
      <x:c r="P231" t="n">
        <x:v>3</x:v>
      </x:c>
    </x:row>
    <x:row r="232">
      <x:c r="A232" t="str">
        <x:v>2025-04</x:v>
      </x:c>
      <x:c r="B232" t="str">
        <x:v>USR-00053</x:v>
      </x:c>
      <x:c r="C232" t="str">
        <x:v>Plus mensual</x:v>
      </x:c>
      <x:c r="D232" t="str">
        <x:v>Pago</x:v>
      </x:c>
      <x:c r="E232" t="str">
        <x:v>Bogotá</x:v>
      </x:c>
      <x:c r="F232" t="str">
        <x:v>Bogotá D.C.</x:v>
      </x:c>
      <x:c r="G232" t="n">
        <x:v>51</x:v>
      </x:c>
      <x:c r="H232" t="str">
        <x:v>Menos de $1,5 M</x:v>
      </x:c>
      <x:c r="I232" t="str">
        <x:v>Orgánico</x:v>
      </x:c>
      <x:c r="J232" t="n">
        <x:v>4</x:v>
      </x:c>
      <x:c r="K232" t="n">
        <x:v>0</x:v>
      </x:c>
      <x:c r="L232" t="n">
        <x:v>15746578.75</x:v>
      </x:c>
      <x:c r="M232" t="n">
        <x:v>818700</x:v>
      </x:c>
      <x:c r="N232" t="n">
        <x:v>3</x:v>
      </x:c>
      <x:c r="O232" t="n">
        <x:v>29900</x:v>
      </x:c>
      <x:c r="P232" t="n">
        <x:v>3</x:v>
      </x:c>
    </x:row>
    <x:row r="233">
      <x:c r="A233" t="str">
        <x:v>2025-04</x:v>
      </x:c>
      <x:c r="B233" t="str">
        <x:v>USR-00054</x:v>
      </x:c>
      <x:c r="C233" t="str">
        <x:v>Plus mensual</x:v>
      </x:c>
      <x:c r="D233" t="str">
        <x:v>Pago</x:v>
      </x:c>
      <x:c r="E233" t="str">
        <x:v>Bogotá</x:v>
      </x:c>
      <x:c r="F233" t="str">
        <x:v>Bogotá D.C.</x:v>
      </x:c>
      <x:c r="G233" t="n">
        <x:v>21</x:v>
      </x:c>
      <x:c r="H233" t="str">
        <x:v>Entre $1,5 M y $3 M</x:v>
      </x:c>
      <x:c r="I233" t="str">
        <x:v>Redes sociales</x:v>
      </x:c>
      <x:c r="J233" t="n">
        <x:v>4</x:v>
      </x:c>
      <x:c r="K233" t="n">
        <x:v>0</x:v>
      </x:c>
      <x:c r="L233" t="n">
        <x:v>46906933.89</x:v>
      </x:c>
      <x:c r="M233" t="n">
        <x:v>4442400</x:v>
      </x:c>
      <x:c r="N233" t="n">
        <x:v>3</x:v>
      </x:c>
      <x:c r="O233" t="n">
        <x:v>29900</x:v>
      </x:c>
      <x:c r="P233" t="n">
        <x:v>3</x:v>
      </x:c>
    </x:row>
    <x:row r="234">
      <x:c r="A234" t="str">
        <x:v>2025-04</x:v>
      </x:c>
      <x:c r="B234" t="str">
        <x:v>USR-00055</x:v>
      </x:c>
      <x:c r="C234" t="str">
        <x:v>Cero</x:v>
      </x:c>
      <x:c r="D234" t="str">
        <x:v>Gratuita</x:v>
      </x:c>
      <x:c r="E234" t="str">
        <x:v>Barranquilla</x:v>
      </x:c>
      <x:c r="F234" t="str">
        <x:v>Atlántico</x:v>
      </x:c>
      <x:c r="G234" t="n">
        <x:v>45</x:v>
      </x:c>
      <x:c r="H234" t="str">
        <x:v>Entre $3 M y $5 M</x:v>
      </x:c>
      <x:c r="I234" t="str">
        <x:v>Redes sociales</x:v>
      </x:c>
      <x:c r="J234" t="n">
        <x:v>2</x:v>
      </x:c>
      <x:c r="K234" t="n">
        <x:v>0</x:v>
      </x:c>
      <x:c r="L234" t="n">
        <x:v>13536085.12</x:v>
      </x:c>
      <x:c r="M234" t="n">
        <x:v>0</x:v>
      </x:c>
      <x:c r="N234" t="n">
        <x:v>0</x:v>
      </x:c>
      <x:c r="O234" t="n">
        <x:v>0</x:v>
      </x:c>
      <x:c r="P234" t="n">
        <x:v>3</x:v>
      </x:c>
    </x:row>
    <x:row r="235">
      <x:c r="A235" t="str">
        <x:v>2025-04</x:v>
      </x:c>
      <x:c r="B235" t="str">
        <x:v>USR-00056</x:v>
      </x:c>
      <x:c r="C235" t="str">
        <x:v>Cero</x:v>
      </x:c>
      <x:c r="D235" t="str">
        <x:v>Gratuita</x:v>
      </x:c>
      <x:c r="E235" t="str">
        <x:v>Bogotá</x:v>
      </x:c>
      <x:c r="F235" t="str">
        <x:v>Bogotá D.C.</x:v>
      </x:c>
      <x:c r="G235" t="n">
        <x:v>64</x:v>
      </x:c>
      <x:c r="H235" t="str">
        <x:v>Entre $1,5 M y $3 M</x:v>
      </x:c>
      <x:c r="I235" t="str">
        <x:v>Redes sociales</x:v>
      </x:c>
      <x:c r="J235" t="n">
        <x:v>1</x:v>
      </x:c>
      <x:c r="K235" t="n">
        <x:v>0</x:v>
      </x:c>
      <x:c r="L235" t="n">
        <x:v>2749737.17</x:v>
      </x:c>
      <x:c r="M235" t="n">
        <x:v>95400</x:v>
      </x:c>
      <x:c r="N235" t="n">
        <x:v>1</x:v>
      </x:c>
      <x:c r="O235" t="n">
        <x:v>0</x:v>
      </x:c>
      <x:c r="P235" t="n">
        <x:v>2</x:v>
      </x:c>
    </x:row>
    <x:row r="236">
      <x:c r="A236" t="str">
        <x:v>2025-04</x:v>
      </x:c>
      <x:c r="B236" t="str">
        <x:v>USR-00057</x:v>
      </x:c>
      <x:c r="C236" t="str">
        <x:v>Cero</x:v>
      </x:c>
      <x:c r="D236" t="str">
        <x:v>Gratuita</x:v>
      </x:c>
      <x:c r="E236" t="str">
        <x:v>Bogotá</x:v>
      </x:c>
      <x:c r="F236" t="str">
        <x:v>Bogotá D.C.</x:v>
      </x:c>
      <x:c r="G236" t="n">
        <x:v>27</x:v>
      </x:c>
      <x:c r="H236" t="str">
        <x:v>Entre $1,5 M y $3 M</x:v>
      </x:c>
      <x:c r="I236" t="str">
        <x:v>Orgánico</x:v>
      </x:c>
      <x:c r="J236" t="n">
        <x:v>2</x:v>
      </x:c>
      <x:c r="K236" t="n">
        <x:v>0</x:v>
      </x:c>
      <x:c r="L236" t="n">
        <x:v>78353170.76</x:v>
      </x:c>
      <x:c r="M236" t="n">
        <x:v>2141300</x:v>
      </x:c>
      <x:c r="N236" t="n">
        <x:v>1</x:v>
      </x:c>
      <x:c r="O236" t="n">
        <x:v>0</x:v>
      </x:c>
      <x:c r="P236" t="n">
        <x:v>2</x:v>
      </x:c>
    </x:row>
    <x:row r="237">
      <x:c r="A237" t="str">
        <x:v>2025-04</x:v>
      </x:c>
      <x:c r="B237" t="str">
        <x:v>USR-00058</x:v>
      </x:c>
      <x:c r="C237" t="str">
        <x:v>Cero</x:v>
      </x:c>
      <x:c r="D237" t="str">
        <x:v>Gratuita</x:v>
      </x:c>
      <x:c r="E237" t="str">
        <x:v>Bucaramanga</x:v>
      </x:c>
      <x:c r="F237" t="str">
        <x:v>Santander</x:v>
      </x:c>
      <x:c r="G237" t="n">
        <x:v>34</x:v>
      </x:c>
      <x:c r="H237" t="str">
        <x:v>Entre $1,5 M y $3 M</x:v>
      </x:c>
      <x:c r="I237" t="str">
        <x:v>Orgánico</x:v>
      </x:c>
      <x:c r="J237" t="n">
        <x:v>2</x:v>
      </x:c>
      <x:c r="K237" t="n">
        <x:v>0</x:v>
      </x:c>
      <x:c r="L237" t="n">
        <x:v>21110183.7</x:v>
      </x:c>
      <x:c r="M237" t="n">
        <x:v>760300</x:v>
      </x:c>
      <x:c r="N237" t="n">
        <x:v>1</x:v>
      </x:c>
      <x:c r="O237" t="n">
        <x:v>0</x:v>
      </x:c>
      <x:c r="P237" t="n">
        <x:v>2</x:v>
      </x:c>
    </x:row>
    <x:row r="238">
      <x:c r="A238" t="str">
        <x:v>2025-04</x:v>
      </x:c>
      <x:c r="B238" t="str">
        <x:v>USR-00059</x:v>
      </x:c>
      <x:c r="C238" t="str">
        <x:v>Cero</x:v>
      </x:c>
      <x:c r="D238" t="str">
        <x:v>Gratuita</x:v>
      </x:c>
      <x:c r="E238" t="str">
        <x:v>Villavicencio</x:v>
      </x:c>
      <x:c r="F238" t="str">
        <x:v>Meta</x:v>
      </x:c>
      <x:c r="G238" t="n">
        <x:v>40</x:v>
      </x:c>
      <x:c r="H238" t="str">
        <x:v>Entre $1,5 M y $3 M</x:v>
      </x:c>
      <x:c r="I238" t="str">
        <x:v>Redes sociales</x:v>
      </x:c>
      <x:c r="J238" t="n">
        <x:v>2</x:v>
      </x:c>
      <x:c r="K238" t="n">
        <x:v>0</x:v>
      </x:c>
      <x:c r="L238" t="n">
        <x:v>51307007.38</x:v>
      </x:c>
      <x:c r="M238" t="n">
        <x:v>271700</x:v>
      </x:c>
      <x:c r="N238" t="n">
        <x:v>1</x:v>
      </x:c>
      <x:c r="O238" t="n">
        <x:v>0</x:v>
      </x:c>
      <x:c r="P238" t="n">
        <x:v>2</x:v>
      </x:c>
    </x:row>
    <x:row r="239">
      <x:c r="A239" t="str">
        <x:v>2025-04</x:v>
      </x:c>
      <x:c r="B239" t="str">
        <x:v>USR-00060</x:v>
      </x:c>
      <x:c r="C239" t="str">
        <x:v>Cero</x:v>
      </x:c>
      <x:c r="D239" t="str">
        <x:v>Gratuita</x:v>
      </x:c>
      <x:c r="E239" t="str">
        <x:v>Barranquilla</x:v>
      </x:c>
      <x:c r="F239" t="str">
        <x:v>Atlántico</x:v>
      </x:c>
      <x:c r="G239" t="n">
        <x:v>55</x:v>
      </x:c>
      <x:c r="H239" t="str">
        <x:v>Menos de $1,5 M</x:v>
      </x:c>
      <x:c r="I239" t="str">
        <x:v>Referidos</x:v>
      </x:c>
      <x:c r="J239" t="n">
        <x:v>2</x:v>
      </x:c>
      <x:c r="K239" t="n">
        <x:v>0</x:v>
      </x:c>
      <x:c r="L239" t="n">
        <x:v>22755340.57</x:v>
      </x:c>
      <x:c r="M239" t="n">
        <x:v>1221900</x:v>
      </x:c>
      <x:c r="N239" t="n">
        <x:v>1</x:v>
      </x:c>
      <x:c r="O239" t="n">
        <x:v>0</x:v>
      </x:c>
      <x:c r="P239" t="n">
        <x:v>2</x:v>
      </x:c>
    </x:row>
    <x:row r="240">
      <x:c r="A240" t="str">
        <x:v>2025-04</x:v>
      </x:c>
      <x:c r="B240" t="str">
        <x:v>USR-00061</x:v>
      </x:c>
      <x:c r="C240" t="str">
        <x:v>Cero</x:v>
      </x:c>
      <x:c r="D240" t="str">
        <x:v>Gratuita</x:v>
      </x:c>
      <x:c r="E240" t="str">
        <x:v>Manizales</x:v>
      </x:c>
      <x:c r="F240" t="str">
        <x:v>Caldas</x:v>
      </x:c>
      <x:c r="G240" t="n">
        <x:v>39</x:v>
      </x:c>
      <x:c r="H240" t="str">
        <x:v>Entre $1,5 M y $3 M</x:v>
      </x:c>
      <x:c r="I240" t="str">
        <x:v>Contenido educativo</x:v>
      </x:c>
      <x:c r="J240" t="n">
        <x:v>2</x:v>
      </x:c>
      <x:c r="K240" t="n">
        <x:v>0</x:v>
      </x:c>
      <x:c r="L240" t="n">
        <x:v>35806869.39</x:v>
      </x:c>
      <x:c r="M240" t="n">
        <x:v>1481600</x:v>
      </x:c>
      <x:c r="N240" t="n">
        <x:v>2</x:v>
      </x:c>
      <x:c r="O240" t="n">
        <x:v>0</x:v>
      </x:c>
      <x:c r="P240" t="n">
        <x:v>2</x:v>
      </x:c>
    </x:row>
    <x:row r="241">
      <x:c r="A241" t="str">
        <x:v>2025-04</x:v>
      </x:c>
      <x:c r="B241" t="str">
        <x:v>USR-00062</x:v>
      </x:c>
      <x:c r="C241" t="str">
        <x:v>Cero</x:v>
      </x:c>
      <x:c r="D241" t="str">
        <x:v>Gratuita</x:v>
      </x:c>
      <x:c r="E241" t="str">
        <x:v>Medellín</x:v>
      </x:c>
      <x:c r="F241" t="str">
        <x:v>Antioquia</x:v>
      </x:c>
      <x:c r="G241" t="n">
        <x:v>53</x:v>
      </x:c>
      <x:c r="H241" t="str">
        <x:v>Entre $1,5 M y $3 M</x:v>
      </x:c>
      <x:c r="I241" t="str">
        <x:v>Alianzas</x:v>
      </x:c>
      <x:c r="J241" t="n">
        <x:v>1</x:v>
      </x:c>
      <x:c r="K241" t="n">
        <x:v>0</x:v>
      </x:c>
      <x:c r="L241" t="n">
        <x:v>16556582.52</x:v>
      </x:c>
      <x:c r="M241" t="n">
        <x:v>828000</x:v>
      </x:c>
      <x:c r="N241" t="n">
        <x:v>1</x:v>
      </x:c>
      <x:c r="O241" t="n">
        <x:v>0</x:v>
      </x:c>
      <x:c r="P241" t="n">
        <x:v>2</x:v>
      </x:c>
    </x:row>
    <x:row r="242">
      <x:c r="A242" t="str">
        <x:v>2025-04</x:v>
      </x:c>
      <x:c r="B242" t="str">
        <x:v>USR-00063</x:v>
      </x:c>
      <x:c r="C242" t="str">
        <x:v>Cero</x:v>
      </x:c>
      <x:c r="D242" t="str">
        <x:v>Gratuita</x:v>
      </x:c>
      <x:c r="E242" t="str">
        <x:v>Bogotá</x:v>
      </x:c>
      <x:c r="F242" t="str">
        <x:v>Bogotá D.C.</x:v>
      </x:c>
      <x:c r="G242" t="n">
        <x:v>53</x:v>
      </x:c>
      <x:c r="H242" t="str">
        <x:v>Entre $1,5 M y $3 M</x:v>
      </x:c>
      <x:c r="I242" t="str">
        <x:v>Redes sociales</x:v>
      </x:c>
      <x:c r="J242" t="n">
        <x:v>2</x:v>
      </x:c>
      <x:c r="K242" t="n">
        <x:v>0</x:v>
      </x:c>
      <x:c r="L242" t="n">
        <x:v>29228580.45</x:v>
      </x:c>
      <x:c r="M242" t="n">
        <x:v>1938800</x:v>
      </x:c>
      <x:c r="N242" t="n">
        <x:v>2</x:v>
      </x:c>
      <x:c r="O242" t="n">
        <x:v>0</x:v>
      </x:c>
      <x:c r="P242" t="n">
        <x:v>2</x:v>
      </x:c>
    </x:row>
    <x:row r="243">
      <x:c r="A243" t="str">
        <x:v>2025-04</x:v>
      </x:c>
      <x:c r="B243" t="str">
        <x:v>USR-00064</x:v>
      </x:c>
      <x:c r="C243" t="str">
        <x:v>Cero</x:v>
      </x:c>
      <x:c r="D243" t="str">
        <x:v>Gratuita</x:v>
      </x:c>
      <x:c r="E243" t="str">
        <x:v>Bogotá</x:v>
      </x:c>
      <x:c r="F243" t="str">
        <x:v>Bogotá D.C.</x:v>
      </x:c>
      <x:c r="G243" t="n">
        <x:v>52</x:v>
      </x:c>
      <x:c r="H243" t="str">
        <x:v>Entre $1,5 M y $3 M</x:v>
      </x:c>
      <x:c r="I243" t="str">
        <x:v>Búsqueda paga</x:v>
      </x:c>
      <x:c r="J243" t="n">
        <x:v>1</x:v>
      </x:c>
      <x:c r="K243" t="n">
        <x:v>0</x:v>
      </x:c>
      <x:c r="L243" t="n">
        <x:v>1561652.24</x:v>
      </x:c>
      <x:c r="M243" t="n">
        <x:v>106500</x:v>
      </x:c>
      <x:c r="N243" t="n">
        <x:v>1</x:v>
      </x:c>
      <x:c r="O243" t="n">
        <x:v>0</x:v>
      </x:c>
      <x:c r="P243" t="n">
        <x:v>2</x:v>
      </x:c>
    </x:row>
    <x:row r="244">
      <x:c r="A244" t="str">
        <x:v>2025-04</x:v>
      </x:c>
      <x:c r="B244" t="str">
        <x:v>USR-00065</x:v>
      </x:c>
      <x:c r="C244" t="str">
        <x:v>Plus mensual</x:v>
      </x:c>
      <x:c r="D244" t="str">
        <x:v>Pago</x:v>
      </x:c>
      <x:c r="E244" t="str">
        <x:v>Cali</x:v>
      </x:c>
      <x:c r="F244" t="str">
        <x:v>Valle del Cauca</x:v>
      </x:c>
      <x:c r="G244" t="n">
        <x:v>40</x:v>
      </x:c>
      <x:c r="H244" t="str">
        <x:v>Entre $3 M y $5 M</x:v>
      </x:c>
      <x:c r="I244" t="str">
        <x:v>Referidos</x:v>
      </x:c>
      <x:c r="J244" t="n">
        <x:v>3</x:v>
      </x:c>
      <x:c r="K244" t="n">
        <x:v>0</x:v>
      </x:c>
      <x:c r="L244" t="n">
        <x:v>58933168.62</x:v>
      </x:c>
      <x:c r="M244" t="n">
        <x:v>2545700</x:v>
      </x:c>
      <x:c r="N244" t="n">
        <x:v>3</x:v>
      </x:c>
      <x:c r="O244" t="n">
        <x:v>29900</x:v>
      </x:c>
      <x:c r="P244" t="n">
        <x:v>2</x:v>
      </x:c>
    </x:row>
    <x:row r="245">
      <x:c r="A245" t="str">
        <x:v>2025-04</x:v>
      </x:c>
      <x:c r="B245" t="str">
        <x:v>USR-00066</x:v>
      </x:c>
      <x:c r="C245" t="str">
        <x:v>Plus mensual</x:v>
      </x:c>
      <x:c r="D245" t="str">
        <x:v>Pago</x:v>
      </x:c>
      <x:c r="E245" t="str">
        <x:v>Villavicencio</x:v>
      </x:c>
      <x:c r="F245" t="str">
        <x:v>Meta</x:v>
      </x:c>
      <x:c r="G245" t="n">
        <x:v>21</x:v>
      </x:c>
      <x:c r="H245" t="str">
        <x:v>Entre $1,5 M y $3 M</x:v>
      </x:c>
      <x:c r="I245" t="str">
        <x:v>Referidos</x:v>
      </x:c>
      <x:c r="J245" t="n">
        <x:v>4</x:v>
      </x:c>
      <x:c r="K245" t="n">
        <x:v>0</x:v>
      </x:c>
      <x:c r="L245" t="n">
        <x:v>34013682.17</x:v>
      </x:c>
      <x:c r="M245" t="n">
        <x:v>1301000</x:v>
      </x:c>
      <x:c r="N245" t="n">
        <x:v>3</x:v>
      </x:c>
      <x:c r="O245" t="n">
        <x:v>29900</x:v>
      </x:c>
      <x:c r="P245" t="n">
        <x:v>2</x:v>
      </x:c>
    </x:row>
    <x:row r="246">
      <x:c r="A246" t="str">
        <x:v>2025-04</x:v>
      </x:c>
      <x:c r="B246" t="str">
        <x:v>USR-00067</x:v>
      </x:c>
      <x:c r="C246" t="str">
        <x:v>Plus mensual</x:v>
      </x:c>
      <x:c r="D246" t="str">
        <x:v>Pago</x:v>
      </x:c>
      <x:c r="E246" t="str">
        <x:v>Bogotá</x:v>
      </x:c>
      <x:c r="F246" t="str">
        <x:v>Bogotá D.C.</x:v>
      </x:c>
      <x:c r="G246" t="n">
        <x:v>56</x:v>
      </x:c>
      <x:c r="H246" t="str">
        <x:v>Entre $1,5 M y $3 M</x:v>
      </x:c>
      <x:c r="I246" t="str">
        <x:v>Alianzas</x:v>
      </x:c>
      <x:c r="J246" t="n">
        <x:v>4</x:v>
      </x:c>
      <x:c r="K246" t="n">
        <x:v>0</x:v>
      </x:c>
      <x:c r="L246" t="n">
        <x:v>84707309.42</x:v>
      </x:c>
      <x:c r="M246" t="n">
        <x:v>2763700</x:v>
      </x:c>
      <x:c r="N246" t="n">
        <x:v>3</x:v>
      </x:c>
      <x:c r="O246" t="n">
        <x:v>29900</x:v>
      </x:c>
      <x:c r="P246" t="n">
        <x:v>2</x:v>
      </x:c>
    </x:row>
    <x:row r="247">
      <x:c r="A247" t="str">
        <x:v>2025-04</x:v>
      </x:c>
      <x:c r="B247" t="str">
        <x:v>USR-00068</x:v>
      </x:c>
      <x:c r="C247" t="str">
        <x:v>Cero</x:v>
      </x:c>
      <x:c r="D247" t="str">
        <x:v>Gratuita</x:v>
      </x:c>
      <x:c r="E247" t="str">
        <x:v>Barranquilla</x:v>
      </x:c>
      <x:c r="F247" t="str">
        <x:v>Atlántico</x:v>
      </x:c>
      <x:c r="G247" t="n">
        <x:v>34</x:v>
      </x:c>
      <x:c r="H247" t="str">
        <x:v>Entre $3 M y $5 M</x:v>
      </x:c>
      <x:c r="I247" t="str">
        <x:v>Referidos</x:v>
      </x:c>
      <x:c r="J247" t="n">
        <x:v>1</x:v>
      </x:c>
      <x:c r="K247" t="n">
        <x:v>0</x:v>
      </x:c>
      <x:c r="L247" t="n">
        <x:v>4850030.26</x:v>
      </x:c>
      <x:c r="M247" t="n">
        <x:v>0</x:v>
      </x:c>
      <x:c r="N247" t="n">
        <x:v>0</x:v>
      </x:c>
      <x:c r="O247" t="n">
        <x:v>0</x:v>
      </x:c>
      <x:c r="P247" t="n">
        <x:v>2</x:v>
      </x:c>
    </x:row>
    <x:row r="248">
      <x:c r="A248" t="str">
        <x:v>2025-04</x:v>
      </x:c>
      <x:c r="B248" t="str">
        <x:v>USR-00069</x:v>
      </x:c>
      <x:c r="C248" t="str">
        <x:v>Cero</x:v>
      </x:c>
      <x:c r="D248" t="str">
        <x:v>Gratuita</x:v>
      </x:c>
      <x:c r="E248" t="str">
        <x:v>Bogotá</x:v>
      </x:c>
      <x:c r="F248" t="str">
        <x:v>Bogotá D.C.</x:v>
      </x:c>
      <x:c r="G248" t="n">
        <x:v>62</x:v>
      </x:c>
      <x:c r="H248" t="str">
        <x:v>Más de $5 M</x:v>
      </x:c>
      <x:c r="I248" t="str">
        <x:v>Referidos</x:v>
      </x:c>
      <x:c r="J248" t="n">
        <x:v>1</x:v>
      </x:c>
      <x:c r="K248" t="n">
        <x:v>0</x:v>
      </x:c>
      <x:c r="L248" t="n">
        <x:v>7682120.23</x:v>
      </x:c>
      <x:c r="M248" t="n">
        <x:v>300300</x:v>
      </x:c>
      <x:c r="N248" t="n">
        <x:v>1</x:v>
      </x:c>
      <x:c r="O248" t="n">
        <x:v>0</x:v>
      </x:c>
      <x:c r="P248" t="n">
        <x:v>2</x:v>
      </x:c>
    </x:row>
    <x:row r="249">
      <x:c r="A249" t="str">
        <x:v>2025-04</x:v>
      </x:c>
      <x:c r="B249" t="str">
        <x:v>USR-00070</x:v>
      </x:c>
      <x:c r="C249" t="str">
        <x:v>Plus mensual</x:v>
      </x:c>
      <x:c r="D249" t="str">
        <x:v>Pago</x:v>
      </x:c>
      <x:c r="E249" t="str">
        <x:v>Pereira</x:v>
      </x:c>
      <x:c r="F249" t="str">
        <x:v>Risaralda</x:v>
      </x:c>
      <x:c r="G249" t="n">
        <x:v>24</x:v>
      </x:c>
      <x:c r="H249" t="str">
        <x:v>Entre $1,5 M y $3 M</x:v>
      </x:c>
      <x:c r="I249" t="str">
        <x:v>Redes sociales</x:v>
      </x:c>
      <x:c r="J249" t="n">
        <x:v>4</x:v>
      </x:c>
      <x:c r="K249" t="n">
        <x:v>0</x:v>
      </x:c>
      <x:c r="L249" t="n">
        <x:v>36659602.57</x:v>
      </x:c>
      <x:c r="M249" t="n">
        <x:v>2853300</x:v>
      </x:c>
      <x:c r="N249" t="n">
        <x:v>2</x:v>
      </x:c>
      <x:c r="O249" t="n">
        <x:v>29900</x:v>
      </x:c>
      <x:c r="P249" t="n">
        <x:v>2</x:v>
      </x:c>
    </x:row>
    <x:row r="250">
      <x:c r="A250" t="str">
        <x:v>2025-04</x:v>
      </x:c>
      <x:c r="B250" t="str">
        <x:v>USR-00071</x:v>
      </x:c>
      <x:c r="C250" t="str">
        <x:v>Cero</x:v>
      </x:c>
      <x:c r="D250" t="str">
        <x:v>Gratuita</x:v>
      </x:c>
      <x:c r="E250" t="str">
        <x:v>Barranquilla</x:v>
      </x:c>
      <x:c r="F250" t="str">
        <x:v>Atlántico</x:v>
      </x:c>
      <x:c r="G250" t="n">
        <x:v>48</x:v>
      </x:c>
      <x:c r="H250" t="str">
        <x:v>Entre $3 M y $5 M</x:v>
      </x:c>
      <x:c r="I250" t="str">
        <x:v>Referidos</x:v>
      </x:c>
      <x:c r="J250" t="n">
        <x:v>2</x:v>
      </x:c>
      <x:c r="K250" t="n">
        <x:v>0</x:v>
      </x:c>
      <x:c r="L250" t="n">
        <x:v>13200460.78</x:v>
      </x:c>
      <x:c r="M250" t="n">
        <x:v>133000</x:v>
      </x:c>
      <x:c r="N250" t="n">
        <x:v>1</x:v>
      </x:c>
      <x:c r="O250" t="n">
        <x:v>0</x:v>
      </x:c>
      <x:c r="P250" t="n">
        <x:v>2</x:v>
      </x:c>
    </x:row>
    <x:row r="251">
      <x:c r="A251" t="str">
        <x:v>2025-04</x:v>
      </x:c>
      <x:c r="B251" t="str">
        <x:v>USR-00072</x:v>
      </x:c>
      <x:c r="C251" t="str">
        <x:v>Cero</x:v>
      </x:c>
      <x:c r="D251" t="str">
        <x:v>Gratuita</x:v>
      </x:c>
      <x:c r="E251" t="str">
        <x:v>Cali</x:v>
      </x:c>
      <x:c r="F251" t="str">
        <x:v>Valle del Cauca</x:v>
      </x:c>
      <x:c r="G251" t="n">
        <x:v>25</x:v>
      </x:c>
      <x:c r="H251" t="str">
        <x:v>Entre $3 M y $5 M</x:v>
      </x:c>
      <x:c r="I251" t="str">
        <x:v>Búsqueda paga</x:v>
      </x:c>
      <x:c r="J251" t="n">
        <x:v>2</x:v>
      </x:c>
      <x:c r="K251" t="n">
        <x:v>0</x:v>
      </x:c>
      <x:c r="L251" t="n">
        <x:v>10468223.42</x:v>
      </x:c>
      <x:c r="M251" t="n">
        <x:v>390200</x:v>
      </x:c>
      <x:c r="N251" t="n">
        <x:v>2</x:v>
      </x:c>
      <x:c r="O251" t="n">
        <x:v>0</x:v>
      </x:c>
      <x:c r="P251" t="n">
        <x:v>2</x:v>
      </x:c>
    </x:row>
    <x:row r="252">
      <x:c r="A252" t="str">
        <x:v>2025-04</x:v>
      </x:c>
      <x:c r="B252" t="str">
        <x:v>USR-00073</x:v>
      </x:c>
      <x:c r="C252" t="str">
        <x:v>Cero</x:v>
      </x:c>
      <x:c r="D252" t="str">
        <x:v>Gratuita</x:v>
      </x:c>
      <x:c r="E252" t="str">
        <x:v>Bucaramanga</x:v>
      </x:c>
      <x:c r="F252" t="str">
        <x:v>Santander</x:v>
      </x:c>
      <x:c r="G252" t="n">
        <x:v>56</x:v>
      </x:c>
      <x:c r="H252" t="str">
        <x:v>Entre $3 M y $5 M</x:v>
      </x:c>
      <x:c r="I252" t="str">
        <x:v>Contenido educativo</x:v>
      </x:c>
      <x:c r="J252" t="n">
        <x:v>2</x:v>
      </x:c>
      <x:c r="K252" t="n">
        <x:v>0</x:v>
      </x:c>
      <x:c r="L252" t="n">
        <x:v>10041654.23</x:v>
      </x:c>
      <x:c r="M252" t="n">
        <x:v>690600</x:v>
      </x:c>
      <x:c r="N252" t="n">
        <x:v>1</x:v>
      </x:c>
      <x:c r="O252" t="n">
        <x:v>0</x:v>
      </x:c>
      <x:c r="P252" t="n">
        <x:v>2</x:v>
      </x:c>
    </x:row>
    <x:row r="253">
      <x:c r="A253" t="str">
        <x:v>2025-04</x:v>
      </x:c>
      <x:c r="B253" t="str">
        <x:v>USR-00074</x:v>
      </x:c>
      <x:c r="C253" t="str">
        <x:v>Cero</x:v>
      </x:c>
      <x:c r="D253" t="str">
        <x:v>Gratuita</x:v>
      </x:c>
      <x:c r="E253" t="str">
        <x:v>Medellín</x:v>
      </x:c>
      <x:c r="F253" t="str">
        <x:v>Antioquia</x:v>
      </x:c>
      <x:c r="G253" t="n">
        <x:v>32</x:v>
      </x:c>
      <x:c r="H253" t="str">
        <x:v>Menos de $1,5 M</x:v>
      </x:c>
      <x:c r="I253" t="str">
        <x:v>Contenido educativo</x:v>
      </x:c>
      <x:c r="J253" t="n">
        <x:v>1</x:v>
      </x:c>
      <x:c r="K253" t="n">
        <x:v>0</x:v>
      </x:c>
      <x:c r="L253" t="n">
        <x:v>1358421.3</x:v>
      </x:c>
      <x:c r="M253" t="n">
        <x:v>0</x:v>
      </x:c>
      <x:c r="N253" t="n">
        <x:v>0</x:v>
      </x:c>
      <x:c r="O253" t="n">
        <x:v>0</x:v>
      </x:c>
      <x:c r="P253" t="n">
        <x:v>2</x:v>
      </x:c>
    </x:row>
    <x:row r="254">
      <x:c r="A254" t="str">
        <x:v>2025-04</x:v>
      </x:c>
      <x:c r="B254" t="str">
        <x:v>USR-00075</x:v>
      </x:c>
      <x:c r="C254" t="str">
        <x:v>Cero</x:v>
      </x:c>
      <x:c r="D254" t="str">
        <x:v>Gratuita</x:v>
      </x:c>
      <x:c r="E254" t="str">
        <x:v>Bucaramanga</x:v>
      </x:c>
      <x:c r="F254" t="str">
        <x:v>Santander</x:v>
      </x:c>
      <x:c r="G254" t="n">
        <x:v>47</x:v>
      </x:c>
      <x:c r="H254" t="str">
        <x:v>Más de $5 M</x:v>
      </x:c>
      <x:c r="I254" t="str">
        <x:v>Referidos</x:v>
      </x:c>
      <x:c r="J254" t="n">
        <x:v>2</x:v>
      </x:c>
      <x:c r="K254" t="n">
        <x:v>0</x:v>
      </x:c>
      <x:c r="L254" t="n">
        <x:v>70378549.25</x:v>
      </x:c>
      <x:c r="M254" t="n">
        <x:v>2643100</x:v>
      </x:c>
      <x:c r="N254" t="n">
        <x:v>1</x:v>
      </x:c>
      <x:c r="O254" t="n">
        <x:v>0</x:v>
      </x:c>
      <x:c r="P254" t="n">
        <x:v>2</x:v>
      </x:c>
    </x:row>
    <x:row r="255">
      <x:c r="A255" t="str">
        <x:v>2025-04</x:v>
      </x:c>
      <x:c r="B255" t="str">
        <x:v>USR-00076</x:v>
      </x:c>
      <x:c r="C255" t="str">
        <x:v>Cero</x:v>
      </x:c>
      <x:c r="D255" t="str">
        <x:v>Gratuita</x:v>
      </x:c>
      <x:c r="E255" t="str">
        <x:v>Cali</x:v>
      </x:c>
      <x:c r="F255" t="str">
        <x:v>Valle del Cauca</x:v>
      </x:c>
      <x:c r="G255" t="n">
        <x:v>34</x:v>
      </x:c>
      <x:c r="H255" t="str">
        <x:v>Entre $3 M y $5 M</x:v>
      </x:c>
      <x:c r="I255" t="str">
        <x:v>Orgánico</x:v>
      </x:c>
      <x:c r="J255" t="n">
        <x:v>2</x:v>
      </x:c>
      <x:c r="K255" t="n">
        <x:v>0</x:v>
      </x:c>
      <x:c r="L255" t="n">
        <x:v>21117398.05</x:v>
      </x:c>
      <x:c r="M255" t="n">
        <x:v>479900</x:v>
      </x:c>
      <x:c r="N255" t="n">
        <x:v>1</x:v>
      </x:c>
      <x:c r="O255" t="n">
        <x:v>0</x:v>
      </x:c>
      <x:c r="P255" t="n">
        <x:v>2</x:v>
      </x:c>
    </x:row>
    <x:row r="256">
      <x:c r="A256" t="str">
        <x:v>2025-04</x:v>
      </x:c>
      <x:c r="B256" t="str">
        <x:v>USR-00077</x:v>
      </x:c>
      <x:c r="C256" t="str">
        <x:v>Cero</x:v>
      </x:c>
      <x:c r="D256" t="str">
        <x:v>Gratuita</x:v>
      </x:c>
      <x:c r="E256" t="str">
        <x:v>Barranquilla</x:v>
      </x:c>
      <x:c r="F256" t="str">
        <x:v>Atlántico</x:v>
      </x:c>
      <x:c r="G256" t="n">
        <x:v>25</x:v>
      </x:c>
      <x:c r="H256" t="str">
        <x:v>Entre $1,5 M y $3 M</x:v>
      </x:c>
      <x:c r="I256" t="str">
        <x:v>Orgánico</x:v>
      </x:c>
      <x:c r="J256" t="n">
        <x:v>2</x:v>
      </x:c>
      <x:c r="K256" t="n">
        <x:v>0</x:v>
      </x:c>
      <x:c r="L256" t="n">
        <x:v>9801100.26</x:v>
      </x:c>
      <x:c r="M256" t="n">
        <x:v>290500</x:v>
      </x:c>
      <x:c r="N256" t="n">
        <x:v>1</x:v>
      </x:c>
      <x:c r="O256" t="n">
        <x:v>0</x:v>
      </x:c>
      <x:c r="P256" t="n">
        <x:v>2</x:v>
      </x:c>
    </x:row>
    <x:row r="257">
      <x:c r="A257" t="str">
        <x:v>2025-04</x:v>
      </x:c>
      <x:c r="B257" t="str">
        <x:v>USR-00078</x:v>
      </x:c>
      <x:c r="C257" t="str">
        <x:v>Plus mensual</x:v>
      </x:c>
      <x:c r="D257" t="str">
        <x:v>Pago</x:v>
      </x:c>
      <x:c r="E257" t="str">
        <x:v>Cali</x:v>
      </x:c>
      <x:c r="F257" t="str">
        <x:v>Valle del Cauca</x:v>
      </x:c>
      <x:c r="G257" t="n">
        <x:v>24</x:v>
      </x:c>
      <x:c r="H257" t="str">
        <x:v>Entre $3 M y $5 M</x:v>
      </x:c>
      <x:c r="I257" t="str">
        <x:v>Orgánico</x:v>
      </x:c>
      <x:c r="J257" t="n">
        <x:v>4</x:v>
      </x:c>
      <x:c r="K257" t="n">
        <x:v>0</x:v>
      </x:c>
      <x:c r="L257" t="n">
        <x:v>30310173.21</x:v>
      </x:c>
      <x:c r="M257" t="n">
        <x:v>1270500</x:v>
      </x:c>
      <x:c r="N257" t="n">
        <x:v>4</x:v>
      </x:c>
      <x:c r="O257" t="n">
        <x:v>29900</x:v>
      </x:c>
      <x:c r="P257" t="n">
        <x:v>2</x:v>
      </x:c>
    </x:row>
    <x:row r="258">
      <x:c r="A258" t="str">
        <x:v>2025-04</x:v>
      </x:c>
      <x:c r="B258" t="str">
        <x:v>USR-00079</x:v>
      </x:c>
      <x:c r="C258" t="str">
        <x:v>Cero</x:v>
      </x:c>
      <x:c r="D258" t="str">
        <x:v>Gratuita</x:v>
      </x:c>
      <x:c r="E258" t="str">
        <x:v>Barranquilla</x:v>
      </x:c>
      <x:c r="F258" t="str">
        <x:v>Atlántico</x:v>
      </x:c>
      <x:c r="G258" t="n">
        <x:v>25</x:v>
      </x:c>
      <x:c r="H258" t="str">
        <x:v>Menos de $1,5 M</x:v>
      </x:c>
      <x:c r="I258" t="str">
        <x:v>Referidos</x:v>
      </x:c>
      <x:c r="J258" t="n">
        <x:v>1</x:v>
      </x:c>
      <x:c r="K258" t="n">
        <x:v>0</x:v>
      </x:c>
      <x:c r="L258" t="n">
        <x:v>54338387.58</x:v>
      </x:c>
      <x:c r="M258" t="n">
        <x:v>0</x:v>
      </x:c>
      <x:c r="N258" t="n">
        <x:v>0</x:v>
      </x:c>
      <x:c r="O258" t="n">
        <x:v>0</x:v>
      </x:c>
      <x:c r="P258" t="n">
        <x:v>2</x:v>
      </x:c>
    </x:row>
    <x:row r="259">
      <x:c r="A259" t="str">
        <x:v>2025-04</x:v>
      </x:c>
      <x:c r="B259" t="str">
        <x:v>USR-00080</x:v>
      </x:c>
      <x:c r="C259" t="str">
        <x:v>Cero</x:v>
      </x:c>
      <x:c r="D259" t="str">
        <x:v>Gratuita</x:v>
      </x:c>
      <x:c r="E259" t="str">
        <x:v>Bogotá</x:v>
      </x:c>
      <x:c r="F259" t="str">
        <x:v>Bogotá D.C.</x:v>
      </x:c>
      <x:c r="G259" t="n">
        <x:v>35</x:v>
      </x:c>
      <x:c r="H259" t="str">
        <x:v>Entre $3 M y $5 M</x:v>
      </x:c>
      <x:c r="I259" t="str">
        <x:v>Referidos</x:v>
      </x:c>
      <x:c r="J259" t="n">
        <x:v>1</x:v>
      </x:c>
      <x:c r="K259" t="n">
        <x:v>0</x:v>
      </x:c>
      <x:c r="L259" t="n">
        <x:v>17954442.36</x:v>
      </x:c>
      <x:c r="M259" t="n">
        <x:v>742000</x:v>
      </x:c>
      <x:c r="N259" t="n">
        <x:v>1</x:v>
      </x:c>
      <x:c r="O259" t="n">
        <x:v>0</x:v>
      </x:c>
      <x:c r="P259" t="n">
        <x:v>2</x:v>
      </x:c>
    </x:row>
    <x:row r="260">
      <x:c r="A260" t="str">
        <x:v>2025-04</x:v>
      </x:c>
      <x:c r="B260" t="str">
        <x:v>USR-00081</x:v>
      </x:c>
      <x:c r="C260" t="str">
        <x:v>Cero</x:v>
      </x:c>
      <x:c r="D260" t="str">
        <x:v>Gratuita</x:v>
      </x:c>
      <x:c r="E260" t="str">
        <x:v>Bogotá</x:v>
      </x:c>
      <x:c r="F260" t="str">
        <x:v>Bogotá D.C.</x:v>
      </x:c>
      <x:c r="G260" t="n">
        <x:v>44</x:v>
      </x:c>
      <x:c r="H260" t="str">
        <x:v>Más de $5 M</x:v>
      </x:c>
      <x:c r="I260" t="str">
        <x:v>Contenido educativo</x:v>
      </x:c>
      <x:c r="J260" t="n">
        <x:v>2</x:v>
      </x:c>
      <x:c r="K260" t="n">
        <x:v>0</x:v>
      </x:c>
      <x:c r="L260" t="n">
        <x:v>15985675.51</x:v>
      </x:c>
      <x:c r="M260" t="n">
        <x:v>537500</x:v>
      </x:c>
      <x:c r="N260" t="n">
        <x:v>1</x:v>
      </x:c>
      <x:c r="O260" t="n">
        <x:v>0</x:v>
      </x:c>
      <x:c r="P260" t="n">
        <x:v>2</x:v>
      </x:c>
    </x:row>
    <x:row r="261">
      <x:c r="A261" t="str">
        <x:v>2025-04</x:v>
      </x:c>
      <x:c r="B261" t="str">
        <x:v>USR-00082</x:v>
      </x:c>
      <x:c r="C261" t="str">
        <x:v>Cero</x:v>
      </x:c>
      <x:c r="D261" t="str">
        <x:v>Gratuita</x:v>
      </x:c>
      <x:c r="E261" t="str">
        <x:v>Villavicencio</x:v>
      </x:c>
      <x:c r="F261" t="str">
        <x:v>Meta</x:v>
      </x:c>
      <x:c r="G261" t="n">
        <x:v>44</x:v>
      </x:c>
      <x:c r="H261" t="str">
        <x:v>Entre $1,5 M y $3 M</x:v>
      </x:c>
      <x:c r="I261" t="str">
        <x:v>Referidos</x:v>
      </x:c>
      <x:c r="J261" t="n">
        <x:v>2</x:v>
      </x:c>
      <x:c r="K261" t="n">
        <x:v>0</x:v>
      </x:c>
      <x:c r="L261" t="n">
        <x:v>19496567.79</x:v>
      </x:c>
      <x:c r="M261" t="n">
        <x:v>1104600</x:v>
      </x:c>
      <x:c r="N261" t="n">
        <x:v>1</x:v>
      </x:c>
      <x:c r="O261" t="n">
        <x:v>0</x:v>
      </x:c>
      <x:c r="P261" t="n">
        <x:v>2</x:v>
      </x:c>
    </x:row>
    <x:row r="262">
      <x:c r="A262" t="str">
        <x:v>2025-04</x:v>
      </x:c>
      <x:c r="B262" t="str">
        <x:v>USR-00083</x:v>
      </x:c>
      <x:c r="C262" t="str">
        <x:v>Cero</x:v>
      </x:c>
      <x:c r="D262" t="str">
        <x:v>Gratuita</x:v>
      </x:c>
      <x:c r="E262" t="str">
        <x:v>Bogotá</x:v>
      </x:c>
      <x:c r="F262" t="str">
        <x:v>Bogotá D.C.</x:v>
      </x:c>
      <x:c r="G262" t="n">
        <x:v>35</x:v>
      </x:c>
      <x:c r="H262" t="str">
        <x:v>Entre $3 M y $5 M</x:v>
      </x:c>
      <x:c r="I262" t="str">
        <x:v>Orgánico</x:v>
      </x:c>
      <x:c r="J262" t="n">
        <x:v>1</x:v>
      </x:c>
      <x:c r="K262" t="n">
        <x:v>0</x:v>
      </x:c>
      <x:c r="L262" t="n">
        <x:v>2546568.85</x:v>
      </x:c>
      <x:c r="M262" t="n">
        <x:v>0</x:v>
      </x:c>
      <x:c r="N262" t="n">
        <x:v>0</x:v>
      </x:c>
      <x:c r="O262" t="n">
        <x:v>0</x:v>
      </x:c>
      <x:c r="P262" t="n">
        <x:v>2</x:v>
      </x:c>
    </x:row>
    <x:row r="263">
      <x:c r="A263" t="str">
        <x:v>2025-04</x:v>
      </x:c>
      <x:c r="B263" t="str">
        <x:v>USR-00084</x:v>
      </x:c>
      <x:c r="C263" t="str">
        <x:v>Cero</x:v>
      </x:c>
      <x:c r="D263" t="str">
        <x:v>Gratuita</x:v>
      </x:c>
      <x:c r="E263" t="str">
        <x:v>Manizales</x:v>
      </x:c>
      <x:c r="F263" t="str">
        <x:v>Caldas</x:v>
      </x:c>
      <x:c r="G263" t="n">
        <x:v>21</x:v>
      </x:c>
      <x:c r="H263" t="str">
        <x:v>Entre $1,5 M y $3 M</x:v>
      </x:c>
      <x:c r="I263" t="str">
        <x:v>Búsqueda paga</x:v>
      </x:c>
      <x:c r="J263" t="n">
        <x:v>2</x:v>
      </x:c>
      <x:c r="K263" t="n">
        <x:v>0</x:v>
      </x:c>
      <x:c r="L263" t="n">
        <x:v>27422893.78</x:v>
      </x:c>
      <x:c r="M263" t="n">
        <x:v>1707100</x:v>
      </x:c>
      <x:c r="N263" t="n">
        <x:v>2</x:v>
      </x:c>
      <x:c r="O263" t="n">
        <x:v>0</x:v>
      </x:c>
      <x:c r="P263" t="n">
        <x:v>2</x:v>
      </x:c>
    </x:row>
    <x:row r="264">
      <x:c r="A264" t="str">
        <x:v>2025-04</x:v>
      </x:c>
      <x:c r="B264" t="str">
        <x:v>USR-00085</x:v>
      </x:c>
      <x:c r="C264" t="str">
        <x:v>Cero</x:v>
      </x:c>
      <x:c r="D264" t="str">
        <x:v>Gratuita</x:v>
      </x:c>
      <x:c r="E264" t="str">
        <x:v>Barranquilla</x:v>
      </x:c>
      <x:c r="F264" t="str">
        <x:v>Atlántico</x:v>
      </x:c>
      <x:c r="G264" t="n">
        <x:v>41</x:v>
      </x:c>
      <x:c r="H264" t="str">
        <x:v>Menos de $1,5 M</x:v>
      </x:c>
      <x:c r="I264" t="str">
        <x:v>Referidos</x:v>
      </x:c>
      <x:c r="J264" t="n">
        <x:v>1</x:v>
      </x:c>
      <x:c r="K264" t="n">
        <x:v>0</x:v>
      </x:c>
      <x:c r="L264" t="n">
        <x:v>12404985.95</x:v>
      </x:c>
      <x:c r="M264" t="n">
        <x:v>0</x:v>
      </x:c>
      <x:c r="N264" t="n">
        <x:v>0</x:v>
      </x:c>
      <x:c r="O264" t="n">
        <x:v>0</x:v>
      </x:c>
      <x:c r="P264" t="n">
        <x:v>2</x:v>
      </x:c>
    </x:row>
    <x:row r="265">
      <x:c r="A265" t="str">
        <x:v>2025-04</x:v>
      </x:c>
      <x:c r="B265" t="str">
        <x:v>USR-00086</x:v>
      </x:c>
      <x:c r="C265" t="str">
        <x:v>Cero</x:v>
      </x:c>
      <x:c r="D265" t="str">
        <x:v>Gratuita</x:v>
      </x:c>
      <x:c r="E265" t="str">
        <x:v>Manizales</x:v>
      </x:c>
      <x:c r="F265" t="str">
        <x:v>Caldas</x:v>
      </x:c>
      <x:c r="G265" t="n">
        <x:v>47</x:v>
      </x:c>
      <x:c r="H265" t="str">
        <x:v>Más de $5 M</x:v>
      </x:c>
      <x:c r="I265" t="str">
        <x:v>Referidos</x:v>
      </x:c>
      <x:c r="J265" t="n">
        <x:v>1</x:v>
      </x:c>
      <x:c r="K265" t="n">
        <x:v>0</x:v>
      </x:c>
      <x:c r="L265" t="n">
        <x:v>3006599.13</x:v>
      </x:c>
      <x:c r="M265" t="n">
        <x:v>0</x:v>
      </x:c>
      <x:c r="N265" t="n">
        <x:v>0</x:v>
      </x:c>
      <x:c r="O265" t="n">
        <x:v>0</x:v>
      </x:c>
      <x:c r="P265" t="n">
        <x:v>2</x:v>
      </x:c>
    </x:row>
    <x:row r="266">
      <x:c r="A266" t="str">
        <x:v>2025-04</x:v>
      </x:c>
      <x:c r="B266" t="str">
        <x:v>USR-00087</x:v>
      </x:c>
      <x:c r="C266" t="str">
        <x:v>Cero</x:v>
      </x:c>
      <x:c r="D266" t="str">
        <x:v>Gratuita</x:v>
      </x:c>
      <x:c r="E266" t="str">
        <x:v>Manizales</x:v>
      </x:c>
      <x:c r="F266" t="str">
        <x:v>Caldas</x:v>
      </x:c>
      <x:c r="G266" t="n">
        <x:v>51</x:v>
      </x:c>
      <x:c r="H266" t="str">
        <x:v>Entre $1,5 M y $3 M</x:v>
      </x:c>
      <x:c r="I266" t="str">
        <x:v>Búsqueda paga</x:v>
      </x:c>
      <x:c r="J266" t="n">
        <x:v>1</x:v>
      </x:c>
      <x:c r="K266" t="n">
        <x:v>0</x:v>
      </x:c>
      <x:c r="L266" t="n">
        <x:v>34556225.91</x:v>
      </x:c>
      <x:c r="M266" t="n">
        <x:v>1094800</x:v>
      </x:c>
      <x:c r="N266" t="n">
        <x:v>1</x:v>
      </x:c>
      <x:c r="O266" t="n">
        <x:v>0</x:v>
      </x:c>
      <x:c r="P266" t="n">
        <x:v>2</x:v>
      </x:c>
    </x:row>
    <x:row r="267">
      <x:c r="A267" t="str">
        <x:v>2025-04</x:v>
      </x:c>
      <x:c r="B267" t="str">
        <x:v>USR-00088</x:v>
      </x:c>
      <x:c r="C267" t="str">
        <x:v>Cero</x:v>
      </x:c>
      <x:c r="D267" t="str">
        <x:v>Gratuita</x:v>
      </x:c>
      <x:c r="E267" t="str">
        <x:v>Bucaramanga</x:v>
      </x:c>
      <x:c r="F267" t="str">
        <x:v>Santander</x:v>
      </x:c>
      <x:c r="G267" t="n">
        <x:v>52</x:v>
      </x:c>
      <x:c r="H267" t="str">
        <x:v>Entre $1,5 M y $3 M</x:v>
      </x:c>
      <x:c r="I267" t="str">
        <x:v>Redes sociales</x:v>
      </x:c>
      <x:c r="J267" t="n">
        <x:v>1</x:v>
      </x:c>
      <x:c r="K267" t="n">
        <x:v>0</x:v>
      </x:c>
      <x:c r="L267" t="n">
        <x:v>8641660.03</x:v>
      </x:c>
      <x:c r="M267" t="n">
        <x:v>0</x:v>
      </x:c>
      <x:c r="N267" t="n">
        <x:v>0</x:v>
      </x:c>
      <x:c r="O267" t="n">
        <x:v>0</x:v>
      </x:c>
      <x:c r="P267" t="n">
        <x:v>2</x:v>
      </x:c>
    </x:row>
    <x:row r="268">
      <x:c r="A268" t="str">
        <x:v>2025-04</x:v>
      </x:c>
      <x:c r="B268" t="str">
        <x:v>USR-00089</x:v>
      </x:c>
      <x:c r="C268" t="str">
        <x:v>Cero</x:v>
      </x:c>
      <x:c r="D268" t="str">
        <x:v>Gratuita</x:v>
      </x:c>
      <x:c r="E268" t="str">
        <x:v>Bucaramanga</x:v>
      </x:c>
      <x:c r="F268" t="str">
        <x:v>Santander</x:v>
      </x:c>
      <x:c r="G268" t="n">
        <x:v>34</x:v>
      </x:c>
      <x:c r="H268" t="str">
        <x:v>Entre $1,5 M y $3 M</x:v>
      </x:c>
      <x:c r="I268" t="str">
        <x:v>Redes sociales</x:v>
      </x:c>
      <x:c r="J268" t="n">
        <x:v>2</x:v>
      </x:c>
      <x:c r="K268" t="n">
        <x:v>0</x:v>
      </x:c>
      <x:c r="L268" t="n">
        <x:v>23821077.45</x:v>
      </x:c>
      <x:c r="M268" t="n">
        <x:v>469700</x:v>
      </x:c>
      <x:c r="N268" t="n">
        <x:v>1</x:v>
      </x:c>
      <x:c r="O268" t="n">
        <x:v>0</x:v>
      </x:c>
      <x:c r="P268" t="n">
        <x:v>2</x:v>
      </x:c>
    </x:row>
    <x:row r="269">
      <x:c r="A269" t="str">
        <x:v>2025-04</x:v>
      </x:c>
      <x:c r="B269" t="str">
        <x:v>USR-00090</x:v>
      </x:c>
      <x:c r="C269" t="str">
        <x:v>Cero</x:v>
      </x:c>
      <x:c r="D269" t="str">
        <x:v>Gratuita</x:v>
      </x:c>
      <x:c r="E269" t="str">
        <x:v>Medellín</x:v>
      </x:c>
      <x:c r="F269" t="str">
        <x:v>Antioquia</x:v>
      </x:c>
      <x:c r="G269" t="n">
        <x:v>47</x:v>
      </x:c>
      <x:c r="H269" t="str">
        <x:v>Menos de $1,5 M</x:v>
      </x:c>
      <x:c r="I269" t="str">
        <x:v>Alianzas</x:v>
      </x:c>
      <x:c r="J269" t="n">
        <x:v>1</x:v>
      </x:c>
      <x:c r="K269" t="n">
        <x:v>0</x:v>
      </x:c>
      <x:c r="L269" t="n">
        <x:v>18935261.61</x:v>
      </x:c>
      <x:c r="M269" t="n">
        <x:v>1484600</x:v>
      </x:c>
      <x:c r="N269" t="n">
        <x:v>1</x:v>
      </x:c>
      <x:c r="O269" t="n">
        <x:v>0</x:v>
      </x:c>
      <x:c r="P269" t="n">
        <x:v>2</x:v>
      </x:c>
    </x:row>
    <x:row r="270">
      <x:c r="A270" t="str">
        <x:v>2025-04</x:v>
      </x:c>
      <x:c r="B270" t="str">
        <x:v>USR-00091</x:v>
      </x:c>
      <x:c r="C270" t="str">
        <x:v>Plus mensual</x:v>
      </x:c>
      <x:c r="D270" t="str">
        <x:v>Pago</x:v>
      </x:c>
      <x:c r="E270" t="str">
        <x:v>Bogotá</x:v>
      </x:c>
      <x:c r="F270" t="str">
        <x:v>Bogotá D.C.</x:v>
      </x:c>
      <x:c r="G270" t="n">
        <x:v>23</x:v>
      </x:c>
      <x:c r="H270" t="str">
        <x:v>Entre $3 M y $5 M</x:v>
      </x:c>
      <x:c r="I270" t="str">
        <x:v>Redes sociales</x:v>
      </x:c>
      <x:c r="J270" t="n">
        <x:v>4</x:v>
      </x:c>
      <x:c r="K270" t="n">
        <x:v>0</x:v>
      </x:c>
      <x:c r="L270" t="n">
        <x:v>35182381.38</x:v>
      </x:c>
      <x:c r="M270" t="n">
        <x:v>1847200</x:v>
      </x:c>
      <x:c r="N270" t="n">
        <x:v>3</x:v>
      </x:c>
      <x:c r="O270" t="n">
        <x:v>29900</x:v>
      </x:c>
      <x:c r="P270" t="n">
        <x:v>2</x:v>
      </x:c>
    </x:row>
    <x:row r="271">
      <x:c r="A271" t="str">
        <x:v>2025-04</x:v>
      </x:c>
      <x:c r="B271" t="str">
        <x:v>USR-00092</x:v>
      </x:c>
      <x:c r="C271" t="str">
        <x:v>Cero</x:v>
      </x:c>
      <x:c r="D271" t="str">
        <x:v>Gratuita</x:v>
      </x:c>
      <x:c r="E271" t="str">
        <x:v>Cartagena</x:v>
      </x:c>
      <x:c r="F271" t="str">
        <x:v>Bolívar</x:v>
      </x:c>
      <x:c r="G271" t="n">
        <x:v>63</x:v>
      </x:c>
      <x:c r="H271" t="str">
        <x:v>Entre $1,5 M y $3 M</x:v>
      </x:c>
      <x:c r="I271" t="str">
        <x:v>Orgánico</x:v>
      </x:c>
      <x:c r="J271" t="n">
        <x:v>2</x:v>
      </x:c>
      <x:c r="K271" t="n">
        <x:v>0</x:v>
      </x:c>
      <x:c r="L271" t="n">
        <x:v>51280848.29</x:v>
      </x:c>
      <x:c r="M271" t="n">
        <x:v>509300</x:v>
      </x:c>
      <x:c r="N271" t="n">
        <x:v>1</x:v>
      </x:c>
      <x:c r="O271" t="n">
        <x:v>0</x:v>
      </x:c>
      <x:c r="P271" t="n">
        <x:v>2</x:v>
      </x:c>
    </x:row>
    <x:row r="272">
      <x:c r="A272" t="str">
        <x:v>2025-04</x:v>
      </x:c>
      <x:c r="B272" t="str">
        <x:v>USR-00093</x:v>
      </x:c>
      <x:c r="C272" t="str">
        <x:v>Plus anual</x:v>
      </x:c>
      <x:c r="D272" t="str">
        <x:v>Pago</x:v>
      </x:c>
      <x:c r="E272" t="str">
        <x:v>Bogotá</x:v>
      </x:c>
      <x:c r="F272" t="str">
        <x:v>Bogotá D.C.</x:v>
      </x:c>
      <x:c r="G272" t="n">
        <x:v>34</x:v>
      </x:c>
      <x:c r="H272" t="str">
        <x:v>Más de $5 M</x:v>
      </x:c>
      <x:c r="I272" t="str">
        <x:v>Búsqueda paga</x:v>
      </x:c>
      <x:c r="J272" t="n">
        <x:v>3</x:v>
      </x:c>
      <x:c r="K272" t="n">
        <x:v>0</x:v>
      </x:c>
      <x:c r="L272" t="n">
        <x:v>24600671.73</x:v>
      </x:c>
      <x:c r="M272" t="n">
        <x:v>1502400</x:v>
      </x:c>
      <x:c r="N272" t="n">
        <x:v>3</x:v>
      </x:c>
      <x:c r="O272" t="n">
        <x:v>24916.67</x:v>
      </x:c>
      <x:c r="P272" t="n">
        <x:v>2</x:v>
      </x:c>
    </x:row>
    <x:row r="273">
      <x:c r="A273" t="str">
        <x:v>2025-04</x:v>
      </x:c>
      <x:c r="B273" t="str">
        <x:v>USR-00094</x:v>
      </x:c>
      <x:c r="C273" t="str">
        <x:v>Cero</x:v>
      </x:c>
      <x:c r="D273" t="str">
        <x:v>Gratuita</x:v>
      </x:c>
      <x:c r="E273" t="str">
        <x:v>Bogotá</x:v>
      </x:c>
      <x:c r="F273" t="str">
        <x:v>Bogotá D.C.</x:v>
      </x:c>
      <x:c r="G273" t="n">
        <x:v>38</x:v>
      </x:c>
      <x:c r="H273" t="str">
        <x:v>Más de $5 M</x:v>
      </x:c>
      <x:c r="I273" t="str">
        <x:v>Alianzas</x:v>
      </x:c>
      <x:c r="J273" t="n">
        <x:v>2</x:v>
      </x:c>
      <x:c r="K273" t="n">
        <x:v>0</x:v>
      </x:c>
      <x:c r="L273" t="n">
        <x:v>12032050.06</x:v>
      </x:c>
      <x:c r="M273" t="n">
        <x:v>499200</x:v>
      </x:c>
      <x:c r="N273" t="n">
        <x:v>1</x:v>
      </x:c>
      <x:c r="O273" t="n">
        <x:v>0</x:v>
      </x:c>
      <x:c r="P273" t="n">
        <x:v>2</x:v>
      </x:c>
    </x:row>
    <x:row r="274">
      <x:c r="A274" t="str">
        <x:v>2025-04</x:v>
      </x:c>
      <x:c r="B274" t="str">
        <x:v>USR-00095</x:v>
      </x:c>
      <x:c r="C274" t="str">
        <x:v>Plus mensual</x:v>
      </x:c>
      <x:c r="D274" t="str">
        <x:v>Pago</x:v>
      </x:c>
      <x:c r="E274" t="str">
        <x:v>Bogotá</x:v>
      </x:c>
      <x:c r="F274" t="str">
        <x:v>Bogotá D.C.</x:v>
      </x:c>
      <x:c r="G274" t="n">
        <x:v>27</x:v>
      </x:c>
      <x:c r="H274" t="str">
        <x:v>Menos de $1,5 M</x:v>
      </x:c>
      <x:c r="I274" t="str">
        <x:v>Redes sociales</x:v>
      </x:c>
      <x:c r="J274" t="n">
        <x:v>5</x:v>
      </x:c>
      <x:c r="K274" t="n">
        <x:v>0</x:v>
      </x:c>
      <x:c r="L274" t="n">
        <x:v>83554310.43</x:v>
      </x:c>
      <x:c r="M274" t="n">
        <x:v>2915400</x:v>
      </x:c>
      <x:c r="N274" t="n">
        <x:v>4</x:v>
      </x:c>
      <x:c r="O274" t="n">
        <x:v>29900</x:v>
      </x:c>
      <x:c r="P274" t="n">
        <x:v>1</x:v>
      </x:c>
    </x:row>
    <x:row r="275">
      <x:c r="A275" t="str">
        <x:v>2025-04</x:v>
      </x:c>
      <x:c r="B275" t="str">
        <x:v>USR-00096</x:v>
      </x:c>
      <x:c r="C275" t="str">
        <x:v>Cero</x:v>
      </x:c>
      <x:c r="D275" t="str">
        <x:v>Gratuita</x:v>
      </x:c>
      <x:c r="E275" t="str">
        <x:v>Cali</x:v>
      </x:c>
      <x:c r="F275" t="str">
        <x:v>Valle del Cauca</x:v>
      </x:c>
      <x:c r="G275" t="n">
        <x:v>39</x:v>
      </x:c>
      <x:c r="H275" t="str">
        <x:v>Entre $3 M y $5 M</x:v>
      </x:c>
      <x:c r="I275" t="str">
        <x:v>Contenido educativo</x:v>
      </x:c>
      <x:c r="J275" t="n">
        <x:v>1</x:v>
      </x:c>
      <x:c r="K275" t="n">
        <x:v>0</x:v>
      </x:c>
      <x:c r="L275" t="n">
        <x:v>7506613.07</x:v>
      </x:c>
      <x:c r="M275" t="n">
        <x:v>0</x:v>
      </x:c>
      <x:c r="N275" t="n">
        <x:v>0</x:v>
      </x:c>
      <x:c r="O275" t="n">
        <x:v>0</x:v>
      </x:c>
      <x:c r="P275" t="n">
        <x:v>1</x:v>
      </x:c>
    </x:row>
    <x:row r="276">
      <x:c r="A276" t="str">
        <x:v>2025-04</x:v>
      </x:c>
      <x:c r="B276" t="str">
        <x:v>USR-00097</x:v>
      </x:c>
      <x:c r="C276" t="str">
        <x:v>Cero</x:v>
      </x:c>
      <x:c r="D276" t="str">
        <x:v>Gratuita</x:v>
      </x:c>
      <x:c r="E276" t="str">
        <x:v>Medellín</x:v>
      </x:c>
      <x:c r="F276" t="str">
        <x:v>Antioquia</x:v>
      </x:c>
      <x:c r="G276" t="n">
        <x:v>46</x:v>
      </x:c>
      <x:c r="H276" t="str">
        <x:v>Entre $1,5 M y $3 M</x:v>
      </x:c>
      <x:c r="I276" t="str">
        <x:v>Redes sociales</x:v>
      </x:c>
      <x:c r="J276" t="n">
        <x:v>2</x:v>
      </x:c>
      <x:c r="K276" t="n">
        <x:v>0</x:v>
      </x:c>
      <x:c r="L276" t="n">
        <x:v>47970111.85</x:v>
      </x:c>
      <x:c r="M276" t="n">
        <x:v>3528500</x:v>
      </x:c>
      <x:c r="N276" t="n">
        <x:v>1</x:v>
      </x:c>
      <x:c r="O276" t="n">
        <x:v>0</x:v>
      </x:c>
      <x:c r="P276" t="n">
        <x:v>1</x:v>
      </x:c>
    </x:row>
    <x:row r="277">
      <x:c r="A277" t="str">
        <x:v>2025-04</x:v>
      </x:c>
      <x:c r="B277" t="str">
        <x:v>USR-00098</x:v>
      </x:c>
      <x:c r="C277" t="str">
        <x:v>Cero</x:v>
      </x:c>
      <x:c r="D277" t="str">
        <x:v>Gratuita</x:v>
      </x:c>
      <x:c r="E277" t="str">
        <x:v>Medellín</x:v>
      </x:c>
      <x:c r="F277" t="str">
        <x:v>Antioquia</x:v>
      </x:c>
      <x:c r="G277" t="n">
        <x:v>42</x:v>
      </x:c>
      <x:c r="H277" t="str">
        <x:v>Entre $3 M y $5 M</x:v>
      </x:c>
      <x:c r="I277" t="str">
        <x:v>Orgánico</x:v>
      </x:c>
      <x:c r="J277" t="n">
        <x:v>2</x:v>
      </x:c>
      <x:c r="K277" t="n">
        <x:v>0</x:v>
      </x:c>
      <x:c r="L277" t="n">
        <x:v>25502610.78</x:v>
      </x:c>
      <x:c r="M277" t="n">
        <x:v>1267900</x:v>
      </x:c>
      <x:c r="N277" t="n">
        <x:v>2</x:v>
      </x:c>
      <x:c r="O277" t="n">
        <x:v>0</x:v>
      </x:c>
      <x:c r="P277" t="n">
        <x:v>1</x:v>
      </x:c>
    </x:row>
    <x:row r="278">
      <x:c r="A278" t="str">
        <x:v>2025-04</x:v>
      </x:c>
      <x:c r="B278" t="str">
        <x:v>USR-00099</x:v>
      </x:c>
      <x:c r="C278" t="str">
        <x:v>Cero</x:v>
      </x:c>
      <x:c r="D278" t="str">
        <x:v>Gratuita</x:v>
      </x:c>
      <x:c r="E278" t="str">
        <x:v>Cali</x:v>
      </x:c>
      <x:c r="F278" t="str">
        <x:v>Valle del Cauca</x:v>
      </x:c>
      <x:c r="G278" t="n">
        <x:v>49</x:v>
      </x:c>
      <x:c r="H278" t="str">
        <x:v>Entre $3 M y $5 M</x:v>
      </x:c>
      <x:c r="I278" t="str">
        <x:v>Alianzas</x:v>
      </x:c>
      <x:c r="J278" t="n">
        <x:v>2</x:v>
      </x:c>
      <x:c r="K278" t="n">
        <x:v>0</x:v>
      </x:c>
      <x:c r="L278" t="n">
        <x:v>30626911.74</x:v>
      </x:c>
      <x:c r="M278" t="n">
        <x:v>655700</x:v>
      </x:c>
      <x:c r="N278" t="n">
        <x:v>2</x:v>
      </x:c>
      <x:c r="O278" t="n">
        <x:v>0</x:v>
      </x:c>
      <x:c r="P278" t="n">
        <x:v>1</x:v>
      </x:c>
    </x:row>
    <x:row r="279">
      <x:c r="A279" t="str">
        <x:v>2025-04</x:v>
      </x:c>
      <x:c r="B279" t="str">
        <x:v>USR-00100</x:v>
      </x:c>
      <x:c r="C279" t="str">
        <x:v>Plus mensual</x:v>
      </x:c>
      <x:c r="D279" t="str">
        <x:v>Pago</x:v>
      </x:c>
      <x:c r="E279" t="str">
        <x:v>Cali</x:v>
      </x:c>
      <x:c r="F279" t="str">
        <x:v>Valle del Cauca</x:v>
      </x:c>
      <x:c r="G279" t="n">
        <x:v>36</x:v>
      </x:c>
      <x:c r="H279" t="str">
        <x:v>Menos de $1,5 M</x:v>
      </x:c>
      <x:c r="I279" t="str">
        <x:v>Búsqueda paga</x:v>
      </x:c>
      <x:c r="J279" t="n">
        <x:v>3</x:v>
      </x:c>
      <x:c r="K279" t="n">
        <x:v>0</x:v>
      </x:c>
      <x:c r="L279" t="n">
        <x:v>37227898.96</x:v>
      </x:c>
      <x:c r="M279" t="n">
        <x:v>1462200</x:v>
      </x:c>
      <x:c r="N279" t="n">
        <x:v>2</x:v>
      </x:c>
      <x:c r="O279" t="n">
        <x:v>29900</x:v>
      </x:c>
      <x:c r="P279" t="n">
        <x:v>1</x:v>
      </x:c>
    </x:row>
    <x:row r="280">
      <x:c r="A280" t="str">
        <x:v>2025-04</x:v>
      </x:c>
      <x:c r="B280" t="str">
        <x:v>USR-00101</x:v>
      </x:c>
      <x:c r="C280" t="str">
        <x:v>Plus mensual</x:v>
      </x:c>
      <x:c r="D280" t="str">
        <x:v>Pago</x:v>
      </x:c>
      <x:c r="E280" t="str">
        <x:v>Cali</x:v>
      </x:c>
      <x:c r="F280" t="str">
        <x:v>Valle del Cauca</x:v>
      </x:c>
      <x:c r="G280" t="n">
        <x:v>33</x:v>
      </x:c>
      <x:c r="H280" t="str">
        <x:v>Más de $5 M</x:v>
      </x:c>
      <x:c r="I280" t="str">
        <x:v>Orgánico</x:v>
      </x:c>
      <x:c r="J280" t="n">
        <x:v>4</x:v>
      </x:c>
      <x:c r="K280" t="n">
        <x:v>0</x:v>
      </x:c>
      <x:c r="L280" t="n">
        <x:v>64833735.01</x:v>
      </x:c>
      <x:c r="M280" t="n">
        <x:v>2652100</x:v>
      </x:c>
      <x:c r="N280" t="n">
        <x:v>4</x:v>
      </x:c>
      <x:c r="O280" t="n">
        <x:v>29900</x:v>
      </x:c>
      <x:c r="P280" t="n">
        <x:v>1</x:v>
      </x:c>
    </x:row>
    <x:row r="281">
      <x:c r="A281" t="str">
        <x:v>2025-04</x:v>
      </x:c>
      <x:c r="B281" t="str">
        <x:v>USR-00102</x:v>
      </x:c>
      <x:c r="C281" t="str">
        <x:v>Cero</x:v>
      </x:c>
      <x:c r="D281" t="str">
        <x:v>Gratuita</x:v>
      </x:c>
      <x:c r="E281" t="str">
        <x:v>Bogotá</x:v>
      </x:c>
      <x:c r="F281" t="str">
        <x:v>Bogotá D.C.</x:v>
      </x:c>
      <x:c r="G281" t="n">
        <x:v>64</x:v>
      </x:c>
      <x:c r="H281" t="str">
        <x:v>Entre $1,5 M y $3 M</x:v>
      </x:c>
      <x:c r="I281" t="str">
        <x:v>Alianzas</x:v>
      </x:c>
      <x:c r="J281" t="n">
        <x:v>2</x:v>
      </x:c>
      <x:c r="K281" t="n">
        <x:v>0</x:v>
      </x:c>
      <x:c r="L281" t="n">
        <x:v>15260358.31</x:v>
      </x:c>
      <x:c r="M281" t="n">
        <x:v>2182800</x:v>
      </x:c>
      <x:c r="N281" t="n">
        <x:v>2</x:v>
      </x:c>
      <x:c r="O281" t="n">
        <x:v>0</x:v>
      </x:c>
      <x:c r="P281" t="n">
        <x:v>1</x:v>
      </x:c>
    </x:row>
    <x:row r="282">
      <x:c r="A282" t="str">
        <x:v>2025-04</x:v>
      </x:c>
      <x:c r="B282" t="str">
        <x:v>USR-00103</x:v>
      </x:c>
      <x:c r="C282" t="str">
        <x:v>Cero</x:v>
      </x:c>
      <x:c r="D282" t="str">
        <x:v>Gratuita</x:v>
      </x:c>
      <x:c r="E282" t="str">
        <x:v>Medellín</x:v>
      </x:c>
      <x:c r="F282" t="str">
        <x:v>Antioquia</x:v>
      </x:c>
      <x:c r="G282" t="n">
        <x:v>32</x:v>
      </x:c>
      <x:c r="H282" t="str">
        <x:v>Menos de $1,5 M</x:v>
      </x:c>
      <x:c r="I282" t="str">
        <x:v>Alianzas</x:v>
      </x:c>
      <x:c r="J282" t="n">
        <x:v>2</x:v>
      </x:c>
      <x:c r="K282" t="n">
        <x:v>0</x:v>
      </x:c>
      <x:c r="L282" t="n">
        <x:v>17592458.19</x:v>
      </x:c>
      <x:c r="M282" t="n">
        <x:v>750300</x:v>
      </x:c>
      <x:c r="N282" t="n">
        <x:v>1</x:v>
      </x:c>
      <x:c r="O282" t="n">
        <x:v>0</x:v>
      </x:c>
      <x:c r="P282" t="n">
        <x:v>1</x:v>
      </x:c>
    </x:row>
    <x:row r="283">
      <x:c r="A283" t="str">
        <x:v>2025-04</x:v>
      </x:c>
      <x:c r="B283" t="str">
        <x:v>USR-00104</x:v>
      </x:c>
      <x:c r="C283" t="str">
        <x:v>Cero</x:v>
      </x:c>
      <x:c r="D283" t="str">
        <x:v>Gratuita</x:v>
      </x:c>
      <x:c r="E283" t="str">
        <x:v>Bogotá</x:v>
      </x:c>
      <x:c r="F283" t="str">
        <x:v>Bogotá D.C.</x:v>
      </x:c>
      <x:c r="G283" t="n">
        <x:v>50</x:v>
      </x:c>
      <x:c r="H283" t="str">
        <x:v>Entre $3 M y $5 M</x:v>
      </x:c>
      <x:c r="I283" t="str">
        <x:v>Referidos</x:v>
      </x:c>
      <x:c r="J283" t="n">
        <x:v>2</x:v>
      </x:c>
      <x:c r="K283" t="n">
        <x:v>0</x:v>
      </x:c>
      <x:c r="L283" t="n">
        <x:v>18794847.59</x:v>
      </x:c>
      <x:c r="M283" t="n">
        <x:v>92900</x:v>
      </x:c>
      <x:c r="N283" t="n">
        <x:v>1</x:v>
      </x:c>
      <x:c r="O283" t="n">
        <x:v>0</x:v>
      </x:c>
      <x:c r="P283" t="n">
        <x:v>1</x:v>
      </x:c>
    </x:row>
    <x:row r="284">
      <x:c r="A284" t="str">
        <x:v>2025-04</x:v>
      </x:c>
      <x:c r="B284" t="str">
        <x:v>USR-00105</x:v>
      </x:c>
      <x:c r="C284" t="str">
        <x:v>Cero</x:v>
      </x:c>
      <x:c r="D284" t="str">
        <x:v>Gratuita</x:v>
      </x:c>
      <x:c r="E284" t="str">
        <x:v>Bucaramanga</x:v>
      </x:c>
      <x:c r="F284" t="str">
        <x:v>Santander</x:v>
      </x:c>
      <x:c r="G284" t="n">
        <x:v>44</x:v>
      </x:c>
      <x:c r="H284" t="str">
        <x:v>Entre $3 M y $5 M</x:v>
      </x:c>
      <x:c r="I284" t="str">
        <x:v>Orgánico</x:v>
      </x:c>
      <x:c r="J284" t="n">
        <x:v>1</x:v>
      </x:c>
      <x:c r="K284" t="n">
        <x:v>0</x:v>
      </x:c>
      <x:c r="L284" t="n">
        <x:v>1932616.75</x:v>
      </x:c>
      <x:c r="M284" t="n">
        <x:v>95800</x:v>
      </x:c>
      <x:c r="N284" t="n">
        <x:v>1</x:v>
      </x:c>
      <x:c r="O284" t="n">
        <x:v>0</x:v>
      </x:c>
      <x:c r="P284" t="n">
        <x:v>1</x:v>
      </x:c>
    </x:row>
    <x:row r="285">
      <x:c r="A285" t="str">
        <x:v>2025-04</x:v>
      </x:c>
      <x:c r="B285" t="str">
        <x:v>USR-00106</x:v>
      </x:c>
      <x:c r="C285" t="str">
        <x:v>Cero</x:v>
      </x:c>
      <x:c r="D285" t="str">
        <x:v>Gratuita</x:v>
      </x:c>
      <x:c r="E285" t="str">
        <x:v>Cartagena</x:v>
      </x:c>
      <x:c r="F285" t="str">
        <x:v>Bolívar</x:v>
      </x:c>
      <x:c r="G285" t="n">
        <x:v>29</x:v>
      </x:c>
      <x:c r="H285" t="str">
        <x:v>Menos de $1,5 M</x:v>
      </x:c>
      <x:c r="I285" t="str">
        <x:v>Redes sociales</x:v>
      </x:c>
      <x:c r="J285" t="n">
        <x:v>2</x:v>
      </x:c>
      <x:c r="K285" t="n">
        <x:v>0</x:v>
      </x:c>
      <x:c r="L285" t="n">
        <x:v>8530279.31</x:v>
      </x:c>
      <x:c r="M285" t="n">
        <x:v>286300</x:v>
      </x:c>
      <x:c r="N285" t="n">
        <x:v>2</x:v>
      </x:c>
      <x:c r="O285" t="n">
        <x:v>0</x:v>
      </x:c>
      <x:c r="P285" t="n">
        <x:v>1</x:v>
      </x:c>
    </x:row>
    <x:row r="286">
      <x:c r="A286" t="str">
        <x:v>2025-04</x:v>
      </x:c>
      <x:c r="B286" t="str">
        <x:v>USR-00107</x:v>
      </x:c>
      <x:c r="C286" t="str">
        <x:v>Cero</x:v>
      </x:c>
      <x:c r="D286" t="str">
        <x:v>Gratuita</x:v>
      </x:c>
      <x:c r="E286" t="str">
        <x:v>Medellín</x:v>
      </x:c>
      <x:c r="F286" t="str">
        <x:v>Antioquia</x:v>
      </x:c>
      <x:c r="G286" t="n">
        <x:v>63</x:v>
      </x:c>
      <x:c r="H286" t="str">
        <x:v>Más de $5 M</x:v>
      </x:c>
      <x:c r="I286" t="str">
        <x:v>Referidos</x:v>
      </x:c>
      <x:c r="J286" t="n">
        <x:v>2</x:v>
      </x:c>
      <x:c r="K286" t="n">
        <x:v>0</x:v>
      </x:c>
      <x:c r="L286" t="n">
        <x:v>11964418.6</x:v>
      </x:c>
      <x:c r="M286" t="n">
        <x:v>306200</x:v>
      </x:c>
      <x:c r="N286" t="n">
        <x:v>2</x:v>
      </x:c>
      <x:c r="O286" t="n">
        <x:v>0</x:v>
      </x:c>
      <x:c r="P286" t="n">
        <x:v>1</x:v>
      </x:c>
    </x:row>
    <x:row r="287">
      <x:c r="A287" t="str">
        <x:v>2025-04</x:v>
      </x:c>
      <x:c r="B287" t="str">
        <x:v>USR-00108</x:v>
      </x:c>
      <x:c r="C287" t="str">
        <x:v>Cero</x:v>
      </x:c>
      <x:c r="D287" t="str">
        <x:v>Gratuita</x:v>
      </x:c>
      <x:c r="E287" t="str">
        <x:v>Medellín</x:v>
      </x:c>
      <x:c r="F287" t="str">
        <x:v>Antioquia</x:v>
      </x:c>
      <x:c r="G287" t="n">
        <x:v>35</x:v>
      </x:c>
      <x:c r="H287" t="str">
        <x:v>Menos de $1,5 M</x:v>
      </x:c>
      <x:c r="I287" t="str">
        <x:v>Orgánico</x:v>
      </x:c>
      <x:c r="J287" t="n">
        <x:v>2</x:v>
      </x:c>
      <x:c r="K287" t="n">
        <x:v>0</x:v>
      </x:c>
      <x:c r="L287" t="n">
        <x:v>23016143.2</x:v>
      </x:c>
      <x:c r="M287" t="n">
        <x:v>347400</x:v>
      </x:c>
      <x:c r="N287" t="n">
        <x:v>1</x:v>
      </x:c>
      <x:c r="O287" t="n">
        <x:v>0</x:v>
      </x:c>
      <x:c r="P287" t="n">
        <x:v>1</x:v>
      </x:c>
    </x:row>
    <x:row r="288">
      <x:c r="A288" t="str">
        <x:v>2025-04</x:v>
      </x:c>
      <x:c r="B288" t="str">
        <x:v>USR-00109</x:v>
      </x:c>
      <x:c r="C288" t="str">
        <x:v>Cero</x:v>
      </x:c>
      <x:c r="D288" t="str">
        <x:v>Gratuita</x:v>
      </x:c>
      <x:c r="E288" t="str">
        <x:v>Cali</x:v>
      </x:c>
      <x:c r="F288" t="str">
        <x:v>Valle del Cauca</x:v>
      </x:c>
      <x:c r="G288" t="n">
        <x:v>61</x:v>
      </x:c>
      <x:c r="H288" t="str">
        <x:v>Menos de $1,5 M</x:v>
      </x:c>
      <x:c r="I288" t="str">
        <x:v>Redes sociales</x:v>
      </x:c>
      <x:c r="J288" t="n">
        <x:v>2</x:v>
      </x:c>
      <x:c r="K288" t="n">
        <x:v>0</x:v>
      </x:c>
      <x:c r="L288" t="n">
        <x:v>58863593.99</x:v>
      </x:c>
      <x:c r="M288" t="n">
        <x:v>381600</x:v>
      </x:c>
      <x:c r="N288" t="n">
        <x:v>1</x:v>
      </x:c>
      <x:c r="O288" t="n">
        <x:v>0</x:v>
      </x:c>
      <x:c r="P288" t="n">
        <x:v>1</x:v>
      </x:c>
    </x:row>
    <x:row r="289">
      <x:c r="A289" t="str">
        <x:v>2025-04</x:v>
      </x:c>
      <x:c r="B289" t="str">
        <x:v>USR-00110</x:v>
      </x:c>
      <x:c r="C289" t="str">
        <x:v>Cero</x:v>
      </x:c>
      <x:c r="D289" t="str">
        <x:v>Gratuita</x:v>
      </x:c>
      <x:c r="E289" t="str">
        <x:v>Barranquilla</x:v>
      </x:c>
      <x:c r="F289" t="str">
        <x:v>Atlántico</x:v>
      </x:c>
      <x:c r="G289" t="n">
        <x:v>50</x:v>
      </x:c>
      <x:c r="H289" t="str">
        <x:v>Más de $5 M</x:v>
      </x:c>
      <x:c r="I289" t="str">
        <x:v>Alianzas</x:v>
      </x:c>
      <x:c r="J289" t="n">
        <x:v>1</x:v>
      </x:c>
      <x:c r="K289" t="n">
        <x:v>0</x:v>
      </x:c>
      <x:c r="L289" t="n">
        <x:v>8008706.3</x:v>
      </x:c>
      <x:c r="M289" t="n">
        <x:v>0</x:v>
      </x:c>
      <x:c r="N289" t="n">
        <x:v>0</x:v>
      </x:c>
      <x:c r="O289" t="n">
        <x:v>0</x:v>
      </x:c>
      <x:c r="P289" t="n">
        <x:v>1</x:v>
      </x:c>
    </x:row>
    <x:row r="290">
      <x:c r="A290" t="str">
        <x:v>2025-04</x:v>
      </x:c>
      <x:c r="B290" t="str">
        <x:v>USR-00111</x:v>
      </x:c>
      <x:c r="C290" t="str">
        <x:v>Cero</x:v>
      </x:c>
      <x:c r="D290" t="str">
        <x:v>Gratuita</x:v>
      </x:c>
      <x:c r="E290" t="str">
        <x:v>Bogotá</x:v>
      </x:c>
      <x:c r="F290" t="str">
        <x:v>Bogotá D.C.</x:v>
      </x:c>
      <x:c r="G290" t="n">
        <x:v>38</x:v>
      </x:c>
      <x:c r="H290" t="str">
        <x:v>Menos de $1,5 M</x:v>
      </x:c>
      <x:c r="I290" t="str">
        <x:v>Redes sociales</x:v>
      </x:c>
      <x:c r="J290" t="n">
        <x:v>2</x:v>
      </x:c>
      <x:c r="K290" t="n">
        <x:v>0</x:v>
      </x:c>
      <x:c r="L290" t="n">
        <x:v>24967946.87</x:v>
      </x:c>
      <x:c r="M290" t="n">
        <x:v>360500</x:v>
      </x:c>
      <x:c r="N290" t="n">
        <x:v>1</x:v>
      </x:c>
      <x:c r="O290" t="n">
        <x:v>0</x:v>
      </x:c>
      <x:c r="P290" t="n">
        <x:v>1</x:v>
      </x:c>
    </x:row>
    <x:row r="291">
      <x:c r="A291" t="str">
        <x:v>2025-04</x:v>
      </x:c>
      <x:c r="B291" t="str">
        <x:v>USR-00112</x:v>
      </x:c>
      <x:c r="C291" t="str">
        <x:v>Cero</x:v>
      </x:c>
      <x:c r="D291" t="str">
        <x:v>Gratuita</x:v>
      </x:c>
      <x:c r="E291" t="str">
        <x:v>Medellín</x:v>
      </x:c>
      <x:c r="F291" t="str">
        <x:v>Antioquia</x:v>
      </x:c>
      <x:c r="G291" t="n">
        <x:v>35</x:v>
      </x:c>
      <x:c r="H291" t="str">
        <x:v>Entre $1,5 M y $3 M</x:v>
      </x:c>
      <x:c r="I291" t="str">
        <x:v>Referidos</x:v>
      </x:c>
      <x:c r="J291" t="n">
        <x:v>1</x:v>
      </x:c>
      <x:c r="K291" t="n">
        <x:v>0</x:v>
      </x:c>
      <x:c r="L291" t="n">
        <x:v>4368376.95</x:v>
      </x:c>
      <x:c r="M291" t="n">
        <x:v>446800</x:v>
      </x:c>
      <x:c r="N291" t="n">
        <x:v>1</x:v>
      </x:c>
      <x:c r="O291" t="n">
        <x:v>0</x:v>
      </x:c>
      <x:c r="P291" t="n">
        <x:v>1</x:v>
      </x:c>
    </x:row>
    <x:row r="292">
      <x:c r="A292" t="str">
        <x:v>2025-04</x:v>
      </x:c>
      <x:c r="B292" t="str">
        <x:v>USR-00113</x:v>
      </x:c>
      <x:c r="C292" t="str">
        <x:v>Cero</x:v>
      </x:c>
      <x:c r="D292" t="str">
        <x:v>Gratuita</x:v>
      </x:c>
      <x:c r="E292" t="str">
        <x:v>Barranquilla</x:v>
      </x:c>
      <x:c r="F292" t="str">
        <x:v>Atlántico</x:v>
      </x:c>
      <x:c r="G292" t="n">
        <x:v>64</x:v>
      </x:c>
      <x:c r="H292" t="str">
        <x:v>Entre $1,5 M y $3 M</x:v>
      </x:c>
      <x:c r="I292" t="str">
        <x:v>Redes sociales</x:v>
      </x:c>
      <x:c r="J292" t="n">
        <x:v>1</x:v>
      </x:c>
      <x:c r="K292" t="n">
        <x:v>0</x:v>
      </x:c>
      <x:c r="L292" t="n">
        <x:v>1944175.95</x:v>
      </x:c>
      <x:c r="M292" t="n">
        <x:v>0</x:v>
      </x:c>
      <x:c r="N292" t="n">
        <x:v>0</x:v>
      </x:c>
      <x:c r="O292" t="n">
        <x:v>0</x:v>
      </x:c>
      <x:c r="P292" t="n">
        <x:v>1</x:v>
      </x:c>
    </x:row>
    <x:row r="293">
      <x:c r="A293" t="str">
        <x:v>2025-04</x:v>
      </x:c>
      <x:c r="B293" t="str">
        <x:v>USR-00114</x:v>
      </x:c>
      <x:c r="C293" t="str">
        <x:v>Cero</x:v>
      </x:c>
      <x:c r="D293" t="str">
        <x:v>Gratuita</x:v>
      </x:c>
      <x:c r="E293" t="str">
        <x:v>Bogotá</x:v>
      </x:c>
      <x:c r="F293" t="str">
        <x:v>Bogotá D.C.</x:v>
      </x:c>
      <x:c r="G293" t="n">
        <x:v>20</x:v>
      </x:c>
      <x:c r="H293" t="str">
        <x:v>Entre $3 M y $5 M</x:v>
      </x:c>
      <x:c r="I293" t="str">
        <x:v>Redes sociales</x:v>
      </x:c>
      <x:c r="J293" t="n">
        <x:v>2</x:v>
      </x:c>
      <x:c r="K293" t="n">
        <x:v>0</x:v>
      </x:c>
      <x:c r="L293" t="n">
        <x:v>12514849.72</x:v>
      </x:c>
      <x:c r="M293" t="n">
        <x:v>673200</x:v>
      </x:c>
      <x:c r="N293" t="n">
        <x:v>2</x:v>
      </x:c>
      <x:c r="O293" t="n">
        <x:v>0</x:v>
      </x:c>
      <x:c r="P293" t="n">
        <x:v>1</x:v>
      </x:c>
    </x:row>
    <x:row r="294">
      <x:c r="A294" t="str">
        <x:v>2025-04</x:v>
      </x:c>
      <x:c r="B294" t="str">
        <x:v>USR-00115</x:v>
      </x:c>
      <x:c r="C294" t="str">
        <x:v>Cero</x:v>
      </x:c>
      <x:c r="D294" t="str">
        <x:v>Gratuita</x:v>
      </x:c>
      <x:c r="E294" t="str">
        <x:v>Cali</x:v>
      </x:c>
      <x:c r="F294" t="str">
        <x:v>Valle del Cauca</x:v>
      </x:c>
      <x:c r="G294" t="n">
        <x:v>59</x:v>
      </x:c>
      <x:c r="H294" t="str">
        <x:v>Entre $3 M y $5 M</x:v>
      </x:c>
      <x:c r="I294" t="str">
        <x:v>Contenido educativo</x:v>
      </x:c>
      <x:c r="J294" t="n">
        <x:v>2</x:v>
      </x:c>
      <x:c r="K294" t="n">
        <x:v>0</x:v>
      </x:c>
      <x:c r="L294" t="n">
        <x:v>38000913.16</x:v>
      </x:c>
      <x:c r="M294" t="n">
        <x:v>1889700</x:v>
      </x:c>
      <x:c r="N294" t="n">
        <x:v>2</x:v>
      </x:c>
      <x:c r="O294" t="n">
        <x:v>0</x:v>
      </x:c>
      <x:c r="P294" t="n">
        <x:v>1</x:v>
      </x:c>
    </x:row>
    <x:row r="295">
      <x:c r="A295" t="str">
        <x:v>2025-04</x:v>
      </x:c>
      <x:c r="B295" t="str">
        <x:v>USR-00116</x:v>
      </x:c>
      <x:c r="C295" t="str">
        <x:v>Cero</x:v>
      </x:c>
      <x:c r="D295" t="str">
        <x:v>Gratuita</x:v>
      </x:c>
      <x:c r="E295" t="str">
        <x:v>Medellín</x:v>
      </x:c>
      <x:c r="F295" t="str">
        <x:v>Antioquia</x:v>
      </x:c>
      <x:c r="G295" t="n">
        <x:v>56</x:v>
      </x:c>
      <x:c r="H295" t="str">
        <x:v>Entre $1,5 M y $3 M</x:v>
      </x:c>
      <x:c r="I295" t="str">
        <x:v>Alianzas</x:v>
      </x:c>
      <x:c r="J295" t="n">
        <x:v>1</x:v>
      </x:c>
      <x:c r="K295" t="n">
        <x:v>0</x:v>
      </x:c>
      <x:c r="L295" t="n">
        <x:v>5601291.97</x:v>
      </x:c>
      <x:c r="M295" t="n">
        <x:v>164600</x:v>
      </x:c>
      <x:c r="N295" t="n">
        <x:v>1</x:v>
      </x:c>
      <x:c r="O295" t="n">
        <x:v>0</x:v>
      </x:c>
      <x:c r="P295" t="n">
        <x:v>1</x:v>
      </x:c>
    </x:row>
    <x:row r="296">
      <x:c r="A296" t="str">
        <x:v>2025-04</x:v>
      </x:c>
      <x:c r="B296" t="str">
        <x:v>USR-00117</x:v>
      </x:c>
      <x:c r="C296" t="str">
        <x:v>Cero</x:v>
      </x:c>
      <x:c r="D296" t="str">
        <x:v>Gratuita</x:v>
      </x:c>
      <x:c r="E296" t="str">
        <x:v>Bogotá</x:v>
      </x:c>
      <x:c r="F296" t="str">
        <x:v>Bogotá D.C.</x:v>
      </x:c>
      <x:c r="G296" t="n">
        <x:v>56</x:v>
      </x:c>
      <x:c r="H296" t="str">
        <x:v>Menos de $1,5 M</x:v>
      </x:c>
      <x:c r="I296" t="str">
        <x:v>Orgánico</x:v>
      </x:c>
      <x:c r="J296" t="n">
        <x:v>1</x:v>
      </x:c>
      <x:c r="K296" t="n">
        <x:v>0</x:v>
      </x:c>
      <x:c r="L296" t="n">
        <x:v>2253651.59</x:v>
      </x:c>
      <x:c r="M296" t="n">
        <x:v>104100</x:v>
      </x:c>
      <x:c r="N296" t="n">
        <x:v>1</x:v>
      </x:c>
      <x:c r="O296" t="n">
        <x:v>0</x:v>
      </x:c>
      <x:c r="P296" t="n">
        <x:v>1</x:v>
      </x:c>
    </x:row>
    <x:row r="297">
      <x:c r="A297" t="str">
        <x:v>2025-04</x:v>
      </x:c>
      <x:c r="B297" t="str">
        <x:v>USR-00118</x:v>
      </x:c>
      <x:c r="C297" t="str">
        <x:v>Cero</x:v>
      </x:c>
      <x:c r="D297" t="str">
        <x:v>Gratuita</x:v>
      </x:c>
      <x:c r="E297" t="str">
        <x:v>Bogotá</x:v>
      </x:c>
      <x:c r="F297" t="str">
        <x:v>Bogotá D.C.</x:v>
      </x:c>
      <x:c r="G297" t="n">
        <x:v>39</x:v>
      </x:c>
      <x:c r="H297" t="str">
        <x:v>Entre $1,5 M y $3 M</x:v>
      </x:c>
      <x:c r="I297" t="str">
        <x:v>Orgánico</x:v>
      </x:c>
      <x:c r="J297" t="n">
        <x:v>1</x:v>
      </x:c>
      <x:c r="K297" t="n">
        <x:v>0</x:v>
      </x:c>
      <x:c r="L297" t="n">
        <x:v>12223842.81</x:v>
      </x:c>
      <x:c r="M297" t="n">
        <x:v>0</x:v>
      </x:c>
      <x:c r="N297" t="n">
        <x:v>0</x:v>
      </x:c>
      <x:c r="O297" t="n">
        <x:v>0</x:v>
      </x:c>
      <x:c r="P297" t="n">
        <x:v>1</x:v>
      </x:c>
    </x:row>
    <x:row r="298">
      <x:c r="A298" t="str">
        <x:v>2025-04</x:v>
      </x:c>
      <x:c r="B298" t="str">
        <x:v>USR-00119</x:v>
      </x:c>
      <x:c r="C298" t="str">
        <x:v>Cero</x:v>
      </x:c>
      <x:c r="D298" t="str">
        <x:v>Gratuita</x:v>
      </x:c>
      <x:c r="E298" t="str">
        <x:v>Bogotá</x:v>
      </x:c>
      <x:c r="F298" t="str">
        <x:v>Bogotá D.C.</x:v>
      </x:c>
      <x:c r="G298" t="n">
        <x:v>53</x:v>
      </x:c>
      <x:c r="H298" t="str">
        <x:v>Entre $1,5 M y $3 M</x:v>
      </x:c>
      <x:c r="I298" t="str">
        <x:v>Búsqueda paga</x:v>
      </x:c>
      <x:c r="J298" t="n">
        <x:v>2</x:v>
      </x:c>
      <x:c r="K298" t="n">
        <x:v>0</x:v>
      </x:c>
      <x:c r="L298" t="n">
        <x:v>18201967.4</x:v>
      </x:c>
      <x:c r="M298" t="n">
        <x:v>595600</x:v>
      </x:c>
      <x:c r="N298" t="n">
        <x:v>2</x:v>
      </x:c>
      <x:c r="O298" t="n">
        <x:v>0</x:v>
      </x:c>
      <x:c r="P298" t="n">
        <x:v>1</x:v>
      </x:c>
    </x:row>
    <x:row r="299">
      <x:c r="A299" t="str">
        <x:v>2025-04</x:v>
      </x:c>
      <x:c r="B299" t="str">
        <x:v>USR-00120</x:v>
      </x:c>
      <x:c r="C299" t="str">
        <x:v>Cero</x:v>
      </x:c>
      <x:c r="D299" t="str">
        <x:v>Gratuita</x:v>
      </x:c>
      <x:c r="E299" t="str">
        <x:v>Bogotá</x:v>
      </x:c>
      <x:c r="F299" t="str">
        <x:v>Bogotá D.C.</x:v>
      </x:c>
      <x:c r="G299" t="n">
        <x:v>54</x:v>
      </x:c>
      <x:c r="H299" t="str">
        <x:v>Más de $5 M</x:v>
      </x:c>
      <x:c r="I299" t="str">
        <x:v>Orgánico</x:v>
      </x:c>
      <x:c r="J299" t="n">
        <x:v>2</x:v>
      </x:c>
      <x:c r="K299" t="n">
        <x:v>0</x:v>
      </x:c>
      <x:c r="L299" t="n">
        <x:v>17051296.94</x:v>
      </x:c>
      <x:c r="M299" t="n">
        <x:v>969100</x:v>
      </x:c>
      <x:c r="N299" t="n">
        <x:v>2</x:v>
      </x:c>
      <x:c r="O299" t="n">
        <x:v>0</x:v>
      </x:c>
      <x:c r="P299" t="n">
        <x:v>1</x:v>
      </x:c>
    </x:row>
    <x:row r="300">
      <x:c r="A300" t="str">
        <x:v>2025-04</x:v>
      </x:c>
      <x:c r="B300" t="str">
        <x:v>USR-00121</x:v>
      </x:c>
      <x:c r="C300" t="str">
        <x:v>Cero</x:v>
      </x:c>
      <x:c r="D300" t="str">
        <x:v>Gratuita</x:v>
      </x:c>
      <x:c r="E300" t="str">
        <x:v>Bogotá</x:v>
      </x:c>
      <x:c r="F300" t="str">
        <x:v>Bogotá D.C.</x:v>
      </x:c>
      <x:c r="G300" t="n">
        <x:v>59</x:v>
      </x:c>
      <x:c r="H300" t="str">
        <x:v>Menos de $1,5 M</x:v>
      </x:c>
      <x:c r="I300" t="str">
        <x:v>Orgánico</x:v>
      </x:c>
      <x:c r="J300" t="n">
        <x:v>1</x:v>
      </x:c>
      <x:c r="K300" t="n">
        <x:v>0</x:v>
      </x:c>
      <x:c r="L300" t="n">
        <x:v>4941363.65</x:v>
      </x:c>
      <x:c r="M300" t="n">
        <x:v>172000</x:v>
      </x:c>
      <x:c r="N300" t="n">
        <x:v>1</x:v>
      </x:c>
      <x:c r="O300" t="n">
        <x:v>0</x:v>
      </x:c>
      <x:c r="P300" t="n">
        <x:v>1</x:v>
      </x:c>
    </x:row>
    <x:row r="301">
      <x:c r="A301" t="str">
        <x:v>2025-05</x:v>
      </x:c>
      <x:c r="B301" t="str">
        <x:v>USR-00001</x:v>
      </x:c>
      <x:c r="C301" t="str">
        <x:v>Cero</x:v>
      </x:c>
      <x:c r="D301" t="str">
        <x:v>Gratuita</x:v>
      </x:c>
      <x:c r="E301" t="str">
        <x:v>Medellín</x:v>
      </x:c>
      <x:c r="F301" t="str">
        <x:v>Antioquia</x:v>
      </x:c>
      <x:c r="G301" t="n">
        <x:v>44</x:v>
      </x:c>
      <x:c r="H301" t="str">
        <x:v>Entre $1,5 M y $3 M</x:v>
      </x:c>
      <x:c r="I301" t="str">
        <x:v>Redes sociales</x:v>
      </x:c>
      <x:c r="J301" t="n">
        <x:v>1</x:v>
      </x:c>
      <x:c r="K301" t="n">
        <x:v>0</x:v>
      </x:c>
      <x:c r="L301" t="n">
        <x:v>16982601.08</x:v>
      </x:c>
      <x:c r="M301" t="n">
        <x:v>621500</x:v>
      </x:c>
      <x:c r="N301" t="n">
        <x:v>1</x:v>
      </x:c>
      <x:c r="O301" t="n">
        <x:v>0</x:v>
      </x:c>
      <x:c r="P301" t="n">
        <x:v>5</x:v>
      </x:c>
    </x:row>
    <x:row r="302">
      <x:c r="A302" t="str">
        <x:v>2025-05</x:v>
      </x:c>
      <x:c r="B302" t="str">
        <x:v>USR-00002</x:v>
      </x:c>
      <x:c r="C302" t="str">
        <x:v>Cero</x:v>
      </x:c>
      <x:c r="D302" t="str">
        <x:v>Gratuita</x:v>
      </x:c>
      <x:c r="E302" t="str">
        <x:v>Bogotá</x:v>
      </x:c>
      <x:c r="F302" t="str">
        <x:v>Bogotá D.C.</x:v>
      </x:c>
      <x:c r="G302" t="n">
        <x:v>54</x:v>
      </x:c>
      <x:c r="H302" t="str">
        <x:v>Entre $3 M y $5 M</x:v>
      </x:c>
      <x:c r="I302" t="str">
        <x:v>Alianzas</x:v>
      </x:c>
      <x:c r="J302" t="n">
        <x:v>2</x:v>
      </x:c>
      <x:c r="K302" t="n">
        <x:v>0</x:v>
      </x:c>
      <x:c r="L302" t="n">
        <x:v>31282701.78</x:v>
      </x:c>
      <x:c r="M302" t="n">
        <x:v>1622700</x:v>
      </x:c>
      <x:c r="N302" t="n">
        <x:v>2</x:v>
      </x:c>
      <x:c r="O302" t="n">
        <x:v>0</x:v>
      </x:c>
      <x:c r="P302" t="n">
        <x:v>5</x:v>
      </x:c>
    </x:row>
    <x:row r="303">
      <x:c r="A303" t="str">
        <x:v>2025-05</x:v>
      </x:c>
      <x:c r="B303" t="str">
        <x:v>USR-00003</x:v>
      </x:c>
      <x:c r="C303" t="str">
        <x:v>Cero</x:v>
      </x:c>
      <x:c r="D303" t="str">
        <x:v>Gratuita</x:v>
      </x:c>
      <x:c r="E303" t="str">
        <x:v>Bogotá</x:v>
      </x:c>
      <x:c r="F303" t="str">
        <x:v>Bogotá D.C.</x:v>
      </x:c>
      <x:c r="G303" t="n">
        <x:v>63</x:v>
      </x:c>
      <x:c r="H303" t="str">
        <x:v>Entre $1,5 M y $3 M</x:v>
      </x:c>
      <x:c r="I303" t="str">
        <x:v>Redes sociales</x:v>
      </x:c>
      <x:c r="J303" t="n">
        <x:v>2</x:v>
      </x:c>
      <x:c r="K303" t="n">
        <x:v>0</x:v>
      </x:c>
      <x:c r="L303" t="n">
        <x:v>20139502.78</x:v>
      </x:c>
      <x:c r="M303" t="n">
        <x:v>612500</x:v>
      </x:c>
      <x:c r="N303" t="n">
        <x:v>1</x:v>
      </x:c>
      <x:c r="O303" t="n">
        <x:v>0</x:v>
      </x:c>
      <x:c r="P303" t="n">
        <x:v>5</x:v>
      </x:c>
    </x:row>
    <x:row r="304">
      <x:c r="A304" t="str">
        <x:v>2025-05</x:v>
      </x:c>
      <x:c r="B304" t="str">
        <x:v>USR-00004</x:v>
      </x:c>
      <x:c r="C304" t="str">
        <x:v>Plus anual</x:v>
      </x:c>
      <x:c r="D304" t="str">
        <x:v>Pago</x:v>
      </x:c>
      <x:c r="E304" t="str">
        <x:v>Bogotá</x:v>
      </x:c>
      <x:c r="F304" t="str">
        <x:v>Bogotá D.C.</x:v>
      </x:c>
      <x:c r="G304" t="n">
        <x:v>49</x:v>
      </x:c>
      <x:c r="H304" t="str">
        <x:v>Menos de $1,5 M</x:v>
      </x:c>
      <x:c r="I304" t="str">
        <x:v>Alianzas</x:v>
      </x:c>
      <x:c r="J304" t="n">
        <x:v>2</x:v>
      </x:c>
      <x:c r="K304" t="n">
        <x:v>0</x:v>
      </x:c>
      <x:c r="L304" t="n">
        <x:v>16710908</x:v>
      </x:c>
      <x:c r="M304" t="n">
        <x:v>962200</x:v>
      </x:c>
      <x:c r="N304" t="n">
        <x:v>2</x:v>
      </x:c>
      <x:c r="O304" t="n">
        <x:v>24916.67</x:v>
      </x:c>
      <x:c r="P304" t="n">
        <x:v>5</x:v>
      </x:c>
    </x:row>
    <x:row r="305">
      <x:c r="A305" t="str">
        <x:v>2025-05</x:v>
      </x:c>
      <x:c r="B305" t="str">
        <x:v>USR-00005</x:v>
      </x:c>
      <x:c r="C305" t="str">
        <x:v>Plus anual</x:v>
      </x:c>
      <x:c r="D305" t="str">
        <x:v>Pago</x:v>
      </x:c>
      <x:c r="E305" t="str">
        <x:v>Bogotá</x:v>
      </x:c>
      <x:c r="F305" t="str">
        <x:v>Bogotá D.C.</x:v>
      </x:c>
      <x:c r="G305" t="n">
        <x:v>45</x:v>
      </x:c>
      <x:c r="H305" t="str">
        <x:v>Entre $1,5 M y $3 M</x:v>
      </x:c>
      <x:c r="I305" t="str">
        <x:v>Orgánico</x:v>
      </x:c>
      <x:c r="J305" t="n">
        <x:v>2</x:v>
      </x:c>
      <x:c r="K305" t="n">
        <x:v>0</x:v>
      </x:c>
      <x:c r="L305" t="n">
        <x:v>8549739.39</x:v>
      </x:c>
      <x:c r="M305" t="n">
        <x:v>539900</x:v>
      </x:c>
      <x:c r="N305" t="n">
        <x:v>2</x:v>
      </x:c>
      <x:c r="O305" t="n">
        <x:v>24916.67</x:v>
      </x:c>
      <x:c r="P305" t="n">
        <x:v>5</x:v>
      </x:c>
    </x:row>
    <x:row r="306">
      <x:c r="A306" t="str">
        <x:v>2025-05</x:v>
      </x:c>
      <x:c r="B306" t="str">
        <x:v>USR-00006</x:v>
      </x:c>
      <x:c r="C306" t="str">
        <x:v>Cero</x:v>
      </x:c>
      <x:c r="D306" t="str">
        <x:v>Gratuita</x:v>
      </x:c>
      <x:c r="E306" t="str">
        <x:v>Medellín</x:v>
      </x:c>
      <x:c r="F306" t="str">
        <x:v>Antioquia</x:v>
      </x:c>
      <x:c r="G306" t="n">
        <x:v>62</x:v>
      </x:c>
      <x:c r="H306" t="str">
        <x:v>Entre $3 M y $5 M</x:v>
      </x:c>
      <x:c r="I306" t="str">
        <x:v>Redes sociales</x:v>
      </x:c>
      <x:c r="J306" t="n">
        <x:v>1</x:v>
      </x:c>
      <x:c r="K306" t="n">
        <x:v>0</x:v>
      </x:c>
      <x:c r="L306" t="n">
        <x:v>12208457.36</x:v>
      </x:c>
      <x:c r="M306" t="n">
        <x:v>0</x:v>
      </x:c>
      <x:c r="N306" t="n">
        <x:v>0</x:v>
      </x:c>
      <x:c r="O306" t="n">
        <x:v>0</x:v>
      </x:c>
      <x:c r="P306" t="n">
        <x:v>5</x:v>
      </x:c>
    </x:row>
    <x:row r="307">
      <x:c r="A307" t="str">
        <x:v>2025-05</x:v>
      </x:c>
      <x:c r="B307" t="str">
        <x:v>USR-00007</x:v>
      </x:c>
      <x:c r="C307" t="str">
        <x:v>Cero</x:v>
      </x:c>
      <x:c r="D307" t="str">
        <x:v>Gratuita</x:v>
      </x:c>
      <x:c r="E307" t="str">
        <x:v>Bogotá</x:v>
      </x:c>
      <x:c r="F307" t="str">
        <x:v>Bogotá D.C.</x:v>
      </x:c>
      <x:c r="G307" t="n">
        <x:v>34</x:v>
      </x:c>
      <x:c r="H307" t="str">
        <x:v>Entre $1,5 M y $3 M</x:v>
      </x:c>
      <x:c r="I307" t="str">
        <x:v>Redes sociales</x:v>
      </x:c>
      <x:c r="J307" t="n">
        <x:v>2</x:v>
      </x:c>
      <x:c r="K307" t="n">
        <x:v>0</x:v>
      </x:c>
      <x:c r="L307" t="n">
        <x:v>22049842.51</x:v>
      </x:c>
      <x:c r="M307" t="n">
        <x:v>242200</x:v>
      </x:c>
      <x:c r="N307" t="n">
        <x:v>1</x:v>
      </x:c>
      <x:c r="O307" t="n">
        <x:v>0</x:v>
      </x:c>
      <x:c r="P307" t="n">
        <x:v>5</x:v>
      </x:c>
    </x:row>
    <x:row r="308">
      <x:c r="A308" t="str">
        <x:v>2025-05</x:v>
      </x:c>
      <x:c r="B308" t="str">
        <x:v>USR-00008</x:v>
      </x:c>
      <x:c r="C308" t="str">
        <x:v>Cero</x:v>
      </x:c>
      <x:c r="D308" t="str">
        <x:v>Gratuita</x:v>
      </x:c>
      <x:c r="E308" t="str">
        <x:v>Barranquilla</x:v>
      </x:c>
      <x:c r="F308" t="str">
        <x:v>Atlántico</x:v>
      </x:c>
      <x:c r="G308" t="n">
        <x:v>33</x:v>
      </x:c>
      <x:c r="H308" t="str">
        <x:v>Más de $5 M</x:v>
      </x:c>
      <x:c r="I308" t="str">
        <x:v>Redes sociales</x:v>
      </x:c>
      <x:c r="J308" t="n">
        <x:v>2</x:v>
      </x:c>
      <x:c r="K308" t="n">
        <x:v>0</x:v>
      </x:c>
      <x:c r="L308" t="n">
        <x:v>25642113.35</x:v>
      </x:c>
      <x:c r="M308" t="n">
        <x:v>1625500</x:v>
      </x:c>
      <x:c r="N308" t="n">
        <x:v>2</x:v>
      </x:c>
      <x:c r="O308" t="n">
        <x:v>0</x:v>
      </x:c>
      <x:c r="P308" t="n">
        <x:v>5</x:v>
      </x:c>
    </x:row>
    <x:row r="309">
      <x:c r="A309" t="str">
        <x:v>2025-05</x:v>
      </x:c>
      <x:c r="B309" t="str">
        <x:v>USR-00009</x:v>
      </x:c>
      <x:c r="C309" t="str">
        <x:v>Cero</x:v>
      </x:c>
      <x:c r="D309" t="str">
        <x:v>Gratuita</x:v>
      </x:c>
      <x:c r="E309" t="str">
        <x:v>Barranquilla</x:v>
      </x:c>
      <x:c r="F309" t="str">
        <x:v>Atlántico</x:v>
      </x:c>
      <x:c r="G309" t="n">
        <x:v>46</x:v>
      </x:c>
      <x:c r="H309" t="str">
        <x:v>Entre $1,5 M y $3 M</x:v>
      </x:c>
      <x:c r="I309" t="str">
        <x:v>Orgánico</x:v>
      </x:c>
      <x:c r="J309" t="n">
        <x:v>1</x:v>
      </x:c>
      <x:c r="K309" t="n">
        <x:v>0</x:v>
      </x:c>
      <x:c r="L309" t="n">
        <x:v>5389392.64</x:v>
      </x:c>
      <x:c r="M309" t="n">
        <x:v>206900</x:v>
      </x:c>
      <x:c r="N309" t="n">
        <x:v>1</x:v>
      </x:c>
      <x:c r="O309" t="n">
        <x:v>0</x:v>
      </x:c>
      <x:c r="P309" t="n">
        <x:v>5</x:v>
      </x:c>
    </x:row>
    <x:row r="310">
      <x:c r="A310" t="str">
        <x:v>2025-05</x:v>
      </x:c>
      <x:c r="B310" t="str">
        <x:v>USR-00010</x:v>
      </x:c>
      <x:c r="C310" t="str">
        <x:v>Cero</x:v>
      </x:c>
      <x:c r="D310" t="str">
        <x:v>Gratuita</x:v>
      </x:c>
      <x:c r="E310" t="str">
        <x:v>Bogotá</x:v>
      </x:c>
      <x:c r="F310" t="str">
        <x:v>Bogotá D.C.</x:v>
      </x:c>
      <x:c r="G310" t="n">
        <x:v>63</x:v>
      </x:c>
      <x:c r="H310" t="str">
        <x:v>Entre $3 M y $5 M</x:v>
      </x:c>
      <x:c r="I310" t="str">
        <x:v>Contenido educativo</x:v>
      </x:c>
      <x:c r="J310" t="n">
        <x:v>2</x:v>
      </x:c>
      <x:c r="K310" t="n">
        <x:v>0</x:v>
      </x:c>
      <x:c r="L310" t="n">
        <x:v>18983732.99</x:v>
      </x:c>
      <x:c r="M310" t="n">
        <x:v>1278200</x:v>
      </x:c>
      <x:c r="N310" t="n">
        <x:v>1</x:v>
      </x:c>
      <x:c r="O310" t="n">
        <x:v>0</x:v>
      </x:c>
      <x:c r="P310" t="n">
        <x:v>5</x:v>
      </x:c>
    </x:row>
    <x:row r="311">
      <x:c r="A311" t="str">
        <x:v>2025-05</x:v>
      </x:c>
      <x:c r="B311" t="str">
        <x:v>USR-00011</x:v>
      </x:c>
      <x:c r="C311" t="str">
        <x:v>Cero</x:v>
      </x:c>
      <x:c r="D311" t="str">
        <x:v>Gratuita</x:v>
      </x:c>
      <x:c r="E311" t="str">
        <x:v>Bogotá</x:v>
      </x:c>
      <x:c r="F311" t="str">
        <x:v>Bogotá D.C.</x:v>
      </x:c>
      <x:c r="G311" t="n">
        <x:v>38</x:v>
      </x:c>
      <x:c r="H311" t="str">
        <x:v>Entre $1,5 M y $3 M</x:v>
      </x:c>
      <x:c r="I311" t="str">
        <x:v>Contenido educativo</x:v>
      </x:c>
      <x:c r="J311" t="n">
        <x:v>2</x:v>
      </x:c>
      <x:c r="K311" t="n">
        <x:v>0</x:v>
      </x:c>
      <x:c r="L311" t="n">
        <x:v>16147106.3</x:v>
      </x:c>
      <x:c r="M311" t="n">
        <x:v>1949900</x:v>
      </x:c>
      <x:c r="N311" t="n">
        <x:v>2</x:v>
      </x:c>
      <x:c r="O311" t="n">
        <x:v>0</x:v>
      </x:c>
      <x:c r="P311" t="n">
        <x:v>5</x:v>
      </x:c>
    </x:row>
    <x:row r="312">
      <x:c r="A312" t="str">
        <x:v>2025-05</x:v>
      </x:c>
      <x:c r="B312" t="str">
        <x:v>USR-00012</x:v>
      </x:c>
      <x:c r="C312" t="str">
        <x:v>Cero</x:v>
      </x:c>
      <x:c r="D312" t="str">
        <x:v>Gratuita</x:v>
      </x:c>
      <x:c r="E312" t="str">
        <x:v>Bogotá</x:v>
      </x:c>
      <x:c r="F312" t="str">
        <x:v>Bogotá D.C.</x:v>
      </x:c>
      <x:c r="G312" t="n">
        <x:v>37</x:v>
      </x:c>
      <x:c r="H312" t="str">
        <x:v>Entre $1,5 M y $3 M</x:v>
      </x:c>
      <x:c r="I312" t="str">
        <x:v>Referidos</x:v>
      </x:c>
      <x:c r="J312" t="n">
        <x:v>2</x:v>
      </x:c>
      <x:c r="K312" t="n">
        <x:v>0</x:v>
      </x:c>
      <x:c r="L312" t="n">
        <x:v>16503782.76</x:v>
      </x:c>
      <x:c r="M312" t="n">
        <x:v>1024600</x:v>
      </x:c>
      <x:c r="N312" t="n">
        <x:v>2</x:v>
      </x:c>
      <x:c r="O312" t="n">
        <x:v>0</x:v>
      </x:c>
      <x:c r="P312" t="n">
        <x:v>5</x:v>
      </x:c>
    </x:row>
    <x:row r="313">
      <x:c r="A313" t="str">
        <x:v>2025-05</x:v>
      </x:c>
      <x:c r="B313" t="str">
        <x:v>USR-00013</x:v>
      </x:c>
      <x:c r="C313" t="str">
        <x:v>Cero</x:v>
      </x:c>
      <x:c r="D313" t="str">
        <x:v>Gratuita</x:v>
      </x:c>
      <x:c r="E313" t="str">
        <x:v>Barranquilla</x:v>
      </x:c>
      <x:c r="F313" t="str">
        <x:v>Atlántico</x:v>
      </x:c>
      <x:c r="G313" t="n">
        <x:v>48</x:v>
      </x:c>
      <x:c r="H313" t="str">
        <x:v>Entre $1,5 M y $3 M</x:v>
      </x:c>
      <x:c r="I313" t="str">
        <x:v>Búsqueda paga</x:v>
      </x:c>
      <x:c r="J313" t="n">
        <x:v>2</x:v>
      </x:c>
      <x:c r="K313" t="n">
        <x:v>0</x:v>
      </x:c>
      <x:c r="L313" t="n">
        <x:v>47700205.31</x:v>
      </x:c>
      <x:c r="M313" t="n">
        <x:v>3674700</x:v>
      </x:c>
      <x:c r="N313" t="n">
        <x:v>2</x:v>
      </x:c>
      <x:c r="O313" t="n">
        <x:v>0</x:v>
      </x:c>
      <x:c r="P313" t="n">
        <x:v>5</x:v>
      </x:c>
    </x:row>
    <x:row r="314">
      <x:c r="A314" t="str">
        <x:v>2025-05</x:v>
      </x:c>
      <x:c r="B314" t="str">
        <x:v>USR-00014</x:v>
      </x:c>
      <x:c r="C314" t="str">
        <x:v>Cero</x:v>
      </x:c>
      <x:c r="D314" t="str">
        <x:v>Gratuita</x:v>
      </x:c>
      <x:c r="E314" t="str">
        <x:v>Bucaramanga</x:v>
      </x:c>
      <x:c r="F314" t="str">
        <x:v>Santander</x:v>
      </x:c>
      <x:c r="G314" t="n">
        <x:v>37</x:v>
      </x:c>
      <x:c r="H314" t="str">
        <x:v>Entre $1,5 M y $3 M</x:v>
      </x:c>
      <x:c r="I314" t="str">
        <x:v>Redes sociales</x:v>
      </x:c>
      <x:c r="J314" t="n">
        <x:v>2</x:v>
      </x:c>
      <x:c r="K314" t="n">
        <x:v>0</x:v>
      </x:c>
      <x:c r="L314" t="n">
        <x:v>7631467.81</x:v>
      </x:c>
      <x:c r="M314" t="n">
        <x:v>969100</x:v>
      </x:c>
      <x:c r="N314" t="n">
        <x:v>2</x:v>
      </x:c>
      <x:c r="O314" t="n">
        <x:v>0</x:v>
      </x:c>
      <x:c r="P314" t="n">
        <x:v>5</x:v>
      </x:c>
    </x:row>
    <x:row r="315">
      <x:c r="A315" t="str">
        <x:v>2025-05</x:v>
      </x:c>
      <x:c r="B315" t="str">
        <x:v>USR-00015</x:v>
      </x:c>
      <x:c r="C315" t="str">
        <x:v>Cero</x:v>
      </x:c>
      <x:c r="D315" t="str">
        <x:v>Gratuita</x:v>
      </x:c>
      <x:c r="E315" t="str">
        <x:v>Barranquilla</x:v>
      </x:c>
      <x:c r="F315" t="str">
        <x:v>Atlántico</x:v>
      </x:c>
      <x:c r="G315" t="n">
        <x:v>58</x:v>
      </x:c>
      <x:c r="H315" t="str">
        <x:v>Menos de $1,5 M</x:v>
      </x:c>
      <x:c r="I315" t="str">
        <x:v>Contenido educativo</x:v>
      </x:c>
      <x:c r="J315" t="n">
        <x:v>2</x:v>
      </x:c>
      <x:c r="K315" t="n">
        <x:v>0</x:v>
      </x:c>
      <x:c r="L315" t="n">
        <x:v>19818146.91</x:v>
      </x:c>
      <x:c r="M315" t="n">
        <x:v>40800</x:v>
      </x:c>
      <x:c r="N315" t="n">
        <x:v>1</x:v>
      </x:c>
      <x:c r="O315" t="n">
        <x:v>0</x:v>
      </x:c>
      <x:c r="P315" t="n">
        <x:v>5</x:v>
      </x:c>
    </x:row>
    <x:row r="316">
      <x:c r="A316" t="str">
        <x:v>2025-05</x:v>
      </x:c>
      <x:c r="B316" t="str">
        <x:v>USR-00016</x:v>
      </x:c>
      <x:c r="C316" t="str">
        <x:v>Cero</x:v>
      </x:c>
      <x:c r="D316" t="str">
        <x:v>Gratuita</x:v>
      </x:c>
      <x:c r="E316" t="str">
        <x:v>Bogotá</x:v>
      </x:c>
      <x:c r="F316" t="str">
        <x:v>Bogotá D.C.</x:v>
      </x:c>
      <x:c r="G316" t="n">
        <x:v>38</x:v>
      </x:c>
      <x:c r="H316" t="str">
        <x:v>Menos de $1,5 M</x:v>
      </x:c>
      <x:c r="I316" t="str">
        <x:v>Búsqueda paga</x:v>
      </x:c>
      <x:c r="J316" t="n">
        <x:v>1</x:v>
      </x:c>
      <x:c r="K316" t="n">
        <x:v>0</x:v>
      </x:c>
      <x:c r="L316" t="n">
        <x:v>3941057.61</x:v>
      </x:c>
      <x:c r="M316" t="n">
        <x:v>257900</x:v>
      </x:c>
      <x:c r="N316" t="n">
        <x:v>1</x:v>
      </x:c>
      <x:c r="O316" t="n">
        <x:v>0</x:v>
      </x:c>
      <x:c r="P316" t="n">
        <x:v>5</x:v>
      </x:c>
    </x:row>
    <x:row r="317">
      <x:c r="A317" t="str">
        <x:v>2025-05</x:v>
      </x:c>
      <x:c r="B317" t="str">
        <x:v>USR-00017</x:v>
      </x:c>
      <x:c r="C317" t="str">
        <x:v>Plus anual</x:v>
      </x:c>
      <x:c r="D317" t="str">
        <x:v>Pago</x:v>
      </x:c>
      <x:c r="E317" t="str">
        <x:v>Bogotá</x:v>
      </x:c>
      <x:c r="F317" t="str">
        <x:v>Bogotá D.C.</x:v>
      </x:c>
      <x:c r="G317" t="n">
        <x:v>35</x:v>
      </x:c>
      <x:c r="H317" t="str">
        <x:v>Entre $1,5 M y $3 M</x:v>
      </x:c>
      <x:c r="I317" t="str">
        <x:v>Orgánico</x:v>
      </x:c>
      <x:c r="J317" t="n">
        <x:v>1</x:v>
      </x:c>
      <x:c r="K317" t="n">
        <x:v>0</x:v>
      </x:c>
      <x:c r="L317" t="n">
        <x:v>2315179.26</x:v>
      </x:c>
      <x:c r="M317" t="n">
        <x:v>67400</x:v>
      </x:c>
      <x:c r="N317" t="n">
        <x:v>1</x:v>
      </x:c>
      <x:c r="O317" t="n">
        <x:v>24916.67</x:v>
      </x:c>
      <x:c r="P317" t="n">
        <x:v>5</x:v>
      </x:c>
    </x:row>
    <x:row r="318">
      <x:c r="A318" t="str">
        <x:v>2025-05</x:v>
      </x:c>
      <x:c r="B318" t="str">
        <x:v>USR-00018</x:v>
      </x:c>
      <x:c r="C318" t="str">
        <x:v>Cero</x:v>
      </x:c>
      <x:c r="D318" t="str">
        <x:v>Gratuita</x:v>
      </x:c>
      <x:c r="E318" t="str">
        <x:v>Bogotá</x:v>
      </x:c>
      <x:c r="F318" t="str">
        <x:v>Bogotá D.C.</x:v>
      </x:c>
      <x:c r="G318" t="n">
        <x:v>44</x:v>
      </x:c>
      <x:c r="H318" t="str">
        <x:v>Entre $1,5 M y $3 M</x:v>
      </x:c>
      <x:c r="I318" t="str">
        <x:v>Referidos</x:v>
      </x:c>
      <x:c r="J318" t="n">
        <x:v>1</x:v>
      </x:c>
      <x:c r="K318" t="n">
        <x:v>0</x:v>
      </x:c>
      <x:c r="L318" t="n">
        <x:v>8379279.99</x:v>
      </x:c>
      <x:c r="M318" t="n">
        <x:v>409600</x:v>
      </x:c>
      <x:c r="N318" t="n">
        <x:v>1</x:v>
      </x:c>
      <x:c r="O318" t="n">
        <x:v>0</x:v>
      </x:c>
      <x:c r="P318" t="n">
        <x:v>5</x:v>
      </x:c>
    </x:row>
    <x:row r="319">
      <x:c r="A319" t="str">
        <x:v>2025-05</x:v>
      </x:c>
      <x:c r="B319" t="str">
        <x:v>USR-00019</x:v>
      </x:c>
      <x:c r="C319" t="str">
        <x:v>Cero</x:v>
      </x:c>
      <x:c r="D319" t="str">
        <x:v>Gratuita</x:v>
      </x:c>
      <x:c r="E319" t="str">
        <x:v>Bogotá</x:v>
      </x:c>
      <x:c r="F319" t="str">
        <x:v>Bogotá D.C.</x:v>
      </x:c>
      <x:c r="G319" t="n">
        <x:v>60</x:v>
      </x:c>
      <x:c r="H319" t="str">
        <x:v>Entre $3 M y $5 M</x:v>
      </x:c>
      <x:c r="I319" t="str">
        <x:v>Redes sociales</x:v>
      </x:c>
      <x:c r="J319" t="n">
        <x:v>2</x:v>
      </x:c>
      <x:c r="K319" t="n">
        <x:v>0</x:v>
      </x:c>
      <x:c r="L319" t="n">
        <x:v>12219559.55</x:v>
      </x:c>
      <x:c r="M319" t="n">
        <x:v>309600</x:v>
      </x:c>
      <x:c r="N319" t="n">
        <x:v>1</x:v>
      </x:c>
      <x:c r="O319" t="n">
        <x:v>0</x:v>
      </x:c>
      <x:c r="P319" t="n">
        <x:v>5</x:v>
      </x:c>
    </x:row>
    <x:row r="320">
      <x:c r="A320" t="str">
        <x:v>2025-05</x:v>
      </x:c>
      <x:c r="B320" t="str">
        <x:v>USR-00020</x:v>
      </x:c>
      <x:c r="C320" t="str">
        <x:v>Cero</x:v>
      </x:c>
      <x:c r="D320" t="str">
        <x:v>Gratuita</x:v>
      </x:c>
      <x:c r="E320" t="str">
        <x:v>Bogotá</x:v>
      </x:c>
      <x:c r="F320" t="str">
        <x:v>Bogotá D.C.</x:v>
      </x:c>
      <x:c r="G320" t="n">
        <x:v>50</x:v>
      </x:c>
      <x:c r="H320" t="str">
        <x:v>Entre $1,5 M y $3 M</x:v>
      </x:c>
      <x:c r="I320" t="str">
        <x:v>Alianzas</x:v>
      </x:c>
      <x:c r="J320" t="n">
        <x:v>1</x:v>
      </x:c>
      <x:c r="K320" t="n">
        <x:v>0</x:v>
      </x:c>
      <x:c r="L320" t="n">
        <x:v>5685753.63</x:v>
      </x:c>
      <x:c r="M320" t="n">
        <x:v>204900</x:v>
      </x:c>
      <x:c r="N320" t="n">
        <x:v>1</x:v>
      </x:c>
      <x:c r="O320" t="n">
        <x:v>0</x:v>
      </x:c>
      <x:c r="P320" t="n">
        <x:v>5</x:v>
      </x:c>
    </x:row>
    <x:row r="321">
      <x:c r="A321" t="str">
        <x:v>2025-05</x:v>
      </x:c>
      <x:c r="B321" t="str">
        <x:v>USR-00021</x:v>
      </x:c>
      <x:c r="C321" t="str">
        <x:v>Cero</x:v>
      </x:c>
      <x:c r="D321" t="str">
        <x:v>Gratuita</x:v>
      </x:c>
      <x:c r="E321" t="str">
        <x:v>Cali</x:v>
      </x:c>
      <x:c r="F321" t="str">
        <x:v>Valle del Cauca</x:v>
      </x:c>
      <x:c r="G321" t="n">
        <x:v>51</x:v>
      </x:c>
      <x:c r="H321" t="str">
        <x:v>Menos de $1,5 M</x:v>
      </x:c>
      <x:c r="I321" t="str">
        <x:v>Redes sociales</x:v>
      </x:c>
      <x:c r="J321" t="n">
        <x:v>1</x:v>
      </x:c>
      <x:c r="K321" t="n">
        <x:v>0</x:v>
      </x:c>
      <x:c r="L321" t="n">
        <x:v>24044628.08</x:v>
      </x:c>
      <x:c r="M321" t="n">
        <x:v>1361500</x:v>
      </x:c>
      <x:c r="N321" t="n">
        <x:v>1</x:v>
      </x:c>
      <x:c r="O321" t="n">
        <x:v>0</x:v>
      </x:c>
      <x:c r="P321" t="n">
        <x:v>5</x:v>
      </x:c>
    </x:row>
    <x:row r="322">
      <x:c r="A322" t="str">
        <x:v>2025-05</x:v>
      </x:c>
      <x:c r="B322" t="str">
        <x:v>USR-00022</x:v>
      </x:c>
      <x:c r="C322" t="str">
        <x:v>Cero</x:v>
      </x:c>
      <x:c r="D322" t="str">
        <x:v>Gratuita</x:v>
      </x:c>
      <x:c r="E322" t="str">
        <x:v>Bogotá</x:v>
      </x:c>
      <x:c r="F322" t="str">
        <x:v>Bogotá D.C.</x:v>
      </x:c>
      <x:c r="G322" t="n">
        <x:v>36</x:v>
      </x:c>
      <x:c r="H322" t="str">
        <x:v>Entre $3 M y $5 M</x:v>
      </x:c>
      <x:c r="I322" t="str">
        <x:v>Orgánico</x:v>
      </x:c>
      <x:c r="J322" t="n">
        <x:v>2</x:v>
      </x:c>
      <x:c r="K322" t="n">
        <x:v>0</x:v>
      </x:c>
      <x:c r="L322" t="n">
        <x:v>18207852.77</x:v>
      </x:c>
      <x:c r="M322" t="n">
        <x:v>771800</x:v>
      </x:c>
      <x:c r="N322" t="n">
        <x:v>1</x:v>
      </x:c>
      <x:c r="O322" t="n">
        <x:v>0</x:v>
      </x:c>
      <x:c r="P322" t="n">
        <x:v>5</x:v>
      </x:c>
    </x:row>
    <x:row r="323">
      <x:c r="A323" t="str">
        <x:v>2025-05</x:v>
      </x:c>
      <x:c r="B323" t="str">
        <x:v>USR-00023</x:v>
      </x:c>
      <x:c r="C323" t="str">
        <x:v>Cero</x:v>
      </x:c>
      <x:c r="D323" t="str">
        <x:v>Gratuita</x:v>
      </x:c>
      <x:c r="E323" t="str">
        <x:v>Bogotá</x:v>
      </x:c>
      <x:c r="F323" t="str">
        <x:v>Bogotá D.C.</x:v>
      </x:c>
      <x:c r="G323" t="n">
        <x:v>24</x:v>
      </x:c>
      <x:c r="H323" t="str">
        <x:v>Menos de $1,5 M</x:v>
      </x:c>
      <x:c r="I323" t="str">
        <x:v>Alianzas</x:v>
      </x:c>
      <x:c r="J323" t="n">
        <x:v>1</x:v>
      </x:c>
      <x:c r="K323" t="n">
        <x:v>0</x:v>
      </x:c>
      <x:c r="L323" t="n">
        <x:v>5749275.84</x:v>
      </x:c>
      <x:c r="M323" t="n">
        <x:v>201500</x:v>
      </x:c>
      <x:c r="N323" t="n">
        <x:v>1</x:v>
      </x:c>
      <x:c r="O323" t="n">
        <x:v>0</x:v>
      </x:c>
      <x:c r="P323" t="n">
        <x:v>5</x:v>
      </x:c>
    </x:row>
    <x:row r="324">
      <x:c r="A324" t="str">
        <x:v>2025-05</x:v>
      </x:c>
      <x:c r="B324" t="str">
        <x:v>USR-00024</x:v>
      </x:c>
      <x:c r="C324" t="str">
        <x:v>Cero</x:v>
      </x:c>
      <x:c r="D324" t="str">
        <x:v>Gratuita</x:v>
      </x:c>
      <x:c r="E324" t="str">
        <x:v>Bogotá</x:v>
      </x:c>
      <x:c r="F324" t="str">
        <x:v>Bogotá D.C.</x:v>
      </x:c>
      <x:c r="G324" t="n">
        <x:v>59</x:v>
      </x:c>
      <x:c r="H324" t="str">
        <x:v>Menos de $1,5 M</x:v>
      </x:c>
      <x:c r="I324" t="str">
        <x:v>Orgánico</x:v>
      </x:c>
      <x:c r="J324" t="n">
        <x:v>2</x:v>
      </x:c>
      <x:c r="K324" t="n">
        <x:v>0</x:v>
      </x:c>
      <x:c r="L324" t="n">
        <x:v>54895906.82</x:v>
      </x:c>
      <x:c r="M324" t="n">
        <x:v>13500</x:v>
      </x:c>
      <x:c r="N324" t="n">
        <x:v>1</x:v>
      </x:c>
      <x:c r="O324" t="n">
        <x:v>0</x:v>
      </x:c>
      <x:c r="P324" t="n">
        <x:v>5</x:v>
      </x:c>
    </x:row>
    <x:row r="325">
      <x:c r="A325" t="str">
        <x:v>2025-05</x:v>
      </x:c>
      <x:c r="B325" t="str">
        <x:v>USR-00025</x:v>
      </x:c>
      <x:c r="C325" t="str">
        <x:v>Plus anual</x:v>
      </x:c>
      <x:c r="D325" t="str">
        <x:v>Pago</x:v>
      </x:c>
      <x:c r="E325" t="str">
        <x:v>Pereira</x:v>
      </x:c>
      <x:c r="F325" t="str">
        <x:v>Risaralda</x:v>
      </x:c>
      <x:c r="G325" t="n">
        <x:v>57</x:v>
      </x:c>
      <x:c r="H325" t="str">
        <x:v>Entre $1,5 M y $3 M</x:v>
      </x:c>
      <x:c r="I325" t="str">
        <x:v>Orgánico</x:v>
      </x:c>
      <x:c r="J325" t="n">
        <x:v>2</x:v>
      </x:c>
      <x:c r="K325" t="n">
        <x:v>0</x:v>
      </x:c>
      <x:c r="L325" t="n">
        <x:v>11241711.47</x:v>
      </x:c>
      <x:c r="M325" t="n">
        <x:v>584600</x:v>
      </x:c>
      <x:c r="N325" t="n">
        <x:v>2</x:v>
      </x:c>
      <x:c r="O325" t="n">
        <x:v>24916.67</x:v>
      </x:c>
      <x:c r="P325" t="n">
        <x:v>5</x:v>
      </x:c>
    </x:row>
    <x:row r="326">
      <x:c r="A326" t="str">
        <x:v>2025-05</x:v>
      </x:c>
      <x:c r="B326" t="str">
        <x:v>USR-00026</x:v>
      </x:c>
      <x:c r="C326" t="str">
        <x:v>Plus mensual</x:v>
      </x:c>
      <x:c r="D326" t="str">
        <x:v>Pago</x:v>
      </x:c>
      <x:c r="E326" t="str">
        <x:v>Bogotá</x:v>
      </x:c>
      <x:c r="F326" t="str">
        <x:v>Bogotá D.C.</x:v>
      </x:c>
      <x:c r="G326" t="n">
        <x:v>57</x:v>
      </x:c>
      <x:c r="H326" t="str">
        <x:v>Entre $3 M y $5 M</x:v>
      </x:c>
      <x:c r="I326" t="str">
        <x:v>Redes sociales</x:v>
      </x:c>
      <x:c r="J326" t="n">
        <x:v>1</x:v>
      </x:c>
      <x:c r="K326" t="n">
        <x:v>0</x:v>
      </x:c>
      <x:c r="L326" t="n">
        <x:v>5173076.21</x:v>
      </x:c>
      <x:c r="M326" t="n">
        <x:v>130700</x:v>
      </x:c>
      <x:c r="N326" t="n">
        <x:v>1</x:v>
      </x:c>
      <x:c r="O326" t="n">
        <x:v>29900</x:v>
      </x:c>
      <x:c r="P326" t="n">
        <x:v>5</x:v>
      </x:c>
    </x:row>
    <x:row r="327">
      <x:c r="A327" t="str">
        <x:v>2025-05</x:v>
      </x:c>
      <x:c r="B327" t="str">
        <x:v>USR-00028</x:v>
      </x:c>
      <x:c r="C327" t="str">
        <x:v>Cero</x:v>
      </x:c>
      <x:c r="D327" t="str">
        <x:v>Gratuita</x:v>
      </x:c>
      <x:c r="E327" t="str">
        <x:v>Cali</x:v>
      </x:c>
      <x:c r="F327" t="str">
        <x:v>Valle del Cauca</x:v>
      </x:c>
      <x:c r="G327" t="n">
        <x:v>40</x:v>
      </x:c>
      <x:c r="H327" t="str">
        <x:v>Entre $1,5 M y $3 M</x:v>
      </x:c>
      <x:c r="I327" t="str">
        <x:v>Referidos</x:v>
      </x:c>
      <x:c r="J327" t="n">
        <x:v>2</x:v>
      </x:c>
      <x:c r="K327" t="n">
        <x:v>0</x:v>
      </x:c>
      <x:c r="L327" t="n">
        <x:v>19527454.67</x:v>
      </x:c>
      <x:c r="M327" t="n">
        <x:v>231400</x:v>
      </x:c>
      <x:c r="N327" t="n">
        <x:v>1</x:v>
      </x:c>
      <x:c r="O327" t="n">
        <x:v>0</x:v>
      </x:c>
      <x:c r="P327" t="n">
        <x:v>5</x:v>
      </x:c>
    </x:row>
    <x:row r="328">
      <x:c r="A328" t="str">
        <x:v>2025-05</x:v>
      </x:c>
      <x:c r="B328" t="str">
        <x:v>USR-00029</x:v>
      </x:c>
      <x:c r="C328" t="str">
        <x:v>Cero</x:v>
      </x:c>
      <x:c r="D328" t="str">
        <x:v>Gratuita</x:v>
      </x:c>
      <x:c r="E328" t="str">
        <x:v>Manizales</x:v>
      </x:c>
      <x:c r="F328" t="str">
        <x:v>Caldas</x:v>
      </x:c>
      <x:c r="G328" t="n">
        <x:v>36</x:v>
      </x:c>
      <x:c r="H328" t="str">
        <x:v>Entre $1,5 M y $3 M</x:v>
      </x:c>
      <x:c r="I328" t="str">
        <x:v>Orgánico</x:v>
      </x:c>
      <x:c r="J328" t="n">
        <x:v>2</x:v>
      </x:c>
      <x:c r="K328" t="n">
        <x:v>0</x:v>
      </x:c>
      <x:c r="L328" t="n">
        <x:v>7275095.78</x:v>
      </x:c>
      <x:c r="M328" t="n">
        <x:v>172400</x:v>
      </x:c>
      <x:c r="N328" t="n">
        <x:v>1</x:v>
      </x:c>
      <x:c r="O328" t="n">
        <x:v>0</x:v>
      </x:c>
      <x:c r="P328" t="n">
        <x:v>5</x:v>
      </x:c>
    </x:row>
    <x:row r="329">
      <x:c r="A329" t="str">
        <x:v>2025-05</x:v>
      </x:c>
      <x:c r="B329" t="str">
        <x:v>USR-00030</x:v>
      </x:c>
      <x:c r="C329" t="str">
        <x:v>Cero</x:v>
      </x:c>
      <x:c r="D329" t="str">
        <x:v>Gratuita</x:v>
      </x:c>
      <x:c r="E329" t="str">
        <x:v>Bogotá</x:v>
      </x:c>
      <x:c r="F329" t="str">
        <x:v>Bogotá D.C.</x:v>
      </x:c>
      <x:c r="G329" t="n">
        <x:v>41</x:v>
      </x:c>
      <x:c r="H329" t="str">
        <x:v>Entre $1,5 M y $3 M</x:v>
      </x:c>
      <x:c r="I329" t="str">
        <x:v>Alianzas</x:v>
      </x:c>
      <x:c r="J329" t="n">
        <x:v>1</x:v>
      </x:c>
      <x:c r="K329" t="n">
        <x:v>0</x:v>
      </x:c>
      <x:c r="L329" t="n">
        <x:v>5305102.73</x:v>
      </x:c>
      <x:c r="M329" t="n">
        <x:v>0</x:v>
      </x:c>
      <x:c r="N329" t="n">
        <x:v>0</x:v>
      </x:c>
      <x:c r="O329" t="n">
        <x:v>0</x:v>
      </x:c>
      <x:c r="P329" t="n">
        <x:v>5</x:v>
      </x:c>
    </x:row>
    <x:row r="330">
      <x:c r="A330" t="str">
        <x:v>2025-05</x:v>
      </x:c>
      <x:c r="B330" t="str">
        <x:v>USR-00031</x:v>
      </x:c>
      <x:c r="C330" t="str">
        <x:v>Cero</x:v>
      </x:c>
      <x:c r="D330" t="str">
        <x:v>Gratuita</x:v>
      </x:c>
      <x:c r="E330" t="str">
        <x:v>Bucaramanga</x:v>
      </x:c>
      <x:c r="F330" t="str">
        <x:v>Santander</x:v>
      </x:c>
      <x:c r="G330" t="n">
        <x:v>63</x:v>
      </x:c>
      <x:c r="H330" t="str">
        <x:v>Entre $1,5 M y $3 M</x:v>
      </x:c>
      <x:c r="I330" t="str">
        <x:v>Redes sociales</x:v>
      </x:c>
      <x:c r="J330" t="n">
        <x:v>2</x:v>
      </x:c>
      <x:c r="K330" t="n">
        <x:v>0</x:v>
      </x:c>
      <x:c r="L330" t="n">
        <x:v>38182461.67</x:v>
      </x:c>
      <x:c r="M330" t="n">
        <x:v>2002600</x:v>
      </x:c>
      <x:c r="N330" t="n">
        <x:v>2</x:v>
      </x:c>
      <x:c r="O330" t="n">
        <x:v>0</x:v>
      </x:c>
      <x:c r="P330" t="n">
        <x:v>5</x:v>
      </x:c>
    </x:row>
    <x:row r="331">
      <x:c r="A331" t="str">
        <x:v>2025-05</x:v>
      </x:c>
      <x:c r="B331" t="str">
        <x:v>USR-00032</x:v>
      </x:c>
      <x:c r="C331" t="str">
        <x:v>Cero</x:v>
      </x:c>
      <x:c r="D331" t="str">
        <x:v>Gratuita</x:v>
      </x:c>
      <x:c r="E331" t="str">
        <x:v>Manizales</x:v>
      </x:c>
      <x:c r="F331" t="str">
        <x:v>Caldas</x:v>
      </x:c>
      <x:c r="G331" t="n">
        <x:v>22</x:v>
      </x:c>
      <x:c r="H331" t="str">
        <x:v>Menos de $1,5 M</x:v>
      </x:c>
      <x:c r="I331" t="str">
        <x:v>Búsqueda paga</x:v>
      </x:c>
      <x:c r="J331" t="n">
        <x:v>2</x:v>
      </x:c>
      <x:c r="K331" t="n">
        <x:v>0</x:v>
      </x:c>
      <x:c r="L331" t="n">
        <x:v>18217745.47</x:v>
      </x:c>
      <x:c r="M331" t="n">
        <x:v>1109400</x:v>
      </x:c>
      <x:c r="N331" t="n">
        <x:v>2</x:v>
      </x:c>
      <x:c r="O331" t="n">
        <x:v>0</x:v>
      </x:c>
      <x:c r="P331" t="n">
        <x:v>4</x:v>
      </x:c>
    </x:row>
    <x:row r="332">
      <x:c r="A332" t="str">
        <x:v>2025-05</x:v>
      </x:c>
      <x:c r="B332" t="str">
        <x:v>USR-00033</x:v>
      </x:c>
      <x:c r="C332" t="str">
        <x:v>Cero</x:v>
      </x:c>
      <x:c r="D332" t="str">
        <x:v>Gratuita</x:v>
      </x:c>
      <x:c r="E332" t="str">
        <x:v>Medellín</x:v>
      </x:c>
      <x:c r="F332" t="str">
        <x:v>Antioquia</x:v>
      </x:c>
      <x:c r="G332" t="n">
        <x:v>39</x:v>
      </x:c>
      <x:c r="H332" t="str">
        <x:v>Entre $1,5 M y $3 M</x:v>
      </x:c>
      <x:c r="I332" t="str">
        <x:v>Referidos</x:v>
      </x:c>
      <x:c r="J332" t="n">
        <x:v>1</x:v>
      </x:c>
      <x:c r="K332" t="n">
        <x:v>0</x:v>
      </x:c>
      <x:c r="L332" t="n">
        <x:v>3047673.16</x:v>
      </x:c>
      <x:c r="M332" t="n">
        <x:v>286500</x:v>
      </x:c>
      <x:c r="N332" t="n">
        <x:v>1</x:v>
      </x:c>
      <x:c r="O332" t="n">
        <x:v>0</x:v>
      </x:c>
      <x:c r="P332" t="n">
        <x:v>4</x:v>
      </x:c>
    </x:row>
    <x:row r="333">
      <x:c r="A333" t="str">
        <x:v>2025-05</x:v>
      </x:c>
      <x:c r="B333" t="str">
        <x:v>USR-00034</x:v>
      </x:c>
      <x:c r="C333" t="str">
        <x:v>Cero</x:v>
      </x:c>
      <x:c r="D333" t="str">
        <x:v>Gratuita</x:v>
      </x:c>
      <x:c r="E333" t="str">
        <x:v>Bogotá</x:v>
      </x:c>
      <x:c r="F333" t="str">
        <x:v>Bogotá D.C.</x:v>
      </x:c>
      <x:c r="G333" t="n">
        <x:v>59</x:v>
      </x:c>
      <x:c r="H333" t="str">
        <x:v>Entre $3 M y $5 M</x:v>
      </x:c>
      <x:c r="I333" t="str">
        <x:v>Referidos</x:v>
      </x:c>
      <x:c r="J333" t="n">
        <x:v>2</x:v>
      </x:c>
      <x:c r="K333" t="n">
        <x:v>0</x:v>
      </x:c>
      <x:c r="L333" t="n">
        <x:v>9548775.53</x:v>
      </x:c>
      <x:c r="M333" t="n">
        <x:v>814100</x:v>
      </x:c>
      <x:c r="N333" t="n">
        <x:v>2</x:v>
      </x:c>
      <x:c r="O333" t="n">
        <x:v>0</x:v>
      </x:c>
      <x:c r="P333" t="n">
        <x:v>4</x:v>
      </x:c>
    </x:row>
    <x:row r="334">
      <x:c r="A334" t="str">
        <x:v>2025-05</x:v>
      </x:c>
      <x:c r="B334" t="str">
        <x:v>USR-00035</x:v>
      </x:c>
      <x:c r="C334" t="str">
        <x:v>Plus mensual</x:v>
      </x:c>
      <x:c r="D334" t="str">
        <x:v>Pago</x:v>
      </x:c>
      <x:c r="E334" t="str">
        <x:v>Bogotá</x:v>
      </x:c>
      <x:c r="F334" t="str">
        <x:v>Bogotá D.C.</x:v>
      </x:c>
      <x:c r="G334" t="n">
        <x:v>46</x:v>
      </x:c>
      <x:c r="H334" t="str">
        <x:v>Entre $1,5 M y $3 M</x:v>
      </x:c>
      <x:c r="I334" t="str">
        <x:v>Contenido educativo</x:v>
      </x:c>
      <x:c r="J334" t="n">
        <x:v>2</x:v>
      </x:c>
      <x:c r="K334" t="n">
        <x:v>0</x:v>
      </x:c>
      <x:c r="L334" t="n">
        <x:v>7389633.36</x:v>
      </x:c>
      <x:c r="M334" t="n">
        <x:v>345600</x:v>
      </x:c>
      <x:c r="N334" t="n">
        <x:v>2</x:v>
      </x:c>
      <x:c r="O334" t="n">
        <x:v>29900</x:v>
      </x:c>
      <x:c r="P334" t="n">
        <x:v>4</x:v>
      </x:c>
    </x:row>
    <x:row r="335">
      <x:c r="A335" t="str">
        <x:v>2025-05</x:v>
      </x:c>
      <x:c r="B335" t="str">
        <x:v>USR-00036</x:v>
      </x:c>
      <x:c r="C335" t="str">
        <x:v>Cero</x:v>
      </x:c>
      <x:c r="D335" t="str">
        <x:v>Gratuita</x:v>
      </x:c>
      <x:c r="E335" t="str">
        <x:v>Medellín</x:v>
      </x:c>
      <x:c r="F335" t="str">
        <x:v>Antioquia</x:v>
      </x:c>
      <x:c r="G335" t="n">
        <x:v>51</x:v>
      </x:c>
      <x:c r="H335" t="str">
        <x:v>Menos de $1,5 M</x:v>
      </x:c>
      <x:c r="I335" t="str">
        <x:v>Redes sociales</x:v>
      </x:c>
      <x:c r="J335" t="n">
        <x:v>2</x:v>
      </x:c>
      <x:c r="K335" t="n">
        <x:v>0</x:v>
      </x:c>
      <x:c r="L335" t="n">
        <x:v>23495888.54</x:v>
      </x:c>
      <x:c r="M335" t="n">
        <x:v>1010100</x:v>
      </x:c>
      <x:c r="N335" t="n">
        <x:v>2</x:v>
      </x:c>
      <x:c r="O335" t="n">
        <x:v>0</x:v>
      </x:c>
      <x:c r="P335" t="n">
        <x:v>4</x:v>
      </x:c>
    </x:row>
    <x:row r="336">
      <x:c r="A336" t="str">
        <x:v>2025-05</x:v>
      </x:c>
      <x:c r="B336" t="str">
        <x:v>USR-00037</x:v>
      </x:c>
      <x:c r="C336" t="str">
        <x:v>Cero</x:v>
      </x:c>
      <x:c r="D336" t="str">
        <x:v>Gratuita</x:v>
      </x:c>
      <x:c r="E336" t="str">
        <x:v>Bogotá</x:v>
      </x:c>
      <x:c r="F336" t="str">
        <x:v>Bogotá D.C.</x:v>
      </x:c>
      <x:c r="G336" t="n">
        <x:v>20</x:v>
      </x:c>
      <x:c r="H336" t="str">
        <x:v>Menos de $1,5 M</x:v>
      </x:c>
      <x:c r="I336" t="str">
        <x:v>Alianzas</x:v>
      </x:c>
      <x:c r="J336" t="n">
        <x:v>2</x:v>
      </x:c>
      <x:c r="K336" t="n">
        <x:v>0</x:v>
      </x:c>
      <x:c r="L336" t="n">
        <x:v>12174271.33</x:v>
      </x:c>
      <x:c r="M336" t="n">
        <x:v>182700</x:v>
      </x:c>
      <x:c r="N336" t="n">
        <x:v>1</x:v>
      </x:c>
      <x:c r="O336" t="n">
        <x:v>0</x:v>
      </x:c>
      <x:c r="P336" t="n">
        <x:v>4</x:v>
      </x:c>
    </x:row>
    <x:row r="337">
      <x:c r="A337" t="str">
        <x:v>2025-05</x:v>
      </x:c>
      <x:c r="B337" t="str">
        <x:v>USR-00038</x:v>
      </x:c>
      <x:c r="C337" t="str">
        <x:v>Plus anual</x:v>
      </x:c>
      <x:c r="D337" t="str">
        <x:v>Pago</x:v>
      </x:c>
      <x:c r="E337" t="str">
        <x:v>Medellín</x:v>
      </x:c>
      <x:c r="F337" t="str">
        <x:v>Antioquia</x:v>
      </x:c>
      <x:c r="G337" t="n">
        <x:v>64</x:v>
      </x:c>
      <x:c r="H337" t="str">
        <x:v>Entre $1,5 M y $3 M</x:v>
      </x:c>
      <x:c r="I337" t="str">
        <x:v>Orgánico</x:v>
      </x:c>
      <x:c r="J337" t="n">
        <x:v>2</x:v>
      </x:c>
      <x:c r="K337" t="n">
        <x:v>0</x:v>
      </x:c>
      <x:c r="L337" t="n">
        <x:v>31103536.34</x:v>
      </x:c>
      <x:c r="M337" t="n">
        <x:v>1695800</x:v>
      </x:c>
      <x:c r="N337" t="n">
        <x:v>2</x:v>
      </x:c>
      <x:c r="O337" t="n">
        <x:v>24916.67</x:v>
      </x:c>
      <x:c r="P337" t="n">
        <x:v>4</x:v>
      </x:c>
    </x:row>
    <x:row r="338">
      <x:c r="A338" t="str">
        <x:v>2025-05</x:v>
      </x:c>
      <x:c r="B338" t="str">
        <x:v>USR-00039</x:v>
      </x:c>
      <x:c r="C338" t="str">
        <x:v>Cero</x:v>
      </x:c>
      <x:c r="D338" t="str">
        <x:v>Gratuita</x:v>
      </x:c>
      <x:c r="E338" t="str">
        <x:v>Bogotá</x:v>
      </x:c>
      <x:c r="F338" t="str">
        <x:v>Bogotá D.C.</x:v>
      </x:c>
      <x:c r="G338" t="n">
        <x:v>56</x:v>
      </x:c>
      <x:c r="H338" t="str">
        <x:v>Entre $3 M y $5 M</x:v>
      </x:c>
      <x:c r="I338" t="str">
        <x:v>Orgánico</x:v>
      </x:c>
      <x:c r="J338" t="n">
        <x:v>2</x:v>
      </x:c>
      <x:c r="K338" t="n">
        <x:v>0</x:v>
      </x:c>
      <x:c r="L338" t="n">
        <x:v>27799785.64</x:v>
      </x:c>
      <x:c r="M338" t="n">
        <x:v>0</x:v>
      </x:c>
      <x:c r="N338" t="n">
        <x:v>0</x:v>
      </x:c>
      <x:c r="O338" t="n">
        <x:v>0</x:v>
      </x:c>
      <x:c r="P338" t="n">
        <x:v>4</x:v>
      </x:c>
    </x:row>
    <x:row r="339">
      <x:c r="A339" t="str">
        <x:v>2025-05</x:v>
      </x:c>
      <x:c r="B339" t="str">
        <x:v>USR-00040</x:v>
      </x:c>
      <x:c r="C339" t="str">
        <x:v>Cero</x:v>
      </x:c>
      <x:c r="D339" t="str">
        <x:v>Gratuita</x:v>
      </x:c>
      <x:c r="E339" t="str">
        <x:v>Bucaramanga</x:v>
      </x:c>
      <x:c r="F339" t="str">
        <x:v>Santander</x:v>
      </x:c>
      <x:c r="G339" t="n">
        <x:v>51</x:v>
      </x:c>
      <x:c r="H339" t="str">
        <x:v>Entre $3 M y $5 M</x:v>
      </x:c>
      <x:c r="I339" t="str">
        <x:v>Búsqueda paga</x:v>
      </x:c>
      <x:c r="J339" t="n">
        <x:v>2</x:v>
      </x:c>
      <x:c r="K339" t="n">
        <x:v>0</x:v>
      </x:c>
      <x:c r="L339" t="n">
        <x:v>26240239.91</x:v>
      </x:c>
      <x:c r="M339" t="n">
        <x:v>604000</x:v>
      </x:c>
      <x:c r="N339" t="n">
        <x:v>1</x:v>
      </x:c>
      <x:c r="O339" t="n">
        <x:v>0</x:v>
      </x:c>
      <x:c r="P339" t="n">
        <x:v>4</x:v>
      </x:c>
    </x:row>
    <x:row r="340">
      <x:c r="A340" t="str">
        <x:v>2025-05</x:v>
      </x:c>
      <x:c r="B340" t="str">
        <x:v>USR-00041</x:v>
      </x:c>
      <x:c r="C340" t="str">
        <x:v>Cero</x:v>
      </x:c>
      <x:c r="D340" t="str">
        <x:v>Gratuita</x:v>
      </x:c>
      <x:c r="E340" t="str">
        <x:v>Bogotá</x:v>
      </x:c>
      <x:c r="F340" t="str">
        <x:v>Bogotá D.C.</x:v>
      </x:c>
      <x:c r="G340" t="n">
        <x:v>36</x:v>
      </x:c>
      <x:c r="H340" t="str">
        <x:v>Entre $1,5 M y $3 M</x:v>
      </x:c>
      <x:c r="I340" t="str">
        <x:v>Orgánico</x:v>
      </x:c>
      <x:c r="J340" t="n">
        <x:v>1</x:v>
      </x:c>
      <x:c r="K340" t="n">
        <x:v>0</x:v>
      </x:c>
      <x:c r="L340" t="n">
        <x:v>15286239.32</x:v>
      </x:c>
      <x:c r="M340" t="n">
        <x:v>3294000</x:v>
      </x:c>
      <x:c r="N340" t="n">
        <x:v>1</x:v>
      </x:c>
      <x:c r="O340" t="n">
        <x:v>0</x:v>
      </x:c>
      <x:c r="P340" t="n">
        <x:v>4</x:v>
      </x:c>
    </x:row>
    <x:row r="341">
      <x:c r="A341" t="str">
        <x:v>2025-05</x:v>
      </x:c>
      <x:c r="B341" t="str">
        <x:v>USR-00042</x:v>
      </x:c>
      <x:c r="C341" t="str">
        <x:v>Cero</x:v>
      </x:c>
      <x:c r="D341" t="str">
        <x:v>Gratuita</x:v>
      </x:c>
      <x:c r="E341" t="str">
        <x:v>Bogotá</x:v>
      </x:c>
      <x:c r="F341" t="str">
        <x:v>Bogotá D.C.</x:v>
      </x:c>
      <x:c r="G341" t="n">
        <x:v>55</x:v>
      </x:c>
      <x:c r="H341" t="str">
        <x:v>Menos de $1,5 M</x:v>
      </x:c>
      <x:c r="I341" t="str">
        <x:v>Redes sociales</x:v>
      </x:c>
      <x:c r="J341" t="n">
        <x:v>2</x:v>
      </x:c>
      <x:c r="K341" t="n">
        <x:v>0</x:v>
      </x:c>
      <x:c r="L341" t="n">
        <x:v>8989477.43</x:v>
      </x:c>
      <x:c r="M341" t="n">
        <x:v>0</x:v>
      </x:c>
      <x:c r="N341" t="n">
        <x:v>0</x:v>
      </x:c>
      <x:c r="O341" t="n">
        <x:v>0</x:v>
      </x:c>
      <x:c r="P341" t="n">
        <x:v>4</x:v>
      </x:c>
    </x:row>
    <x:row r="342">
      <x:c r="A342" t="str">
        <x:v>2025-05</x:v>
      </x:c>
      <x:c r="B342" t="str">
        <x:v>USR-00043</x:v>
      </x:c>
      <x:c r="C342" t="str">
        <x:v>Cero</x:v>
      </x:c>
      <x:c r="D342" t="str">
        <x:v>Gratuita</x:v>
      </x:c>
      <x:c r="E342" t="str">
        <x:v>Cali</x:v>
      </x:c>
      <x:c r="F342" t="str">
        <x:v>Valle del Cauca</x:v>
      </x:c>
      <x:c r="G342" t="n">
        <x:v>23</x:v>
      </x:c>
      <x:c r="H342" t="str">
        <x:v>Entre $3 M y $5 M</x:v>
      </x:c>
      <x:c r="I342" t="str">
        <x:v>Contenido educativo</x:v>
      </x:c>
      <x:c r="J342" t="n">
        <x:v>2</x:v>
      </x:c>
      <x:c r="K342" t="n">
        <x:v>0</x:v>
      </x:c>
      <x:c r="L342" t="n">
        <x:v>25970670.85</x:v>
      </x:c>
      <x:c r="M342" t="n">
        <x:v>1418100</x:v>
      </x:c>
      <x:c r="N342" t="n">
        <x:v>1</x:v>
      </x:c>
      <x:c r="O342" t="n">
        <x:v>0</x:v>
      </x:c>
      <x:c r="P342" t="n">
        <x:v>4</x:v>
      </x:c>
    </x:row>
    <x:row r="343">
      <x:c r="A343" t="str">
        <x:v>2025-05</x:v>
      </x:c>
      <x:c r="B343" t="str">
        <x:v>USR-00044</x:v>
      </x:c>
      <x:c r="C343" t="str">
        <x:v>Cero</x:v>
      </x:c>
      <x:c r="D343" t="str">
        <x:v>Gratuita</x:v>
      </x:c>
      <x:c r="E343" t="str">
        <x:v>Barranquilla</x:v>
      </x:c>
      <x:c r="F343" t="str">
        <x:v>Atlántico</x:v>
      </x:c>
      <x:c r="G343" t="n">
        <x:v>62</x:v>
      </x:c>
      <x:c r="H343" t="str">
        <x:v>Más de $5 M</x:v>
      </x:c>
      <x:c r="I343" t="str">
        <x:v>Referidos</x:v>
      </x:c>
      <x:c r="J343" t="n">
        <x:v>2</x:v>
      </x:c>
      <x:c r="K343" t="n">
        <x:v>0</x:v>
      </x:c>
      <x:c r="L343" t="n">
        <x:v>31606563.37</x:v>
      </x:c>
      <x:c r="M343" t="n">
        <x:v>326600</x:v>
      </x:c>
      <x:c r="N343" t="n">
        <x:v>1</x:v>
      </x:c>
      <x:c r="O343" t="n">
        <x:v>0</x:v>
      </x:c>
      <x:c r="P343" t="n">
        <x:v>4</x:v>
      </x:c>
    </x:row>
    <x:row r="344">
      <x:c r="A344" t="str">
        <x:v>2025-05</x:v>
      </x:c>
      <x:c r="B344" t="str">
        <x:v>USR-00045</x:v>
      </x:c>
      <x:c r="C344" t="str">
        <x:v>Cero</x:v>
      </x:c>
      <x:c r="D344" t="str">
        <x:v>Gratuita</x:v>
      </x:c>
      <x:c r="E344" t="str">
        <x:v>Bogotá</x:v>
      </x:c>
      <x:c r="F344" t="str">
        <x:v>Bogotá D.C.</x:v>
      </x:c>
      <x:c r="G344" t="n">
        <x:v>39</x:v>
      </x:c>
      <x:c r="H344" t="str">
        <x:v>Entre $3 M y $5 M</x:v>
      </x:c>
      <x:c r="I344" t="str">
        <x:v>Orgánico</x:v>
      </x:c>
      <x:c r="J344" t="n">
        <x:v>1</x:v>
      </x:c>
      <x:c r="K344" t="n">
        <x:v>0</x:v>
      </x:c>
      <x:c r="L344" t="n">
        <x:v>9103888.48</x:v>
      </x:c>
      <x:c r="M344" t="n">
        <x:v>0</x:v>
      </x:c>
      <x:c r="N344" t="n">
        <x:v>0</x:v>
      </x:c>
      <x:c r="O344" t="n">
        <x:v>0</x:v>
      </x:c>
      <x:c r="P344" t="n">
        <x:v>4</x:v>
      </x:c>
    </x:row>
    <x:row r="345">
      <x:c r="A345" t="str">
        <x:v>2025-05</x:v>
      </x:c>
      <x:c r="B345" t="str">
        <x:v>USR-00046</x:v>
      </x:c>
      <x:c r="C345" t="str">
        <x:v>Cero</x:v>
      </x:c>
      <x:c r="D345" t="str">
        <x:v>Gratuita</x:v>
      </x:c>
      <x:c r="E345" t="str">
        <x:v>Bucaramanga</x:v>
      </x:c>
      <x:c r="F345" t="str">
        <x:v>Santander</x:v>
      </x:c>
      <x:c r="G345" t="n">
        <x:v>46</x:v>
      </x:c>
      <x:c r="H345" t="str">
        <x:v>Más de $5 M</x:v>
      </x:c>
      <x:c r="I345" t="str">
        <x:v>Orgánico</x:v>
      </x:c>
      <x:c r="J345" t="n">
        <x:v>1</x:v>
      </x:c>
      <x:c r="K345" t="n">
        <x:v>0</x:v>
      </x:c>
      <x:c r="L345" t="n">
        <x:v>6992824.23</x:v>
      </x:c>
      <x:c r="M345" t="n">
        <x:v>227300</x:v>
      </x:c>
      <x:c r="N345" t="n">
        <x:v>1</x:v>
      </x:c>
      <x:c r="O345" t="n">
        <x:v>0</x:v>
      </x:c>
      <x:c r="P345" t="n">
        <x:v>4</x:v>
      </x:c>
    </x:row>
    <x:row r="346">
      <x:c r="A346" t="str">
        <x:v>2025-05</x:v>
      </x:c>
      <x:c r="B346" t="str">
        <x:v>USR-00047</x:v>
      </x:c>
      <x:c r="C346" t="str">
        <x:v>Cero</x:v>
      </x:c>
      <x:c r="D346" t="str">
        <x:v>Gratuita</x:v>
      </x:c>
      <x:c r="E346" t="str">
        <x:v>Bogotá</x:v>
      </x:c>
      <x:c r="F346" t="str">
        <x:v>Bogotá D.C.</x:v>
      </x:c>
      <x:c r="G346" t="n">
        <x:v>21</x:v>
      </x:c>
      <x:c r="H346" t="str">
        <x:v>Menos de $1,5 M</x:v>
      </x:c>
      <x:c r="I346" t="str">
        <x:v>Alianzas</x:v>
      </x:c>
      <x:c r="J346" t="n">
        <x:v>2</x:v>
      </x:c>
      <x:c r="K346" t="n">
        <x:v>0</x:v>
      </x:c>
      <x:c r="L346" t="n">
        <x:v>11167960.28</x:v>
      </x:c>
      <x:c r="M346" t="n">
        <x:v>0</x:v>
      </x:c>
      <x:c r="N346" t="n">
        <x:v>0</x:v>
      </x:c>
      <x:c r="O346" t="n">
        <x:v>0</x:v>
      </x:c>
      <x:c r="P346" t="n">
        <x:v>4</x:v>
      </x:c>
    </x:row>
    <x:row r="347">
      <x:c r="A347" t="str">
        <x:v>2025-05</x:v>
      </x:c>
      <x:c r="B347" t="str">
        <x:v>USR-00048</x:v>
      </x:c>
      <x:c r="C347" t="str">
        <x:v>Cero</x:v>
      </x:c>
      <x:c r="D347" t="str">
        <x:v>Gratuita</x:v>
      </x:c>
      <x:c r="E347" t="str">
        <x:v>Bucaramanga</x:v>
      </x:c>
      <x:c r="F347" t="str">
        <x:v>Santander</x:v>
      </x:c>
      <x:c r="G347" t="n">
        <x:v>51</x:v>
      </x:c>
      <x:c r="H347" t="str">
        <x:v>Entre $1,5 M y $3 M</x:v>
      </x:c>
      <x:c r="I347" t="str">
        <x:v>Redes sociales</x:v>
      </x:c>
      <x:c r="J347" t="n">
        <x:v>2</x:v>
      </x:c>
      <x:c r="K347" t="n">
        <x:v>0</x:v>
      </x:c>
      <x:c r="L347" t="n">
        <x:v>37968904.28</x:v>
      </x:c>
      <x:c r="M347" t="n">
        <x:v>886800</x:v>
      </x:c>
      <x:c r="N347" t="n">
        <x:v>1</x:v>
      </x:c>
      <x:c r="O347" t="n">
        <x:v>0</x:v>
      </x:c>
      <x:c r="P347" t="n">
        <x:v>4</x:v>
      </x:c>
    </x:row>
    <x:row r="348">
      <x:c r="A348" t="str">
        <x:v>2025-05</x:v>
      </x:c>
      <x:c r="B348" t="str">
        <x:v>USR-00049</x:v>
      </x:c>
      <x:c r="C348" t="str">
        <x:v>Cero</x:v>
      </x:c>
      <x:c r="D348" t="str">
        <x:v>Gratuita</x:v>
      </x:c>
      <x:c r="E348" t="str">
        <x:v>Bogotá</x:v>
      </x:c>
      <x:c r="F348" t="str">
        <x:v>Bogotá D.C.</x:v>
      </x:c>
      <x:c r="G348" t="n">
        <x:v>53</x:v>
      </x:c>
      <x:c r="H348" t="str">
        <x:v>Entre $1,5 M y $3 M</x:v>
      </x:c>
      <x:c r="I348" t="str">
        <x:v>Búsqueda paga</x:v>
      </x:c>
      <x:c r="J348" t="n">
        <x:v>1</x:v>
      </x:c>
      <x:c r="K348" t="n">
        <x:v>0</x:v>
      </x:c>
      <x:c r="L348" t="n">
        <x:v>19538309.54</x:v>
      </x:c>
      <x:c r="M348" t="n">
        <x:v>578200</x:v>
      </x:c>
      <x:c r="N348" t="n">
        <x:v>1</x:v>
      </x:c>
      <x:c r="O348" t="n">
        <x:v>0</x:v>
      </x:c>
      <x:c r="P348" t="n">
        <x:v>4</x:v>
      </x:c>
    </x:row>
    <x:row r="349">
      <x:c r="A349" t="str">
        <x:v>2025-05</x:v>
      </x:c>
      <x:c r="B349" t="str">
        <x:v>USR-00050</x:v>
      </x:c>
      <x:c r="C349" t="str">
        <x:v>Cero</x:v>
      </x:c>
      <x:c r="D349" t="str">
        <x:v>Gratuita</x:v>
      </x:c>
      <x:c r="E349" t="str">
        <x:v>Medellín</x:v>
      </x:c>
      <x:c r="F349" t="str">
        <x:v>Antioquia</x:v>
      </x:c>
      <x:c r="G349" t="n">
        <x:v>62</x:v>
      </x:c>
      <x:c r="H349" t="str">
        <x:v>Entre $1,5 M y $3 M</x:v>
      </x:c>
      <x:c r="I349" t="str">
        <x:v>Referidos</x:v>
      </x:c>
      <x:c r="J349" t="n">
        <x:v>1</x:v>
      </x:c>
      <x:c r="K349" t="n">
        <x:v>0</x:v>
      </x:c>
      <x:c r="L349" t="n">
        <x:v>3687166.66</x:v>
      </x:c>
      <x:c r="M349" t="n">
        <x:v>147200</x:v>
      </x:c>
      <x:c r="N349" t="n">
        <x:v>1</x:v>
      </x:c>
      <x:c r="O349" t="n">
        <x:v>0</x:v>
      </x:c>
      <x:c r="P349" t="n">
        <x:v>4</x:v>
      </x:c>
    </x:row>
    <x:row r="350">
      <x:c r="A350" t="str">
        <x:v>2025-05</x:v>
      </x:c>
      <x:c r="B350" t="str">
        <x:v>USR-00051</x:v>
      </x:c>
      <x:c r="C350" t="str">
        <x:v>Plus mensual</x:v>
      </x:c>
      <x:c r="D350" t="str">
        <x:v>Pago</x:v>
      </x:c>
      <x:c r="E350" t="str">
        <x:v>Bogotá</x:v>
      </x:c>
      <x:c r="F350" t="str">
        <x:v>Bogotá D.C.</x:v>
      </x:c>
      <x:c r="G350" t="n">
        <x:v>58</x:v>
      </x:c>
      <x:c r="H350" t="str">
        <x:v>Más de $5 M</x:v>
      </x:c>
      <x:c r="I350" t="str">
        <x:v>Referidos</x:v>
      </x:c>
      <x:c r="J350" t="n">
        <x:v>5</x:v>
      </x:c>
      <x:c r="K350" t="n">
        <x:v>0</x:v>
      </x:c>
      <x:c r="L350" t="n">
        <x:v>37045962.24</x:v>
      </x:c>
      <x:c r="M350" t="n">
        <x:v>1636000</x:v>
      </x:c>
      <x:c r="N350" t="n">
        <x:v>4</x:v>
      </x:c>
      <x:c r="O350" t="n">
        <x:v>29900</x:v>
      </x:c>
      <x:c r="P350" t="n">
        <x:v>4</x:v>
      </x:c>
    </x:row>
    <x:row r="351">
      <x:c r="A351" t="str">
        <x:v>2025-05</x:v>
      </x:c>
      <x:c r="B351" t="str">
        <x:v>USR-00052</x:v>
      </x:c>
      <x:c r="C351" t="str">
        <x:v>Cero</x:v>
      </x:c>
      <x:c r="D351" t="str">
        <x:v>Gratuita</x:v>
      </x:c>
      <x:c r="E351" t="str">
        <x:v>Barranquilla</x:v>
      </x:c>
      <x:c r="F351" t="str">
        <x:v>Atlántico</x:v>
      </x:c>
      <x:c r="G351" t="n">
        <x:v>29</x:v>
      </x:c>
      <x:c r="H351" t="str">
        <x:v>Entre $1,5 M y $3 M</x:v>
      </x:c>
      <x:c r="I351" t="str">
        <x:v>Alianzas</x:v>
      </x:c>
      <x:c r="J351" t="n">
        <x:v>1</x:v>
      </x:c>
      <x:c r="K351" t="n">
        <x:v>0</x:v>
      </x:c>
      <x:c r="L351" t="n">
        <x:v>21031177.38</x:v>
      </x:c>
      <x:c r="M351" t="n">
        <x:v>0</x:v>
      </x:c>
      <x:c r="N351" t="n">
        <x:v>0</x:v>
      </x:c>
      <x:c r="O351" t="n">
        <x:v>0</x:v>
      </x:c>
      <x:c r="P351" t="n">
        <x:v>4</x:v>
      </x:c>
    </x:row>
    <x:row r="352">
      <x:c r="A352" t="str">
        <x:v>2025-05</x:v>
      </x:c>
      <x:c r="B352" t="str">
        <x:v>USR-00053</x:v>
      </x:c>
      <x:c r="C352" t="str">
        <x:v>Plus mensual</x:v>
      </x:c>
      <x:c r="D352" t="str">
        <x:v>Pago</x:v>
      </x:c>
      <x:c r="E352" t="str">
        <x:v>Bogotá</x:v>
      </x:c>
      <x:c r="F352" t="str">
        <x:v>Bogotá D.C.</x:v>
      </x:c>
      <x:c r="G352" t="n">
        <x:v>51</x:v>
      </x:c>
      <x:c r="H352" t="str">
        <x:v>Menos de $1,5 M</x:v>
      </x:c>
      <x:c r="I352" t="str">
        <x:v>Orgánico</x:v>
      </x:c>
      <x:c r="J352" t="n">
        <x:v>4</x:v>
      </x:c>
      <x:c r="K352" t="n">
        <x:v>0</x:v>
      </x:c>
      <x:c r="L352" t="n">
        <x:v>15301647.36</x:v>
      </x:c>
      <x:c r="M352" t="n">
        <x:v>752600</x:v>
      </x:c>
      <x:c r="N352" t="n">
        <x:v>3</x:v>
      </x:c>
      <x:c r="O352" t="n">
        <x:v>29900</x:v>
      </x:c>
      <x:c r="P352" t="n">
        <x:v>4</x:v>
      </x:c>
    </x:row>
    <x:row r="353">
      <x:c r="A353" t="str">
        <x:v>2025-05</x:v>
      </x:c>
      <x:c r="B353" t="str">
        <x:v>USR-00054</x:v>
      </x:c>
      <x:c r="C353" t="str">
        <x:v>Plus mensual</x:v>
      </x:c>
      <x:c r="D353" t="str">
        <x:v>Pago</x:v>
      </x:c>
      <x:c r="E353" t="str">
        <x:v>Bogotá</x:v>
      </x:c>
      <x:c r="F353" t="str">
        <x:v>Bogotá D.C.</x:v>
      </x:c>
      <x:c r="G353" t="n">
        <x:v>21</x:v>
      </x:c>
      <x:c r="H353" t="str">
        <x:v>Entre $1,5 M y $3 M</x:v>
      </x:c>
      <x:c r="I353" t="str">
        <x:v>Redes sociales</x:v>
      </x:c>
      <x:c r="J353" t="n">
        <x:v>4</x:v>
      </x:c>
      <x:c r="K353" t="n">
        <x:v>0</x:v>
      </x:c>
      <x:c r="L353" t="n">
        <x:v>43985326.53</x:v>
      </x:c>
      <x:c r="M353" t="n">
        <x:v>3529100</x:v>
      </x:c>
      <x:c r="N353" t="n">
        <x:v>2</x:v>
      </x:c>
      <x:c r="O353" t="n">
        <x:v>29900</x:v>
      </x:c>
      <x:c r="P353" t="n">
        <x:v>4</x:v>
      </x:c>
    </x:row>
    <x:row r="354">
      <x:c r="A354" t="str">
        <x:v>2025-05</x:v>
      </x:c>
      <x:c r="B354" t="str">
        <x:v>USR-00055</x:v>
      </x:c>
      <x:c r="C354" t="str">
        <x:v>Cero</x:v>
      </x:c>
      <x:c r="D354" t="str">
        <x:v>Gratuita</x:v>
      </x:c>
      <x:c r="E354" t="str">
        <x:v>Barranquilla</x:v>
      </x:c>
      <x:c r="F354" t="str">
        <x:v>Atlántico</x:v>
      </x:c>
      <x:c r="G354" t="n">
        <x:v>45</x:v>
      </x:c>
      <x:c r="H354" t="str">
        <x:v>Entre $3 M y $5 M</x:v>
      </x:c>
      <x:c r="I354" t="str">
        <x:v>Redes sociales</x:v>
      </x:c>
      <x:c r="J354" t="n">
        <x:v>2</x:v>
      </x:c>
      <x:c r="K354" t="n">
        <x:v>0</x:v>
      </x:c>
      <x:c r="L354" t="n">
        <x:v>13336612.44</x:v>
      </x:c>
      <x:c r="M354" t="n">
        <x:v>426700</x:v>
      </x:c>
      <x:c r="N354" t="n">
        <x:v>1</x:v>
      </x:c>
      <x:c r="O354" t="n">
        <x:v>0</x:v>
      </x:c>
      <x:c r="P354" t="n">
        <x:v>4</x:v>
      </x:c>
    </x:row>
    <x:row r="355">
      <x:c r="A355" t="str">
        <x:v>2025-05</x:v>
      </x:c>
      <x:c r="B355" t="str">
        <x:v>USR-00056</x:v>
      </x:c>
      <x:c r="C355" t="str">
        <x:v>Cero</x:v>
      </x:c>
      <x:c r="D355" t="str">
        <x:v>Gratuita</x:v>
      </x:c>
      <x:c r="E355" t="str">
        <x:v>Bogotá</x:v>
      </x:c>
      <x:c r="F355" t="str">
        <x:v>Bogotá D.C.</x:v>
      </x:c>
      <x:c r="G355" t="n">
        <x:v>64</x:v>
      </x:c>
      <x:c r="H355" t="str">
        <x:v>Entre $1,5 M y $3 M</x:v>
      </x:c>
      <x:c r="I355" t="str">
        <x:v>Redes sociales</x:v>
      </x:c>
      <x:c r="J355" t="n">
        <x:v>1</x:v>
      </x:c>
      <x:c r="K355" t="n">
        <x:v>0</x:v>
      </x:c>
      <x:c r="L355" t="n">
        <x:v>2807783.57</x:v>
      </x:c>
      <x:c r="M355" t="n">
        <x:v>0</x:v>
      </x:c>
      <x:c r="N355" t="n">
        <x:v>0</x:v>
      </x:c>
      <x:c r="O355" t="n">
        <x:v>0</x:v>
      </x:c>
      <x:c r="P355" t="n">
        <x:v>3</x:v>
      </x:c>
    </x:row>
    <x:row r="356">
      <x:c r="A356" t="str">
        <x:v>2025-05</x:v>
      </x:c>
      <x:c r="B356" t="str">
        <x:v>USR-00057</x:v>
      </x:c>
      <x:c r="C356" t="str">
        <x:v>Cero</x:v>
      </x:c>
      <x:c r="D356" t="str">
        <x:v>Gratuita</x:v>
      </x:c>
      <x:c r="E356" t="str">
        <x:v>Bogotá</x:v>
      </x:c>
      <x:c r="F356" t="str">
        <x:v>Bogotá D.C.</x:v>
      </x:c>
      <x:c r="G356" t="n">
        <x:v>27</x:v>
      </x:c>
      <x:c r="H356" t="str">
        <x:v>Entre $1,5 M y $3 M</x:v>
      </x:c>
      <x:c r="I356" t="str">
        <x:v>Orgánico</x:v>
      </x:c>
      <x:c r="J356" t="n">
        <x:v>2</x:v>
      </x:c>
      <x:c r="K356" t="n">
        <x:v>0</x:v>
      </x:c>
      <x:c r="L356" t="n">
        <x:v>75681282.7</x:v>
      </x:c>
      <x:c r="M356" t="n">
        <x:v>3903000</x:v>
      </x:c>
      <x:c r="N356" t="n">
        <x:v>1</x:v>
      </x:c>
      <x:c r="O356" t="n">
        <x:v>0</x:v>
      </x:c>
      <x:c r="P356" t="n">
        <x:v>3</x:v>
      </x:c>
    </x:row>
    <x:row r="357">
      <x:c r="A357" t="str">
        <x:v>2025-05</x:v>
      </x:c>
      <x:c r="B357" t="str">
        <x:v>USR-00058</x:v>
      </x:c>
      <x:c r="C357" t="str">
        <x:v>Cero</x:v>
      </x:c>
      <x:c r="D357" t="str">
        <x:v>Gratuita</x:v>
      </x:c>
      <x:c r="E357" t="str">
        <x:v>Bucaramanga</x:v>
      </x:c>
      <x:c r="F357" t="str">
        <x:v>Santander</x:v>
      </x:c>
      <x:c r="G357" t="n">
        <x:v>34</x:v>
      </x:c>
      <x:c r="H357" t="str">
        <x:v>Entre $1,5 M y $3 M</x:v>
      </x:c>
      <x:c r="I357" t="str">
        <x:v>Orgánico</x:v>
      </x:c>
      <x:c r="J357" t="n">
        <x:v>2</x:v>
      </x:c>
      <x:c r="K357" t="n">
        <x:v>0</x:v>
      </x:c>
      <x:c r="L357" t="n">
        <x:v>20824040.61</x:v>
      </x:c>
      <x:c r="M357" t="n">
        <x:v>760300</x:v>
      </x:c>
      <x:c r="N357" t="n">
        <x:v>1</x:v>
      </x:c>
      <x:c r="O357" t="n">
        <x:v>0</x:v>
      </x:c>
      <x:c r="P357" t="n">
        <x:v>3</x:v>
      </x:c>
    </x:row>
    <x:row r="358">
      <x:c r="A358" t="str">
        <x:v>2025-05</x:v>
      </x:c>
      <x:c r="B358" t="str">
        <x:v>USR-00059</x:v>
      </x:c>
      <x:c r="C358" t="str">
        <x:v>Cero</x:v>
      </x:c>
      <x:c r="D358" t="str">
        <x:v>Gratuita</x:v>
      </x:c>
      <x:c r="E358" t="str">
        <x:v>Villavicencio</x:v>
      </x:c>
      <x:c r="F358" t="str">
        <x:v>Meta</x:v>
      </x:c>
      <x:c r="G358" t="n">
        <x:v>40</x:v>
      </x:c>
      <x:c r="H358" t="str">
        <x:v>Entre $1,5 M y $3 M</x:v>
      </x:c>
      <x:c r="I358" t="str">
        <x:v>Redes sociales</x:v>
      </x:c>
      <x:c r="J358" t="n">
        <x:v>2</x:v>
      </x:c>
      <x:c r="K358" t="n">
        <x:v>0</x:v>
      </x:c>
      <x:c r="L358" t="n">
        <x:v>48640026.42</x:v>
      </x:c>
      <x:c r="M358" t="n">
        <x:v>3592900</x:v>
      </x:c>
      <x:c r="N358" t="n">
        <x:v>1</x:v>
      </x:c>
      <x:c r="O358" t="n">
        <x:v>0</x:v>
      </x:c>
      <x:c r="P358" t="n">
        <x:v>3</x:v>
      </x:c>
    </x:row>
    <x:row r="359">
      <x:c r="A359" t="str">
        <x:v>2025-05</x:v>
      </x:c>
      <x:c r="B359" t="str">
        <x:v>USR-00060</x:v>
      </x:c>
      <x:c r="C359" t="str">
        <x:v>Cero</x:v>
      </x:c>
      <x:c r="D359" t="str">
        <x:v>Gratuita</x:v>
      </x:c>
      <x:c r="E359" t="str">
        <x:v>Barranquilla</x:v>
      </x:c>
      <x:c r="F359" t="str">
        <x:v>Atlántico</x:v>
      </x:c>
      <x:c r="G359" t="n">
        <x:v>55</x:v>
      </x:c>
      <x:c r="H359" t="str">
        <x:v>Menos de $1,5 M</x:v>
      </x:c>
      <x:c r="I359" t="str">
        <x:v>Referidos</x:v>
      </x:c>
      <x:c r="J359" t="n">
        <x:v>2</x:v>
      </x:c>
      <x:c r="K359" t="n">
        <x:v>0</x:v>
      </x:c>
      <x:c r="L359" t="n">
        <x:v>21658749.94</x:v>
      </x:c>
      <x:c r="M359" t="n">
        <x:v>1541500</x:v>
      </x:c>
      <x:c r="N359" t="n">
        <x:v>2</x:v>
      </x:c>
      <x:c r="O359" t="n">
        <x:v>0</x:v>
      </x:c>
      <x:c r="P359" t="n">
        <x:v>3</x:v>
      </x:c>
    </x:row>
    <x:row r="360">
      <x:c r="A360" t="str">
        <x:v>2025-05</x:v>
      </x:c>
      <x:c r="B360" t="str">
        <x:v>USR-00061</x:v>
      </x:c>
      <x:c r="C360" t="str">
        <x:v>Cero</x:v>
      </x:c>
      <x:c r="D360" t="str">
        <x:v>Gratuita</x:v>
      </x:c>
      <x:c r="E360" t="str">
        <x:v>Manizales</x:v>
      </x:c>
      <x:c r="F360" t="str">
        <x:v>Caldas</x:v>
      </x:c>
      <x:c r="G360" t="n">
        <x:v>39</x:v>
      </x:c>
      <x:c r="H360" t="str">
        <x:v>Entre $1,5 M y $3 M</x:v>
      </x:c>
      <x:c r="I360" t="str">
        <x:v>Contenido educativo</x:v>
      </x:c>
      <x:c r="J360" t="n">
        <x:v>2</x:v>
      </x:c>
      <x:c r="K360" t="n">
        <x:v>0</x:v>
      </x:c>
      <x:c r="L360" t="n">
        <x:v>36081201.28</x:v>
      </x:c>
      <x:c r="M360" t="n">
        <x:v>238800</x:v>
      </x:c>
      <x:c r="N360" t="n">
        <x:v>1</x:v>
      </x:c>
      <x:c r="O360" t="n">
        <x:v>0</x:v>
      </x:c>
      <x:c r="P360" t="n">
        <x:v>3</x:v>
      </x:c>
    </x:row>
    <x:row r="361">
      <x:c r="A361" t="str">
        <x:v>2025-05</x:v>
      </x:c>
      <x:c r="B361" t="str">
        <x:v>USR-00062</x:v>
      </x:c>
      <x:c r="C361" t="str">
        <x:v>Cero</x:v>
      </x:c>
      <x:c r="D361" t="str">
        <x:v>Gratuita</x:v>
      </x:c>
      <x:c r="E361" t="str">
        <x:v>Medellín</x:v>
      </x:c>
      <x:c r="F361" t="str">
        <x:v>Antioquia</x:v>
      </x:c>
      <x:c r="G361" t="n">
        <x:v>53</x:v>
      </x:c>
      <x:c r="H361" t="str">
        <x:v>Entre $1,5 M y $3 M</x:v>
      </x:c>
      <x:c r="I361" t="str">
        <x:v>Alianzas</x:v>
      </x:c>
      <x:c r="J361" t="n">
        <x:v>1</x:v>
      </x:c>
      <x:c r="K361" t="n">
        <x:v>0</x:v>
      </x:c>
      <x:c r="L361" t="n">
        <x:v>16958474.51</x:v>
      </x:c>
      <x:c r="M361" t="n">
        <x:v>0</x:v>
      </x:c>
      <x:c r="N361" t="n">
        <x:v>0</x:v>
      </x:c>
      <x:c r="O361" t="n">
        <x:v>0</x:v>
      </x:c>
      <x:c r="P361" t="n">
        <x:v>3</x:v>
      </x:c>
    </x:row>
    <x:row r="362">
      <x:c r="A362" t="str">
        <x:v>2025-05</x:v>
      </x:c>
      <x:c r="B362" t="str">
        <x:v>USR-00063</x:v>
      </x:c>
      <x:c r="C362" t="str">
        <x:v>Cero</x:v>
      </x:c>
      <x:c r="D362" t="str">
        <x:v>Gratuita</x:v>
      </x:c>
      <x:c r="E362" t="str">
        <x:v>Bogotá</x:v>
      </x:c>
      <x:c r="F362" t="str">
        <x:v>Bogotá D.C.</x:v>
      </x:c>
      <x:c r="G362" t="n">
        <x:v>53</x:v>
      </x:c>
      <x:c r="H362" t="str">
        <x:v>Entre $1,5 M y $3 M</x:v>
      </x:c>
      <x:c r="I362" t="str">
        <x:v>Redes sociales</x:v>
      </x:c>
      <x:c r="J362" t="n">
        <x:v>2</x:v>
      </x:c>
      <x:c r="K362" t="n">
        <x:v>0</x:v>
      </x:c>
      <x:c r="L362" t="n">
        <x:v>27863984.22</x:v>
      </x:c>
      <x:c r="M362" t="n">
        <x:v>1938800</x:v>
      </x:c>
      <x:c r="N362" t="n">
        <x:v>2</x:v>
      </x:c>
      <x:c r="O362" t="n">
        <x:v>0</x:v>
      </x:c>
      <x:c r="P362" t="n">
        <x:v>3</x:v>
      </x:c>
    </x:row>
    <x:row r="363">
      <x:c r="A363" t="str">
        <x:v>2025-05</x:v>
      </x:c>
      <x:c r="B363" t="str">
        <x:v>USR-00064</x:v>
      </x:c>
      <x:c r="C363" t="str">
        <x:v>Cero</x:v>
      </x:c>
      <x:c r="D363" t="str">
        <x:v>Gratuita</x:v>
      </x:c>
      <x:c r="E363" t="str">
        <x:v>Bogotá</x:v>
      </x:c>
      <x:c r="F363" t="str">
        <x:v>Bogotá D.C.</x:v>
      </x:c>
      <x:c r="G363" t="n">
        <x:v>52</x:v>
      </x:c>
      <x:c r="H363" t="str">
        <x:v>Entre $1,5 M y $3 M</x:v>
      </x:c>
      <x:c r="I363" t="str">
        <x:v>Búsqueda paga</x:v>
      </x:c>
      <x:c r="J363" t="n">
        <x:v>1</x:v>
      </x:c>
      <x:c r="K363" t="n">
        <x:v>0</x:v>
      </x:c>
      <x:c r="L363" t="n">
        <x:v>1482283.24</x:v>
      </x:c>
      <x:c r="M363" t="n">
        <x:v>106500</x:v>
      </x:c>
      <x:c r="N363" t="n">
        <x:v>1</x:v>
      </x:c>
      <x:c r="O363" t="n">
        <x:v>0</x:v>
      </x:c>
      <x:c r="P363" t="n">
        <x:v>3</x:v>
      </x:c>
    </x:row>
    <x:row r="364">
      <x:c r="A364" t="str">
        <x:v>2025-05</x:v>
      </x:c>
      <x:c r="B364" t="str">
        <x:v>USR-00065</x:v>
      </x:c>
      <x:c r="C364" t="str">
        <x:v>Plus mensual</x:v>
      </x:c>
      <x:c r="D364" t="str">
        <x:v>Pago</x:v>
      </x:c>
      <x:c r="E364" t="str">
        <x:v>Cali</x:v>
      </x:c>
      <x:c r="F364" t="str">
        <x:v>Valle del Cauca</x:v>
      </x:c>
      <x:c r="G364" t="n">
        <x:v>40</x:v>
      </x:c>
      <x:c r="H364" t="str">
        <x:v>Entre $3 M y $5 M</x:v>
      </x:c>
      <x:c r="I364" t="str">
        <x:v>Referidos</x:v>
      </x:c>
      <x:c r="J364" t="n">
        <x:v>3</x:v>
      </x:c>
      <x:c r="K364" t="n">
        <x:v>0</x:v>
      </x:c>
      <x:c r="L364" t="n">
        <x:v>57371634.06</x:v>
      </x:c>
      <x:c r="M364" t="n">
        <x:v>2618700</x:v>
      </x:c>
      <x:c r="N364" t="n">
        <x:v>3</x:v>
      </x:c>
      <x:c r="O364" t="n">
        <x:v>29900</x:v>
      </x:c>
      <x:c r="P364" t="n">
        <x:v>3</x:v>
      </x:c>
    </x:row>
    <x:row r="365">
      <x:c r="A365" t="str">
        <x:v>2025-05</x:v>
      </x:c>
      <x:c r="B365" t="str">
        <x:v>USR-00066</x:v>
      </x:c>
      <x:c r="C365" t="str">
        <x:v>Plus mensual</x:v>
      </x:c>
      <x:c r="D365" t="str">
        <x:v>Pago</x:v>
      </x:c>
      <x:c r="E365" t="str">
        <x:v>Villavicencio</x:v>
      </x:c>
      <x:c r="F365" t="str">
        <x:v>Meta</x:v>
      </x:c>
      <x:c r="G365" t="n">
        <x:v>21</x:v>
      </x:c>
      <x:c r="H365" t="str">
        <x:v>Entre $1,5 M y $3 M</x:v>
      </x:c>
      <x:c r="I365" t="str">
        <x:v>Referidos</x:v>
      </x:c>
      <x:c r="J365" t="n">
        <x:v>4</x:v>
      </x:c>
      <x:c r="K365" t="n">
        <x:v>0</x:v>
      </x:c>
      <x:c r="L365" t="n">
        <x:v>33871047.2</x:v>
      </x:c>
      <x:c r="M365" t="n">
        <x:v>594500</x:v>
      </x:c>
      <x:c r="N365" t="n">
        <x:v>3</x:v>
      </x:c>
      <x:c r="O365" t="n">
        <x:v>29900</x:v>
      </x:c>
      <x:c r="P365" t="n">
        <x:v>3</x:v>
      </x:c>
    </x:row>
    <x:row r="366">
      <x:c r="A366" t="str">
        <x:v>2025-05</x:v>
      </x:c>
      <x:c r="B366" t="str">
        <x:v>USR-00067</x:v>
      </x:c>
      <x:c r="C366" t="str">
        <x:v>Plus mensual</x:v>
      </x:c>
      <x:c r="D366" t="str">
        <x:v>Pago</x:v>
      </x:c>
      <x:c r="E366" t="str">
        <x:v>Bogotá</x:v>
      </x:c>
      <x:c r="F366" t="str">
        <x:v>Bogotá D.C.</x:v>
      </x:c>
      <x:c r="G366" t="n">
        <x:v>56</x:v>
      </x:c>
      <x:c r="H366" t="str">
        <x:v>Entre $1,5 M y $3 M</x:v>
      </x:c>
      <x:c r="I366" t="str">
        <x:v>Alianzas</x:v>
      </x:c>
      <x:c r="J366" t="n">
        <x:v>4</x:v>
      </x:c>
      <x:c r="K366" t="n">
        <x:v>0</x:v>
      </x:c>
      <x:c r="L366" t="n">
        <x:v>83163529.06</x:v>
      </x:c>
      <x:c r="M366" t="n">
        <x:v>2800400</x:v>
      </x:c>
      <x:c r="N366" t="n">
        <x:v>4</x:v>
      </x:c>
      <x:c r="O366" t="n">
        <x:v>29900</x:v>
      </x:c>
      <x:c r="P366" t="n">
        <x:v>3</x:v>
      </x:c>
    </x:row>
    <x:row r="367">
      <x:c r="A367" t="str">
        <x:v>2025-05</x:v>
      </x:c>
      <x:c r="B367" t="str">
        <x:v>USR-00068</x:v>
      </x:c>
      <x:c r="C367" t="str">
        <x:v>Cero</x:v>
      </x:c>
      <x:c r="D367" t="str">
        <x:v>Gratuita</x:v>
      </x:c>
      <x:c r="E367" t="str">
        <x:v>Barranquilla</x:v>
      </x:c>
      <x:c r="F367" t="str">
        <x:v>Atlántico</x:v>
      </x:c>
      <x:c r="G367" t="n">
        <x:v>34</x:v>
      </x:c>
      <x:c r="H367" t="str">
        <x:v>Entre $3 M y $5 M</x:v>
      </x:c>
      <x:c r="I367" t="str">
        <x:v>Referidos</x:v>
      </x:c>
      <x:c r="J367" t="n">
        <x:v>1</x:v>
      </x:c>
      <x:c r="K367" t="n">
        <x:v>0</x:v>
      </x:c>
      <x:c r="L367" t="n">
        <x:v>4952349.18</x:v>
      </x:c>
      <x:c r="M367" t="n">
        <x:v>0</x:v>
      </x:c>
      <x:c r="N367" t="n">
        <x:v>0</x:v>
      </x:c>
      <x:c r="O367" t="n">
        <x:v>0</x:v>
      </x:c>
      <x:c r="P367" t="n">
        <x:v>3</x:v>
      </x:c>
    </x:row>
    <x:row r="368">
      <x:c r="A368" t="str">
        <x:v>2025-05</x:v>
      </x:c>
      <x:c r="B368" t="str">
        <x:v>USR-00069</x:v>
      </x:c>
      <x:c r="C368" t="str">
        <x:v>Cero</x:v>
      </x:c>
      <x:c r="D368" t="str">
        <x:v>Gratuita</x:v>
      </x:c>
      <x:c r="E368" t="str">
        <x:v>Bogotá</x:v>
      </x:c>
      <x:c r="F368" t="str">
        <x:v>Bogotá D.C.</x:v>
      </x:c>
      <x:c r="G368" t="n">
        <x:v>62</x:v>
      </x:c>
      <x:c r="H368" t="str">
        <x:v>Más de $5 M</x:v>
      </x:c>
      <x:c r="I368" t="str">
        <x:v>Referidos</x:v>
      </x:c>
      <x:c r="J368" t="n">
        <x:v>1</x:v>
      </x:c>
      <x:c r="K368" t="n">
        <x:v>0</x:v>
      </x:c>
      <x:c r="L368" t="n">
        <x:v>7840001.9</x:v>
      </x:c>
      <x:c r="M368" t="n">
        <x:v>0</x:v>
      </x:c>
      <x:c r="N368" t="n">
        <x:v>0</x:v>
      </x:c>
      <x:c r="O368" t="n">
        <x:v>0</x:v>
      </x:c>
      <x:c r="P368" t="n">
        <x:v>3</x:v>
      </x:c>
    </x:row>
    <x:row r="369">
      <x:c r="A369" t="str">
        <x:v>2025-05</x:v>
      </x:c>
      <x:c r="B369" t="str">
        <x:v>USR-00070</x:v>
      </x:c>
      <x:c r="C369" t="str">
        <x:v>Plus mensual</x:v>
      </x:c>
      <x:c r="D369" t="str">
        <x:v>Pago</x:v>
      </x:c>
      <x:c r="E369" t="str">
        <x:v>Pereira</x:v>
      </x:c>
      <x:c r="F369" t="str">
        <x:v>Risaralda</x:v>
      </x:c>
      <x:c r="G369" t="n">
        <x:v>24</x:v>
      </x:c>
      <x:c r="H369" t="str">
        <x:v>Entre $1,5 M y $3 M</x:v>
      </x:c>
      <x:c r="I369" t="str">
        <x:v>Redes sociales</x:v>
      </x:c>
      <x:c r="J369" t="n">
        <x:v>4</x:v>
      </x:c>
      <x:c r="K369" t="n">
        <x:v>0</x:v>
      </x:c>
      <x:c r="L369" t="n">
        <x:v>33840261.39</x:v>
      </x:c>
      <x:c r="M369" t="n">
        <x:v>3565200</x:v>
      </x:c>
      <x:c r="N369" t="n">
        <x:v>4</x:v>
      </x:c>
      <x:c r="O369" t="n">
        <x:v>29900</x:v>
      </x:c>
      <x:c r="P369" t="n">
        <x:v>3</x:v>
      </x:c>
    </x:row>
    <x:row r="370">
      <x:c r="A370" t="str">
        <x:v>2025-05</x:v>
      </x:c>
      <x:c r="B370" t="str">
        <x:v>USR-00071</x:v>
      </x:c>
      <x:c r="C370" t="str">
        <x:v>Cero</x:v>
      </x:c>
      <x:c r="D370" t="str">
        <x:v>Gratuita</x:v>
      </x:c>
      <x:c r="E370" t="str">
        <x:v>Barranquilla</x:v>
      </x:c>
      <x:c r="F370" t="str">
        <x:v>Atlántico</x:v>
      </x:c>
      <x:c r="G370" t="n">
        <x:v>48</x:v>
      </x:c>
      <x:c r="H370" t="str">
        <x:v>Entre $3 M y $5 M</x:v>
      </x:c>
      <x:c r="I370" t="str">
        <x:v>Referidos</x:v>
      </x:c>
      <x:c r="J370" t="n">
        <x:v>2</x:v>
      </x:c>
      <x:c r="K370" t="n">
        <x:v>0</x:v>
      </x:c>
      <x:c r="L370" t="n">
        <x:v>12739040.57</x:v>
      </x:c>
      <x:c r="M370" t="n">
        <x:v>592000</x:v>
      </x:c>
      <x:c r="N370" t="n">
        <x:v>2</x:v>
      </x:c>
      <x:c r="O370" t="n">
        <x:v>0</x:v>
      </x:c>
      <x:c r="P370" t="n">
        <x:v>3</x:v>
      </x:c>
    </x:row>
    <x:row r="371">
      <x:c r="A371" t="str">
        <x:v>2025-05</x:v>
      </x:c>
      <x:c r="B371" t="str">
        <x:v>USR-00072</x:v>
      </x:c>
      <x:c r="C371" t="str">
        <x:v>Cero</x:v>
      </x:c>
      <x:c r="D371" t="str">
        <x:v>Gratuita</x:v>
      </x:c>
      <x:c r="E371" t="str">
        <x:v>Cali</x:v>
      </x:c>
      <x:c r="F371" t="str">
        <x:v>Valle del Cauca</x:v>
      </x:c>
      <x:c r="G371" t="n">
        <x:v>25</x:v>
      </x:c>
      <x:c r="H371" t="str">
        <x:v>Entre $3 M y $5 M</x:v>
      </x:c>
      <x:c r="I371" t="str">
        <x:v>Búsqueda paga</x:v>
      </x:c>
      <x:c r="J371" t="n">
        <x:v>2</x:v>
      </x:c>
      <x:c r="K371" t="n">
        <x:v>0</x:v>
      </x:c>
      <x:c r="L371" t="n">
        <x:v>10186761.21</x:v>
      </x:c>
      <x:c r="M371" t="n">
        <x:v>490500</x:v>
      </x:c>
      <x:c r="N371" t="n">
        <x:v>2</x:v>
      </x:c>
      <x:c r="O371" t="n">
        <x:v>0</x:v>
      </x:c>
      <x:c r="P371" t="n">
        <x:v>3</x:v>
      </x:c>
    </x:row>
    <x:row r="372">
      <x:c r="A372" t="str">
        <x:v>2025-05</x:v>
      </x:c>
      <x:c r="B372" t="str">
        <x:v>USR-00073</x:v>
      </x:c>
      <x:c r="C372" t="str">
        <x:v>Cero</x:v>
      </x:c>
      <x:c r="D372" t="str">
        <x:v>Gratuita</x:v>
      </x:c>
      <x:c r="E372" t="str">
        <x:v>Bucaramanga</x:v>
      </x:c>
      <x:c r="F372" t="str">
        <x:v>Santander</x:v>
      </x:c>
      <x:c r="G372" t="n">
        <x:v>56</x:v>
      </x:c>
      <x:c r="H372" t="str">
        <x:v>Entre $3 M y $5 M</x:v>
      </x:c>
      <x:c r="I372" t="str">
        <x:v>Contenido educativo</x:v>
      </x:c>
      <x:c r="J372" t="n">
        <x:v>2</x:v>
      </x:c>
      <x:c r="K372" t="n">
        <x:v>0</x:v>
      </x:c>
      <x:c r="L372" t="n">
        <x:v>9497454.42</x:v>
      </x:c>
      <x:c r="M372" t="n">
        <x:v>690600</x:v>
      </x:c>
      <x:c r="N372" t="n">
        <x:v>1</x:v>
      </x:c>
      <x:c r="O372" t="n">
        <x:v>0</x:v>
      </x:c>
      <x:c r="P372" t="n">
        <x:v>3</x:v>
      </x:c>
    </x:row>
    <x:row r="373">
      <x:c r="A373" t="str">
        <x:v>2025-05</x:v>
      </x:c>
      <x:c r="B373" t="str">
        <x:v>USR-00074</x:v>
      </x:c>
      <x:c r="C373" t="str">
        <x:v>Cero</x:v>
      </x:c>
      <x:c r="D373" t="str">
        <x:v>Gratuita</x:v>
      </x:c>
      <x:c r="E373" t="str">
        <x:v>Medellín</x:v>
      </x:c>
      <x:c r="F373" t="str">
        <x:v>Antioquia</x:v>
      </x:c>
      <x:c r="G373" t="n">
        <x:v>32</x:v>
      </x:c>
      <x:c r="H373" t="str">
        <x:v>Menos de $1,5 M</x:v>
      </x:c>
      <x:c r="I373" t="str">
        <x:v>Contenido educativo</x:v>
      </x:c>
      <x:c r="J373" t="n">
        <x:v>1</x:v>
      </x:c>
      <x:c r="K373" t="n">
        <x:v>0</x:v>
      </x:c>
      <x:c r="L373" t="n">
        <x:v>1341406.3</x:v>
      </x:c>
      <x:c r="M373" t="n">
        <x:v>45700</x:v>
      </x:c>
      <x:c r="N373" t="n">
        <x:v>1</x:v>
      </x:c>
      <x:c r="O373" t="n">
        <x:v>0</x:v>
      </x:c>
      <x:c r="P373" t="n">
        <x:v>3</x:v>
      </x:c>
    </x:row>
    <x:row r="374">
      <x:c r="A374" t="str">
        <x:v>2025-05</x:v>
      </x:c>
      <x:c r="B374" t="str">
        <x:v>USR-00075</x:v>
      </x:c>
      <x:c r="C374" t="str">
        <x:v>Cero</x:v>
      </x:c>
      <x:c r="D374" t="str">
        <x:v>Gratuita</x:v>
      </x:c>
      <x:c r="E374" t="str">
        <x:v>Bucaramanga</x:v>
      </x:c>
      <x:c r="F374" t="str">
        <x:v>Santander</x:v>
      </x:c>
      <x:c r="G374" t="n">
        <x:v>47</x:v>
      </x:c>
      <x:c r="H374" t="str">
        <x:v>Más de $5 M</x:v>
      </x:c>
      <x:c r="I374" t="str">
        <x:v>Referidos</x:v>
      </x:c>
      <x:c r="J374" t="n">
        <x:v>2</x:v>
      </x:c>
      <x:c r="K374" t="n">
        <x:v>0</x:v>
      </x:c>
      <x:c r="L374" t="n">
        <x:v>68517101.04</x:v>
      </x:c>
      <x:c r="M374" t="n">
        <x:v>2697400</x:v>
      </x:c>
      <x:c r="N374" t="n">
        <x:v>2</x:v>
      </x:c>
      <x:c r="O374" t="n">
        <x:v>0</x:v>
      </x:c>
      <x:c r="P374" t="n">
        <x:v>3</x:v>
      </x:c>
    </x:row>
    <x:row r="375">
      <x:c r="A375" t="str">
        <x:v>2025-05</x:v>
      </x:c>
      <x:c r="B375" t="str">
        <x:v>USR-00076</x:v>
      </x:c>
      <x:c r="C375" t="str">
        <x:v>Cero</x:v>
      </x:c>
      <x:c r="D375" t="str">
        <x:v>Gratuita</x:v>
      </x:c>
      <x:c r="E375" t="str">
        <x:v>Cali</x:v>
      </x:c>
      <x:c r="F375" t="str">
        <x:v>Valle del Cauca</x:v>
      </x:c>
      <x:c r="G375" t="n">
        <x:v>34</x:v>
      </x:c>
      <x:c r="H375" t="str">
        <x:v>Entre $3 M y $5 M</x:v>
      </x:c>
      <x:c r="I375" t="str">
        <x:v>Orgánico</x:v>
      </x:c>
      <x:c r="J375" t="n">
        <x:v>2</x:v>
      </x:c>
      <x:c r="K375" t="n">
        <x:v>0</x:v>
      </x:c>
      <x:c r="L375" t="n">
        <x:v>20977339.42</x:v>
      </x:c>
      <x:c r="M375" t="n">
        <x:v>580200</x:v>
      </x:c>
      <x:c r="N375" t="n">
        <x:v>1</x:v>
      </x:c>
      <x:c r="O375" t="n">
        <x:v>0</x:v>
      </x:c>
      <x:c r="P375" t="n">
        <x:v>3</x:v>
      </x:c>
    </x:row>
    <x:row r="376">
      <x:c r="A376" t="str">
        <x:v>2025-05</x:v>
      </x:c>
      <x:c r="B376" t="str">
        <x:v>USR-00077</x:v>
      </x:c>
      <x:c r="C376" t="str">
        <x:v>Cero</x:v>
      </x:c>
      <x:c r="D376" t="str">
        <x:v>Gratuita</x:v>
      </x:c>
      <x:c r="E376" t="str">
        <x:v>Barranquilla</x:v>
      </x:c>
      <x:c r="F376" t="str">
        <x:v>Atlántico</x:v>
      </x:c>
      <x:c r="G376" t="n">
        <x:v>25</x:v>
      </x:c>
      <x:c r="H376" t="str">
        <x:v>Entre $1,5 M y $3 M</x:v>
      </x:c>
      <x:c r="I376" t="str">
        <x:v>Orgánico</x:v>
      </x:c>
      <x:c r="J376" t="n">
        <x:v>2</x:v>
      </x:c>
      <x:c r="K376" t="n">
        <x:v>0</x:v>
      </x:c>
      <x:c r="L376" t="n">
        <x:v>9615618.5</x:v>
      </x:c>
      <x:c r="M376" t="n">
        <x:v>363100</x:v>
      </x:c>
      <x:c r="N376" t="n">
        <x:v>1</x:v>
      </x:c>
      <x:c r="O376" t="n">
        <x:v>0</x:v>
      </x:c>
      <x:c r="P376" t="n">
        <x:v>3</x:v>
      </x:c>
    </x:row>
    <x:row r="377">
      <x:c r="A377" t="str">
        <x:v>2025-05</x:v>
      </x:c>
      <x:c r="B377" t="str">
        <x:v>USR-00078</x:v>
      </x:c>
      <x:c r="C377" t="str">
        <x:v>Plus mensual</x:v>
      </x:c>
      <x:c r="D377" t="str">
        <x:v>Pago</x:v>
      </x:c>
      <x:c r="E377" t="str">
        <x:v>Cali</x:v>
      </x:c>
      <x:c r="F377" t="str">
        <x:v>Valle del Cauca</x:v>
      </x:c>
      <x:c r="G377" t="n">
        <x:v>24</x:v>
      </x:c>
      <x:c r="H377" t="str">
        <x:v>Entre $3 M y $5 M</x:v>
      </x:c>
      <x:c r="I377" t="str">
        <x:v>Orgánico</x:v>
      </x:c>
      <x:c r="J377" t="n">
        <x:v>4</x:v>
      </x:c>
      <x:c r="K377" t="n">
        <x:v>0</x:v>
      </x:c>
      <x:c r="L377" t="n">
        <x:v>29845721.58</x:v>
      </x:c>
      <x:c r="M377" t="n">
        <x:v>1042600</x:v>
      </x:c>
      <x:c r="N377" t="n">
        <x:v>2</x:v>
      </x:c>
      <x:c r="O377" t="n">
        <x:v>29900</x:v>
      </x:c>
      <x:c r="P377" t="n">
        <x:v>3</x:v>
      </x:c>
    </x:row>
    <x:row r="378">
      <x:c r="A378" t="str">
        <x:v>2025-05</x:v>
      </x:c>
      <x:c r="B378" t="str">
        <x:v>USR-00079</x:v>
      </x:c>
      <x:c r="C378" t="str">
        <x:v>Cero</x:v>
      </x:c>
      <x:c r="D378" t="str">
        <x:v>Gratuita</x:v>
      </x:c>
      <x:c r="E378" t="str">
        <x:v>Barranquilla</x:v>
      </x:c>
      <x:c r="F378" t="str">
        <x:v>Atlántico</x:v>
      </x:c>
      <x:c r="G378" t="n">
        <x:v>25</x:v>
      </x:c>
      <x:c r="H378" t="str">
        <x:v>Menos de $1,5 M</x:v>
      </x:c>
      <x:c r="I378" t="str">
        <x:v>Referidos</x:v>
      </x:c>
      <x:c r="J378" t="n">
        <x:v>1</x:v>
      </x:c>
      <x:c r="K378" t="n">
        <x:v>0</x:v>
      </x:c>
      <x:c r="L378" t="n">
        <x:v>51485480.74</x:v>
      </x:c>
      <x:c r="M378" t="n">
        <x:v>3515700</x:v>
      </x:c>
      <x:c r="N378" t="n">
        <x:v>1</x:v>
      </x:c>
      <x:c r="O378" t="n">
        <x:v>0</x:v>
      </x:c>
      <x:c r="P378" t="n">
        <x:v>3</x:v>
      </x:c>
    </x:row>
    <x:row r="379">
      <x:c r="A379" t="str">
        <x:v>2025-05</x:v>
      </x:c>
      <x:c r="B379" t="str">
        <x:v>USR-00080</x:v>
      </x:c>
      <x:c r="C379" t="str">
        <x:v>Cero</x:v>
      </x:c>
      <x:c r="D379" t="str">
        <x:v>Gratuita</x:v>
      </x:c>
      <x:c r="E379" t="str">
        <x:v>Bogotá</x:v>
      </x:c>
      <x:c r="F379" t="str">
        <x:v>Bogotá D.C.</x:v>
      </x:c>
      <x:c r="G379" t="n">
        <x:v>35</x:v>
      </x:c>
      <x:c r="H379" t="str">
        <x:v>Entre $3 M y $5 M</x:v>
      </x:c>
      <x:c r="I379" t="str">
        <x:v>Referidos</x:v>
      </x:c>
      <x:c r="J379" t="n">
        <x:v>1</x:v>
      </x:c>
      <x:c r="K379" t="n">
        <x:v>0</x:v>
      </x:c>
      <x:c r="L379" t="n">
        <x:v>17298128.83</x:v>
      </x:c>
      <x:c r="M379" t="n">
        <x:v>853300</x:v>
      </x:c>
      <x:c r="N379" t="n">
        <x:v>1</x:v>
      </x:c>
      <x:c r="O379" t="n">
        <x:v>0</x:v>
      </x:c>
      <x:c r="P379" t="n">
        <x:v>3</x:v>
      </x:c>
    </x:row>
    <x:row r="380">
      <x:c r="A380" t="str">
        <x:v>2025-05</x:v>
      </x:c>
      <x:c r="B380" t="str">
        <x:v>USR-00081</x:v>
      </x:c>
      <x:c r="C380" t="str">
        <x:v>Cero</x:v>
      </x:c>
      <x:c r="D380" t="str">
        <x:v>Gratuita</x:v>
      </x:c>
      <x:c r="E380" t="str">
        <x:v>Bogotá</x:v>
      </x:c>
      <x:c r="F380" t="str">
        <x:v>Bogotá D.C.</x:v>
      </x:c>
      <x:c r="G380" t="n">
        <x:v>44</x:v>
      </x:c>
      <x:c r="H380" t="str">
        <x:v>Más de $5 M</x:v>
      </x:c>
      <x:c r="I380" t="str">
        <x:v>Contenido educativo</x:v>
      </x:c>
      <x:c r="J380" t="n">
        <x:v>2</x:v>
      </x:c>
      <x:c r="K380" t="n">
        <x:v>0</x:v>
      </x:c>
      <x:c r="L380" t="n">
        <x:v>16030124.23</x:v>
      </x:c>
      <x:c r="M380" t="n">
        <x:v>295600</x:v>
      </x:c>
      <x:c r="N380" t="n">
        <x:v>1</x:v>
      </x:c>
      <x:c r="O380" t="n">
        <x:v>0</x:v>
      </x:c>
      <x:c r="P380" t="n">
        <x:v>3</x:v>
      </x:c>
    </x:row>
    <x:row r="381">
      <x:c r="A381" t="str">
        <x:v>2025-05</x:v>
      </x:c>
      <x:c r="B381" t="str">
        <x:v>USR-00082</x:v>
      </x:c>
      <x:c r="C381" t="str">
        <x:v>Cero</x:v>
      </x:c>
      <x:c r="D381" t="str">
        <x:v>Gratuita</x:v>
      </x:c>
      <x:c r="E381" t="str">
        <x:v>Villavicencio</x:v>
      </x:c>
      <x:c r="F381" t="str">
        <x:v>Meta</x:v>
      </x:c>
      <x:c r="G381" t="n">
        <x:v>44</x:v>
      </x:c>
      <x:c r="H381" t="str">
        <x:v>Entre $1,5 M y $3 M</x:v>
      </x:c>
      <x:c r="I381" t="str">
        <x:v>Referidos</x:v>
      </x:c>
      <x:c r="J381" t="n">
        <x:v>2</x:v>
      </x:c>
      <x:c r="K381" t="n">
        <x:v>0</x:v>
      </x:c>
      <x:c r="L381" t="n">
        <x:v>18906869.29</x:v>
      </x:c>
      <x:c r="M381" t="n">
        <x:v>1003900</x:v>
      </x:c>
      <x:c r="N381" t="n">
        <x:v>2</x:v>
      </x:c>
      <x:c r="O381" t="n">
        <x:v>0</x:v>
      </x:c>
      <x:c r="P381" t="n">
        <x:v>3</x:v>
      </x:c>
    </x:row>
    <x:row r="382">
      <x:c r="A382" t="str">
        <x:v>2025-05</x:v>
      </x:c>
      <x:c r="B382" t="str">
        <x:v>USR-00083</x:v>
      </x:c>
      <x:c r="C382" t="str">
        <x:v>Cero</x:v>
      </x:c>
      <x:c r="D382" t="str">
        <x:v>Gratuita</x:v>
      </x:c>
      <x:c r="E382" t="str">
        <x:v>Bogotá</x:v>
      </x:c>
      <x:c r="F382" t="str">
        <x:v>Bogotá D.C.</x:v>
      </x:c>
      <x:c r="G382" t="n">
        <x:v>35</x:v>
      </x:c>
      <x:c r="H382" t="str">
        <x:v>Entre $3 M y $5 M</x:v>
      </x:c>
      <x:c r="I382" t="str">
        <x:v>Orgánico</x:v>
      </x:c>
      <x:c r="J382" t="n">
        <x:v>1</x:v>
      </x:c>
      <x:c r="K382" t="n">
        <x:v>0</x:v>
      </x:c>
      <x:c r="L382" t="n">
        <x:v>2463432.96</x:v>
      </x:c>
      <x:c r="M382" t="n">
        <x:v>146300</x:v>
      </x:c>
      <x:c r="N382" t="n">
        <x:v>1</x:v>
      </x:c>
      <x:c r="O382" t="n">
        <x:v>0</x:v>
      </x:c>
      <x:c r="P382" t="n">
        <x:v>3</x:v>
      </x:c>
    </x:row>
    <x:row r="383">
      <x:c r="A383" t="str">
        <x:v>2025-05</x:v>
      </x:c>
      <x:c r="B383" t="str">
        <x:v>USR-00084</x:v>
      </x:c>
      <x:c r="C383" t="str">
        <x:v>Cero</x:v>
      </x:c>
      <x:c r="D383" t="str">
        <x:v>Gratuita</x:v>
      </x:c>
      <x:c r="E383" t="str">
        <x:v>Manizales</x:v>
      </x:c>
      <x:c r="F383" t="str">
        <x:v>Caldas</x:v>
      </x:c>
      <x:c r="G383" t="n">
        <x:v>21</x:v>
      </x:c>
      <x:c r="H383" t="str">
        <x:v>Entre $1,5 M y $3 M</x:v>
      </x:c>
      <x:c r="I383" t="str">
        <x:v>Búsqueda paga</x:v>
      </x:c>
      <x:c r="J383" t="n">
        <x:v>2</x:v>
      </x:c>
      <x:c r="K383" t="n">
        <x:v>0</x:v>
      </x:c>
      <x:c r="L383" t="n">
        <x:v>26949439.09</x:v>
      </x:c>
      <x:c r="M383" t="n">
        <x:v>885100</x:v>
      </x:c>
      <x:c r="N383" t="n">
        <x:v>1</x:v>
      </x:c>
      <x:c r="O383" t="n">
        <x:v>0</x:v>
      </x:c>
      <x:c r="P383" t="n">
        <x:v>3</x:v>
      </x:c>
    </x:row>
    <x:row r="384">
      <x:c r="A384" t="str">
        <x:v>2025-05</x:v>
      </x:c>
      <x:c r="B384" t="str">
        <x:v>USR-00085</x:v>
      </x:c>
      <x:c r="C384" t="str">
        <x:v>Cero</x:v>
      </x:c>
      <x:c r="D384" t="str">
        <x:v>Gratuita</x:v>
      </x:c>
      <x:c r="E384" t="str">
        <x:v>Barranquilla</x:v>
      </x:c>
      <x:c r="F384" t="str">
        <x:v>Atlántico</x:v>
      </x:c>
      <x:c r="G384" t="n">
        <x:v>41</x:v>
      </x:c>
      <x:c r="H384" t="str">
        <x:v>Menos de $1,5 M</x:v>
      </x:c>
      <x:c r="I384" t="str">
        <x:v>Referidos</x:v>
      </x:c>
      <x:c r="J384" t="n">
        <x:v>1</x:v>
      </x:c>
      <x:c r="K384" t="n">
        <x:v>0</x:v>
      </x:c>
      <x:c r="L384" t="n">
        <x:v>12310872.86</x:v>
      </x:c>
      <x:c r="M384" t="n">
        <x:v>379400</x:v>
      </x:c>
      <x:c r="N384" t="n">
        <x:v>1</x:v>
      </x:c>
      <x:c r="O384" t="n">
        <x:v>0</x:v>
      </x:c>
      <x:c r="P384" t="n">
        <x:v>3</x:v>
      </x:c>
    </x:row>
    <x:row r="385">
      <x:c r="A385" t="str">
        <x:v>2025-05</x:v>
      </x:c>
      <x:c r="B385" t="str">
        <x:v>USR-00086</x:v>
      </x:c>
      <x:c r="C385" t="str">
        <x:v>Cero</x:v>
      </x:c>
      <x:c r="D385" t="str">
        <x:v>Gratuita</x:v>
      </x:c>
      <x:c r="E385" t="str">
        <x:v>Manizales</x:v>
      </x:c>
      <x:c r="F385" t="str">
        <x:v>Caldas</x:v>
      </x:c>
      <x:c r="G385" t="n">
        <x:v>47</x:v>
      </x:c>
      <x:c r="H385" t="str">
        <x:v>Más de $5 M</x:v>
      </x:c>
      <x:c r="I385" t="str">
        <x:v>Referidos</x:v>
      </x:c>
      <x:c r="J385" t="n">
        <x:v>1</x:v>
      </x:c>
      <x:c r="K385" t="n">
        <x:v>0</x:v>
      </x:c>
      <x:c r="L385" t="n">
        <x:v>2982229.44</x:v>
      </x:c>
      <x:c r="M385" t="n">
        <x:v>87400</x:v>
      </x:c>
      <x:c r="N385" t="n">
        <x:v>1</x:v>
      </x:c>
      <x:c r="O385" t="n">
        <x:v>0</x:v>
      </x:c>
      <x:c r="P385" t="n">
        <x:v>3</x:v>
      </x:c>
    </x:row>
    <x:row r="386">
      <x:c r="A386" t="str">
        <x:v>2025-05</x:v>
      </x:c>
      <x:c r="B386" t="str">
        <x:v>USR-00087</x:v>
      </x:c>
      <x:c r="C386" t="str">
        <x:v>Cero</x:v>
      </x:c>
      <x:c r="D386" t="str">
        <x:v>Gratuita</x:v>
      </x:c>
      <x:c r="E386" t="str">
        <x:v>Manizales</x:v>
      </x:c>
      <x:c r="F386" t="str">
        <x:v>Caldas</x:v>
      </x:c>
      <x:c r="G386" t="n">
        <x:v>51</x:v>
      </x:c>
      <x:c r="H386" t="str">
        <x:v>Entre $1,5 M y $3 M</x:v>
      </x:c>
      <x:c r="I386" t="str">
        <x:v>Búsqueda paga</x:v>
      </x:c>
      <x:c r="J386" t="n">
        <x:v>1</x:v>
      </x:c>
      <x:c r="K386" t="n">
        <x:v>0</x:v>
      </x:c>
      <x:c r="L386" t="n">
        <x:v>34030895.34</x:v>
      </x:c>
      <x:c r="M386" t="n">
        <x:v>1094800</x:v>
      </x:c>
      <x:c r="N386" t="n">
        <x:v>1</x:v>
      </x:c>
      <x:c r="O386" t="n">
        <x:v>0</x:v>
      </x:c>
      <x:c r="P386" t="n">
        <x:v>3</x:v>
      </x:c>
    </x:row>
    <x:row r="387">
      <x:c r="A387" t="str">
        <x:v>2025-05</x:v>
      </x:c>
      <x:c r="B387" t="str">
        <x:v>USR-00088</x:v>
      </x:c>
      <x:c r="C387" t="str">
        <x:v>Cero</x:v>
      </x:c>
      <x:c r="D387" t="str">
        <x:v>Gratuita</x:v>
      </x:c>
      <x:c r="E387" t="str">
        <x:v>Bucaramanga</x:v>
      </x:c>
      <x:c r="F387" t="str">
        <x:v>Santander</x:v>
      </x:c>
      <x:c r="G387" t="n">
        <x:v>52</x:v>
      </x:c>
      <x:c r="H387" t="str">
        <x:v>Entre $1,5 M y $3 M</x:v>
      </x:c>
      <x:c r="I387" t="str">
        <x:v>Redes sociales</x:v>
      </x:c>
      <x:c r="J387" t="n">
        <x:v>1</x:v>
      </x:c>
      <x:c r="K387" t="n">
        <x:v>0</x:v>
      </x:c>
      <x:c r="L387" t="n">
        <x:v>8535155.8</x:v>
      </x:c>
      <x:c r="M387" t="n">
        <x:v>274200</x:v>
      </x:c>
      <x:c r="N387" t="n">
        <x:v>1</x:v>
      </x:c>
      <x:c r="O387" t="n">
        <x:v>0</x:v>
      </x:c>
      <x:c r="P387" t="n">
        <x:v>3</x:v>
      </x:c>
    </x:row>
    <x:row r="388">
      <x:c r="A388" t="str">
        <x:v>2025-05</x:v>
      </x:c>
      <x:c r="B388" t="str">
        <x:v>USR-00089</x:v>
      </x:c>
      <x:c r="C388" t="str">
        <x:v>Cero</x:v>
      </x:c>
      <x:c r="D388" t="str">
        <x:v>Gratuita</x:v>
      </x:c>
      <x:c r="E388" t="str">
        <x:v>Bucaramanga</x:v>
      </x:c>
      <x:c r="F388" t="str">
        <x:v>Santander</x:v>
      </x:c>
      <x:c r="G388" t="n">
        <x:v>34</x:v>
      </x:c>
      <x:c r="H388" t="str">
        <x:v>Entre $1,5 M y $3 M</x:v>
      </x:c>
      <x:c r="I388" t="str">
        <x:v>Redes sociales</x:v>
      </x:c>
      <x:c r="J388" t="n">
        <x:v>2</x:v>
      </x:c>
      <x:c r="K388" t="n">
        <x:v>0</x:v>
      </x:c>
      <x:c r="L388" t="n">
        <x:v>23569940.78</x:v>
      </x:c>
      <x:c r="M388" t="n">
        <x:v>728300</x:v>
      </x:c>
      <x:c r="N388" t="n">
        <x:v>2</x:v>
      </x:c>
      <x:c r="O388" t="n">
        <x:v>0</x:v>
      </x:c>
      <x:c r="P388" t="n">
        <x:v>3</x:v>
      </x:c>
    </x:row>
    <x:row r="389">
      <x:c r="A389" t="str">
        <x:v>2025-05</x:v>
      </x:c>
      <x:c r="B389" t="str">
        <x:v>USR-00090</x:v>
      </x:c>
      <x:c r="C389" t="str">
        <x:v>Cero</x:v>
      </x:c>
      <x:c r="D389" t="str">
        <x:v>Gratuita</x:v>
      </x:c>
      <x:c r="E389" t="str">
        <x:v>Medellín</x:v>
      </x:c>
      <x:c r="F389" t="str">
        <x:v>Antioquia</x:v>
      </x:c>
      <x:c r="G389" t="n">
        <x:v>47</x:v>
      </x:c>
      <x:c r="H389" t="str">
        <x:v>Menos de $1,5 M</x:v>
      </x:c>
      <x:c r="I389" t="str">
        <x:v>Alianzas</x:v>
      </x:c>
      <x:c r="J389" t="n">
        <x:v>1</x:v>
      </x:c>
      <x:c r="K389" t="n">
        <x:v>0</x:v>
      </x:c>
      <x:c r="L389" t="n">
        <x:v>19219668.02</x:v>
      </x:c>
      <x:c r="M389" t="n">
        <x:v>0</x:v>
      </x:c>
      <x:c r="N389" t="n">
        <x:v>0</x:v>
      </x:c>
      <x:c r="O389" t="n">
        <x:v>0</x:v>
      </x:c>
      <x:c r="P389" t="n">
        <x:v>3</x:v>
      </x:c>
    </x:row>
    <x:row r="390">
      <x:c r="A390" t="str">
        <x:v>2025-05</x:v>
      </x:c>
      <x:c r="B390" t="str">
        <x:v>USR-00091</x:v>
      </x:c>
      <x:c r="C390" t="str">
        <x:v>Plus mensual</x:v>
      </x:c>
      <x:c r="D390" t="str">
        <x:v>Pago</x:v>
      </x:c>
      <x:c r="E390" t="str">
        <x:v>Bogotá</x:v>
      </x:c>
      <x:c r="F390" t="str">
        <x:v>Bogotá D.C.</x:v>
      </x:c>
      <x:c r="G390" t="n">
        <x:v>23</x:v>
      </x:c>
      <x:c r="H390" t="str">
        <x:v>Entre $3 M y $5 M</x:v>
      </x:c>
      <x:c r="I390" t="str">
        <x:v>Redes sociales</x:v>
      </x:c>
      <x:c r="J390" t="n">
        <x:v>4</x:v>
      </x:c>
      <x:c r="K390" t="n">
        <x:v>0</x:v>
      </x:c>
      <x:c r="L390" t="n">
        <x:v>34590821.09</x:v>
      </x:c>
      <x:c r="M390" t="n">
        <x:v>1128900</x:v>
      </x:c>
      <x:c r="N390" t="n">
        <x:v>3</x:v>
      </x:c>
      <x:c r="O390" t="n">
        <x:v>29900</x:v>
      </x:c>
      <x:c r="P390" t="n">
        <x:v>3</x:v>
      </x:c>
    </x:row>
    <x:row r="391">
      <x:c r="A391" t="str">
        <x:v>2025-05</x:v>
      </x:c>
      <x:c r="B391" t="str">
        <x:v>USR-00092</x:v>
      </x:c>
      <x:c r="C391" t="str">
        <x:v>Cero</x:v>
      </x:c>
      <x:c r="D391" t="str">
        <x:v>Gratuita</x:v>
      </x:c>
      <x:c r="E391" t="str">
        <x:v>Cartagena</x:v>
      </x:c>
      <x:c r="F391" t="str">
        <x:v>Bolívar</x:v>
      </x:c>
      <x:c r="G391" t="n">
        <x:v>63</x:v>
      </x:c>
      <x:c r="H391" t="str">
        <x:v>Entre $1,5 M y $3 M</x:v>
      </x:c>
      <x:c r="I391" t="str">
        <x:v>Orgánico</x:v>
      </x:c>
      <x:c r="J391" t="n">
        <x:v>2</x:v>
      </x:c>
      <x:c r="K391" t="n">
        <x:v>0</x:v>
      </x:c>
      <x:c r="L391" t="n">
        <x:v>51493798.34</x:v>
      </x:c>
      <x:c r="M391" t="n">
        <x:v>585700</x:v>
      </x:c>
      <x:c r="N391" t="n">
        <x:v>1</x:v>
      </x:c>
      <x:c r="O391" t="n">
        <x:v>0</x:v>
      </x:c>
      <x:c r="P391" t="n">
        <x:v>3</x:v>
      </x:c>
    </x:row>
    <x:row r="392">
      <x:c r="A392" t="str">
        <x:v>2025-05</x:v>
      </x:c>
      <x:c r="B392" t="str">
        <x:v>USR-00093</x:v>
      </x:c>
      <x:c r="C392" t="str">
        <x:v>Plus anual</x:v>
      </x:c>
      <x:c r="D392" t="str">
        <x:v>Pago</x:v>
      </x:c>
      <x:c r="E392" t="str">
        <x:v>Bogotá</x:v>
      </x:c>
      <x:c r="F392" t="str">
        <x:v>Bogotá D.C.</x:v>
      </x:c>
      <x:c r="G392" t="n">
        <x:v>34</x:v>
      </x:c>
      <x:c r="H392" t="str">
        <x:v>Más de $5 M</x:v>
      </x:c>
      <x:c r="I392" t="str">
        <x:v>Búsqueda paga</x:v>
      </x:c>
      <x:c r="J392" t="n">
        <x:v>3</x:v>
      </x:c>
      <x:c r="K392" t="n">
        <x:v>0</x:v>
      </x:c>
      <x:c r="L392" t="n">
        <x:v>23848136.66</x:v>
      </x:c>
      <x:c r="M392" t="n">
        <x:v>1108900</x:v>
      </x:c>
      <x:c r="N392" t="n">
        <x:v>3</x:v>
      </x:c>
      <x:c r="O392" t="n">
        <x:v>24916.67</x:v>
      </x:c>
      <x:c r="P392" t="n">
        <x:v>3</x:v>
      </x:c>
    </x:row>
    <x:row r="393">
      <x:c r="A393" t="str">
        <x:v>2025-05</x:v>
      </x:c>
      <x:c r="B393" t="str">
        <x:v>USR-00094</x:v>
      </x:c>
      <x:c r="C393" t="str">
        <x:v>Cero</x:v>
      </x:c>
      <x:c r="D393" t="str">
        <x:v>Gratuita</x:v>
      </x:c>
      <x:c r="E393" t="str">
        <x:v>Bogotá</x:v>
      </x:c>
      <x:c r="F393" t="str">
        <x:v>Bogotá D.C.</x:v>
      </x:c>
      <x:c r="G393" t="n">
        <x:v>38</x:v>
      </x:c>
      <x:c r="H393" t="str">
        <x:v>Más de $5 M</x:v>
      </x:c>
      <x:c r="I393" t="str">
        <x:v>Alianzas</x:v>
      </x:c>
      <x:c r="J393" t="n">
        <x:v>2</x:v>
      </x:c>
      <x:c r="K393" t="n">
        <x:v>0</x:v>
      </x:c>
      <x:c r="L393" t="n">
        <x:v>11743749.3</x:v>
      </x:c>
      <x:c r="M393" t="n">
        <x:v>499200</x:v>
      </x:c>
      <x:c r="N393" t="n">
        <x:v>1</x:v>
      </x:c>
      <x:c r="O393" t="n">
        <x:v>0</x:v>
      </x:c>
      <x:c r="P393" t="n">
        <x:v>3</x:v>
      </x:c>
    </x:row>
    <x:row r="394">
      <x:c r="A394" t="str">
        <x:v>2025-05</x:v>
      </x:c>
      <x:c r="B394" t="str">
        <x:v>USR-00095</x:v>
      </x:c>
      <x:c r="C394" t="str">
        <x:v>Plus mensual</x:v>
      </x:c>
      <x:c r="D394" t="str">
        <x:v>Pago</x:v>
      </x:c>
      <x:c r="E394" t="str">
        <x:v>Bogotá</x:v>
      </x:c>
      <x:c r="F394" t="str">
        <x:v>Bogotá D.C.</x:v>
      </x:c>
      <x:c r="G394" t="n">
        <x:v>27</x:v>
      </x:c>
      <x:c r="H394" t="str">
        <x:v>Menos de $1,5 M</x:v>
      </x:c>
      <x:c r="I394" t="str">
        <x:v>Redes sociales</x:v>
      </x:c>
      <x:c r="J394" t="n">
        <x:v>5</x:v>
      </x:c>
      <x:c r="K394" t="n">
        <x:v>0</x:v>
      </x:c>
      <x:c r="L394" t="n">
        <x:v>81079229.86</x:v>
      </x:c>
      <x:c r="M394" t="n">
        <x:v>3596000</x:v>
      </x:c>
      <x:c r="N394" t="n">
        <x:v>4</x:v>
      </x:c>
      <x:c r="O394" t="n">
        <x:v>29900</x:v>
      </x:c>
      <x:c r="P394" t="n">
        <x:v>2</x:v>
      </x:c>
    </x:row>
    <x:row r="395">
      <x:c r="A395" t="str">
        <x:v>2025-05</x:v>
      </x:c>
      <x:c r="B395" t="str">
        <x:v>USR-00096</x:v>
      </x:c>
      <x:c r="C395" t="str">
        <x:v>Cero</x:v>
      </x:c>
      <x:c r="D395" t="str">
        <x:v>Gratuita</x:v>
      </x:c>
      <x:c r="E395" t="str">
        <x:v>Cali</x:v>
      </x:c>
      <x:c r="F395" t="str">
        <x:v>Valle del Cauca</x:v>
      </x:c>
      <x:c r="G395" t="n">
        <x:v>39</x:v>
      </x:c>
      <x:c r="H395" t="str">
        <x:v>Entre $3 M y $5 M</x:v>
      </x:c>
      <x:c r="I395" t="str">
        <x:v>Contenido educativo</x:v>
      </x:c>
      <x:c r="J395" t="n">
        <x:v>1</x:v>
      </x:c>
      <x:c r="K395" t="n">
        <x:v>0</x:v>
      </x:c>
      <x:c r="L395" t="n">
        <x:v>7584016.12</x:v>
      </x:c>
      <x:c r="M395" t="n">
        <x:v>0</x:v>
      </x:c>
      <x:c r="N395" t="n">
        <x:v>0</x:v>
      </x:c>
      <x:c r="O395" t="n">
        <x:v>0</x:v>
      </x:c>
      <x:c r="P395" t="n">
        <x:v>2</x:v>
      </x:c>
    </x:row>
    <x:row r="396">
      <x:c r="A396" t="str">
        <x:v>2025-05</x:v>
      </x:c>
      <x:c r="B396" t="str">
        <x:v>USR-00097</x:v>
      </x:c>
      <x:c r="C396" t="str">
        <x:v>Cero</x:v>
      </x:c>
      <x:c r="D396" t="str">
        <x:v>Gratuita</x:v>
      </x:c>
      <x:c r="E396" t="str">
        <x:v>Medellín</x:v>
      </x:c>
      <x:c r="F396" t="str">
        <x:v>Antioquia</x:v>
      </x:c>
      <x:c r="G396" t="n">
        <x:v>46</x:v>
      </x:c>
      <x:c r="H396" t="str">
        <x:v>Entre $1,5 M y $3 M</x:v>
      </x:c>
      <x:c r="I396" t="str">
        <x:v>Redes sociales</x:v>
      </x:c>
      <x:c r="J396" t="n">
        <x:v>2</x:v>
      </x:c>
      <x:c r="K396" t="n">
        <x:v>0</x:v>
      </x:c>
      <x:c r="L396" t="n">
        <x:v>45114017.88</x:v>
      </x:c>
      <x:c r="M396" t="n">
        <x:v>3528500</x:v>
      </x:c>
      <x:c r="N396" t="n">
        <x:v>1</x:v>
      </x:c>
      <x:c r="O396" t="n">
        <x:v>0</x:v>
      </x:c>
      <x:c r="P396" t="n">
        <x:v>2</x:v>
      </x:c>
    </x:row>
    <x:row r="397">
      <x:c r="A397" t="str">
        <x:v>2025-05</x:v>
      </x:c>
      <x:c r="B397" t="str">
        <x:v>USR-00098</x:v>
      </x:c>
      <x:c r="C397" t="str">
        <x:v>Cero</x:v>
      </x:c>
      <x:c r="D397" t="str">
        <x:v>Gratuita</x:v>
      </x:c>
      <x:c r="E397" t="str">
        <x:v>Medellín</x:v>
      </x:c>
      <x:c r="F397" t="str">
        <x:v>Antioquia</x:v>
      </x:c>
      <x:c r="G397" t="n">
        <x:v>42</x:v>
      </x:c>
      <x:c r="H397" t="str">
        <x:v>Entre $3 M y $5 M</x:v>
      </x:c>
      <x:c r="I397" t="str">
        <x:v>Orgánico</x:v>
      </x:c>
      <x:c r="J397" t="n">
        <x:v>2</x:v>
      </x:c>
      <x:c r="K397" t="n">
        <x:v>0</x:v>
      </x:c>
      <x:c r="L397" t="n">
        <x:v>23326123.3</x:v>
      </x:c>
      <x:c r="M397" t="n">
        <x:v>2691600</x:v>
      </x:c>
      <x:c r="N397" t="n">
        <x:v>2</x:v>
      </x:c>
      <x:c r="O397" t="n">
        <x:v>0</x:v>
      </x:c>
      <x:c r="P397" t="n">
        <x:v>2</x:v>
      </x:c>
    </x:row>
    <x:row r="398">
      <x:c r="A398" t="str">
        <x:v>2025-05</x:v>
      </x:c>
      <x:c r="B398" t="str">
        <x:v>USR-00099</x:v>
      </x:c>
      <x:c r="C398" t="str">
        <x:v>Cero</x:v>
      </x:c>
      <x:c r="D398" t="str">
        <x:v>Gratuita</x:v>
      </x:c>
      <x:c r="E398" t="str">
        <x:v>Cali</x:v>
      </x:c>
      <x:c r="F398" t="str">
        <x:v>Valle del Cauca</x:v>
      </x:c>
      <x:c r="G398" t="n">
        <x:v>49</x:v>
      </x:c>
      <x:c r="H398" t="str">
        <x:v>Entre $3 M y $5 M</x:v>
      </x:c>
      <x:c r="I398" t="str">
        <x:v>Alianzas</x:v>
      </x:c>
      <x:c r="J398" t="n">
        <x:v>2</x:v>
      </x:c>
      <x:c r="K398" t="n">
        <x:v>0</x:v>
      </x:c>
      <x:c r="L398" t="n">
        <x:v>30066242.64</x:v>
      </x:c>
      <x:c r="M398" t="n">
        <x:v>968300</x:v>
      </x:c>
      <x:c r="N398" t="n">
        <x:v>2</x:v>
      </x:c>
      <x:c r="O398" t="n">
        <x:v>0</x:v>
      </x:c>
      <x:c r="P398" t="n">
        <x:v>2</x:v>
      </x:c>
    </x:row>
    <x:row r="399">
      <x:c r="A399" t="str">
        <x:v>2025-05</x:v>
      </x:c>
      <x:c r="B399" t="str">
        <x:v>USR-00100</x:v>
      </x:c>
      <x:c r="C399" t="str">
        <x:v>Plus mensual</x:v>
      </x:c>
      <x:c r="D399" t="str">
        <x:v>Pago</x:v>
      </x:c>
      <x:c r="E399" t="str">
        <x:v>Cali</x:v>
      </x:c>
      <x:c r="F399" t="str">
        <x:v>Valle del Cauca</x:v>
      </x:c>
      <x:c r="G399" t="n">
        <x:v>36</x:v>
      </x:c>
      <x:c r="H399" t="str">
        <x:v>Menos de $1,5 M</x:v>
      </x:c>
      <x:c r="I399" t="str">
        <x:v>Búsqueda paga</x:v>
      </x:c>
      <x:c r="J399" t="n">
        <x:v>3</x:v>
      </x:c>
      <x:c r="K399" t="n">
        <x:v>0</x:v>
      </x:c>
      <x:c r="L399" t="n">
        <x:v>36638561.18</x:v>
      </x:c>
      <x:c r="M399" t="n">
        <x:v>1240800</x:v>
      </x:c>
      <x:c r="N399" t="n">
        <x:v>2</x:v>
      </x:c>
      <x:c r="O399" t="n">
        <x:v>29900</x:v>
      </x:c>
      <x:c r="P399" t="n">
        <x:v>2</x:v>
      </x:c>
    </x:row>
    <x:row r="400">
      <x:c r="A400" t="str">
        <x:v>2025-05</x:v>
      </x:c>
      <x:c r="B400" t="str">
        <x:v>USR-00101</x:v>
      </x:c>
      <x:c r="C400" t="str">
        <x:v>Plus mensual</x:v>
      </x:c>
      <x:c r="D400" t="str">
        <x:v>Pago</x:v>
      </x:c>
      <x:c r="E400" t="str">
        <x:v>Cali</x:v>
      </x:c>
      <x:c r="F400" t="str">
        <x:v>Valle del Cauca</x:v>
      </x:c>
      <x:c r="G400" t="n">
        <x:v>33</x:v>
      </x:c>
      <x:c r="H400" t="str">
        <x:v>Más de $5 M</x:v>
      </x:c>
      <x:c r="I400" t="str">
        <x:v>Orgánico</x:v>
      </x:c>
      <x:c r="J400" t="n">
        <x:v>4</x:v>
      </x:c>
      <x:c r="K400" t="n">
        <x:v>0</x:v>
      </x:c>
      <x:c r="L400" t="n">
        <x:v>64597250.93</x:v>
      </x:c>
      <x:c r="M400" t="n">
        <x:v>1547900</x:v>
      </x:c>
      <x:c r="N400" t="n">
        <x:v>2</x:v>
      </x:c>
      <x:c r="O400" t="n">
        <x:v>29900</x:v>
      </x:c>
      <x:c r="P400" t="n">
        <x:v>2</x:v>
      </x:c>
    </x:row>
    <x:row r="401">
      <x:c r="A401" t="str">
        <x:v>2025-05</x:v>
      </x:c>
      <x:c r="B401" t="str">
        <x:v>USR-00102</x:v>
      </x:c>
      <x:c r="C401" t="str">
        <x:v>Cero</x:v>
      </x:c>
      <x:c r="D401" t="str">
        <x:v>Gratuita</x:v>
      </x:c>
      <x:c r="E401" t="str">
        <x:v>Bogotá</x:v>
      </x:c>
      <x:c r="F401" t="str">
        <x:v>Bogotá D.C.</x:v>
      </x:c>
      <x:c r="G401" t="n">
        <x:v>64</x:v>
      </x:c>
      <x:c r="H401" t="str">
        <x:v>Entre $1,5 M y $3 M</x:v>
      </x:c>
      <x:c r="I401" t="str">
        <x:v>Alianzas</x:v>
      </x:c>
      <x:c r="J401" t="n">
        <x:v>2</x:v>
      </x:c>
      <x:c r="K401" t="n">
        <x:v>0</x:v>
      </x:c>
      <x:c r="L401" t="n">
        <x:v>14024541.77</x:v>
      </x:c>
      <x:c r="M401" t="n">
        <x:v>1505900</x:v>
      </x:c>
      <x:c r="N401" t="n">
        <x:v>2</x:v>
      </x:c>
      <x:c r="O401" t="n">
        <x:v>0</x:v>
      </x:c>
      <x:c r="P401" t="n">
        <x:v>2</x:v>
      </x:c>
    </x:row>
    <x:row r="402">
      <x:c r="A402" t="str">
        <x:v>2025-05</x:v>
      </x:c>
      <x:c r="B402" t="str">
        <x:v>USR-00103</x:v>
      </x:c>
      <x:c r="C402" t="str">
        <x:v>Cero</x:v>
      </x:c>
      <x:c r="D402" t="str">
        <x:v>Gratuita</x:v>
      </x:c>
      <x:c r="E402" t="str">
        <x:v>Medellín</x:v>
      </x:c>
      <x:c r="F402" t="str">
        <x:v>Antioquia</x:v>
      </x:c>
      <x:c r="G402" t="n">
        <x:v>32</x:v>
      </x:c>
      <x:c r="H402" t="str">
        <x:v>Menos de $1,5 M</x:v>
      </x:c>
      <x:c r="I402" t="str">
        <x:v>Alianzas</x:v>
      </x:c>
      <x:c r="J402" t="n">
        <x:v>2</x:v>
      </x:c>
      <x:c r="K402" t="n">
        <x:v>0</x:v>
      </x:c>
      <x:c r="L402" t="n">
        <x:v>16776019.37</x:v>
      </x:c>
      <x:c r="M402" t="n">
        <x:v>1193500</x:v>
      </x:c>
      <x:c r="N402" t="n">
        <x:v>2</x:v>
      </x:c>
      <x:c r="O402" t="n">
        <x:v>0</x:v>
      </x:c>
      <x:c r="P402" t="n">
        <x:v>2</x:v>
      </x:c>
    </x:row>
    <x:row r="403">
      <x:c r="A403" t="str">
        <x:v>2025-05</x:v>
      </x:c>
      <x:c r="B403" t="str">
        <x:v>USR-00104</x:v>
      </x:c>
      <x:c r="C403" t="str">
        <x:v>Cero</x:v>
      </x:c>
      <x:c r="D403" t="str">
        <x:v>Gratuita</x:v>
      </x:c>
      <x:c r="E403" t="str">
        <x:v>Bogotá</x:v>
      </x:c>
      <x:c r="F403" t="str">
        <x:v>Bogotá D.C.</x:v>
      </x:c>
      <x:c r="G403" t="n">
        <x:v>50</x:v>
      </x:c>
      <x:c r="H403" t="str">
        <x:v>Entre $3 M y $5 M</x:v>
      </x:c>
      <x:c r="I403" t="str">
        <x:v>Referidos</x:v>
      </x:c>
      <x:c r="J403" t="n">
        <x:v>2</x:v>
      </x:c>
      <x:c r="K403" t="n">
        <x:v>0</x:v>
      </x:c>
      <x:c r="L403" t="n">
        <x:v>19064384.47</x:v>
      </x:c>
      <x:c r="M403" t="n">
        <x:v>0</x:v>
      </x:c>
      <x:c r="N403" t="n">
        <x:v>0</x:v>
      </x:c>
      <x:c r="O403" t="n">
        <x:v>0</x:v>
      </x:c>
      <x:c r="P403" t="n">
        <x:v>2</x:v>
      </x:c>
    </x:row>
    <x:row r="404">
      <x:c r="A404" t="str">
        <x:v>2025-05</x:v>
      </x:c>
      <x:c r="B404" t="str">
        <x:v>USR-00105</x:v>
      </x:c>
      <x:c r="C404" t="str">
        <x:v>Cero</x:v>
      </x:c>
      <x:c r="D404" t="str">
        <x:v>Gratuita</x:v>
      </x:c>
      <x:c r="E404" t="str">
        <x:v>Bucaramanga</x:v>
      </x:c>
      <x:c r="F404" t="str">
        <x:v>Santander</x:v>
      </x:c>
      <x:c r="G404" t="n">
        <x:v>44</x:v>
      </x:c>
      <x:c r="H404" t="str">
        <x:v>Entre $3 M y $5 M</x:v>
      </x:c>
      <x:c r="I404" t="str">
        <x:v>Orgánico</x:v>
      </x:c>
      <x:c r="J404" t="n">
        <x:v>1</x:v>
      </x:c>
      <x:c r="K404" t="n">
        <x:v>0</x:v>
      </x:c>
      <x:c r="L404" t="n">
        <x:v>1896574.84</x:v>
      </x:c>
      <x:c r="M404" t="n">
        <x:v>83300</x:v>
      </x:c>
      <x:c r="N404" t="n">
        <x:v>1</x:v>
      </x:c>
      <x:c r="O404" t="n">
        <x:v>0</x:v>
      </x:c>
      <x:c r="P404" t="n">
        <x:v>2</x:v>
      </x:c>
    </x:row>
    <x:row r="405">
      <x:c r="A405" t="str">
        <x:v>2025-05</x:v>
      </x:c>
      <x:c r="B405" t="str">
        <x:v>USR-00106</x:v>
      </x:c>
      <x:c r="C405" t="str">
        <x:v>Cero</x:v>
      </x:c>
      <x:c r="D405" t="str">
        <x:v>Gratuita</x:v>
      </x:c>
      <x:c r="E405" t="str">
        <x:v>Cartagena</x:v>
      </x:c>
      <x:c r="F405" t="str">
        <x:v>Bolívar</x:v>
      </x:c>
      <x:c r="G405" t="n">
        <x:v>29</x:v>
      </x:c>
      <x:c r="H405" t="str">
        <x:v>Menos de $1,5 M</x:v>
      </x:c>
      <x:c r="I405" t="str">
        <x:v>Redes sociales</x:v>
      </x:c>
      <x:c r="J405" t="n">
        <x:v>2</x:v>
      </x:c>
      <x:c r="K405" t="n">
        <x:v>0</x:v>
      </x:c>
      <x:c r="L405" t="n">
        <x:v>8321064.22</x:v>
      </x:c>
      <x:c r="M405" t="n">
        <x:v>413800</x:v>
      </x:c>
      <x:c r="N405" t="n">
        <x:v>2</x:v>
      </x:c>
      <x:c r="O405" t="n">
        <x:v>0</x:v>
      </x:c>
      <x:c r="P405" t="n">
        <x:v>2</x:v>
      </x:c>
    </x:row>
    <x:row r="406">
      <x:c r="A406" t="str">
        <x:v>2025-05</x:v>
      </x:c>
      <x:c r="B406" t="str">
        <x:v>USR-00107</x:v>
      </x:c>
      <x:c r="C406" t="str">
        <x:v>Cero</x:v>
      </x:c>
      <x:c r="D406" t="str">
        <x:v>Gratuita</x:v>
      </x:c>
      <x:c r="E406" t="str">
        <x:v>Medellín</x:v>
      </x:c>
      <x:c r="F406" t="str">
        <x:v>Antioquia</x:v>
      </x:c>
      <x:c r="G406" t="n">
        <x:v>63</x:v>
      </x:c>
      <x:c r="H406" t="str">
        <x:v>Más de $5 M</x:v>
      </x:c>
      <x:c r="I406" t="str">
        <x:v>Referidos</x:v>
      </x:c>
      <x:c r="J406" t="n">
        <x:v>2</x:v>
      </x:c>
      <x:c r="K406" t="n">
        <x:v>0</x:v>
      </x:c>
      <x:c r="L406" t="n">
        <x:v>11915753.1</x:v>
      </x:c>
      <x:c r="M406" t="n">
        <x:v>237000</x:v>
      </x:c>
      <x:c r="N406" t="n">
        <x:v>1</x:v>
      </x:c>
      <x:c r="O406" t="n">
        <x:v>0</x:v>
      </x:c>
      <x:c r="P406" t="n">
        <x:v>2</x:v>
      </x:c>
    </x:row>
    <x:row r="407">
      <x:c r="A407" t="str">
        <x:v>2025-05</x:v>
      </x:c>
      <x:c r="B407" t="str">
        <x:v>USR-00108</x:v>
      </x:c>
      <x:c r="C407" t="str">
        <x:v>Cero</x:v>
      </x:c>
      <x:c r="D407" t="str">
        <x:v>Gratuita</x:v>
      </x:c>
      <x:c r="E407" t="str">
        <x:v>Medellín</x:v>
      </x:c>
      <x:c r="F407" t="str">
        <x:v>Antioquia</x:v>
      </x:c>
      <x:c r="G407" t="n">
        <x:v>35</x:v>
      </x:c>
      <x:c r="H407" t="str">
        <x:v>Menos de $1,5 M</x:v>
      </x:c>
      <x:c r="I407" t="str">
        <x:v>Orgánico</x:v>
      </x:c>
      <x:c r="J407" t="n">
        <x:v>2</x:v>
      </x:c>
      <x:c r="K407" t="n">
        <x:v>0</x:v>
      </x:c>
      <x:c r="L407" t="n">
        <x:v>23007357.79</x:v>
      </x:c>
      <x:c r="M407" t="n">
        <x:v>302100</x:v>
      </x:c>
      <x:c r="N407" t="n">
        <x:v>1</x:v>
      </x:c>
      <x:c r="O407" t="n">
        <x:v>0</x:v>
      </x:c>
      <x:c r="P407" t="n">
        <x:v>2</x:v>
      </x:c>
    </x:row>
    <x:row r="408">
      <x:c r="A408" t="str">
        <x:v>2025-05</x:v>
      </x:c>
      <x:c r="B408" t="str">
        <x:v>USR-00109</x:v>
      </x:c>
      <x:c r="C408" t="str">
        <x:v>Cero</x:v>
      </x:c>
      <x:c r="D408" t="str">
        <x:v>Gratuita</x:v>
      </x:c>
      <x:c r="E408" t="str">
        <x:v>Cali</x:v>
      </x:c>
      <x:c r="F408" t="str">
        <x:v>Valle del Cauca</x:v>
      </x:c>
      <x:c r="G408" t="n">
        <x:v>61</x:v>
      </x:c>
      <x:c r="H408" t="str">
        <x:v>Menos de $1,5 M</x:v>
      </x:c>
      <x:c r="I408" t="str">
        <x:v>Redes sociales</x:v>
      </x:c>
      <x:c r="J408" t="n">
        <x:v>2</x:v>
      </x:c>
      <x:c r="K408" t="n">
        <x:v>0</x:v>
      </x:c>
      <x:c r="L408" t="n">
        <x:v>59753687.15</x:v>
      </x:c>
      <x:c r="M408" t="n">
        <x:v>0</x:v>
      </x:c>
      <x:c r="N408" t="n">
        <x:v>0</x:v>
      </x:c>
      <x:c r="O408" t="n">
        <x:v>0</x:v>
      </x:c>
      <x:c r="P408" t="n">
        <x:v>2</x:v>
      </x:c>
    </x:row>
    <x:row r="409">
      <x:c r="A409" t="str">
        <x:v>2025-05</x:v>
      </x:c>
      <x:c r="B409" t="str">
        <x:v>USR-00110</x:v>
      </x:c>
      <x:c r="C409" t="str">
        <x:v>Cero</x:v>
      </x:c>
      <x:c r="D409" t="str">
        <x:v>Gratuita</x:v>
      </x:c>
      <x:c r="E409" t="str">
        <x:v>Barranquilla</x:v>
      </x:c>
      <x:c r="F409" t="str">
        <x:v>Atlántico</x:v>
      </x:c>
      <x:c r="G409" t="n">
        <x:v>50</x:v>
      </x:c>
      <x:c r="H409" t="str">
        <x:v>Más de $5 M</x:v>
      </x:c>
      <x:c r="I409" t="str">
        <x:v>Alianzas</x:v>
      </x:c>
      <x:c r="J409" t="n">
        <x:v>1</x:v>
      </x:c>
      <x:c r="K409" t="n">
        <x:v>0</x:v>
      </x:c>
      <x:c r="L409" t="n">
        <x:v>7389406.14</x:v>
      </x:c>
      <x:c r="M409" t="n">
        <x:v>709000</x:v>
      </x:c>
      <x:c r="N409" t="n">
        <x:v>1</x:v>
      </x:c>
      <x:c r="O409" t="n">
        <x:v>0</x:v>
      </x:c>
      <x:c r="P409" t="n">
        <x:v>2</x:v>
      </x:c>
    </x:row>
    <x:row r="410">
      <x:c r="A410" t="str">
        <x:v>2025-05</x:v>
      </x:c>
      <x:c r="B410" t="str">
        <x:v>USR-00111</x:v>
      </x:c>
      <x:c r="C410" t="str">
        <x:v>Cero</x:v>
      </x:c>
      <x:c r="D410" t="str">
        <x:v>Gratuita</x:v>
      </x:c>
      <x:c r="E410" t="str">
        <x:v>Bogotá</x:v>
      </x:c>
      <x:c r="F410" t="str">
        <x:v>Bogotá D.C.</x:v>
      </x:c>
      <x:c r="G410" t="n">
        <x:v>38</x:v>
      </x:c>
      <x:c r="H410" t="str">
        <x:v>Menos de $1,5 M</x:v>
      </x:c>
      <x:c r="I410" t="str">
        <x:v>Redes sociales</x:v>
      </x:c>
      <x:c r="J410" t="n">
        <x:v>2</x:v>
      </x:c>
      <x:c r="K410" t="n">
        <x:v>0</x:v>
      </x:c>
      <x:c r="L410" t="n">
        <x:v>24944471.38</x:v>
      </x:c>
      <x:c r="M410" t="n">
        <x:v>465900</x:v>
      </x:c>
      <x:c r="N410" t="n">
        <x:v>1</x:v>
      </x:c>
      <x:c r="O410" t="n">
        <x:v>0</x:v>
      </x:c>
      <x:c r="P410" t="n">
        <x:v>2</x:v>
      </x:c>
    </x:row>
    <x:row r="411">
      <x:c r="A411" t="str">
        <x:v>2025-05</x:v>
      </x:c>
      <x:c r="B411" t="str">
        <x:v>USR-00112</x:v>
      </x:c>
      <x:c r="C411" t="str">
        <x:v>Cero</x:v>
      </x:c>
      <x:c r="D411" t="str">
        <x:v>Gratuita</x:v>
      </x:c>
      <x:c r="E411" t="str">
        <x:v>Medellín</x:v>
      </x:c>
      <x:c r="F411" t="str">
        <x:v>Antioquia</x:v>
      </x:c>
      <x:c r="G411" t="n">
        <x:v>35</x:v>
      </x:c>
      <x:c r="H411" t="str">
        <x:v>Entre $1,5 M y $3 M</x:v>
      </x:c>
      <x:c r="I411" t="str">
        <x:v>Referidos</x:v>
      </x:c>
      <x:c r="J411" t="n">
        <x:v>1</x:v>
      </x:c>
      <x:c r="K411" t="n">
        <x:v>0</x:v>
      </x:c>
      <x:c r="L411" t="n">
        <x:v>4009663.56</x:v>
      </x:c>
      <x:c r="M411" t="n">
        <x:v>446800</x:v>
      </x:c>
      <x:c r="N411" t="n">
        <x:v>1</x:v>
      </x:c>
      <x:c r="O411" t="n">
        <x:v>0</x:v>
      </x:c>
      <x:c r="P411" t="n">
        <x:v>2</x:v>
      </x:c>
    </x:row>
    <x:row r="412">
      <x:c r="A412" t="str">
        <x:v>2025-05</x:v>
      </x:c>
      <x:c r="B412" t="str">
        <x:v>USR-00113</x:v>
      </x:c>
      <x:c r="C412" t="str">
        <x:v>Cero</x:v>
      </x:c>
      <x:c r="D412" t="str">
        <x:v>Gratuita</x:v>
      </x:c>
      <x:c r="E412" t="str">
        <x:v>Barranquilla</x:v>
      </x:c>
      <x:c r="F412" t="str">
        <x:v>Atlántico</x:v>
      </x:c>
      <x:c r="G412" t="n">
        <x:v>64</x:v>
      </x:c>
      <x:c r="H412" t="str">
        <x:v>Entre $1,5 M y $3 M</x:v>
      </x:c>
      <x:c r="I412" t="str">
        <x:v>Redes sociales</x:v>
      </x:c>
      <x:c r="J412" t="n">
        <x:v>1</x:v>
      </x:c>
      <x:c r="K412" t="n">
        <x:v>0</x:v>
      </x:c>
      <x:c r="L412" t="n">
        <x:v>1913379.01</x:v>
      </x:c>
      <x:c r="M412" t="n">
        <x:v>76000</x:v>
      </x:c>
      <x:c r="N412" t="n">
        <x:v>1</x:v>
      </x:c>
      <x:c r="O412" t="n">
        <x:v>0</x:v>
      </x:c>
      <x:c r="P412" t="n">
        <x:v>2</x:v>
      </x:c>
    </x:row>
    <x:row r="413">
      <x:c r="A413" t="str">
        <x:v>2025-05</x:v>
      </x:c>
      <x:c r="B413" t="str">
        <x:v>USR-00114</x:v>
      </x:c>
      <x:c r="C413" t="str">
        <x:v>Cero</x:v>
      </x:c>
      <x:c r="D413" t="str">
        <x:v>Gratuita</x:v>
      </x:c>
      <x:c r="E413" t="str">
        <x:v>Bogotá</x:v>
      </x:c>
      <x:c r="F413" t="str">
        <x:v>Bogotá D.C.</x:v>
      </x:c>
      <x:c r="G413" t="n">
        <x:v>20</x:v>
      </x:c>
      <x:c r="H413" t="str">
        <x:v>Entre $3 M y $5 M</x:v>
      </x:c>
      <x:c r="I413" t="str">
        <x:v>Redes sociales</x:v>
      </x:c>
      <x:c r="J413" t="n">
        <x:v>2</x:v>
      </x:c>
      <x:c r="K413" t="n">
        <x:v>0</x:v>
      </x:c>
      <x:c r="L413" t="n">
        <x:v>12101971.82</x:v>
      </x:c>
      <x:c r="M413" t="n">
        <x:v>673200</x:v>
      </x:c>
      <x:c r="N413" t="n">
        <x:v>2</x:v>
      </x:c>
      <x:c r="O413" t="n">
        <x:v>0</x:v>
      </x:c>
      <x:c r="P413" t="n">
        <x:v>2</x:v>
      </x:c>
    </x:row>
    <x:row r="414">
      <x:c r="A414" t="str">
        <x:v>2025-05</x:v>
      </x:c>
      <x:c r="B414" t="str">
        <x:v>USR-00115</x:v>
      </x:c>
      <x:c r="C414" t="str">
        <x:v>Cero</x:v>
      </x:c>
      <x:c r="D414" t="str">
        <x:v>Gratuita</x:v>
      </x:c>
      <x:c r="E414" t="str">
        <x:v>Cali</x:v>
      </x:c>
      <x:c r="F414" t="str">
        <x:v>Valle del Cauca</x:v>
      </x:c>
      <x:c r="G414" t="n">
        <x:v>59</x:v>
      </x:c>
      <x:c r="H414" t="str">
        <x:v>Entre $3 M y $5 M</x:v>
      </x:c>
      <x:c r="I414" t="str">
        <x:v>Contenido educativo</x:v>
      </x:c>
      <x:c r="J414" t="n">
        <x:v>2</x:v>
      </x:c>
      <x:c r="K414" t="n">
        <x:v>0</x:v>
      </x:c>
      <x:c r="L414" t="n">
        <x:v>36563424.74</x:v>
      </x:c>
      <x:c r="M414" t="n">
        <x:v>1889700</x:v>
      </x:c>
      <x:c r="N414" t="n">
        <x:v>2</x:v>
      </x:c>
      <x:c r="O414" t="n">
        <x:v>0</x:v>
      </x:c>
      <x:c r="P414" t="n">
        <x:v>2</x:v>
      </x:c>
    </x:row>
    <x:row r="415">
      <x:c r="A415" t="str">
        <x:v>2025-05</x:v>
      </x:c>
      <x:c r="B415" t="str">
        <x:v>USR-00116</x:v>
      </x:c>
      <x:c r="C415" t="str">
        <x:v>Cero</x:v>
      </x:c>
      <x:c r="D415" t="str">
        <x:v>Gratuita</x:v>
      </x:c>
      <x:c r="E415" t="str">
        <x:v>Medellín</x:v>
      </x:c>
      <x:c r="F415" t="str">
        <x:v>Antioquia</x:v>
      </x:c>
      <x:c r="G415" t="n">
        <x:v>56</x:v>
      </x:c>
      <x:c r="H415" t="str">
        <x:v>Entre $1,5 M y $3 M</x:v>
      </x:c>
      <x:c r="I415" t="str">
        <x:v>Alianzas</x:v>
      </x:c>
      <x:c r="J415" t="n">
        <x:v>1</x:v>
      </x:c>
      <x:c r="K415" t="n">
        <x:v>0</x:v>
      </x:c>
      <x:c r="L415" t="n">
        <x:v>5526884.85</x:v>
      </x:c>
      <x:c r="M415" t="n">
        <x:v>189300</x:v>
      </x:c>
      <x:c r="N415" t="n">
        <x:v>1</x:v>
      </x:c>
      <x:c r="O415" t="n">
        <x:v>0</x:v>
      </x:c>
      <x:c r="P415" t="n">
        <x:v>2</x:v>
      </x:c>
    </x:row>
    <x:row r="416">
      <x:c r="A416" t="str">
        <x:v>2025-05</x:v>
      </x:c>
      <x:c r="B416" t="str">
        <x:v>USR-00117</x:v>
      </x:c>
      <x:c r="C416" t="str">
        <x:v>Cero</x:v>
      </x:c>
      <x:c r="D416" t="str">
        <x:v>Gratuita</x:v>
      </x:c>
      <x:c r="E416" t="str">
        <x:v>Bogotá</x:v>
      </x:c>
      <x:c r="F416" t="str">
        <x:v>Bogotá D.C.</x:v>
      </x:c>
      <x:c r="G416" t="n">
        <x:v>56</x:v>
      </x:c>
      <x:c r="H416" t="str">
        <x:v>Menos de $1,5 M</x:v>
      </x:c>
      <x:c r="I416" t="str">
        <x:v>Orgánico</x:v>
      </x:c>
      <x:c r="J416" t="n">
        <x:v>1</x:v>
      </x:c>
      <x:c r="K416" t="n">
        <x:v>0</x:v>
      </x:c>
      <x:c r="L416" t="n">
        <x:v>2196138.36</x:v>
      </x:c>
      <x:c r="M416" t="n">
        <x:v>104100</x:v>
      </x:c>
      <x:c r="N416" t="n">
        <x:v>1</x:v>
      </x:c>
      <x:c r="O416" t="n">
        <x:v>0</x:v>
      </x:c>
      <x:c r="P416" t="n">
        <x:v>2</x:v>
      </x:c>
    </x:row>
    <x:row r="417">
      <x:c r="A417" t="str">
        <x:v>2025-05</x:v>
      </x:c>
      <x:c r="B417" t="str">
        <x:v>USR-00118</x:v>
      </x:c>
      <x:c r="C417" t="str">
        <x:v>Cero</x:v>
      </x:c>
      <x:c r="D417" t="str">
        <x:v>Gratuita</x:v>
      </x:c>
      <x:c r="E417" t="str">
        <x:v>Bogotá</x:v>
      </x:c>
      <x:c r="F417" t="str">
        <x:v>Bogotá D.C.</x:v>
      </x:c>
      <x:c r="G417" t="n">
        <x:v>39</x:v>
      </x:c>
      <x:c r="H417" t="str">
        <x:v>Entre $1,5 M y $3 M</x:v>
      </x:c>
      <x:c r="I417" t="str">
        <x:v>Orgánico</x:v>
      </x:c>
      <x:c r="J417" t="n">
        <x:v>1</x:v>
      </x:c>
      <x:c r="K417" t="n">
        <x:v>0</x:v>
      </x:c>
      <x:c r="L417" t="n">
        <x:v>11817342.52</x:v>
      </x:c>
      <x:c r="M417" t="n">
        <x:v>613800</x:v>
      </x:c>
      <x:c r="N417" t="n">
        <x:v>1</x:v>
      </x:c>
      <x:c r="O417" t="n">
        <x:v>0</x:v>
      </x:c>
      <x:c r="P417" t="n">
        <x:v>2</x:v>
      </x:c>
    </x:row>
    <x:row r="418">
      <x:c r="A418" t="str">
        <x:v>2025-05</x:v>
      </x:c>
      <x:c r="B418" t="str">
        <x:v>USR-00119</x:v>
      </x:c>
      <x:c r="C418" t="str">
        <x:v>Cero</x:v>
      </x:c>
      <x:c r="D418" t="str">
        <x:v>Gratuita</x:v>
      </x:c>
      <x:c r="E418" t="str">
        <x:v>Bogotá</x:v>
      </x:c>
      <x:c r="F418" t="str">
        <x:v>Bogotá D.C.</x:v>
      </x:c>
      <x:c r="G418" t="n">
        <x:v>53</x:v>
      </x:c>
      <x:c r="H418" t="str">
        <x:v>Entre $1,5 M y $3 M</x:v>
      </x:c>
      <x:c r="I418" t="str">
        <x:v>Búsqueda paga</x:v>
      </x:c>
      <x:c r="J418" t="n">
        <x:v>2</x:v>
      </x:c>
      <x:c r="K418" t="n">
        <x:v>0</x:v>
      </x:c>
      <x:c r="L418" t="n">
        <x:v>18504617.71</x:v>
      </x:c>
      <x:c r="M418" t="n">
        <x:v>0</x:v>
      </x:c>
      <x:c r="N418" t="n">
        <x:v>0</x:v>
      </x:c>
      <x:c r="O418" t="n">
        <x:v>0</x:v>
      </x:c>
      <x:c r="P418" t="n">
        <x:v>2</x:v>
      </x:c>
    </x:row>
    <x:row r="419">
      <x:c r="A419" t="str">
        <x:v>2025-05</x:v>
      </x:c>
      <x:c r="B419" t="str">
        <x:v>USR-00120</x:v>
      </x:c>
      <x:c r="C419" t="str">
        <x:v>Cero</x:v>
      </x:c>
      <x:c r="D419" t="str">
        <x:v>Gratuita</x:v>
      </x:c>
      <x:c r="E419" t="str">
        <x:v>Bogotá</x:v>
      </x:c>
      <x:c r="F419" t="str">
        <x:v>Bogotá D.C.</x:v>
      </x:c>
      <x:c r="G419" t="n">
        <x:v>54</x:v>
      </x:c>
      <x:c r="H419" t="str">
        <x:v>Más de $5 M</x:v>
      </x:c>
      <x:c r="I419" t="str">
        <x:v>Orgánico</x:v>
      </x:c>
      <x:c r="J419" t="n">
        <x:v>2</x:v>
      </x:c>
      <x:c r="K419" t="n">
        <x:v>0</x:v>
      </x:c>
      <x:c r="L419" t="n">
        <x:v>16689839.14</x:v>
      </x:c>
      <x:c r="M419" t="n">
        <x:v>709100</x:v>
      </x:c>
      <x:c r="N419" t="n">
        <x:v>2</x:v>
      </x:c>
      <x:c r="O419" t="n">
        <x:v>0</x:v>
      </x:c>
      <x:c r="P419" t="n">
        <x:v>2</x:v>
      </x:c>
    </x:row>
    <x:row r="420">
      <x:c r="A420" t="str">
        <x:v>2025-05</x:v>
      </x:c>
      <x:c r="B420" t="str">
        <x:v>USR-00121</x:v>
      </x:c>
      <x:c r="C420" t="str">
        <x:v>Cero</x:v>
      </x:c>
      <x:c r="D420" t="str">
        <x:v>Gratuita</x:v>
      </x:c>
      <x:c r="E420" t="str">
        <x:v>Bogotá</x:v>
      </x:c>
      <x:c r="F420" t="str">
        <x:v>Bogotá D.C.</x:v>
      </x:c>
      <x:c r="G420" t="n">
        <x:v>59</x:v>
      </x:c>
      <x:c r="H420" t="str">
        <x:v>Menos de $1,5 M</x:v>
      </x:c>
      <x:c r="I420" t="str">
        <x:v>Orgánico</x:v>
      </x:c>
      <x:c r="J420" t="n">
        <x:v>1</x:v>
      </x:c>
      <x:c r="K420" t="n">
        <x:v>0</x:v>
      </x:c>
      <x:c r="L420" t="n">
        <x:v>4881397.85</x:v>
      </x:c>
      <x:c r="M420" t="n">
        <x:v>172000</x:v>
      </x:c>
      <x:c r="N420" t="n">
        <x:v>1</x:v>
      </x:c>
      <x:c r="O420" t="n">
        <x:v>0</x:v>
      </x:c>
      <x:c r="P420" t="n">
        <x:v>2</x:v>
      </x:c>
    </x:row>
    <x:row r="421">
      <x:c r="A421" t="str">
        <x:v>2025-05</x:v>
      </x:c>
      <x:c r="B421" t="str">
        <x:v>USR-00122</x:v>
      </x:c>
      <x:c r="C421" t="str">
        <x:v>Plus mensual</x:v>
      </x:c>
      <x:c r="D421" t="str">
        <x:v>Pago</x:v>
      </x:c>
      <x:c r="E421" t="str">
        <x:v>Cali</x:v>
      </x:c>
      <x:c r="F421" t="str">
        <x:v>Valle del Cauca</x:v>
      </x:c>
      <x:c r="G421" t="n">
        <x:v>55</x:v>
      </x:c>
      <x:c r="H421" t="str">
        <x:v>Entre $3 M y $5 M</x:v>
      </x:c>
      <x:c r="I421" t="str">
        <x:v>Redes sociales</x:v>
      </x:c>
      <x:c r="J421" t="n">
        <x:v>5</x:v>
      </x:c>
      <x:c r="K421" t="n">
        <x:v>0</x:v>
      </x:c>
      <x:c r="L421" t="n">
        <x:v>57022466.75</x:v>
      </x:c>
      <x:c r="M421" t="n">
        <x:v>5549200</x:v>
      </x:c>
      <x:c r="N421" t="n">
        <x:v>4</x:v>
      </x:c>
      <x:c r="O421" t="n">
        <x:v>29900</x:v>
      </x:c>
      <x:c r="P421" t="n">
        <x:v>1</x:v>
      </x:c>
    </x:row>
    <x:row r="422">
      <x:c r="A422" t="str">
        <x:v>2025-05</x:v>
      </x:c>
      <x:c r="B422" t="str">
        <x:v>USR-00123</x:v>
      </x:c>
      <x:c r="C422" t="str">
        <x:v>Cero</x:v>
      </x:c>
      <x:c r="D422" t="str">
        <x:v>Gratuita</x:v>
      </x:c>
      <x:c r="E422" t="str">
        <x:v>Bucaramanga</x:v>
      </x:c>
      <x:c r="F422" t="str">
        <x:v>Santander</x:v>
      </x:c>
      <x:c r="G422" t="n">
        <x:v>25</x:v>
      </x:c>
      <x:c r="H422" t="str">
        <x:v>Entre $3 M y $5 M</x:v>
      </x:c>
      <x:c r="I422" t="str">
        <x:v>Alianzas</x:v>
      </x:c>
      <x:c r="J422" t="n">
        <x:v>2</x:v>
      </x:c>
      <x:c r="K422" t="n">
        <x:v>0</x:v>
      </x:c>
      <x:c r="L422" t="n">
        <x:v>15605973.57</x:v>
      </x:c>
      <x:c r="M422" t="n">
        <x:v>0</x:v>
      </x:c>
      <x:c r="N422" t="n">
        <x:v>0</x:v>
      </x:c>
      <x:c r="O422" t="n">
        <x:v>0</x:v>
      </x:c>
      <x:c r="P422" t="n">
        <x:v>1</x:v>
      </x:c>
    </x:row>
    <x:row r="423">
      <x:c r="A423" t="str">
        <x:v>2025-05</x:v>
      </x:c>
      <x:c r="B423" t="str">
        <x:v>USR-00124</x:v>
      </x:c>
      <x:c r="C423" t="str">
        <x:v>Cero</x:v>
      </x:c>
      <x:c r="D423" t="str">
        <x:v>Gratuita</x:v>
      </x:c>
      <x:c r="E423" t="str">
        <x:v>Cali</x:v>
      </x:c>
      <x:c r="F423" t="str">
        <x:v>Valle del Cauca</x:v>
      </x:c>
      <x:c r="G423" t="n">
        <x:v>42</x:v>
      </x:c>
      <x:c r="H423" t="str">
        <x:v>Entre $1,5 M y $3 M</x:v>
      </x:c>
      <x:c r="I423" t="str">
        <x:v>Búsqueda paga</x:v>
      </x:c>
      <x:c r="J423" t="n">
        <x:v>2</x:v>
      </x:c>
      <x:c r="K423" t="n">
        <x:v>0</x:v>
      </x:c>
      <x:c r="L423" t="n">
        <x:v>14885880.92</x:v>
      </x:c>
      <x:c r="M423" t="n">
        <x:v>453200</x:v>
      </x:c>
      <x:c r="N423" t="n">
        <x:v>2</x:v>
      </x:c>
      <x:c r="O423" t="n">
        <x:v>0</x:v>
      </x:c>
      <x:c r="P423" t="n">
        <x:v>1</x:v>
      </x:c>
    </x:row>
    <x:row r="424">
      <x:c r="A424" t="str">
        <x:v>2025-05</x:v>
      </x:c>
      <x:c r="B424" t="str">
        <x:v>USR-00125</x:v>
      </x:c>
      <x:c r="C424" t="str">
        <x:v>Cero</x:v>
      </x:c>
      <x:c r="D424" t="str">
        <x:v>Gratuita</x:v>
      </x:c>
      <x:c r="E424" t="str">
        <x:v>Medellín</x:v>
      </x:c>
      <x:c r="F424" t="str">
        <x:v>Antioquia</x:v>
      </x:c>
      <x:c r="G424" t="n">
        <x:v>24</x:v>
      </x:c>
      <x:c r="H424" t="str">
        <x:v>Entre $3 M y $5 M</x:v>
      </x:c>
      <x:c r="I424" t="str">
        <x:v>Alianzas</x:v>
      </x:c>
      <x:c r="J424" t="n">
        <x:v>2</x:v>
      </x:c>
      <x:c r="K424" t="n">
        <x:v>0</x:v>
      </x:c>
      <x:c r="L424" t="n">
        <x:v>30021663.91</x:v>
      </x:c>
      <x:c r="M424" t="n">
        <x:v>1788300</x:v>
      </x:c>
      <x:c r="N424" t="n">
        <x:v>1</x:v>
      </x:c>
      <x:c r="O424" t="n">
        <x:v>0</x:v>
      </x:c>
      <x:c r="P424" t="n">
        <x:v>1</x:v>
      </x:c>
    </x:row>
    <x:row r="425">
      <x:c r="A425" t="str">
        <x:v>2025-05</x:v>
      </x:c>
      <x:c r="B425" t="str">
        <x:v>USR-00126</x:v>
      </x:c>
      <x:c r="C425" t="str">
        <x:v>Cero</x:v>
      </x:c>
      <x:c r="D425" t="str">
        <x:v>Gratuita</x:v>
      </x:c>
      <x:c r="E425" t="str">
        <x:v>Manizales</x:v>
      </x:c>
      <x:c r="F425" t="str">
        <x:v>Caldas</x:v>
      </x:c>
      <x:c r="G425" t="n">
        <x:v>34</x:v>
      </x:c>
      <x:c r="H425" t="str">
        <x:v>Entre $3 M y $5 M</x:v>
      </x:c>
      <x:c r="I425" t="str">
        <x:v>Orgánico</x:v>
      </x:c>
      <x:c r="J425" t="n">
        <x:v>2</x:v>
      </x:c>
      <x:c r="K425" t="n">
        <x:v>0</x:v>
      </x:c>
      <x:c r="L425" t="n">
        <x:v>15519862.94</x:v>
      </x:c>
      <x:c r="M425" t="n">
        <x:v>631900</x:v>
      </x:c>
      <x:c r="N425" t="n">
        <x:v>2</x:v>
      </x:c>
      <x:c r="O425" t="n">
        <x:v>0</x:v>
      </x:c>
      <x:c r="P425" t="n">
        <x:v>1</x:v>
      </x:c>
    </x:row>
    <x:row r="426">
      <x:c r="A426" t="str">
        <x:v>2025-05</x:v>
      </x:c>
      <x:c r="B426" t="str">
        <x:v>USR-00127</x:v>
      </x:c>
      <x:c r="C426" t="str">
        <x:v>Cero</x:v>
      </x:c>
      <x:c r="D426" t="str">
        <x:v>Gratuita</x:v>
      </x:c>
      <x:c r="E426" t="str">
        <x:v>Cali</x:v>
      </x:c>
      <x:c r="F426" t="str">
        <x:v>Valle del Cauca</x:v>
      </x:c>
      <x:c r="G426" t="n">
        <x:v>31</x:v>
      </x:c>
      <x:c r="H426" t="str">
        <x:v>Entre $3 M y $5 M</x:v>
      </x:c>
      <x:c r="I426" t="str">
        <x:v>Referidos</x:v>
      </x:c>
      <x:c r="J426" t="n">
        <x:v>2</x:v>
      </x:c>
      <x:c r="K426" t="n">
        <x:v>0</x:v>
      </x:c>
      <x:c r="L426" t="n">
        <x:v>6079897.33</x:v>
      </x:c>
      <x:c r="M426" t="n">
        <x:v>67800</x:v>
      </x:c>
      <x:c r="N426" t="n">
        <x:v>1</x:v>
      </x:c>
      <x:c r="O426" t="n">
        <x:v>0</x:v>
      </x:c>
      <x:c r="P426" t="n">
        <x:v>1</x:v>
      </x:c>
    </x:row>
    <x:row r="427">
      <x:c r="A427" t="str">
        <x:v>2025-05</x:v>
      </x:c>
      <x:c r="B427" t="str">
        <x:v>USR-00128</x:v>
      </x:c>
      <x:c r="C427" t="str">
        <x:v>Cero</x:v>
      </x:c>
      <x:c r="D427" t="str">
        <x:v>Gratuita</x:v>
      </x:c>
      <x:c r="E427" t="str">
        <x:v>Cali</x:v>
      </x:c>
      <x:c r="F427" t="str">
        <x:v>Valle del Cauca</x:v>
      </x:c>
      <x:c r="G427" t="n">
        <x:v>64</x:v>
      </x:c>
      <x:c r="H427" t="str">
        <x:v>Entre $1,5 M y $3 M</x:v>
      </x:c>
      <x:c r="I427" t="str">
        <x:v>Referidos</x:v>
      </x:c>
      <x:c r="J427" t="n">
        <x:v>1</x:v>
      </x:c>
      <x:c r="K427" t="n">
        <x:v>0</x:v>
      </x:c>
      <x:c r="L427" t="n">
        <x:v>9260992.5</x:v>
      </x:c>
      <x:c r="M427" t="n">
        <x:v>626400</x:v>
      </x:c>
      <x:c r="N427" t="n">
        <x:v>1</x:v>
      </x:c>
      <x:c r="O427" t="n">
        <x:v>0</x:v>
      </x:c>
      <x:c r="P427" t="n">
        <x:v>1</x:v>
      </x:c>
    </x:row>
    <x:row r="428">
      <x:c r="A428" t="str">
        <x:v>2025-05</x:v>
      </x:c>
      <x:c r="B428" t="str">
        <x:v>USR-00129</x:v>
      </x:c>
      <x:c r="C428" t="str">
        <x:v>Cero</x:v>
      </x:c>
      <x:c r="D428" t="str">
        <x:v>Gratuita</x:v>
      </x:c>
      <x:c r="E428" t="str">
        <x:v>Bogotá</x:v>
      </x:c>
      <x:c r="F428" t="str">
        <x:v>Bogotá D.C.</x:v>
      </x:c>
      <x:c r="G428" t="n">
        <x:v>61</x:v>
      </x:c>
      <x:c r="H428" t="str">
        <x:v>Más de $5 M</x:v>
      </x:c>
      <x:c r="I428" t="str">
        <x:v>Referidos</x:v>
      </x:c>
      <x:c r="J428" t="n">
        <x:v>2</x:v>
      </x:c>
      <x:c r="K428" t="n">
        <x:v>0</x:v>
      </x:c>
      <x:c r="L428" t="n">
        <x:v>30009528.49</x:v>
      </x:c>
      <x:c r="M428" t="n">
        <x:v>0</x:v>
      </x:c>
      <x:c r="N428" t="n">
        <x:v>0</x:v>
      </x:c>
      <x:c r="O428" t="n">
        <x:v>0</x:v>
      </x:c>
      <x:c r="P428" t="n">
        <x:v>1</x:v>
      </x:c>
    </x:row>
    <x:row r="429">
      <x:c r="A429" t="str">
        <x:v>2025-05</x:v>
      </x:c>
      <x:c r="B429" t="str">
        <x:v>USR-00130</x:v>
      </x:c>
      <x:c r="C429" t="str">
        <x:v>Cero</x:v>
      </x:c>
      <x:c r="D429" t="str">
        <x:v>Gratuita</x:v>
      </x:c>
      <x:c r="E429" t="str">
        <x:v>Pereira</x:v>
      </x:c>
      <x:c r="F429" t="str">
        <x:v>Risaralda</x:v>
      </x:c>
      <x:c r="G429" t="n">
        <x:v>35</x:v>
      </x:c>
      <x:c r="H429" t="str">
        <x:v>Menos de $1,5 M</x:v>
      </x:c>
      <x:c r="I429" t="str">
        <x:v>Alianzas</x:v>
      </x:c>
      <x:c r="J429" t="n">
        <x:v>2</x:v>
      </x:c>
      <x:c r="K429" t="n">
        <x:v>0</x:v>
      </x:c>
      <x:c r="L429" t="n">
        <x:v>64510953.35</x:v>
      </x:c>
      <x:c r="M429" t="n">
        <x:v>0</x:v>
      </x:c>
      <x:c r="N429" t="n">
        <x:v>0</x:v>
      </x:c>
      <x:c r="O429" t="n">
        <x:v>0</x:v>
      </x:c>
      <x:c r="P429" t="n">
        <x:v>1</x:v>
      </x:c>
    </x:row>
    <x:row r="430">
      <x:c r="A430" t="str">
        <x:v>2025-05</x:v>
      </x:c>
      <x:c r="B430" t="str">
        <x:v>USR-00131</x:v>
      </x:c>
      <x:c r="C430" t="str">
        <x:v>Cero</x:v>
      </x:c>
      <x:c r="D430" t="str">
        <x:v>Gratuita</x:v>
      </x:c>
      <x:c r="E430" t="str">
        <x:v>Bogotá</x:v>
      </x:c>
      <x:c r="F430" t="str">
        <x:v>Bogotá D.C.</x:v>
      </x:c>
      <x:c r="G430" t="n">
        <x:v>62</x:v>
      </x:c>
      <x:c r="H430" t="str">
        <x:v>Menos de $1,5 M</x:v>
      </x:c>
      <x:c r="I430" t="str">
        <x:v>Orgánico</x:v>
      </x:c>
      <x:c r="J430" t="n">
        <x:v>1</x:v>
      </x:c>
      <x:c r="K430" t="n">
        <x:v>0</x:v>
      </x:c>
      <x:c r="L430" t="n">
        <x:v>5076037.8</x:v>
      </x:c>
      <x:c r="M430" t="n">
        <x:v>269800</x:v>
      </x:c>
      <x:c r="N430" t="n">
        <x:v>1</x:v>
      </x:c>
      <x:c r="O430" t="n">
        <x:v>0</x:v>
      </x:c>
      <x:c r="P430" t="n">
        <x:v>1</x:v>
      </x:c>
    </x:row>
    <x:row r="431">
      <x:c r="A431" t="str">
        <x:v>2025-05</x:v>
      </x:c>
      <x:c r="B431" t="str">
        <x:v>USR-00132</x:v>
      </x:c>
      <x:c r="C431" t="str">
        <x:v>Cero</x:v>
      </x:c>
      <x:c r="D431" t="str">
        <x:v>Gratuita</x:v>
      </x:c>
      <x:c r="E431" t="str">
        <x:v>Bogotá</x:v>
      </x:c>
      <x:c r="F431" t="str">
        <x:v>Bogotá D.C.</x:v>
      </x:c>
      <x:c r="G431" t="n">
        <x:v>22</x:v>
      </x:c>
      <x:c r="H431" t="str">
        <x:v>Entre $1,5 M y $3 M</x:v>
      </x:c>
      <x:c r="I431" t="str">
        <x:v>Redes sociales</x:v>
      </x:c>
      <x:c r="J431" t="n">
        <x:v>2</x:v>
      </x:c>
      <x:c r="K431" t="n">
        <x:v>0</x:v>
      </x:c>
      <x:c r="L431" t="n">
        <x:v>22291398.68</x:v>
      </x:c>
      <x:c r="M431" t="n">
        <x:v>988800</x:v>
      </x:c>
      <x:c r="N431" t="n">
        <x:v>2</x:v>
      </x:c>
      <x:c r="O431" t="n">
        <x:v>0</x:v>
      </x:c>
      <x:c r="P431" t="n">
        <x:v>1</x:v>
      </x:c>
    </x:row>
    <x:row r="432">
      <x:c r="A432" t="str">
        <x:v>2025-05</x:v>
      </x:c>
      <x:c r="B432" t="str">
        <x:v>USR-00133</x:v>
      </x:c>
      <x:c r="C432" t="str">
        <x:v>Cero</x:v>
      </x:c>
      <x:c r="D432" t="str">
        <x:v>Gratuita</x:v>
      </x:c>
      <x:c r="E432" t="str">
        <x:v>Barranquilla</x:v>
      </x:c>
      <x:c r="F432" t="str">
        <x:v>Atlántico</x:v>
      </x:c>
      <x:c r="G432" t="n">
        <x:v>61</x:v>
      </x:c>
      <x:c r="H432" t="str">
        <x:v>Entre $3 M y $5 M</x:v>
      </x:c>
      <x:c r="I432" t="str">
        <x:v>Redes sociales</x:v>
      </x:c>
      <x:c r="J432" t="n">
        <x:v>1</x:v>
      </x:c>
      <x:c r="K432" t="n">
        <x:v>0</x:v>
      </x:c>
      <x:c r="L432" t="n">
        <x:v>3988561.76</x:v>
      </x:c>
      <x:c r="M432" t="n">
        <x:v>206100</x:v>
      </x:c>
      <x:c r="N432" t="n">
        <x:v>1</x:v>
      </x:c>
      <x:c r="O432" t="n">
        <x:v>0</x:v>
      </x:c>
      <x:c r="P432" t="n">
        <x:v>1</x:v>
      </x:c>
    </x:row>
    <x:row r="433">
      <x:c r="A433" t="str">
        <x:v>2025-05</x:v>
      </x:c>
      <x:c r="B433" t="str">
        <x:v>USR-00134</x:v>
      </x:c>
      <x:c r="C433" t="str">
        <x:v>Plus mensual</x:v>
      </x:c>
      <x:c r="D433" t="str">
        <x:v>Pago</x:v>
      </x:c>
      <x:c r="E433" t="str">
        <x:v>Cali</x:v>
      </x:c>
      <x:c r="F433" t="str">
        <x:v>Valle del Cauca</x:v>
      </x:c>
      <x:c r="G433" t="n">
        <x:v>27</x:v>
      </x:c>
      <x:c r="H433" t="str">
        <x:v>Entre $3 M y $5 M</x:v>
      </x:c>
      <x:c r="I433" t="str">
        <x:v>Referidos</x:v>
      </x:c>
      <x:c r="J433" t="n">
        <x:v>3</x:v>
      </x:c>
      <x:c r="K433" t="n">
        <x:v>0</x:v>
      </x:c>
      <x:c r="L433" t="n">
        <x:v>15663792.6</x:v>
      </x:c>
      <x:c r="M433" t="n">
        <x:v>568300</x:v>
      </x:c>
      <x:c r="N433" t="n">
        <x:v>3</x:v>
      </x:c>
      <x:c r="O433" t="n">
        <x:v>29900</x:v>
      </x:c>
      <x:c r="P433" t="n">
        <x:v>1</x:v>
      </x:c>
    </x:row>
    <x:row r="434">
      <x:c r="A434" t="str">
        <x:v>2025-05</x:v>
      </x:c>
      <x:c r="B434" t="str">
        <x:v>USR-00135</x:v>
      </x:c>
      <x:c r="C434" t="str">
        <x:v>Cero</x:v>
      </x:c>
      <x:c r="D434" t="str">
        <x:v>Gratuita</x:v>
      </x:c>
      <x:c r="E434" t="str">
        <x:v>Medellín</x:v>
      </x:c>
      <x:c r="F434" t="str">
        <x:v>Antioquia</x:v>
      </x:c>
      <x:c r="G434" t="n">
        <x:v>59</x:v>
      </x:c>
      <x:c r="H434" t="str">
        <x:v>Entre $3 M y $5 M</x:v>
      </x:c>
      <x:c r="I434" t="str">
        <x:v>Orgánico</x:v>
      </x:c>
      <x:c r="J434" t="n">
        <x:v>1</x:v>
      </x:c>
      <x:c r="K434" t="n">
        <x:v>0</x:v>
      </x:c>
      <x:c r="L434" t="n">
        <x:v>3489614.75</x:v>
      </x:c>
      <x:c r="M434" t="n">
        <x:v>398900</x:v>
      </x:c>
      <x:c r="N434" t="n">
        <x:v>1</x:v>
      </x:c>
      <x:c r="O434" t="n">
        <x:v>0</x:v>
      </x:c>
      <x:c r="P434" t="n">
        <x:v>1</x:v>
      </x:c>
    </x:row>
    <x:row r="435">
      <x:c r="A435" t="str">
        <x:v>2025-05</x:v>
      </x:c>
      <x:c r="B435" t="str">
        <x:v>USR-00136</x:v>
      </x:c>
      <x:c r="C435" t="str">
        <x:v>Cero</x:v>
      </x:c>
      <x:c r="D435" t="str">
        <x:v>Gratuita</x:v>
      </x:c>
      <x:c r="E435" t="str">
        <x:v>Medellín</x:v>
      </x:c>
      <x:c r="F435" t="str">
        <x:v>Antioquia</x:v>
      </x:c>
      <x:c r="G435" t="n">
        <x:v>49</x:v>
      </x:c>
      <x:c r="H435" t="str">
        <x:v>Entre $1,5 M y $3 M</x:v>
      </x:c>
      <x:c r="I435" t="str">
        <x:v>Referidos</x:v>
      </x:c>
      <x:c r="J435" t="n">
        <x:v>1</x:v>
      </x:c>
      <x:c r="K435" t="n">
        <x:v>0</x:v>
      </x:c>
      <x:c r="L435" t="n">
        <x:v>1232072.15</x:v>
      </x:c>
      <x:c r="M435" t="n">
        <x:v>36100</x:v>
      </x:c>
      <x:c r="N435" t="n">
        <x:v>1</x:v>
      </x:c>
      <x:c r="O435" t="n">
        <x:v>0</x:v>
      </x:c>
      <x:c r="P435" t="n">
        <x:v>1</x:v>
      </x:c>
    </x:row>
    <x:row r="436">
      <x:c r="A436" t="str">
        <x:v>2025-05</x:v>
      </x:c>
      <x:c r="B436" t="str">
        <x:v>USR-00137</x:v>
      </x:c>
      <x:c r="C436" t="str">
        <x:v>Cero</x:v>
      </x:c>
      <x:c r="D436" t="str">
        <x:v>Gratuita</x:v>
      </x:c>
      <x:c r="E436" t="str">
        <x:v>Bucaramanga</x:v>
      </x:c>
      <x:c r="F436" t="str">
        <x:v>Santander</x:v>
      </x:c>
      <x:c r="G436" t="n">
        <x:v>50</x:v>
      </x:c>
      <x:c r="H436" t="str">
        <x:v>Entre $3 M y $5 M</x:v>
      </x:c>
      <x:c r="I436" t="str">
        <x:v>Redes sociales</x:v>
      </x:c>
      <x:c r="J436" t="n">
        <x:v>2</x:v>
      </x:c>
      <x:c r="K436" t="n">
        <x:v>0</x:v>
      </x:c>
      <x:c r="L436" t="n">
        <x:v>11801222.75</x:v>
      </x:c>
      <x:c r="M436" t="n">
        <x:v>680600</x:v>
      </x:c>
      <x:c r="N436" t="n">
        <x:v>2</x:v>
      </x:c>
      <x:c r="O436" t="n">
        <x:v>0</x:v>
      </x:c>
      <x:c r="P436" t="n">
        <x:v>1</x:v>
      </x:c>
    </x:row>
    <x:row r="437">
      <x:c r="A437" t="str">
        <x:v>2025-05</x:v>
      </x:c>
      <x:c r="B437" t="str">
        <x:v>USR-00138</x:v>
      </x:c>
      <x:c r="C437" t="str">
        <x:v>Cero</x:v>
      </x:c>
      <x:c r="D437" t="str">
        <x:v>Gratuita</x:v>
      </x:c>
      <x:c r="E437" t="str">
        <x:v>Cali</x:v>
      </x:c>
      <x:c r="F437" t="str">
        <x:v>Valle del Cauca</x:v>
      </x:c>
      <x:c r="G437" t="n">
        <x:v>28</x:v>
      </x:c>
      <x:c r="H437" t="str">
        <x:v>Entre $1,5 M y $3 M</x:v>
      </x:c>
      <x:c r="I437" t="str">
        <x:v>Orgánico</x:v>
      </x:c>
      <x:c r="J437" t="n">
        <x:v>2</x:v>
      </x:c>
      <x:c r="K437" t="n">
        <x:v>0</x:v>
      </x:c>
      <x:c r="L437" t="n">
        <x:v>21781311.04</x:v>
      </x:c>
      <x:c r="M437" t="n">
        <x:v>634600</x:v>
      </x:c>
      <x:c r="N437" t="n">
        <x:v>1</x:v>
      </x:c>
      <x:c r="O437" t="n">
        <x:v>0</x:v>
      </x:c>
      <x:c r="P437" t="n">
        <x:v>1</x:v>
      </x:c>
    </x:row>
    <x:row r="438">
      <x:c r="A438" t="str">
        <x:v>2025-05</x:v>
      </x:c>
      <x:c r="B438" t="str">
        <x:v>USR-00139</x:v>
      </x:c>
      <x:c r="C438" t="str">
        <x:v>Cero</x:v>
      </x:c>
      <x:c r="D438" t="str">
        <x:v>Gratuita</x:v>
      </x:c>
      <x:c r="E438" t="str">
        <x:v>Barranquilla</x:v>
      </x:c>
      <x:c r="F438" t="str">
        <x:v>Atlántico</x:v>
      </x:c>
      <x:c r="G438" t="n">
        <x:v>37</x:v>
      </x:c>
      <x:c r="H438" t="str">
        <x:v>Menos de $1,5 M</x:v>
      </x:c>
      <x:c r="I438" t="str">
        <x:v>Alianzas</x:v>
      </x:c>
      <x:c r="J438" t="n">
        <x:v>2</x:v>
      </x:c>
      <x:c r="K438" t="n">
        <x:v>0</x:v>
      </x:c>
      <x:c r="L438" t="n">
        <x:v>20337072.74</x:v>
      </x:c>
      <x:c r="M438" t="n">
        <x:v>181000</x:v>
      </x:c>
      <x:c r="N438" t="n">
        <x:v>1</x:v>
      </x:c>
      <x:c r="O438" t="n">
        <x:v>0</x:v>
      </x:c>
      <x:c r="P438" t="n">
        <x:v>1</x:v>
      </x:c>
    </x:row>
    <x:row r="439">
      <x:c r="A439" t="str">
        <x:v>2025-05</x:v>
      </x:c>
      <x:c r="B439" t="str">
        <x:v>USR-00140</x:v>
      </x:c>
      <x:c r="C439" t="str">
        <x:v>Plus mensual</x:v>
      </x:c>
      <x:c r="D439" t="str">
        <x:v>Pago</x:v>
      </x:c>
      <x:c r="E439" t="str">
        <x:v>Bogotá</x:v>
      </x:c>
      <x:c r="F439" t="str">
        <x:v>Bogotá D.C.</x:v>
      </x:c>
      <x:c r="G439" t="n">
        <x:v>38</x:v>
      </x:c>
      <x:c r="H439" t="str">
        <x:v>Entre $3 M y $5 M</x:v>
      </x:c>
      <x:c r="I439" t="str">
        <x:v>Contenido educativo</x:v>
      </x:c>
      <x:c r="J439" t="n">
        <x:v>3</x:v>
      </x:c>
      <x:c r="K439" t="n">
        <x:v>0</x:v>
      </x:c>
      <x:c r="L439" t="n">
        <x:v>29086266.18</x:v>
      </x:c>
      <x:c r="M439" t="n">
        <x:v>866700</x:v>
      </x:c>
      <x:c r="N439" t="n">
        <x:v>3</x:v>
      </x:c>
      <x:c r="O439" t="n">
        <x:v>29900</x:v>
      </x:c>
      <x:c r="P439" t="n">
        <x:v>1</x:v>
      </x:c>
    </x:row>
    <x:row r="440">
      <x:c r="A440" t="str">
        <x:v>2025-05</x:v>
      </x:c>
      <x:c r="B440" t="str">
        <x:v>USR-00141</x:v>
      </x:c>
      <x:c r="C440" t="str">
        <x:v>Plus anual</x:v>
      </x:c>
      <x:c r="D440" t="str">
        <x:v>Pago</x:v>
      </x:c>
      <x:c r="E440" t="str">
        <x:v>Bogotá</x:v>
      </x:c>
      <x:c r="F440" t="str">
        <x:v>Bogotá D.C.</x:v>
      </x:c>
      <x:c r="G440" t="n">
        <x:v>53</x:v>
      </x:c>
      <x:c r="H440" t="str">
        <x:v>Menos de $1,5 M</x:v>
      </x:c>
      <x:c r="I440" t="str">
        <x:v>Orgánico</x:v>
      </x:c>
      <x:c r="J440" t="n">
        <x:v>5</x:v>
      </x:c>
      <x:c r="K440" t="n">
        <x:v>0</x:v>
      </x:c>
      <x:c r="L440" t="n">
        <x:v>37035258.26</x:v>
      </x:c>
      <x:c r="M440" t="n">
        <x:v>1543000</x:v>
      </x:c>
      <x:c r="N440" t="n">
        <x:v>4</x:v>
      </x:c>
      <x:c r="O440" t="n">
        <x:v>24916.67</x:v>
      </x:c>
      <x:c r="P440" t="n">
        <x:v>1</x:v>
      </x:c>
    </x:row>
    <x:row r="441">
      <x:c r="A441" t="str">
        <x:v>2025-05</x:v>
      </x:c>
      <x:c r="B441" t="str">
        <x:v>USR-00142</x:v>
      </x:c>
      <x:c r="C441" t="str">
        <x:v>Cero</x:v>
      </x:c>
      <x:c r="D441" t="str">
        <x:v>Gratuita</x:v>
      </x:c>
      <x:c r="E441" t="str">
        <x:v>Villavicencio</x:v>
      </x:c>
      <x:c r="F441" t="str">
        <x:v>Meta</x:v>
      </x:c>
      <x:c r="G441" t="n">
        <x:v>41</x:v>
      </x:c>
      <x:c r="H441" t="str">
        <x:v>Menos de $1,5 M</x:v>
      </x:c>
      <x:c r="I441" t="str">
        <x:v>Redes sociales</x:v>
      </x:c>
      <x:c r="J441" t="n">
        <x:v>1</x:v>
      </x:c>
      <x:c r="K441" t="n">
        <x:v>0</x:v>
      </x:c>
      <x:c r="L441" t="n">
        <x:v>6886119.52</x:v>
      </x:c>
      <x:c r="M441" t="n">
        <x:v>446000</x:v>
      </x:c>
      <x:c r="N441" t="n">
        <x:v>1</x:v>
      </x:c>
      <x:c r="O441" t="n">
        <x:v>0</x:v>
      </x:c>
      <x:c r="P441" t="n">
        <x:v>1</x:v>
      </x:c>
    </x:row>
    <x:row r="442">
      <x:c r="A442" t="str">
        <x:v>2025-05</x:v>
      </x:c>
      <x:c r="B442" t="str">
        <x:v>USR-00143</x:v>
      </x:c>
      <x:c r="C442" t="str">
        <x:v>Cero</x:v>
      </x:c>
      <x:c r="D442" t="str">
        <x:v>Gratuita</x:v>
      </x:c>
      <x:c r="E442" t="str">
        <x:v>Bogotá</x:v>
      </x:c>
      <x:c r="F442" t="str">
        <x:v>Bogotá D.C.</x:v>
      </x:c>
      <x:c r="G442" t="n">
        <x:v>56</x:v>
      </x:c>
      <x:c r="H442" t="str">
        <x:v>Entre $3 M y $5 M</x:v>
      </x:c>
      <x:c r="I442" t="str">
        <x:v>Orgánico</x:v>
      </x:c>
      <x:c r="J442" t="n">
        <x:v>1</x:v>
      </x:c>
      <x:c r="K442" t="n">
        <x:v>0</x:v>
      </x:c>
      <x:c r="L442" t="n">
        <x:v>7782620.69</x:v>
      </x:c>
      <x:c r="M442" t="n">
        <x:v>0</x:v>
      </x:c>
      <x:c r="N442" t="n">
        <x:v>0</x:v>
      </x:c>
      <x:c r="O442" t="n">
        <x:v>0</x:v>
      </x:c>
      <x:c r="P442" t="n">
        <x:v>1</x:v>
      </x:c>
    </x:row>
    <x:row r="443">
      <x:c r="A443" t="str">
        <x:v>2025-05</x:v>
      </x:c>
      <x:c r="B443" t="str">
        <x:v>USR-00144</x:v>
      </x:c>
      <x:c r="C443" t="str">
        <x:v>Cero</x:v>
      </x:c>
      <x:c r="D443" t="str">
        <x:v>Gratuita</x:v>
      </x:c>
      <x:c r="E443" t="str">
        <x:v>Medellín</x:v>
      </x:c>
      <x:c r="F443" t="str">
        <x:v>Antioquia</x:v>
      </x:c>
      <x:c r="G443" t="n">
        <x:v>37</x:v>
      </x:c>
      <x:c r="H443" t="str">
        <x:v>Entre $1,5 M y $3 M</x:v>
      </x:c>
      <x:c r="I443" t="str">
        <x:v>Búsqueda paga</x:v>
      </x:c>
      <x:c r="J443" t="n">
        <x:v>1</x:v>
      </x:c>
      <x:c r="K443" t="n">
        <x:v>0</x:v>
      </x:c>
      <x:c r="L443" t="n">
        <x:v>3570705.92</x:v>
      </x:c>
      <x:c r="M443" t="n">
        <x:v>0</x:v>
      </x:c>
      <x:c r="N443" t="n">
        <x:v>0</x:v>
      </x:c>
      <x:c r="O443" t="n">
        <x:v>0</x:v>
      </x:c>
      <x:c r="P443" t="n">
        <x:v>1</x:v>
      </x:c>
    </x:row>
    <x:row r="444">
      <x:c r="A444" t="str">
        <x:v>2025-05</x:v>
      </x:c>
      <x:c r="B444" t="str">
        <x:v>USR-00145</x:v>
      </x:c>
      <x:c r="C444" t="str">
        <x:v>Cero</x:v>
      </x:c>
      <x:c r="D444" t="str">
        <x:v>Gratuita</x:v>
      </x:c>
      <x:c r="E444" t="str">
        <x:v>Bogotá</x:v>
      </x:c>
      <x:c r="F444" t="str">
        <x:v>Bogotá D.C.</x:v>
      </x:c>
      <x:c r="G444" t="n">
        <x:v>42</x:v>
      </x:c>
      <x:c r="H444" t="str">
        <x:v>Entre $3 M y $5 M</x:v>
      </x:c>
      <x:c r="I444" t="str">
        <x:v>Redes sociales</x:v>
      </x:c>
      <x:c r="J444" t="n">
        <x:v>1</x:v>
      </x:c>
      <x:c r="K444" t="n">
        <x:v>0</x:v>
      </x:c>
      <x:c r="L444" t="n">
        <x:v>23466835.34</x:v>
      </x:c>
      <x:c r="M444" t="n">
        <x:v>1691400</x:v>
      </x:c>
      <x:c r="N444" t="n">
        <x:v>1</x:v>
      </x:c>
      <x:c r="O444" t="n">
        <x:v>0</x:v>
      </x:c>
      <x:c r="P444" t="n">
        <x:v>1</x:v>
      </x:c>
    </x:row>
    <x:row r="445">
      <x:c r="A445" t="str">
        <x:v>2025-06</x:v>
      </x:c>
      <x:c r="B445" t="str">
        <x:v>USR-00001</x:v>
      </x:c>
      <x:c r="C445" t="str">
        <x:v>Cero</x:v>
      </x:c>
      <x:c r="D445" t="str">
        <x:v>Gratuita</x:v>
      </x:c>
      <x:c r="E445" t="str">
        <x:v>Medellín</x:v>
      </x:c>
      <x:c r="F445" t="str">
        <x:v>Antioquia</x:v>
      </x:c>
      <x:c r="G445" t="n">
        <x:v>44</x:v>
      </x:c>
      <x:c r="H445" t="str">
        <x:v>Entre $1,5 M y $3 M</x:v>
      </x:c>
      <x:c r="I445" t="str">
        <x:v>Redes sociales</x:v>
      </x:c>
      <x:c r="J445" t="n">
        <x:v>1</x:v>
      </x:c>
      <x:c r="K445" t="n">
        <x:v>0</x:v>
      </x:c>
      <x:c r="L445" t="n">
        <x:v>17206622.94</x:v>
      </x:c>
      <x:c r="M445" t="n">
        <x:v>0</x:v>
      </x:c>
      <x:c r="N445" t="n">
        <x:v>0</x:v>
      </x:c>
      <x:c r="O445" t="n">
        <x:v>0</x:v>
      </x:c>
      <x:c r="P445" t="n">
        <x:v>6</x:v>
      </x:c>
    </x:row>
    <x:row r="446">
      <x:c r="A446" t="str">
        <x:v>2025-06</x:v>
      </x:c>
      <x:c r="B446" t="str">
        <x:v>USR-00002</x:v>
      </x:c>
      <x:c r="C446" t="str">
        <x:v>Cero</x:v>
      </x:c>
      <x:c r="D446" t="str">
        <x:v>Gratuita</x:v>
      </x:c>
      <x:c r="E446" t="str">
        <x:v>Bogotá</x:v>
      </x:c>
      <x:c r="F446" t="str">
        <x:v>Bogotá D.C.</x:v>
      </x:c>
      <x:c r="G446" t="n">
        <x:v>54</x:v>
      </x:c>
      <x:c r="H446" t="str">
        <x:v>Entre $3 M y $5 M</x:v>
      </x:c>
      <x:c r="I446" t="str">
        <x:v>Alianzas</x:v>
      </x:c>
      <x:c r="J446" t="n">
        <x:v>2</x:v>
      </x:c>
      <x:c r="K446" t="n">
        <x:v>0</x:v>
      </x:c>
      <x:c r="L446" t="n">
        <x:v>31730393.84</x:v>
      </x:c>
      <x:c r="M446" t="n">
        <x:v>0</x:v>
      </x:c>
      <x:c r="N446" t="n">
        <x:v>0</x:v>
      </x:c>
      <x:c r="O446" t="n">
        <x:v>0</x:v>
      </x:c>
      <x:c r="P446" t="n">
        <x:v>6</x:v>
      </x:c>
    </x:row>
    <x:row r="447">
      <x:c r="A447" t="str">
        <x:v>2025-06</x:v>
      </x:c>
      <x:c r="B447" t="str">
        <x:v>USR-00003</x:v>
      </x:c>
      <x:c r="C447" t="str">
        <x:v>Plus mensual</x:v>
      </x:c>
      <x:c r="D447" t="str">
        <x:v>Pago</x:v>
      </x:c>
      <x:c r="E447" t="str">
        <x:v>Bogotá</x:v>
      </x:c>
      <x:c r="F447" t="str">
        <x:v>Bogotá D.C.</x:v>
      </x:c>
      <x:c r="G447" t="n">
        <x:v>63</x:v>
      </x:c>
      <x:c r="H447" t="str">
        <x:v>Entre $1,5 M y $3 M</x:v>
      </x:c>
      <x:c r="I447" t="str">
        <x:v>Redes sociales</x:v>
      </x:c>
      <x:c r="J447" t="n">
        <x:v>2</x:v>
      </x:c>
      <x:c r="K447" t="n">
        <x:v>0</x:v>
      </x:c>
      <x:c r="L447" t="n">
        <x:v>19388402.66</x:v>
      </x:c>
      <x:c r="M447" t="n">
        <x:v>1075600</x:v>
      </x:c>
      <x:c r="N447" t="n">
        <x:v>2</x:v>
      </x:c>
      <x:c r="O447" t="n">
        <x:v>29900</x:v>
      </x:c>
      <x:c r="P447" t="n">
        <x:v>6</x:v>
      </x:c>
    </x:row>
    <x:row r="448">
      <x:c r="A448" t="str">
        <x:v>2025-06</x:v>
      </x:c>
      <x:c r="B448" t="str">
        <x:v>USR-00004</x:v>
      </x:c>
      <x:c r="C448" t="str">
        <x:v>Plus anual</x:v>
      </x:c>
      <x:c r="D448" t="str">
        <x:v>Pago</x:v>
      </x:c>
      <x:c r="E448" t="str">
        <x:v>Bogotá</x:v>
      </x:c>
      <x:c r="F448" t="str">
        <x:v>Bogotá D.C.</x:v>
      </x:c>
      <x:c r="G448" t="n">
        <x:v>49</x:v>
      </x:c>
      <x:c r="H448" t="str">
        <x:v>Menos de $1,5 M</x:v>
      </x:c>
      <x:c r="I448" t="str">
        <x:v>Alianzas</x:v>
      </x:c>
      <x:c r="J448" t="n">
        <x:v>2</x:v>
      </x:c>
      <x:c r="K448" t="n">
        <x:v>0</x:v>
      </x:c>
      <x:c r="L448" t="n">
        <x:v>16019872.76</x:v>
      </x:c>
      <x:c r="M448" t="n">
        <x:v>968700</x:v>
      </x:c>
      <x:c r="N448" t="n">
        <x:v>2</x:v>
      </x:c>
      <x:c r="O448" t="n">
        <x:v>24916.67</x:v>
      </x:c>
      <x:c r="P448" t="n">
        <x:v>6</x:v>
      </x:c>
    </x:row>
    <x:row r="449">
      <x:c r="A449" t="str">
        <x:v>2025-06</x:v>
      </x:c>
      <x:c r="B449" t="str">
        <x:v>USR-00005</x:v>
      </x:c>
      <x:c r="C449" t="str">
        <x:v>Plus anual</x:v>
      </x:c>
      <x:c r="D449" t="str">
        <x:v>Pago</x:v>
      </x:c>
      <x:c r="E449" t="str">
        <x:v>Bogotá</x:v>
      </x:c>
      <x:c r="F449" t="str">
        <x:v>Bogotá D.C.</x:v>
      </x:c>
      <x:c r="G449" t="n">
        <x:v>45</x:v>
      </x:c>
      <x:c r="H449" t="str">
        <x:v>Entre $1,5 M y $3 M</x:v>
      </x:c>
      <x:c r="I449" t="str">
        <x:v>Orgánico</x:v>
      </x:c>
      <x:c r="J449" t="n">
        <x:v>2</x:v>
      </x:c>
      <x:c r="K449" t="n">
        <x:v>0</x:v>
      </x:c>
      <x:c r="L449" t="n">
        <x:v>8682781.29</x:v>
      </x:c>
      <x:c r="M449" t="n">
        <x:v>0</x:v>
      </x:c>
      <x:c r="N449" t="n">
        <x:v>0</x:v>
      </x:c>
      <x:c r="O449" t="n">
        <x:v>24916.67</x:v>
      </x:c>
      <x:c r="P449" t="n">
        <x:v>6</x:v>
      </x:c>
    </x:row>
    <x:row r="450">
      <x:c r="A450" t="str">
        <x:v>2025-06</x:v>
      </x:c>
      <x:c r="B450" t="str">
        <x:v>USR-00006</x:v>
      </x:c>
      <x:c r="C450" t="str">
        <x:v>Cero</x:v>
      </x:c>
      <x:c r="D450" t="str">
        <x:v>Gratuita</x:v>
      </x:c>
      <x:c r="E450" t="str">
        <x:v>Medellín</x:v>
      </x:c>
      <x:c r="F450" t="str">
        <x:v>Antioquia</x:v>
      </x:c>
      <x:c r="G450" t="n">
        <x:v>62</x:v>
      </x:c>
      <x:c r="H450" t="str">
        <x:v>Entre $3 M y $5 M</x:v>
      </x:c>
      <x:c r="I450" t="str">
        <x:v>Redes sociales</x:v>
      </x:c>
      <x:c r="J450" t="n">
        <x:v>1</x:v>
      </x:c>
      <x:c r="K450" t="n">
        <x:v>0</x:v>
      </x:c>
      <x:c r="L450" t="n">
        <x:v>12493257.81</x:v>
      </x:c>
      <x:c r="M450" t="n">
        <x:v>0</x:v>
      </x:c>
      <x:c r="N450" t="n">
        <x:v>0</x:v>
      </x:c>
      <x:c r="O450" t="n">
        <x:v>0</x:v>
      </x:c>
      <x:c r="P450" t="n">
        <x:v>6</x:v>
      </x:c>
    </x:row>
    <x:row r="451">
      <x:c r="A451" t="str">
        <x:v>2025-06</x:v>
      </x:c>
      <x:c r="B451" t="str">
        <x:v>USR-00007</x:v>
      </x:c>
      <x:c r="C451" t="str">
        <x:v>Plus anual</x:v>
      </x:c>
      <x:c r="D451" t="str">
        <x:v>Pago</x:v>
      </x:c>
      <x:c r="E451" t="str">
        <x:v>Bogotá</x:v>
      </x:c>
      <x:c r="F451" t="str">
        <x:v>Bogotá D.C.</x:v>
      </x:c>
      <x:c r="G451" t="n">
        <x:v>34</x:v>
      </x:c>
      <x:c r="H451" t="str">
        <x:v>Entre $1,5 M y $3 M</x:v>
      </x:c>
      <x:c r="I451" t="str">
        <x:v>Redes sociales</x:v>
      </x:c>
      <x:c r="J451" t="n">
        <x:v>3</x:v>
      </x:c>
      <x:c r="K451" t="n">
        <x:v>0</x:v>
      </x:c>
      <x:c r="L451" t="n">
        <x:v>30726542.97</x:v>
      </x:c>
      <x:c r="M451" t="n">
        <x:v>2447300</x:v>
      </x:c>
      <x:c r="N451" t="n">
        <x:v>3</x:v>
      </x:c>
      <x:c r="O451" t="n">
        <x:v>24916.67</x:v>
      </x:c>
      <x:c r="P451" t="n">
        <x:v>6</x:v>
      </x:c>
    </x:row>
    <x:row r="452">
      <x:c r="A452" t="str">
        <x:v>2025-06</x:v>
      </x:c>
      <x:c r="B452" t="str">
        <x:v>USR-00008</x:v>
      </x:c>
      <x:c r="C452" t="str">
        <x:v>Cero</x:v>
      </x:c>
      <x:c r="D452" t="str">
        <x:v>Gratuita</x:v>
      </x:c>
      <x:c r="E452" t="str">
        <x:v>Barranquilla</x:v>
      </x:c>
      <x:c r="F452" t="str">
        <x:v>Atlántico</x:v>
      </x:c>
      <x:c r="G452" t="n">
        <x:v>33</x:v>
      </x:c>
      <x:c r="H452" t="str">
        <x:v>Más de $5 M</x:v>
      </x:c>
      <x:c r="I452" t="str">
        <x:v>Redes sociales</x:v>
      </x:c>
      <x:c r="J452" t="n">
        <x:v>2</x:v>
      </x:c>
      <x:c r="K452" t="n">
        <x:v>0</x:v>
      </x:c>
      <x:c r="L452" t="n">
        <x:v>25283465.2</x:v>
      </x:c>
      <x:c r="M452" t="n">
        <x:v>650500</x:v>
      </x:c>
      <x:c r="N452" t="n">
        <x:v>1</x:v>
      </x:c>
      <x:c r="O452" t="n">
        <x:v>0</x:v>
      </x:c>
      <x:c r="P452" t="n">
        <x:v>6</x:v>
      </x:c>
    </x:row>
    <x:row r="453">
      <x:c r="A453" t="str">
        <x:v>2025-06</x:v>
      </x:c>
      <x:c r="B453" t="str">
        <x:v>USR-00009</x:v>
      </x:c>
      <x:c r="C453" t="str">
        <x:v>Cero</x:v>
      </x:c>
      <x:c r="D453" t="str">
        <x:v>Gratuita</x:v>
      </x:c>
      <x:c r="E453" t="str">
        <x:v>Barranquilla</x:v>
      </x:c>
      <x:c r="F453" t="str">
        <x:v>Atlántico</x:v>
      </x:c>
      <x:c r="G453" t="n">
        <x:v>46</x:v>
      </x:c>
      <x:c r="H453" t="str">
        <x:v>Entre $1,5 M y $3 M</x:v>
      </x:c>
      <x:c r="I453" t="str">
        <x:v>Orgánico</x:v>
      </x:c>
      <x:c r="J453" t="n">
        <x:v>1</x:v>
      </x:c>
      <x:c r="K453" t="n">
        <x:v>0</x:v>
      </x:c>
      <x:c r="L453" t="n">
        <x:v>5356573.34</x:v>
      </x:c>
      <x:c r="M453" t="n">
        <x:v>165500</x:v>
      </x:c>
      <x:c r="N453" t="n">
        <x:v>1</x:v>
      </x:c>
      <x:c r="O453" t="n">
        <x:v>0</x:v>
      </x:c>
      <x:c r="P453" t="n">
        <x:v>6</x:v>
      </x:c>
    </x:row>
    <x:row r="454">
      <x:c r="A454" t="str">
        <x:v>2025-06</x:v>
      </x:c>
      <x:c r="B454" t="str">
        <x:v>USR-00010</x:v>
      </x:c>
      <x:c r="C454" t="str">
        <x:v>Cero</x:v>
      </x:c>
      <x:c r="D454" t="str">
        <x:v>Gratuita</x:v>
      </x:c>
      <x:c r="E454" t="str">
        <x:v>Bogotá</x:v>
      </x:c>
      <x:c r="F454" t="str">
        <x:v>Bogotá D.C.</x:v>
      </x:c>
      <x:c r="G454" t="n">
        <x:v>63</x:v>
      </x:c>
      <x:c r="H454" t="str">
        <x:v>Entre $3 M y $5 M</x:v>
      </x:c>
      <x:c r="I454" t="str">
        <x:v>Contenido educativo</x:v>
      </x:c>
      <x:c r="J454" t="n">
        <x:v>2</x:v>
      </x:c>
      <x:c r="K454" t="n">
        <x:v>0</x:v>
      </x:c>
      <x:c r="L454" t="n">
        <x:v>19381159.13</x:v>
      </x:c>
      <x:c r="M454" t="n">
        <x:v>51800</x:v>
      </x:c>
      <x:c r="N454" t="n">
        <x:v>1</x:v>
      </x:c>
      <x:c r="O454" t="n">
        <x:v>0</x:v>
      </x:c>
      <x:c r="P454" t="n">
        <x:v>6</x:v>
      </x:c>
    </x:row>
    <x:row r="455">
      <x:c r="A455" t="str">
        <x:v>2025-06</x:v>
      </x:c>
      <x:c r="B455" t="str">
        <x:v>USR-00011</x:v>
      </x:c>
      <x:c r="C455" t="str">
        <x:v>Cero</x:v>
      </x:c>
      <x:c r="D455" t="str">
        <x:v>Gratuita</x:v>
      </x:c>
      <x:c r="E455" t="str">
        <x:v>Bogotá</x:v>
      </x:c>
      <x:c r="F455" t="str">
        <x:v>Bogotá D.C.</x:v>
      </x:c>
      <x:c r="G455" t="n">
        <x:v>38</x:v>
      </x:c>
      <x:c r="H455" t="str">
        <x:v>Entre $1,5 M y $3 M</x:v>
      </x:c>
      <x:c r="I455" t="str">
        <x:v>Contenido educativo</x:v>
      </x:c>
      <x:c r="J455" t="n">
        <x:v>2</x:v>
      </x:c>
      <x:c r="K455" t="n">
        <x:v>0</x:v>
      </x:c>
      <x:c r="L455" t="n">
        <x:v>13913590.2</x:v>
      </x:c>
      <x:c r="M455" t="n">
        <x:v>2611900</x:v>
      </x:c>
      <x:c r="N455" t="n">
        <x:v>2</x:v>
      </x:c>
      <x:c r="O455" t="n">
        <x:v>0</x:v>
      </x:c>
      <x:c r="P455" t="n">
        <x:v>6</x:v>
      </x:c>
    </x:row>
    <x:row r="456">
      <x:c r="A456" t="str">
        <x:v>2025-06</x:v>
      </x:c>
      <x:c r="B456" t="str">
        <x:v>USR-00012</x:v>
      </x:c>
      <x:c r="C456" t="str">
        <x:v>Cero</x:v>
      </x:c>
      <x:c r="D456" t="str">
        <x:v>Gratuita</x:v>
      </x:c>
      <x:c r="E456" t="str">
        <x:v>Bogotá</x:v>
      </x:c>
      <x:c r="F456" t="str">
        <x:v>Bogotá D.C.</x:v>
      </x:c>
      <x:c r="G456" t="n">
        <x:v>37</x:v>
      </x:c>
      <x:c r="H456" t="str">
        <x:v>Entre $1,5 M y $3 M</x:v>
      </x:c>
      <x:c r="I456" t="str">
        <x:v>Referidos</x:v>
      </x:c>
      <x:c r="J456" t="n">
        <x:v>2</x:v>
      </x:c>
      <x:c r="K456" t="n">
        <x:v>0</x:v>
      </x:c>
      <x:c r="L456" t="n">
        <x:v>16349188.25</x:v>
      </x:c>
      <x:c r="M456" t="n">
        <x:v>498300</x:v>
      </x:c>
      <x:c r="N456" t="n">
        <x:v>1</x:v>
      </x:c>
      <x:c r="O456" t="n">
        <x:v>0</x:v>
      </x:c>
      <x:c r="P456" t="n">
        <x:v>6</x:v>
      </x:c>
    </x:row>
    <x:row r="457">
      <x:c r="A457" t="str">
        <x:v>2025-06</x:v>
      </x:c>
      <x:c r="B457" t="str">
        <x:v>USR-00013</x:v>
      </x:c>
      <x:c r="C457" t="str">
        <x:v>Cero</x:v>
      </x:c>
      <x:c r="D457" t="str">
        <x:v>Gratuita</x:v>
      </x:c>
      <x:c r="E457" t="str">
        <x:v>Barranquilla</x:v>
      </x:c>
      <x:c r="F457" t="str">
        <x:v>Atlántico</x:v>
      </x:c>
      <x:c r="G457" t="n">
        <x:v>48</x:v>
      </x:c>
      <x:c r="H457" t="str">
        <x:v>Entre $1,5 M y $3 M</x:v>
      </x:c>
      <x:c r="I457" t="str">
        <x:v>Búsqueda paga</x:v>
      </x:c>
      <x:c r="J457" t="n">
        <x:v>2</x:v>
      </x:c>
      <x:c r="K457" t="n">
        <x:v>0</x:v>
      </x:c>
      <x:c r="L457" t="n">
        <x:v>47980655.94</x:v>
      </x:c>
      <x:c r="M457" t="n">
        <x:v>508700</x:v>
      </x:c>
      <x:c r="N457" t="n">
        <x:v>1</x:v>
      </x:c>
      <x:c r="O457" t="n">
        <x:v>0</x:v>
      </x:c>
      <x:c r="P457" t="n">
        <x:v>6</x:v>
      </x:c>
    </x:row>
    <x:row r="458">
      <x:c r="A458" t="str">
        <x:v>2025-06</x:v>
      </x:c>
      <x:c r="B458" t="str">
        <x:v>USR-00014</x:v>
      </x:c>
      <x:c r="C458" t="str">
        <x:v>Cero</x:v>
      </x:c>
      <x:c r="D458" t="str">
        <x:v>Gratuita</x:v>
      </x:c>
      <x:c r="E458" t="str">
        <x:v>Bucaramanga</x:v>
      </x:c>
      <x:c r="F458" t="str">
        <x:v>Santander</x:v>
      </x:c>
      <x:c r="G458" t="n">
        <x:v>37</x:v>
      </x:c>
      <x:c r="H458" t="str">
        <x:v>Entre $1,5 M y $3 M</x:v>
      </x:c>
      <x:c r="I458" t="str">
        <x:v>Redes sociales</x:v>
      </x:c>
      <x:c r="J458" t="n">
        <x:v>2</x:v>
      </x:c>
      <x:c r="K458" t="n">
        <x:v>0</x:v>
      </x:c>
      <x:c r="L458" t="n">
        <x:v>7574987.08</x:v>
      </x:c>
      <x:c r="M458" t="n">
        <x:v>220300</x:v>
      </x:c>
      <x:c r="N458" t="n">
        <x:v>1</x:v>
      </x:c>
      <x:c r="O458" t="n">
        <x:v>0</x:v>
      </x:c>
      <x:c r="P458" t="n">
        <x:v>6</x:v>
      </x:c>
    </x:row>
    <x:row r="459">
      <x:c r="A459" t="str">
        <x:v>2025-06</x:v>
      </x:c>
      <x:c r="B459" t="str">
        <x:v>USR-00015</x:v>
      </x:c>
      <x:c r="C459" t="str">
        <x:v>Cero</x:v>
      </x:c>
      <x:c r="D459" t="str">
        <x:v>Gratuita</x:v>
      </x:c>
      <x:c r="E459" t="str">
        <x:v>Barranquilla</x:v>
      </x:c>
      <x:c r="F459" t="str">
        <x:v>Atlántico</x:v>
      </x:c>
      <x:c r="G459" t="n">
        <x:v>58</x:v>
      </x:c>
      <x:c r="H459" t="str">
        <x:v>Menos de $1,5 M</x:v>
      </x:c>
      <x:c r="I459" t="str">
        <x:v>Contenido educativo</x:v>
      </x:c>
      <x:c r="J459" t="n">
        <x:v>2</x:v>
      </x:c>
      <x:c r="K459" t="n">
        <x:v>0</x:v>
      </x:c>
      <x:c r="L459" t="n">
        <x:v>18958817.77</x:v>
      </x:c>
      <x:c r="M459" t="n">
        <x:v>1219600</x:v>
      </x:c>
      <x:c r="N459" t="n">
        <x:v>1</x:v>
      </x:c>
      <x:c r="O459" t="n">
        <x:v>0</x:v>
      </x:c>
      <x:c r="P459" t="n">
        <x:v>6</x:v>
      </x:c>
    </x:row>
    <x:row r="460">
      <x:c r="A460" t="str">
        <x:v>2025-06</x:v>
      </x:c>
      <x:c r="B460" t="str">
        <x:v>USR-00016</x:v>
      </x:c>
      <x:c r="C460" t="str">
        <x:v>Cero</x:v>
      </x:c>
      <x:c r="D460" t="str">
        <x:v>Gratuita</x:v>
      </x:c>
      <x:c r="E460" t="str">
        <x:v>Bogotá</x:v>
      </x:c>
      <x:c r="F460" t="str">
        <x:v>Bogotá D.C.</x:v>
      </x:c>
      <x:c r="G460" t="n">
        <x:v>38</x:v>
      </x:c>
      <x:c r="H460" t="str">
        <x:v>Menos de $1,5 M</x:v>
      </x:c>
      <x:c r="I460" t="str">
        <x:v>Búsqueda paga</x:v>
      </x:c>
      <x:c r="J460" t="n">
        <x:v>1</x:v>
      </x:c>
      <x:c r="K460" t="n">
        <x:v>0</x:v>
      </x:c>
      <x:c r="L460" t="n">
        <x:v>3824871.59</x:v>
      </x:c>
      <x:c r="M460" t="n">
        <x:v>179400</x:v>
      </x:c>
      <x:c r="N460" t="n">
        <x:v>1</x:v>
      </x:c>
      <x:c r="O460" t="n">
        <x:v>0</x:v>
      </x:c>
      <x:c r="P460" t="n">
        <x:v>6</x:v>
      </x:c>
    </x:row>
    <x:row r="461">
      <x:c r="A461" t="str">
        <x:v>2025-06</x:v>
      </x:c>
      <x:c r="B461" t="str">
        <x:v>USR-00017</x:v>
      </x:c>
      <x:c r="C461" t="str">
        <x:v>Plus anual</x:v>
      </x:c>
      <x:c r="D461" t="str">
        <x:v>Pago</x:v>
      </x:c>
      <x:c r="E461" t="str">
        <x:v>Bogotá</x:v>
      </x:c>
      <x:c r="F461" t="str">
        <x:v>Bogotá D.C.</x:v>
      </x:c>
      <x:c r="G461" t="n">
        <x:v>35</x:v>
      </x:c>
      <x:c r="H461" t="str">
        <x:v>Entre $1,5 M y $3 M</x:v>
      </x:c>
      <x:c r="I461" t="str">
        <x:v>Orgánico</x:v>
      </x:c>
      <x:c r="J461" t="n">
        <x:v>1</x:v>
      </x:c>
      <x:c r="K461" t="n">
        <x:v>0</x:v>
      </x:c>
      <x:c r="L461" t="n">
        <x:v>2339172.41</x:v>
      </x:c>
      <x:c r="M461" t="n">
        <x:v>0</x:v>
      </x:c>
      <x:c r="N461" t="n">
        <x:v>0</x:v>
      </x:c>
      <x:c r="O461" t="n">
        <x:v>24916.67</x:v>
      </x:c>
      <x:c r="P461" t="n">
        <x:v>6</x:v>
      </x:c>
    </x:row>
    <x:row r="462">
      <x:c r="A462" t="str">
        <x:v>2025-06</x:v>
      </x:c>
      <x:c r="B462" t="str">
        <x:v>USR-00018</x:v>
      </x:c>
      <x:c r="C462" t="str">
        <x:v>Plus mensual</x:v>
      </x:c>
      <x:c r="D462" t="str">
        <x:v>Pago</x:v>
      </x:c>
      <x:c r="E462" t="str">
        <x:v>Bogotá</x:v>
      </x:c>
      <x:c r="F462" t="str">
        <x:v>Bogotá D.C.</x:v>
      </x:c>
      <x:c r="G462" t="n">
        <x:v>44</x:v>
      </x:c>
      <x:c r="H462" t="str">
        <x:v>Entre $1,5 M y $3 M</x:v>
      </x:c>
      <x:c r="I462" t="str">
        <x:v>Referidos</x:v>
      </x:c>
      <x:c r="J462" t="n">
        <x:v>1</x:v>
      </x:c>
      <x:c r="K462" t="n">
        <x:v>0</x:v>
      </x:c>
      <x:c r="L462" t="n">
        <x:v>8131549.02</x:v>
      </x:c>
      <x:c r="M462" t="n">
        <x:v>409600</x:v>
      </x:c>
      <x:c r="N462" t="n">
        <x:v>1</x:v>
      </x:c>
      <x:c r="O462" t="n">
        <x:v>29900</x:v>
      </x:c>
      <x:c r="P462" t="n">
        <x:v>6</x:v>
      </x:c>
    </x:row>
    <x:row r="463">
      <x:c r="A463" t="str">
        <x:v>2025-06</x:v>
      </x:c>
      <x:c r="B463" t="str">
        <x:v>USR-00019</x:v>
      </x:c>
      <x:c r="C463" t="str">
        <x:v>Plus mensual</x:v>
      </x:c>
      <x:c r="D463" t="str">
        <x:v>Pago</x:v>
      </x:c>
      <x:c r="E463" t="str">
        <x:v>Bogotá</x:v>
      </x:c>
      <x:c r="F463" t="str">
        <x:v>Bogotá D.C.</x:v>
      </x:c>
      <x:c r="G463" t="n">
        <x:v>60</x:v>
      </x:c>
      <x:c r="H463" t="str">
        <x:v>Entre $3 M y $5 M</x:v>
      </x:c>
      <x:c r="I463" t="str">
        <x:v>Redes sociales</x:v>
      </x:c>
      <x:c r="J463" t="n">
        <x:v>3</x:v>
      </x:c>
      <x:c r="K463" t="n">
        <x:v>0</x:v>
      </x:c>
      <x:c r="L463" t="n">
        <x:v>32963098.09</x:v>
      </x:c>
      <x:c r="M463" t="n">
        <x:v>1736000</x:v>
      </x:c>
      <x:c r="N463" t="n">
        <x:v>3</x:v>
      </x:c>
      <x:c r="O463" t="n">
        <x:v>29900</x:v>
      </x:c>
      <x:c r="P463" t="n">
        <x:v>6</x:v>
      </x:c>
    </x:row>
    <x:row r="464">
      <x:c r="A464" t="str">
        <x:v>2025-06</x:v>
      </x:c>
      <x:c r="B464" t="str">
        <x:v>USR-00020</x:v>
      </x:c>
      <x:c r="C464" t="str">
        <x:v>Cero</x:v>
      </x:c>
      <x:c r="D464" t="str">
        <x:v>Gratuita</x:v>
      </x:c>
      <x:c r="E464" t="str">
        <x:v>Bogotá</x:v>
      </x:c>
      <x:c r="F464" t="str">
        <x:v>Bogotá D.C.</x:v>
      </x:c>
      <x:c r="G464" t="n">
        <x:v>50</x:v>
      </x:c>
      <x:c r="H464" t="str">
        <x:v>Entre $1,5 M y $3 M</x:v>
      </x:c>
      <x:c r="I464" t="str">
        <x:v>Alianzas</x:v>
      </x:c>
      <x:c r="J464" t="n">
        <x:v>1</x:v>
      </x:c>
      <x:c r="K464" t="n">
        <x:v>0</x:v>
      </x:c>
      <x:c r="L464" t="n">
        <x:v>5827793.16</x:v>
      </x:c>
      <x:c r="M464" t="n">
        <x:v>0</x:v>
      </x:c>
      <x:c r="N464" t="n">
        <x:v>0</x:v>
      </x:c>
      <x:c r="O464" t="n">
        <x:v>0</x:v>
      </x:c>
      <x:c r="P464" t="n">
        <x:v>6</x:v>
      </x:c>
    </x:row>
    <x:row r="465">
      <x:c r="A465" t="str">
        <x:v>2025-06</x:v>
      </x:c>
      <x:c r="B465" t="str">
        <x:v>USR-00021</x:v>
      </x:c>
      <x:c r="C465" t="str">
        <x:v>Cero</x:v>
      </x:c>
      <x:c r="D465" t="str">
        <x:v>Gratuita</x:v>
      </x:c>
      <x:c r="E465" t="str">
        <x:v>Cali</x:v>
      </x:c>
      <x:c r="F465" t="str">
        <x:v>Valle del Cauca</x:v>
      </x:c>
      <x:c r="G465" t="n">
        <x:v>51</x:v>
      </x:c>
      <x:c r="H465" t="str">
        <x:v>Menos de $1,5 M</x:v>
      </x:c>
      <x:c r="I465" t="str">
        <x:v>Redes sociales</x:v>
      </x:c>
      <x:c r="J465" t="n">
        <x:v>1</x:v>
      </x:c>
      <x:c r="K465" t="n">
        <x:v>0</x:v>
      </x:c>
      <x:c r="L465" t="n">
        <x:v>22398504.2</x:v>
      </x:c>
      <x:c r="M465" t="n">
        <x:v>2042200</x:v>
      </x:c>
      <x:c r="N465" t="n">
        <x:v>1</x:v>
      </x:c>
      <x:c r="O465" t="n">
        <x:v>0</x:v>
      </x:c>
      <x:c r="P465" t="n">
        <x:v>6</x:v>
      </x:c>
    </x:row>
    <x:row r="466">
      <x:c r="A466" t="str">
        <x:v>2025-06</x:v>
      </x:c>
      <x:c r="B466" t="str">
        <x:v>USR-00022</x:v>
      </x:c>
      <x:c r="C466" t="str">
        <x:v>Cero</x:v>
      </x:c>
      <x:c r="D466" t="str">
        <x:v>Gratuita</x:v>
      </x:c>
      <x:c r="E466" t="str">
        <x:v>Bogotá</x:v>
      </x:c>
      <x:c r="F466" t="str">
        <x:v>Bogotá D.C.</x:v>
      </x:c>
      <x:c r="G466" t="n">
        <x:v>36</x:v>
      </x:c>
      <x:c r="H466" t="str">
        <x:v>Entre $3 M y $5 M</x:v>
      </x:c>
      <x:c r="I466" t="str">
        <x:v>Orgánico</x:v>
      </x:c>
      <x:c r="J466" t="n">
        <x:v>2</x:v>
      </x:c>
      <x:c r="K466" t="n">
        <x:v>0</x:v>
      </x:c>
      <x:c r="L466" t="n">
        <x:v>17242179.48</x:v>
      </x:c>
      <x:c r="M466" t="n">
        <x:v>1262100</x:v>
      </x:c>
      <x:c r="N466" t="n">
        <x:v>2</x:v>
      </x:c>
      <x:c r="O466" t="n">
        <x:v>0</x:v>
      </x:c>
      <x:c r="P466" t="n">
        <x:v>6</x:v>
      </x:c>
    </x:row>
    <x:row r="467">
      <x:c r="A467" t="str">
        <x:v>2025-06</x:v>
      </x:c>
      <x:c r="B467" t="str">
        <x:v>USR-00023</x:v>
      </x:c>
      <x:c r="C467" t="str">
        <x:v>Cero</x:v>
      </x:c>
      <x:c r="D467" t="str">
        <x:v>Gratuita</x:v>
      </x:c>
      <x:c r="E467" t="str">
        <x:v>Bogotá</x:v>
      </x:c>
      <x:c r="F467" t="str">
        <x:v>Bogotá D.C.</x:v>
      </x:c>
      <x:c r="G467" t="n">
        <x:v>24</x:v>
      </x:c>
      <x:c r="H467" t="str">
        <x:v>Menos de $1,5 M</x:v>
      </x:c>
      <x:c r="I467" t="str">
        <x:v>Alianzas</x:v>
      </x:c>
      <x:c r="J467" t="n">
        <x:v>1</x:v>
      </x:c>
      <x:c r="K467" t="n">
        <x:v>0</x:v>
      </x:c>
      <x:c r="L467" t="n">
        <x:v>5768677.84</x:v>
      </x:c>
      <x:c r="M467" t="n">
        <x:v>110800</x:v>
      </x:c>
      <x:c r="N467" t="n">
        <x:v>1</x:v>
      </x:c>
      <x:c r="O467" t="n">
        <x:v>0</x:v>
      </x:c>
      <x:c r="P467" t="n">
        <x:v>6</x:v>
      </x:c>
    </x:row>
    <x:row r="468">
      <x:c r="A468" t="str">
        <x:v>2025-06</x:v>
      </x:c>
      <x:c r="B468" t="str">
        <x:v>USR-00024</x:v>
      </x:c>
      <x:c r="C468" t="str">
        <x:v>Cero</x:v>
      </x:c>
      <x:c r="D468" t="str">
        <x:v>Gratuita</x:v>
      </x:c>
      <x:c r="E468" t="str">
        <x:v>Bogotá</x:v>
      </x:c>
      <x:c r="F468" t="str">
        <x:v>Bogotá D.C.</x:v>
      </x:c>
      <x:c r="G468" t="n">
        <x:v>59</x:v>
      </x:c>
      <x:c r="H468" t="str">
        <x:v>Menos de $1,5 M</x:v>
      </x:c>
      <x:c r="I468" t="str">
        <x:v>Orgánico</x:v>
      </x:c>
      <x:c r="J468" t="n">
        <x:v>2</x:v>
      </x:c>
      <x:c r="K468" t="n">
        <x:v>0</x:v>
      </x:c>
      <x:c r="L468" t="n">
        <x:v>54272285.3</x:v>
      </x:c>
      <x:c r="M468" t="n">
        <x:v>1953800</x:v>
      </x:c>
      <x:c r="N468" t="n">
        <x:v>2</x:v>
      </x:c>
      <x:c r="O468" t="n">
        <x:v>0</x:v>
      </x:c>
      <x:c r="P468" t="n">
        <x:v>6</x:v>
      </x:c>
    </x:row>
    <x:row r="469">
      <x:c r="A469" t="str">
        <x:v>2025-06</x:v>
      </x:c>
      <x:c r="B469" t="str">
        <x:v>USR-00025</x:v>
      </x:c>
      <x:c r="C469" t="str">
        <x:v>Plus anual</x:v>
      </x:c>
      <x:c r="D469" t="str">
        <x:v>Pago</x:v>
      </x:c>
      <x:c r="E469" t="str">
        <x:v>Pereira</x:v>
      </x:c>
      <x:c r="F469" t="str">
        <x:v>Risaralda</x:v>
      </x:c>
      <x:c r="G469" t="n">
        <x:v>57</x:v>
      </x:c>
      <x:c r="H469" t="str">
        <x:v>Entre $1,5 M y $3 M</x:v>
      </x:c>
      <x:c r="I469" t="str">
        <x:v>Orgánico</x:v>
      </x:c>
      <x:c r="J469" t="n">
        <x:v>2</x:v>
      </x:c>
      <x:c r="K469" t="n">
        <x:v>0</x:v>
      </x:c>
      <x:c r="L469" t="n">
        <x:v>10967426.36</x:v>
      </x:c>
      <x:c r="M469" t="n">
        <x:v>432700</x:v>
      </x:c>
      <x:c r="N469" t="n">
        <x:v>1</x:v>
      </x:c>
      <x:c r="O469" t="n">
        <x:v>24916.67</x:v>
      </x:c>
      <x:c r="P469" t="n">
        <x:v>6</x:v>
      </x:c>
    </x:row>
    <x:row r="470">
      <x:c r="A470" t="str">
        <x:v>2025-06</x:v>
      </x:c>
      <x:c r="B470" t="str">
        <x:v>USR-00026</x:v>
      </x:c>
      <x:c r="C470" t="str">
        <x:v>Plus mensual</x:v>
      </x:c>
      <x:c r="D470" t="str">
        <x:v>Pago</x:v>
      </x:c>
      <x:c r="E470" t="str">
        <x:v>Bogotá</x:v>
      </x:c>
      <x:c r="F470" t="str">
        <x:v>Bogotá D.C.</x:v>
      </x:c>
      <x:c r="G470" t="n">
        <x:v>57</x:v>
      </x:c>
      <x:c r="H470" t="str">
        <x:v>Entre $3 M y $5 M</x:v>
      </x:c>
      <x:c r="I470" t="str">
        <x:v>Redes sociales</x:v>
      </x:c>
      <x:c r="J470" t="n">
        <x:v>1</x:v>
      </x:c>
      <x:c r="K470" t="n">
        <x:v>0</x:v>
      </x:c>
      <x:c r="L470" t="n">
        <x:v>5247286.83</x:v>
      </x:c>
      <x:c r="M470" t="n">
        <x:v>0</x:v>
      </x:c>
      <x:c r="N470" t="n">
        <x:v>0</x:v>
      </x:c>
      <x:c r="O470" t="n">
        <x:v>29900</x:v>
      </x:c>
      <x:c r="P470" t="n">
        <x:v>6</x:v>
      </x:c>
    </x:row>
    <x:row r="471">
      <x:c r="A471" t="str">
        <x:v>2025-06</x:v>
      </x:c>
      <x:c r="B471" t="str">
        <x:v>USR-00028</x:v>
      </x:c>
      <x:c r="C471" t="str">
        <x:v>Cero</x:v>
      </x:c>
      <x:c r="D471" t="str">
        <x:v>Gratuita</x:v>
      </x:c>
      <x:c r="E471" t="str">
        <x:v>Cali</x:v>
      </x:c>
      <x:c r="F471" t="str">
        <x:v>Valle del Cauca</x:v>
      </x:c>
      <x:c r="G471" t="n">
        <x:v>40</x:v>
      </x:c>
      <x:c r="H471" t="str">
        <x:v>Entre $1,5 M y $3 M</x:v>
      </x:c>
      <x:c r="I471" t="str">
        <x:v>Referidos</x:v>
      </x:c>
      <x:c r="J471" t="n">
        <x:v>2</x:v>
      </x:c>
      <x:c r="K471" t="n">
        <x:v>0</x:v>
      </x:c>
      <x:c r="L471" t="n">
        <x:v>19011012.85</x:v>
      </x:c>
      <x:c r="M471" t="n">
        <x:v>769500</x:v>
      </x:c>
      <x:c r="N471" t="n">
        <x:v>2</x:v>
      </x:c>
      <x:c r="O471" t="n">
        <x:v>0</x:v>
      </x:c>
      <x:c r="P471" t="n">
        <x:v>6</x:v>
      </x:c>
    </x:row>
    <x:row r="472">
      <x:c r="A472" t="str">
        <x:v>2025-06</x:v>
      </x:c>
      <x:c r="B472" t="str">
        <x:v>USR-00029</x:v>
      </x:c>
      <x:c r="C472" t="str">
        <x:v>Plus mensual</x:v>
      </x:c>
      <x:c r="D472" t="str">
        <x:v>Pago</x:v>
      </x:c>
      <x:c r="E472" t="str">
        <x:v>Manizales</x:v>
      </x:c>
      <x:c r="F472" t="str">
        <x:v>Caldas</x:v>
      </x:c>
      <x:c r="G472" t="n">
        <x:v>36</x:v>
      </x:c>
      <x:c r="H472" t="str">
        <x:v>Entre $1,5 M y $3 M</x:v>
      </x:c>
      <x:c r="I472" t="str">
        <x:v>Orgánico</x:v>
      </x:c>
      <x:c r="J472" t="n">
        <x:v>2</x:v>
      </x:c>
      <x:c r="K472" t="n">
        <x:v>0</x:v>
      </x:c>
      <x:c r="L472" t="n">
        <x:v>7165041.45</x:v>
      </x:c>
      <x:c r="M472" t="n">
        <x:v>258700</x:v>
      </x:c>
      <x:c r="N472" t="n">
        <x:v>2</x:v>
      </x:c>
      <x:c r="O472" t="n">
        <x:v>29900</x:v>
      </x:c>
      <x:c r="P472" t="n">
        <x:v>6</x:v>
      </x:c>
    </x:row>
    <x:row r="473">
      <x:c r="A473" t="str">
        <x:v>2025-06</x:v>
      </x:c>
      <x:c r="B473" t="str">
        <x:v>USR-00030</x:v>
      </x:c>
      <x:c r="C473" t="str">
        <x:v>Cero</x:v>
      </x:c>
      <x:c r="D473" t="str">
        <x:v>Gratuita</x:v>
      </x:c>
      <x:c r="E473" t="str">
        <x:v>Bogotá</x:v>
      </x:c>
      <x:c r="F473" t="str">
        <x:v>Bogotá D.C.</x:v>
      </x:c>
      <x:c r="G473" t="n">
        <x:v>41</x:v>
      </x:c>
      <x:c r="H473" t="str">
        <x:v>Entre $1,5 M y $3 M</x:v>
      </x:c>
      <x:c r="I473" t="str">
        <x:v>Alianzas</x:v>
      </x:c>
      <x:c r="J473" t="n">
        <x:v>1</x:v>
      </x:c>
      <x:c r="K473" t="n">
        <x:v>0</x:v>
      </x:c>
      <x:c r="L473" t="n">
        <x:v>5008816.69</x:v>
      </x:c>
      <x:c r="M473" t="n">
        <x:v>408100</x:v>
      </x:c>
      <x:c r="N473" t="n">
        <x:v>1</x:v>
      </x:c>
      <x:c r="O473" t="n">
        <x:v>0</x:v>
      </x:c>
      <x:c r="P473" t="n">
        <x:v>6</x:v>
      </x:c>
    </x:row>
    <x:row r="474">
      <x:c r="A474" t="str">
        <x:v>2025-06</x:v>
      </x:c>
      <x:c r="B474" t="str">
        <x:v>USR-00031</x:v>
      </x:c>
      <x:c r="C474" t="str">
        <x:v>Cero</x:v>
      </x:c>
      <x:c r="D474" t="str">
        <x:v>Gratuita</x:v>
      </x:c>
      <x:c r="E474" t="str">
        <x:v>Bucaramanga</x:v>
      </x:c>
      <x:c r="F474" t="str">
        <x:v>Santander</x:v>
      </x:c>
      <x:c r="G474" t="n">
        <x:v>63</x:v>
      </x:c>
      <x:c r="H474" t="str">
        <x:v>Entre $1,5 M y $3 M</x:v>
      </x:c>
      <x:c r="I474" t="str">
        <x:v>Redes sociales</x:v>
      </x:c>
      <x:c r="J474" t="n">
        <x:v>2</x:v>
      </x:c>
      <x:c r="K474" t="n">
        <x:v>0</x:v>
      </x:c>
      <x:c r="L474" t="n">
        <x:v>38846517.48</x:v>
      </x:c>
      <x:c r="M474" t="n">
        <x:v>0</x:v>
      </x:c>
      <x:c r="N474" t="n">
        <x:v>0</x:v>
      </x:c>
      <x:c r="O474" t="n">
        <x:v>0</x:v>
      </x:c>
      <x:c r="P474" t="n">
        <x:v>6</x:v>
      </x:c>
    </x:row>
    <x:row r="475">
      <x:c r="A475" t="str">
        <x:v>2025-06</x:v>
      </x:c>
      <x:c r="B475" t="str">
        <x:v>USR-00032</x:v>
      </x:c>
      <x:c r="C475" t="str">
        <x:v>Cero</x:v>
      </x:c>
      <x:c r="D475" t="str">
        <x:v>Gratuita</x:v>
      </x:c>
      <x:c r="E475" t="str">
        <x:v>Manizales</x:v>
      </x:c>
      <x:c r="F475" t="str">
        <x:v>Caldas</x:v>
      </x:c>
      <x:c r="G475" t="n">
        <x:v>22</x:v>
      </x:c>
      <x:c r="H475" t="str">
        <x:v>Menos de $1,5 M</x:v>
      </x:c>
      <x:c r="I475" t="str">
        <x:v>Búsqueda paga</x:v>
      </x:c>
      <x:c r="J475" t="n">
        <x:v>2</x:v>
      </x:c>
      <x:c r="K475" t="n">
        <x:v>0</x:v>
      </x:c>
      <x:c r="L475" t="n">
        <x:v>17759129.21</x:v>
      </x:c>
      <x:c r="M475" t="n">
        <x:v>695900</x:v>
      </x:c>
      <x:c r="N475" t="n">
        <x:v>1</x:v>
      </x:c>
      <x:c r="O475" t="n">
        <x:v>0</x:v>
      </x:c>
      <x:c r="P475" t="n">
        <x:v>5</x:v>
      </x:c>
    </x:row>
    <x:row r="476">
      <x:c r="A476" t="str">
        <x:v>2025-06</x:v>
      </x:c>
      <x:c r="B476" t="str">
        <x:v>USR-00033</x:v>
      </x:c>
      <x:c r="C476" t="str">
        <x:v>Cero</x:v>
      </x:c>
      <x:c r="D476" t="str">
        <x:v>Gratuita</x:v>
      </x:c>
      <x:c r="E476" t="str">
        <x:v>Medellín</x:v>
      </x:c>
      <x:c r="F476" t="str">
        <x:v>Antioquia</x:v>
      </x:c>
      <x:c r="G476" t="n">
        <x:v>39</x:v>
      </x:c>
      <x:c r="H476" t="str">
        <x:v>Entre $1,5 M y $3 M</x:v>
      </x:c>
      <x:c r="I476" t="str">
        <x:v>Referidos</x:v>
      </x:c>
      <x:c r="J476" t="n">
        <x:v>1</x:v>
      </x:c>
      <x:c r="K476" t="n">
        <x:v>0</x:v>
      </x:c>
      <x:c r="L476" t="n">
        <x:v>2754151.02</x:v>
      </x:c>
      <x:c r="M476" t="n">
        <x:v>358100</x:v>
      </x:c>
      <x:c r="N476" t="n">
        <x:v>1</x:v>
      </x:c>
      <x:c r="O476" t="n">
        <x:v>0</x:v>
      </x:c>
      <x:c r="P476" t="n">
        <x:v>5</x:v>
      </x:c>
    </x:row>
    <x:row r="477">
      <x:c r="A477" t="str">
        <x:v>2025-06</x:v>
      </x:c>
      <x:c r="B477" t="str">
        <x:v>USR-00034</x:v>
      </x:c>
      <x:c r="C477" t="str">
        <x:v>Cero</x:v>
      </x:c>
      <x:c r="D477" t="str">
        <x:v>Gratuita</x:v>
      </x:c>
      <x:c r="E477" t="str">
        <x:v>Bogotá</x:v>
      </x:c>
      <x:c r="F477" t="str">
        <x:v>Bogotá D.C.</x:v>
      </x:c>
      <x:c r="G477" t="n">
        <x:v>59</x:v>
      </x:c>
      <x:c r="H477" t="str">
        <x:v>Entre $3 M y $5 M</x:v>
      </x:c>
      <x:c r="I477" t="str">
        <x:v>Referidos</x:v>
      </x:c>
      <x:c r="J477" t="n">
        <x:v>2</x:v>
      </x:c>
      <x:c r="K477" t="n">
        <x:v>0</x:v>
      </x:c>
      <x:c r="L477" t="n">
        <x:v>9253054.05</x:v>
      </x:c>
      <x:c r="M477" t="n">
        <x:v>413100</x:v>
      </x:c>
      <x:c r="N477" t="n">
        <x:v>2</x:v>
      </x:c>
      <x:c r="O477" t="n">
        <x:v>0</x:v>
      </x:c>
      <x:c r="P477" t="n">
        <x:v>5</x:v>
      </x:c>
    </x:row>
    <x:row r="478">
      <x:c r="A478" t="str">
        <x:v>2025-06</x:v>
      </x:c>
      <x:c r="B478" t="str">
        <x:v>USR-00035</x:v>
      </x:c>
      <x:c r="C478" t="str">
        <x:v>Plus mensual</x:v>
      </x:c>
      <x:c r="D478" t="str">
        <x:v>Pago</x:v>
      </x:c>
      <x:c r="E478" t="str">
        <x:v>Bogotá</x:v>
      </x:c>
      <x:c r="F478" t="str">
        <x:v>Bogotá D.C.</x:v>
      </x:c>
      <x:c r="G478" t="n">
        <x:v>46</x:v>
      </x:c>
      <x:c r="H478" t="str">
        <x:v>Entre $1,5 M y $3 M</x:v>
      </x:c>
      <x:c r="I478" t="str">
        <x:v>Contenido educativo</x:v>
      </x:c>
      <x:c r="J478" t="n">
        <x:v>2</x:v>
      </x:c>
      <x:c r="K478" t="n">
        <x:v>0</x:v>
      </x:c>
      <x:c r="L478" t="n">
        <x:v>7138686.36</x:v>
      </x:c>
      <x:c r="M478" t="n">
        <x:v>361000</x:v>
      </x:c>
      <x:c r="N478" t="n">
        <x:v>2</x:v>
      </x:c>
      <x:c r="O478" t="n">
        <x:v>29900</x:v>
      </x:c>
      <x:c r="P478" t="n">
        <x:v>5</x:v>
      </x:c>
    </x:row>
    <x:row r="479">
      <x:c r="A479" t="str">
        <x:v>2025-06</x:v>
      </x:c>
      <x:c r="B479" t="str">
        <x:v>USR-00036</x:v>
      </x:c>
      <x:c r="C479" t="str">
        <x:v>Cero</x:v>
      </x:c>
      <x:c r="D479" t="str">
        <x:v>Gratuita</x:v>
      </x:c>
      <x:c r="E479" t="str">
        <x:v>Medellín</x:v>
      </x:c>
      <x:c r="F479" t="str">
        <x:v>Antioquia</x:v>
      </x:c>
      <x:c r="G479" t="n">
        <x:v>51</x:v>
      </x:c>
      <x:c r="H479" t="str">
        <x:v>Menos de $1,5 M</x:v>
      </x:c>
      <x:c r="I479" t="str">
        <x:v>Redes sociales</x:v>
      </x:c>
      <x:c r="J479" t="n">
        <x:v>2</x:v>
      </x:c>
      <x:c r="K479" t="n">
        <x:v>0</x:v>
      </x:c>
      <x:c r="L479" t="n">
        <x:v>22852510.27</x:v>
      </x:c>
      <x:c r="M479" t="n">
        <x:v>1052000</x:v>
      </x:c>
      <x:c r="N479" t="n">
        <x:v>2</x:v>
      </x:c>
      <x:c r="O479" t="n">
        <x:v>0</x:v>
      </x:c>
      <x:c r="P479" t="n">
        <x:v>5</x:v>
      </x:c>
    </x:row>
    <x:row r="480">
      <x:c r="A480" t="str">
        <x:v>2025-06</x:v>
      </x:c>
      <x:c r="B480" t="str">
        <x:v>USR-00037</x:v>
      </x:c>
      <x:c r="C480" t="str">
        <x:v>Cero</x:v>
      </x:c>
      <x:c r="D480" t="str">
        <x:v>Gratuita</x:v>
      </x:c>
      <x:c r="E480" t="str">
        <x:v>Bogotá</x:v>
      </x:c>
      <x:c r="F480" t="str">
        <x:v>Bogotá D.C.</x:v>
      </x:c>
      <x:c r="G480" t="n">
        <x:v>20</x:v>
      </x:c>
      <x:c r="H480" t="str">
        <x:v>Menos de $1,5 M</x:v>
      </x:c>
      <x:c r="I480" t="str">
        <x:v>Alianzas</x:v>
      </x:c>
      <x:c r="J480" t="n">
        <x:v>2</x:v>
      </x:c>
      <x:c r="K480" t="n">
        <x:v>0</x:v>
      </x:c>
      <x:c r="L480" t="n">
        <x:v>12237474.29</x:v>
      </x:c>
      <x:c r="M480" t="n">
        <x:v>140100</x:v>
      </x:c>
      <x:c r="N480" t="n">
        <x:v>1</x:v>
      </x:c>
      <x:c r="O480" t="n">
        <x:v>0</x:v>
      </x:c>
      <x:c r="P480" t="n">
        <x:v>5</x:v>
      </x:c>
    </x:row>
    <x:row r="481">
      <x:c r="A481" t="str">
        <x:v>2025-06</x:v>
      </x:c>
      <x:c r="B481" t="str">
        <x:v>USR-00038</x:v>
      </x:c>
      <x:c r="C481" t="str">
        <x:v>Plus anual</x:v>
      </x:c>
      <x:c r="D481" t="str">
        <x:v>Pago</x:v>
      </x:c>
      <x:c r="E481" t="str">
        <x:v>Medellín</x:v>
      </x:c>
      <x:c r="F481" t="str">
        <x:v>Antioquia</x:v>
      </x:c>
      <x:c r="G481" t="n">
        <x:v>64</x:v>
      </x:c>
      <x:c r="H481" t="str">
        <x:v>Entre $1,5 M y $3 M</x:v>
      </x:c>
      <x:c r="I481" t="str">
        <x:v>Orgánico</x:v>
      </x:c>
      <x:c r="J481" t="n">
        <x:v>2</x:v>
      </x:c>
      <x:c r="K481" t="n">
        <x:v>0</x:v>
      </x:c>
      <x:c r="L481" t="n">
        <x:v>30335758.09</x:v>
      </x:c>
      <x:c r="M481" t="n">
        <x:v>1170300</x:v>
      </x:c>
      <x:c r="N481" t="n">
        <x:v>2</x:v>
      </x:c>
      <x:c r="O481" t="n">
        <x:v>24916.67</x:v>
      </x:c>
      <x:c r="P481" t="n">
        <x:v>5</x:v>
      </x:c>
    </x:row>
    <x:row r="482">
      <x:c r="A482" t="str">
        <x:v>2025-06</x:v>
      </x:c>
      <x:c r="B482" t="str">
        <x:v>USR-00039</x:v>
      </x:c>
      <x:c r="C482" t="str">
        <x:v>Cero</x:v>
      </x:c>
      <x:c r="D482" t="str">
        <x:v>Gratuita</x:v>
      </x:c>
      <x:c r="E482" t="str">
        <x:v>Bogotá</x:v>
      </x:c>
      <x:c r="F482" t="str">
        <x:v>Bogotá D.C.</x:v>
      </x:c>
      <x:c r="G482" t="n">
        <x:v>56</x:v>
      </x:c>
      <x:c r="H482" t="str">
        <x:v>Entre $3 M y $5 M</x:v>
      </x:c>
      <x:c r="I482" t="str">
        <x:v>Orgánico</x:v>
      </x:c>
      <x:c r="J482" t="n">
        <x:v>2</x:v>
      </x:c>
      <x:c r="K482" t="n">
        <x:v>0</x:v>
      </x:c>
      <x:c r="L482" t="n">
        <x:v>26960240.61</x:v>
      </x:c>
      <x:c r="M482" t="n">
        <x:v>1239600</x:v>
      </x:c>
      <x:c r="N482" t="n">
        <x:v>1</x:v>
      </x:c>
      <x:c r="O482" t="n">
        <x:v>0</x:v>
      </x:c>
      <x:c r="P482" t="n">
        <x:v>5</x:v>
      </x:c>
    </x:row>
    <x:row r="483">
      <x:c r="A483" t="str">
        <x:v>2025-06</x:v>
      </x:c>
      <x:c r="B483" t="str">
        <x:v>USR-00040</x:v>
      </x:c>
      <x:c r="C483" t="str">
        <x:v>Cero</x:v>
      </x:c>
      <x:c r="D483" t="str">
        <x:v>Gratuita</x:v>
      </x:c>
      <x:c r="E483" t="str">
        <x:v>Bucaramanga</x:v>
      </x:c>
      <x:c r="F483" t="str">
        <x:v>Santander</x:v>
      </x:c>
      <x:c r="G483" t="n">
        <x:v>51</x:v>
      </x:c>
      <x:c r="H483" t="str">
        <x:v>Entre $3 M y $5 M</x:v>
      </x:c>
      <x:c r="I483" t="str">
        <x:v>Búsqueda paga</x:v>
      </x:c>
      <x:c r="J483" t="n">
        <x:v>2</x:v>
      </x:c>
      <x:c r="K483" t="n">
        <x:v>0</x:v>
      </x:c>
      <x:c r="L483" t="n">
        <x:v>25218932.87</x:v>
      </x:c>
      <x:c r="M483" t="n">
        <x:v>1416400</x:v>
      </x:c>
      <x:c r="N483" t="n">
        <x:v>2</x:v>
      </x:c>
      <x:c r="O483" t="n">
        <x:v>0</x:v>
      </x:c>
      <x:c r="P483" t="n">
        <x:v>5</x:v>
      </x:c>
    </x:row>
    <x:row r="484">
      <x:c r="A484" t="str">
        <x:v>2025-06</x:v>
      </x:c>
      <x:c r="B484" t="str">
        <x:v>USR-00041</x:v>
      </x:c>
      <x:c r="C484" t="str">
        <x:v>Cero</x:v>
      </x:c>
      <x:c r="D484" t="str">
        <x:v>Gratuita</x:v>
      </x:c>
      <x:c r="E484" t="str">
        <x:v>Bogotá</x:v>
      </x:c>
      <x:c r="F484" t="str">
        <x:v>Bogotá D.C.</x:v>
      </x:c>
      <x:c r="G484" t="n">
        <x:v>36</x:v>
      </x:c>
      <x:c r="H484" t="str">
        <x:v>Entre $1,5 M y $3 M</x:v>
      </x:c>
      <x:c r="I484" t="str">
        <x:v>Orgánico</x:v>
      </x:c>
      <x:c r="J484" t="n">
        <x:v>1</x:v>
      </x:c>
      <x:c r="K484" t="n">
        <x:v>0</x:v>
      </x:c>
      <x:c r="L484" t="n">
        <x:v>14422529.3</x:v>
      </x:c>
      <x:c r="M484" t="n">
        <x:v>1207800</x:v>
      </x:c>
      <x:c r="N484" t="n">
        <x:v>1</x:v>
      </x:c>
      <x:c r="O484" t="n">
        <x:v>0</x:v>
      </x:c>
      <x:c r="P484" t="n">
        <x:v>5</x:v>
      </x:c>
    </x:row>
    <x:row r="485">
      <x:c r="A485" t="str">
        <x:v>2025-06</x:v>
      </x:c>
      <x:c r="B485" t="str">
        <x:v>USR-00042</x:v>
      </x:c>
      <x:c r="C485" t="str">
        <x:v>Cero</x:v>
      </x:c>
      <x:c r="D485" t="str">
        <x:v>Gratuita</x:v>
      </x:c>
      <x:c r="E485" t="str">
        <x:v>Bogotá</x:v>
      </x:c>
      <x:c r="F485" t="str">
        <x:v>Bogotá D.C.</x:v>
      </x:c>
      <x:c r="G485" t="n">
        <x:v>55</x:v>
      </x:c>
      <x:c r="H485" t="str">
        <x:v>Menos de $1,5 M</x:v>
      </x:c>
      <x:c r="I485" t="str">
        <x:v>Redes sociales</x:v>
      </x:c>
      <x:c r="J485" t="n">
        <x:v>2</x:v>
      </x:c>
      <x:c r="K485" t="n">
        <x:v>0</x:v>
      </x:c>
      <x:c r="L485" t="n">
        <x:v>8784896.97</x:v>
      </x:c>
      <x:c r="M485" t="n">
        <x:v>346400</x:v>
      </x:c>
      <x:c r="N485" t="n">
        <x:v>2</x:v>
      </x:c>
      <x:c r="O485" t="n">
        <x:v>0</x:v>
      </x:c>
      <x:c r="P485" t="n">
        <x:v>5</x:v>
      </x:c>
    </x:row>
    <x:row r="486">
      <x:c r="A486" t="str">
        <x:v>2025-06</x:v>
      </x:c>
      <x:c r="B486" t="str">
        <x:v>USR-00043</x:v>
      </x:c>
      <x:c r="C486" t="str">
        <x:v>Cero</x:v>
      </x:c>
      <x:c r="D486" t="str">
        <x:v>Gratuita</x:v>
      </x:c>
      <x:c r="E486" t="str">
        <x:v>Cali</x:v>
      </x:c>
      <x:c r="F486" t="str">
        <x:v>Valle del Cauca</x:v>
      </x:c>
      <x:c r="G486" t="n">
        <x:v>23</x:v>
      </x:c>
      <x:c r="H486" t="str">
        <x:v>Entre $3 M y $5 M</x:v>
      </x:c>
      <x:c r="I486" t="str">
        <x:v>Contenido educativo</x:v>
      </x:c>
      <x:c r="J486" t="n">
        <x:v>2</x:v>
      </x:c>
      <x:c r="K486" t="n">
        <x:v>0</x:v>
      </x:c>
      <x:c r="L486" t="n">
        <x:v>26381334.44</x:v>
      </x:c>
      <x:c r="M486" t="n">
        <x:v>92800</x:v>
      </x:c>
      <x:c r="N486" t="n">
        <x:v>1</x:v>
      </x:c>
      <x:c r="O486" t="n">
        <x:v>0</x:v>
      </x:c>
      <x:c r="P486" t="n">
        <x:v>5</x:v>
      </x:c>
    </x:row>
    <x:row r="487">
      <x:c r="A487" t="str">
        <x:v>2025-06</x:v>
      </x:c>
      <x:c r="B487" t="str">
        <x:v>USR-00044</x:v>
      </x:c>
      <x:c r="C487" t="str">
        <x:v>Cero</x:v>
      </x:c>
      <x:c r="D487" t="str">
        <x:v>Gratuita</x:v>
      </x:c>
      <x:c r="E487" t="str">
        <x:v>Barranquilla</x:v>
      </x:c>
      <x:c r="F487" t="str">
        <x:v>Atlántico</x:v>
      </x:c>
      <x:c r="G487" t="n">
        <x:v>62</x:v>
      </x:c>
      <x:c r="H487" t="str">
        <x:v>Más de $5 M</x:v>
      </x:c>
      <x:c r="I487" t="str">
        <x:v>Referidos</x:v>
      </x:c>
      <x:c r="J487" t="n">
        <x:v>2</x:v>
      </x:c>
      <x:c r="K487" t="n">
        <x:v>0</x:v>
      </x:c>
      <x:c r="L487" t="n">
        <x:v>31835025.81</x:v>
      </x:c>
      <x:c r="M487" t="n">
        <x:v>375600</x:v>
      </x:c>
      <x:c r="N487" t="n">
        <x:v>1</x:v>
      </x:c>
      <x:c r="O487" t="n">
        <x:v>0</x:v>
      </x:c>
      <x:c r="P487" t="n">
        <x:v>5</x:v>
      </x:c>
    </x:row>
    <x:row r="488">
      <x:c r="A488" t="str">
        <x:v>2025-06</x:v>
      </x:c>
      <x:c r="B488" t="str">
        <x:v>USR-00045</x:v>
      </x:c>
      <x:c r="C488" t="str">
        <x:v>Cero</x:v>
      </x:c>
      <x:c r="D488" t="str">
        <x:v>Gratuita</x:v>
      </x:c>
      <x:c r="E488" t="str">
        <x:v>Bogotá</x:v>
      </x:c>
      <x:c r="F488" t="str">
        <x:v>Bogotá D.C.</x:v>
      </x:c>
      <x:c r="G488" t="n">
        <x:v>39</x:v>
      </x:c>
      <x:c r="H488" t="str">
        <x:v>Entre $3 M y $5 M</x:v>
      </x:c>
      <x:c r="I488" t="str">
        <x:v>Orgánico</x:v>
      </x:c>
      <x:c r="J488" t="n">
        <x:v>1</x:v>
      </x:c>
      <x:c r="K488" t="n">
        <x:v>0</x:v>
      </x:c>
      <x:c r="L488" t="n">
        <x:v>9291657.03</x:v>
      </x:c>
      <x:c r="M488" t="n">
        <x:v>0</x:v>
      </x:c>
      <x:c r="N488" t="n">
        <x:v>0</x:v>
      </x:c>
      <x:c r="O488" t="n">
        <x:v>0</x:v>
      </x:c>
      <x:c r="P488" t="n">
        <x:v>5</x:v>
      </x:c>
    </x:row>
    <x:row r="489">
      <x:c r="A489" t="str">
        <x:v>2025-06</x:v>
      </x:c>
      <x:c r="B489" t="str">
        <x:v>USR-00046</x:v>
      </x:c>
      <x:c r="C489" t="str">
        <x:v>Cero</x:v>
      </x:c>
      <x:c r="D489" t="str">
        <x:v>Gratuita</x:v>
      </x:c>
      <x:c r="E489" t="str">
        <x:v>Bucaramanga</x:v>
      </x:c>
      <x:c r="F489" t="str">
        <x:v>Santander</x:v>
      </x:c>
      <x:c r="G489" t="n">
        <x:v>46</x:v>
      </x:c>
      <x:c r="H489" t="str">
        <x:v>Más de $5 M</x:v>
      </x:c>
      <x:c r="I489" t="str">
        <x:v>Orgánico</x:v>
      </x:c>
      <x:c r="J489" t="n">
        <x:v>1</x:v>
      </x:c>
      <x:c r="K489" t="n">
        <x:v>0</x:v>
      </x:c>
      <x:c r="L489" t="n">
        <x:v>6815044.16</x:v>
      </x:c>
      <x:c r="M489" t="n">
        <x:v>341000</x:v>
      </x:c>
      <x:c r="N489" t="n">
        <x:v>1</x:v>
      </x:c>
      <x:c r="O489" t="n">
        <x:v>0</x:v>
      </x:c>
      <x:c r="P489" t="n">
        <x:v>5</x:v>
      </x:c>
    </x:row>
    <x:row r="490">
      <x:c r="A490" t="str">
        <x:v>2025-06</x:v>
      </x:c>
      <x:c r="B490" t="str">
        <x:v>USR-00047</x:v>
      </x:c>
      <x:c r="C490" t="str">
        <x:v>Cero</x:v>
      </x:c>
      <x:c r="D490" t="str">
        <x:v>Gratuita</x:v>
      </x:c>
      <x:c r="E490" t="str">
        <x:v>Bogotá</x:v>
      </x:c>
      <x:c r="F490" t="str">
        <x:v>Bogotá D.C.</x:v>
      </x:c>
      <x:c r="G490" t="n">
        <x:v>21</x:v>
      </x:c>
      <x:c r="H490" t="str">
        <x:v>Menos de $1,5 M</x:v>
      </x:c>
      <x:c r="I490" t="str">
        <x:v>Alianzas</x:v>
      </x:c>
      <x:c r="J490" t="n">
        <x:v>2</x:v>
      </x:c>
      <x:c r="K490" t="n">
        <x:v>0</x:v>
      </x:c>
      <x:c r="L490" t="n">
        <x:v>11164829.62</x:v>
      </x:c>
      <x:c r="M490" t="n">
        <x:v>248200</x:v>
      </x:c>
      <x:c r="N490" t="n">
        <x:v>1</x:v>
      </x:c>
      <x:c r="O490" t="n">
        <x:v>0</x:v>
      </x:c>
      <x:c r="P490" t="n">
        <x:v>5</x:v>
      </x:c>
    </x:row>
    <x:row r="491">
      <x:c r="A491" t="str">
        <x:v>2025-06</x:v>
      </x:c>
      <x:c r="B491" t="str">
        <x:v>USR-00048</x:v>
      </x:c>
      <x:c r="C491" t="str">
        <x:v>Plus mensual</x:v>
      </x:c>
      <x:c r="D491" t="str">
        <x:v>Pago</x:v>
      </x:c>
      <x:c r="E491" t="str">
        <x:v>Bucaramanga</x:v>
      </x:c>
      <x:c r="F491" t="str">
        <x:v>Santander</x:v>
      </x:c>
      <x:c r="G491" t="n">
        <x:v>51</x:v>
      </x:c>
      <x:c r="H491" t="str">
        <x:v>Entre $1,5 M y $3 M</x:v>
      </x:c>
      <x:c r="I491" t="str">
        <x:v>Redes sociales</x:v>
      </x:c>
      <x:c r="J491" t="n">
        <x:v>3</x:v>
      </x:c>
      <x:c r="K491" t="n">
        <x:v>0</x:v>
      </x:c>
      <x:c r="L491" t="n">
        <x:v>40317807.49</x:v>
      </x:c>
      <x:c r="M491" t="n">
        <x:v>2032600</x:v>
      </x:c>
      <x:c r="N491" t="n">
        <x:v>3</x:v>
      </x:c>
      <x:c r="O491" t="n">
        <x:v>29900</x:v>
      </x:c>
      <x:c r="P491" t="n">
        <x:v>5</x:v>
      </x:c>
    </x:row>
    <x:row r="492">
      <x:c r="A492" t="str">
        <x:v>2025-06</x:v>
      </x:c>
      <x:c r="B492" t="str">
        <x:v>USR-00049</x:v>
      </x:c>
      <x:c r="C492" t="str">
        <x:v>Cero</x:v>
      </x:c>
      <x:c r="D492" t="str">
        <x:v>Gratuita</x:v>
      </x:c>
      <x:c r="E492" t="str">
        <x:v>Bogotá</x:v>
      </x:c>
      <x:c r="F492" t="str">
        <x:v>Bogotá D.C.</x:v>
      </x:c>
      <x:c r="G492" t="n">
        <x:v>53</x:v>
      </x:c>
      <x:c r="H492" t="str">
        <x:v>Entre $1,5 M y $3 M</x:v>
      </x:c>
      <x:c r="I492" t="str">
        <x:v>Búsqueda paga</x:v>
      </x:c>
      <x:c r="J492" t="n">
        <x:v>1</x:v>
      </x:c>
      <x:c r="K492" t="n">
        <x:v>0</x:v>
      </x:c>
      <x:c r="L492" t="n">
        <x:v>19323109.83</x:v>
      </x:c>
      <x:c r="M492" t="n">
        <x:v>578200</x:v>
      </x:c>
      <x:c r="N492" t="n">
        <x:v>1</x:v>
      </x:c>
      <x:c r="O492" t="n">
        <x:v>0</x:v>
      </x:c>
      <x:c r="P492" t="n">
        <x:v>5</x:v>
      </x:c>
    </x:row>
    <x:row r="493">
      <x:c r="A493" t="str">
        <x:v>2025-06</x:v>
      </x:c>
      <x:c r="B493" t="str">
        <x:v>USR-00050</x:v>
      </x:c>
      <x:c r="C493" t="str">
        <x:v>Cero</x:v>
      </x:c>
      <x:c r="D493" t="str">
        <x:v>Gratuita</x:v>
      </x:c>
      <x:c r="E493" t="str">
        <x:v>Medellín</x:v>
      </x:c>
      <x:c r="F493" t="str">
        <x:v>Antioquia</x:v>
      </x:c>
      <x:c r="G493" t="n">
        <x:v>62</x:v>
      </x:c>
      <x:c r="H493" t="str">
        <x:v>Entre $1,5 M y $3 M</x:v>
      </x:c>
      <x:c r="I493" t="str">
        <x:v>Referidos</x:v>
      </x:c>
      <x:c r="J493" t="n">
        <x:v>1</x:v>
      </x:c>
      <x:c r="K493" t="n">
        <x:v>0</x:v>
      </x:c>
      <x:c r="L493" t="n">
        <x:v>3754060.35</x:v>
      </x:c>
      <x:c r="M493" t="n">
        <x:v>0</x:v>
      </x:c>
      <x:c r="N493" t="n">
        <x:v>0</x:v>
      </x:c>
      <x:c r="O493" t="n">
        <x:v>0</x:v>
      </x:c>
      <x:c r="P493" t="n">
        <x:v>5</x:v>
      </x:c>
    </x:row>
    <x:row r="494">
      <x:c r="A494" t="str">
        <x:v>2025-06</x:v>
      </x:c>
      <x:c r="B494" t="str">
        <x:v>USR-00051</x:v>
      </x:c>
      <x:c r="C494" t="str">
        <x:v>Plus mensual</x:v>
      </x:c>
      <x:c r="D494" t="str">
        <x:v>Pago</x:v>
      </x:c>
      <x:c r="E494" t="str">
        <x:v>Bogotá</x:v>
      </x:c>
      <x:c r="F494" t="str">
        <x:v>Bogotá D.C.</x:v>
      </x:c>
      <x:c r="G494" t="n">
        <x:v>58</x:v>
      </x:c>
      <x:c r="H494" t="str">
        <x:v>Más de $5 M</x:v>
      </x:c>
      <x:c r="I494" t="str">
        <x:v>Referidos</x:v>
      </x:c>
      <x:c r="J494" t="n">
        <x:v>5</x:v>
      </x:c>
      <x:c r="K494" t="n">
        <x:v>0</x:v>
      </x:c>
      <x:c r="L494" t="n">
        <x:v>34955246.85</x:v>
      </x:c>
      <x:c r="M494" t="n">
        <x:v>2655400</x:v>
      </x:c>
      <x:c r="N494" t="n">
        <x:v>3</x:v>
      </x:c>
      <x:c r="O494" t="n">
        <x:v>29900</x:v>
      </x:c>
      <x:c r="P494" t="n">
        <x:v>5</x:v>
      </x:c>
    </x:row>
    <x:row r="495">
      <x:c r="A495" t="str">
        <x:v>2025-06</x:v>
      </x:c>
      <x:c r="B495" t="str">
        <x:v>USR-00052</x:v>
      </x:c>
      <x:c r="C495" t="str">
        <x:v>Cero</x:v>
      </x:c>
      <x:c r="D495" t="str">
        <x:v>Gratuita</x:v>
      </x:c>
      <x:c r="E495" t="str">
        <x:v>Barranquilla</x:v>
      </x:c>
      <x:c r="F495" t="str">
        <x:v>Atlántico</x:v>
      </x:c>
      <x:c r="G495" t="n">
        <x:v>29</x:v>
      </x:c>
      <x:c r="H495" t="str">
        <x:v>Entre $1,5 M y $3 M</x:v>
      </x:c>
      <x:c r="I495" t="str">
        <x:v>Alianzas</x:v>
      </x:c>
      <x:c r="J495" t="n">
        <x:v>1</x:v>
      </x:c>
      <x:c r="K495" t="n">
        <x:v>0</x:v>
      </x:c>
      <x:c r="L495" t="n">
        <x:v>21273697.4</x:v>
      </x:c>
      <x:c r="M495" t="n">
        <x:v>0</x:v>
      </x:c>
      <x:c r="N495" t="n">
        <x:v>0</x:v>
      </x:c>
      <x:c r="O495" t="n">
        <x:v>0</x:v>
      </x:c>
      <x:c r="P495" t="n">
        <x:v>5</x:v>
      </x:c>
    </x:row>
    <x:row r="496">
      <x:c r="A496" t="str">
        <x:v>2025-06</x:v>
      </x:c>
      <x:c r="B496" t="str">
        <x:v>USR-00053</x:v>
      </x:c>
      <x:c r="C496" t="str">
        <x:v>Plus mensual</x:v>
      </x:c>
      <x:c r="D496" t="str">
        <x:v>Pago</x:v>
      </x:c>
      <x:c r="E496" t="str">
        <x:v>Bogotá</x:v>
      </x:c>
      <x:c r="F496" t="str">
        <x:v>Bogotá D.C.</x:v>
      </x:c>
      <x:c r="G496" t="n">
        <x:v>51</x:v>
      </x:c>
      <x:c r="H496" t="str">
        <x:v>Menos de $1,5 M</x:v>
      </x:c>
      <x:c r="I496" t="str">
        <x:v>Orgánico</x:v>
      </x:c>
      <x:c r="J496" t="n">
        <x:v>4</x:v>
      </x:c>
      <x:c r="K496" t="n">
        <x:v>0</x:v>
      </x:c>
      <x:c r="L496" t="n">
        <x:v>14912511.3</x:v>
      </x:c>
      <x:c r="M496" t="n">
        <x:v>688300</x:v>
      </x:c>
      <x:c r="N496" t="n">
        <x:v>3</x:v>
      </x:c>
      <x:c r="O496" t="n">
        <x:v>29900</x:v>
      </x:c>
      <x:c r="P496" t="n">
        <x:v>5</x:v>
      </x:c>
    </x:row>
    <x:row r="497">
      <x:c r="A497" t="str">
        <x:v>2025-06</x:v>
      </x:c>
      <x:c r="B497" t="str">
        <x:v>USR-00054</x:v>
      </x:c>
      <x:c r="C497" t="str">
        <x:v>Plus mensual</x:v>
      </x:c>
      <x:c r="D497" t="str">
        <x:v>Pago</x:v>
      </x:c>
      <x:c r="E497" t="str">
        <x:v>Bogotá</x:v>
      </x:c>
      <x:c r="F497" t="str">
        <x:v>Bogotá D.C.</x:v>
      </x:c>
      <x:c r="G497" t="n">
        <x:v>21</x:v>
      </x:c>
      <x:c r="H497" t="str">
        <x:v>Entre $1,5 M y $3 M</x:v>
      </x:c>
      <x:c r="I497" t="str">
        <x:v>Redes sociales</x:v>
      </x:c>
      <x:c r="J497" t="n">
        <x:v>4</x:v>
      </x:c>
      <x:c r="K497" t="n">
        <x:v>0</x:v>
      </x:c>
      <x:c r="L497" t="n">
        <x:v>40319404.61</x:v>
      </x:c>
      <x:c r="M497" t="n">
        <x:v>4234400</x:v>
      </x:c>
      <x:c r="N497" t="n">
        <x:v>4</x:v>
      </x:c>
      <x:c r="O497" t="n">
        <x:v>29900</x:v>
      </x:c>
      <x:c r="P497" t="n">
        <x:v>5</x:v>
      </x:c>
    </x:row>
    <x:row r="498">
      <x:c r="A498" t="str">
        <x:v>2025-06</x:v>
      </x:c>
      <x:c r="B498" t="str">
        <x:v>USR-00055</x:v>
      </x:c>
      <x:c r="C498" t="str">
        <x:v>Cero</x:v>
      </x:c>
      <x:c r="D498" t="str">
        <x:v>Gratuita</x:v>
      </x:c>
      <x:c r="E498" t="str">
        <x:v>Barranquilla</x:v>
      </x:c>
      <x:c r="F498" t="str">
        <x:v>Atlántico</x:v>
      </x:c>
      <x:c r="G498" t="n">
        <x:v>45</x:v>
      </x:c>
      <x:c r="H498" t="str">
        <x:v>Entre $3 M y $5 M</x:v>
      </x:c>
      <x:c r="I498" t="str">
        <x:v>Redes sociales</x:v>
      </x:c>
      <x:c r="J498" t="n">
        <x:v>2</x:v>
      </x:c>
      <x:c r="K498" t="n">
        <x:v>0</x:v>
      </x:c>
      <x:c r="L498" t="n">
        <x:v>13131494.08</x:v>
      </x:c>
      <x:c r="M498" t="n">
        <x:v>426700</x:v>
      </x:c>
      <x:c r="N498" t="n">
        <x:v>1</x:v>
      </x:c>
      <x:c r="O498" t="n">
        <x:v>0</x:v>
      </x:c>
      <x:c r="P498" t="n">
        <x:v>5</x:v>
      </x:c>
    </x:row>
    <x:row r="499">
      <x:c r="A499" t="str">
        <x:v>2025-06</x:v>
      </x:c>
      <x:c r="B499" t="str">
        <x:v>USR-00056</x:v>
      </x:c>
      <x:c r="C499" t="str">
        <x:v>Cero</x:v>
      </x:c>
      <x:c r="D499" t="str">
        <x:v>Gratuita</x:v>
      </x:c>
      <x:c r="E499" t="str">
        <x:v>Bogotá</x:v>
      </x:c>
      <x:c r="F499" t="str">
        <x:v>Bogotá D.C.</x:v>
      </x:c>
      <x:c r="G499" t="n">
        <x:v>64</x:v>
      </x:c>
      <x:c r="H499" t="str">
        <x:v>Entre $1,5 M y $3 M</x:v>
      </x:c>
      <x:c r="I499" t="str">
        <x:v>Redes sociales</x:v>
      </x:c>
      <x:c r="J499" t="n">
        <x:v>1</x:v>
      </x:c>
      <x:c r="K499" t="n">
        <x:v>0</x:v>
      </x:c>
      <x:c r="L499" t="n">
        <x:v>2742555.32</x:v>
      </x:c>
      <x:c r="M499" t="n">
        <x:v>124500</x:v>
      </x:c>
      <x:c r="N499" t="n">
        <x:v>1</x:v>
      </x:c>
      <x:c r="O499" t="n">
        <x:v>0</x:v>
      </x:c>
      <x:c r="P499" t="n">
        <x:v>4</x:v>
      </x:c>
    </x:row>
    <x:row r="500">
      <x:c r="A500" t="str">
        <x:v>2025-06</x:v>
      </x:c>
      <x:c r="B500" t="str">
        <x:v>USR-00057</x:v>
      </x:c>
      <x:c r="C500" t="str">
        <x:v>Cero</x:v>
      </x:c>
      <x:c r="D500" t="str">
        <x:v>Gratuita</x:v>
      </x:c>
      <x:c r="E500" t="str">
        <x:v>Bogotá</x:v>
      </x:c>
      <x:c r="F500" t="str">
        <x:v>Bogotá D.C.</x:v>
      </x:c>
      <x:c r="G500" t="n">
        <x:v>27</x:v>
      </x:c>
      <x:c r="H500" t="str">
        <x:v>Entre $1,5 M y $3 M</x:v>
      </x:c>
      <x:c r="I500" t="str">
        <x:v>Orgánico</x:v>
      </x:c>
      <x:c r="J500" t="n">
        <x:v>2</x:v>
      </x:c>
      <x:c r="K500" t="n">
        <x:v>0</x:v>
      </x:c>
      <x:c r="L500" t="n">
        <x:v>69565455.46</x:v>
      </x:c>
      <x:c r="M500" t="n">
        <x:v>7323500</x:v>
      </x:c>
      <x:c r="N500" t="n">
        <x:v>2</x:v>
      </x:c>
      <x:c r="O500" t="n">
        <x:v>0</x:v>
      </x:c>
      <x:c r="P500" t="n">
        <x:v>4</x:v>
      </x:c>
    </x:row>
    <x:row r="501">
      <x:c r="A501" t="str">
        <x:v>2025-06</x:v>
      </x:c>
      <x:c r="B501" t="str">
        <x:v>USR-00058</x:v>
      </x:c>
      <x:c r="C501" t="str">
        <x:v>Cero</x:v>
      </x:c>
      <x:c r="D501" t="str">
        <x:v>Gratuita</x:v>
      </x:c>
      <x:c r="E501" t="str">
        <x:v>Bucaramanga</x:v>
      </x:c>
      <x:c r="F501" t="str">
        <x:v>Santander</x:v>
      </x:c>
      <x:c r="G501" t="n">
        <x:v>34</x:v>
      </x:c>
      <x:c r="H501" t="str">
        <x:v>Entre $1,5 M y $3 M</x:v>
      </x:c>
      <x:c r="I501" t="str">
        <x:v>Orgánico</x:v>
      </x:c>
      <x:c r="J501" t="n">
        <x:v>2</x:v>
      </x:c>
      <x:c r="K501" t="n">
        <x:v>0</x:v>
      </x:c>
      <x:c r="L501" t="n">
        <x:v>19238520.64</x:v>
      </x:c>
      <x:c r="M501" t="n">
        <x:v>2051400</x:v>
      </x:c>
      <x:c r="N501" t="n">
        <x:v>2</x:v>
      </x:c>
      <x:c r="O501" t="n">
        <x:v>0</x:v>
      </x:c>
      <x:c r="P501" t="n">
        <x:v>4</x:v>
      </x:c>
    </x:row>
    <x:row r="502">
      <x:c r="A502" t="str">
        <x:v>2025-06</x:v>
      </x:c>
      <x:c r="B502" t="str">
        <x:v>USR-00059</x:v>
      </x:c>
      <x:c r="C502" t="str">
        <x:v>Cero</x:v>
      </x:c>
      <x:c r="D502" t="str">
        <x:v>Gratuita</x:v>
      </x:c>
      <x:c r="E502" t="str">
        <x:v>Villavicencio</x:v>
      </x:c>
      <x:c r="F502" t="str">
        <x:v>Meta</x:v>
      </x:c>
      <x:c r="G502" t="n">
        <x:v>40</x:v>
      </x:c>
      <x:c r="H502" t="str">
        <x:v>Entre $1,5 M y $3 M</x:v>
      </x:c>
      <x:c r="I502" t="str">
        <x:v>Redes sociales</x:v>
      </x:c>
      <x:c r="J502" t="n">
        <x:v>2</x:v>
      </x:c>
      <x:c r="K502" t="n">
        <x:v>0</x:v>
      </x:c>
      <x:c r="L502" t="n">
        <x:v>45689636.77</x:v>
      </x:c>
      <x:c r="M502" t="n">
        <x:v>3829200</x:v>
      </x:c>
      <x:c r="N502" t="n">
        <x:v>2</x:v>
      </x:c>
      <x:c r="O502" t="n">
        <x:v>0</x:v>
      </x:c>
      <x:c r="P502" t="n">
        <x:v>4</x:v>
      </x:c>
    </x:row>
    <x:row r="503">
      <x:c r="A503" t="str">
        <x:v>2025-06</x:v>
      </x:c>
      <x:c r="B503" t="str">
        <x:v>USR-00060</x:v>
      </x:c>
      <x:c r="C503" t="str">
        <x:v>Cero</x:v>
      </x:c>
      <x:c r="D503" t="str">
        <x:v>Gratuita</x:v>
      </x:c>
      <x:c r="E503" t="str">
        <x:v>Barranquilla</x:v>
      </x:c>
      <x:c r="F503" t="str">
        <x:v>Atlántico</x:v>
      </x:c>
      <x:c r="G503" t="n">
        <x:v>55</x:v>
      </x:c>
      <x:c r="H503" t="str">
        <x:v>Menos de $1,5 M</x:v>
      </x:c>
      <x:c r="I503" t="str">
        <x:v>Referidos</x:v>
      </x:c>
      <x:c r="J503" t="n">
        <x:v>2</x:v>
      </x:c>
      <x:c r="K503" t="n">
        <x:v>0</x:v>
      </x:c>
      <x:c r="L503" t="n">
        <x:v>20723956.69</x:v>
      </x:c>
      <x:c r="M503" t="n">
        <x:v>1358200</x:v>
      </x:c>
      <x:c r="N503" t="n">
        <x:v>2</x:v>
      </x:c>
      <x:c r="O503" t="n">
        <x:v>0</x:v>
      </x:c>
      <x:c r="P503" t="n">
        <x:v>4</x:v>
      </x:c>
    </x:row>
    <x:row r="504">
      <x:c r="A504" t="str">
        <x:v>2025-06</x:v>
      </x:c>
      <x:c r="B504" t="str">
        <x:v>USR-00061</x:v>
      </x:c>
      <x:c r="C504" t="str">
        <x:v>Cero</x:v>
      </x:c>
      <x:c r="D504" t="str">
        <x:v>Gratuita</x:v>
      </x:c>
      <x:c r="E504" t="str">
        <x:v>Manizales</x:v>
      </x:c>
      <x:c r="F504" t="str">
        <x:v>Caldas</x:v>
      </x:c>
      <x:c r="G504" t="n">
        <x:v>39</x:v>
      </x:c>
      <x:c r="H504" t="str">
        <x:v>Entre $1,5 M y $3 M</x:v>
      </x:c>
      <x:c r="I504" t="str">
        <x:v>Contenido educativo</x:v>
      </x:c>
      <x:c r="J504" t="n">
        <x:v>2</x:v>
      </x:c>
      <x:c r="K504" t="n">
        <x:v>0</x:v>
      </x:c>
      <x:c r="L504" t="n">
        <x:v>36163654.57</x:v>
      </x:c>
      <x:c r="M504" t="n">
        <x:v>434100</x:v>
      </x:c>
      <x:c r="N504" t="n">
        <x:v>1</x:v>
      </x:c>
      <x:c r="O504" t="n">
        <x:v>0</x:v>
      </x:c>
      <x:c r="P504" t="n">
        <x:v>4</x:v>
      </x:c>
    </x:row>
    <x:row r="505">
      <x:c r="A505" t="str">
        <x:v>2025-06</x:v>
      </x:c>
      <x:c r="B505" t="str">
        <x:v>USR-00062</x:v>
      </x:c>
      <x:c r="C505" t="str">
        <x:v>Cero</x:v>
      </x:c>
      <x:c r="D505" t="str">
        <x:v>Gratuita</x:v>
      </x:c>
      <x:c r="E505" t="str">
        <x:v>Medellín</x:v>
      </x:c>
      <x:c r="F505" t="str">
        <x:v>Antioquia</x:v>
      </x:c>
      <x:c r="G505" t="n">
        <x:v>53</x:v>
      </x:c>
      <x:c r="H505" t="str">
        <x:v>Entre $1,5 M y $3 M</x:v>
      </x:c>
      <x:c r="I505" t="str">
        <x:v>Alianzas</x:v>
      </x:c>
      <x:c r="J505" t="n">
        <x:v>1</x:v>
      </x:c>
      <x:c r="K505" t="n">
        <x:v>0</x:v>
      </x:c>
      <x:c r="L505" t="n">
        <x:v>16542121.97</x:v>
      </x:c>
      <x:c r="M505" t="n">
        <x:v>828000</x:v>
      </x:c>
      <x:c r="N505" t="n">
        <x:v>1</x:v>
      </x:c>
      <x:c r="O505" t="n">
        <x:v>0</x:v>
      </x:c>
      <x:c r="P505" t="n">
        <x:v>4</x:v>
      </x:c>
    </x:row>
    <x:row r="506">
      <x:c r="A506" t="str">
        <x:v>2025-06</x:v>
      </x:c>
      <x:c r="B506" t="str">
        <x:v>USR-00063</x:v>
      </x:c>
      <x:c r="C506" t="str">
        <x:v>Cero</x:v>
      </x:c>
      <x:c r="D506" t="str">
        <x:v>Gratuita</x:v>
      </x:c>
      <x:c r="E506" t="str">
        <x:v>Bogotá</x:v>
      </x:c>
      <x:c r="F506" t="str">
        <x:v>Bogotá D.C.</x:v>
      </x:c>
      <x:c r="G506" t="n">
        <x:v>53</x:v>
      </x:c>
      <x:c r="H506" t="str">
        <x:v>Entre $1,5 M y $3 M</x:v>
      </x:c>
      <x:c r="I506" t="str">
        <x:v>Redes sociales</x:v>
      </x:c>
      <x:c r="J506" t="n">
        <x:v>2</x:v>
      </x:c>
      <x:c r="K506" t="n">
        <x:v>0</x:v>
      </x:c>
      <x:c r="L506" t="n">
        <x:v>27930391.24</x:v>
      </x:c>
      <x:c r="M506" t="n">
        <x:v>482600</x:v>
      </x:c>
      <x:c r="N506" t="n">
        <x:v>1</x:v>
      </x:c>
      <x:c r="O506" t="n">
        <x:v>0</x:v>
      </x:c>
      <x:c r="P506" t="n">
        <x:v>4</x:v>
      </x:c>
    </x:row>
    <x:row r="507">
      <x:c r="A507" t="str">
        <x:v>2025-06</x:v>
      </x:c>
      <x:c r="B507" t="str">
        <x:v>USR-00064</x:v>
      </x:c>
      <x:c r="C507" t="str">
        <x:v>Cero</x:v>
      </x:c>
      <x:c r="D507" t="str">
        <x:v>Gratuita</x:v>
      </x:c>
      <x:c r="E507" t="str">
        <x:v>Bogotá</x:v>
      </x:c>
      <x:c r="F507" t="str">
        <x:v>Bogotá D.C.</x:v>
      </x:c>
      <x:c r="G507" t="n">
        <x:v>52</x:v>
      </x:c>
      <x:c r="H507" t="str">
        <x:v>Entre $1,5 M y $3 M</x:v>
      </x:c>
      <x:c r="I507" t="str">
        <x:v>Búsqueda paga</x:v>
      </x:c>
      <x:c r="J507" t="n">
        <x:v>1</x:v>
      </x:c>
      <x:c r="K507" t="n">
        <x:v>0</x:v>
      </x:c>
      <x:c r="L507" t="n">
        <x:v>1469035.34</x:v>
      </x:c>
      <x:c r="M507" t="n">
        <x:v>39000</x:v>
      </x:c>
      <x:c r="N507" t="n">
        <x:v>1</x:v>
      </x:c>
      <x:c r="O507" t="n">
        <x:v>0</x:v>
      </x:c>
      <x:c r="P507" t="n">
        <x:v>4</x:v>
      </x:c>
    </x:row>
    <x:row r="508">
      <x:c r="A508" t="str">
        <x:v>2025-06</x:v>
      </x:c>
      <x:c r="B508" t="str">
        <x:v>USR-00065</x:v>
      </x:c>
      <x:c r="C508" t="str">
        <x:v>Plus mensual</x:v>
      </x:c>
      <x:c r="D508" t="str">
        <x:v>Pago</x:v>
      </x:c>
      <x:c r="E508" t="str">
        <x:v>Cali</x:v>
      </x:c>
      <x:c r="F508" t="str">
        <x:v>Valle del Cauca</x:v>
      </x:c>
      <x:c r="G508" t="n">
        <x:v>40</x:v>
      </x:c>
      <x:c r="H508" t="str">
        <x:v>Entre $3 M y $5 M</x:v>
      </x:c>
      <x:c r="I508" t="str">
        <x:v>Referidos</x:v>
      </x:c>
      <x:c r="J508" t="n">
        <x:v>3</x:v>
      </x:c>
      <x:c r="K508" t="n">
        <x:v>0</x:v>
      </x:c>
      <x:c r="L508" t="n">
        <x:v>56232625.37</x:v>
      </x:c>
      <x:c r="M508" t="n">
        <x:v>2168000</x:v>
      </x:c>
      <x:c r="N508" t="n">
        <x:v>3</x:v>
      </x:c>
      <x:c r="O508" t="n">
        <x:v>29900</x:v>
      </x:c>
      <x:c r="P508" t="n">
        <x:v>4</x:v>
      </x:c>
    </x:row>
    <x:row r="509">
      <x:c r="A509" t="str">
        <x:v>2025-06</x:v>
      </x:c>
      <x:c r="B509" t="str">
        <x:v>USR-00066</x:v>
      </x:c>
      <x:c r="C509" t="str">
        <x:v>Plus mensual</x:v>
      </x:c>
      <x:c r="D509" t="str">
        <x:v>Pago</x:v>
      </x:c>
      <x:c r="E509" t="str">
        <x:v>Villavicencio</x:v>
      </x:c>
      <x:c r="F509" t="str">
        <x:v>Meta</x:v>
      </x:c>
      <x:c r="G509" t="n">
        <x:v>21</x:v>
      </x:c>
      <x:c r="H509" t="str">
        <x:v>Entre $1,5 M y $3 M</x:v>
      </x:c>
      <x:c r="I509" t="str">
        <x:v>Referidos</x:v>
      </x:c>
      <x:c r="J509" t="n">
        <x:v>4</x:v>
      </x:c>
      <x:c r="K509" t="n">
        <x:v>0</x:v>
      </x:c>
      <x:c r="L509" t="n">
        <x:v>33163928.38</x:v>
      </x:c>
      <x:c r="M509" t="n">
        <x:v>1157700</x:v>
      </x:c>
      <x:c r="N509" t="n">
        <x:v>3</x:v>
      </x:c>
      <x:c r="O509" t="n">
        <x:v>29900</x:v>
      </x:c>
      <x:c r="P509" t="n">
        <x:v>4</x:v>
      </x:c>
    </x:row>
    <x:row r="510">
      <x:c r="A510" t="str">
        <x:v>2025-06</x:v>
      </x:c>
      <x:c r="B510" t="str">
        <x:v>USR-00067</x:v>
      </x:c>
      <x:c r="C510" t="str">
        <x:v>Plus mensual</x:v>
      </x:c>
      <x:c r="D510" t="str">
        <x:v>Pago</x:v>
      </x:c>
      <x:c r="E510" t="str">
        <x:v>Bogotá</x:v>
      </x:c>
      <x:c r="F510" t="str">
        <x:v>Bogotá D.C.</x:v>
      </x:c>
      <x:c r="G510" t="n">
        <x:v>56</x:v>
      </x:c>
      <x:c r="H510" t="str">
        <x:v>Entre $1,5 M y $3 M</x:v>
      </x:c>
      <x:c r="I510" t="str">
        <x:v>Alianzas</x:v>
      </x:c>
      <x:c r="J510" t="n">
        <x:v>4</x:v>
      </x:c>
      <x:c r="K510" t="n">
        <x:v>0</x:v>
      </x:c>
      <x:c r="L510" t="n">
        <x:v>80985209.99</x:v>
      </x:c>
      <x:c r="M510" t="n">
        <x:v>3412700</x:v>
      </x:c>
      <x:c r="N510" t="n">
        <x:v>4</x:v>
      </x:c>
      <x:c r="O510" t="n">
        <x:v>29900</x:v>
      </x:c>
      <x:c r="P510" t="n">
        <x:v>4</x:v>
      </x:c>
    </x:row>
    <x:row r="511">
      <x:c r="A511" t="str">
        <x:v>2025-06</x:v>
      </x:c>
      <x:c r="B511" t="str">
        <x:v>USR-00068</x:v>
      </x:c>
      <x:c r="C511" t="str">
        <x:v>Cero</x:v>
      </x:c>
      <x:c r="D511" t="str">
        <x:v>Gratuita</x:v>
      </x:c>
      <x:c r="E511" t="str">
        <x:v>Barranquilla</x:v>
      </x:c>
      <x:c r="F511" t="str">
        <x:v>Atlántico</x:v>
      </x:c>
      <x:c r="G511" t="n">
        <x:v>34</x:v>
      </x:c>
      <x:c r="H511" t="str">
        <x:v>Entre $3 M y $5 M</x:v>
      </x:c>
      <x:c r="I511" t="str">
        <x:v>Referidos</x:v>
      </x:c>
      <x:c r="J511" t="n">
        <x:v>1</x:v>
      </x:c>
      <x:c r="K511" t="n">
        <x:v>0</x:v>
      </x:c>
      <x:c r="L511" t="n">
        <x:v>5056826.68</x:v>
      </x:c>
      <x:c r="M511" t="n">
        <x:v>0</x:v>
      </x:c>
      <x:c r="N511" t="n">
        <x:v>0</x:v>
      </x:c>
      <x:c r="O511" t="n">
        <x:v>0</x:v>
      </x:c>
      <x:c r="P511" t="n">
        <x:v>4</x:v>
      </x:c>
    </x:row>
    <x:row r="512">
      <x:c r="A512" t="str">
        <x:v>2025-06</x:v>
      </x:c>
      <x:c r="B512" t="str">
        <x:v>USR-00069</x:v>
      </x:c>
      <x:c r="C512" t="str">
        <x:v>Cero</x:v>
      </x:c>
      <x:c r="D512" t="str">
        <x:v>Gratuita</x:v>
      </x:c>
      <x:c r="E512" t="str">
        <x:v>Bogotá</x:v>
      </x:c>
      <x:c r="F512" t="str">
        <x:v>Bogotá D.C.</x:v>
      </x:c>
      <x:c r="G512" t="n">
        <x:v>62</x:v>
      </x:c>
      <x:c r="H512" t="str">
        <x:v>Más de $5 M</x:v>
      </x:c>
      <x:c r="I512" t="str">
        <x:v>Referidos</x:v>
      </x:c>
      <x:c r="J512" t="n">
        <x:v>1</x:v>
      </x:c>
      <x:c r="K512" t="n">
        <x:v>0</x:v>
      </x:c>
      <x:c r="L512" t="n">
        <x:v>7740028.33</x:v>
      </x:c>
      <x:c r="M512" t="n">
        <x:v>261100</x:v>
      </x:c>
      <x:c r="N512" t="n">
        <x:v>1</x:v>
      </x:c>
      <x:c r="O512" t="n">
        <x:v>0</x:v>
      </x:c>
      <x:c r="P512" t="n">
        <x:v>4</x:v>
      </x:c>
    </x:row>
    <x:row r="513">
      <x:c r="A513" t="str">
        <x:v>2025-06</x:v>
      </x:c>
      <x:c r="B513" t="str">
        <x:v>USR-00070</x:v>
      </x:c>
      <x:c r="C513" t="str">
        <x:v>Plus mensual</x:v>
      </x:c>
      <x:c r="D513" t="str">
        <x:v>Pago</x:v>
      </x:c>
      <x:c r="E513" t="str">
        <x:v>Pereira</x:v>
      </x:c>
      <x:c r="F513" t="str">
        <x:v>Risaralda</x:v>
      </x:c>
      <x:c r="G513" t="n">
        <x:v>24</x:v>
      </x:c>
      <x:c r="H513" t="str">
        <x:v>Entre $1,5 M y $3 M</x:v>
      </x:c>
      <x:c r="I513" t="str">
        <x:v>Redes sociales</x:v>
      </x:c>
      <x:c r="J513" t="n">
        <x:v>4</x:v>
      </x:c>
      <x:c r="K513" t="n">
        <x:v>0</x:v>
      </x:c>
      <x:c r="L513" t="n">
        <x:v>33992065.05</x:v>
      </x:c>
      <x:c r="M513" t="n">
        <x:v>538800</x:v>
      </x:c>
      <x:c r="N513" t="n">
        <x:v>2</x:v>
      </x:c>
      <x:c r="O513" t="n">
        <x:v>29900</x:v>
      </x:c>
      <x:c r="P513" t="n">
        <x:v>4</x:v>
      </x:c>
    </x:row>
    <x:row r="514">
      <x:c r="A514" t="str">
        <x:v>2025-06</x:v>
      </x:c>
      <x:c r="B514" t="str">
        <x:v>USR-00071</x:v>
      </x:c>
      <x:c r="C514" t="str">
        <x:v>Cero</x:v>
      </x:c>
      <x:c r="D514" t="str">
        <x:v>Gratuita</x:v>
      </x:c>
      <x:c r="E514" t="str">
        <x:v>Barranquilla</x:v>
      </x:c>
      <x:c r="F514" t="str">
        <x:v>Atlántico</x:v>
      </x:c>
      <x:c r="G514" t="n">
        <x:v>48</x:v>
      </x:c>
      <x:c r="H514" t="str">
        <x:v>Entre $3 M y $5 M</x:v>
      </x:c>
      <x:c r="I514" t="str">
        <x:v>Referidos</x:v>
      </x:c>
      <x:c r="J514" t="n">
        <x:v>2</x:v>
      </x:c>
      <x:c r="K514" t="n">
        <x:v>0</x:v>
      </x:c>
      <x:c r="L514" t="n">
        <x:v>12205685.3</x:v>
      </x:c>
      <x:c r="M514" t="n">
        <x:v>658500</x:v>
      </x:c>
      <x:c r="N514" t="n">
        <x:v>2</x:v>
      </x:c>
      <x:c r="O514" t="n">
        <x:v>0</x:v>
      </x:c>
      <x:c r="P514" t="n">
        <x:v>4</x:v>
      </x:c>
    </x:row>
    <x:row r="515">
      <x:c r="A515" t="str">
        <x:v>2025-06</x:v>
      </x:c>
      <x:c r="B515" t="str">
        <x:v>USR-00072</x:v>
      </x:c>
      <x:c r="C515" t="str">
        <x:v>Cero</x:v>
      </x:c>
      <x:c r="D515" t="str">
        <x:v>Gratuita</x:v>
      </x:c>
      <x:c r="E515" t="str">
        <x:v>Cali</x:v>
      </x:c>
      <x:c r="F515" t="str">
        <x:v>Valle del Cauca</x:v>
      </x:c>
      <x:c r="G515" t="n">
        <x:v>25</x:v>
      </x:c>
      <x:c r="H515" t="str">
        <x:v>Entre $3 M y $5 M</x:v>
      </x:c>
      <x:c r="I515" t="str">
        <x:v>Búsqueda paga</x:v>
      </x:c>
      <x:c r="J515" t="n">
        <x:v>2</x:v>
      </x:c>
      <x:c r="K515" t="n">
        <x:v>0</x:v>
      </x:c>
      <x:c r="L515" t="n">
        <x:v>10390196.58</x:v>
      </x:c>
      <x:c r="M515" t="n">
        <x:v>0</x:v>
      </x:c>
      <x:c r="N515" t="n">
        <x:v>0</x:v>
      </x:c>
      <x:c r="O515" t="n">
        <x:v>0</x:v>
      </x:c>
      <x:c r="P515" t="n">
        <x:v>4</x:v>
      </x:c>
    </x:row>
    <x:row r="516">
      <x:c r="A516" t="str">
        <x:v>2025-06</x:v>
      </x:c>
      <x:c r="B516" t="str">
        <x:v>USR-00073</x:v>
      </x:c>
      <x:c r="C516" t="str">
        <x:v>Cero</x:v>
      </x:c>
      <x:c r="D516" t="str">
        <x:v>Gratuita</x:v>
      </x:c>
      <x:c r="E516" t="str">
        <x:v>Bucaramanga</x:v>
      </x:c>
      <x:c r="F516" t="str">
        <x:v>Santander</x:v>
      </x:c>
      <x:c r="G516" t="n">
        <x:v>56</x:v>
      </x:c>
      <x:c r="H516" t="str">
        <x:v>Entre $3 M y $5 M</x:v>
      </x:c>
      <x:c r="I516" t="str">
        <x:v>Contenido educativo</x:v>
      </x:c>
      <x:c r="J516" t="n">
        <x:v>2</x:v>
      </x:c>
      <x:c r="K516" t="n">
        <x:v>0</x:v>
      </x:c>
      <x:c r="L516" t="n">
        <x:v>8573508.39</x:v>
      </x:c>
      <x:c r="M516" t="n">
        <x:v>1066100</x:v>
      </x:c>
      <x:c r="N516" t="n">
        <x:v>2</x:v>
      </x:c>
      <x:c r="O516" t="n">
        <x:v>0</x:v>
      </x:c>
      <x:c r="P516" t="n">
        <x:v>4</x:v>
      </x:c>
    </x:row>
    <x:row r="517">
      <x:c r="A517" t="str">
        <x:v>2025-06</x:v>
      </x:c>
      <x:c r="B517" t="str">
        <x:v>USR-00074</x:v>
      </x:c>
      <x:c r="C517" t="str">
        <x:v>Plus mensual</x:v>
      </x:c>
      <x:c r="D517" t="str">
        <x:v>Pago</x:v>
      </x:c>
      <x:c r="E517" t="str">
        <x:v>Medellín</x:v>
      </x:c>
      <x:c r="F517" t="str">
        <x:v>Antioquia</x:v>
      </x:c>
      <x:c r="G517" t="n">
        <x:v>32</x:v>
      </x:c>
      <x:c r="H517" t="str">
        <x:v>Menos de $1,5 M</x:v>
      </x:c>
      <x:c r="I517" t="str">
        <x:v>Contenido educativo</x:v>
      </x:c>
      <x:c r="J517" t="n">
        <x:v>1</x:v>
      </x:c>
      <x:c r="K517" t="n">
        <x:v>0</x:v>
      </x:c>
      <x:c r="L517" t="n">
        <x:v>1324032</x:v>
      </x:c>
      <x:c r="M517" t="n">
        <x:v>45700</x:v>
      </x:c>
      <x:c r="N517" t="n">
        <x:v>1</x:v>
      </x:c>
      <x:c r="O517" t="n">
        <x:v>29900</x:v>
      </x:c>
      <x:c r="P517" t="n">
        <x:v>4</x:v>
      </x:c>
    </x:row>
    <x:row r="518">
      <x:c r="A518" t="str">
        <x:v>2025-06</x:v>
      </x:c>
      <x:c r="B518" t="str">
        <x:v>USR-00075</x:v>
      </x:c>
      <x:c r="C518" t="str">
        <x:v>Cero</x:v>
      </x:c>
      <x:c r="D518" t="str">
        <x:v>Gratuita</x:v>
      </x:c>
      <x:c r="E518" t="str">
        <x:v>Bucaramanga</x:v>
      </x:c>
      <x:c r="F518" t="str">
        <x:v>Santander</x:v>
      </x:c>
      <x:c r="G518" t="n">
        <x:v>47</x:v>
      </x:c>
      <x:c r="H518" t="str">
        <x:v>Más de $5 M</x:v>
      </x:c>
      <x:c r="I518" t="str">
        <x:v>Referidos</x:v>
      </x:c>
      <x:c r="J518" t="n">
        <x:v>2</x:v>
      </x:c>
      <x:c r="K518" t="n">
        <x:v>0</x:v>
      </x:c>
      <x:c r="L518" t="n">
        <x:v>66687989.85</x:v>
      </x:c>
      <x:c r="M518" t="n">
        <x:v>2643100</x:v>
      </x:c>
      <x:c r="N518" t="n">
        <x:v>1</x:v>
      </x:c>
      <x:c r="O518" t="n">
        <x:v>0</x:v>
      </x:c>
      <x:c r="P518" t="n">
        <x:v>4</x:v>
      </x:c>
    </x:row>
    <x:row r="519">
      <x:c r="A519" t="str">
        <x:v>2025-06</x:v>
      </x:c>
      <x:c r="B519" t="str">
        <x:v>USR-00076</x:v>
      </x:c>
      <x:c r="C519" t="str">
        <x:v>Cero</x:v>
      </x:c>
      <x:c r="D519" t="str">
        <x:v>Gratuita</x:v>
      </x:c>
      <x:c r="E519" t="str">
        <x:v>Cali</x:v>
      </x:c>
      <x:c r="F519" t="str">
        <x:v>Valle del Cauca</x:v>
      </x:c>
      <x:c r="G519" t="n">
        <x:v>34</x:v>
      </x:c>
      <x:c r="H519" t="str">
        <x:v>Entre $3 M y $5 M</x:v>
      </x:c>
      <x:c r="I519" t="str">
        <x:v>Orgánico</x:v>
      </x:c>
      <x:c r="J519" t="n">
        <x:v>2</x:v>
      </x:c>
      <x:c r="K519" t="n">
        <x:v>0</x:v>
      </x:c>
      <x:c r="L519" t="n">
        <x:v>20357445.27</x:v>
      </x:c>
      <x:c r="M519" t="n">
        <x:v>1060100</x:v>
      </x:c>
      <x:c r="N519" t="n">
        <x:v>2</x:v>
      </x:c>
      <x:c r="O519" t="n">
        <x:v>0</x:v>
      </x:c>
      <x:c r="P519" t="n">
        <x:v>4</x:v>
      </x:c>
    </x:row>
    <x:row r="520">
      <x:c r="A520" t="str">
        <x:v>2025-06</x:v>
      </x:c>
      <x:c r="B520" t="str">
        <x:v>USR-00077</x:v>
      </x:c>
      <x:c r="C520" t="str">
        <x:v>Cero</x:v>
      </x:c>
      <x:c r="D520" t="str">
        <x:v>Gratuita</x:v>
      </x:c>
      <x:c r="E520" t="str">
        <x:v>Barranquilla</x:v>
      </x:c>
      <x:c r="F520" t="str">
        <x:v>Atlántico</x:v>
      </x:c>
      <x:c r="G520" t="n">
        <x:v>25</x:v>
      </x:c>
      <x:c r="H520" t="str">
        <x:v>Entre $1,5 M y $3 M</x:v>
      </x:c>
      <x:c r="I520" t="str">
        <x:v>Orgánico</x:v>
      </x:c>
      <x:c r="J520" t="n">
        <x:v>2</x:v>
      </x:c>
      <x:c r="K520" t="n">
        <x:v>0</x:v>
      </x:c>
      <x:c r="L520" t="n">
        <x:v>9245998.2</x:v>
      </x:c>
      <x:c r="M520" t="n">
        <x:v>544600</x:v>
      </x:c>
      <x:c r="N520" t="n">
        <x:v>1</x:v>
      </x:c>
      <x:c r="O520" t="n">
        <x:v>0</x:v>
      </x:c>
      <x:c r="P520" t="n">
        <x:v>4</x:v>
      </x:c>
    </x:row>
    <x:row r="521">
      <x:c r="A521" t="str">
        <x:v>2025-06</x:v>
      </x:c>
      <x:c r="B521" t="str">
        <x:v>USR-00078</x:v>
      </x:c>
      <x:c r="C521" t="str">
        <x:v>Plus mensual</x:v>
      </x:c>
      <x:c r="D521" t="str">
        <x:v>Pago</x:v>
      </x:c>
      <x:c r="E521" t="str">
        <x:v>Cali</x:v>
      </x:c>
      <x:c r="F521" t="str">
        <x:v>Valle del Cauca</x:v>
      </x:c>
      <x:c r="G521" t="n">
        <x:v>24</x:v>
      </x:c>
      <x:c r="H521" t="str">
        <x:v>Entre $3 M y $5 M</x:v>
      </x:c>
      <x:c r="I521" t="str">
        <x:v>Orgánico</x:v>
      </x:c>
      <x:c r="J521" t="n">
        <x:v>4</x:v>
      </x:c>
      <x:c r="K521" t="n">
        <x:v>0</x:v>
      </x:c>
      <x:c r="L521" t="n">
        <x:v>28865631.48</x:v>
      </x:c>
      <x:c r="M521" t="n">
        <x:v>1551700</x:v>
      </x:c>
      <x:c r="N521" t="n">
        <x:v>4</x:v>
      </x:c>
      <x:c r="O521" t="n">
        <x:v>29900</x:v>
      </x:c>
      <x:c r="P521" t="n">
        <x:v>4</x:v>
      </x:c>
    </x:row>
    <x:row r="522">
      <x:c r="A522" t="str">
        <x:v>2025-06</x:v>
      </x:c>
      <x:c r="B522" t="str">
        <x:v>USR-00079</x:v>
      </x:c>
      <x:c r="C522" t="str">
        <x:v>Cero</x:v>
      </x:c>
      <x:c r="D522" t="str">
        <x:v>Gratuita</x:v>
      </x:c>
      <x:c r="E522" t="str">
        <x:v>Barranquilla</x:v>
      </x:c>
      <x:c r="F522" t="str">
        <x:v>Atlántico</x:v>
      </x:c>
      <x:c r="G522" t="n">
        <x:v>25</x:v>
      </x:c>
      <x:c r="H522" t="str">
        <x:v>Menos de $1,5 M</x:v>
      </x:c>
      <x:c r="I522" t="str">
        <x:v>Referidos</x:v>
      </x:c>
      <x:c r="J522" t="n">
        <x:v>1</x:v>
      </x:c>
      <x:c r="K522" t="n">
        <x:v>0</x:v>
      </x:c>
      <x:c r="L522" t="n">
        <x:v>46839875.53</x:v>
      </x:c>
      <x:c r="M522" t="n">
        <x:v>5273600</x:v>
      </x:c>
      <x:c r="N522" t="n">
        <x:v>1</x:v>
      </x:c>
      <x:c r="O522" t="n">
        <x:v>0</x:v>
      </x:c>
      <x:c r="P522" t="n">
        <x:v>4</x:v>
      </x:c>
    </x:row>
    <x:row r="523">
      <x:c r="A523" t="str">
        <x:v>2025-06</x:v>
      </x:c>
      <x:c r="B523" t="str">
        <x:v>USR-00080</x:v>
      </x:c>
      <x:c r="C523" t="str">
        <x:v>Plus anual</x:v>
      </x:c>
      <x:c r="D523" t="str">
        <x:v>Pago</x:v>
      </x:c>
      <x:c r="E523" t="str">
        <x:v>Bogotá</x:v>
      </x:c>
      <x:c r="F523" t="str">
        <x:v>Bogotá D.C.</x:v>
      </x:c>
      <x:c r="G523" t="n">
        <x:v>35</x:v>
      </x:c>
      <x:c r="H523" t="str">
        <x:v>Entre $3 M y $5 M</x:v>
      </x:c>
      <x:c r="I523" t="str">
        <x:v>Referidos</x:v>
      </x:c>
      <x:c r="J523" t="n">
        <x:v>1</x:v>
      </x:c>
      <x:c r="K523" t="n">
        <x:v>0</x:v>
      </x:c>
      <x:c r="L523" t="n">
        <x:v>16745914.58</x:v>
      </x:c>
      <x:c r="M523" t="n">
        <x:v>742000</x:v>
      </x:c>
      <x:c r="N523" t="n">
        <x:v>1</x:v>
      </x:c>
      <x:c r="O523" t="n">
        <x:v>24916.67</x:v>
      </x:c>
      <x:c r="P523" t="n">
        <x:v>4</x:v>
      </x:c>
    </x:row>
    <x:row r="524">
      <x:c r="A524" t="str">
        <x:v>2025-06</x:v>
      </x:c>
      <x:c r="B524" t="str">
        <x:v>USR-00081</x:v>
      </x:c>
      <x:c r="C524" t="str">
        <x:v>Cero</x:v>
      </x:c>
      <x:c r="D524" t="str">
        <x:v>Gratuita</x:v>
      </x:c>
      <x:c r="E524" t="str">
        <x:v>Bogotá</x:v>
      </x:c>
      <x:c r="F524" t="str">
        <x:v>Bogotá D.C.</x:v>
      </x:c>
      <x:c r="G524" t="n">
        <x:v>44</x:v>
      </x:c>
      <x:c r="H524" t="str">
        <x:v>Más de $5 M</x:v>
      </x:c>
      <x:c r="I524" t="str">
        <x:v>Contenido educativo</x:v>
      </x:c>
      <x:c r="J524" t="n">
        <x:v>2</x:v>
      </x:c>
      <x:c r="K524" t="n">
        <x:v>0</x:v>
      </x:c>
      <x:c r="L524" t="n">
        <x:v>14636420.77</x:v>
      </x:c>
      <x:c r="M524" t="n">
        <x:v>1733900</x:v>
      </x:c>
      <x:c r="N524" t="n">
        <x:v>2</x:v>
      </x:c>
      <x:c r="O524" t="n">
        <x:v>0</x:v>
      </x:c>
      <x:c r="P524" t="n">
        <x:v>4</x:v>
      </x:c>
    </x:row>
    <x:row r="525">
      <x:c r="A525" t="str">
        <x:v>2025-06</x:v>
      </x:c>
      <x:c r="B525" t="str">
        <x:v>USR-00082</x:v>
      </x:c>
      <x:c r="C525" t="str">
        <x:v>Cero</x:v>
      </x:c>
      <x:c r="D525" t="str">
        <x:v>Gratuita</x:v>
      </x:c>
      <x:c r="E525" t="str">
        <x:v>Villavicencio</x:v>
      </x:c>
      <x:c r="F525" t="str">
        <x:v>Meta</x:v>
      </x:c>
      <x:c r="G525" t="n">
        <x:v>44</x:v>
      </x:c>
      <x:c r="H525" t="str">
        <x:v>Entre $1,5 M y $3 M</x:v>
      </x:c>
      <x:c r="I525" t="str">
        <x:v>Referidos</x:v>
      </x:c>
      <x:c r="J525" t="n">
        <x:v>2</x:v>
      </x:c>
      <x:c r="K525" t="n">
        <x:v>0</x:v>
      </x:c>
      <x:c r="L525" t="n">
        <x:v>19040687.09</x:v>
      </x:c>
      <x:c r="M525" t="n">
        <x:v>267500</x:v>
      </x:c>
      <x:c r="N525" t="n">
        <x:v>1</x:v>
      </x:c>
      <x:c r="O525" t="n">
        <x:v>0</x:v>
      </x:c>
      <x:c r="P525" t="n">
        <x:v>4</x:v>
      </x:c>
    </x:row>
    <x:row r="526">
      <x:c r="A526" t="str">
        <x:v>2025-06</x:v>
      </x:c>
      <x:c r="B526" t="str">
        <x:v>USR-00083</x:v>
      </x:c>
      <x:c r="C526" t="str">
        <x:v>Cero</x:v>
      </x:c>
      <x:c r="D526" t="str">
        <x:v>Gratuita</x:v>
      </x:c>
      <x:c r="E526" t="str">
        <x:v>Bogotá</x:v>
      </x:c>
      <x:c r="F526" t="str">
        <x:v>Bogotá D.C.</x:v>
      </x:c>
      <x:c r="G526" t="n">
        <x:v>35</x:v>
      </x:c>
      <x:c r="H526" t="str">
        <x:v>Entre $3 M y $5 M</x:v>
      </x:c>
      <x:c r="I526" t="str">
        <x:v>Orgánico</x:v>
      </x:c>
      <x:c r="J526" t="n">
        <x:v>1</x:v>
      </x:c>
      <x:c r="K526" t="n">
        <x:v>0</x:v>
      </x:c>
      <x:c r="L526" t="n">
        <x:v>2250135</x:v>
      </x:c>
      <x:c r="M526" t="n">
        <x:v>274400</x:v>
      </x:c>
      <x:c r="N526" t="n">
        <x:v>1</x:v>
      </x:c>
      <x:c r="O526" t="n">
        <x:v>0</x:v>
      </x:c>
      <x:c r="P526" t="n">
        <x:v>4</x:v>
      </x:c>
    </x:row>
    <x:row r="527">
      <x:c r="A527" t="str">
        <x:v>2025-06</x:v>
      </x:c>
      <x:c r="B527" t="str">
        <x:v>USR-00084</x:v>
      </x:c>
      <x:c r="C527" t="str">
        <x:v>Cero</x:v>
      </x:c>
      <x:c r="D527" t="str">
        <x:v>Gratuita</x:v>
      </x:c>
      <x:c r="E527" t="str">
        <x:v>Manizales</x:v>
      </x:c>
      <x:c r="F527" t="str">
        <x:v>Caldas</x:v>
      </x:c>
      <x:c r="G527" t="n">
        <x:v>21</x:v>
      </x:c>
      <x:c r="H527" t="str">
        <x:v>Entre $1,5 M y $3 M</x:v>
      </x:c>
      <x:c r="I527" t="str">
        <x:v>Búsqueda paga</x:v>
      </x:c>
      <x:c r="J527" t="n">
        <x:v>2</x:v>
      </x:c>
      <x:c r="K527" t="n">
        <x:v>0</x:v>
      </x:c>
      <x:c r="L527" t="n">
        <x:v>26328437.01</x:v>
      </x:c>
      <x:c r="M527" t="n">
        <x:v>1017900</x:v>
      </x:c>
      <x:c r="N527" t="n">
        <x:v>1</x:v>
      </x:c>
      <x:c r="O527" t="n">
        <x:v>0</x:v>
      </x:c>
      <x:c r="P527" t="n">
        <x:v>4</x:v>
      </x:c>
    </x:row>
    <x:row r="528">
      <x:c r="A528" t="str">
        <x:v>2025-06</x:v>
      </x:c>
      <x:c r="B528" t="str">
        <x:v>USR-00085</x:v>
      </x:c>
      <x:c r="C528" t="str">
        <x:v>Plus mensual</x:v>
      </x:c>
      <x:c r="D528" t="str">
        <x:v>Pago</x:v>
      </x:c>
      <x:c r="E528" t="str">
        <x:v>Barranquilla</x:v>
      </x:c>
      <x:c r="F528" t="str">
        <x:v>Atlántico</x:v>
      </x:c>
      <x:c r="G528" t="n">
        <x:v>41</x:v>
      </x:c>
      <x:c r="H528" t="str">
        <x:v>Menos de $1,5 M</x:v>
      </x:c>
      <x:c r="I528" t="str">
        <x:v>Referidos</x:v>
      </x:c>
      <x:c r="J528" t="n">
        <x:v>1</x:v>
      </x:c>
      <x:c r="K528" t="n">
        <x:v>0</x:v>
      </x:c>
      <x:c r="L528" t="n">
        <x:v>12385295.38</x:v>
      </x:c>
      <x:c r="M528" t="n">
        <x:v>208700</x:v>
      </x:c>
      <x:c r="N528" t="n">
        <x:v>1</x:v>
      </x:c>
      <x:c r="O528" t="n">
        <x:v>29900</x:v>
      </x:c>
      <x:c r="P528" t="n">
        <x:v>4</x:v>
      </x:c>
    </x:row>
    <x:row r="529">
      <x:c r="A529" t="str">
        <x:v>2025-06</x:v>
      </x:c>
      <x:c r="B529" t="str">
        <x:v>USR-00086</x:v>
      </x:c>
      <x:c r="C529" t="str">
        <x:v>Cero</x:v>
      </x:c>
      <x:c r="D529" t="str">
        <x:v>Gratuita</x:v>
      </x:c>
      <x:c r="E529" t="str">
        <x:v>Manizales</x:v>
      </x:c>
      <x:c r="F529" t="str">
        <x:v>Caldas</x:v>
      </x:c>
      <x:c r="G529" t="n">
        <x:v>47</x:v>
      </x:c>
      <x:c r="H529" t="str">
        <x:v>Más de $5 M</x:v>
      </x:c>
      <x:c r="I529" t="str">
        <x:v>Referidos</x:v>
      </x:c>
      <x:c r="J529" t="n">
        <x:v>1</x:v>
      </x:c>
      <x:c r="K529" t="n">
        <x:v>0</x:v>
      </x:c>
      <x:c r="L529" t="n">
        <x:v>2974848.87</x:v>
      </x:c>
      <x:c r="M529" t="n">
        <x:v>69900</x:v>
      </x:c>
      <x:c r="N529" t="n">
        <x:v>1</x:v>
      </x:c>
      <x:c r="O529" t="n">
        <x:v>0</x:v>
      </x:c>
      <x:c r="P529" t="n">
        <x:v>4</x:v>
      </x:c>
    </x:row>
    <x:row r="530">
      <x:c r="A530" t="str">
        <x:v>2025-06</x:v>
      </x:c>
      <x:c r="B530" t="str">
        <x:v>USR-00087</x:v>
      </x:c>
      <x:c r="C530" t="str">
        <x:v>Cero</x:v>
      </x:c>
      <x:c r="D530" t="str">
        <x:v>Gratuita</x:v>
      </x:c>
      <x:c r="E530" t="str">
        <x:v>Manizales</x:v>
      </x:c>
      <x:c r="F530" t="str">
        <x:v>Caldas</x:v>
      </x:c>
      <x:c r="G530" t="n">
        <x:v>51</x:v>
      </x:c>
      <x:c r="H530" t="str">
        <x:v>Entre $1,5 M y $3 M</x:v>
      </x:c>
      <x:c r="I530" t="str">
        <x:v>Búsqueda paga</x:v>
      </x:c>
      <x:c r="J530" t="n">
        <x:v>1</x:v>
      </x:c>
      <x:c r="K530" t="n">
        <x:v>0</x:v>
      </x:c>
      <x:c r="L530" t="n">
        <x:v>34591707.58</x:v>
      </x:c>
      <x:c r="M530" t="n">
        <x:v>0</x:v>
      </x:c>
      <x:c r="N530" t="n">
        <x:v>0</x:v>
      </x:c>
      <x:c r="O530" t="n">
        <x:v>0</x:v>
      </x:c>
      <x:c r="P530" t="n">
        <x:v>4</x:v>
      </x:c>
    </x:row>
    <x:row r="531">
      <x:c r="A531" t="str">
        <x:v>2025-06</x:v>
      </x:c>
      <x:c r="B531" t="str">
        <x:v>USR-00088</x:v>
      </x:c>
      <x:c r="C531" t="str">
        <x:v>Cero</x:v>
      </x:c>
      <x:c r="D531" t="str">
        <x:v>Gratuita</x:v>
      </x:c>
      <x:c r="E531" t="str">
        <x:v>Bucaramanga</x:v>
      </x:c>
      <x:c r="F531" t="str">
        <x:v>Santander</x:v>
      </x:c>
      <x:c r="G531" t="n">
        <x:v>52</x:v>
      </x:c>
      <x:c r="H531" t="str">
        <x:v>Entre $1,5 M y $3 M</x:v>
      </x:c>
      <x:c r="I531" t="str">
        <x:v>Redes sociales</x:v>
      </x:c>
      <x:c r="J531" t="n">
        <x:v>1</x:v>
      </x:c>
      <x:c r="K531" t="n">
        <x:v>0</x:v>
      </x:c>
      <x:c r="L531" t="n">
        <x:v>8306684.8</x:v>
      </x:c>
      <x:c r="M531" t="n">
        <x:v>394100</x:v>
      </x:c>
      <x:c r="N531" t="n">
        <x:v>1</x:v>
      </x:c>
      <x:c r="O531" t="n">
        <x:v>0</x:v>
      </x:c>
      <x:c r="P531" t="n">
        <x:v>4</x:v>
      </x:c>
    </x:row>
    <x:row r="532">
      <x:c r="A532" t="str">
        <x:v>2025-06</x:v>
      </x:c>
      <x:c r="B532" t="str">
        <x:v>USR-00089</x:v>
      </x:c>
      <x:c r="C532" t="str">
        <x:v>Cero</x:v>
      </x:c>
      <x:c r="D532" t="str">
        <x:v>Gratuita</x:v>
      </x:c>
      <x:c r="E532" t="str">
        <x:v>Bucaramanga</x:v>
      </x:c>
      <x:c r="F532" t="str">
        <x:v>Santander</x:v>
      </x:c>
      <x:c r="G532" t="n">
        <x:v>34</x:v>
      </x:c>
      <x:c r="H532" t="str">
        <x:v>Entre $1,5 M y $3 M</x:v>
      </x:c>
      <x:c r="I532" t="str">
        <x:v>Redes sociales</x:v>
      </x:c>
      <x:c r="J532" t="n">
        <x:v>2</x:v>
      </x:c>
      <x:c r="K532" t="n">
        <x:v>0</x:v>
      </x:c>
      <x:c r="L532" t="n">
        <x:v>24042037.6</x:v>
      </x:c>
      <x:c r="M532" t="n">
        <x:v>0</x:v>
      </x:c>
      <x:c r="N532" t="n">
        <x:v>0</x:v>
      </x:c>
      <x:c r="O532" t="n">
        <x:v>0</x:v>
      </x:c>
      <x:c r="P532" t="n">
        <x:v>4</x:v>
      </x:c>
    </x:row>
    <x:row r="533">
      <x:c r="A533" t="str">
        <x:v>2025-06</x:v>
      </x:c>
      <x:c r="B533" t="str">
        <x:v>USR-00090</x:v>
      </x:c>
      <x:c r="C533" t="str">
        <x:v>Cero</x:v>
      </x:c>
      <x:c r="D533" t="str">
        <x:v>Gratuita</x:v>
      </x:c>
      <x:c r="E533" t="str">
        <x:v>Medellín</x:v>
      </x:c>
      <x:c r="F533" t="str">
        <x:v>Antioquia</x:v>
      </x:c>
      <x:c r="G533" t="n">
        <x:v>47</x:v>
      </x:c>
      <x:c r="H533" t="str">
        <x:v>Menos de $1,5 M</x:v>
      </x:c>
      <x:c r="I533" t="str">
        <x:v>Alianzas</x:v>
      </x:c>
      <x:c r="J533" t="n">
        <x:v>1</x:v>
      </x:c>
      <x:c r="K533" t="n">
        <x:v>0</x:v>
      </x:c>
      <x:c r="L533" t="n">
        <x:v>18518646.2</x:v>
      </x:c>
      <x:c r="M533" t="n">
        <x:v>989700</x:v>
      </x:c>
      <x:c r="N533" t="n">
        <x:v>1</x:v>
      </x:c>
      <x:c r="O533" t="n">
        <x:v>0</x:v>
      </x:c>
      <x:c r="P533" t="n">
        <x:v>4</x:v>
      </x:c>
    </x:row>
    <x:row r="534">
      <x:c r="A534" t="str">
        <x:v>2025-06</x:v>
      </x:c>
      <x:c r="B534" t="str">
        <x:v>USR-00091</x:v>
      </x:c>
      <x:c r="C534" t="str">
        <x:v>Plus mensual</x:v>
      </x:c>
      <x:c r="D534" t="str">
        <x:v>Pago</x:v>
      </x:c>
      <x:c r="E534" t="str">
        <x:v>Bogotá</x:v>
      </x:c>
      <x:c r="F534" t="str">
        <x:v>Bogotá D.C.</x:v>
      </x:c>
      <x:c r="G534" t="n">
        <x:v>23</x:v>
      </x:c>
      <x:c r="H534" t="str">
        <x:v>Entre $3 M y $5 M</x:v>
      </x:c>
      <x:c r="I534" t="str">
        <x:v>Redes sociales</x:v>
      </x:c>
      <x:c r="J534" t="n">
        <x:v>4</x:v>
      </x:c>
      <x:c r="K534" t="n">
        <x:v>0</x:v>
      </x:c>
      <x:c r="L534" t="n">
        <x:v>33308342.84</x:v>
      </x:c>
      <x:c r="M534" t="n">
        <x:v>1809500</x:v>
      </x:c>
      <x:c r="N534" t="n">
        <x:v>4</x:v>
      </x:c>
      <x:c r="O534" t="n">
        <x:v>29900</x:v>
      </x:c>
      <x:c r="P534" t="n">
        <x:v>4</x:v>
      </x:c>
    </x:row>
    <x:row r="535">
      <x:c r="A535" t="str">
        <x:v>2025-06</x:v>
      </x:c>
      <x:c r="B535" t="str">
        <x:v>USR-00092</x:v>
      </x:c>
      <x:c r="C535" t="str">
        <x:v>Cero</x:v>
      </x:c>
      <x:c r="D535" t="str">
        <x:v>Gratuita</x:v>
      </x:c>
      <x:c r="E535" t="str">
        <x:v>Cartagena</x:v>
      </x:c>
      <x:c r="F535" t="str">
        <x:v>Bolívar</x:v>
      </x:c>
      <x:c r="G535" t="n">
        <x:v>63</x:v>
      </x:c>
      <x:c r="H535" t="str">
        <x:v>Entre $1,5 M y $3 M</x:v>
      </x:c>
      <x:c r="I535" t="str">
        <x:v>Orgánico</x:v>
      </x:c>
      <x:c r="J535" t="n">
        <x:v>2</x:v>
      </x:c>
      <x:c r="K535" t="n">
        <x:v>0</x:v>
      </x:c>
      <x:c r="L535" t="n">
        <x:v>50134032.43</x:v>
      </x:c>
      <x:c r="M535" t="n">
        <x:v>2157100</x:v>
      </x:c>
      <x:c r="N535" t="n">
        <x:v>2</x:v>
      </x:c>
      <x:c r="O535" t="n">
        <x:v>0</x:v>
      </x:c>
      <x:c r="P535" t="n">
        <x:v>4</x:v>
      </x:c>
    </x:row>
    <x:row r="536">
      <x:c r="A536" t="str">
        <x:v>2025-06</x:v>
      </x:c>
      <x:c r="B536" t="str">
        <x:v>USR-00093</x:v>
      </x:c>
      <x:c r="C536" t="str">
        <x:v>Plus anual</x:v>
      </x:c>
      <x:c r="D536" t="str">
        <x:v>Pago</x:v>
      </x:c>
      <x:c r="E536" t="str">
        <x:v>Bogotá</x:v>
      </x:c>
      <x:c r="F536" t="str">
        <x:v>Bogotá D.C.</x:v>
      </x:c>
      <x:c r="G536" t="n">
        <x:v>34</x:v>
      </x:c>
      <x:c r="H536" t="str">
        <x:v>Más de $5 M</x:v>
      </x:c>
      <x:c r="I536" t="str">
        <x:v>Búsqueda paga</x:v>
      </x:c>
      <x:c r="J536" t="n">
        <x:v>3</x:v>
      </x:c>
      <x:c r="K536" t="n">
        <x:v>0</x:v>
      </x:c>
      <x:c r="L536" t="n">
        <x:v>23049198.48</x:v>
      </x:c>
      <x:c r="M536" t="n">
        <x:v>1146500</x:v>
      </x:c>
      <x:c r="N536" t="n">
        <x:v>3</x:v>
      </x:c>
      <x:c r="O536" t="n">
        <x:v>24916.67</x:v>
      </x:c>
      <x:c r="P536" t="n">
        <x:v>4</x:v>
      </x:c>
    </x:row>
    <x:row r="537">
      <x:c r="A537" t="str">
        <x:v>2025-06</x:v>
      </x:c>
      <x:c r="B537" t="str">
        <x:v>USR-00094</x:v>
      </x:c>
      <x:c r="C537" t="str">
        <x:v>Cero</x:v>
      </x:c>
      <x:c r="D537" t="str">
        <x:v>Gratuita</x:v>
      </x:c>
      <x:c r="E537" t="str">
        <x:v>Bogotá</x:v>
      </x:c>
      <x:c r="F537" t="str">
        <x:v>Bogotá D.C.</x:v>
      </x:c>
      <x:c r="G537" t="n">
        <x:v>38</x:v>
      </x:c>
      <x:c r="H537" t="str">
        <x:v>Más de $5 M</x:v>
      </x:c>
      <x:c r="I537" t="str">
        <x:v>Alianzas</x:v>
      </x:c>
      <x:c r="J537" t="n">
        <x:v>2</x:v>
      </x:c>
      <x:c r="K537" t="n">
        <x:v>0</x:v>
      </x:c>
      <x:c r="L537" t="n">
        <x:v>11749257.85</x:v>
      </x:c>
      <x:c r="M537" t="n">
        <x:v>203100</x:v>
      </x:c>
      <x:c r="N537" t="n">
        <x:v>1</x:v>
      </x:c>
      <x:c r="O537" t="n">
        <x:v>0</x:v>
      </x:c>
      <x:c r="P537" t="n">
        <x:v>4</x:v>
      </x:c>
    </x:row>
    <x:row r="538">
      <x:c r="A538" t="str">
        <x:v>2025-06</x:v>
      </x:c>
      <x:c r="B538" t="str">
        <x:v>USR-00095</x:v>
      </x:c>
      <x:c r="C538" t="str">
        <x:v>Plus mensual</x:v>
      </x:c>
      <x:c r="D538" t="str">
        <x:v>Pago</x:v>
      </x:c>
      <x:c r="E538" t="str">
        <x:v>Bogotá</x:v>
      </x:c>
      <x:c r="F538" t="str">
        <x:v>Bogotá D.C.</x:v>
      </x:c>
      <x:c r="G538" t="n">
        <x:v>27</x:v>
      </x:c>
      <x:c r="H538" t="str">
        <x:v>Menos de $1,5 M</x:v>
      </x:c>
      <x:c r="I538" t="str">
        <x:v>Redes sociales</x:v>
      </x:c>
      <x:c r="J538" t="n">
        <x:v>5</x:v>
      </x:c>
      <x:c r="K538" t="n">
        <x:v>0</x:v>
      </x:c>
      <x:c r="L538" t="n">
        <x:v>78689578.62</x:v>
      </x:c>
      <x:c r="M538" t="n">
        <x:v>3477600</x:v>
      </x:c>
      <x:c r="N538" t="n">
        <x:v>5</x:v>
      </x:c>
      <x:c r="O538" t="n">
        <x:v>29900</x:v>
      </x:c>
      <x:c r="P538" t="n">
        <x:v>3</x:v>
      </x:c>
    </x:row>
    <x:row r="539">
      <x:c r="A539" t="str">
        <x:v>2025-06</x:v>
      </x:c>
      <x:c r="B539" t="str">
        <x:v>USR-00096</x:v>
      </x:c>
      <x:c r="C539" t="str">
        <x:v>Cero</x:v>
      </x:c>
      <x:c r="D539" t="str">
        <x:v>Gratuita</x:v>
      </x:c>
      <x:c r="E539" t="str">
        <x:v>Cali</x:v>
      </x:c>
      <x:c r="F539" t="str">
        <x:v>Valle del Cauca</x:v>
      </x:c>
      <x:c r="G539" t="n">
        <x:v>39</x:v>
      </x:c>
      <x:c r="H539" t="str">
        <x:v>Entre $3 M y $5 M</x:v>
      </x:c>
      <x:c r="I539" t="str">
        <x:v>Contenido educativo</x:v>
      </x:c>
      <x:c r="J539" t="n">
        <x:v>1</x:v>
      </x:c>
      <x:c r="K539" t="n">
        <x:v>0</x:v>
      </x:c>
      <x:c r="L539" t="n">
        <x:v>7662217.3</x:v>
      </x:c>
      <x:c r="M539" t="n">
        <x:v>0</x:v>
      </x:c>
      <x:c r="N539" t="n">
        <x:v>0</x:v>
      </x:c>
      <x:c r="O539" t="n">
        <x:v>0</x:v>
      </x:c>
      <x:c r="P539" t="n">
        <x:v>3</x:v>
      </x:c>
    </x:row>
    <x:row r="540">
      <x:c r="A540" t="str">
        <x:v>2025-06</x:v>
      </x:c>
      <x:c r="B540" t="str">
        <x:v>USR-00097</x:v>
      </x:c>
      <x:c r="C540" t="str">
        <x:v>Cero</x:v>
      </x:c>
      <x:c r="D540" t="str">
        <x:v>Gratuita</x:v>
      </x:c>
      <x:c r="E540" t="str">
        <x:v>Medellín</x:v>
      </x:c>
      <x:c r="F540" t="str">
        <x:v>Antioquia</x:v>
      </x:c>
      <x:c r="G540" t="n">
        <x:v>46</x:v>
      </x:c>
      <x:c r="H540" t="str">
        <x:v>Entre $1,5 M y $3 M</x:v>
      </x:c>
      <x:c r="I540" t="str">
        <x:v>Redes sociales</x:v>
      </x:c>
      <x:c r="J540" t="n">
        <x:v>2</x:v>
      </x:c>
      <x:c r="K540" t="n">
        <x:v>0</x:v>
      </x:c>
      <x:c r="L540" t="n">
        <x:v>45760014.55</x:v>
      </x:c>
      <x:c r="M540" t="n">
        <x:v>0</x:v>
      </x:c>
      <x:c r="N540" t="n">
        <x:v>0</x:v>
      </x:c>
      <x:c r="O540" t="n">
        <x:v>0</x:v>
      </x:c>
      <x:c r="P540" t="n">
        <x:v>3</x:v>
      </x:c>
    </x:row>
    <x:row r="541">
      <x:c r="A541" t="str">
        <x:v>2025-06</x:v>
      </x:c>
      <x:c r="B541" t="str">
        <x:v>USR-00098</x:v>
      </x:c>
      <x:c r="C541" t="str">
        <x:v>Cero</x:v>
      </x:c>
      <x:c r="D541" t="str">
        <x:v>Gratuita</x:v>
      </x:c>
      <x:c r="E541" t="str">
        <x:v>Medellín</x:v>
      </x:c>
      <x:c r="F541" t="str">
        <x:v>Antioquia</x:v>
      </x:c>
      <x:c r="G541" t="n">
        <x:v>42</x:v>
      </x:c>
      <x:c r="H541" t="str">
        <x:v>Entre $3 M y $5 M</x:v>
      </x:c>
      <x:c r="I541" t="str">
        <x:v>Orgánico</x:v>
      </x:c>
      <x:c r="J541" t="n">
        <x:v>2</x:v>
      </x:c>
      <x:c r="K541" t="n">
        <x:v>0</x:v>
      </x:c>
      <x:c r="L541" t="n">
        <x:v>23622895.8</x:v>
      </x:c>
      <x:c r="M541" t="n">
        <x:v>173400</x:v>
      </x:c>
      <x:c r="N541" t="n">
        <x:v>1</x:v>
      </x:c>
      <x:c r="O541" t="n">
        <x:v>0</x:v>
      </x:c>
      <x:c r="P541" t="n">
        <x:v>3</x:v>
      </x:c>
    </x:row>
    <x:row r="542">
      <x:c r="A542" t="str">
        <x:v>2025-06</x:v>
      </x:c>
      <x:c r="B542" t="str">
        <x:v>USR-00099</x:v>
      </x:c>
      <x:c r="C542" t="str">
        <x:v>Cero</x:v>
      </x:c>
      <x:c r="D542" t="str">
        <x:v>Gratuita</x:v>
      </x:c>
      <x:c r="E542" t="str">
        <x:v>Cali</x:v>
      </x:c>
      <x:c r="F542" t="str">
        <x:v>Valle del Cauca</x:v>
      </x:c>
      <x:c r="G542" t="n">
        <x:v>49</x:v>
      </x:c>
      <x:c r="H542" t="str">
        <x:v>Entre $3 M y $5 M</x:v>
      </x:c>
      <x:c r="I542" t="str">
        <x:v>Alianzas</x:v>
      </x:c>
      <x:c r="J542" t="n">
        <x:v>2</x:v>
      </x:c>
      <x:c r="K542" t="n">
        <x:v>0</x:v>
      </x:c>
      <x:c r="L542" t="n">
        <x:v>29759537.75</x:v>
      </x:c>
      <x:c r="M542" t="n">
        <x:v>704000</x:v>
      </x:c>
      <x:c r="N542" t="n">
        <x:v>1</x:v>
      </x:c>
      <x:c r="O542" t="n">
        <x:v>0</x:v>
      </x:c>
      <x:c r="P542" t="n">
        <x:v>3</x:v>
      </x:c>
    </x:row>
    <x:row r="543">
      <x:c r="A543" t="str">
        <x:v>2025-06</x:v>
      </x:c>
      <x:c r="B543" t="str">
        <x:v>USR-00100</x:v>
      </x:c>
      <x:c r="C543" t="str">
        <x:v>Plus mensual</x:v>
      </x:c>
      <x:c r="D543" t="str">
        <x:v>Pago</x:v>
      </x:c>
      <x:c r="E543" t="str">
        <x:v>Cali</x:v>
      </x:c>
      <x:c r="F543" t="str">
        <x:v>Valle del Cauca</x:v>
      </x:c>
      <x:c r="G543" t="n">
        <x:v>36</x:v>
      </x:c>
      <x:c r="H543" t="str">
        <x:v>Menos de $1,5 M</x:v>
      </x:c>
      <x:c r="I543" t="str">
        <x:v>Búsqueda paga</x:v>
      </x:c>
      <x:c r="J543" t="n">
        <x:v>3</x:v>
      </x:c>
      <x:c r="K543" t="n">
        <x:v>0</x:v>
      </x:c>
      <x:c r="L543" t="n">
        <x:v>36261767.86</x:v>
      </x:c>
      <x:c r="M543" t="n">
        <x:v>1014200</x:v>
      </x:c>
      <x:c r="N543" t="n">
        <x:v>2</x:v>
      </x:c>
      <x:c r="O543" t="n">
        <x:v>29900</x:v>
      </x:c>
      <x:c r="P543" t="n">
        <x:v>3</x:v>
      </x:c>
    </x:row>
    <x:row r="544">
      <x:c r="A544" t="str">
        <x:v>2025-06</x:v>
      </x:c>
      <x:c r="B544" t="str">
        <x:v>USR-00101</x:v>
      </x:c>
      <x:c r="C544" t="str">
        <x:v>Plus mensual</x:v>
      </x:c>
      <x:c r="D544" t="str">
        <x:v>Pago</x:v>
      </x:c>
      <x:c r="E544" t="str">
        <x:v>Cali</x:v>
      </x:c>
      <x:c r="F544" t="str">
        <x:v>Valle del Cauca</x:v>
      </x:c>
      <x:c r="G544" t="n">
        <x:v>33</x:v>
      </x:c>
      <x:c r="H544" t="str">
        <x:v>Más de $5 M</x:v>
      </x:c>
      <x:c r="I544" t="str">
        <x:v>Orgánico</x:v>
      </x:c>
      <x:c r="J544" t="n">
        <x:v>4</x:v>
      </x:c>
      <x:c r="K544" t="n">
        <x:v>0</x:v>
      </x:c>
      <x:c r="L544" t="n">
        <x:v>62920561.19</x:v>
      </x:c>
      <x:c r="M544" t="n">
        <x:v>2981900</x:v>
      </x:c>
      <x:c r="N544" t="n">
        <x:v>4</x:v>
      </x:c>
      <x:c r="O544" t="n">
        <x:v>29900</x:v>
      </x:c>
      <x:c r="P544" t="n">
        <x:v>3</x:v>
      </x:c>
    </x:row>
    <x:row r="545">
      <x:c r="A545" t="str">
        <x:v>2025-06</x:v>
      </x:c>
      <x:c r="B545" t="str">
        <x:v>USR-00102</x:v>
      </x:c>
      <x:c r="C545" t="str">
        <x:v>Cero</x:v>
      </x:c>
      <x:c r="D545" t="str">
        <x:v>Gratuita</x:v>
      </x:c>
      <x:c r="E545" t="str">
        <x:v>Bogotá</x:v>
      </x:c>
      <x:c r="F545" t="str">
        <x:v>Bogotá D.C.</x:v>
      </x:c>
      <x:c r="G545" t="n">
        <x:v>64</x:v>
      </x:c>
      <x:c r="H545" t="str">
        <x:v>Entre $1,5 M y $3 M</x:v>
      </x:c>
      <x:c r="I545" t="str">
        <x:v>Alianzas</x:v>
      </x:c>
      <x:c r="J545" t="n">
        <x:v>2</x:v>
      </x:c>
      <x:c r="K545" t="n">
        <x:v>0</x:v>
      </x:c>
      <x:c r="L545" t="n">
        <x:v>14055644.28</x:v>
      </x:c>
      <x:c r="M545" t="n">
        <x:v>217200</x:v>
      </x:c>
      <x:c r="N545" t="n">
        <x:v>1</x:v>
      </x:c>
      <x:c r="O545" t="n">
        <x:v>0</x:v>
      </x:c>
      <x:c r="P545" t="n">
        <x:v>3</x:v>
      </x:c>
    </x:row>
    <x:row r="546">
      <x:c r="A546" t="str">
        <x:v>2025-06</x:v>
      </x:c>
      <x:c r="B546" t="str">
        <x:v>USR-00103</x:v>
      </x:c>
      <x:c r="C546" t="str">
        <x:v>Cero</x:v>
      </x:c>
      <x:c r="D546" t="str">
        <x:v>Gratuita</x:v>
      </x:c>
      <x:c r="E546" t="str">
        <x:v>Medellín</x:v>
      </x:c>
      <x:c r="F546" t="str">
        <x:v>Antioquia</x:v>
      </x:c>
      <x:c r="G546" t="n">
        <x:v>32</x:v>
      </x:c>
      <x:c r="H546" t="str">
        <x:v>Menos de $1,5 M</x:v>
      </x:c>
      <x:c r="I546" t="str">
        <x:v>Alianzas</x:v>
      </x:c>
      <x:c r="J546" t="n">
        <x:v>2</x:v>
      </x:c>
      <x:c r="K546" t="n">
        <x:v>0</x:v>
      </x:c>
      <x:c r="L546" t="n">
        <x:v>15755291.98</x:v>
      </x:c>
      <x:c r="M546" t="n">
        <x:v>1381100</x:v>
      </x:c>
      <x:c r="N546" t="n">
        <x:v>2</x:v>
      </x:c>
      <x:c r="O546" t="n">
        <x:v>0</x:v>
      </x:c>
      <x:c r="P546" t="n">
        <x:v>3</x:v>
      </x:c>
    </x:row>
    <x:row r="547">
      <x:c r="A547" t="str">
        <x:v>2025-06</x:v>
      </x:c>
      <x:c r="B547" t="str">
        <x:v>USR-00104</x:v>
      </x:c>
      <x:c r="C547" t="str">
        <x:v>Cero</x:v>
      </x:c>
      <x:c r="D547" t="str">
        <x:v>Gratuita</x:v>
      </x:c>
      <x:c r="E547" t="str">
        <x:v>Bogotá</x:v>
      </x:c>
      <x:c r="F547" t="str">
        <x:v>Bogotá D.C.</x:v>
      </x:c>
      <x:c r="G547" t="n">
        <x:v>50</x:v>
      </x:c>
      <x:c r="H547" t="str">
        <x:v>Entre $3 M y $5 M</x:v>
      </x:c>
      <x:c r="I547" t="str">
        <x:v>Referidos</x:v>
      </x:c>
      <x:c r="J547" t="n">
        <x:v>2</x:v>
      </x:c>
      <x:c r="K547" t="n">
        <x:v>0</x:v>
      </x:c>
      <x:c r="L547" t="n">
        <x:v>18648254.28</x:v>
      </x:c>
      <x:c r="M547" t="n">
        <x:v>689700</x:v>
      </x:c>
      <x:c r="N547" t="n">
        <x:v>1</x:v>
      </x:c>
      <x:c r="O547" t="n">
        <x:v>0</x:v>
      </x:c>
      <x:c r="P547" t="n">
        <x:v>3</x:v>
      </x:c>
    </x:row>
    <x:row r="548">
      <x:c r="A548" t="str">
        <x:v>2025-06</x:v>
      </x:c>
      <x:c r="B548" t="str">
        <x:v>USR-00105</x:v>
      </x:c>
      <x:c r="C548" t="str">
        <x:v>Cero</x:v>
      </x:c>
      <x:c r="D548" t="str">
        <x:v>Gratuita</x:v>
      </x:c>
      <x:c r="E548" t="str">
        <x:v>Bucaramanga</x:v>
      </x:c>
      <x:c r="F548" t="str">
        <x:v>Santander</x:v>
      </x:c>
      <x:c r="G548" t="n">
        <x:v>44</x:v>
      </x:c>
      <x:c r="H548" t="str">
        <x:v>Entre $3 M y $5 M</x:v>
      </x:c>
      <x:c r="I548" t="str">
        <x:v>Orgánico</x:v>
      </x:c>
      <x:c r="J548" t="n">
        <x:v>1</x:v>
      </x:c>
      <x:c r="K548" t="n">
        <x:v>0</x:v>
      </x:c>
      <x:c r="L548" t="n">
        <x:v>1859651.6</x:v>
      </x:c>
      <x:c r="M548" t="n">
        <x:v>83300</x:v>
      </x:c>
      <x:c r="N548" t="n">
        <x:v>1</x:v>
      </x:c>
      <x:c r="O548" t="n">
        <x:v>0</x:v>
      </x:c>
      <x:c r="P548" t="n">
        <x:v>3</x:v>
      </x:c>
    </x:row>
    <x:row r="549">
      <x:c r="A549" t="str">
        <x:v>2025-06</x:v>
      </x:c>
      <x:c r="B549" t="str">
        <x:v>USR-00106</x:v>
      </x:c>
      <x:c r="C549" t="str">
        <x:v>Cero</x:v>
      </x:c>
      <x:c r="D549" t="str">
        <x:v>Gratuita</x:v>
      </x:c>
      <x:c r="E549" t="str">
        <x:v>Cartagena</x:v>
      </x:c>
      <x:c r="F549" t="str">
        <x:v>Bolívar</x:v>
      </x:c>
      <x:c r="G549" t="n">
        <x:v>29</x:v>
      </x:c>
      <x:c r="H549" t="str">
        <x:v>Menos de $1,5 M</x:v>
      </x:c>
      <x:c r="I549" t="str">
        <x:v>Redes sociales</x:v>
      </x:c>
      <x:c r="J549" t="n">
        <x:v>2</x:v>
      </x:c>
      <x:c r="K549" t="n">
        <x:v>0</x:v>
      </x:c>
      <x:c r="L549" t="n">
        <x:v>8175629.83</x:v>
      </x:c>
      <x:c r="M549" t="n">
        <x:v>345000</x:v>
      </x:c>
      <x:c r="N549" t="n">
        <x:v>2</x:v>
      </x:c>
      <x:c r="O549" t="n">
        <x:v>0</x:v>
      </x:c>
      <x:c r="P549" t="n">
        <x:v>3</x:v>
      </x:c>
    </x:row>
    <x:row r="550">
      <x:c r="A550" t="str">
        <x:v>2025-06</x:v>
      </x:c>
      <x:c r="B550" t="str">
        <x:v>USR-00107</x:v>
      </x:c>
      <x:c r="C550" t="str">
        <x:v>Cero</x:v>
      </x:c>
      <x:c r="D550" t="str">
        <x:v>Gratuita</x:v>
      </x:c>
      <x:c r="E550" t="str">
        <x:v>Medellín</x:v>
      </x:c>
      <x:c r="F550" t="str">
        <x:v>Antioquia</x:v>
      </x:c>
      <x:c r="G550" t="n">
        <x:v>63</x:v>
      </x:c>
      <x:c r="H550" t="str">
        <x:v>Más de $5 M</x:v>
      </x:c>
      <x:c r="I550" t="str">
        <x:v>Referidos</x:v>
      </x:c>
      <x:c r="J550" t="n">
        <x:v>2</x:v>
      </x:c>
      <x:c r="K550" t="n">
        <x:v>0</x:v>
      </x:c>
      <x:c r="L550" t="n">
        <x:v>12102436.83</x:v>
      </x:c>
      <x:c r="M550" t="n">
        <x:v>0</x:v>
      </x:c>
      <x:c r="N550" t="n">
        <x:v>0</x:v>
      </x:c>
      <x:c r="O550" t="n">
        <x:v>0</x:v>
      </x:c>
      <x:c r="P550" t="n">
        <x:v>3</x:v>
      </x:c>
    </x:row>
    <x:row r="551">
      <x:c r="A551" t="str">
        <x:v>2025-06</x:v>
      </x:c>
      <x:c r="B551" t="str">
        <x:v>USR-00108</x:v>
      </x:c>
      <x:c r="C551" t="str">
        <x:v>Cero</x:v>
      </x:c>
      <x:c r="D551" t="str">
        <x:v>Gratuita</x:v>
      </x:c>
      <x:c r="E551" t="str">
        <x:v>Medellín</x:v>
      </x:c>
      <x:c r="F551" t="str">
        <x:v>Antioquia</x:v>
      </x:c>
      <x:c r="G551" t="n">
        <x:v>35</x:v>
      </x:c>
      <x:c r="H551" t="str">
        <x:v>Menos de $1,5 M</x:v>
      </x:c>
      <x:c r="I551" t="str">
        <x:v>Orgánico</x:v>
      </x:c>
      <x:c r="J551" t="n">
        <x:v>2</x:v>
      </x:c>
      <x:c r="K551" t="n">
        <x:v>0</x:v>
      </x:c>
      <x:c r="L551" t="n">
        <x:v>21276163.89</x:v>
      </x:c>
      <x:c r="M551" t="n">
        <x:v>2024800</x:v>
      </x:c>
      <x:c r="N551" t="n">
        <x:v>2</x:v>
      </x:c>
      <x:c r="O551" t="n">
        <x:v>0</x:v>
      </x:c>
      <x:c r="P551" t="n">
        <x:v>3</x:v>
      </x:c>
    </x:row>
    <x:row r="552">
      <x:c r="A552" t="str">
        <x:v>2025-06</x:v>
      </x:c>
      <x:c r="B552" t="str">
        <x:v>USR-00109</x:v>
      </x:c>
      <x:c r="C552" t="str">
        <x:v>Cero</x:v>
      </x:c>
      <x:c r="D552" t="str">
        <x:v>Gratuita</x:v>
      </x:c>
      <x:c r="E552" t="str">
        <x:v>Cali</x:v>
      </x:c>
      <x:c r="F552" t="str">
        <x:v>Valle del Cauca</x:v>
      </x:c>
      <x:c r="G552" t="n">
        <x:v>61</x:v>
      </x:c>
      <x:c r="H552" t="str">
        <x:v>Menos de $1,5 M</x:v>
      </x:c>
      <x:c r="I552" t="str">
        <x:v>Redes sociales</x:v>
      </x:c>
      <x:c r="J552" t="n">
        <x:v>2</x:v>
      </x:c>
      <x:c r="K552" t="n">
        <x:v>0</x:v>
      </x:c>
      <x:c r="L552" t="n">
        <x:v>60657844.71</x:v>
      </x:c>
      <x:c r="M552" t="n">
        <x:v>0</x:v>
      </x:c>
      <x:c r="N552" t="n">
        <x:v>0</x:v>
      </x:c>
      <x:c r="O552" t="n">
        <x:v>0</x:v>
      </x:c>
      <x:c r="P552" t="n">
        <x:v>3</x:v>
      </x:c>
    </x:row>
    <x:row r="553">
      <x:c r="A553" t="str">
        <x:v>2025-06</x:v>
      </x:c>
      <x:c r="B553" t="str">
        <x:v>USR-00110</x:v>
      </x:c>
      <x:c r="C553" t="str">
        <x:v>Cero</x:v>
      </x:c>
      <x:c r="D553" t="str">
        <x:v>Gratuita</x:v>
      </x:c>
      <x:c r="E553" t="str">
        <x:v>Barranquilla</x:v>
      </x:c>
      <x:c r="F553" t="str">
        <x:v>Atlántico</x:v>
      </x:c>
      <x:c r="G553" t="n">
        <x:v>50</x:v>
      </x:c>
      <x:c r="H553" t="str">
        <x:v>Más de $5 M</x:v>
      </x:c>
      <x:c r="I553" t="str">
        <x:v>Alianzas</x:v>
      </x:c>
      <x:c r="J553" t="n">
        <x:v>1</x:v>
      </x:c>
      <x:c r="K553" t="n">
        <x:v>0</x:v>
      </x:c>
      <x:c r="L553" t="n">
        <x:v>6763169.64</x:v>
      </x:c>
      <x:c r="M553" t="n">
        <x:v>709000</x:v>
      </x:c>
      <x:c r="N553" t="n">
        <x:v>1</x:v>
      </x:c>
      <x:c r="O553" t="n">
        <x:v>0</x:v>
      </x:c>
      <x:c r="P553" t="n">
        <x:v>3</x:v>
      </x:c>
    </x:row>
    <x:row r="554">
      <x:c r="A554" t="str">
        <x:v>2025-06</x:v>
      </x:c>
      <x:c r="B554" t="str">
        <x:v>USR-00111</x:v>
      </x:c>
      <x:c r="C554" t="str">
        <x:v>Cero</x:v>
      </x:c>
      <x:c r="D554" t="str">
        <x:v>Gratuita</x:v>
      </x:c>
      <x:c r="E554" t="str">
        <x:v>Bogotá</x:v>
      </x:c>
      <x:c r="F554" t="str">
        <x:v>Bogotá D.C.</x:v>
      </x:c>
      <x:c r="G554" t="n">
        <x:v>38</x:v>
      </x:c>
      <x:c r="H554" t="str">
        <x:v>Menos de $1,5 M</x:v>
      </x:c>
      <x:c r="I554" t="str">
        <x:v>Redes sociales</x:v>
      </x:c>
      <x:c r="J554" t="n">
        <x:v>2</x:v>
      </x:c>
      <x:c r="K554" t="n">
        <x:v>0</x:v>
      </x:c>
      <x:c r="L554" t="n">
        <x:v>24919547.63</x:v>
      </x:c>
      <x:c r="M554" t="n">
        <x:v>465900</x:v>
      </x:c>
      <x:c r="N554" t="n">
        <x:v>1</x:v>
      </x:c>
      <x:c r="O554" t="n">
        <x:v>0</x:v>
      </x:c>
      <x:c r="P554" t="n">
        <x:v>3</x:v>
      </x:c>
    </x:row>
    <x:row r="555">
      <x:c r="A555" t="str">
        <x:v>2025-06</x:v>
      </x:c>
      <x:c r="B555" t="str">
        <x:v>USR-00112</x:v>
      </x:c>
      <x:c r="C555" t="str">
        <x:v>Cero</x:v>
      </x:c>
      <x:c r="D555" t="str">
        <x:v>Gratuita</x:v>
      </x:c>
      <x:c r="E555" t="str">
        <x:v>Medellín</x:v>
      </x:c>
      <x:c r="F555" t="str">
        <x:v>Antioquia</x:v>
      </x:c>
      <x:c r="G555" t="n">
        <x:v>35</x:v>
      </x:c>
      <x:c r="H555" t="str">
        <x:v>Entre $1,5 M y $3 M</x:v>
      </x:c>
      <x:c r="I555" t="str">
        <x:v>Referidos</x:v>
      </x:c>
      <x:c r="J555" t="n">
        <x:v>1</x:v>
      </x:c>
      <x:c r="K555" t="n">
        <x:v>0</x:v>
      </x:c>
      <x:c r="L555" t="n">
        <x:v>3576716.85</x:v>
      </x:c>
      <x:c r="M555" t="n">
        <x:v>513800</x:v>
      </x:c>
      <x:c r="N555" t="n">
        <x:v>1</x:v>
      </x:c>
      <x:c r="O555" t="n">
        <x:v>0</x:v>
      </x:c>
      <x:c r="P555" t="n">
        <x:v>3</x:v>
      </x:c>
    </x:row>
    <x:row r="556">
      <x:c r="A556" t="str">
        <x:v>2025-06</x:v>
      </x:c>
      <x:c r="B556" t="str">
        <x:v>USR-00113</x:v>
      </x:c>
      <x:c r="C556" t="str">
        <x:v>Cero</x:v>
      </x:c>
      <x:c r="D556" t="str">
        <x:v>Gratuita</x:v>
      </x:c>
      <x:c r="E556" t="str">
        <x:v>Barranquilla</x:v>
      </x:c>
      <x:c r="F556" t="str">
        <x:v>Atlántico</x:v>
      </x:c>
      <x:c r="G556" t="n">
        <x:v>64</x:v>
      </x:c>
      <x:c r="H556" t="str">
        <x:v>Entre $1,5 M y $3 M</x:v>
      </x:c>
      <x:c r="I556" t="str">
        <x:v>Redes sociales</x:v>
      </x:c>
      <x:c r="J556" t="n">
        <x:v>1</x:v>
      </x:c>
      <x:c r="K556" t="n">
        <x:v>0</x:v>
      </x:c>
      <x:c r="L556" t="n">
        <x:v>1957866.03</x:v>
      </x:c>
      <x:c r="M556" t="n">
        <x:v>0</x:v>
      </x:c>
      <x:c r="N556" t="n">
        <x:v>0</x:v>
      </x:c>
      <x:c r="O556" t="n">
        <x:v>0</x:v>
      </x:c>
      <x:c r="P556" t="n">
        <x:v>3</x:v>
      </x:c>
    </x:row>
    <x:row r="557">
      <x:c r="A557" t="str">
        <x:v>2025-06</x:v>
      </x:c>
      <x:c r="B557" t="str">
        <x:v>USR-00114</x:v>
      </x:c>
      <x:c r="C557" t="str">
        <x:v>Cero</x:v>
      </x:c>
      <x:c r="D557" t="str">
        <x:v>Gratuita</x:v>
      </x:c>
      <x:c r="E557" t="str">
        <x:v>Bogotá</x:v>
      </x:c>
      <x:c r="F557" t="str">
        <x:v>Bogotá D.C.</x:v>
      </x:c>
      <x:c r="G557" t="n">
        <x:v>20</x:v>
      </x:c>
      <x:c r="H557" t="str">
        <x:v>Entre $3 M y $5 M</x:v>
      </x:c>
      <x:c r="I557" t="str">
        <x:v>Redes sociales</x:v>
      </x:c>
      <x:c r="J557" t="n">
        <x:v>2</x:v>
      </x:c>
      <x:c r="K557" t="n">
        <x:v>0</x:v>
      </x:c>
      <x:c r="L557" t="n">
        <x:v>11714017.83</x:v>
      </x:c>
      <x:c r="M557" t="n">
        <x:v>640400</x:v>
      </x:c>
      <x:c r="N557" t="n">
        <x:v>2</x:v>
      </x:c>
      <x:c r="O557" t="n">
        <x:v>0</x:v>
      </x:c>
      <x:c r="P557" t="n">
        <x:v>3</x:v>
      </x:c>
    </x:row>
    <x:row r="558">
      <x:c r="A558" t="str">
        <x:v>2025-06</x:v>
      </x:c>
      <x:c r="B558" t="str">
        <x:v>USR-00115</x:v>
      </x:c>
      <x:c r="C558" t="str">
        <x:v>Cero</x:v>
      </x:c>
      <x:c r="D558" t="str">
        <x:v>Gratuita</x:v>
      </x:c>
      <x:c r="E558" t="str">
        <x:v>Cali</x:v>
      </x:c>
      <x:c r="F558" t="str">
        <x:v>Valle del Cauca</x:v>
      </x:c>
      <x:c r="G558" t="n">
        <x:v>59</x:v>
      </x:c>
      <x:c r="H558" t="str">
        <x:v>Entre $3 M y $5 M</x:v>
      </x:c>
      <x:c r="I558" t="str">
        <x:v>Contenido educativo</x:v>
      </x:c>
      <x:c r="J558" t="n">
        <x:v>2</x:v>
      </x:c>
      <x:c r="K558" t="n">
        <x:v>0</x:v>
      </x:c>
      <x:c r="L558" t="n">
        <x:v>35679289.14</x:v>
      </x:c>
      <x:c r="M558" t="n">
        <x:v>1317700</x:v>
      </x:c>
      <x:c r="N558" t="n">
        <x:v>1</x:v>
      </x:c>
      <x:c r="O558" t="n">
        <x:v>0</x:v>
      </x:c>
      <x:c r="P558" t="n">
        <x:v>3</x:v>
      </x:c>
    </x:row>
    <x:row r="559">
      <x:c r="A559" t="str">
        <x:v>2025-06</x:v>
      </x:c>
      <x:c r="B559" t="str">
        <x:v>USR-00116</x:v>
      </x:c>
      <x:c r="C559" t="str">
        <x:v>Cero</x:v>
      </x:c>
      <x:c r="D559" t="str">
        <x:v>Gratuita</x:v>
      </x:c>
      <x:c r="E559" t="str">
        <x:v>Medellín</x:v>
      </x:c>
      <x:c r="F559" t="str">
        <x:v>Antioquia</x:v>
      </x:c>
      <x:c r="G559" t="n">
        <x:v>56</x:v>
      </x:c>
      <x:c r="H559" t="str">
        <x:v>Entre $1,5 M y $3 M</x:v>
      </x:c>
      <x:c r="I559" t="str">
        <x:v>Alianzas</x:v>
      </x:c>
      <x:c r="J559" t="n">
        <x:v>1</x:v>
      </x:c>
      <x:c r="K559" t="n">
        <x:v>0</x:v>
      </x:c>
      <x:c r="L559" t="n">
        <x:v>5640251.5</x:v>
      </x:c>
      <x:c r="M559" t="n">
        <x:v>0</x:v>
      </x:c>
      <x:c r="N559" t="n">
        <x:v>0</x:v>
      </x:c>
      <x:c r="O559" t="n">
        <x:v>0</x:v>
      </x:c>
      <x:c r="P559" t="n">
        <x:v>3</x:v>
      </x:c>
    </x:row>
    <x:row r="560">
      <x:c r="A560" t="str">
        <x:v>2025-06</x:v>
      </x:c>
      <x:c r="B560" t="str">
        <x:v>USR-00117</x:v>
      </x:c>
      <x:c r="C560" t="str">
        <x:v>Plus mensual</x:v>
      </x:c>
      <x:c r="D560" t="str">
        <x:v>Pago</x:v>
      </x:c>
      <x:c r="E560" t="str">
        <x:v>Bogotá</x:v>
      </x:c>
      <x:c r="F560" t="str">
        <x:v>Bogotá D.C.</x:v>
      </x:c>
      <x:c r="G560" t="n">
        <x:v>56</x:v>
      </x:c>
      <x:c r="H560" t="str">
        <x:v>Menos de $1,5 M</x:v>
      </x:c>
      <x:c r="I560" t="str">
        <x:v>Orgánico</x:v>
      </x:c>
      <x:c r="J560" t="n">
        <x:v>2</x:v>
      </x:c>
      <x:c r="K560" t="n">
        <x:v>0</x:v>
      </x:c>
      <x:c r="L560" t="n">
        <x:v>10516799.2</x:v>
      </x:c>
      <x:c r="M560" t="n">
        <x:v>119700</x:v>
      </x:c>
      <x:c r="N560" t="n">
        <x:v>1</x:v>
      </x:c>
      <x:c r="O560" t="n">
        <x:v>29900</x:v>
      </x:c>
      <x:c r="P560" t="n">
        <x:v>3</x:v>
      </x:c>
    </x:row>
    <x:row r="561">
      <x:c r="A561" t="str">
        <x:v>2025-06</x:v>
      </x:c>
      <x:c r="B561" t="str">
        <x:v>USR-00118</x:v>
      </x:c>
      <x:c r="C561" t="str">
        <x:v>Cero</x:v>
      </x:c>
      <x:c r="D561" t="str">
        <x:v>Gratuita</x:v>
      </x:c>
      <x:c r="E561" t="str">
        <x:v>Bogotá</x:v>
      </x:c>
      <x:c r="F561" t="str">
        <x:v>Bogotá D.C.</x:v>
      </x:c>
      <x:c r="G561" t="n">
        <x:v>39</x:v>
      </x:c>
      <x:c r="H561" t="str">
        <x:v>Entre $1,5 M y $3 M</x:v>
      </x:c>
      <x:c r="I561" t="str">
        <x:v>Orgánico</x:v>
      </x:c>
      <x:c r="J561" t="n">
        <x:v>1</x:v>
      </x:c>
      <x:c r="K561" t="n">
        <x:v>0</x:v>
      </x:c>
      <x:c r="L561" t="n">
        <x:v>11097048.54</x:v>
      </x:c>
      <x:c r="M561" t="n">
        <x:v>920700</x:v>
      </x:c>
      <x:c r="N561" t="n">
        <x:v>1</x:v>
      </x:c>
      <x:c r="O561" t="n">
        <x:v>0</x:v>
      </x:c>
      <x:c r="P561" t="n">
        <x:v>3</x:v>
      </x:c>
    </x:row>
    <x:row r="562">
      <x:c r="A562" t="str">
        <x:v>2025-06</x:v>
      </x:c>
      <x:c r="B562" t="str">
        <x:v>USR-00119</x:v>
      </x:c>
      <x:c r="C562" t="str">
        <x:v>Cero</x:v>
      </x:c>
      <x:c r="D562" t="str">
        <x:v>Gratuita</x:v>
      </x:c>
      <x:c r="E562" t="str">
        <x:v>Bogotá</x:v>
      </x:c>
      <x:c r="F562" t="str">
        <x:v>Bogotá D.C.</x:v>
      </x:c>
      <x:c r="G562" t="n">
        <x:v>53</x:v>
      </x:c>
      <x:c r="H562" t="str">
        <x:v>Entre $1,5 M y $3 M</x:v>
      </x:c>
      <x:c r="I562" t="str">
        <x:v>Búsqueda paga</x:v>
      </x:c>
      <x:c r="J562" t="n">
        <x:v>2</x:v>
      </x:c>
      <x:c r="K562" t="n">
        <x:v>0</x:v>
      </x:c>
      <x:c r="L562" t="n">
        <x:v>17995697.72</x:v>
      </x:c>
      <x:c r="M562" t="n">
        <x:v>817000</x:v>
      </x:c>
      <x:c r="N562" t="n">
        <x:v>2</x:v>
      </x:c>
      <x:c r="O562" t="n">
        <x:v>0</x:v>
      </x:c>
      <x:c r="P562" t="n">
        <x:v>3</x:v>
      </x:c>
    </x:row>
    <x:row r="563">
      <x:c r="A563" t="str">
        <x:v>2025-06</x:v>
      </x:c>
      <x:c r="B563" t="str">
        <x:v>USR-00120</x:v>
      </x:c>
      <x:c r="C563" t="str">
        <x:v>Plus anual</x:v>
      </x:c>
      <x:c r="D563" t="str">
        <x:v>Pago</x:v>
      </x:c>
      <x:c r="E563" t="str">
        <x:v>Bogotá</x:v>
      </x:c>
      <x:c r="F563" t="str">
        <x:v>Bogotá D.C.</x:v>
      </x:c>
      <x:c r="G563" t="n">
        <x:v>54</x:v>
      </x:c>
      <x:c r="H563" t="str">
        <x:v>Más de $5 M</x:v>
      </x:c>
      <x:c r="I563" t="str">
        <x:v>Orgánico</x:v>
      </x:c>
      <x:c r="J563" t="n">
        <x:v>2</x:v>
      </x:c>
      <x:c r="K563" t="n">
        <x:v>0</x:v>
      </x:c>
      <x:c r="L563" t="n">
        <x:v>16198786.35</x:v>
      </x:c>
      <x:c r="M563" t="n">
        <x:v>831200</x:v>
      </x:c>
      <x:c r="N563" t="n">
        <x:v>2</x:v>
      </x:c>
      <x:c r="O563" t="n">
        <x:v>24916.67</x:v>
      </x:c>
      <x:c r="P563" t="n">
        <x:v>3</x:v>
      </x:c>
    </x:row>
    <x:row r="564">
      <x:c r="A564" t="str">
        <x:v>2025-06</x:v>
      </x:c>
      <x:c r="B564" t="str">
        <x:v>USR-00121</x:v>
      </x:c>
      <x:c r="C564" t="str">
        <x:v>Cero</x:v>
      </x:c>
      <x:c r="D564" t="str">
        <x:v>Gratuita</x:v>
      </x:c>
      <x:c r="E564" t="str">
        <x:v>Bogotá</x:v>
      </x:c>
      <x:c r="F564" t="str">
        <x:v>Bogotá D.C.</x:v>
      </x:c>
      <x:c r="G564" t="n">
        <x:v>59</x:v>
      </x:c>
      <x:c r="H564" t="str">
        <x:v>Menos de $1,5 M</x:v>
      </x:c>
      <x:c r="I564" t="str">
        <x:v>Orgánico</x:v>
      </x:c>
      <x:c r="J564" t="n">
        <x:v>1</x:v>
      </x:c>
      <x:c r="K564" t="n">
        <x:v>0</x:v>
      </x:c>
      <x:c r="L564" t="n">
        <x:v>4820072.46</x:v>
      </x:c>
      <x:c r="M564" t="n">
        <x:v>172000</x:v>
      </x:c>
      <x:c r="N564" t="n">
        <x:v>1</x:v>
      </x:c>
      <x:c r="O564" t="n">
        <x:v>0</x:v>
      </x:c>
      <x:c r="P564" t="n">
        <x:v>3</x:v>
      </x:c>
    </x:row>
    <x:row r="565">
      <x:c r="A565" t="str">
        <x:v>2025-06</x:v>
      </x:c>
      <x:c r="B565" t="str">
        <x:v>USR-00122</x:v>
      </x:c>
      <x:c r="C565" t="str">
        <x:v>Cero</x:v>
      </x:c>
      <x:c r="D565" t="str">
        <x:v>Gratuita</x:v>
      </x:c>
      <x:c r="E565" t="str">
        <x:v>Cali</x:v>
      </x:c>
      <x:c r="F565" t="str">
        <x:v>Valle del Cauca</x:v>
      </x:c>
      <x:c r="G565" t="n">
        <x:v>55</x:v>
      </x:c>
      <x:c r="H565" t="str">
        <x:v>Entre $3 M y $5 M</x:v>
      </x:c>
      <x:c r="I565" t="str">
        <x:v>Redes sociales</x:v>
      </x:c>
      <x:c r="J565" t="n">
        <x:v>5</x:v>
      </x:c>
      <x:c r="K565" t="n">
        <x:v>0</x:v>
      </x:c>
      <x:c r="L565" t="n">
        <x:v>54125469.02</x:v>
      </x:c>
      <x:c r="M565" t="n">
        <x:v>3888700</x:v>
      </x:c>
      <x:c r="N565" t="n">
        <x:v>2</x:v>
      </x:c>
      <x:c r="O565" t="n">
        <x:v>0</x:v>
      </x:c>
      <x:c r="P565" t="n">
        <x:v>2</x:v>
      </x:c>
    </x:row>
    <x:row r="566">
      <x:c r="A566" t="str">
        <x:v>2025-06</x:v>
      </x:c>
      <x:c r="B566" t="str">
        <x:v>USR-00123</x:v>
      </x:c>
      <x:c r="C566" t="str">
        <x:v>Cero</x:v>
      </x:c>
      <x:c r="D566" t="str">
        <x:v>Gratuita</x:v>
      </x:c>
      <x:c r="E566" t="str">
        <x:v>Bucaramanga</x:v>
      </x:c>
      <x:c r="F566" t="str">
        <x:v>Santander</x:v>
      </x:c>
      <x:c r="G566" t="n">
        <x:v>25</x:v>
      </x:c>
      <x:c r="H566" t="str">
        <x:v>Entre $3 M y $5 M</x:v>
      </x:c>
      <x:c r="I566" t="str">
        <x:v>Alianzas</x:v>
      </x:c>
      <x:c r="J566" t="n">
        <x:v>2</x:v>
      </x:c>
      <x:c r="K566" t="n">
        <x:v>0</x:v>
      </x:c>
      <x:c r="L566" t="n">
        <x:v>15513640.8</x:v>
      </x:c>
      <x:c r="M566" t="n">
        <x:v>435700</x:v>
      </x:c>
      <x:c r="N566" t="n">
        <x:v>1</x:v>
      </x:c>
      <x:c r="O566" t="n">
        <x:v>0</x:v>
      </x:c>
      <x:c r="P566" t="n">
        <x:v>2</x:v>
      </x:c>
    </x:row>
    <x:row r="567">
      <x:c r="A567" t="str">
        <x:v>2025-06</x:v>
      </x:c>
      <x:c r="B567" t="str">
        <x:v>USR-00124</x:v>
      </x:c>
      <x:c r="C567" t="str">
        <x:v>Cero</x:v>
      </x:c>
      <x:c r="D567" t="str">
        <x:v>Gratuita</x:v>
      </x:c>
      <x:c r="E567" t="str">
        <x:v>Cali</x:v>
      </x:c>
      <x:c r="F567" t="str">
        <x:v>Valle del Cauca</x:v>
      </x:c>
      <x:c r="G567" t="n">
        <x:v>42</x:v>
      </x:c>
      <x:c r="H567" t="str">
        <x:v>Entre $1,5 M y $3 M</x:v>
      </x:c>
      <x:c r="I567" t="str">
        <x:v>Búsqueda paga</x:v>
      </x:c>
      <x:c r="J567" t="n">
        <x:v>2</x:v>
      </x:c>
      <x:c r="K567" t="n">
        <x:v>0</x:v>
      </x:c>
      <x:c r="L567" t="n">
        <x:v>14807180.3</x:v>
      </x:c>
      <x:c r="M567" t="n">
        <x:v>305700</x:v>
      </x:c>
      <x:c r="N567" t="n">
        <x:v>1</x:v>
      </x:c>
      <x:c r="O567" t="n">
        <x:v>0</x:v>
      </x:c>
      <x:c r="P567" t="n">
        <x:v>2</x:v>
      </x:c>
    </x:row>
    <x:row r="568">
      <x:c r="A568" t="str">
        <x:v>2025-06</x:v>
      </x:c>
      <x:c r="B568" t="str">
        <x:v>USR-00125</x:v>
      </x:c>
      <x:c r="C568" t="str">
        <x:v>Cero</x:v>
      </x:c>
      <x:c r="D568" t="str">
        <x:v>Gratuita</x:v>
      </x:c>
      <x:c r="E568" t="str">
        <x:v>Medellín</x:v>
      </x:c>
      <x:c r="F568" t="str">
        <x:v>Antioquia</x:v>
      </x:c>
      <x:c r="G568" t="n">
        <x:v>24</x:v>
      </x:c>
      <x:c r="H568" t="str">
        <x:v>Entre $3 M y $5 M</x:v>
      </x:c>
      <x:c r="I568" t="str">
        <x:v>Alianzas</x:v>
      </x:c>
      <x:c r="J568" t="n">
        <x:v>2</x:v>
      </x:c>
      <x:c r="K568" t="n">
        <x:v>0</x:v>
      </x:c>
      <x:c r="L568" t="n">
        <x:v>29037269.91</x:v>
      </x:c>
      <x:c r="M568" t="n">
        <x:v>1549200</x:v>
      </x:c>
      <x:c r="N568" t="n">
        <x:v>2</x:v>
      </x:c>
      <x:c r="O568" t="n">
        <x:v>0</x:v>
      </x:c>
      <x:c r="P568" t="n">
        <x:v>2</x:v>
      </x:c>
    </x:row>
    <x:row r="569">
      <x:c r="A569" t="str">
        <x:v>2025-06</x:v>
      </x:c>
      <x:c r="B569" t="str">
        <x:v>USR-00126</x:v>
      </x:c>
      <x:c r="C569" t="str">
        <x:v>Cero</x:v>
      </x:c>
      <x:c r="D569" t="str">
        <x:v>Gratuita</x:v>
      </x:c>
      <x:c r="E569" t="str">
        <x:v>Manizales</x:v>
      </x:c>
      <x:c r="F569" t="str">
        <x:v>Caldas</x:v>
      </x:c>
      <x:c r="G569" t="n">
        <x:v>34</x:v>
      </x:c>
      <x:c r="H569" t="str">
        <x:v>Entre $3 M y $5 M</x:v>
      </x:c>
      <x:c r="I569" t="str">
        <x:v>Orgánico</x:v>
      </x:c>
      <x:c r="J569" t="n">
        <x:v>2</x:v>
      </x:c>
      <x:c r="K569" t="n">
        <x:v>0</x:v>
      </x:c>
      <x:c r="L569" t="n">
        <x:v>15746277.06</x:v>
      </x:c>
      <x:c r="M569" t="n">
        <x:v>0</x:v>
      </x:c>
      <x:c r="N569" t="n">
        <x:v>0</x:v>
      </x:c>
      <x:c r="O569" t="n">
        <x:v>0</x:v>
      </x:c>
      <x:c r="P569" t="n">
        <x:v>2</x:v>
      </x:c>
    </x:row>
    <x:row r="570">
      <x:c r="A570" t="str">
        <x:v>2025-06</x:v>
      </x:c>
      <x:c r="B570" t="str">
        <x:v>USR-00127</x:v>
      </x:c>
      <x:c r="C570" t="str">
        <x:v>Cero</x:v>
      </x:c>
      <x:c r="D570" t="str">
        <x:v>Gratuita</x:v>
      </x:c>
      <x:c r="E570" t="str">
        <x:v>Cali</x:v>
      </x:c>
      <x:c r="F570" t="str">
        <x:v>Valle del Cauca</x:v>
      </x:c>
      <x:c r="G570" t="n">
        <x:v>31</x:v>
      </x:c>
      <x:c r="H570" t="str">
        <x:v>Entre $3 M y $5 M</x:v>
      </x:c>
      <x:c r="I570" t="str">
        <x:v>Referidos</x:v>
      </x:c>
      <x:c r="J570" t="n">
        <x:v>2</x:v>
      </x:c>
      <x:c r="K570" t="n">
        <x:v>0</x:v>
      </x:c>
      <x:c r="L570" t="n">
        <x:v>6144842.61</x:v>
      </x:c>
      <x:c r="M570" t="n">
        <x:v>54200</x:v>
      </x:c>
      <x:c r="N570" t="n">
        <x:v>1</x:v>
      </x:c>
      <x:c r="O570" t="n">
        <x:v>0</x:v>
      </x:c>
      <x:c r="P570" t="n">
        <x:v>2</x:v>
      </x:c>
    </x:row>
    <x:row r="571">
      <x:c r="A571" t="str">
        <x:v>2025-06</x:v>
      </x:c>
      <x:c r="B571" t="str">
        <x:v>USR-00128</x:v>
      </x:c>
      <x:c r="C571" t="str">
        <x:v>Cero</x:v>
      </x:c>
      <x:c r="D571" t="str">
        <x:v>Gratuita</x:v>
      </x:c>
      <x:c r="E571" t="str">
        <x:v>Cali</x:v>
      </x:c>
      <x:c r="F571" t="str">
        <x:v>Valle del Cauca</x:v>
      </x:c>
      <x:c r="G571" t="n">
        <x:v>64</x:v>
      </x:c>
      <x:c r="H571" t="str">
        <x:v>Entre $1,5 M y $3 M</x:v>
      </x:c>
      <x:c r="I571" t="str">
        <x:v>Referidos</x:v>
      </x:c>
      <x:c r="J571" t="n">
        <x:v>1</x:v>
      </x:c>
      <x:c r="K571" t="n">
        <x:v>0</x:v>
      </x:c>
      <x:c r="L571" t="n">
        <x:v>9420480.23</x:v>
      </x:c>
      <x:c r="M571" t="n">
        <x:v>0</x:v>
      </x:c>
      <x:c r="N571" t="n">
        <x:v>0</x:v>
      </x:c>
      <x:c r="O571" t="n">
        <x:v>0</x:v>
      </x:c>
      <x:c r="P571" t="n">
        <x:v>2</x:v>
      </x:c>
    </x:row>
    <x:row r="572">
      <x:c r="A572" t="str">
        <x:v>2025-06</x:v>
      </x:c>
      <x:c r="B572" t="str">
        <x:v>USR-00129</x:v>
      </x:c>
      <x:c r="C572" t="str">
        <x:v>Cero</x:v>
      </x:c>
      <x:c r="D572" t="str">
        <x:v>Gratuita</x:v>
      </x:c>
      <x:c r="E572" t="str">
        <x:v>Bogotá</x:v>
      </x:c>
      <x:c r="F572" t="str">
        <x:v>Bogotá D.C.</x:v>
      </x:c>
      <x:c r="G572" t="n">
        <x:v>61</x:v>
      </x:c>
      <x:c r="H572" t="str">
        <x:v>Más de $5 M</x:v>
      </x:c>
      <x:c r="I572" t="str">
        <x:v>Referidos</x:v>
      </x:c>
      <x:c r="J572" t="n">
        <x:v>2</x:v>
      </x:c>
      <x:c r="K572" t="n">
        <x:v>0</x:v>
      </x:c>
      <x:c r="L572" t="n">
        <x:v>29034575.52</x:v>
      </x:c>
      <x:c r="M572" t="n">
        <x:v>1287800</x:v>
      </x:c>
      <x:c r="N572" t="n">
        <x:v>2</x:v>
      </x:c>
      <x:c r="O572" t="n">
        <x:v>0</x:v>
      </x:c>
      <x:c r="P572" t="n">
        <x:v>2</x:v>
      </x:c>
    </x:row>
    <x:row r="573">
      <x:c r="A573" t="str">
        <x:v>2025-06</x:v>
      </x:c>
      <x:c r="B573" t="str">
        <x:v>USR-00130</x:v>
      </x:c>
      <x:c r="C573" t="str">
        <x:v>Cero</x:v>
      </x:c>
      <x:c r="D573" t="str">
        <x:v>Gratuita</x:v>
      </x:c>
      <x:c r="E573" t="str">
        <x:v>Pereira</x:v>
      </x:c>
      <x:c r="F573" t="str">
        <x:v>Risaralda</x:v>
      </x:c>
      <x:c r="G573" t="n">
        <x:v>35</x:v>
      </x:c>
      <x:c r="H573" t="str">
        <x:v>Menos de $1,5 M</x:v>
      </x:c>
      <x:c r="I573" t="str">
        <x:v>Alianzas</x:v>
      </x:c>
      <x:c r="J573" t="n">
        <x:v>2</x:v>
      </x:c>
      <x:c r="K573" t="n">
        <x:v>0</x:v>
      </x:c>
      <x:c r="L573" t="n">
        <x:v>63373310.81</x:v>
      </x:c>
      <x:c r="M573" t="n">
        <x:v>2590600</x:v>
      </x:c>
      <x:c r="N573" t="n">
        <x:v>2</x:v>
      </x:c>
      <x:c r="O573" t="n">
        <x:v>0</x:v>
      </x:c>
      <x:c r="P573" t="n">
        <x:v>2</x:v>
      </x:c>
    </x:row>
    <x:row r="574">
      <x:c r="A574" t="str">
        <x:v>2025-06</x:v>
      </x:c>
      <x:c r="B574" t="str">
        <x:v>USR-00131</x:v>
      </x:c>
      <x:c r="C574" t="str">
        <x:v>Cero</x:v>
      </x:c>
      <x:c r="D574" t="str">
        <x:v>Gratuita</x:v>
      </x:c>
      <x:c r="E574" t="str">
        <x:v>Bogotá</x:v>
      </x:c>
      <x:c r="F574" t="str">
        <x:v>Bogotá D.C.</x:v>
      </x:c>
      <x:c r="G574" t="n">
        <x:v>62</x:v>
      </x:c>
      <x:c r="H574" t="str">
        <x:v>Menos de $1,5 M</x:v>
      </x:c>
      <x:c r="I574" t="str">
        <x:v>Orgánico</x:v>
      </x:c>
      <x:c r="J574" t="n">
        <x:v>1</x:v>
      </x:c>
      <x:c r="K574" t="n">
        <x:v>0</x:v>
      </x:c>
      <x:c r="L574" t="n">
        <x:v>5178563.88</x:v>
      </x:c>
      <x:c r="M574" t="n">
        <x:v>0</x:v>
      </x:c>
      <x:c r="N574" t="n">
        <x:v>0</x:v>
      </x:c>
      <x:c r="O574" t="n">
        <x:v>0</x:v>
      </x:c>
      <x:c r="P574" t="n">
        <x:v>2</x:v>
      </x:c>
    </x:row>
    <x:row r="575">
      <x:c r="A575" t="str">
        <x:v>2025-06</x:v>
      </x:c>
      <x:c r="B575" t="str">
        <x:v>USR-00132</x:v>
      </x:c>
      <x:c r="C575" t="str">
        <x:v>Cero</x:v>
      </x:c>
      <x:c r="D575" t="str">
        <x:v>Gratuita</x:v>
      </x:c>
      <x:c r="E575" t="str">
        <x:v>Bogotá</x:v>
      </x:c>
      <x:c r="F575" t="str">
        <x:v>Bogotá D.C.</x:v>
      </x:c>
      <x:c r="G575" t="n">
        <x:v>22</x:v>
      </x:c>
      <x:c r="H575" t="str">
        <x:v>Entre $1,5 M y $3 M</x:v>
      </x:c>
      <x:c r="I575" t="str">
        <x:v>Redes sociales</x:v>
      </x:c>
      <x:c r="J575" t="n">
        <x:v>2</x:v>
      </x:c>
      <x:c r="K575" t="n">
        <x:v>0</x:v>
      </x:c>
      <x:c r="L575" t="n">
        <x:v>21892075.18</x:v>
      </x:c>
      <x:c r="M575" t="n">
        <x:v>829400</x:v>
      </x:c>
      <x:c r="N575" t="n">
        <x:v>1</x:v>
      </x:c>
      <x:c r="O575" t="n">
        <x:v>0</x:v>
      </x:c>
      <x:c r="P575" t="n">
        <x:v>2</x:v>
      </x:c>
    </x:row>
    <x:row r="576">
      <x:c r="A576" t="str">
        <x:v>2025-06</x:v>
      </x:c>
      <x:c r="B576" t="str">
        <x:v>USR-00133</x:v>
      </x:c>
      <x:c r="C576" t="str">
        <x:v>Cero</x:v>
      </x:c>
      <x:c r="D576" t="str">
        <x:v>Gratuita</x:v>
      </x:c>
      <x:c r="E576" t="str">
        <x:v>Barranquilla</x:v>
      </x:c>
      <x:c r="F576" t="str">
        <x:v>Atlántico</x:v>
      </x:c>
      <x:c r="G576" t="n">
        <x:v>61</x:v>
      </x:c>
      <x:c r="H576" t="str">
        <x:v>Entre $3 M y $5 M</x:v>
      </x:c>
      <x:c r="I576" t="str">
        <x:v>Redes sociales</x:v>
      </x:c>
      <x:c r="J576" t="n">
        <x:v>1</x:v>
      </x:c>
      <x:c r="K576" t="n">
        <x:v>0</x:v>
      </x:c>
      <x:c r="L576" t="n">
        <x:v>3854741.62</x:v>
      </x:c>
      <x:c r="M576" t="n">
        <x:v>206100</x:v>
      </x:c>
      <x:c r="N576" t="n">
        <x:v>1</x:v>
      </x:c>
      <x:c r="O576" t="n">
        <x:v>0</x:v>
      </x:c>
      <x:c r="P576" t="n">
        <x:v>2</x:v>
      </x:c>
    </x:row>
    <x:row r="577">
      <x:c r="A577" t="str">
        <x:v>2025-06</x:v>
      </x:c>
      <x:c r="B577" t="str">
        <x:v>USR-00134</x:v>
      </x:c>
      <x:c r="C577" t="str">
        <x:v>Cero</x:v>
      </x:c>
      <x:c r="D577" t="str">
        <x:v>Gratuita</x:v>
      </x:c>
      <x:c r="E577" t="str">
        <x:v>Cali</x:v>
      </x:c>
      <x:c r="F577" t="str">
        <x:v>Valle del Cauca</x:v>
      </x:c>
      <x:c r="G577" t="n">
        <x:v>27</x:v>
      </x:c>
      <x:c r="H577" t="str">
        <x:v>Entre $3 M y $5 M</x:v>
      </x:c>
      <x:c r="I577" t="str">
        <x:v>Referidos</x:v>
      </x:c>
      <x:c r="J577" t="n">
        <x:v>3</x:v>
      </x:c>
      <x:c r="K577" t="n">
        <x:v>0</x:v>
      </x:c>
      <x:c r="L577" t="n">
        <x:v>15481964.79</x:v>
      </x:c>
      <x:c r="M577" t="n">
        <x:v>409100</x:v>
      </x:c>
      <x:c r="N577" t="n">
        <x:v>2</x:v>
      </x:c>
      <x:c r="O577" t="n">
        <x:v>0</x:v>
      </x:c>
      <x:c r="P577" t="n">
        <x:v>2</x:v>
      </x:c>
    </x:row>
    <x:row r="578">
      <x:c r="A578" t="str">
        <x:v>2025-06</x:v>
      </x:c>
      <x:c r="B578" t="str">
        <x:v>USR-00135</x:v>
      </x:c>
      <x:c r="C578" t="str">
        <x:v>Cero</x:v>
      </x:c>
      <x:c r="D578" t="str">
        <x:v>Gratuita</x:v>
      </x:c>
      <x:c r="E578" t="str">
        <x:v>Medellín</x:v>
      </x:c>
      <x:c r="F578" t="str">
        <x:v>Antioquia</x:v>
      </x:c>
      <x:c r="G578" t="n">
        <x:v>59</x:v>
      </x:c>
      <x:c r="H578" t="str">
        <x:v>Entre $3 M y $5 M</x:v>
      </x:c>
      <x:c r="I578" t="str">
        <x:v>Orgánico</x:v>
      </x:c>
      <x:c r="J578" t="n">
        <x:v>1</x:v>
      </x:c>
      <x:c r="K578" t="n">
        <x:v>0</x:v>
      </x:c>
      <x:c r="L578" t="n">
        <x:v>3186802.72</x:v>
      </x:c>
      <x:c r="M578" t="n">
        <x:v>346900</x:v>
      </x:c>
      <x:c r="N578" t="n">
        <x:v>1</x:v>
      </x:c>
      <x:c r="O578" t="n">
        <x:v>0</x:v>
      </x:c>
      <x:c r="P578" t="n">
        <x:v>2</x:v>
      </x:c>
    </x:row>
    <x:row r="579">
      <x:c r="A579" t="str">
        <x:v>2025-06</x:v>
      </x:c>
      <x:c r="B579" t="str">
        <x:v>USR-00136</x:v>
      </x:c>
      <x:c r="C579" t="str">
        <x:v>Cero</x:v>
      </x:c>
      <x:c r="D579" t="str">
        <x:v>Gratuita</x:v>
      </x:c>
      <x:c r="E579" t="str">
        <x:v>Medellín</x:v>
      </x:c>
      <x:c r="F579" t="str">
        <x:v>Antioquia</x:v>
      </x:c>
      <x:c r="G579" t="n">
        <x:v>49</x:v>
      </x:c>
      <x:c r="H579" t="str">
        <x:v>Entre $1,5 M y $3 M</x:v>
      </x:c>
      <x:c r="I579" t="str">
        <x:v>Referidos</x:v>
      </x:c>
      <x:c r="J579" t="n">
        <x:v>1</x:v>
      </x:c>
      <x:c r="K579" t="n">
        <x:v>0</x:v>
      </x:c>
      <x:c r="L579" t="n">
        <x:v>1218583.67</x:v>
      </x:c>
      <x:c r="M579" t="n">
        <x:v>31400</x:v>
      </x:c>
      <x:c r="N579" t="n">
        <x:v>1</x:v>
      </x:c>
      <x:c r="O579" t="n">
        <x:v>0</x:v>
      </x:c>
      <x:c r="P579" t="n">
        <x:v>2</x:v>
      </x:c>
    </x:row>
    <x:row r="580">
      <x:c r="A580" t="str">
        <x:v>2025-06</x:v>
      </x:c>
      <x:c r="B580" t="str">
        <x:v>USR-00137</x:v>
      </x:c>
      <x:c r="C580" t="str">
        <x:v>Cero</x:v>
      </x:c>
      <x:c r="D580" t="str">
        <x:v>Gratuita</x:v>
      </x:c>
      <x:c r="E580" t="str">
        <x:v>Bucaramanga</x:v>
      </x:c>
      <x:c r="F580" t="str">
        <x:v>Santander</x:v>
      </x:c>
      <x:c r="G580" t="n">
        <x:v>50</x:v>
      </x:c>
      <x:c r="H580" t="str">
        <x:v>Entre $3 M y $5 M</x:v>
      </x:c>
      <x:c r="I580" t="str">
        <x:v>Redes sociales</x:v>
      </x:c>
      <x:c r="J580" t="n">
        <x:v>2</x:v>
      </x:c>
      <x:c r="K580" t="n">
        <x:v>0</x:v>
      </x:c>
      <x:c r="L580" t="n">
        <x:v>11798785.86</x:v>
      </x:c>
      <x:c r="M580" t="n">
        <x:v>255900</x:v>
      </x:c>
      <x:c r="N580" t="n">
        <x:v>1</x:v>
      </x:c>
      <x:c r="O580" t="n">
        <x:v>0</x:v>
      </x:c>
      <x:c r="P580" t="n">
        <x:v>2</x:v>
      </x:c>
    </x:row>
    <x:row r="581">
      <x:c r="A581" t="str">
        <x:v>2025-06</x:v>
      </x:c>
      <x:c r="B581" t="str">
        <x:v>USR-00138</x:v>
      </x:c>
      <x:c r="C581" t="str">
        <x:v>Cero</x:v>
      </x:c>
      <x:c r="D581" t="str">
        <x:v>Gratuita</x:v>
      </x:c>
      <x:c r="E581" t="str">
        <x:v>Cali</x:v>
      </x:c>
      <x:c r="F581" t="str">
        <x:v>Valle del Cauca</x:v>
      </x:c>
      <x:c r="G581" t="n">
        <x:v>28</x:v>
      </x:c>
      <x:c r="H581" t="str">
        <x:v>Entre $1,5 M y $3 M</x:v>
      </x:c>
      <x:c r="I581" t="str">
        <x:v>Orgánico</x:v>
      </x:c>
      <x:c r="J581" t="n">
        <x:v>2</x:v>
      </x:c>
      <x:c r="K581" t="n">
        <x:v>0</x:v>
      </x:c>
      <x:c r="L581" t="n">
        <x:v>21181508.57</x:v>
      </x:c>
      <x:c r="M581" t="n">
        <x:v>878500</x:v>
      </x:c>
      <x:c r="N581" t="n">
        <x:v>2</x:v>
      </x:c>
      <x:c r="O581" t="n">
        <x:v>0</x:v>
      </x:c>
      <x:c r="P581" t="n">
        <x:v>2</x:v>
      </x:c>
    </x:row>
    <x:row r="582">
      <x:c r="A582" t="str">
        <x:v>2025-06</x:v>
      </x:c>
      <x:c r="B582" t="str">
        <x:v>USR-00139</x:v>
      </x:c>
      <x:c r="C582" t="str">
        <x:v>Cero</x:v>
      </x:c>
      <x:c r="D582" t="str">
        <x:v>Gratuita</x:v>
      </x:c>
      <x:c r="E582" t="str">
        <x:v>Barranquilla</x:v>
      </x:c>
      <x:c r="F582" t="str">
        <x:v>Atlántico</x:v>
      </x:c>
      <x:c r="G582" t="n">
        <x:v>37</x:v>
      </x:c>
      <x:c r="H582" t="str">
        <x:v>Menos de $1,5 M</x:v>
      </x:c>
      <x:c r="I582" t="str">
        <x:v>Alianzas</x:v>
      </x:c>
      <x:c r="J582" t="n">
        <x:v>2</x:v>
      </x:c>
      <x:c r="K582" t="n">
        <x:v>0</x:v>
      </x:c>
      <x:c r="L582" t="n">
        <x:v>20124023.85</x:v>
      </x:c>
      <x:c r="M582" t="n">
        <x:v>471300</x:v>
      </x:c>
      <x:c r="N582" t="n">
        <x:v>2</x:v>
      </x:c>
      <x:c r="O582" t="n">
        <x:v>0</x:v>
      </x:c>
      <x:c r="P582" t="n">
        <x:v>2</x:v>
      </x:c>
    </x:row>
    <x:row r="583">
      <x:c r="A583" t="str">
        <x:v>2025-06</x:v>
      </x:c>
      <x:c r="B583" t="str">
        <x:v>USR-00140</x:v>
      </x:c>
      <x:c r="C583" t="str">
        <x:v>Plus mensual</x:v>
      </x:c>
      <x:c r="D583" t="str">
        <x:v>Pago</x:v>
      </x:c>
      <x:c r="E583" t="str">
        <x:v>Bogotá</x:v>
      </x:c>
      <x:c r="F583" t="str">
        <x:v>Bogotá D.C.</x:v>
      </x:c>
      <x:c r="G583" t="n">
        <x:v>38</x:v>
      </x:c>
      <x:c r="H583" t="str">
        <x:v>Entre $3 M y $5 M</x:v>
      </x:c>
      <x:c r="I583" t="str">
        <x:v>Contenido educativo</x:v>
      </x:c>
      <x:c r="J583" t="n">
        <x:v>3</x:v>
      </x:c>
      <x:c r="K583" t="n">
        <x:v>0</x:v>
      </x:c>
      <x:c r="L583" t="n">
        <x:v>28888729.78</x:v>
      </x:c>
      <x:c r="M583" t="n">
        <x:v>787100</x:v>
      </x:c>
      <x:c r="N583" t="n">
        <x:v>2</x:v>
      </x:c>
      <x:c r="O583" t="n">
        <x:v>29900</x:v>
      </x:c>
      <x:c r="P583" t="n">
        <x:v>2</x:v>
      </x:c>
    </x:row>
    <x:row r="584">
      <x:c r="A584" t="str">
        <x:v>2025-06</x:v>
      </x:c>
      <x:c r="B584" t="str">
        <x:v>USR-00141</x:v>
      </x:c>
      <x:c r="C584" t="str">
        <x:v>Plus anual</x:v>
      </x:c>
      <x:c r="D584" t="str">
        <x:v>Pago</x:v>
      </x:c>
      <x:c r="E584" t="str">
        <x:v>Bogotá</x:v>
      </x:c>
      <x:c r="F584" t="str">
        <x:v>Bogotá D.C.</x:v>
      </x:c>
      <x:c r="G584" t="n">
        <x:v>53</x:v>
      </x:c>
      <x:c r="H584" t="str">
        <x:v>Menos de $1,5 M</x:v>
      </x:c>
      <x:c r="I584" t="str">
        <x:v>Orgánico</x:v>
      </x:c>
      <x:c r="J584" t="n">
        <x:v>5</x:v>
      </x:c>
      <x:c r="K584" t="n">
        <x:v>0</x:v>
      </x:c>
      <x:c r="L584" t="n">
        <x:v>36398271.76</x:v>
      </x:c>
      <x:c r="M584" t="n">
        <x:v>1332300</x:v>
      </x:c>
      <x:c r="N584" t="n">
        <x:v>5</x:v>
      </x:c>
      <x:c r="O584" t="n">
        <x:v>24916.67</x:v>
      </x:c>
      <x:c r="P584" t="n">
        <x:v>2</x:v>
      </x:c>
    </x:row>
    <x:row r="585">
      <x:c r="A585" t="str">
        <x:v>2025-06</x:v>
      </x:c>
      <x:c r="B585" t="str">
        <x:v>USR-00142</x:v>
      </x:c>
      <x:c r="C585" t="str">
        <x:v>Cero</x:v>
      </x:c>
      <x:c r="D585" t="str">
        <x:v>Gratuita</x:v>
      </x:c>
      <x:c r="E585" t="str">
        <x:v>Villavicencio</x:v>
      </x:c>
      <x:c r="F585" t="str">
        <x:v>Meta</x:v>
      </x:c>
      <x:c r="G585" t="n">
        <x:v>41</x:v>
      </x:c>
      <x:c r="H585" t="str">
        <x:v>Menos de $1,5 M</x:v>
      </x:c>
      <x:c r="I585" t="str">
        <x:v>Redes sociales</x:v>
      </x:c>
      <x:c r="J585" t="n">
        <x:v>1</x:v>
      </x:c>
      <x:c r="K585" t="n">
        <x:v>0</x:v>
      </x:c>
      <x:c r="L585" t="n">
        <x:v>6745581.93</x:v>
      </x:c>
      <x:c r="M585" t="n">
        <x:v>237800</x:v>
      </x:c>
      <x:c r="N585" t="n">
        <x:v>1</x:v>
      </x:c>
      <x:c r="O585" t="n">
        <x:v>0</x:v>
      </x:c>
      <x:c r="P585" t="n">
        <x:v>2</x:v>
      </x:c>
    </x:row>
    <x:row r="586">
      <x:c r="A586" t="str">
        <x:v>2025-06</x:v>
      </x:c>
      <x:c r="B586" t="str">
        <x:v>USR-00143</x:v>
      </x:c>
      <x:c r="C586" t="str">
        <x:v>Cero</x:v>
      </x:c>
      <x:c r="D586" t="str">
        <x:v>Gratuita</x:v>
      </x:c>
      <x:c r="E586" t="str">
        <x:v>Bogotá</x:v>
      </x:c>
      <x:c r="F586" t="str">
        <x:v>Bogotá D.C.</x:v>
      </x:c>
      <x:c r="G586" t="n">
        <x:v>56</x:v>
      </x:c>
      <x:c r="H586" t="str">
        <x:v>Entre $3 M y $5 M</x:v>
      </x:c>
      <x:c r="I586" t="str">
        <x:v>Orgánico</x:v>
      </x:c>
      <x:c r="J586" t="n">
        <x:v>1</x:v>
      </x:c>
      <x:c r="K586" t="n">
        <x:v>0</x:v>
      </x:c>
      <x:c r="L586" t="n">
        <x:v>7722311.92</x:v>
      </x:c>
      <x:c r="M586" t="n">
        <x:v>226400</x:v>
      </x:c>
      <x:c r="N586" t="n">
        <x:v>1</x:v>
      </x:c>
      <x:c r="O586" t="n">
        <x:v>0</x:v>
      </x:c>
      <x:c r="P586" t="n">
        <x:v>2</x:v>
      </x:c>
    </x:row>
    <x:row r="587">
      <x:c r="A587" t="str">
        <x:v>2025-06</x:v>
      </x:c>
      <x:c r="B587" t="str">
        <x:v>USR-00144</x:v>
      </x:c>
      <x:c r="C587" t="str">
        <x:v>Cero</x:v>
      </x:c>
      <x:c r="D587" t="str">
        <x:v>Gratuita</x:v>
      </x:c>
      <x:c r="E587" t="str">
        <x:v>Medellín</x:v>
      </x:c>
      <x:c r="F587" t="str">
        <x:v>Antioquia</x:v>
      </x:c>
      <x:c r="G587" t="n">
        <x:v>37</x:v>
      </x:c>
      <x:c r="H587" t="str">
        <x:v>Entre $1,5 M y $3 M</x:v>
      </x:c>
      <x:c r="I587" t="str">
        <x:v>Búsqueda paga</x:v>
      </x:c>
      <x:c r="J587" t="n">
        <x:v>1</x:v>
      </x:c>
      <x:c r="K587" t="n">
        <x:v>0</x:v>
      </x:c>
      <x:c r="L587" t="n">
        <x:v>3388378.18</x:v>
      </x:c>
      <x:c r="M587" t="n">
        <x:v>213300</x:v>
      </x:c>
      <x:c r="N587" t="n">
        <x:v>1</x:v>
      </x:c>
      <x:c r="O587" t="n">
        <x:v>0</x:v>
      </x:c>
      <x:c r="P587" t="n">
        <x:v>2</x:v>
      </x:c>
    </x:row>
    <x:row r="588">
      <x:c r="A588" t="str">
        <x:v>2025-06</x:v>
      </x:c>
      <x:c r="B588" t="str">
        <x:v>USR-00145</x:v>
      </x:c>
      <x:c r="C588" t="str">
        <x:v>Plus mensual</x:v>
      </x:c>
      <x:c r="D588" t="str">
        <x:v>Pago</x:v>
      </x:c>
      <x:c r="E588" t="str">
        <x:v>Bogotá</x:v>
      </x:c>
      <x:c r="F588" t="str">
        <x:v>Bogotá D.C.</x:v>
      </x:c>
      <x:c r="G588" t="n">
        <x:v>42</x:v>
      </x:c>
      <x:c r="H588" t="str">
        <x:v>Entre $3 M y $5 M</x:v>
      </x:c>
      <x:c r="I588" t="str">
        <x:v>Redes sociales</x:v>
      </x:c>
      <x:c r="J588" t="n">
        <x:v>1</x:v>
      </x:c>
      <x:c r="K588" t="n">
        <x:v>0</x:v>
      </x:c>
      <x:c r="L588" t="n">
        <x:v>22852260.53</x:v>
      </x:c>
      <x:c r="M588" t="n">
        <x:v>1127600</x:v>
      </x:c>
      <x:c r="N588" t="n">
        <x:v>1</x:v>
      </x:c>
      <x:c r="O588" t="n">
        <x:v>29900</x:v>
      </x:c>
      <x:c r="P588" t="n">
        <x:v>2</x:v>
      </x:c>
    </x:row>
    <x:row r="589">
      <x:c r="A589" t="str">
        <x:v>2025-06</x:v>
      </x:c>
      <x:c r="B589" t="str">
        <x:v>USR-00146</x:v>
      </x:c>
      <x:c r="C589" t="str">
        <x:v>Plus mensual</x:v>
      </x:c>
      <x:c r="D589" t="str">
        <x:v>Pago</x:v>
      </x:c>
      <x:c r="E589" t="str">
        <x:v>Cali</x:v>
      </x:c>
      <x:c r="F589" t="str">
        <x:v>Valle del Cauca</x:v>
      </x:c>
      <x:c r="G589" t="n">
        <x:v>49</x:v>
      </x:c>
      <x:c r="H589" t="str">
        <x:v>Entre $3 M y $5 M</x:v>
      </x:c>
      <x:c r="I589" t="str">
        <x:v>Orgánico</x:v>
      </x:c>
      <x:c r="J589" t="n">
        <x:v>4</x:v>
      </x:c>
      <x:c r="K589" t="n">
        <x:v>0</x:v>
      </x:c>
      <x:c r="L589" t="n">
        <x:v>71527627.05</x:v>
      </x:c>
      <x:c r="M589" t="n">
        <x:v>2257900</x:v>
      </x:c>
      <x:c r="N589" t="n">
        <x:v>2</x:v>
      </x:c>
      <x:c r="O589" t="n">
        <x:v>29900</x:v>
      </x:c>
      <x:c r="P589" t="n">
        <x:v>1</x:v>
      </x:c>
    </x:row>
    <x:row r="590">
      <x:c r="A590" t="str">
        <x:v>2025-06</x:v>
      </x:c>
      <x:c r="B590" t="str">
        <x:v>USR-00147</x:v>
      </x:c>
      <x:c r="C590" t="str">
        <x:v>Cero</x:v>
      </x:c>
      <x:c r="D590" t="str">
        <x:v>Gratuita</x:v>
      </x:c>
      <x:c r="E590" t="str">
        <x:v>Cali</x:v>
      </x:c>
      <x:c r="F590" t="str">
        <x:v>Valle del Cauca</x:v>
      </x:c>
      <x:c r="G590" t="n">
        <x:v>49</x:v>
      </x:c>
      <x:c r="H590" t="str">
        <x:v>Más de $5 M</x:v>
      </x:c>
      <x:c r="I590" t="str">
        <x:v>Alianzas</x:v>
      </x:c>
      <x:c r="J590" t="n">
        <x:v>2</x:v>
      </x:c>
      <x:c r="K590" t="n">
        <x:v>0</x:v>
      </x:c>
      <x:c r="L590" t="n">
        <x:v>49835772.15</x:v>
      </x:c>
      <x:c r="M590" t="n">
        <x:v>5274400</x:v>
      </x:c>
      <x:c r="N590" t="n">
        <x:v>2</x:v>
      </x:c>
      <x:c r="O590" t="n">
        <x:v>0</x:v>
      </x:c>
      <x:c r="P590" t="n">
        <x:v>1</x:v>
      </x:c>
    </x:row>
    <x:row r="591">
      <x:c r="A591" t="str">
        <x:v>2025-06</x:v>
      </x:c>
      <x:c r="B591" t="str">
        <x:v>USR-00148</x:v>
      </x:c>
      <x:c r="C591" t="str">
        <x:v>Cero</x:v>
      </x:c>
      <x:c r="D591" t="str">
        <x:v>Gratuita</x:v>
      </x:c>
      <x:c r="E591" t="str">
        <x:v>Barranquilla</x:v>
      </x:c>
      <x:c r="F591" t="str">
        <x:v>Atlántico</x:v>
      </x:c>
      <x:c r="G591" t="n">
        <x:v>29</x:v>
      </x:c>
      <x:c r="H591" t="str">
        <x:v>Entre $1,5 M y $3 M</x:v>
      </x:c>
      <x:c r="I591" t="str">
        <x:v>Contenido educativo</x:v>
      </x:c>
      <x:c r="J591" t="n">
        <x:v>1</x:v>
      </x:c>
      <x:c r="K591" t="n">
        <x:v>0</x:v>
      </x:c>
      <x:c r="L591" t="n">
        <x:v>3967280.68</x:v>
      </x:c>
      <x:c r="M591" t="n">
        <x:v>167200</x:v>
      </x:c>
      <x:c r="N591" t="n">
        <x:v>1</x:v>
      </x:c>
      <x:c r="O591" t="n">
        <x:v>0</x:v>
      </x:c>
      <x:c r="P591" t="n">
        <x:v>1</x:v>
      </x:c>
    </x:row>
    <x:row r="592">
      <x:c r="A592" t="str">
        <x:v>2025-06</x:v>
      </x:c>
      <x:c r="B592" t="str">
        <x:v>USR-00149</x:v>
      </x:c>
      <x:c r="C592" t="str">
        <x:v>Cero</x:v>
      </x:c>
      <x:c r="D592" t="str">
        <x:v>Gratuita</x:v>
      </x:c>
      <x:c r="E592" t="str">
        <x:v>Bogotá</x:v>
      </x:c>
      <x:c r="F592" t="str">
        <x:v>Bogotá D.C.</x:v>
      </x:c>
      <x:c r="G592" t="n">
        <x:v>34</x:v>
      </x:c>
      <x:c r="H592" t="str">
        <x:v>Entre $1,5 M y $3 M</x:v>
      </x:c>
      <x:c r="I592" t="str">
        <x:v>Orgánico</x:v>
      </x:c>
      <x:c r="J592" t="n">
        <x:v>2</x:v>
      </x:c>
      <x:c r="K592" t="n">
        <x:v>0</x:v>
      </x:c>
      <x:c r="L592" t="n">
        <x:v>33684509.28</x:v>
      </x:c>
      <x:c r="M592" t="n">
        <x:v>1185900</x:v>
      </x:c>
      <x:c r="N592" t="n">
        <x:v>2</x:v>
      </x:c>
      <x:c r="O592" t="n">
        <x:v>0</x:v>
      </x:c>
      <x:c r="P592" t="n">
        <x:v>1</x:v>
      </x:c>
    </x:row>
    <x:row r="593">
      <x:c r="A593" t="str">
        <x:v>2025-06</x:v>
      </x:c>
      <x:c r="B593" t="str">
        <x:v>USR-00150</x:v>
      </x:c>
      <x:c r="C593" t="str">
        <x:v>Cero</x:v>
      </x:c>
      <x:c r="D593" t="str">
        <x:v>Gratuita</x:v>
      </x:c>
      <x:c r="E593" t="str">
        <x:v>Cali</x:v>
      </x:c>
      <x:c r="F593" t="str">
        <x:v>Valle del Cauca</x:v>
      </x:c>
      <x:c r="G593" t="n">
        <x:v>24</x:v>
      </x:c>
      <x:c r="H593" t="str">
        <x:v>Menos de $1,5 M</x:v>
      </x:c>
      <x:c r="I593" t="str">
        <x:v>Alianzas</x:v>
      </x:c>
      <x:c r="J593" t="n">
        <x:v>1</x:v>
      </x:c>
      <x:c r="K593" t="n">
        <x:v>0</x:v>
      </x:c>
      <x:c r="L593" t="n">
        <x:v>1955887.07</x:v>
      </x:c>
      <x:c r="M593" t="n">
        <x:v>122000</x:v>
      </x:c>
      <x:c r="N593" t="n">
        <x:v>1</x:v>
      </x:c>
      <x:c r="O593" t="n">
        <x:v>0</x:v>
      </x:c>
      <x:c r="P593" t="n">
        <x:v>1</x:v>
      </x:c>
    </x:row>
    <x:row r="594">
      <x:c r="A594" t="str">
        <x:v>2025-06</x:v>
      </x:c>
      <x:c r="B594" t="str">
        <x:v>USR-00151</x:v>
      </x:c>
      <x:c r="C594" t="str">
        <x:v>Plus anual</x:v>
      </x:c>
      <x:c r="D594" t="str">
        <x:v>Pago</x:v>
      </x:c>
      <x:c r="E594" t="str">
        <x:v>Cali</x:v>
      </x:c>
      <x:c r="F594" t="str">
        <x:v>Valle del Cauca</x:v>
      </x:c>
      <x:c r="G594" t="n">
        <x:v>51</x:v>
      </x:c>
      <x:c r="H594" t="str">
        <x:v>Entre $3 M y $5 M</x:v>
      </x:c>
      <x:c r="I594" t="str">
        <x:v>Búsqueda paga</x:v>
      </x:c>
      <x:c r="J594" t="n">
        <x:v>4</x:v>
      </x:c>
      <x:c r="K594" t="n">
        <x:v>0</x:v>
      </x:c>
      <x:c r="L594" t="n">
        <x:v>11863212.24</x:v>
      </x:c>
      <x:c r="M594" t="n">
        <x:v>1043500</x:v>
      </x:c>
      <x:c r="N594" t="n">
        <x:v>4</x:v>
      </x:c>
      <x:c r="O594" t="n">
        <x:v>24916.67</x:v>
      </x:c>
      <x:c r="P594" t="n">
        <x:v>1</x:v>
      </x:c>
    </x:row>
    <x:row r="595">
      <x:c r="A595" t="str">
        <x:v>2025-06</x:v>
      </x:c>
      <x:c r="B595" t="str">
        <x:v>USR-00152</x:v>
      </x:c>
      <x:c r="C595" t="str">
        <x:v>Cero</x:v>
      </x:c>
      <x:c r="D595" t="str">
        <x:v>Gratuita</x:v>
      </x:c>
      <x:c r="E595" t="str">
        <x:v>Bogotá</x:v>
      </x:c>
      <x:c r="F595" t="str">
        <x:v>Bogotá D.C.</x:v>
      </x:c>
      <x:c r="G595" t="n">
        <x:v>34</x:v>
      </x:c>
      <x:c r="H595" t="str">
        <x:v>Entre $1,5 M y $3 M</x:v>
      </x:c>
      <x:c r="I595" t="str">
        <x:v>Orgánico</x:v>
      </x:c>
      <x:c r="J595" t="n">
        <x:v>2</x:v>
      </x:c>
      <x:c r="K595" t="n">
        <x:v>0</x:v>
      </x:c>
      <x:c r="L595" t="n">
        <x:v>16601823.3</x:v>
      </x:c>
      <x:c r="M595" t="n">
        <x:v>549800</x:v>
      </x:c>
      <x:c r="N595" t="n">
        <x:v>2</x:v>
      </x:c>
      <x:c r="O595" t="n">
        <x:v>0</x:v>
      </x:c>
      <x:c r="P595" t="n">
        <x:v>1</x:v>
      </x:c>
    </x:row>
    <x:row r="596">
      <x:c r="A596" t="str">
        <x:v>2025-06</x:v>
      </x:c>
      <x:c r="B596" t="str">
        <x:v>USR-00153</x:v>
      </x:c>
      <x:c r="C596" t="str">
        <x:v>Cero</x:v>
      </x:c>
      <x:c r="D596" t="str">
        <x:v>Gratuita</x:v>
      </x:c>
      <x:c r="E596" t="str">
        <x:v>Cali</x:v>
      </x:c>
      <x:c r="F596" t="str">
        <x:v>Valle del Cauca</x:v>
      </x:c>
      <x:c r="G596" t="n">
        <x:v>47</x:v>
      </x:c>
      <x:c r="H596" t="str">
        <x:v>Entre $3 M y $5 M</x:v>
      </x:c>
      <x:c r="I596" t="str">
        <x:v>Referidos</x:v>
      </x:c>
      <x:c r="J596" t="n">
        <x:v>1</x:v>
      </x:c>
      <x:c r="K596" t="n">
        <x:v>0</x:v>
      </x:c>
      <x:c r="L596" t="n">
        <x:v>13430058.63</x:v>
      </x:c>
      <x:c r="M596" t="n">
        <x:v>496500</x:v>
      </x:c>
      <x:c r="N596" t="n">
        <x:v>1</x:v>
      </x:c>
      <x:c r="O596" t="n">
        <x:v>0</x:v>
      </x:c>
      <x:c r="P596" t="n">
        <x:v>1</x:v>
      </x:c>
    </x:row>
    <x:row r="597">
      <x:c r="A597" t="str">
        <x:v>2025-06</x:v>
      </x:c>
      <x:c r="B597" t="str">
        <x:v>USR-00154</x:v>
      </x:c>
      <x:c r="C597" t="str">
        <x:v>Cero</x:v>
      </x:c>
      <x:c r="D597" t="str">
        <x:v>Gratuita</x:v>
      </x:c>
      <x:c r="E597" t="str">
        <x:v>Bucaramanga</x:v>
      </x:c>
      <x:c r="F597" t="str">
        <x:v>Santander</x:v>
      </x:c>
      <x:c r="G597" t="n">
        <x:v>63</x:v>
      </x:c>
      <x:c r="H597" t="str">
        <x:v>Entre $1,5 M y $3 M</x:v>
      </x:c>
      <x:c r="I597" t="str">
        <x:v>Redes sociales</x:v>
      </x:c>
      <x:c r="J597" t="n">
        <x:v>2</x:v>
      </x:c>
      <x:c r="K597" t="n">
        <x:v>0</x:v>
      </x:c>
      <x:c r="L597" t="n">
        <x:v>21074512.93</x:v>
      </x:c>
      <x:c r="M597" t="n">
        <x:v>609500</x:v>
      </x:c>
      <x:c r="N597" t="n">
        <x:v>1</x:v>
      </x:c>
      <x:c r="O597" t="n">
        <x:v>0</x:v>
      </x:c>
      <x:c r="P597" t="n">
        <x:v>1</x:v>
      </x:c>
    </x:row>
    <x:row r="598">
      <x:c r="A598" t="str">
        <x:v>2025-06</x:v>
      </x:c>
      <x:c r="B598" t="str">
        <x:v>USR-00155</x:v>
      </x:c>
      <x:c r="C598" t="str">
        <x:v>Cero</x:v>
      </x:c>
      <x:c r="D598" t="str">
        <x:v>Gratuita</x:v>
      </x:c>
      <x:c r="E598" t="str">
        <x:v>Manizales</x:v>
      </x:c>
      <x:c r="F598" t="str">
        <x:v>Caldas</x:v>
      </x:c>
      <x:c r="G598" t="n">
        <x:v>50</x:v>
      </x:c>
      <x:c r="H598" t="str">
        <x:v>Entre $1,5 M y $3 M</x:v>
      </x:c>
      <x:c r="I598" t="str">
        <x:v>Orgánico</x:v>
      </x:c>
      <x:c r="J598" t="n">
        <x:v>1</x:v>
      </x:c>
      <x:c r="K598" t="n">
        <x:v>0</x:v>
      </x:c>
      <x:c r="L598" t="n">
        <x:v>25408884.21</x:v>
      </x:c>
      <x:c r="M598" t="n">
        <x:v>1782600</x:v>
      </x:c>
      <x:c r="N598" t="n">
        <x:v>1</x:v>
      </x:c>
      <x:c r="O598" t="n">
        <x:v>0</x:v>
      </x:c>
      <x:c r="P598" t="n">
        <x:v>1</x:v>
      </x:c>
    </x:row>
    <x:row r="599">
      <x:c r="A599" t="str">
        <x:v>2025-06</x:v>
      </x:c>
      <x:c r="B599" t="str">
        <x:v>USR-00156</x:v>
      </x:c>
      <x:c r="C599" t="str">
        <x:v>Cero</x:v>
      </x:c>
      <x:c r="D599" t="str">
        <x:v>Gratuita</x:v>
      </x:c>
      <x:c r="E599" t="str">
        <x:v>Bogotá</x:v>
      </x:c>
      <x:c r="F599" t="str">
        <x:v>Bogotá D.C.</x:v>
      </x:c>
      <x:c r="G599" t="n">
        <x:v>32</x:v>
      </x:c>
      <x:c r="H599" t="str">
        <x:v>Entre $1,5 M y $3 M</x:v>
      </x:c>
      <x:c r="I599" t="str">
        <x:v>Redes sociales</x:v>
      </x:c>
      <x:c r="J599" t="n">
        <x:v>2</x:v>
      </x:c>
      <x:c r="K599" t="n">
        <x:v>0</x:v>
      </x:c>
      <x:c r="L599" t="n">
        <x:v>7007212.99</x:v>
      </x:c>
      <x:c r="M599" t="n">
        <x:v>105500</x:v>
      </x:c>
      <x:c r="N599" t="n">
        <x:v>1</x:v>
      </x:c>
      <x:c r="O599" t="n">
        <x:v>0</x:v>
      </x:c>
      <x:c r="P599" t="n">
        <x:v>1</x:v>
      </x:c>
    </x:row>
    <x:row r="600">
      <x:c r="A600" t="str">
        <x:v>2025-06</x:v>
      </x:c>
      <x:c r="B600" t="str">
        <x:v>USR-00157</x:v>
      </x:c>
      <x:c r="C600" t="str">
        <x:v>Cero</x:v>
      </x:c>
      <x:c r="D600" t="str">
        <x:v>Gratuita</x:v>
      </x:c>
      <x:c r="E600" t="str">
        <x:v>Bogotá</x:v>
      </x:c>
      <x:c r="F600" t="str">
        <x:v>Bogotá D.C.</x:v>
      </x:c>
      <x:c r="G600" t="n">
        <x:v>58</x:v>
      </x:c>
      <x:c r="H600" t="str">
        <x:v>Más de $5 M</x:v>
      </x:c>
      <x:c r="I600" t="str">
        <x:v>Redes sociales</x:v>
      </x:c>
      <x:c r="J600" t="n">
        <x:v>1</x:v>
      </x:c>
      <x:c r="K600" t="n">
        <x:v>0</x:v>
      </x:c>
      <x:c r="L600" t="n">
        <x:v>12412335.62</x:v>
      </x:c>
      <x:c r="M600" t="n">
        <x:v>0</x:v>
      </x:c>
      <x:c r="N600" t="n">
        <x:v>0</x:v>
      </x:c>
      <x:c r="O600" t="n">
        <x:v>0</x:v>
      </x:c>
      <x:c r="P600" t="n">
        <x:v>1</x:v>
      </x:c>
    </x:row>
    <x:row r="601">
      <x:c r="A601" t="str">
        <x:v>2025-06</x:v>
      </x:c>
      <x:c r="B601" t="str">
        <x:v>USR-00158</x:v>
      </x:c>
      <x:c r="C601" t="str">
        <x:v>Plus mensual</x:v>
      </x:c>
      <x:c r="D601" t="str">
        <x:v>Pago</x:v>
      </x:c>
      <x:c r="E601" t="str">
        <x:v>Pereira</x:v>
      </x:c>
      <x:c r="F601" t="str">
        <x:v>Risaralda</x:v>
      </x:c>
      <x:c r="G601" t="n">
        <x:v>56</x:v>
      </x:c>
      <x:c r="H601" t="str">
        <x:v>Entre $1,5 M y $3 M</x:v>
      </x:c>
      <x:c r="I601" t="str">
        <x:v>Contenido educativo</x:v>
      </x:c>
      <x:c r="J601" t="n">
        <x:v>2</x:v>
      </x:c>
      <x:c r="K601" t="n">
        <x:v>0</x:v>
      </x:c>
      <x:c r="L601" t="n">
        <x:v>12344887.65</x:v>
      </x:c>
      <x:c r="M601" t="n">
        <x:v>597500</x:v>
      </x:c>
      <x:c r="N601" t="n">
        <x:v>1</x:v>
      </x:c>
      <x:c r="O601" t="n">
        <x:v>29900</x:v>
      </x:c>
      <x:c r="P601" t="n">
        <x:v>1</x:v>
      </x:c>
    </x:row>
    <x:row r="602">
      <x:c r="A602" t="str">
        <x:v>2025-06</x:v>
      </x:c>
      <x:c r="B602" t="str">
        <x:v>USR-00159</x:v>
      </x:c>
      <x:c r="C602" t="str">
        <x:v>Cero</x:v>
      </x:c>
      <x:c r="D602" t="str">
        <x:v>Gratuita</x:v>
      </x:c>
      <x:c r="E602" t="str">
        <x:v>Pereira</x:v>
      </x:c>
      <x:c r="F602" t="str">
        <x:v>Risaralda</x:v>
      </x:c>
      <x:c r="G602" t="n">
        <x:v>36</x:v>
      </x:c>
      <x:c r="H602" t="str">
        <x:v>Más de $5 M</x:v>
      </x:c>
      <x:c r="I602" t="str">
        <x:v>Orgánico</x:v>
      </x:c>
      <x:c r="J602" t="n">
        <x:v>2</x:v>
      </x:c>
      <x:c r="K602" t="n">
        <x:v>0</x:v>
      </x:c>
      <x:c r="L602" t="n">
        <x:v>38210749.15</x:v>
      </x:c>
      <x:c r="M602" t="n">
        <x:v>3176000</x:v>
      </x:c>
      <x:c r="N602" t="n">
        <x:v>2</x:v>
      </x:c>
      <x:c r="O602" t="n">
        <x:v>0</x:v>
      </x:c>
      <x:c r="P602" t="n">
        <x:v>1</x:v>
      </x:c>
    </x:row>
    <x:row r="603">
      <x:c r="A603" t="str">
        <x:v>2025-06</x:v>
      </x:c>
      <x:c r="B603" t="str">
        <x:v>USR-00160</x:v>
      </x:c>
      <x:c r="C603" t="str">
        <x:v>Cero</x:v>
      </x:c>
      <x:c r="D603" t="str">
        <x:v>Gratuita</x:v>
      </x:c>
      <x:c r="E603" t="str">
        <x:v>Bogotá</x:v>
      </x:c>
      <x:c r="F603" t="str">
        <x:v>Bogotá D.C.</x:v>
      </x:c>
      <x:c r="G603" t="n">
        <x:v>62</x:v>
      </x:c>
      <x:c r="H603" t="str">
        <x:v>Entre $3 M y $5 M</x:v>
      </x:c>
      <x:c r="I603" t="str">
        <x:v>Orgánico</x:v>
      </x:c>
      <x:c r="J603" t="n">
        <x:v>2</x:v>
      </x:c>
      <x:c r="K603" t="n">
        <x:v>0</x:v>
      </x:c>
      <x:c r="L603" t="n">
        <x:v>4131939.78</x:v>
      </x:c>
      <x:c r="M603" t="n">
        <x:v>42300</x:v>
      </x:c>
      <x:c r="N603" t="n">
        <x:v>1</x:v>
      </x:c>
      <x:c r="O603" t="n">
        <x:v>0</x:v>
      </x:c>
      <x:c r="P603" t="n">
        <x:v>1</x:v>
      </x:c>
    </x:row>
    <x:row r="604">
      <x:c r="A604" t="str">
        <x:v>2025-06</x:v>
      </x:c>
      <x:c r="B604" t="str">
        <x:v>USR-00161</x:v>
      </x:c>
      <x:c r="C604" t="str">
        <x:v>Cero</x:v>
      </x:c>
      <x:c r="D604" t="str">
        <x:v>Gratuita</x:v>
      </x:c>
      <x:c r="E604" t="str">
        <x:v>Bogotá</x:v>
      </x:c>
      <x:c r="F604" t="str">
        <x:v>Bogotá D.C.</x:v>
      </x:c>
      <x:c r="G604" t="n">
        <x:v>41</x:v>
      </x:c>
      <x:c r="H604" t="str">
        <x:v>Entre $1,5 M y $3 M</x:v>
      </x:c>
      <x:c r="I604" t="str">
        <x:v>Contenido educativo</x:v>
      </x:c>
      <x:c r="J604" t="n">
        <x:v>1</x:v>
      </x:c>
      <x:c r="K604" t="n">
        <x:v>0</x:v>
      </x:c>
      <x:c r="L604" t="n">
        <x:v>17701506.87</x:v>
      </x:c>
      <x:c r="M604" t="n">
        <x:v>1295200</x:v>
      </x:c>
      <x:c r="N604" t="n">
        <x:v>1</x:v>
      </x:c>
      <x:c r="O604" t="n">
        <x:v>0</x:v>
      </x:c>
      <x:c r="P604" t="n">
        <x:v>1</x:v>
      </x:c>
    </x:row>
    <x:row r="605">
      <x:c r="A605" t="str">
        <x:v>2025-06</x:v>
      </x:c>
      <x:c r="B605" t="str">
        <x:v>USR-00162</x:v>
      </x:c>
      <x:c r="C605" t="str">
        <x:v>Cero</x:v>
      </x:c>
      <x:c r="D605" t="str">
        <x:v>Gratuita</x:v>
      </x:c>
      <x:c r="E605" t="str">
        <x:v>Villavicencio</x:v>
      </x:c>
      <x:c r="F605" t="str">
        <x:v>Meta</x:v>
      </x:c>
      <x:c r="G605" t="n">
        <x:v>58</x:v>
      </x:c>
      <x:c r="H605" t="str">
        <x:v>Entre $1,5 M y $3 M</x:v>
      </x:c>
      <x:c r="I605" t="str">
        <x:v>Contenido educativo</x:v>
      </x:c>
      <x:c r="J605" t="n">
        <x:v>1</x:v>
      </x:c>
      <x:c r="K605" t="n">
        <x:v>0</x:v>
      </x:c>
      <x:c r="L605" t="n">
        <x:v>55464676.94</x:v>
      </x:c>
      <x:c r="M605" t="n">
        <x:v>2324100</x:v>
      </x:c>
      <x:c r="N605" t="n">
        <x:v>1</x:v>
      </x:c>
      <x:c r="O605" t="n">
        <x:v>0</x:v>
      </x:c>
      <x:c r="P605" t="n">
        <x:v>1</x:v>
      </x:c>
    </x:row>
    <x:row r="606">
      <x:c r="A606" t="str">
        <x:v>2025-06</x:v>
      </x:c>
      <x:c r="B606" t="str">
        <x:v>USR-00163</x:v>
      </x:c>
      <x:c r="C606" t="str">
        <x:v>Cero</x:v>
      </x:c>
      <x:c r="D606" t="str">
        <x:v>Gratuita</x:v>
      </x:c>
      <x:c r="E606" t="str">
        <x:v>Bogotá</x:v>
      </x:c>
      <x:c r="F606" t="str">
        <x:v>Bogotá D.C.</x:v>
      </x:c>
      <x:c r="G606" t="n">
        <x:v>62</x:v>
      </x:c>
      <x:c r="H606" t="str">
        <x:v>Entre $1,5 M y $3 M</x:v>
      </x:c>
      <x:c r="I606" t="str">
        <x:v>Referidos</x:v>
      </x:c>
      <x:c r="J606" t="n">
        <x:v>2</x:v>
      </x:c>
      <x:c r="K606" t="n">
        <x:v>0</x:v>
      </x:c>
      <x:c r="L606" t="n">
        <x:v>18076389.38</x:v>
      </x:c>
      <x:c r="M606" t="n">
        <x:v>734900</x:v>
      </x:c>
      <x:c r="N606" t="n">
        <x:v>2</x:v>
      </x:c>
      <x:c r="O606" t="n">
        <x:v>0</x:v>
      </x:c>
      <x:c r="P606" t="n">
        <x:v>1</x:v>
      </x:c>
    </x:row>
    <x:row r="607">
      <x:c r="A607" t="str">
        <x:v>2025-06</x:v>
      </x:c>
      <x:c r="B607" t="str">
        <x:v>USR-00164</x:v>
      </x:c>
      <x:c r="C607" t="str">
        <x:v>Cero</x:v>
      </x:c>
      <x:c r="D607" t="str">
        <x:v>Gratuita</x:v>
      </x:c>
      <x:c r="E607" t="str">
        <x:v>Medellín</x:v>
      </x:c>
      <x:c r="F607" t="str">
        <x:v>Antioquia</x:v>
      </x:c>
      <x:c r="G607" t="n">
        <x:v>45</x:v>
      </x:c>
      <x:c r="H607" t="str">
        <x:v>Entre $1,5 M y $3 M</x:v>
      </x:c>
      <x:c r="I607" t="str">
        <x:v>Referidos</x:v>
      </x:c>
      <x:c r="J607" t="n">
        <x:v>1</x:v>
      </x:c>
      <x:c r="K607" t="n">
        <x:v>0</x:v>
      </x:c>
      <x:c r="L607" t="n">
        <x:v>7179238.52</x:v>
      </x:c>
      <x:c r="M607" t="n">
        <x:v>288300</x:v>
      </x:c>
      <x:c r="N607" t="n">
        <x:v>1</x:v>
      </x:c>
      <x:c r="O607" t="n">
        <x:v>0</x:v>
      </x:c>
      <x:c r="P607" t="n">
        <x:v>1</x:v>
      </x:c>
    </x:row>
    <x:row r="608">
      <x:c r="A608" t="str">
        <x:v>2025-06</x:v>
      </x:c>
      <x:c r="B608" t="str">
        <x:v>USR-00165</x:v>
      </x:c>
      <x:c r="C608" t="str">
        <x:v>Cero</x:v>
      </x:c>
      <x:c r="D608" t="str">
        <x:v>Gratuita</x:v>
      </x:c>
      <x:c r="E608" t="str">
        <x:v>Pereira</x:v>
      </x:c>
      <x:c r="F608" t="str">
        <x:v>Risaralda</x:v>
      </x:c>
      <x:c r="G608" t="n">
        <x:v>36</x:v>
      </x:c>
      <x:c r="H608" t="str">
        <x:v>Entre $3 M y $5 M</x:v>
      </x:c>
      <x:c r="I608" t="str">
        <x:v>Redes sociales</x:v>
      </x:c>
      <x:c r="J608" t="n">
        <x:v>1</x:v>
      </x:c>
      <x:c r="K608" t="n">
        <x:v>0</x:v>
      </x:c>
      <x:c r="L608" t="n">
        <x:v>13267633.52</x:v>
      </x:c>
      <x:c r="M608" t="n">
        <x:v>0</x:v>
      </x:c>
      <x:c r="N608" t="n">
        <x:v>0</x:v>
      </x:c>
      <x:c r="O608" t="n">
        <x:v>0</x:v>
      </x:c>
      <x:c r="P608" t="n">
        <x:v>1</x:v>
      </x:c>
    </x:row>
    <x:row r="609">
      <x:c r="A609" t="str">
        <x:v>2025-06</x:v>
      </x:c>
      <x:c r="B609" t="str">
        <x:v>USR-00166</x:v>
      </x:c>
      <x:c r="C609" t="str">
        <x:v>Cero</x:v>
      </x:c>
      <x:c r="D609" t="str">
        <x:v>Gratuita</x:v>
      </x:c>
      <x:c r="E609" t="str">
        <x:v>Medellín</x:v>
      </x:c>
      <x:c r="F609" t="str">
        <x:v>Antioquia</x:v>
      </x:c>
      <x:c r="G609" t="n">
        <x:v>31</x:v>
      </x:c>
      <x:c r="H609" t="str">
        <x:v>Entre $1,5 M y $3 M</x:v>
      </x:c>
      <x:c r="I609" t="str">
        <x:v>Referidos</x:v>
      </x:c>
      <x:c r="J609" t="n">
        <x:v>2</x:v>
      </x:c>
      <x:c r="K609" t="n">
        <x:v>0</x:v>
      </x:c>
      <x:c r="L609" t="n">
        <x:v>33939362.89</x:v>
      </x:c>
      <x:c r="M609" t="n">
        <x:v>1578300</x:v>
      </x:c>
      <x:c r="N609" t="n">
        <x:v>2</x:v>
      </x:c>
      <x:c r="O609" t="n">
        <x:v>0</x:v>
      </x:c>
      <x:c r="P609" t="n">
        <x:v>1</x:v>
      </x:c>
    </x:row>
    <x:row r="610">
      <x:c r="A610" t="str">
        <x:v>2025-06</x:v>
      </x:c>
      <x:c r="B610" t="str">
        <x:v>USR-00167</x:v>
      </x:c>
      <x:c r="C610" t="str">
        <x:v>Cero</x:v>
      </x:c>
      <x:c r="D610" t="str">
        <x:v>Gratuita</x:v>
      </x:c>
      <x:c r="E610" t="str">
        <x:v>Pereira</x:v>
      </x:c>
      <x:c r="F610" t="str">
        <x:v>Risaralda</x:v>
      </x:c>
      <x:c r="G610" t="n">
        <x:v>50</x:v>
      </x:c>
      <x:c r="H610" t="str">
        <x:v>Entre $3 M y $5 M</x:v>
      </x:c>
      <x:c r="I610" t="str">
        <x:v>Contenido educativo</x:v>
      </x:c>
      <x:c r="J610" t="n">
        <x:v>2</x:v>
      </x:c>
      <x:c r="K610" t="n">
        <x:v>0</x:v>
      </x:c>
      <x:c r="L610" t="n">
        <x:v>7133167.32</x:v>
      </x:c>
      <x:c r="M610" t="n">
        <x:v>285500</x:v>
      </x:c>
      <x:c r="N610" t="n">
        <x:v>2</x:v>
      </x:c>
      <x:c r="O610" t="n">
        <x:v>0</x:v>
      </x:c>
      <x:c r="P610" t="n">
        <x:v>1</x:v>
      </x:c>
    </x:row>
    <x:row r="611">
      <x:c r="A611" t="str">
        <x:v>2025-06</x:v>
      </x:c>
      <x:c r="B611" t="str">
        <x:v>USR-00168</x:v>
      </x:c>
      <x:c r="C611" t="str">
        <x:v>Plus mensual</x:v>
      </x:c>
      <x:c r="D611" t="str">
        <x:v>Pago</x:v>
      </x:c>
      <x:c r="E611" t="str">
        <x:v>Bogotá</x:v>
      </x:c>
      <x:c r="F611" t="str">
        <x:v>Bogotá D.C.</x:v>
      </x:c>
      <x:c r="G611" t="n">
        <x:v>44</x:v>
      </x:c>
      <x:c r="H611" t="str">
        <x:v>Entre $1,5 M y $3 M</x:v>
      </x:c>
      <x:c r="I611" t="str">
        <x:v>Orgánico</x:v>
      </x:c>
      <x:c r="J611" t="n">
        <x:v>3</x:v>
      </x:c>
      <x:c r="K611" t="n">
        <x:v>0</x:v>
      </x:c>
      <x:c r="L611" t="n">
        <x:v>23308173.81</x:v>
      </x:c>
      <x:c r="M611" t="n">
        <x:v>1388000</x:v>
      </x:c>
      <x:c r="N611" t="n">
        <x:v>3</x:v>
      </x:c>
      <x:c r="O611" t="n">
        <x:v>29900</x:v>
      </x:c>
      <x:c r="P611" t="n">
        <x:v>1</x:v>
      </x:c>
    </x:row>
    <x:row r="612">
      <x:c r="A612" t="str">
        <x:v>2025-06</x:v>
      </x:c>
      <x:c r="B612" t="str">
        <x:v>USR-00169</x:v>
      </x:c>
      <x:c r="C612" t="str">
        <x:v>Cero</x:v>
      </x:c>
      <x:c r="D612" t="str">
        <x:v>Gratuita</x:v>
      </x:c>
      <x:c r="E612" t="str">
        <x:v>Pereira</x:v>
      </x:c>
      <x:c r="F612" t="str">
        <x:v>Risaralda</x:v>
      </x:c>
      <x:c r="G612" t="n">
        <x:v>50</x:v>
      </x:c>
      <x:c r="H612" t="str">
        <x:v>Menos de $1,5 M</x:v>
      </x:c>
      <x:c r="I612" t="str">
        <x:v>Redes sociales</x:v>
      </x:c>
      <x:c r="J612" t="n">
        <x:v>2</x:v>
      </x:c>
      <x:c r="K612" t="n">
        <x:v>0</x:v>
      </x:c>
      <x:c r="L612" t="n">
        <x:v>19589863.26</x:v>
      </x:c>
      <x:c r="M612" t="n">
        <x:v>2002300</x:v>
      </x:c>
      <x:c r="N612" t="n">
        <x:v>2</x:v>
      </x:c>
      <x:c r="O612" t="n">
        <x:v>0</x:v>
      </x:c>
      <x:c r="P612" t="n">
        <x:v>1</x:v>
      </x:c>
    </x:row>
    <x:row r="613">
      <x:c r="A613" t="str">
        <x:v>2025-06</x:v>
      </x:c>
      <x:c r="B613" t="str">
        <x:v>USR-00170</x:v>
      </x:c>
      <x:c r="C613" t="str">
        <x:v>Cero</x:v>
      </x:c>
      <x:c r="D613" t="str">
        <x:v>Gratuita</x:v>
      </x:c>
      <x:c r="E613" t="str">
        <x:v>Bogotá</x:v>
      </x:c>
      <x:c r="F613" t="str">
        <x:v>Bogotá D.C.</x:v>
      </x:c>
      <x:c r="G613" t="n">
        <x:v>41</x:v>
      </x:c>
      <x:c r="H613" t="str">
        <x:v>Entre $1,5 M y $3 M</x:v>
      </x:c>
      <x:c r="I613" t="str">
        <x:v>Orgánico</x:v>
      </x:c>
      <x:c r="J613" t="n">
        <x:v>1</x:v>
      </x:c>
      <x:c r="K613" t="n">
        <x:v>0</x:v>
      </x:c>
      <x:c r="L613" t="n">
        <x:v>15759493.37</x:v>
      </x:c>
      <x:c r="M613" t="n">
        <x:v>437400</x:v>
      </x:c>
      <x:c r="N613" t="n">
        <x:v>1</x:v>
      </x:c>
      <x:c r="O613" t="n">
        <x:v>0</x:v>
      </x:c>
      <x:c r="P613" t="n">
        <x:v>1</x:v>
      </x:c>
    </x:row>
    <x:row r="614">
      <x:c r="A614" t="str">
        <x:v>2025-06</x:v>
      </x:c>
      <x:c r="B614" t="str">
        <x:v>USR-00171</x:v>
      </x:c>
      <x:c r="C614" t="str">
        <x:v>Cero</x:v>
      </x:c>
      <x:c r="D614" t="str">
        <x:v>Gratuita</x:v>
      </x:c>
      <x:c r="E614" t="str">
        <x:v>Bogotá</x:v>
      </x:c>
      <x:c r="F614" t="str">
        <x:v>Bogotá D.C.</x:v>
      </x:c>
      <x:c r="G614" t="n">
        <x:v>55</x:v>
      </x:c>
      <x:c r="H614" t="str">
        <x:v>Entre $3 M y $5 M</x:v>
      </x:c>
      <x:c r="I614" t="str">
        <x:v>Redes sociales</x:v>
      </x:c>
      <x:c r="J614" t="n">
        <x:v>1</x:v>
      </x:c>
      <x:c r="K614" t="n">
        <x:v>0</x:v>
      </x:c>
      <x:c r="L614" t="n">
        <x:v>1360687.34</x:v>
      </x:c>
      <x:c r="M614" t="n">
        <x:v>73400</x:v>
      </x:c>
      <x:c r="N614" t="n">
        <x:v>1</x:v>
      </x:c>
      <x:c r="O614" t="n">
        <x:v>0</x:v>
      </x:c>
      <x:c r="P614" t="n">
        <x:v>1</x:v>
      </x:c>
    </x:row>
    <x:row r="615">
      <x:c r="A615" t="str">
        <x:v>2025-06</x:v>
      </x:c>
      <x:c r="B615" t="str">
        <x:v>USR-00172</x:v>
      </x:c>
      <x:c r="C615" t="str">
        <x:v>Cero</x:v>
      </x:c>
      <x:c r="D615" t="str">
        <x:v>Gratuita</x:v>
      </x:c>
      <x:c r="E615" t="str">
        <x:v>Villavicencio</x:v>
      </x:c>
      <x:c r="F615" t="str">
        <x:v>Meta</x:v>
      </x:c>
      <x:c r="G615" t="n">
        <x:v>23</x:v>
      </x:c>
      <x:c r="H615" t="str">
        <x:v>Entre $1,5 M y $3 M</x:v>
      </x:c>
      <x:c r="I615" t="str">
        <x:v>Orgánico</x:v>
      </x:c>
      <x:c r="J615" t="n">
        <x:v>1</x:v>
      </x:c>
      <x:c r="K615" t="n">
        <x:v>0</x:v>
      </x:c>
      <x:c r="L615" t="n">
        <x:v>22260721.3</x:v>
      </x:c>
      <x:c r="M615" t="n">
        <x:v>0</x:v>
      </x:c>
      <x:c r="N615" t="n">
        <x:v>0</x:v>
      </x:c>
      <x:c r="O615" t="n">
        <x:v>0</x:v>
      </x:c>
      <x:c r="P615" t="n">
        <x:v>1</x:v>
      </x:c>
    </x:row>
    <x:row r="616">
      <x:c r="A616" t="str">
        <x:v>2025-06</x:v>
      </x:c>
      <x:c r="B616" t="str">
        <x:v>USR-00173</x:v>
      </x:c>
      <x:c r="C616" t="str">
        <x:v>Cero</x:v>
      </x:c>
      <x:c r="D616" t="str">
        <x:v>Gratuita</x:v>
      </x:c>
      <x:c r="E616" t="str">
        <x:v>Bogotá</x:v>
      </x:c>
      <x:c r="F616" t="str">
        <x:v>Bogotá D.C.</x:v>
      </x:c>
      <x:c r="G616" t="n">
        <x:v>54</x:v>
      </x:c>
      <x:c r="H616" t="str">
        <x:v>Entre $1,5 M y $3 M</x:v>
      </x:c>
      <x:c r="I616" t="str">
        <x:v>Contenido educativo</x:v>
      </x:c>
      <x:c r="J616" t="n">
        <x:v>1</x:v>
      </x:c>
      <x:c r="K616" t="n">
        <x:v>0</x:v>
      </x:c>
      <x:c r="L616" t="n">
        <x:v>1931463.59</x:v>
      </x:c>
      <x:c r="M616" t="n">
        <x:v>57100</x:v>
      </x:c>
      <x:c r="N616" t="n">
        <x:v>1</x:v>
      </x:c>
      <x:c r="O616" t="n">
        <x:v>0</x:v>
      </x:c>
      <x:c r="P616" t="n">
        <x:v>1</x:v>
      </x:c>
    </x:row>
    <x:row r="617">
      <x:c r="A617" t="str">
        <x:v>2025-06</x:v>
      </x:c>
      <x:c r="B617" t="str">
        <x:v>USR-00174</x:v>
      </x:c>
      <x:c r="C617" t="str">
        <x:v>Cero</x:v>
      </x:c>
      <x:c r="D617" t="str">
        <x:v>Gratuita</x:v>
      </x:c>
      <x:c r="E617" t="str">
        <x:v>Bogotá</x:v>
      </x:c>
      <x:c r="F617" t="str">
        <x:v>Bogotá D.C.</x:v>
      </x:c>
      <x:c r="G617" t="n">
        <x:v>60</x:v>
      </x:c>
      <x:c r="H617" t="str">
        <x:v>Entre $3 M y $5 M</x:v>
      </x:c>
      <x:c r="I617" t="str">
        <x:v>Contenido educativo</x:v>
      </x:c>
      <x:c r="J617" t="n">
        <x:v>2</x:v>
      </x:c>
      <x:c r="K617" t="n">
        <x:v>0</x:v>
      </x:c>
      <x:c r="L617" t="n">
        <x:v>20138788.81</x:v>
      </x:c>
      <x:c r="M617" t="n">
        <x:v>0</x:v>
      </x:c>
      <x:c r="N617" t="n">
        <x:v>0</x:v>
      </x:c>
      <x:c r="O617" t="n">
        <x:v>0</x:v>
      </x:c>
      <x:c r="P617" t="n">
        <x:v>1</x:v>
      </x:c>
    </x:row>
    <x:row r="618">
      <x:c r="A618" t="str">
        <x:v>2025-06</x:v>
      </x:c>
      <x:c r="B618" t="str">
        <x:v>USR-00175</x:v>
      </x:c>
      <x:c r="C618" t="str">
        <x:v>Cero</x:v>
      </x:c>
      <x:c r="D618" t="str">
        <x:v>Gratuita</x:v>
      </x:c>
      <x:c r="E618" t="str">
        <x:v>Medellín</x:v>
      </x:c>
      <x:c r="F618" t="str">
        <x:v>Antioquia</x:v>
      </x:c>
      <x:c r="G618" t="n">
        <x:v>32</x:v>
      </x:c>
      <x:c r="H618" t="str">
        <x:v>Entre $1,5 M y $3 M</x:v>
      </x:c>
      <x:c r="I618" t="str">
        <x:v>Alianzas</x:v>
      </x:c>
      <x:c r="J618" t="n">
        <x:v>2</x:v>
      </x:c>
      <x:c r="K618" t="n">
        <x:v>0</x:v>
      </x:c>
      <x:c r="L618" t="n">
        <x:v>32766306.66</x:v>
      </x:c>
      <x:c r="M618" t="n">
        <x:v>1229700</x:v>
      </x:c>
      <x:c r="N618" t="n">
        <x:v>2</x:v>
      </x:c>
      <x:c r="O618" t="n">
        <x:v>0</x:v>
      </x:c>
      <x:c r="P618" t="n">
        <x:v>1</x:v>
      </x:c>
    </x:row>
    <x:row r="619">
      <x:c r="A619" t="str">
        <x:v>2025-06</x:v>
      </x:c>
      <x:c r="B619" t="str">
        <x:v>USR-00176</x:v>
      </x:c>
      <x:c r="C619" t="str">
        <x:v>Plus mensual</x:v>
      </x:c>
      <x:c r="D619" t="str">
        <x:v>Pago</x:v>
      </x:c>
      <x:c r="E619" t="str">
        <x:v>Bogotá</x:v>
      </x:c>
      <x:c r="F619" t="str">
        <x:v>Bogotá D.C.</x:v>
      </x:c>
      <x:c r="G619" t="n">
        <x:v>60</x:v>
      </x:c>
      <x:c r="H619" t="str">
        <x:v>Entre $1,5 M y $3 M</x:v>
      </x:c>
      <x:c r="I619" t="str">
        <x:v>Contenido educativo</x:v>
      </x:c>
      <x:c r="J619" t="n">
        <x:v>4</x:v>
      </x:c>
      <x:c r="K619" t="n">
        <x:v>0</x:v>
      </x:c>
      <x:c r="L619" t="n">
        <x:v>78854195.76</x:v>
      </x:c>
      <x:c r="M619" t="n">
        <x:v>3418000</x:v>
      </x:c>
      <x:c r="N619" t="n">
        <x:v>2</x:v>
      </x:c>
      <x:c r="O619" t="n">
        <x:v>29900</x:v>
      </x:c>
      <x:c r="P619" t="n">
        <x:v>1</x:v>
      </x:c>
    </x:row>
    <x:row r="620">
      <x:c r="A620" t="str">
        <x:v>2025-06</x:v>
      </x:c>
      <x:c r="B620" t="str">
        <x:v>USR-00177</x:v>
      </x:c>
      <x:c r="C620" t="str">
        <x:v>Plus mensual</x:v>
      </x:c>
      <x:c r="D620" t="str">
        <x:v>Pago</x:v>
      </x:c>
      <x:c r="E620" t="str">
        <x:v>Villavicencio</x:v>
      </x:c>
      <x:c r="F620" t="str">
        <x:v>Meta</x:v>
      </x:c>
      <x:c r="G620" t="n">
        <x:v>36</x:v>
      </x:c>
      <x:c r="H620" t="str">
        <x:v>Entre $1,5 M y $3 M</x:v>
      </x:c>
      <x:c r="I620" t="str">
        <x:v>Redes sociales</x:v>
      </x:c>
      <x:c r="J620" t="n">
        <x:v>4</x:v>
      </x:c>
      <x:c r="K620" t="n">
        <x:v>0</x:v>
      </x:c>
      <x:c r="L620" t="n">
        <x:v>69089717.69</x:v>
      </x:c>
      <x:c r="M620" t="n">
        <x:v>1301100</x:v>
      </x:c>
      <x:c r="N620" t="n">
        <x:v>2</x:v>
      </x:c>
      <x:c r="O620" t="n">
        <x:v>29900</x:v>
      </x:c>
      <x:c r="P620" t="n">
        <x:v>1</x:v>
      </x:c>
    </x:row>
    <x:row r="621">
      <x:c r="A621" t="str">
        <x:v>2025-06</x:v>
      </x:c>
      <x:c r="B621" t="str">
        <x:v>USR-00178</x:v>
      </x:c>
      <x:c r="C621" t="str">
        <x:v>Plus mensual</x:v>
      </x:c>
      <x:c r="D621" t="str">
        <x:v>Pago</x:v>
      </x:c>
      <x:c r="E621" t="str">
        <x:v>Pereira</x:v>
      </x:c>
      <x:c r="F621" t="str">
        <x:v>Risaralda</x:v>
      </x:c>
      <x:c r="G621" t="n">
        <x:v>42</x:v>
      </x:c>
      <x:c r="H621" t="str">
        <x:v>Menos de $1,5 M</x:v>
      </x:c>
      <x:c r="I621" t="str">
        <x:v>Redes sociales</x:v>
      </x:c>
      <x:c r="J621" t="n">
        <x:v>3</x:v>
      </x:c>
      <x:c r="K621" t="n">
        <x:v>0</x:v>
      </x:c>
      <x:c r="L621" t="n">
        <x:v>18195303.93</x:v>
      </x:c>
      <x:c r="M621" t="n">
        <x:v>631300</x:v>
      </x:c>
      <x:c r="N621" t="n">
        <x:v>3</x:v>
      </x:c>
      <x:c r="O621" t="n">
        <x:v>29900</x:v>
      </x:c>
      <x:c r="P621" t="n">
        <x:v>1</x:v>
      </x:c>
    </x:row>
    <x:row r="622">
      <x:c r="A622" t="str">
        <x:v>2025-06</x:v>
      </x:c>
      <x:c r="B622" t="str">
        <x:v>USR-00179</x:v>
      </x:c>
      <x:c r="C622" t="str">
        <x:v>Cero</x:v>
      </x:c>
      <x:c r="D622" t="str">
        <x:v>Gratuita</x:v>
      </x:c>
      <x:c r="E622" t="str">
        <x:v>Cartagena</x:v>
      </x:c>
      <x:c r="F622" t="str">
        <x:v>Bolívar</x:v>
      </x:c>
      <x:c r="G622" t="n">
        <x:v>59</x:v>
      </x:c>
      <x:c r="H622" t="str">
        <x:v>Menos de $1,5 M</x:v>
      </x:c>
      <x:c r="I622" t="str">
        <x:v>Referidos</x:v>
      </x:c>
      <x:c r="J622" t="n">
        <x:v>2</x:v>
      </x:c>
      <x:c r="K622" t="n">
        <x:v>0</x:v>
      </x:c>
      <x:c r="L622" t="n">
        <x:v>17532081.1</x:v>
      </x:c>
      <x:c r="M622" t="n">
        <x:v>1075600</x:v>
      </x:c>
      <x:c r="N622" t="n">
        <x:v>2</x:v>
      </x:c>
      <x:c r="O622" t="n">
        <x:v>0</x:v>
      </x:c>
      <x:c r="P622" t="n">
        <x:v>1</x:v>
      </x:c>
    </x:row>
    <x:row r="623">
      <x:c r="A623" t="str">
        <x:v>2025-06</x:v>
      </x:c>
      <x:c r="B623" t="str">
        <x:v>USR-00180</x:v>
      </x:c>
      <x:c r="C623" t="str">
        <x:v>Cero</x:v>
      </x:c>
      <x:c r="D623" t="str">
        <x:v>Gratuita</x:v>
      </x:c>
      <x:c r="E623" t="str">
        <x:v>Bucaramanga</x:v>
      </x:c>
      <x:c r="F623" t="str">
        <x:v>Santander</x:v>
      </x:c>
      <x:c r="G623" t="n">
        <x:v>34</x:v>
      </x:c>
      <x:c r="H623" t="str">
        <x:v>Menos de $1,5 M</x:v>
      </x:c>
      <x:c r="I623" t="str">
        <x:v>Búsqueda paga</x:v>
      </x:c>
      <x:c r="J623" t="n">
        <x:v>2</x:v>
      </x:c>
      <x:c r="K623" t="n">
        <x:v>0</x:v>
      </x:c>
      <x:c r="L623" t="n">
        <x:v>15994501.04</x:v>
      </x:c>
      <x:c r="M623" t="n">
        <x:v>301100</x:v>
      </x:c>
      <x:c r="N623" t="n">
        <x:v>1</x:v>
      </x:c>
      <x:c r="O623" t="n">
        <x:v>0</x:v>
      </x:c>
      <x:c r="P623" t="n">
        <x:v>1</x:v>
      </x:c>
    </x:row>
    <x:row r="624">
      <x:c r="A624" t="str">
        <x:v>2025-06</x:v>
      </x:c>
      <x:c r="B624" t="str">
        <x:v>USR-00181</x:v>
      </x:c>
      <x:c r="C624" t="str">
        <x:v>Cero</x:v>
      </x:c>
      <x:c r="D624" t="str">
        <x:v>Gratuita</x:v>
      </x:c>
      <x:c r="E624" t="str">
        <x:v>Cali</x:v>
      </x:c>
      <x:c r="F624" t="str">
        <x:v>Valle del Cauca</x:v>
      </x:c>
      <x:c r="G624" t="n">
        <x:v>30</x:v>
      </x:c>
      <x:c r="H624" t="str">
        <x:v>Entre $1,5 M y $3 M</x:v>
      </x:c>
      <x:c r="I624" t="str">
        <x:v>Referidos</x:v>
      </x:c>
      <x:c r="J624" t="n">
        <x:v>1</x:v>
      </x:c>
      <x:c r="K624" t="n">
        <x:v>0</x:v>
      </x:c>
      <x:c r="L624" t="n">
        <x:v>1782547.56</x:v>
      </x:c>
      <x:c r="M624" t="n">
        <x:v>88500</x:v>
      </x:c>
      <x:c r="N624" t="n">
        <x:v>1</x:v>
      </x:c>
      <x:c r="O624" t="n">
        <x:v>0</x:v>
      </x:c>
      <x:c r="P624" t="n">
        <x:v>1</x:v>
      </x:c>
    </x:row>
    <x:row r="625">
      <x:c r="A625" t="str">
        <x:v>2025-06</x:v>
      </x:c>
      <x:c r="B625" t="str">
        <x:v>USR-00182</x:v>
      </x:c>
      <x:c r="C625" t="str">
        <x:v>Cero</x:v>
      </x:c>
      <x:c r="D625" t="str">
        <x:v>Gratuita</x:v>
      </x:c>
      <x:c r="E625" t="str">
        <x:v>Medellín</x:v>
      </x:c>
      <x:c r="F625" t="str">
        <x:v>Antioquia</x:v>
      </x:c>
      <x:c r="G625" t="n">
        <x:v>48</x:v>
      </x:c>
      <x:c r="H625" t="str">
        <x:v>Entre $1,5 M y $3 M</x:v>
      </x:c>
      <x:c r="I625" t="str">
        <x:v>Contenido educativo</x:v>
      </x:c>
      <x:c r="J625" t="n">
        <x:v>1</x:v>
      </x:c>
      <x:c r="K625" t="n">
        <x:v>0</x:v>
      </x:c>
      <x:c r="L625" t="n">
        <x:v>31809978.37</x:v>
      </x:c>
      <x:c r="M625" t="n">
        <x:v>0</x:v>
      </x:c>
      <x:c r="N625" t="n">
        <x:v>0</x:v>
      </x:c>
      <x:c r="O625" t="n">
        <x:v>0</x:v>
      </x:c>
      <x:c r="P625" t="n">
        <x:v>1</x:v>
      </x:c>
    </x:row>
    <x:row r="626">
      <x:c r="A626" t="str">
        <x:v>2025-06</x:v>
      </x:c>
      <x:c r="B626" t="str">
        <x:v>USR-00183</x:v>
      </x:c>
      <x:c r="C626" t="str">
        <x:v>Cero</x:v>
      </x:c>
      <x:c r="D626" t="str">
        <x:v>Gratuita</x:v>
      </x:c>
      <x:c r="E626" t="str">
        <x:v>Bogotá</x:v>
      </x:c>
      <x:c r="F626" t="str">
        <x:v>Bogotá D.C.</x:v>
      </x:c>
      <x:c r="G626" t="n">
        <x:v>32</x:v>
      </x:c>
      <x:c r="H626" t="str">
        <x:v>Entre $1,5 M y $3 M</x:v>
      </x:c>
      <x:c r="I626" t="str">
        <x:v>Redes sociales</x:v>
      </x:c>
      <x:c r="J626" t="n">
        <x:v>1</x:v>
      </x:c>
      <x:c r="K626" t="n">
        <x:v>0</x:v>
      </x:c>
      <x:c r="L626" t="n">
        <x:v>3627921.33</x:v>
      </x:c>
      <x:c r="M626" t="n">
        <x:v>0</x:v>
      </x:c>
      <x:c r="N626" t="n">
        <x:v>0</x:v>
      </x:c>
      <x:c r="O626" t="n">
        <x:v>0</x:v>
      </x:c>
      <x:c r="P626" t="n">
        <x:v>1</x:v>
      </x:c>
    </x:row>
    <x:row r="627">
      <x:c r="A627" t="str">
        <x:v>2025-06</x:v>
      </x:c>
      <x:c r="B627" t="str">
        <x:v>USR-00184</x:v>
      </x:c>
      <x:c r="C627" t="str">
        <x:v>Cero</x:v>
      </x:c>
      <x:c r="D627" t="str">
        <x:v>Gratuita</x:v>
      </x:c>
      <x:c r="E627" t="str">
        <x:v>Medellín</x:v>
      </x:c>
      <x:c r="F627" t="str">
        <x:v>Antioquia</x:v>
      </x:c>
      <x:c r="G627" t="n">
        <x:v>42</x:v>
      </x:c>
      <x:c r="H627" t="str">
        <x:v>Menos de $1,5 M</x:v>
      </x:c>
      <x:c r="I627" t="str">
        <x:v>Redes sociales</x:v>
      </x:c>
      <x:c r="J627" t="n">
        <x:v>1</x:v>
      </x:c>
      <x:c r="K627" t="n">
        <x:v>0</x:v>
      </x:c>
      <x:c r="L627" t="n">
        <x:v>19304084.19</x:v>
      </x:c>
      <x:c r="M627" t="n">
        <x:v>0</x:v>
      </x:c>
      <x:c r="N627" t="n">
        <x:v>0</x:v>
      </x:c>
      <x:c r="O627" t="n">
        <x:v>0</x:v>
      </x:c>
      <x:c r="P627" t="n">
        <x:v>1</x:v>
      </x:c>
    </x:row>
    <x:row r="628">
      <x:c r="A628" t="str">
        <x:v>2025-06</x:v>
      </x:c>
      <x:c r="B628" t="str">
        <x:v>USR-00185</x:v>
      </x:c>
      <x:c r="C628" t="str">
        <x:v>Cero</x:v>
      </x:c>
      <x:c r="D628" t="str">
        <x:v>Gratuita</x:v>
      </x:c>
      <x:c r="E628" t="str">
        <x:v>Medellín</x:v>
      </x:c>
      <x:c r="F628" t="str">
        <x:v>Antioquia</x:v>
      </x:c>
      <x:c r="G628" t="n">
        <x:v>20</x:v>
      </x:c>
      <x:c r="H628" t="str">
        <x:v>Menos de $1,5 M</x:v>
      </x:c>
      <x:c r="I628" t="str">
        <x:v>Contenido educativo</x:v>
      </x:c>
      <x:c r="J628" t="n">
        <x:v>1</x:v>
      </x:c>
      <x:c r="K628" t="n">
        <x:v>0</x:v>
      </x:c>
      <x:c r="L628" t="n">
        <x:v>2941798.59</x:v>
      </x:c>
      <x:c r="M628" t="n">
        <x:v>105800</x:v>
      </x:c>
      <x:c r="N628" t="n">
        <x:v>1</x:v>
      </x:c>
      <x:c r="O628" t="n">
        <x:v>0</x:v>
      </x:c>
      <x:c r="P628" t="n">
        <x:v>1</x:v>
      </x:c>
    </x:row>
    <x:row r="629">
      <x:c r="A629" t="str">
        <x:v>2025-06</x:v>
      </x:c>
      <x:c r="B629" t="str">
        <x:v>USR-00186</x:v>
      </x:c>
      <x:c r="C629" t="str">
        <x:v>Cero</x:v>
      </x:c>
      <x:c r="D629" t="str">
        <x:v>Gratuita</x:v>
      </x:c>
      <x:c r="E629" t="str">
        <x:v>Cali</x:v>
      </x:c>
      <x:c r="F629" t="str">
        <x:v>Valle del Cauca</x:v>
      </x:c>
      <x:c r="G629" t="n">
        <x:v>25</x:v>
      </x:c>
      <x:c r="H629" t="str">
        <x:v>Entre $3 M y $5 M</x:v>
      </x:c>
      <x:c r="I629" t="str">
        <x:v>Redes sociales</x:v>
      </x:c>
      <x:c r="J629" t="n">
        <x:v>1</x:v>
      </x:c>
      <x:c r="K629" t="n">
        <x:v>0</x:v>
      </x:c>
      <x:c r="L629" t="n">
        <x:v>38397819.99</x:v>
      </x:c>
      <x:c r="M629" t="n">
        <x:v>1702600</x:v>
      </x:c>
      <x:c r="N629" t="n">
        <x:v>1</x:v>
      </x:c>
      <x:c r="O629" t="n">
        <x:v>0</x:v>
      </x:c>
      <x:c r="P629" t="n">
        <x:v>1</x:v>
      </x:c>
    </x:row>
    <x:row r="630">
      <x:c r="A630" t="str">
        <x:v>2025-06</x:v>
      </x:c>
      <x:c r="B630" t="str">
        <x:v>USR-00187</x:v>
      </x:c>
      <x:c r="C630" t="str">
        <x:v>Cero</x:v>
      </x:c>
      <x:c r="D630" t="str">
        <x:v>Gratuita</x:v>
      </x:c>
      <x:c r="E630" t="str">
        <x:v>Medellín</x:v>
      </x:c>
      <x:c r="F630" t="str">
        <x:v>Antioquia</x:v>
      </x:c>
      <x:c r="G630" t="n">
        <x:v>45</x:v>
      </x:c>
      <x:c r="H630" t="str">
        <x:v>Menos de $1,5 M</x:v>
      </x:c>
      <x:c r="I630" t="str">
        <x:v>Redes sociales</x:v>
      </x:c>
      <x:c r="J630" t="n">
        <x:v>1</x:v>
      </x:c>
      <x:c r="K630" t="n">
        <x:v>0</x:v>
      </x:c>
      <x:c r="L630" t="n">
        <x:v>11796872.21</x:v>
      </x:c>
      <x:c r="M630" t="n">
        <x:v>0</x:v>
      </x:c>
      <x:c r="N630" t="n">
        <x:v>0</x:v>
      </x:c>
      <x:c r="O630" t="n">
        <x:v>0</x:v>
      </x:c>
      <x:c r="P630" t="n">
        <x:v>1</x:v>
      </x:c>
    </x:row>
    <x:row r="631">
      <x:c r="A631" t="str">
        <x:v>2025-06</x:v>
      </x:c>
      <x:c r="B631" t="str">
        <x:v>USR-00188</x:v>
      </x:c>
      <x:c r="C631" t="str">
        <x:v>Cero</x:v>
      </x:c>
      <x:c r="D631" t="str">
        <x:v>Gratuita</x:v>
      </x:c>
      <x:c r="E631" t="str">
        <x:v>Barranquilla</x:v>
      </x:c>
      <x:c r="F631" t="str">
        <x:v>Atlántico</x:v>
      </x:c>
      <x:c r="G631" t="n">
        <x:v>46</x:v>
      </x:c>
      <x:c r="H631" t="str">
        <x:v>Menos de $1,5 M</x:v>
      </x:c>
      <x:c r="I631" t="str">
        <x:v>Búsqueda paga</x:v>
      </x:c>
      <x:c r="J631" t="n">
        <x:v>2</x:v>
      </x:c>
      <x:c r="K631" t="n">
        <x:v>0</x:v>
      </x:c>
      <x:c r="L631" t="n">
        <x:v>13151299.46</x:v>
      </x:c>
      <x:c r="M631" t="n">
        <x:v>628400</x:v>
      </x:c>
      <x:c r="N631" t="n">
        <x:v>1</x:v>
      </x:c>
      <x:c r="O631" t="n">
        <x:v>0</x:v>
      </x:c>
      <x:c r="P631" t="n">
        <x:v>1</x:v>
      </x:c>
    </x:row>
    <x:row r="632">
      <x:c r="A632" t="str">
        <x:v>2025-07</x:v>
      </x:c>
      <x:c r="B632" t="str">
        <x:v>USR-00001</x:v>
      </x:c>
      <x:c r="C632" t="str">
        <x:v>Cero</x:v>
      </x:c>
      <x:c r="D632" t="str">
        <x:v>Gratuita</x:v>
      </x:c>
      <x:c r="E632" t="str">
        <x:v>Medellín</x:v>
      </x:c>
      <x:c r="F632" t="str">
        <x:v>Antioquia</x:v>
      </x:c>
      <x:c r="G632" t="n">
        <x:v>44</x:v>
      </x:c>
      <x:c r="H632" t="str">
        <x:v>Entre $1,5 M y $3 M</x:v>
      </x:c>
      <x:c r="I632" t="str">
        <x:v>Redes sociales</x:v>
      </x:c>
      <x:c r="J632" t="n">
        <x:v>1</x:v>
      </x:c>
      <x:c r="K632" t="n">
        <x:v>0</x:v>
      </x:c>
      <x:c r="L632" t="n">
        <x:v>17433599.93</x:v>
      </x:c>
      <x:c r="M632" t="n">
        <x:v>0</x:v>
      </x:c>
      <x:c r="N632" t="n">
        <x:v>0</x:v>
      </x:c>
      <x:c r="O632" t="n">
        <x:v>0</x:v>
      </x:c>
      <x:c r="P632" t="n">
        <x:v>7</x:v>
      </x:c>
    </x:row>
    <x:row r="633">
      <x:c r="A633" t="str">
        <x:v>2025-07</x:v>
      </x:c>
      <x:c r="B633" t="str">
        <x:v>USR-00002</x:v>
      </x:c>
      <x:c r="C633" t="str">
        <x:v>Plus mensual</x:v>
      </x:c>
      <x:c r="D633" t="str">
        <x:v>Pago</x:v>
      </x:c>
      <x:c r="E633" t="str">
        <x:v>Bogotá</x:v>
      </x:c>
      <x:c r="F633" t="str">
        <x:v>Bogotá D.C.</x:v>
      </x:c>
      <x:c r="G633" t="n">
        <x:v>54</x:v>
      </x:c>
      <x:c r="H633" t="str">
        <x:v>Entre $3 M y $5 M</x:v>
      </x:c>
      <x:c r="I633" t="str">
        <x:v>Alianzas</x:v>
      </x:c>
      <x:c r="J633" t="n">
        <x:v>3</x:v>
      </x:c>
      <x:c r="K633" t="n">
        <x:v>0</x:v>
      </x:c>
      <x:c r="L633" t="n">
        <x:v>39352006.36</x:v>
      </x:c>
      <x:c r="M633" t="n">
        <x:v>1936100</x:v>
      </x:c>
      <x:c r="N633" t="n">
        <x:v>3</x:v>
      </x:c>
      <x:c r="O633" t="n">
        <x:v>29900</x:v>
      </x:c>
      <x:c r="P633" t="n">
        <x:v>7</x:v>
      </x:c>
    </x:row>
    <x:row r="634">
      <x:c r="A634" t="str">
        <x:v>2025-07</x:v>
      </x:c>
      <x:c r="B634" t="str">
        <x:v>USR-00003</x:v>
      </x:c>
      <x:c r="C634" t="str">
        <x:v>Plus mensual</x:v>
      </x:c>
      <x:c r="D634" t="str">
        <x:v>Pago</x:v>
      </x:c>
      <x:c r="E634" t="str">
        <x:v>Bogotá</x:v>
      </x:c>
      <x:c r="F634" t="str">
        <x:v>Bogotá D.C.</x:v>
      </x:c>
      <x:c r="G634" t="n">
        <x:v>63</x:v>
      </x:c>
      <x:c r="H634" t="str">
        <x:v>Entre $1,5 M y $3 M</x:v>
      </x:c>
      <x:c r="I634" t="str">
        <x:v>Redes sociales</x:v>
      </x:c>
      <x:c r="J634" t="n">
        <x:v>2</x:v>
      </x:c>
      <x:c r="K634" t="n">
        <x:v>0</x:v>
      </x:c>
      <x:c r="L634" t="n">
        <x:v>19273743.64</x:v>
      </x:c>
      <x:c r="M634" t="n">
        <x:v>426100</x:v>
      </x:c>
      <x:c r="N634" t="n">
        <x:v>1</x:v>
      </x:c>
      <x:c r="O634" t="n">
        <x:v>29900</x:v>
      </x:c>
      <x:c r="P634" t="n">
        <x:v>7</x:v>
      </x:c>
    </x:row>
    <x:row r="635">
      <x:c r="A635" t="str">
        <x:v>2025-07</x:v>
      </x:c>
      <x:c r="B635" t="str">
        <x:v>USR-00004</x:v>
      </x:c>
      <x:c r="C635" t="str">
        <x:v>Plus anual</x:v>
      </x:c>
      <x:c r="D635" t="str">
        <x:v>Pago</x:v>
      </x:c>
      <x:c r="E635" t="str">
        <x:v>Bogotá</x:v>
      </x:c>
      <x:c r="F635" t="str">
        <x:v>Bogotá D.C.</x:v>
      </x:c>
      <x:c r="G635" t="n">
        <x:v>49</x:v>
      </x:c>
      <x:c r="H635" t="str">
        <x:v>Menos de $1,5 M</x:v>
      </x:c>
      <x:c r="I635" t="str">
        <x:v>Alianzas</x:v>
      </x:c>
      <x:c r="J635" t="n">
        <x:v>2</x:v>
      </x:c>
      <x:c r="K635" t="n">
        <x:v>0</x:v>
      </x:c>
      <x:c r="L635" t="n">
        <x:v>15136955.08</x:v>
      </x:c>
      <x:c r="M635" t="n">
        <x:v>1149400</x:v>
      </x:c>
      <x:c r="N635" t="n">
        <x:v>2</x:v>
      </x:c>
      <x:c r="O635" t="n">
        <x:v>24916.67</x:v>
      </x:c>
      <x:c r="P635" t="n">
        <x:v>7</x:v>
      </x:c>
    </x:row>
    <x:row r="636">
      <x:c r="A636" t="str">
        <x:v>2025-07</x:v>
      </x:c>
      <x:c r="B636" t="str">
        <x:v>USR-00005</x:v>
      </x:c>
      <x:c r="C636" t="str">
        <x:v>Plus anual</x:v>
      </x:c>
      <x:c r="D636" t="str">
        <x:v>Pago</x:v>
      </x:c>
      <x:c r="E636" t="str">
        <x:v>Bogotá</x:v>
      </x:c>
      <x:c r="F636" t="str">
        <x:v>Bogotá D.C.</x:v>
      </x:c>
      <x:c r="G636" t="n">
        <x:v>45</x:v>
      </x:c>
      <x:c r="H636" t="str">
        <x:v>Entre $1,5 M y $3 M</x:v>
      </x:c>
      <x:c r="I636" t="str">
        <x:v>Orgánico</x:v>
      </x:c>
      <x:c r="J636" t="n">
        <x:v>2</x:v>
      </x:c>
      <x:c r="K636" t="n">
        <x:v>0</x:v>
      </x:c>
      <x:c r="L636" t="n">
        <x:v>8253908.02</x:v>
      </x:c>
      <x:c r="M636" t="n">
        <x:v>564000</x:v>
      </x:c>
      <x:c r="N636" t="n">
        <x:v>2</x:v>
      </x:c>
      <x:c r="O636" t="n">
        <x:v>24916.67</x:v>
      </x:c>
      <x:c r="P636" t="n">
        <x:v>7</x:v>
      </x:c>
    </x:row>
    <x:row r="637">
      <x:c r="A637" t="str">
        <x:v>2025-07</x:v>
      </x:c>
      <x:c r="B637" t="str">
        <x:v>USR-00006</x:v>
      </x:c>
      <x:c r="C637" t="str">
        <x:v>Cero</x:v>
      </x:c>
      <x:c r="D637" t="str">
        <x:v>Gratuita</x:v>
      </x:c>
      <x:c r="E637" t="str">
        <x:v>Medellín</x:v>
      </x:c>
      <x:c r="F637" t="str">
        <x:v>Antioquia</x:v>
      </x:c>
      <x:c r="G637" t="n">
        <x:v>62</x:v>
      </x:c>
      <x:c r="H637" t="str">
        <x:v>Entre $3 M y $5 M</x:v>
      </x:c>
      <x:c r="I637" t="str">
        <x:v>Redes sociales</x:v>
      </x:c>
      <x:c r="J637" t="n">
        <x:v>1</x:v>
      </x:c>
      <x:c r="K637" t="n">
        <x:v>0</x:v>
      </x:c>
      <x:c r="L637" t="n">
        <x:v>12106702.12</x:v>
      </x:c>
      <x:c r="M637" t="n">
        <x:v>678000</x:v>
      </x:c>
      <x:c r="N637" t="n">
        <x:v>1</x:v>
      </x:c>
      <x:c r="O637" t="n">
        <x:v>0</x:v>
      </x:c>
      <x:c r="P637" t="n">
        <x:v>7</x:v>
      </x:c>
    </x:row>
    <x:row r="638">
      <x:c r="A638" t="str">
        <x:v>2025-07</x:v>
      </x:c>
      <x:c r="B638" t="str">
        <x:v>USR-00007</x:v>
      </x:c>
      <x:c r="C638" t="str">
        <x:v>Plus anual</x:v>
      </x:c>
      <x:c r="D638" t="str">
        <x:v>Pago</x:v>
      </x:c>
      <x:c r="E638" t="str">
        <x:v>Bogotá</x:v>
      </x:c>
      <x:c r="F638" t="str">
        <x:v>Bogotá D.C.</x:v>
      </x:c>
      <x:c r="G638" t="n">
        <x:v>34</x:v>
      </x:c>
      <x:c r="H638" t="str">
        <x:v>Entre $1,5 M y $3 M</x:v>
      </x:c>
      <x:c r="I638" t="str">
        <x:v>Redes sociales</x:v>
      </x:c>
      <x:c r="J638" t="n">
        <x:v>3</x:v>
      </x:c>
      <x:c r="K638" t="n">
        <x:v>0</x:v>
      </x:c>
      <x:c r="L638" t="n">
        <x:v>28535968.47</x:v>
      </x:c>
      <x:c r="M638" t="n">
        <x:v>2818200</x:v>
      </x:c>
      <x:c r="N638" t="n">
        <x:v>3</x:v>
      </x:c>
      <x:c r="O638" t="n">
        <x:v>24916.67</x:v>
      </x:c>
      <x:c r="P638" t="n">
        <x:v>7</x:v>
      </x:c>
    </x:row>
    <x:row r="639">
      <x:c r="A639" t="str">
        <x:v>2025-07</x:v>
      </x:c>
      <x:c r="B639" t="str">
        <x:v>USR-00008</x:v>
      </x:c>
      <x:c r="C639" t="str">
        <x:v>Cero</x:v>
      </x:c>
      <x:c r="D639" t="str">
        <x:v>Gratuita</x:v>
      </x:c>
      <x:c r="E639" t="str">
        <x:v>Barranquilla</x:v>
      </x:c>
      <x:c r="F639" t="str">
        <x:v>Atlántico</x:v>
      </x:c>
      <x:c r="G639" t="n">
        <x:v>33</x:v>
      </x:c>
      <x:c r="H639" t="str">
        <x:v>Más de $5 M</x:v>
      </x:c>
      <x:c r="I639" t="str">
        <x:v>Redes sociales</x:v>
      </x:c>
      <x:c r="J639" t="n">
        <x:v>2</x:v>
      </x:c>
      <x:c r="K639" t="n">
        <x:v>0</x:v>
      </x:c>
      <x:c r="L639" t="n">
        <x:v>23620380.82</x:v>
      </x:c>
      <x:c r="M639" t="n">
        <x:v>1950800</x:v>
      </x:c>
      <x:c r="N639" t="n">
        <x:v>2</x:v>
      </x:c>
      <x:c r="O639" t="n">
        <x:v>0</x:v>
      </x:c>
      <x:c r="P639" t="n">
        <x:v>7</x:v>
      </x:c>
    </x:row>
    <x:row r="640">
      <x:c r="A640" t="str">
        <x:v>2025-07</x:v>
      </x:c>
      <x:c r="B640" t="str">
        <x:v>USR-00009</x:v>
      </x:c>
      <x:c r="C640" t="str">
        <x:v>Plus anual</x:v>
      </x:c>
      <x:c r="D640" t="str">
        <x:v>Pago</x:v>
      </x:c>
      <x:c r="E640" t="str">
        <x:v>Barranquilla</x:v>
      </x:c>
      <x:c r="F640" t="str">
        <x:v>Atlántico</x:v>
      </x:c>
      <x:c r="G640" t="n">
        <x:v>46</x:v>
      </x:c>
      <x:c r="H640" t="str">
        <x:v>Entre $1,5 M y $3 M</x:v>
      </x:c>
      <x:c r="I640" t="str">
        <x:v>Orgánico</x:v>
      </x:c>
      <x:c r="J640" t="n">
        <x:v>2</x:v>
      </x:c>
      <x:c r="K640" t="n">
        <x:v>0</x:v>
      </x:c>
      <x:c r="L640" t="n">
        <x:v>19983339.16</x:v>
      </x:c>
      <x:c r="M640" t="n">
        <x:v>707400</x:v>
      </x:c>
      <x:c r="N640" t="n">
        <x:v>2</x:v>
      </x:c>
      <x:c r="O640" t="n">
        <x:v>24916.67</x:v>
      </x:c>
      <x:c r="P640" t="n">
        <x:v>7</x:v>
      </x:c>
    </x:row>
    <x:row r="641">
      <x:c r="A641" t="str">
        <x:v>2025-07</x:v>
      </x:c>
      <x:c r="B641" t="str">
        <x:v>USR-00010</x:v>
      </x:c>
      <x:c r="C641" t="str">
        <x:v>Cero</x:v>
      </x:c>
      <x:c r="D641" t="str">
        <x:v>Gratuita</x:v>
      </x:c>
      <x:c r="E641" t="str">
        <x:v>Bogotá</x:v>
      </x:c>
      <x:c r="F641" t="str">
        <x:v>Bogotá D.C.</x:v>
      </x:c>
      <x:c r="G641" t="n">
        <x:v>63</x:v>
      </x:c>
      <x:c r="H641" t="str">
        <x:v>Entre $3 M y $5 M</x:v>
      </x:c>
      <x:c r="I641" t="str">
        <x:v>Contenido educativo</x:v>
      </x:c>
      <x:c r="J641" t="n">
        <x:v>2</x:v>
      </x:c>
      <x:c r="K641" t="n">
        <x:v>0</x:v>
      </x:c>
      <x:c r="L641" t="n">
        <x:v>19839821.97</x:v>
      </x:c>
      <x:c r="M641" t="n">
        <x:v>0</x:v>
      </x:c>
      <x:c r="N641" t="n">
        <x:v>0</x:v>
      </x:c>
      <x:c r="O641" t="n">
        <x:v>0</x:v>
      </x:c>
      <x:c r="P641" t="n">
        <x:v>7</x:v>
      </x:c>
    </x:row>
    <x:row r="642">
      <x:c r="A642" t="str">
        <x:v>2025-07</x:v>
      </x:c>
      <x:c r="B642" t="str">
        <x:v>USR-00011</x:v>
      </x:c>
      <x:c r="C642" t="str">
        <x:v>Cero</x:v>
      </x:c>
      <x:c r="D642" t="str">
        <x:v>Gratuita</x:v>
      </x:c>
      <x:c r="E642" t="str">
        <x:v>Bogotá</x:v>
      </x:c>
      <x:c r="F642" t="str">
        <x:v>Bogotá D.C.</x:v>
      </x:c>
      <x:c r="G642" t="n">
        <x:v>38</x:v>
      </x:c>
      <x:c r="H642" t="str">
        <x:v>Entre $1,5 M y $3 M</x:v>
      </x:c>
      <x:c r="I642" t="str">
        <x:v>Contenido educativo</x:v>
      </x:c>
      <x:c r="J642" t="n">
        <x:v>2</x:v>
      </x:c>
      <x:c r="K642" t="n">
        <x:v>0</x:v>
      </x:c>
      <x:c r="L642" t="n">
        <x:v>14238885.47</x:v>
      </x:c>
      <x:c r="M642" t="n">
        <x:v>0</x:v>
      </x:c>
      <x:c r="N642" t="n">
        <x:v>0</x:v>
      </x:c>
      <x:c r="O642" t="n">
        <x:v>0</x:v>
      </x:c>
      <x:c r="P642" t="n">
        <x:v>7</x:v>
      </x:c>
    </x:row>
    <x:row r="643">
      <x:c r="A643" t="str">
        <x:v>2025-07</x:v>
      </x:c>
      <x:c r="B643" t="str">
        <x:v>USR-00012</x:v>
      </x:c>
      <x:c r="C643" t="str">
        <x:v>Cero</x:v>
      </x:c>
      <x:c r="D643" t="str">
        <x:v>Gratuita</x:v>
      </x:c>
      <x:c r="E643" t="str">
        <x:v>Bogotá</x:v>
      </x:c>
      <x:c r="F643" t="str">
        <x:v>Bogotá D.C.</x:v>
      </x:c>
      <x:c r="G643" t="n">
        <x:v>37</x:v>
      </x:c>
      <x:c r="H643" t="str">
        <x:v>Entre $1,5 M y $3 M</x:v>
      </x:c>
      <x:c r="I643" t="str">
        <x:v>Referidos</x:v>
      </x:c>
      <x:c r="J643" t="n">
        <x:v>2</x:v>
      </x:c>
      <x:c r="K643" t="n">
        <x:v>0</x:v>
      </x:c>
      <x:c r="L643" t="n">
        <x:v>15986940.37</x:v>
      </x:c>
      <x:c r="M643" t="n">
        <x:v>704300</x:v>
      </x:c>
      <x:c r="N643" t="n">
        <x:v>2</x:v>
      </x:c>
      <x:c r="O643" t="n">
        <x:v>0</x:v>
      </x:c>
      <x:c r="P643" t="n">
        <x:v>7</x:v>
      </x:c>
    </x:row>
    <x:row r="644">
      <x:c r="A644" t="str">
        <x:v>2025-07</x:v>
      </x:c>
      <x:c r="B644" t="str">
        <x:v>USR-00013</x:v>
      </x:c>
      <x:c r="C644" t="str">
        <x:v>Cero</x:v>
      </x:c>
      <x:c r="D644" t="str">
        <x:v>Gratuita</x:v>
      </x:c>
      <x:c r="E644" t="str">
        <x:v>Barranquilla</x:v>
      </x:c>
      <x:c r="F644" t="str">
        <x:v>Atlántico</x:v>
      </x:c>
      <x:c r="G644" t="n">
        <x:v>48</x:v>
      </x:c>
      <x:c r="H644" t="str">
        <x:v>Entre $1,5 M y $3 M</x:v>
      </x:c>
      <x:c r="I644" t="str">
        <x:v>Búsqueda paga</x:v>
      </x:c>
      <x:c r="J644" t="n">
        <x:v>2</x:v>
      </x:c>
      <x:c r="K644" t="n">
        <x:v>0</x:v>
      </x:c>
      <x:c r="L644" t="n">
        <x:v>45504272.91</x:v>
      </x:c>
      <x:c r="M644" t="n">
        <x:v>3267700</x:v>
      </x:c>
      <x:c r="N644" t="n">
        <x:v>1</x:v>
      </x:c>
      <x:c r="O644" t="n">
        <x:v>0</x:v>
      </x:c>
      <x:c r="P644" t="n">
        <x:v>7</x:v>
      </x:c>
    </x:row>
    <x:row r="645">
      <x:c r="A645" t="str">
        <x:v>2025-07</x:v>
      </x:c>
      <x:c r="B645" t="str">
        <x:v>USR-00014</x:v>
      </x:c>
      <x:c r="C645" t="str">
        <x:v>Cero</x:v>
      </x:c>
      <x:c r="D645" t="str">
        <x:v>Gratuita</x:v>
      </x:c>
      <x:c r="E645" t="str">
        <x:v>Bucaramanga</x:v>
      </x:c>
      <x:c r="F645" t="str">
        <x:v>Santander</x:v>
      </x:c>
      <x:c r="G645" t="n">
        <x:v>37</x:v>
      </x:c>
      <x:c r="H645" t="str">
        <x:v>Entre $1,5 M y $3 M</x:v>
      </x:c>
      <x:c r="I645" t="str">
        <x:v>Redes sociales</x:v>
      </x:c>
      <x:c r="J645" t="n">
        <x:v>2</x:v>
      </x:c>
      <x:c r="K645" t="n">
        <x:v>0</x:v>
      </x:c>
      <x:c r="L645" t="n">
        <x:v>7547144.94</x:v>
      </x:c>
      <x:c r="M645" t="n">
        <x:v>191600</x:v>
      </x:c>
      <x:c r="N645" t="n">
        <x:v>1</x:v>
      </x:c>
      <x:c r="O645" t="n">
        <x:v>0</x:v>
      </x:c>
      <x:c r="P645" t="n">
        <x:v>7</x:v>
      </x:c>
    </x:row>
    <x:row r="646">
      <x:c r="A646" t="str">
        <x:v>2025-07</x:v>
      </x:c>
      <x:c r="B646" t="str">
        <x:v>USR-00015</x:v>
      </x:c>
      <x:c r="C646" t="str">
        <x:v>Cero</x:v>
      </x:c>
      <x:c r="D646" t="str">
        <x:v>Gratuita</x:v>
      </x:c>
      <x:c r="E646" t="str">
        <x:v>Barranquilla</x:v>
      </x:c>
      <x:c r="F646" t="str">
        <x:v>Atlántico</x:v>
      </x:c>
      <x:c r="G646" t="n">
        <x:v>58</x:v>
      </x:c>
      <x:c r="H646" t="str">
        <x:v>Menos de $1,5 M</x:v>
      </x:c>
      <x:c r="I646" t="str">
        <x:v>Contenido educativo</x:v>
      </x:c>
      <x:c r="J646" t="n">
        <x:v>2</x:v>
      </x:c>
      <x:c r="K646" t="n">
        <x:v>0</x:v>
      </x:c>
      <x:c r="L646" t="n">
        <x:v>18620544.91</x:v>
      </x:c>
      <x:c r="M646" t="n">
        <x:v>683100</x:v>
      </x:c>
      <x:c r="N646" t="n">
        <x:v>2</x:v>
      </x:c>
      <x:c r="O646" t="n">
        <x:v>0</x:v>
      </x:c>
      <x:c r="P646" t="n">
        <x:v>7</x:v>
      </x:c>
    </x:row>
    <x:row r="647">
      <x:c r="A647" t="str">
        <x:v>2025-07</x:v>
      </x:c>
      <x:c r="B647" t="str">
        <x:v>USR-00016</x:v>
      </x:c>
      <x:c r="C647" t="str">
        <x:v>Cero</x:v>
      </x:c>
      <x:c r="D647" t="str">
        <x:v>Gratuita</x:v>
      </x:c>
      <x:c r="E647" t="str">
        <x:v>Bogotá</x:v>
      </x:c>
      <x:c r="F647" t="str">
        <x:v>Bogotá D.C.</x:v>
      </x:c>
      <x:c r="G647" t="n">
        <x:v>38</x:v>
      </x:c>
      <x:c r="H647" t="str">
        <x:v>Menos de $1,5 M</x:v>
      </x:c>
      <x:c r="I647" t="str">
        <x:v>Búsqueda paga</x:v>
      </x:c>
      <x:c r="J647" t="n">
        <x:v>1</x:v>
      </x:c>
      <x:c r="K647" t="n">
        <x:v>0</x:v>
      </x:c>
      <x:c r="L647" t="n">
        <x:v>3661921.97</x:v>
      </x:c>
      <x:c r="M647" t="n">
        <x:v>224300</x:v>
      </x:c>
      <x:c r="N647" t="n">
        <x:v>1</x:v>
      </x:c>
      <x:c r="O647" t="n">
        <x:v>0</x:v>
      </x:c>
      <x:c r="P647" t="n">
        <x:v>7</x:v>
      </x:c>
    </x:row>
    <x:row r="648">
      <x:c r="A648" t="str">
        <x:v>2025-07</x:v>
      </x:c>
      <x:c r="B648" t="str">
        <x:v>USR-00017</x:v>
      </x:c>
      <x:c r="C648" t="str">
        <x:v>Plus anual</x:v>
      </x:c>
      <x:c r="D648" t="str">
        <x:v>Pago</x:v>
      </x:c>
      <x:c r="E648" t="str">
        <x:v>Bogotá</x:v>
      </x:c>
      <x:c r="F648" t="str">
        <x:v>Bogotá D.C.</x:v>
      </x:c>
      <x:c r="G648" t="n">
        <x:v>35</x:v>
      </x:c>
      <x:c r="H648" t="str">
        <x:v>Entre $1,5 M y $3 M</x:v>
      </x:c>
      <x:c r="I648" t="str">
        <x:v>Orgánico</x:v>
      </x:c>
      <x:c r="J648" t="n">
        <x:v>1</x:v>
      </x:c>
      <x:c r="K648" t="n">
        <x:v>0</x:v>
      </x:c>
      <x:c r="L648" t="n">
        <x:v>2266614.21</x:v>
      </x:c>
      <x:c r="M648" t="n">
        <x:v>96800</x:v>
      </x:c>
      <x:c r="N648" t="n">
        <x:v>1</x:v>
      </x:c>
      <x:c r="O648" t="n">
        <x:v>24916.67</x:v>
      </x:c>
      <x:c r="P648" t="n">
        <x:v>7</x:v>
      </x:c>
    </x:row>
    <x:row r="649">
      <x:c r="A649" t="str">
        <x:v>2025-07</x:v>
      </x:c>
      <x:c r="B649" t="str">
        <x:v>USR-00018</x:v>
      </x:c>
      <x:c r="C649" t="str">
        <x:v>Plus mensual</x:v>
      </x:c>
      <x:c r="D649" t="str">
        <x:v>Pago</x:v>
      </x:c>
      <x:c r="E649" t="str">
        <x:v>Bogotá</x:v>
      </x:c>
      <x:c r="F649" t="str">
        <x:v>Bogotá D.C.</x:v>
      </x:c>
      <x:c r="G649" t="n">
        <x:v>44</x:v>
      </x:c>
      <x:c r="H649" t="str">
        <x:v>Entre $1,5 M y $3 M</x:v>
      </x:c>
      <x:c r="I649" t="str">
        <x:v>Referidos</x:v>
      </x:c>
      <x:c r="J649" t="n">
        <x:v>1</x:v>
      </x:c>
      <x:c r="K649" t="n">
        <x:v>0</x:v>
      </x:c>
      <x:c r="L649" t="n">
        <x:v>7776632.44</x:v>
      </x:c>
      <x:c r="M649" t="n">
        <x:v>512000</x:v>
      </x:c>
      <x:c r="N649" t="n">
        <x:v>1</x:v>
      </x:c>
      <x:c r="O649" t="n">
        <x:v>29900</x:v>
      </x:c>
      <x:c r="P649" t="n">
        <x:v>7</x:v>
      </x:c>
    </x:row>
    <x:row r="650">
      <x:c r="A650" t="str">
        <x:v>2025-07</x:v>
      </x:c>
      <x:c r="B650" t="str">
        <x:v>USR-00019</x:v>
      </x:c>
      <x:c r="C650" t="str">
        <x:v>Plus mensual</x:v>
      </x:c>
      <x:c r="D650" t="str">
        <x:v>Pago</x:v>
      </x:c>
      <x:c r="E650" t="str">
        <x:v>Bogotá</x:v>
      </x:c>
      <x:c r="F650" t="str">
        <x:v>Bogotá D.C.</x:v>
      </x:c>
      <x:c r="G650" t="n">
        <x:v>60</x:v>
      </x:c>
      <x:c r="H650" t="str">
        <x:v>Entre $3 M y $5 M</x:v>
      </x:c>
      <x:c r="I650" t="str">
        <x:v>Redes sociales</x:v>
      </x:c>
      <x:c r="J650" t="n">
        <x:v>3</x:v>
      </x:c>
      <x:c r="K650" t="n">
        <x:v>0</x:v>
      </x:c>
      <x:c r="L650" t="n">
        <x:v>30949040.18</x:v>
      </x:c>
      <x:c r="M650" t="n">
        <x:v>2456200</x:v>
      </x:c>
      <x:c r="N650" t="n">
        <x:v>3</x:v>
      </x:c>
      <x:c r="O650" t="n">
        <x:v>29900</x:v>
      </x:c>
      <x:c r="P650" t="n">
        <x:v>7</x:v>
      </x:c>
    </x:row>
    <x:row r="651">
      <x:c r="A651" t="str">
        <x:v>2025-07</x:v>
      </x:c>
      <x:c r="B651" t="str">
        <x:v>USR-00020</x:v>
      </x:c>
      <x:c r="C651" t="str">
        <x:v>Cero</x:v>
      </x:c>
      <x:c r="D651" t="str">
        <x:v>Gratuita</x:v>
      </x:c>
      <x:c r="E651" t="str">
        <x:v>Bogotá</x:v>
      </x:c>
      <x:c r="F651" t="str">
        <x:v>Bogotá D.C.</x:v>
      </x:c>
      <x:c r="G651" t="n">
        <x:v>50</x:v>
      </x:c>
      <x:c r="H651" t="str">
        <x:v>Entre $1,5 M y $3 M</x:v>
      </x:c>
      <x:c r="I651" t="str">
        <x:v>Alianzas</x:v>
      </x:c>
      <x:c r="J651" t="n">
        <x:v>1</x:v>
      </x:c>
      <x:c r="K651" t="n">
        <x:v>0</x:v>
      </x:c>
      <x:c r="L651" t="n">
        <x:v>5706081.07</x:v>
      </x:c>
      <x:c r="M651" t="n">
        <x:v>267300</x:v>
      </x:c>
      <x:c r="N651" t="n">
        <x:v>1</x:v>
      </x:c>
      <x:c r="O651" t="n">
        <x:v>0</x:v>
      </x:c>
      <x:c r="P651" t="n">
        <x:v>7</x:v>
      </x:c>
    </x:row>
    <x:row r="652">
      <x:c r="A652" t="str">
        <x:v>2025-07</x:v>
      </x:c>
      <x:c r="B652" t="str">
        <x:v>USR-00021</x:v>
      </x:c>
      <x:c r="C652" t="str">
        <x:v>Cero</x:v>
      </x:c>
      <x:c r="D652" t="str">
        <x:v>Gratuita</x:v>
      </x:c>
      <x:c r="E652" t="str">
        <x:v>Cali</x:v>
      </x:c>
      <x:c r="F652" t="str">
        <x:v>Valle del Cauca</x:v>
      </x:c>
      <x:c r="G652" t="n">
        <x:v>51</x:v>
      </x:c>
      <x:c r="H652" t="str">
        <x:v>Menos de $1,5 M</x:v>
      </x:c>
      <x:c r="I652" t="str">
        <x:v>Redes sociales</x:v>
      </x:c>
      <x:c r="J652" t="n">
        <x:v>1</x:v>
      </x:c>
      <x:c r="K652" t="n">
        <x:v>0</x:v>
      </x:c>
      <x:c r="L652" t="n">
        <x:v>22767464.47</x:v>
      </x:c>
      <x:c r="M652" t="n">
        <x:v>0</x:v>
      </x:c>
      <x:c r="N652" t="n">
        <x:v>0</x:v>
      </x:c>
      <x:c r="O652" t="n">
        <x:v>0</x:v>
      </x:c>
      <x:c r="P652" t="n">
        <x:v>7</x:v>
      </x:c>
    </x:row>
    <x:row r="653">
      <x:c r="A653" t="str">
        <x:v>2025-07</x:v>
      </x:c>
      <x:c r="B653" t="str">
        <x:v>USR-00022</x:v>
      </x:c>
      <x:c r="C653" t="str">
        <x:v>Cero</x:v>
      </x:c>
      <x:c r="D653" t="str">
        <x:v>Gratuita</x:v>
      </x:c>
      <x:c r="E653" t="str">
        <x:v>Bogotá</x:v>
      </x:c>
      <x:c r="F653" t="str">
        <x:v>Bogotá D.C.</x:v>
      </x:c>
      <x:c r="G653" t="n">
        <x:v>36</x:v>
      </x:c>
      <x:c r="H653" t="str">
        <x:v>Entre $3 M y $5 M</x:v>
      </x:c>
      <x:c r="I653" t="str">
        <x:v>Orgánico</x:v>
      </x:c>
      <x:c r="J653" t="n">
        <x:v>2</x:v>
      </x:c>
      <x:c r="K653" t="n">
        <x:v>0</x:v>
      </x:c>
      <x:c r="L653" t="n">
        <x:v>16217869</x:v>
      </x:c>
      <x:c r="M653" t="n">
        <x:v>1304600</x:v>
      </x:c>
      <x:c r="N653" t="n">
        <x:v>2</x:v>
      </x:c>
      <x:c r="O653" t="n">
        <x:v>0</x:v>
      </x:c>
      <x:c r="P653" t="n">
        <x:v>7</x:v>
      </x:c>
    </x:row>
    <x:row r="654">
      <x:c r="A654" t="str">
        <x:v>2025-07</x:v>
      </x:c>
      <x:c r="B654" t="str">
        <x:v>USR-00023</x:v>
      </x:c>
      <x:c r="C654" t="str">
        <x:v>Cero</x:v>
      </x:c>
      <x:c r="D654" t="str">
        <x:v>Gratuita</x:v>
      </x:c>
      <x:c r="E654" t="str">
        <x:v>Bogotá</x:v>
      </x:c>
      <x:c r="F654" t="str">
        <x:v>Bogotá D.C.</x:v>
      </x:c>
      <x:c r="G654" t="n">
        <x:v>24</x:v>
      </x:c>
      <x:c r="H654" t="str">
        <x:v>Menos de $1,5 M</x:v>
      </x:c>
      <x:c r="I654" t="str">
        <x:v>Alianzas</x:v>
      </x:c>
      <x:c r="J654" t="n">
        <x:v>1</x:v>
      </x:c>
      <x:c r="K654" t="n">
        <x:v>0</x:v>
      </x:c>
      <x:c r="L654" t="n">
        <x:v>5697819.23</x:v>
      </x:c>
      <x:c r="M654" t="n">
        <x:v>201500</x:v>
      </x:c>
      <x:c r="N654" t="n">
        <x:v>1</x:v>
      </x:c>
      <x:c r="O654" t="n">
        <x:v>0</x:v>
      </x:c>
      <x:c r="P654" t="n">
        <x:v>7</x:v>
      </x:c>
    </x:row>
    <x:row r="655">
      <x:c r="A655" t="str">
        <x:v>2025-07</x:v>
      </x:c>
      <x:c r="B655" t="str">
        <x:v>USR-00024</x:v>
      </x:c>
      <x:c r="C655" t="str">
        <x:v>Cero</x:v>
      </x:c>
      <x:c r="D655" t="str">
        <x:v>Gratuita</x:v>
      </x:c>
      <x:c r="E655" t="str">
        <x:v>Bogotá</x:v>
      </x:c>
      <x:c r="F655" t="str">
        <x:v>Bogotá D.C.</x:v>
      </x:c>
      <x:c r="G655" t="n">
        <x:v>59</x:v>
      </x:c>
      <x:c r="H655" t="str">
        <x:v>Menos de $1,5 M</x:v>
      </x:c>
      <x:c r="I655" t="str">
        <x:v>Orgánico</x:v>
      </x:c>
      <x:c r="J655" t="n">
        <x:v>2</x:v>
      </x:c>
      <x:c r="K655" t="n">
        <x:v>0</x:v>
      </x:c>
      <x:c r="L655" t="n">
        <x:v>54212886.4</x:v>
      </x:c>
      <x:c r="M655" t="n">
        <x:v>1374400</x:v>
      </x:c>
      <x:c r="N655" t="n">
        <x:v>2</x:v>
      </x:c>
      <x:c r="O655" t="n">
        <x:v>0</x:v>
      </x:c>
      <x:c r="P655" t="n">
        <x:v>7</x:v>
      </x:c>
    </x:row>
    <x:row r="656">
      <x:c r="A656" t="str">
        <x:v>2025-07</x:v>
      </x:c>
      <x:c r="B656" t="str">
        <x:v>USR-00025</x:v>
      </x:c>
      <x:c r="C656" t="str">
        <x:v>Plus anual</x:v>
      </x:c>
      <x:c r="D656" t="str">
        <x:v>Pago</x:v>
      </x:c>
      <x:c r="E656" t="str">
        <x:v>Pereira</x:v>
      </x:c>
      <x:c r="F656" t="str">
        <x:v>Risaralda</x:v>
      </x:c>
      <x:c r="G656" t="n">
        <x:v>57</x:v>
      </x:c>
      <x:c r="H656" t="str">
        <x:v>Entre $1,5 M y $3 M</x:v>
      </x:c>
      <x:c r="I656" t="str">
        <x:v>Orgánico</x:v>
      </x:c>
      <x:c r="J656" t="n">
        <x:v>2</x:v>
      </x:c>
      <x:c r="K656" t="n">
        <x:v>0</x:v>
      </x:c>
      <x:c r="L656" t="n">
        <x:v>10452239.13</x:v>
      </x:c>
      <x:c r="M656" t="n">
        <x:v>671100</x:v>
      </x:c>
      <x:c r="N656" t="n">
        <x:v>2</x:v>
      </x:c>
      <x:c r="O656" t="n">
        <x:v>24916.67</x:v>
      </x:c>
      <x:c r="P656" t="n">
        <x:v>7</x:v>
      </x:c>
    </x:row>
    <x:row r="657">
      <x:c r="A657" t="str">
        <x:v>2025-07</x:v>
      </x:c>
      <x:c r="B657" t="str">
        <x:v>USR-00026</x:v>
      </x:c>
      <x:c r="C657" t="str">
        <x:v>Plus mensual</x:v>
      </x:c>
      <x:c r="D657" t="str">
        <x:v>Pago</x:v>
      </x:c>
      <x:c r="E657" t="str">
        <x:v>Bogotá</x:v>
      </x:c>
      <x:c r="F657" t="str">
        <x:v>Bogotá D.C.</x:v>
      </x:c>
      <x:c r="G657" t="n">
        <x:v>57</x:v>
      </x:c>
      <x:c r="H657" t="str">
        <x:v>Entre $3 M y $5 M</x:v>
      </x:c>
      <x:c r="I657" t="str">
        <x:v>Redes sociales</x:v>
      </x:c>
      <x:c r="J657" t="n">
        <x:v>1</x:v>
      </x:c>
      <x:c r="K657" t="n">
        <x:v>0</x:v>
      </x:c>
      <x:c r="L657" t="n">
        <x:v>5191862.04</x:v>
      </x:c>
      <x:c r="M657" t="n">
        <x:v>130700</x:v>
      </x:c>
      <x:c r="N657" t="n">
        <x:v>1</x:v>
      </x:c>
      <x:c r="O657" t="n">
        <x:v>29900</x:v>
      </x:c>
      <x:c r="P657" t="n">
        <x:v>7</x:v>
      </x:c>
    </x:row>
    <x:row r="658">
      <x:c r="A658" t="str">
        <x:v>2025-07</x:v>
      </x:c>
      <x:c r="B658" t="str">
        <x:v>USR-00028</x:v>
      </x:c>
      <x:c r="C658" t="str">
        <x:v>Cero</x:v>
      </x:c>
      <x:c r="D658" t="str">
        <x:v>Gratuita</x:v>
      </x:c>
      <x:c r="E658" t="str">
        <x:v>Cali</x:v>
      </x:c>
      <x:c r="F658" t="str">
        <x:v>Valle del Cauca</x:v>
      </x:c>
      <x:c r="G658" t="n">
        <x:v>40</x:v>
      </x:c>
      <x:c r="H658" t="str">
        <x:v>Entre $1,5 M y $3 M</x:v>
      </x:c>
      <x:c r="I658" t="str">
        <x:v>Referidos</x:v>
      </x:c>
      <x:c r="J658" t="n">
        <x:v>2</x:v>
      </x:c>
      <x:c r="K658" t="n">
        <x:v>0</x:v>
      </x:c>
      <x:c r="L658" t="n">
        <x:v>19026032.29</x:v>
      </x:c>
      <x:c r="M658" t="n">
        <x:v>231400</x:v>
      </x:c>
      <x:c r="N658" t="n">
        <x:v>1</x:v>
      </x:c>
      <x:c r="O658" t="n">
        <x:v>0</x:v>
      </x:c>
      <x:c r="P658" t="n">
        <x:v>7</x:v>
      </x:c>
    </x:row>
    <x:row r="659">
      <x:c r="A659" t="str">
        <x:v>2025-07</x:v>
      </x:c>
      <x:c r="B659" t="str">
        <x:v>USR-00029</x:v>
      </x:c>
      <x:c r="C659" t="str">
        <x:v>Cero</x:v>
      </x:c>
      <x:c r="D659" t="str">
        <x:v>Gratuita</x:v>
      </x:c>
      <x:c r="E659" t="str">
        <x:v>Manizales</x:v>
      </x:c>
      <x:c r="F659" t="str">
        <x:v>Caldas</x:v>
      </x:c>
      <x:c r="G659" t="n">
        <x:v>36</x:v>
      </x:c>
      <x:c r="H659" t="str">
        <x:v>Entre $1,5 M y $3 M</x:v>
      </x:c>
      <x:c r="I659" t="str">
        <x:v>Orgánico</x:v>
      </x:c>
      <x:c r="J659" t="n">
        <x:v>2</x:v>
      </x:c>
      <x:c r="K659" t="n">
        <x:v>0</x:v>
      </x:c>
      <x:c r="L659" t="n">
        <x:v>7148288.11</x:v>
      </x:c>
      <x:c r="M659" t="n">
        <x:v>163200</x:v>
      </x:c>
      <x:c r="N659" t="n">
        <x:v>1</x:v>
      </x:c>
      <x:c r="O659" t="n">
        <x:v>0</x:v>
      </x:c>
      <x:c r="P659" t="n">
        <x:v>7</x:v>
      </x:c>
    </x:row>
    <x:row r="660">
      <x:c r="A660" t="str">
        <x:v>2025-07</x:v>
      </x:c>
      <x:c r="B660" t="str">
        <x:v>USR-00030</x:v>
      </x:c>
      <x:c r="C660" t="str">
        <x:v>Cero</x:v>
      </x:c>
      <x:c r="D660" t="str">
        <x:v>Gratuita</x:v>
      </x:c>
      <x:c r="E660" t="str">
        <x:v>Bogotá</x:v>
      </x:c>
      <x:c r="F660" t="str">
        <x:v>Bogotá D.C.</x:v>
      </x:c>
      <x:c r="G660" t="n">
        <x:v>41</x:v>
      </x:c>
      <x:c r="H660" t="str">
        <x:v>Entre $1,5 M y $3 M</x:v>
      </x:c>
      <x:c r="I660" t="str">
        <x:v>Alianzas</x:v>
      </x:c>
      <x:c r="J660" t="n">
        <x:v>1</x:v>
      </x:c>
      <x:c r="K660" t="n">
        <x:v>0</x:v>
      </x:c>
      <x:c r="L660" t="n">
        <x:v>4706285.92</x:v>
      </x:c>
      <x:c r="M660" t="n">
        <x:v>408100</x:v>
      </x:c>
      <x:c r="N660" t="n">
        <x:v>1</x:v>
      </x:c>
      <x:c r="O660" t="n">
        <x:v>0</x:v>
      </x:c>
      <x:c r="P660" t="n">
        <x:v>7</x:v>
      </x:c>
    </x:row>
    <x:row r="661">
      <x:c r="A661" t="str">
        <x:v>2025-07</x:v>
      </x:c>
      <x:c r="B661" t="str">
        <x:v>USR-00031</x:v>
      </x:c>
      <x:c r="C661" t="str">
        <x:v>Cero</x:v>
      </x:c>
      <x:c r="D661" t="str">
        <x:v>Gratuita</x:v>
      </x:c>
      <x:c r="E661" t="str">
        <x:v>Bucaramanga</x:v>
      </x:c>
      <x:c r="F661" t="str">
        <x:v>Santander</x:v>
      </x:c>
      <x:c r="G661" t="n">
        <x:v>63</x:v>
      </x:c>
      <x:c r="H661" t="str">
        <x:v>Entre $1,5 M y $3 M</x:v>
      </x:c>
      <x:c r="I661" t="str">
        <x:v>Redes sociales</x:v>
      </x:c>
      <x:c r="J661" t="n">
        <x:v>2</x:v>
      </x:c>
      <x:c r="K661" t="n">
        <x:v>0</x:v>
      </x:c>
      <x:c r="L661" t="n">
        <x:v>37936032.37</x:v>
      </x:c>
      <x:c r="M661" t="n">
        <x:v>1586100</x:v>
      </x:c>
      <x:c r="N661" t="n">
        <x:v>1</x:v>
      </x:c>
      <x:c r="O661" t="n">
        <x:v>0</x:v>
      </x:c>
      <x:c r="P661" t="n">
        <x:v>7</x:v>
      </x:c>
    </x:row>
    <x:row r="662">
      <x:c r="A662" t="str">
        <x:v>2025-07</x:v>
      </x:c>
      <x:c r="B662" t="str">
        <x:v>USR-00032</x:v>
      </x:c>
      <x:c r="C662" t="str">
        <x:v>Cero</x:v>
      </x:c>
      <x:c r="D662" t="str">
        <x:v>Gratuita</x:v>
      </x:c>
      <x:c r="E662" t="str">
        <x:v>Manizales</x:v>
      </x:c>
      <x:c r="F662" t="str">
        <x:v>Caldas</x:v>
      </x:c>
      <x:c r="G662" t="n">
        <x:v>22</x:v>
      </x:c>
      <x:c r="H662" t="str">
        <x:v>Menos de $1,5 M</x:v>
      </x:c>
      <x:c r="I662" t="str">
        <x:v>Búsqueda paga</x:v>
      </x:c>
      <x:c r="J662" t="n">
        <x:v>2</x:v>
      </x:c>
      <x:c r="K662" t="n">
        <x:v>0</x:v>
      </x:c>
      <x:c r="L662" t="n">
        <x:v>16429182.33</x:v>
      </x:c>
      <x:c r="M662" t="n">
        <x:v>1560600</x:v>
      </x:c>
      <x:c r="N662" t="n">
        <x:v>2</x:v>
      </x:c>
      <x:c r="O662" t="n">
        <x:v>0</x:v>
      </x:c>
      <x:c r="P662" t="n">
        <x:v>6</x:v>
      </x:c>
    </x:row>
    <x:row r="663">
      <x:c r="A663" t="str">
        <x:v>2025-07</x:v>
      </x:c>
      <x:c r="B663" t="str">
        <x:v>USR-00033</x:v>
      </x:c>
      <x:c r="C663" t="str">
        <x:v>Cero</x:v>
      </x:c>
      <x:c r="D663" t="str">
        <x:v>Gratuita</x:v>
      </x:c>
      <x:c r="E663" t="str">
        <x:v>Medellín</x:v>
      </x:c>
      <x:c r="F663" t="str">
        <x:v>Antioquia</x:v>
      </x:c>
      <x:c r="G663" t="n">
        <x:v>39</x:v>
      </x:c>
      <x:c r="H663" t="str">
        <x:v>Entre $1,5 M y $3 M</x:v>
      </x:c>
      <x:c r="I663" t="str">
        <x:v>Referidos</x:v>
      </x:c>
      <x:c r="J663" t="n">
        <x:v>1</x:v>
      </x:c>
      <x:c r="K663" t="n">
        <x:v>0</x:v>
      </x:c>
      <x:c r="L663" t="n">
        <x:v>2812509.37</x:v>
      </x:c>
      <x:c r="M663" t="n">
        <x:v>0</x:v>
      </x:c>
      <x:c r="N663" t="n">
        <x:v>0</x:v>
      </x:c>
      <x:c r="O663" t="n">
        <x:v>0</x:v>
      </x:c>
      <x:c r="P663" t="n">
        <x:v>6</x:v>
      </x:c>
    </x:row>
    <x:row r="664">
      <x:c r="A664" t="str">
        <x:v>2025-07</x:v>
      </x:c>
      <x:c r="B664" t="str">
        <x:v>USR-00034</x:v>
      </x:c>
      <x:c r="C664" t="str">
        <x:v>Cero</x:v>
      </x:c>
      <x:c r="D664" t="str">
        <x:v>Gratuita</x:v>
      </x:c>
      <x:c r="E664" t="str">
        <x:v>Bogotá</x:v>
      </x:c>
      <x:c r="F664" t="str">
        <x:v>Bogotá D.C.</x:v>
      </x:c>
      <x:c r="G664" t="n">
        <x:v>59</x:v>
      </x:c>
      <x:c r="H664" t="str">
        <x:v>Entre $3 M y $5 M</x:v>
      </x:c>
      <x:c r="I664" t="str">
        <x:v>Referidos</x:v>
      </x:c>
      <x:c r="J664" t="n">
        <x:v>2</x:v>
      </x:c>
      <x:c r="K664" t="n">
        <x:v>0</x:v>
      </x:c>
      <x:c r="L664" t="n">
        <x:v>9220021.95</x:v>
      </x:c>
      <x:c r="M664" t="n">
        <x:v>146300</x:v>
      </x:c>
      <x:c r="N664" t="n">
        <x:v>1</x:v>
      </x:c>
      <x:c r="O664" t="n">
        <x:v>0</x:v>
      </x:c>
      <x:c r="P664" t="n">
        <x:v>6</x:v>
      </x:c>
    </x:row>
    <x:row r="665">
      <x:c r="A665" t="str">
        <x:v>2025-07</x:v>
      </x:c>
      <x:c r="B665" t="str">
        <x:v>USR-00035</x:v>
      </x:c>
      <x:c r="C665" t="str">
        <x:v>Plus mensual</x:v>
      </x:c>
      <x:c r="D665" t="str">
        <x:v>Pago</x:v>
      </x:c>
      <x:c r="E665" t="str">
        <x:v>Bogotá</x:v>
      </x:c>
      <x:c r="F665" t="str">
        <x:v>Bogotá D.C.</x:v>
      </x:c>
      <x:c r="G665" t="n">
        <x:v>46</x:v>
      </x:c>
      <x:c r="H665" t="str">
        <x:v>Entre $1,5 M y $3 M</x:v>
      </x:c>
      <x:c r="I665" t="str">
        <x:v>Contenido educativo</x:v>
      </x:c>
      <x:c r="J665" t="n">
        <x:v>2</x:v>
      </x:c>
      <x:c r="K665" t="n">
        <x:v>0</x:v>
      </x:c>
      <x:c r="L665" t="n">
        <x:v>6884187.02</x:v>
      </x:c>
      <x:c r="M665" t="n">
        <x:v>361000</x:v>
      </x:c>
      <x:c r="N665" t="n">
        <x:v>2</x:v>
      </x:c>
      <x:c r="O665" t="n">
        <x:v>29900</x:v>
      </x:c>
      <x:c r="P665" t="n">
        <x:v>6</x:v>
      </x:c>
    </x:row>
    <x:row r="666">
      <x:c r="A666" t="str">
        <x:v>2025-07</x:v>
      </x:c>
      <x:c r="B666" t="str">
        <x:v>USR-00036</x:v>
      </x:c>
      <x:c r="C666" t="str">
        <x:v>Cero</x:v>
      </x:c>
      <x:c r="D666" t="str">
        <x:v>Gratuita</x:v>
      </x:c>
      <x:c r="E666" t="str">
        <x:v>Medellín</x:v>
      </x:c>
      <x:c r="F666" t="str">
        <x:v>Antioquia</x:v>
      </x:c>
      <x:c r="G666" t="n">
        <x:v>51</x:v>
      </x:c>
      <x:c r="H666" t="str">
        <x:v>Menos de $1,5 M</x:v>
      </x:c>
      <x:c r="I666" t="str">
        <x:v>Redes sociales</x:v>
      </x:c>
      <x:c r="J666" t="n">
        <x:v>2</x:v>
      </x:c>
      <x:c r="K666" t="n">
        <x:v>0</x:v>
      </x:c>
      <x:c r="L666" t="n">
        <x:v>22971790.11</x:v>
      </x:c>
      <x:c r="M666" t="n">
        <x:v>279300</x:v>
      </x:c>
      <x:c r="N666" t="n">
        <x:v>1</x:v>
      </x:c>
      <x:c r="O666" t="n">
        <x:v>0</x:v>
      </x:c>
      <x:c r="P666" t="n">
        <x:v>6</x:v>
      </x:c>
    </x:row>
    <x:row r="667">
      <x:c r="A667" t="str">
        <x:v>2025-07</x:v>
      </x:c>
      <x:c r="B667" t="str">
        <x:v>USR-00037</x:v>
      </x:c>
      <x:c r="C667" t="str">
        <x:v>Cero</x:v>
      </x:c>
      <x:c r="D667" t="str">
        <x:v>Gratuita</x:v>
      </x:c>
      <x:c r="E667" t="str">
        <x:v>Bogotá</x:v>
      </x:c>
      <x:c r="F667" t="str">
        <x:v>Bogotá D.C.</x:v>
      </x:c>
      <x:c r="G667" t="n">
        <x:v>20</x:v>
      </x:c>
      <x:c r="H667" t="str">
        <x:v>Menos de $1,5 M</x:v>
      </x:c>
      <x:c r="I667" t="str">
        <x:v>Alianzas</x:v>
      </x:c>
      <x:c r="J667" t="n">
        <x:v>2</x:v>
      </x:c>
      <x:c r="K667" t="n">
        <x:v>0</x:v>
      </x:c>
      <x:c r="L667" t="n">
        <x:v>11714410.79</x:v>
      </x:c>
      <x:c r="M667" t="n">
        <x:v>727900</x:v>
      </x:c>
      <x:c r="N667" t="n">
        <x:v>2</x:v>
      </x:c>
      <x:c r="O667" t="n">
        <x:v>0</x:v>
      </x:c>
      <x:c r="P667" t="n">
        <x:v>6</x:v>
      </x:c>
    </x:row>
    <x:row r="668">
      <x:c r="A668" t="str">
        <x:v>2025-07</x:v>
      </x:c>
      <x:c r="B668" t="str">
        <x:v>USR-00038</x:v>
      </x:c>
      <x:c r="C668" t="str">
        <x:v>Plus anual</x:v>
      </x:c>
      <x:c r="D668" t="str">
        <x:v>Pago</x:v>
      </x:c>
      <x:c r="E668" t="str">
        <x:v>Medellín</x:v>
      </x:c>
      <x:c r="F668" t="str">
        <x:v>Antioquia</x:v>
      </x:c>
      <x:c r="G668" t="n">
        <x:v>64</x:v>
      </x:c>
      <x:c r="H668" t="str">
        <x:v>Entre $1,5 M y $3 M</x:v>
      </x:c>
      <x:c r="I668" t="str">
        <x:v>Orgánico</x:v>
      </x:c>
      <x:c r="J668" t="n">
        <x:v>2</x:v>
      </x:c>
      <x:c r="K668" t="n">
        <x:v>0</x:v>
      </x:c>
      <x:c r="L668" t="n">
        <x:v>30272824.05</x:v>
      </x:c>
      <x:c r="M668" t="n">
        <x:v>454500</x:v>
      </x:c>
      <x:c r="N668" t="n">
        <x:v>1</x:v>
      </x:c>
      <x:c r="O668" t="n">
        <x:v>24916.67</x:v>
      </x:c>
      <x:c r="P668" t="n">
        <x:v>6</x:v>
      </x:c>
    </x:row>
    <x:row r="669">
      <x:c r="A669" t="str">
        <x:v>2025-07</x:v>
      </x:c>
      <x:c r="B669" t="str">
        <x:v>USR-00039</x:v>
      </x:c>
      <x:c r="C669" t="str">
        <x:v>Cero</x:v>
      </x:c>
      <x:c r="D669" t="str">
        <x:v>Gratuita</x:v>
      </x:c>
      <x:c r="E669" t="str">
        <x:v>Bogotá</x:v>
      </x:c>
      <x:c r="F669" t="str">
        <x:v>Bogotá D.C.</x:v>
      </x:c>
      <x:c r="G669" t="n">
        <x:v>56</x:v>
      </x:c>
      <x:c r="H669" t="str">
        <x:v>Entre $3 M y $5 M</x:v>
      </x:c>
      <x:c r="I669" t="str">
        <x:v>Orgánico</x:v>
      </x:c>
      <x:c r="J669" t="n">
        <x:v>2</x:v>
      </x:c>
      <x:c r="K669" t="n">
        <x:v>0</x:v>
      </x:c>
      <x:c r="L669" t="n">
        <x:v>26362544.35</x:v>
      </x:c>
      <x:c r="M669" t="n">
        <x:v>991700</x:v>
      </x:c>
      <x:c r="N669" t="n">
        <x:v>1</x:v>
      </x:c>
      <x:c r="O669" t="n">
        <x:v>0</x:v>
      </x:c>
      <x:c r="P669" t="n">
        <x:v>6</x:v>
      </x:c>
    </x:row>
    <x:row r="670">
      <x:c r="A670" t="str">
        <x:v>2025-07</x:v>
      </x:c>
      <x:c r="B670" t="str">
        <x:v>USR-00040</x:v>
      </x:c>
      <x:c r="C670" t="str">
        <x:v>Cero</x:v>
      </x:c>
      <x:c r="D670" t="str">
        <x:v>Gratuita</x:v>
      </x:c>
      <x:c r="E670" t="str">
        <x:v>Bucaramanga</x:v>
      </x:c>
      <x:c r="F670" t="str">
        <x:v>Santander</x:v>
      </x:c>
      <x:c r="G670" t="n">
        <x:v>51</x:v>
      </x:c>
      <x:c r="H670" t="str">
        <x:v>Entre $3 M y $5 M</x:v>
      </x:c>
      <x:c r="I670" t="str">
        <x:v>Búsqueda paga</x:v>
      </x:c>
      <x:c r="J670" t="n">
        <x:v>2</x:v>
      </x:c>
      <x:c r="K670" t="n">
        <x:v>0</x:v>
      </x:c>
      <x:c r="L670" t="n">
        <x:v>24332727.34</x:v>
      </x:c>
      <x:c r="M670" t="n">
        <x:v>1271100</x:v>
      </x:c>
      <x:c r="N670" t="n">
        <x:v>2</x:v>
      </x:c>
      <x:c r="O670" t="n">
        <x:v>0</x:v>
      </x:c>
      <x:c r="P670" t="n">
        <x:v>6</x:v>
      </x:c>
    </x:row>
    <x:row r="671">
      <x:c r="A671" t="str">
        <x:v>2025-07</x:v>
      </x:c>
      <x:c r="B671" t="str">
        <x:v>USR-00041</x:v>
      </x:c>
      <x:c r="C671" t="str">
        <x:v>Cero</x:v>
      </x:c>
      <x:c r="D671" t="str">
        <x:v>Gratuita</x:v>
      </x:c>
      <x:c r="E671" t="str">
        <x:v>Bogotá</x:v>
      </x:c>
      <x:c r="F671" t="str">
        <x:v>Bogotá D.C.</x:v>
      </x:c>
      <x:c r="G671" t="n">
        <x:v>36</x:v>
      </x:c>
      <x:c r="H671" t="str">
        <x:v>Entre $1,5 M y $3 M</x:v>
      </x:c>
      <x:c r="I671" t="str">
        <x:v>Orgánico</x:v>
      </x:c>
      <x:c r="J671" t="n">
        <x:v>1</x:v>
      </x:c>
      <x:c r="K671" t="n">
        <x:v>0</x:v>
      </x:c>
      <x:c r="L671" t="n">
        <x:v>12551177.35</x:v>
      </x:c>
      <x:c r="M671" t="n">
        <x:v>2196000</x:v>
      </x:c>
      <x:c r="N671" t="n">
        <x:v>1</x:v>
      </x:c>
      <x:c r="O671" t="n">
        <x:v>0</x:v>
      </x:c>
      <x:c r="P671" t="n">
        <x:v>6</x:v>
      </x:c>
    </x:row>
    <x:row r="672">
      <x:c r="A672" t="str">
        <x:v>2025-07</x:v>
      </x:c>
      <x:c r="B672" t="str">
        <x:v>USR-00042</x:v>
      </x:c>
      <x:c r="C672" t="str">
        <x:v>Plus mensual</x:v>
      </x:c>
      <x:c r="D672" t="str">
        <x:v>Pago</x:v>
      </x:c>
      <x:c r="E672" t="str">
        <x:v>Bogotá</x:v>
      </x:c>
      <x:c r="F672" t="str">
        <x:v>Bogotá D.C.</x:v>
      </x:c>
      <x:c r="G672" t="n">
        <x:v>55</x:v>
      </x:c>
      <x:c r="H672" t="str">
        <x:v>Menos de $1,5 M</x:v>
      </x:c>
      <x:c r="I672" t="str">
        <x:v>Redes sociales</x:v>
      </x:c>
      <x:c r="J672" t="n">
        <x:v>2</x:v>
      </x:c>
      <x:c r="K672" t="n">
        <x:v>0</x:v>
      </x:c>
      <x:c r="L672" t="n">
        <x:v>8673429.89</x:v>
      </x:c>
      <x:c r="M672" t="n">
        <x:v>250100</x:v>
      </x:c>
      <x:c r="N672" t="n">
        <x:v>2</x:v>
      </x:c>
      <x:c r="O672" t="n">
        <x:v>29900</x:v>
      </x:c>
      <x:c r="P672" t="n">
        <x:v>6</x:v>
      </x:c>
    </x:row>
    <x:row r="673">
      <x:c r="A673" t="str">
        <x:v>2025-07</x:v>
      </x:c>
      <x:c r="B673" t="str">
        <x:v>USR-00043</x:v>
      </x:c>
      <x:c r="C673" t="str">
        <x:v>Cero</x:v>
      </x:c>
      <x:c r="D673" t="str">
        <x:v>Gratuita</x:v>
      </x:c>
      <x:c r="E673" t="str">
        <x:v>Cali</x:v>
      </x:c>
      <x:c r="F673" t="str">
        <x:v>Valle del Cauca</x:v>
      </x:c>
      <x:c r="G673" t="n">
        <x:v>23</x:v>
      </x:c>
      <x:c r="H673" t="str">
        <x:v>Entre $3 M y $5 M</x:v>
      </x:c>
      <x:c r="I673" t="str">
        <x:v>Contenido educativo</x:v>
      </x:c>
      <x:c r="J673" t="n">
        <x:v>2</x:v>
      </x:c>
      <x:c r="K673" t="n">
        <x:v>0</x:v>
      </x:c>
      <x:c r="L673" t="n">
        <x:v>25690206.55</x:v>
      </x:c>
      <x:c r="M673" t="n">
        <x:v>1203200</x:v>
      </x:c>
      <x:c r="N673" t="n">
        <x:v>2</x:v>
      </x:c>
      <x:c r="O673" t="n">
        <x:v>0</x:v>
      </x:c>
      <x:c r="P673" t="n">
        <x:v>6</x:v>
      </x:c>
    </x:row>
    <x:row r="674">
      <x:c r="A674" t="str">
        <x:v>2025-07</x:v>
      </x:c>
      <x:c r="B674" t="str">
        <x:v>USR-00044</x:v>
      </x:c>
      <x:c r="C674" t="str">
        <x:v>Cero</x:v>
      </x:c>
      <x:c r="D674" t="str">
        <x:v>Gratuita</x:v>
      </x:c>
      <x:c r="E674" t="str">
        <x:v>Barranquilla</x:v>
      </x:c>
      <x:c r="F674" t="str">
        <x:v>Atlántico</x:v>
      </x:c>
      <x:c r="G674" t="n">
        <x:v>62</x:v>
      </x:c>
      <x:c r="H674" t="str">
        <x:v>Más de $5 M</x:v>
      </x:c>
      <x:c r="I674" t="str">
        <x:v>Referidos</x:v>
      </x:c>
      <x:c r="J674" t="n">
        <x:v>2</x:v>
      </x:c>
      <x:c r="K674" t="n">
        <x:v>0</x:v>
      </x:c>
      <x:c r="L674" t="n">
        <x:v>32442285.71</x:v>
      </x:c>
      <x:c r="M674" t="n">
        <x:v>0</x:v>
      </x:c>
      <x:c r="N674" t="n">
        <x:v>0</x:v>
      </x:c>
      <x:c r="O674" t="n">
        <x:v>0</x:v>
      </x:c>
      <x:c r="P674" t="n">
        <x:v>6</x:v>
      </x:c>
    </x:row>
    <x:row r="675">
      <x:c r="A675" t="str">
        <x:v>2025-07</x:v>
      </x:c>
      <x:c r="B675" t="str">
        <x:v>USR-00045</x:v>
      </x:c>
      <x:c r="C675" t="str">
        <x:v>Cero</x:v>
      </x:c>
      <x:c r="D675" t="str">
        <x:v>Gratuita</x:v>
      </x:c>
      <x:c r="E675" t="str">
        <x:v>Bogotá</x:v>
      </x:c>
      <x:c r="F675" t="str">
        <x:v>Bogotá D.C.</x:v>
      </x:c>
      <x:c r="G675" t="n">
        <x:v>39</x:v>
      </x:c>
      <x:c r="H675" t="str">
        <x:v>Entre $3 M y $5 M</x:v>
      </x:c>
      <x:c r="I675" t="str">
        <x:v>Orgánico</x:v>
      </x:c>
      <x:c r="J675" t="n">
        <x:v>1</x:v>
      </x:c>
      <x:c r="K675" t="n">
        <x:v>0</x:v>
      </x:c>
      <x:c r="L675" t="n">
        <x:v>8288698.33</x:v>
      </x:c>
      <x:c r="M675" t="n">
        <x:v>1194600</x:v>
      </x:c>
      <x:c r="N675" t="n">
        <x:v>1</x:v>
      </x:c>
      <x:c r="O675" t="n">
        <x:v>0</x:v>
      </x:c>
      <x:c r="P675" t="n">
        <x:v>6</x:v>
      </x:c>
    </x:row>
    <x:row r="676">
      <x:c r="A676" t="str">
        <x:v>2025-07</x:v>
      </x:c>
      <x:c r="B676" t="str">
        <x:v>USR-00046</x:v>
      </x:c>
      <x:c r="C676" t="str">
        <x:v>Cero</x:v>
      </x:c>
      <x:c r="D676" t="str">
        <x:v>Gratuita</x:v>
      </x:c>
      <x:c r="E676" t="str">
        <x:v>Bucaramanga</x:v>
      </x:c>
      <x:c r="F676" t="str">
        <x:v>Santander</x:v>
      </x:c>
      <x:c r="G676" t="n">
        <x:v>46</x:v>
      </x:c>
      <x:c r="H676" t="str">
        <x:v>Más de $5 M</x:v>
      </x:c>
      <x:c r="I676" t="str">
        <x:v>Orgánico</x:v>
      </x:c>
      <x:c r="J676" t="n">
        <x:v>1</x:v>
      </x:c>
      <x:c r="K676" t="n">
        <x:v>0</x:v>
      </x:c>
      <x:c r="L676" t="n">
        <x:v>6792314.51</x:v>
      </x:c>
      <x:c r="M676" t="n">
        <x:v>181800</x:v>
      </x:c>
      <x:c r="N676" t="n">
        <x:v>1</x:v>
      </x:c>
      <x:c r="O676" t="n">
        <x:v>0</x:v>
      </x:c>
      <x:c r="P676" t="n">
        <x:v>6</x:v>
      </x:c>
    </x:row>
    <x:row r="677">
      <x:c r="A677" t="str">
        <x:v>2025-07</x:v>
      </x:c>
      <x:c r="B677" t="str">
        <x:v>USR-00047</x:v>
      </x:c>
      <x:c r="C677" t="str">
        <x:v>Cero</x:v>
      </x:c>
      <x:c r="D677" t="str">
        <x:v>Gratuita</x:v>
      </x:c>
      <x:c r="E677" t="str">
        <x:v>Bogotá</x:v>
      </x:c>
      <x:c r="F677" t="str">
        <x:v>Bogotá D.C.</x:v>
      </x:c>
      <x:c r="G677" t="n">
        <x:v>21</x:v>
      </x:c>
      <x:c r="H677" t="str">
        <x:v>Menos de $1,5 M</x:v>
      </x:c>
      <x:c r="I677" t="str">
        <x:v>Alianzas</x:v>
      </x:c>
      <x:c r="J677" t="n">
        <x:v>2</x:v>
      </x:c>
      <x:c r="K677" t="n">
        <x:v>0</x:v>
      </x:c>
      <x:c r="L677" t="n">
        <x:v>11409385.87</x:v>
      </x:c>
      <x:c r="M677" t="n">
        <x:v>0</x:v>
      </x:c>
      <x:c r="N677" t="n">
        <x:v>0</x:v>
      </x:c>
      <x:c r="O677" t="n">
        <x:v>0</x:v>
      </x:c>
      <x:c r="P677" t="n">
        <x:v>6</x:v>
      </x:c>
    </x:row>
    <x:row r="678">
      <x:c r="A678" t="str">
        <x:v>2025-07</x:v>
      </x:c>
      <x:c r="B678" t="str">
        <x:v>USR-00048</x:v>
      </x:c>
      <x:c r="C678" t="str">
        <x:v>Plus mensual</x:v>
      </x:c>
      <x:c r="D678" t="str">
        <x:v>Pago</x:v>
      </x:c>
      <x:c r="E678" t="str">
        <x:v>Bucaramanga</x:v>
      </x:c>
      <x:c r="F678" t="str">
        <x:v>Santander</x:v>
      </x:c>
      <x:c r="G678" t="n">
        <x:v>51</x:v>
      </x:c>
      <x:c r="H678" t="str">
        <x:v>Entre $1,5 M y $3 M</x:v>
      </x:c>
      <x:c r="I678" t="str">
        <x:v>Redes sociales</x:v>
      </x:c>
      <x:c r="J678" t="n">
        <x:v>3</x:v>
      </x:c>
      <x:c r="K678" t="n">
        <x:v>0</x:v>
      </x:c>
      <x:c r="L678" t="n">
        <x:v>39197425.32</x:v>
      </x:c>
      <x:c r="M678" t="n">
        <x:v>1516000</x:v>
      </x:c>
      <x:c r="N678" t="n">
        <x:v>3</x:v>
      </x:c>
      <x:c r="O678" t="n">
        <x:v>29900</x:v>
      </x:c>
      <x:c r="P678" t="n">
        <x:v>6</x:v>
      </x:c>
    </x:row>
    <x:row r="679">
      <x:c r="A679" t="str">
        <x:v>2025-07</x:v>
      </x:c>
      <x:c r="B679" t="str">
        <x:v>USR-00049</x:v>
      </x:c>
      <x:c r="C679" t="str">
        <x:v>Cero</x:v>
      </x:c>
      <x:c r="D679" t="str">
        <x:v>Gratuita</x:v>
      </x:c>
      <x:c r="E679" t="str">
        <x:v>Bogotá</x:v>
      </x:c>
      <x:c r="F679" t="str">
        <x:v>Bogotá D.C.</x:v>
      </x:c>
      <x:c r="G679" t="n">
        <x:v>53</x:v>
      </x:c>
      <x:c r="H679" t="str">
        <x:v>Entre $1,5 M y $3 M</x:v>
      </x:c>
      <x:c r="I679" t="str">
        <x:v>Búsqueda paga</x:v>
      </x:c>
      <x:c r="J679" t="n">
        <x:v>1</x:v>
      </x:c>
      <x:c r="K679" t="n">
        <x:v>0</x:v>
      </x:c>
      <x:c r="L679" t="n">
        <x:v>19682111.94</x:v>
      </x:c>
      <x:c r="M679" t="n">
        <x:v>0</x:v>
      </x:c>
      <x:c r="N679" t="n">
        <x:v>0</x:v>
      </x:c>
      <x:c r="O679" t="n">
        <x:v>0</x:v>
      </x:c>
      <x:c r="P679" t="n">
        <x:v>6</x:v>
      </x:c>
    </x:row>
    <x:row r="680">
      <x:c r="A680" t="str">
        <x:v>2025-07</x:v>
      </x:c>
      <x:c r="B680" t="str">
        <x:v>USR-00050</x:v>
      </x:c>
      <x:c r="C680" t="str">
        <x:v>Cero</x:v>
      </x:c>
      <x:c r="D680" t="str">
        <x:v>Gratuita</x:v>
      </x:c>
      <x:c r="E680" t="str">
        <x:v>Medellín</x:v>
      </x:c>
      <x:c r="F680" t="str">
        <x:v>Antioquia</x:v>
      </x:c>
      <x:c r="G680" t="n">
        <x:v>62</x:v>
      </x:c>
      <x:c r="H680" t="str">
        <x:v>Entre $1,5 M y $3 M</x:v>
      </x:c>
      <x:c r="I680" t="str">
        <x:v>Referidos</x:v>
      </x:c>
      <x:c r="J680" t="n">
        <x:v>1</x:v>
      </x:c>
      <x:c r="K680" t="n">
        <x:v>0</x:v>
      </x:c>
      <x:c r="L680" t="n">
        <x:v>3694167.65</x:v>
      </x:c>
      <x:c r="M680" t="n">
        <x:v>128000</x:v>
      </x:c>
      <x:c r="N680" t="n">
        <x:v>1</x:v>
      </x:c>
      <x:c r="O680" t="n">
        <x:v>0</x:v>
      </x:c>
      <x:c r="P680" t="n">
        <x:v>6</x:v>
      </x:c>
    </x:row>
    <x:row r="681">
      <x:c r="A681" t="str">
        <x:v>2025-07</x:v>
      </x:c>
      <x:c r="B681" t="str">
        <x:v>USR-00051</x:v>
      </x:c>
      <x:c r="C681" t="str">
        <x:v>Plus mensual</x:v>
      </x:c>
      <x:c r="D681" t="str">
        <x:v>Pago</x:v>
      </x:c>
      <x:c r="E681" t="str">
        <x:v>Bogotá</x:v>
      </x:c>
      <x:c r="F681" t="str">
        <x:v>Bogotá D.C.</x:v>
      </x:c>
      <x:c r="G681" t="n">
        <x:v>58</x:v>
      </x:c>
      <x:c r="H681" t="str">
        <x:v>Más de $5 M</x:v>
      </x:c>
      <x:c r="I681" t="str">
        <x:v>Referidos</x:v>
      </x:c>
      <x:c r="J681" t="n">
        <x:v>5</x:v>
      </x:c>
      <x:c r="K681" t="n">
        <x:v>0</x:v>
      </x:c>
      <x:c r="L681" t="n">
        <x:v>32667754.76</x:v>
      </x:c>
      <x:c r="M681" t="n">
        <x:v>2817800</x:v>
      </x:c>
      <x:c r="N681" t="n">
        <x:v>4</x:v>
      </x:c>
      <x:c r="O681" t="n">
        <x:v>29900</x:v>
      </x:c>
      <x:c r="P681" t="n">
        <x:v>6</x:v>
      </x:c>
    </x:row>
    <x:row r="682">
      <x:c r="A682" t="str">
        <x:v>2025-07</x:v>
      </x:c>
      <x:c r="B682" t="str">
        <x:v>USR-00052</x:v>
      </x:c>
      <x:c r="C682" t="str">
        <x:v>Cero</x:v>
      </x:c>
      <x:c r="D682" t="str">
        <x:v>Gratuita</x:v>
      </x:c>
      <x:c r="E682" t="str">
        <x:v>Barranquilla</x:v>
      </x:c>
      <x:c r="F682" t="str">
        <x:v>Atlántico</x:v>
      </x:c>
      <x:c r="G682" t="n">
        <x:v>29</x:v>
      </x:c>
      <x:c r="H682" t="str">
        <x:v>Entre $1,5 M y $3 M</x:v>
      </x:c>
      <x:c r="I682" t="str">
        <x:v>Alianzas</x:v>
      </x:c>
      <x:c r="J682" t="n">
        <x:v>1</x:v>
      </x:c>
      <x:c r="K682" t="n">
        <x:v>0</x:v>
      </x:c>
      <x:c r="L682" t="n">
        <x:v>21062114.03</x:v>
      </x:c>
      <x:c r="M682" t="n">
        <x:v>456900</x:v>
      </x:c>
      <x:c r="N682" t="n">
        <x:v>1</x:v>
      </x:c>
      <x:c r="O682" t="n">
        <x:v>0</x:v>
      </x:c>
      <x:c r="P682" t="n">
        <x:v>6</x:v>
      </x:c>
    </x:row>
    <x:row r="683">
      <x:c r="A683" t="str">
        <x:v>2025-07</x:v>
      </x:c>
      <x:c r="B683" t="str">
        <x:v>USR-00053</x:v>
      </x:c>
      <x:c r="C683" t="str">
        <x:v>Plus mensual</x:v>
      </x:c>
      <x:c r="D683" t="str">
        <x:v>Pago</x:v>
      </x:c>
      <x:c r="E683" t="str">
        <x:v>Bogotá</x:v>
      </x:c>
      <x:c r="F683" t="str">
        <x:v>Bogotá D.C.</x:v>
      </x:c>
      <x:c r="G683" t="n">
        <x:v>51</x:v>
      </x:c>
      <x:c r="H683" t="str">
        <x:v>Menos de $1,5 M</x:v>
      </x:c>
      <x:c r="I683" t="str">
        <x:v>Orgánico</x:v>
      </x:c>
      <x:c r="J683" t="n">
        <x:v>4</x:v>
      </x:c>
      <x:c r="K683" t="n">
        <x:v>0</x:v>
      </x:c>
      <x:c r="L683" t="n">
        <x:v>14378316.28</x:v>
      </x:c>
      <x:c r="M683" t="n">
        <x:v>825700</x:v>
      </x:c>
      <x:c r="N683" t="n">
        <x:v>4</x:v>
      </x:c>
      <x:c r="O683" t="n">
        <x:v>29900</x:v>
      </x:c>
      <x:c r="P683" t="n">
        <x:v>6</x:v>
      </x:c>
    </x:row>
    <x:row r="684">
      <x:c r="A684" t="str">
        <x:v>2025-07</x:v>
      </x:c>
      <x:c r="B684" t="str">
        <x:v>USR-00054</x:v>
      </x:c>
      <x:c r="C684" t="str">
        <x:v>Plus mensual</x:v>
      </x:c>
      <x:c r="D684" t="str">
        <x:v>Pago</x:v>
      </x:c>
      <x:c r="E684" t="str">
        <x:v>Bogotá</x:v>
      </x:c>
      <x:c r="F684" t="str">
        <x:v>Bogotá D.C.</x:v>
      </x:c>
      <x:c r="G684" t="n">
        <x:v>21</x:v>
      </x:c>
      <x:c r="H684" t="str">
        <x:v>Entre $1,5 M y $3 M</x:v>
      </x:c>
      <x:c r="I684" t="str">
        <x:v>Redes sociales</x:v>
      </x:c>
      <x:c r="J684" t="n">
        <x:v>4</x:v>
      </x:c>
      <x:c r="K684" t="n">
        <x:v>0</x:v>
      </x:c>
      <x:c r="L684" t="n">
        <x:v>36987109.45</x:v>
      </x:c>
      <x:c r="M684" t="n">
        <x:v>3851800</x:v>
      </x:c>
      <x:c r="N684" t="n">
        <x:v>4</x:v>
      </x:c>
      <x:c r="O684" t="n">
        <x:v>29900</x:v>
      </x:c>
      <x:c r="P684" t="n">
        <x:v>6</x:v>
      </x:c>
    </x:row>
    <x:row r="685">
      <x:c r="A685" t="str">
        <x:v>2025-07</x:v>
      </x:c>
      <x:c r="B685" t="str">
        <x:v>USR-00055</x:v>
      </x:c>
      <x:c r="C685" t="str">
        <x:v>Cero</x:v>
      </x:c>
      <x:c r="D685" t="str">
        <x:v>Gratuita</x:v>
      </x:c>
      <x:c r="E685" t="str">
        <x:v>Barranquilla</x:v>
      </x:c>
      <x:c r="F685" t="str">
        <x:v>Atlántico</x:v>
      </x:c>
      <x:c r="G685" t="n">
        <x:v>45</x:v>
      </x:c>
      <x:c r="H685" t="str">
        <x:v>Entre $3 M y $5 M</x:v>
      </x:c>
      <x:c r="I685" t="str">
        <x:v>Redes sociales</x:v>
      </x:c>
      <x:c r="J685" t="n">
        <x:v>2</x:v>
      </x:c>
      <x:c r="K685" t="n">
        <x:v>0</x:v>
      </x:c>
      <x:c r="L685" t="n">
        <x:v>12856587.26</x:v>
      </x:c>
      <x:c r="M685" t="n">
        <x:v>490700</x:v>
      </x:c>
      <x:c r="N685" t="n">
        <x:v>1</x:v>
      </x:c>
      <x:c r="O685" t="n">
        <x:v>0</x:v>
      </x:c>
      <x:c r="P685" t="n">
        <x:v>6</x:v>
      </x:c>
    </x:row>
    <x:row r="686">
      <x:c r="A686" t="str">
        <x:v>2025-07</x:v>
      </x:c>
      <x:c r="B686" t="str">
        <x:v>USR-00056</x:v>
      </x:c>
      <x:c r="C686" t="str">
        <x:v>Cero</x:v>
      </x:c>
      <x:c r="D686" t="str">
        <x:v>Gratuita</x:v>
      </x:c>
      <x:c r="E686" t="str">
        <x:v>Bogotá</x:v>
      </x:c>
      <x:c r="F686" t="str">
        <x:v>Bogotá D.C.</x:v>
      </x:c>
      <x:c r="G686" t="n">
        <x:v>64</x:v>
      </x:c>
      <x:c r="H686" t="str">
        <x:v>Entre $1,5 M y $3 M</x:v>
      </x:c>
      <x:c r="I686" t="str">
        <x:v>Redes sociales</x:v>
      </x:c>
      <x:c r="J686" t="n">
        <x:v>1</x:v>
      </x:c>
      <x:c r="K686" t="n">
        <x:v>0</x:v>
      </x:c>
      <x:c r="L686" t="n">
        <x:v>2800450.11</x:v>
      </x:c>
      <x:c r="M686" t="n">
        <x:v>0</x:v>
      </x:c>
      <x:c r="N686" t="n">
        <x:v>0</x:v>
      </x:c>
      <x:c r="O686" t="n">
        <x:v>0</x:v>
      </x:c>
      <x:c r="P686" t="n">
        <x:v>5</x:v>
      </x:c>
    </x:row>
    <x:row r="687">
      <x:c r="A687" t="str">
        <x:v>2025-07</x:v>
      </x:c>
      <x:c r="B687" t="str">
        <x:v>USR-00057</x:v>
      </x:c>
      <x:c r="C687" t="str">
        <x:v>Cero</x:v>
      </x:c>
      <x:c r="D687" t="str">
        <x:v>Gratuita</x:v>
      </x:c>
      <x:c r="E687" t="str">
        <x:v>Bogotá</x:v>
      </x:c>
      <x:c r="F687" t="str">
        <x:v>Bogotá D.C.</x:v>
      </x:c>
      <x:c r="G687" t="n">
        <x:v>27</x:v>
      </x:c>
      <x:c r="H687" t="str">
        <x:v>Entre $1,5 M y $3 M</x:v>
      </x:c>
      <x:c r="I687" t="str">
        <x:v>Orgánico</x:v>
      </x:c>
      <x:c r="J687" t="n">
        <x:v>2</x:v>
      </x:c>
      <x:c r="K687" t="n">
        <x:v>0</x:v>
      </x:c>
      <x:c r="L687" t="n">
        <x:v>63372430.78</x:v>
      </x:c>
      <x:c r="M687" t="n">
        <x:v>7318000</x:v>
      </x:c>
      <x:c r="N687" t="n">
        <x:v>1</x:v>
      </x:c>
      <x:c r="O687" t="n">
        <x:v>0</x:v>
      </x:c>
      <x:c r="P687" t="n">
        <x:v>5</x:v>
      </x:c>
    </x:row>
    <x:row r="688">
      <x:c r="A688" t="str">
        <x:v>2025-07</x:v>
      </x:c>
      <x:c r="B688" t="str">
        <x:v>USR-00058</x:v>
      </x:c>
      <x:c r="C688" t="str">
        <x:v>Cero</x:v>
      </x:c>
      <x:c r="D688" t="str">
        <x:v>Gratuita</x:v>
      </x:c>
      <x:c r="E688" t="str">
        <x:v>Bucaramanga</x:v>
      </x:c>
      <x:c r="F688" t="str">
        <x:v>Santander</x:v>
      </x:c>
      <x:c r="G688" t="n">
        <x:v>34</x:v>
      </x:c>
      <x:c r="H688" t="str">
        <x:v>Entre $1,5 M y $3 M</x:v>
      </x:c>
      <x:c r="I688" t="str">
        <x:v>Orgánico</x:v>
      </x:c>
      <x:c r="J688" t="n">
        <x:v>2</x:v>
      </x:c>
      <x:c r="K688" t="n">
        <x:v>0</x:v>
      </x:c>
      <x:c r="L688" t="n">
        <x:v>19060883.86</x:v>
      </x:c>
      <x:c r="M688" t="n">
        <x:v>608200</x:v>
      </x:c>
      <x:c r="N688" t="n">
        <x:v>1</x:v>
      </x:c>
      <x:c r="O688" t="n">
        <x:v>0</x:v>
      </x:c>
      <x:c r="P688" t="n">
        <x:v>5</x:v>
      </x:c>
    </x:row>
    <x:row r="689">
      <x:c r="A689" t="str">
        <x:v>2025-07</x:v>
      </x:c>
      <x:c r="B689" t="str">
        <x:v>USR-00059</x:v>
      </x:c>
      <x:c r="C689" t="str">
        <x:v>Cero</x:v>
      </x:c>
      <x:c r="D689" t="str">
        <x:v>Gratuita</x:v>
      </x:c>
      <x:c r="E689" t="str">
        <x:v>Villavicencio</x:v>
      </x:c>
      <x:c r="F689" t="str">
        <x:v>Meta</x:v>
      </x:c>
      <x:c r="G689" t="n">
        <x:v>40</x:v>
      </x:c>
      <x:c r="H689" t="str">
        <x:v>Entre $1,5 M y $3 M</x:v>
      </x:c>
      <x:c r="I689" t="str">
        <x:v>Redes sociales</x:v>
      </x:c>
      <x:c r="J689" t="n">
        <x:v>2</x:v>
      </x:c>
      <x:c r="K689" t="n">
        <x:v>0</x:v>
      </x:c>
      <x:c r="L689" t="n">
        <x:v>42922742.89</x:v>
      </x:c>
      <x:c r="M689" t="n">
        <x:v>3592900</x:v>
      </x:c>
      <x:c r="N689" t="n">
        <x:v>1</x:v>
      </x:c>
      <x:c r="O689" t="n">
        <x:v>0</x:v>
      </x:c>
      <x:c r="P689" t="n">
        <x:v>5</x:v>
      </x:c>
    </x:row>
    <x:row r="690">
      <x:c r="A690" t="str">
        <x:v>2025-07</x:v>
      </x:c>
      <x:c r="B690" t="str">
        <x:v>USR-00060</x:v>
      </x:c>
      <x:c r="C690" t="str">
        <x:v>Cero</x:v>
      </x:c>
      <x:c r="D690" t="str">
        <x:v>Gratuita</x:v>
      </x:c>
      <x:c r="E690" t="str">
        <x:v>Barranquilla</x:v>
      </x:c>
      <x:c r="F690" t="str">
        <x:v>Atlántico</x:v>
      </x:c>
      <x:c r="G690" t="n">
        <x:v>55</x:v>
      </x:c>
      <x:c r="H690" t="str">
        <x:v>Menos de $1,5 M</x:v>
      </x:c>
      <x:c r="I690" t="str">
        <x:v>Referidos</x:v>
      </x:c>
      <x:c r="J690" t="n">
        <x:v>2</x:v>
      </x:c>
      <x:c r="K690" t="n">
        <x:v>0</x:v>
      </x:c>
      <x:c r="L690" t="n">
        <x:v>19907135.74</x:v>
      </x:c>
      <x:c r="M690" t="n">
        <x:v>1221900</x:v>
      </x:c>
      <x:c r="N690" t="n">
        <x:v>1</x:v>
      </x:c>
      <x:c r="O690" t="n">
        <x:v>0</x:v>
      </x:c>
      <x:c r="P690" t="n">
        <x:v>5</x:v>
      </x:c>
    </x:row>
    <x:row r="691">
      <x:c r="A691" t="str">
        <x:v>2025-07</x:v>
      </x:c>
      <x:c r="B691" t="str">
        <x:v>USR-00061</x:v>
      </x:c>
      <x:c r="C691" t="str">
        <x:v>Cero</x:v>
      </x:c>
      <x:c r="D691" t="str">
        <x:v>Gratuita</x:v>
      </x:c>
      <x:c r="E691" t="str">
        <x:v>Manizales</x:v>
      </x:c>
      <x:c r="F691" t="str">
        <x:v>Caldas</x:v>
      </x:c>
      <x:c r="G691" t="n">
        <x:v>39</x:v>
      </x:c>
      <x:c r="H691" t="str">
        <x:v>Entre $1,5 M y $3 M</x:v>
      </x:c>
      <x:c r="I691" t="str">
        <x:v>Contenido educativo</x:v>
      </x:c>
      <x:c r="J691" t="n">
        <x:v>2</x:v>
      </x:c>
      <x:c r="K691" t="n">
        <x:v>0</x:v>
      </x:c>
      <x:c r="L691" t="n">
        <x:v>35041185.86</x:v>
      </x:c>
      <x:c r="M691" t="n">
        <x:v>1638700</x:v>
      </x:c>
      <x:c r="N691" t="n">
        <x:v>2</x:v>
      </x:c>
      <x:c r="O691" t="n">
        <x:v>0</x:v>
      </x:c>
      <x:c r="P691" t="n">
        <x:v>5</x:v>
      </x:c>
    </x:row>
    <x:row r="692">
      <x:c r="A692" t="str">
        <x:v>2025-07</x:v>
      </x:c>
      <x:c r="B692" t="str">
        <x:v>USR-00062</x:v>
      </x:c>
      <x:c r="C692" t="str">
        <x:v>Cero</x:v>
      </x:c>
      <x:c r="D692" t="str">
        <x:v>Gratuita</x:v>
      </x:c>
      <x:c r="E692" t="str">
        <x:v>Medellín</x:v>
      </x:c>
      <x:c r="F692" t="str">
        <x:v>Antioquia</x:v>
      </x:c>
      <x:c r="G692" t="n">
        <x:v>53</x:v>
      </x:c>
      <x:c r="H692" t="str">
        <x:v>Entre $1,5 M y $3 M</x:v>
      </x:c>
      <x:c r="I692" t="str">
        <x:v>Alianzas</x:v>
      </x:c>
      <x:c r="J692" t="n">
        <x:v>1</x:v>
      </x:c>
      <x:c r="K692" t="n">
        <x:v>0</x:v>
      </x:c>
      <x:c r="L692" t="n">
        <x:v>16115662.95</x:v>
      </x:c>
      <x:c r="M692" t="n">
        <x:v>828000</x:v>
      </x:c>
      <x:c r="N692" t="n">
        <x:v>1</x:v>
      </x:c>
      <x:c r="O692" t="n">
        <x:v>0</x:v>
      </x:c>
      <x:c r="P692" t="n">
        <x:v>5</x:v>
      </x:c>
    </x:row>
    <x:row r="693">
      <x:c r="A693" t="str">
        <x:v>2025-07</x:v>
      </x:c>
      <x:c r="B693" t="str">
        <x:v>USR-00063</x:v>
      </x:c>
      <x:c r="C693" t="str">
        <x:v>Cero</x:v>
      </x:c>
      <x:c r="D693" t="str">
        <x:v>Gratuita</x:v>
      </x:c>
      <x:c r="E693" t="str">
        <x:v>Bogotá</x:v>
      </x:c>
      <x:c r="F693" t="str">
        <x:v>Bogotá D.C.</x:v>
      </x:c>
      <x:c r="G693" t="n">
        <x:v>53</x:v>
      </x:c>
      <x:c r="H693" t="str">
        <x:v>Entre $1,5 M y $3 M</x:v>
      </x:c>
      <x:c r="I693" t="str">
        <x:v>Redes sociales</x:v>
      </x:c>
      <x:c r="J693" t="n">
        <x:v>2</x:v>
      </x:c>
      <x:c r="K693" t="n">
        <x:v>0</x:v>
      </x:c>
      <x:c r="L693" t="n">
        <x:v>26341170.79</x:v>
      </x:c>
      <x:c r="M693" t="n">
        <x:v>2139100</x:v>
      </x:c>
      <x:c r="N693" t="n">
        <x:v>2</x:v>
      </x:c>
      <x:c r="O693" t="n">
        <x:v>0</x:v>
      </x:c>
      <x:c r="P693" t="n">
        <x:v>5</x:v>
      </x:c>
    </x:row>
    <x:row r="694">
      <x:c r="A694" t="str">
        <x:v>2025-07</x:v>
      </x:c>
      <x:c r="B694" t="str">
        <x:v>USR-00064</x:v>
      </x:c>
      <x:c r="C694" t="str">
        <x:v>Cero</x:v>
      </x:c>
      <x:c r="D694" t="str">
        <x:v>Gratuita</x:v>
      </x:c>
      <x:c r="E694" t="str">
        <x:v>Bogotá</x:v>
      </x:c>
      <x:c r="F694" t="str">
        <x:v>Bogotá D.C.</x:v>
      </x:c>
      <x:c r="G694" t="n">
        <x:v>52</x:v>
      </x:c>
      <x:c r="H694" t="str">
        <x:v>Entre $1,5 M y $3 M</x:v>
      </x:c>
      <x:c r="I694" t="str">
        <x:v>Búsqueda paga</x:v>
      </x:c>
      <x:c r="J694" t="n">
        <x:v>1</x:v>
      </x:c>
      <x:c r="K694" t="n">
        <x:v>0</x:v>
      </x:c>
      <x:c r="L694" t="n">
        <x:v>1437757.28</x:v>
      </x:c>
      <x:c r="M694" t="n">
        <x:v>56800</x:v>
      </x:c>
      <x:c r="N694" t="n">
        <x:v>1</x:v>
      </x:c>
      <x:c r="O694" t="n">
        <x:v>0</x:v>
      </x:c>
      <x:c r="P694" t="n">
        <x:v>5</x:v>
      </x:c>
    </x:row>
    <x:row r="695">
      <x:c r="A695" t="str">
        <x:v>2025-07</x:v>
      </x:c>
      <x:c r="B695" t="str">
        <x:v>USR-00065</x:v>
      </x:c>
      <x:c r="C695" t="str">
        <x:v>Plus mensual</x:v>
      </x:c>
      <x:c r="D695" t="str">
        <x:v>Pago</x:v>
      </x:c>
      <x:c r="E695" t="str">
        <x:v>Cali</x:v>
      </x:c>
      <x:c r="F695" t="str">
        <x:v>Valle del Cauca</x:v>
      </x:c>
      <x:c r="G695" t="n">
        <x:v>40</x:v>
      </x:c>
      <x:c r="H695" t="str">
        <x:v>Entre $3 M y $5 M</x:v>
      </x:c>
      <x:c r="I695" t="str">
        <x:v>Referidos</x:v>
      </x:c>
      <x:c r="J695" t="n">
        <x:v>3</x:v>
      </x:c>
      <x:c r="K695" t="n">
        <x:v>0</x:v>
      </x:c>
      <x:c r="L695" t="n">
        <x:v>54622663.4</x:v>
      </x:c>
      <x:c r="M695" t="n">
        <x:v>2618700</x:v>
      </x:c>
      <x:c r="N695" t="n">
        <x:v>3</x:v>
      </x:c>
      <x:c r="O695" t="n">
        <x:v>29900</x:v>
      </x:c>
      <x:c r="P695" t="n">
        <x:v>5</x:v>
      </x:c>
    </x:row>
    <x:row r="696">
      <x:c r="A696" t="str">
        <x:v>2025-07</x:v>
      </x:c>
      <x:c r="B696" t="str">
        <x:v>USR-00066</x:v>
      </x:c>
      <x:c r="C696" t="str">
        <x:v>Plus anual</x:v>
      </x:c>
      <x:c r="D696" t="str">
        <x:v>Pago</x:v>
      </x:c>
      <x:c r="E696" t="str">
        <x:v>Villavicencio</x:v>
      </x:c>
      <x:c r="F696" t="str">
        <x:v>Meta</x:v>
      </x:c>
      <x:c r="G696" t="n">
        <x:v>21</x:v>
      </x:c>
      <x:c r="H696" t="str">
        <x:v>Entre $1,5 M y $3 M</x:v>
      </x:c>
      <x:c r="I696" t="str">
        <x:v>Referidos</x:v>
      </x:c>
      <x:c r="J696" t="n">
        <x:v>4</x:v>
      </x:c>
      <x:c r="K696" t="n">
        <x:v>0</x:v>
      </x:c>
      <x:c r="L696" t="n">
        <x:v>32216779.64</x:v>
      </x:c>
      <x:c r="M696" t="n">
        <x:v>1387900</x:v>
      </x:c>
      <x:c r="N696" t="n">
        <x:v>4</x:v>
      </x:c>
      <x:c r="O696" t="n">
        <x:v>24916.67</x:v>
      </x:c>
      <x:c r="P696" t="n">
        <x:v>5</x:v>
      </x:c>
    </x:row>
    <x:row r="697">
      <x:c r="A697" t="str">
        <x:v>2025-07</x:v>
      </x:c>
      <x:c r="B697" t="str">
        <x:v>USR-00067</x:v>
      </x:c>
      <x:c r="C697" t="str">
        <x:v>Plus mensual</x:v>
      </x:c>
      <x:c r="D697" t="str">
        <x:v>Pago</x:v>
      </x:c>
      <x:c r="E697" t="str">
        <x:v>Bogotá</x:v>
      </x:c>
      <x:c r="F697" t="str">
        <x:v>Bogotá D.C.</x:v>
      </x:c>
      <x:c r="G697" t="n">
        <x:v>56</x:v>
      </x:c>
      <x:c r="H697" t="str">
        <x:v>Entre $1,5 M y $3 M</x:v>
      </x:c>
      <x:c r="I697" t="str">
        <x:v>Alianzas</x:v>
      </x:c>
      <x:c r="J697" t="n">
        <x:v>4</x:v>
      </x:c>
      <x:c r="K697" t="n">
        <x:v>0</x:v>
      </x:c>
      <x:c r="L697" t="n">
        <x:v>79749048.61</x:v>
      </x:c>
      <x:c r="M697" t="n">
        <x:v>2438400</x:v>
      </x:c>
      <x:c r="N697" t="n">
        <x:v>3</x:v>
      </x:c>
      <x:c r="O697" t="n">
        <x:v>29900</x:v>
      </x:c>
      <x:c r="P697" t="n">
        <x:v>5</x:v>
      </x:c>
    </x:row>
    <x:row r="698">
      <x:c r="A698" t="str">
        <x:v>2025-07</x:v>
      </x:c>
      <x:c r="B698" t="str">
        <x:v>USR-00068</x:v>
      </x:c>
      <x:c r="C698" t="str">
        <x:v>Cero</x:v>
      </x:c>
      <x:c r="D698" t="str">
        <x:v>Gratuita</x:v>
      </x:c>
      <x:c r="E698" t="str">
        <x:v>Barranquilla</x:v>
      </x:c>
      <x:c r="F698" t="str">
        <x:v>Atlántico</x:v>
      </x:c>
      <x:c r="G698" t="n">
        <x:v>34</x:v>
      </x:c>
      <x:c r="H698" t="str">
        <x:v>Entre $3 M y $5 M</x:v>
      </x:c>
      <x:c r="I698" t="str">
        <x:v>Referidos</x:v>
      </x:c>
      <x:c r="J698" t="n">
        <x:v>1</x:v>
      </x:c>
      <x:c r="K698" t="n">
        <x:v>0</x:v>
      </x:c>
      <x:c r="L698" t="n">
        <x:v>4675108.29</x:v>
      </x:c>
      <x:c r="M698" t="n">
        <x:v>488400</x:v>
      </x:c>
      <x:c r="N698" t="n">
        <x:v>1</x:v>
      </x:c>
      <x:c r="O698" t="n">
        <x:v>0</x:v>
      </x:c>
      <x:c r="P698" t="n">
        <x:v>5</x:v>
      </x:c>
    </x:row>
    <x:row r="699">
      <x:c r="A699" t="str">
        <x:v>2025-07</x:v>
      </x:c>
      <x:c r="B699" t="str">
        <x:v>USR-00069</x:v>
      </x:c>
      <x:c r="C699" t="str">
        <x:v>Cero</x:v>
      </x:c>
      <x:c r="D699" t="str">
        <x:v>Gratuita</x:v>
      </x:c>
      <x:c r="E699" t="str">
        <x:v>Bogotá</x:v>
      </x:c>
      <x:c r="F699" t="str">
        <x:v>Bogotá D.C.</x:v>
      </x:c>
      <x:c r="G699" t="n">
        <x:v>62</x:v>
      </x:c>
      <x:c r="H699" t="str">
        <x:v>Más de $5 M</x:v>
      </x:c>
      <x:c r="I699" t="str">
        <x:v>Referidos</x:v>
      </x:c>
      <x:c r="J699" t="n">
        <x:v>1</x:v>
      </x:c>
      <x:c r="K699" t="n">
        <x:v>0</x:v>
      </x:c>
      <x:c r="L699" t="n">
        <x:v>7899100.12</x:v>
      </x:c>
      <x:c r="M699" t="n">
        <x:v>0</x:v>
      </x:c>
      <x:c r="N699" t="n">
        <x:v>0</x:v>
      </x:c>
      <x:c r="O699" t="n">
        <x:v>0</x:v>
      </x:c>
      <x:c r="P699" t="n">
        <x:v>5</x:v>
      </x:c>
    </x:row>
    <x:row r="700">
      <x:c r="A700" t="str">
        <x:v>2025-07</x:v>
      </x:c>
      <x:c r="B700" t="str">
        <x:v>USR-00070</x:v>
      </x:c>
      <x:c r="C700" t="str">
        <x:v>Plus mensual</x:v>
      </x:c>
      <x:c r="D700" t="str">
        <x:v>Pago</x:v>
      </x:c>
      <x:c r="E700" t="str">
        <x:v>Pereira</x:v>
      </x:c>
      <x:c r="F700" t="str">
        <x:v>Risaralda</x:v>
      </x:c>
      <x:c r="G700" t="n">
        <x:v>24</x:v>
      </x:c>
      <x:c r="H700" t="str">
        <x:v>Entre $1,5 M y $3 M</x:v>
      </x:c>
      <x:c r="I700" t="str">
        <x:v>Redes sociales</x:v>
      </x:c>
      <x:c r="J700" t="n">
        <x:v>4</x:v>
      </x:c>
      <x:c r="K700" t="n">
        <x:v>0</x:v>
      </x:c>
      <x:c r="L700" t="n">
        <x:v>32811588.92</x:v>
      </x:c>
      <x:c r="M700" t="n">
        <x:v>1874300</x:v>
      </x:c>
      <x:c r="N700" t="n">
        <x:v>3</x:v>
      </x:c>
      <x:c r="O700" t="n">
        <x:v>29900</x:v>
      </x:c>
      <x:c r="P700" t="n">
        <x:v>5</x:v>
      </x:c>
    </x:row>
    <x:row r="701">
      <x:c r="A701" t="str">
        <x:v>2025-07</x:v>
      </x:c>
      <x:c r="B701" t="str">
        <x:v>USR-00071</x:v>
      </x:c>
      <x:c r="C701" t="str">
        <x:v>Plus mensual</x:v>
      </x:c>
      <x:c r="D701" t="str">
        <x:v>Pago</x:v>
      </x:c>
      <x:c r="E701" t="str">
        <x:v>Barranquilla</x:v>
      </x:c>
      <x:c r="F701" t="str">
        <x:v>Atlántico</x:v>
      </x:c>
      <x:c r="G701" t="n">
        <x:v>48</x:v>
      </x:c>
      <x:c r="H701" t="str">
        <x:v>Entre $3 M y $5 M</x:v>
      </x:c>
      <x:c r="I701" t="str">
        <x:v>Referidos</x:v>
      </x:c>
      <x:c r="J701" t="n">
        <x:v>3</x:v>
      </x:c>
      <x:c r="K701" t="n">
        <x:v>0</x:v>
      </x:c>
      <x:c r="L701" t="n">
        <x:v>18510553.96</x:v>
      </x:c>
      <x:c r="M701" t="n">
        <x:v>1089300</x:v>
      </x:c>
      <x:c r="N701" t="n">
        <x:v>2</x:v>
      </x:c>
      <x:c r="O701" t="n">
        <x:v>29900</x:v>
      </x:c>
      <x:c r="P701" t="n">
        <x:v>5</x:v>
      </x:c>
    </x:row>
    <x:row r="702">
      <x:c r="A702" t="str">
        <x:v>2025-07</x:v>
      </x:c>
      <x:c r="B702" t="str">
        <x:v>USR-00072</x:v>
      </x:c>
      <x:c r="C702" t="str">
        <x:v>Cero</x:v>
      </x:c>
      <x:c r="D702" t="str">
        <x:v>Gratuita</x:v>
      </x:c>
      <x:c r="E702" t="str">
        <x:v>Cali</x:v>
      </x:c>
      <x:c r="F702" t="str">
        <x:v>Valle del Cauca</x:v>
      </x:c>
      <x:c r="G702" t="n">
        <x:v>25</x:v>
      </x:c>
      <x:c r="H702" t="str">
        <x:v>Entre $3 M y $5 M</x:v>
      </x:c>
      <x:c r="I702" t="str">
        <x:v>Búsqueda paga</x:v>
      </x:c>
      <x:c r="J702" t="n">
        <x:v>2</x:v>
      </x:c>
      <x:c r="K702" t="n">
        <x:v>0</x:v>
      </x:c>
      <x:c r="L702" t="n">
        <x:v>10221067.77</x:v>
      </x:c>
      <x:c r="M702" t="n">
        <x:v>376700</x:v>
      </x:c>
      <x:c r="N702" t="n">
        <x:v>1</x:v>
      </x:c>
      <x:c r="O702" t="n">
        <x:v>0</x:v>
      </x:c>
      <x:c r="P702" t="n">
        <x:v>5</x:v>
      </x:c>
    </x:row>
    <x:row r="703">
      <x:c r="A703" t="str">
        <x:v>2025-07</x:v>
      </x:c>
      <x:c r="B703" t="str">
        <x:v>USR-00073</x:v>
      </x:c>
      <x:c r="C703" t="str">
        <x:v>Cero</x:v>
      </x:c>
      <x:c r="D703" t="str">
        <x:v>Gratuita</x:v>
      </x:c>
      <x:c r="E703" t="str">
        <x:v>Bucaramanga</x:v>
      </x:c>
      <x:c r="F703" t="str">
        <x:v>Santander</x:v>
      </x:c>
      <x:c r="G703" t="n">
        <x:v>56</x:v>
      </x:c>
      <x:c r="H703" t="str">
        <x:v>Entre $3 M y $5 M</x:v>
      </x:c>
      <x:c r="I703" t="str">
        <x:v>Contenido educativo</x:v>
      </x:c>
      <x:c r="J703" t="n">
        <x:v>2</x:v>
      </x:c>
      <x:c r="K703" t="n">
        <x:v>0</x:v>
      </x:c>
      <x:c r="L703" t="n">
        <x:v>7673507.3</x:v>
      </x:c>
      <x:c r="M703" t="n">
        <x:v>1030500</x:v>
      </x:c>
      <x:c r="N703" t="n">
        <x:v>2</x:v>
      </x:c>
      <x:c r="O703" t="n">
        <x:v>0</x:v>
      </x:c>
      <x:c r="P703" t="n">
        <x:v>5</x:v>
      </x:c>
    </x:row>
    <x:row r="704">
      <x:c r="A704" t="str">
        <x:v>2025-07</x:v>
      </x:c>
      <x:c r="B704" t="str">
        <x:v>USR-00074</x:v>
      </x:c>
      <x:c r="C704" t="str">
        <x:v>Plus mensual</x:v>
      </x:c>
      <x:c r="D704" t="str">
        <x:v>Pago</x:v>
      </x:c>
      <x:c r="E704" t="str">
        <x:v>Medellín</x:v>
      </x:c>
      <x:c r="F704" t="str">
        <x:v>Antioquia</x:v>
      </x:c>
      <x:c r="G704" t="n">
        <x:v>32</x:v>
      </x:c>
      <x:c r="H704" t="str">
        <x:v>Menos de $1,5 M</x:v>
      </x:c>
      <x:c r="I704" t="str">
        <x:v>Contenido educativo</x:v>
      </x:c>
      <x:c r="J704" t="n">
        <x:v>1</x:v>
      </x:c>
      <x:c r="K704" t="n">
        <x:v>0</x:v>
      </x:c>
      <x:c r="L704" t="n">
        <x:v>1306290.82</x:v>
      </x:c>
      <x:c r="M704" t="n">
        <x:v>45700</x:v>
      </x:c>
      <x:c r="N704" t="n">
        <x:v>1</x:v>
      </x:c>
      <x:c r="O704" t="n">
        <x:v>29900</x:v>
      </x:c>
      <x:c r="P704" t="n">
        <x:v>5</x:v>
      </x:c>
    </x:row>
    <x:row r="705">
      <x:c r="A705" t="str">
        <x:v>2025-07</x:v>
      </x:c>
      <x:c r="B705" t="str">
        <x:v>USR-00075</x:v>
      </x:c>
      <x:c r="C705" t="str">
        <x:v>Cero</x:v>
      </x:c>
      <x:c r="D705" t="str">
        <x:v>Gratuita</x:v>
      </x:c>
      <x:c r="E705" t="str">
        <x:v>Bucaramanga</x:v>
      </x:c>
      <x:c r="F705" t="str">
        <x:v>Santander</x:v>
      </x:c>
      <x:c r="G705" t="n">
        <x:v>47</x:v>
      </x:c>
      <x:c r="H705" t="str">
        <x:v>Más de $5 M</x:v>
      </x:c>
      <x:c r="I705" t="str">
        <x:v>Referidos</x:v>
      </x:c>
      <x:c r="J705" t="n">
        <x:v>2</x:v>
      </x:c>
      <x:c r="K705" t="n">
        <x:v>0</x:v>
      </x:c>
      <x:c r="L705" t="n">
        <x:v>66898608.2</x:v>
      </x:c>
      <x:c r="M705" t="n">
        <x:v>582900</x:v>
      </x:c>
      <x:c r="N705" t="n">
        <x:v>1</x:v>
      </x:c>
      <x:c r="O705" t="n">
        <x:v>0</x:v>
      </x:c>
      <x:c r="P705" t="n">
        <x:v>5</x:v>
      </x:c>
    </x:row>
    <x:row r="706">
      <x:c r="A706" t="str">
        <x:v>2025-07</x:v>
      </x:c>
      <x:c r="B706" t="str">
        <x:v>USR-00076</x:v>
      </x:c>
      <x:c r="C706" t="str">
        <x:v>Cero</x:v>
      </x:c>
      <x:c r="D706" t="str">
        <x:v>Gratuita</x:v>
      </x:c>
      <x:c r="E706" t="str">
        <x:v>Cali</x:v>
      </x:c>
      <x:c r="F706" t="str">
        <x:v>Valle del Cauca</x:v>
      </x:c>
      <x:c r="G706" t="n">
        <x:v>34</x:v>
      </x:c>
      <x:c r="H706" t="str">
        <x:v>Entre $3 M y $5 M</x:v>
      </x:c>
      <x:c r="I706" t="str">
        <x:v>Orgánico</x:v>
      </x:c>
      <x:c r="J706" t="n">
        <x:v>2</x:v>
      </x:c>
      <x:c r="K706" t="n">
        <x:v>0</x:v>
      </x:c>
      <x:c r="L706" t="n">
        <x:v>19550315.88</x:v>
      </x:c>
      <x:c r="M706" t="n">
        <x:v>1236700</x:v>
      </x:c>
      <x:c r="N706" t="n">
        <x:v>2</x:v>
      </x:c>
      <x:c r="O706" t="n">
        <x:v>0</x:v>
      </x:c>
      <x:c r="P706" t="n">
        <x:v>5</x:v>
      </x:c>
    </x:row>
    <x:row r="707">
      <x:c r="A707" t="str">
        <x:v>2025-07</x:v>
      </x:c>
      <x:c r="B707" t="str">
        <x:v>USR-00077</x:v>
      </x:c>
      <x:c r="C707" t="str">
        <x:v>Cero</x:v>
      </x:c>
      <x:c r="D707" t="str">
        <x:v>Gratuita</x:v>
      </x:c>
      <x:c r="E707" t="str">
        <x:v>Barranquilla</x:v>
      </x:c>
      <x:c r="F707" t="str">
        <x:v>Atlántico</x:v>
      </x:c>
      <x:c r="G707" t="n">
        <x:v>25</x:v>
      </x:c>
      <x:c r="H707" t="str">
        <x:v>Entre $1,5 M y $3 M</x:v>
      </x:c>
      <x:c r="I707" t="str">
        <x:v>Orgánico</x:v>
      </x:c>
      <x:c r="J707" t="n">
        <x:v>2</x:v>
      </x:c>
      <x:c r="K707" t="n">
        <x:v>0</x:v>
      </x:c>
      <x:c r="L707" t="n">
        <x:v>8763636.92</x:v>
      </x:c>
      <x:c r="M707" t="n">
        <x:v>651700</x:v>
      </x:c>
      <x:c r="N707" t="n">
        <x:v>2</x:v>
      </x:c>
      <x:c r="O707" t="n">
        <x:v>0</x:v>
      </x:c>
      <x:c r="P707" t="n">
        <x:v>5</x:v>
      </x:c>
    </x:row>
    <x:row r="708">
      <x:c r="A708" t="str">
        <x:v>2025-07</x:v>
      </x:c>
      <x:c r="B708" t="str">
        <x:v>USR-00078</x:v>
      </x:c>
      <x:c r="C708" t="str">
        <x:v>Plus mensual</x:v>
      </x:c>
      <x:c r="D708" t="str">
        <x:v>Pago</x:v>
      </x:c>
      <x:c r="E708" t="str">
        <x:v>Cali</x:v>
      </x:c>
      <x:c r="F708" t="str">
        <x:v>Valle del Cauca</x:v>
      </x:c>
      <x:c r="G708" t="n">
        <x:v>24</x:v>
      </x:c>
      <x:c r="H708" t="str">
        <x:v>Entre $3 M y $5 M</x:v>
      </x:c>
      <x:c r="I708" t="str">
        <x:v>Orgánico</x:v>
      </x:c>
      <x:c r="J708" t="n">
        <x:v>4</x:v>
      </x:c>
      <x:c r="K708" t="n">
        <x:v>0</x:v>
      </x:c>
      <x:c r="L708" t="n">
        <x:v>27669842.07</x:v>
      </x:c>
      <x:c r="M708" t="n">
        <x:v>1750300</x:v>
      </x:c>
      <x:c r="N708" t="n">
        <x:v>3</x:v>
      </x:c>
      <x:c r="O708" t="n">
        <x:v>29900</x:v>
      </x:c>
      <x:c r="P708" t="n">
        <x:v>5</x:v>
      </x:c>
    </x:row>
    <x:row r="709">
      <x:c r="A709" t="str">
        <x:v>2025-07</x:v>
      </x:c>
      <x:c r="B709" t="str">
        <x:v>USR-00079</x:v>
      </x:c>
      <x:c r="C709" t="str">
        <x:v>Cero</x:v>
      </x:c>
      <x:c r="D709" t="str">
        <x:v>Gratuita</x:v>
      </x:c>
      <x:c r="E709" t="str">
        <x:v>Barranquilla</x:v>
      </x:c>
      <x:c r="F709" t="str">
        <x:v>Atlántico</x:v>
      </x:c>
      <x:c r="G709" t="n">
        <x:v>25</x:v>
      </x:c>
      <x:c r="H709" t="str">
        <x:v>Menos de $1,5 M</x:v>
      </x:c>
      <x:c r="I709" t="str">
        <x:v>Referidos</x:v>
      </x:c>
      <x:c r="J709" t="n">
        <x:v>1</x:v>
      </x:c>
      <x:c r="K709" t="n">
        <x:v>0</x:v>
      </x:c>
      <x:c r="L709" t="n">
        <x:v>42137605.49</x:v>
      </x:c>
      <x:c r="M709" t="n">
        <x:v>5273600</x:v>
      </x:c>
      <x:c r="N709" t="n">
        <x:v>1</x:v>
      </x:c>
      <x:c r="O709" t="n">
        <x:v>0</x:v>
      </x:c>
      <x:c r="P709" t="n">
        <x:v>5</x:v>
      </x:c>
    </x:row>
    <x:row r="710">
      <x:c r="A710" t="str">
        <x:v>2025-07</x:v>
      </x:c>
      <x:c r="B710" t="str">
        <x:v>USR-00080</x:v>
      </x:c>
      <x:c r="C710" t="str">
        <x:v>Plus anual</x:v>
      </x:c>
      <x:c r="D710" t="str">
        <x:v>Pago</x:v>
      </x:c>
      <x:c r="E710" t="str">
        <x:v>Bogotá</x:v>
      </x:c>
      <x:c r="F710" t="str">
        <x:v>Bogotá D.C.</x:v>
      </x:c>
      <x:c r="G710" t="n">
        <x:v>35</x:v>
      </x:c>
      <x:c r="H710" t="str">
        <x:v>Entre $3 M y $5 M</x:v>
      </x:c>
      <x:c r="I710" t="str">
        <x:v>Referidos</x:v>
      </x:c>
      <x:c r="J710" t="n">
        <x:v>1</x:v>
      </x:c>
      <x:c r="K710" t="n">
        <x:v>0</x:v>
      </x:c>
      <x:c r="L710" t="n">
        <x:v>16929641.74</x:v>
      </x:c>
      <x:c r="M710" t="n">
        <x:v>0</x:v>
      </x:c>
      <x:c r="N710" t="n">
        <x:v>0</x:v>
      </x:c>
      <x:c r="O710" t="n">
        <x:v>24916.67</x:v>
      </x:c>
      <x:c r="P710" t="n">
        <x:v>5</x:v>
      </x:c>
    </x:row>
    <x:row r="711">
      <x:c r="A711" t="str">
        <x:v>2025-07</x:v>
      </x:c>
      <x:c r="B711" t="str">
        <x:v>USR-00081</x:v>
      </x:c>
      <x:c r="C711" t="str">
        <x:v>Cero</x:v>
      </x:c>
      <x:c r="D711" t="str">
        <x:v>Gratuita</x:v>
      </x:c>
      <x:c r="E711" t="str">
        <x:v>Bogotá</x:v>
      </x:c>
      <x:c r="F711" t="str">
        <x:v>Bogotá D.C.</x:v>
      </x:c>
      <x:c r="G711" t="n">
        <x:v>44</x:v>
      </x:c>
      <x:c r="H711" t="str">
        <x:v>Más de $5 M</x:v>
      </x:c>
      <x:c r="I711" t="str">
        <x:v>Contenido educativo</x:v>
      </x:c>
      <x:c r="J711" t="n">
        <x:v>2</x:v>
      </x:c>
      <x:c r="K711" t="n">
        <x:v>0</x:v>
      </x:c>
      <x:c r="L711" t="n">
        <x:v>14031648.44</x:v>
      </x:c>
      <x:c r="M711" t="n">
        <x:v>917200</x:v>
      </x:c>
      <x:c r="N711" t="n">
        <x:v>1</x:v>
      </x:c>
      <x:c r="O711" t="n">
        <x:v>0</x:v>
      </x:c>
      <x:c r="P711" t="n">
        <x:v>5</x:v>
      </x:c>
    </x:row>
    <x:row r="712">
      <x:c r="A712" t="str">
        <x:v>2025-07</x:v>
      </x:c>
      <x:c r="B712" t="str">
        <x:v>USR-00082</x:v>
      </x:c>
      <x:c r="C712" t="str">
        <x:v>Cero</x:v>
      </x:c>
      <x:c r="D712" t="str">
        <x:v>Gratuita</x:v>
      </x:c>
      <x:c r="E712" t="str">
        <x:v>Villavicencio</x:v>
      </x:c>
      <x:c r="F712" t="str">
        <x:v>Meta</x:v>
      </x:c>
      <x:c r="G712" t="n">
        <x:v>44</x:v>
      </x:c>
      <x:c r="H712" t="str">
        <x:v>Entre $1,5 M y $3 M</x:v>
      </x:c>
      <x:c r="I712" t="str">
        <x:v>Referidos</x:v>
      </x:c>
      <x:c r="J712" t="n">
        <x:v>2</x:v>
      </x:c>
      <x:c r="K712" t="n">
        <x:v>0</x:v>
      </x:c>
      <x:c r="L712" t="n">
        <x:v>18441710.85</x:v>
      </x:c>
      <x:c r="M712" t="n">
        <x:v>1003900</x:v>
      </x:c>
      <x:c r="N712" t="n">
        <x:v>2</x:v>
      </x:c>
      <x:c r="O712" t="n">
        <x:v>0</x:v>
      </x:c>
      <x:c r="P712" t="n">
        <x:v>5</x:v>
      </x:c>
    </x:row>
    <x:row r="713">
      <x:c r="A713" t="str">
        <x:v>2025-07</x:v>
      </x:c>
      <x:c r="B713" t="str">
        <x:v>USR-00083</x:v>
      </x:c>
      <x:c r="C713" t="str">
        <x:v>Plus mensual</x:v>
      </x:c>
      <x:c r="D713" t="str">
        <x:v>Pago</x:v>
      </x:c>
      <x:c r="E713" t="str">
        <x:v>Bogotá</x:v>
      </x:c>
      <x:c r="F713" t="str">
        <x:v>Bogotá D.C.</x:v>
      </x:c>
      <x:c r="G713" t="n">
        <x:v>35</x:v>
      </x:c>
      <x:c r="H713" t="str">
        <x:v>Entre $3 M y $5 M</x:v>
      </x:c>
      <x:c r="I713" t="str">
        <x:v>Orgánico</x:v>
      </x:c>
      <x:c r="J713" t="n">
        <x:v>1</x:v>
      </x:c>
      <x:c r="K713" t="n">
        <x:v>0</x:v>
      </x:c>
      <x:c r="L713" t="n">
        <x:v>2095646.48</x:v>
      </x:c>
      <x:c r="M713" t="n">
        <x:v>210300</x:v>
      </x:c>
      <x:c r="N713" t="n">
        <x:v>1</x:v>
      </x:c>
      <x:c r="O713" t="n">
        <x:v>29900</x:v>
      </x:c>
      <x:c r="P713" t="n">
        <x:v>5</x:v>
      </x:c>
    </x:row>
    <x:row r="714">
      <x:c r="A714" t="str">
        <x:v>2025-07</x:v>
      </x:c>
      <x:c r="B714" t="str">
        <x:v>USR-00084</x:v>
      </x:c>
      <x:c r="C714" t="str">
        <x:v>Cero</x:v>
      </x:c>
      <x:c r="D714" t="str">
        <x:v>Gratuita</x:v>
      </x:c>
      <x:c r="E714" t="str">
        <x:v>Manizales</x:v>
      </x:c>
      <x:c r="F714" t="str">
        <x:v>Caldas</x:v>
      </x:c>
      <x:c r="G714" t="n">
        <x:v>21</x:v>
      </x:c>
      <x:c r="H714" t="str">
        <x:v>Entre $1,5 M y $3 M</x:v>
      </x:c>
      <x:c r="I714" t="str">
        <x:v>Búsqueda paga</x:v>
      </x:c>
      <x:c r="J714" t="n">
        <x:v>2</x:v>
      </x:c>
      <x:c r="K714" t="n">
        <x:v>0</x:v>
      </x:c>
      <x:c r="L714" t="n">
        <x:v>25821769.53</x:v>
      </x:c>
      <x:c r="M714" t="n">
        <x:v>885100</x:v>
      </x:c>
      <x:c r="N714" t="n">
        <x:v>1</x:v>
      </x:c>
      <x:c r="O714" t="n">
        <x:v>0</x:v>
      </x:c>
      <x:c r="P714" t="n">
        <x:v>5</x:v>
      </x:c>
    </x:row>
    <x:row r="715">
      <x:c r="A715" t="str">
        <x:v>2025-07</x:v>
      </x:c>
      <x:c r="B715" t="str">
        <x:v>USR-00085</x:v>
      </x:c>
      <x:c r="C715" t="str">
        <x:v>Plus mensual</x:v>
      </x:c>
      <x:c r="D715" t="str">
        <x:v>Pago</x:v>
      </x:c>
      <x:c r="E715" t="str">
        <x:v>Barranquilla</x:v>
      </x:c>
      <x:c r="F715" t="str">
        <x:v>Atlántico</x:v>
      </x:c>
      <x:c r="G715" t="n">
        <x:v>41</x:v>
      </x:c>
      <x:c r="H715" t="str">
        <x:v>Menos de $1,5 M</x:v>
      </x:c>
      <x:c r="I715" t="str">
        <x:v>Referidos</x:v>
      </x:c>
      <x:c r="J715" t="n">
        <x:v>1</x:v>
      </x:c>
      <x:c r="K715" t="n">
        <x:v>0</x:v>
      </x:c>
      <x:c r="L715" t="n">
        <x:v>12461429.45</x:v>
      </x:c>
      <x:c r="M715" t="n">
        <x:v>208700</x:v>
      </x:c>
      <x:c r="N715" t="n">
        <x:v>1</x:v>
      </x:c>
      <x:c r="O715" t="n">
        <x:v>29900</x:v>
      </x:c>
      <x:c r="P715" t="n">
        <x:v>5</x:v>
      </x:c>
    </x:row>
    <x:row r="716">
      <x:c r="A716" t="str">
        <x:v>2025-07</x:v>
      </x:c>
      <x:c r="B716" t="str">
        <x:v>USR-00086</x:v>
      </x:c>
      <x:c r="C716" t="str">
        <x:v>Cero</x:v>
      </x:c>
      <x:c r="D716" t="str">
        <x:v>Gratuita</x:v>
      </x:c>
      <x:c r="E716" t="str">
        <x:v>Manizales</x:v>
      </x:c>
      <x:c r="F716" t="str">
        <x:v>Caldas</x:v>
      </x:c>
      <x:c r="G716" t="n">
        <x:v>47</x:v>
      </x:c>
      <x:c r="H716" t="str">
        <x:v>Más de $5 M</x:v>
      </x:c>
      <x:c r="I716" t="str">
        <x:v>Referidos</x:v>
      </x:c>
      <x:c r="J716" t="n">
        <x:v>1</x:v>
      </x:c>
      <x:c r="K716" t="n">
        <x:v>0</x:v>
      </x:c>
      <x:c r="L716" t="n">
        <x:v>2949813.57</x:v>
      </x:c>
      <x:c r="M716" t="n">
        <x:v>87400</x:v>
      </x:c>
      <x:c r="N716" t="n">
        <x:v>1</x:v>
      </x:c>
      <x:c r="O716" t="n">
        <x:v>0</x:v>
      </x:c>
      <x:c r="P716" t="n">
        <x:v>5</x:v>
      </x:c>
    </x:row>
    <x:row r="717">
      <x:c r="A717" t="str">
        <x:v>2025-07</x:v>
      </x:c>
      <x:c r="B717" t="str">
        <x:v>USR-00087</x:v>
      </x:c>
      <x:c r="C717" t="str">
        <x:v>Plus mensual</x:v>
      </x:c>
      <x:c r="D717" t="str">
        <x:v>Pago</x:v>
      </x:c>
      <x:c r="E717" t="str">
        <x:v>Manizales</x:v>
      </x:c>
      <x:c r="F717" t="str">
        <x:v>Caldas</x:v>
      </x:c>
      <x:c r="G717" t="n">
        <x:v>51</x:v>
      </x:c>
      <x:c r="H717" t="str">
        <x:v>Entre $1,5 M y $3 M</x:v>
      </x:c>
      <x:c r="I717" t="str">
        <x:v>Búsqueda paga</x:v>
      </x:c>
      <x:c r="J717" t="n">
        <x:v>1</x:v>
      </x:c>
      <x:c r="K717" t="n">
        <x:v>0</x:v>
      </x:c>
      <x:c r="L717" t="n">
        <x:v>34066961.73</x:v>
      </x:c>
      <x:c r="M717" t="n">
        <x:v>1094800</x:v>
      </x:c>
      <x:c r="N717" t="n">
        <x:v>1</x:v>
      </x:c>
      <x:c r="O717" t="n">
        <x:v>29900</x:v>
      </x:c>
      <x:c r="P717" t="n">
        <x:v>5</x:v>
      </x:c>
    </x:row>
    <x:row r="718">
      <x:c r="A718" t="str">
        <x:v>2025-07</x:v>
      </x:c>
      <x:c r="B718" t="str">
        <x:v>USR-00088</x:v>
      </x:c>
      <x:c r="C718" t="str">
        <x:v>Cero</x:v>
      </x:c>
      <x:c r="D718" t="str">
        <x:v>Gratuita</x:v>
      </x:c>
      <x:c r="E718" t="str">
        <x:v>Bucaramanga</x:v>
      </x:c>
      <x:c r="F718" t="str">
        <x:v>Santander</x:v>
      </x:c>
      <x:c r="G718" t="n">
        <x:v>52</x:v>
      </x:c>
      <x:c r="H718" t="str">
        <x:v>Entre $1,5 M y $3 M</x:v>
      </x:c>
      <x:c r="I718" t="str">
        <x:v>Redes sociales</x:v>
      </x:c>
      <x:c r="J718" t="n">
        <x:v>1</x:v>
      </x:c>
      <x:c r="K718" t="n">
        <x:v>0</x:v>
      </x:c>
      <x:c r="L718" t="n">
        <x:v>8467880.2</x:v>
      </x:c>
      <x:c r="M718" t="n">
        <x:v>0</x:v>
      </x:c>
      <x:c r="N718" t="n">
        <x:v>0</x:v>
      </x:c>
      <x:c r="O718" t="n">
        <x:v>0</x:v>
      </x:c>
      <x:c r="P718" t="n">
        <x:v>5</x:v>
      </x:c>
    </x:row>
    <x:row r="719">
      <x:c r="A719" t="str">
        <x:v>2025-07</x:v>
      </x:c>
      <x:c r="B719" t="str">
        <x:v>USR-00089</x:v>
      </x:c>
      <x:c r="C719" t="str">
        <x:v>Cero</x:v>
      </x:c>
      <x:c r="D719" t="str">
        <x:v>Gratuita</x:v>
      </x:c>
      <x:c r="E719" t="str">
        <x:v>Bucaramanga</x:v>
      </x:c>
      <x:c r="F719" t="str">
        <x:v>Santander</x:v>
      </x:c>
      <x:c r="G719" t="n">
        <x:v>34</x:v>
      </x:c>
      <x:c r="H719" t="str">
        <x:v>Entre $1,5 M y $3 M</x:v>
      </x:c>
      <x:c r="I719" t="str">
        <x:v>Redes sociales</x:v>
      </x:c>
      <x:c r="J719" t="n">
        <x:v>2</x:v>
      </x:c>
      <x:c r="K719" t="n">
        <x:v>0</x:v>
      </x:c>
      <x:c r="L719" t="n">
        <x:v>23560421.71</x:v>
      </x:c>
      <x:c r="M719" t="n">
        <x:v>963200</x:v>
      </x:c>
      <x:c r="N719" t="n">
        <x:v>2</x:v>
      </x:c>
      <x:c r="O719" t="n">
        <x:v>0</x:v>
      </x:c>
      <x:c r="P719" t="n">
        <x:v>5</x:v>
      </x:c>
    </x:row>
    <x:row r="720">
      <x:c r="A720" t="str">
        <x:v>2025-07</x:v>
      </x:c>
      <x:c r="B720" t="str">
        <x:v>USR-00090</x:v>
      </x:c>
      <x:c r="C720" t="str">
        <x:v>Cero</x:v>
      </x:c>
      <x:c r="D720" t="str">
        <x:v>Gratuita</x:v>
      </x:c>
      <x:c r="E720" t="str">
        <x:v>Medellín</x:v>
      </x:c>
      <x:c r="F720" t="str">
        <x:v>Antioquia</x:v>
      </x:c>
      <x:c r="G720" t="n">
        <x:v>47</x:v>
      </x:c>
      <x:c r="H720" t="str">
        <x:v>Menos de $1,5 M</x:v>
      </x:c>
      <x:c r="I720" t="str">
        <x:v>Alianzas</x:v>
      </x:c>
      <x:c r="J720" t="n">
        <x:v>1</x:v>
      </x:c>
      <x:c r="K720" t="n">
        <x:v>0</x:v>
      </x:c>
      <x:c r="L720" t="n">
        <x:v>17807095.07</x:v>
      </x:c>
      <x:c r="M720" t="n">
        <x:v>989700</x:v>
      </x:c>
      <x:c r="N720" t="n">
        <x:v>1</x:v>
      </x:c>
      <x:c r="O720" t="n">
        <x:v>0</x:v>
      </x:c>
      <x:c r="P720" t="n">
        <x:v>5</x:v>
      </x:c>
    </x:row>
    <x:row r="721">
      <x:c r="A721" t="str">
        <x:v>2025-07</x:v>
      </x:c>
      <x:c r="B721" t="str">
        <x:v>USR-00091</x:v>
      </x:c>
      <x:c r="C721" t="str">
        <x:v>Plus mensual</x:v>
      </x:c>
      <x:c r="D721" t="str">
        <x:v>Pago</x:v>
      </x:c>
      <x:c r="E721" t="str">
        <x:v>Bogotá</x:v>
      </x:c>
      <x:c r="F721" t="str">
        <x:v>Bogotá D.C.</x:v>
      </x:c>
      <x:c r="G721" t="n">
        <x:v>23</x:v>
      </x:c>
      <x:c r="H721" t="str">
        <x:v>Entre $3 M y $5 M</x:v>
      </x:c>
      <x:c r="I721" t="str">
        <x:v>Redes sociales</x:v>
      </x:c>
      <x:c r="J721" t="n">
        <x:v>4</x:v>
      </x:c>
      <x:c r="K721" t="n">
        <x:v>0</x:v>
      </x:c>
      <x:c r="L721" t="n">
        <x:v>32401697.3</x:v>
      </x:c>
      <x:c r="M721" t="n">
        <x:v>1415400</x:v>
      </x:c>
      <x:c r="N721" t="n">
        <x:v>3</x:v>
      </x:c>
      <x:c r="O721" t="n">
        <x:v>29900</x:v>
      </x:c>
      <x:c r="P721" t="n">
        <x:v>5</x:v>
      </x:c>
    </x:row>
    <x:row r="722">
      <x:c r="A722" t="str">
        <x:v>2025-07</x:v>
      </x:c>
      <x:c r="B722" t="str">
        <x:v>USR-00092</x:v>
      </x:c>
      <x:c r="C722" t="str">
        <x:v>Cero</x:v>
      </x:c>
      <x:c r="D722" t="str">
        <x:v>Gratuita</x:v>
      </x:c>
      <x:c r="E722" t="str">
        <x:v>Cartagena</x:v>
      </x:c>
      <x:c r="F722" t="str">
        <x:v>Bolívar</x:v>
      </x:c>
      <x:c r="G722" t="n">
        <x:v>63</x:v>
      </x:c>
      <x:c r="H722" t="str">
        <x:v>Entre $1,5 M y $3 M</x:v>
      </x:c>
      <x:c r="I722" t="str">
        <x:v>Orgánico</x:v>
      </x:c>
      <x:c r="J722" t="n">
        <x:v>2</x:v>
      </x:c>
      <x:c r="K722" t="n">
        <x:v>0</x:v>
      </x:c>
      <x:c r="L722" t="n">
        <x:v>48503340.82</x:v>
      </x:c>
      <x:c r="M722" t="n">
        <x:v>2404300</x:v>
      </x:c>
      <x:c r="N722" t="n">
        <x:v>2</x:v>
      </x:c>
      <x:c r="O722" t="n">
        <x:v>0</x:v>
      </x:c>
      <x:c r="P722" t="n">
        <x:v>5</x:v>
      </x:c>
    </x:row>
    <x:row r="723">
      <x:c r="A723" t="str">
        <x:v>2025-07</x:v>
      </x:c>
      <x:c r="B723" t="str">
        <x:v>USR-00093</x:v>
      </x:c>
      <x:c r="C723" t="str">
        <x:v>Plus anual</x:v>
      </x:c>
      <x:c r="D723" t="str">
        <x:v>Pago</x:v>
      </x:c>
      <x:c r="E723" t="str">
        <x:v>Bogotá</x:v>
      </x:c>
      <x:c r="F723" t="str">
        <x:v>Bogotá D.C.</x:v>
      </x:c>
      <x:c r="G723" t="n">
        <x:v>34</x:v>
      </x:c>
      <x:c r="H723" t="str">
        <x:v>Más de $5 M</x:v>
      </x:c>
      <x:c r="I723" t="str">
        <x:v>Búsqueda paga</x:v>
      </x:c>
      <x:c r="J723" t="n">
        <x:v>3</x:v>
      </x:c>
      <x:c r="K723" t="n">
        <x:v>0</x:v>
      </x:c>
      <x:c r="L723" t="n">
        <x:v>22223087.92</x:v>
      </x:c>
      <x:c r="M723" t="n">
        <x:v>1163100</x:v>
      </x:c>
      <x:c r="N723" t="n">
        <x:v>3</x:v>
      </x:c>
      <x:c r="O723" t="n">
        <x:v>24916.67</x:v>
      </x:c>
      <x:c r="P723" t="n">
        <x:v>5</x:v>
      </x:c>
    </x:row>
    <x:row r="724">
      <x:c r="A724" t="str">
        <x:v>2025-07</x:v>
      </x:c>
      <x:c r="B724" t="str">
        <x:v>USR-00094</x:v>
      </x:c>
      <x:c r="C724" t="str">
        <x:v>Cero</x:v>
      </x:c>
      <x:c r="D724" t="str">
        <x:v>Gratuita</x:v>
      </x:c>
      <x:c r="E724" t="str">
        <x:v>Bogotá</x:v>
      </x:c>
      <x:c r="F724" t="str">
        <x:v>Bogotá D.C.</x:v>
      </x:c>
      <x:c r="G724" t="n">
        <x:v>38</x:v>
      </x:c>
      <x:c r="H724" t="str">
        <x:v>Más de $5 M</x:v>
      </x:c>
      <x:c r="I724" t="str">
        <x:v>Alianzas</x:v>
      </x:c>
      <x:c r="J724" t="n">
        <x:v>2</x:v>
      </x:c>
      <x:c r="K724" t="n">
        <x:v>0</x:v>
      </x:c>
      <x:c r="L724" t="n">
        <x:v>11956984.02</x:v>
      </x:c>
      <x:c r="M724" t="n">
        <x:v>0</x:v>
      </x:c>
      <x:c r="N724" t="n">
        <x:v>0</x:v>
      </x:c>
      <x:c r="O724" t="n">
        <x:v>0</x:v>
      </x:c>
      <x:c r="P724" t="n">
        <x:v>5</x:v>
      </x:c>
    </x:row>
    <x:row r="725">
      <x:c r="A725" t="str">
        <x:v>2025-07</x:v>
      </x:c>
      <x:c r="B725" t="str">
        <x:v>USR-00095</x:v>
      </x:c>
      <x:c r="C725" t="str">
        <x:v>Plus mensual</x:v>
      </x:c>
      <x:c r="D725" t="str">
        <x:v>Pago</x:v>
      </x:c>
      <x:c r="E725" t="str">
        <x:v>Bogotá</x:v>
      </x:c>
      <x:c r="F725" t="str">
        <x:v>Bogotá D.C.</x:v>
      </x:c>
      <x:c r="G725" t="n">
        <x:v>27</x:v>
      </x:c>
      <x:c r="H725" t="str">
        <x:v>Menos de $1,5 M</x:v>
      </x:c>
      <x:c r="I725" t="str">
        <x:v>Redes sociales</x:v>
      </x:c>
      <x:c r="J725" t="n">
        <x:v>5</x:v>
      </x:c>
      <x:c r="K725" t="n">
        <x:v>0</x:v>
      </x:c>
      <x:c r="L725" t="n">
        <x:v>75991504.64</x:v>
      </x:c>
      <x:c r="M725" t="n">
        <x:v>3754100</x:v>
      </x:c>
      <x:c r="N725" t="n">
        <x:v>4</x:v>
      </x:c>
      <x:c r="O725" t="n">
        <x:v>29900</x:v>
      </x:c>
      <x:c r="P725" t="n">
        <x:v>4</x:v>
      </x:c>
    </x:row>
    <x:row r="726">
      <x:c r="A726" t="str">
        <x:v>2025-07</x:v>
      </x:c>
      <x:c r="B726" t="str">
        <x:v>USR-00096</x:v>
      </x:c>
      <x:c r="C726" t="str">
        <x:v>Cero</x:v>
      </x:c>
      <x:c r="D726" t="str">
        <x:v>Gratuita</x:v>
      </x:c>
      <x:c r="E726" t="str">
        <x:v>Cali</x:v>
      </x:c>
      <x:c r="F726" t="str">
        <x:v>Valle del Cauca</x:v>
      </x:c>
      <x:c r="G726" t="n">
        <x:v>39</x:v>
      </x:c>
      <x:c r="H726" t="str">
        <x:v>Entre $3 M y $5 M</x:v>
      </x:c>
      <x:c r="I726" t="str">
        <x:v>Contenido educativo</x:v>
      </x:c>
      <x:c r="J726" t="n">
        <x:v>1</x:v>
      </x:c>
      <x:c r="K726" t="n">
        <x:v>0</x:v>
      </x:c>
      <x:c r="L726" t="n">
        <x:v>7460324.84</x:v>
      </x:c>
      <x:c r="M726" t="n">
        <x:v>280900</x:v>
      </x:c>
      <x:c r="N726" t="n">
        <x:v>1</x:v>
      </x:c>
      <x:c r="O726" t="n">
        <x:v>0</x:v>
      </x:c>
      <x:c r="P726" t="n">
        <x:v>4</x:v>
      </x:c>
    </x:row>
    <x:row r="727">
      <x:c r="A727" t="str">
        <x:v>2025-07</x:v>
      </x:c>
      <x:c r="B727" t="str">
        <x:v>USR-00097</x:v>
      </x:c>
      <x:c r="C727" t="str">
        <x:v>Cero</x:v>
      </x:c>
      <x:c r="D727" t="str">
        <x:v>Gratuita</x:v>
      </x:c>
      <x:c r="E727" t="str">
        <x:v>Medellín</x:v>
      </x:c>
      <x:c r="F727" t="str">
        <x:v>Antioquia</x:v>
      </x:c>
      <x:c r="G727" t="n">
        <x:v>46</x:v>
      </x:c>
      <x:c r="H727" t="str">
        <x:v>Entre $1,5 M y $3 M</x:v>
      </x:c>
      <x:c r="I727" t="str">
        <x:v>Redes sociales</x:v>
      </x:c>
      <x:c r="J727" t="n">
        <x:v>2</x:v>
      </x:c>
      <x:c r="K727" t="n">
        <x:v>0</x:v>
      </x:c>
      <x:c r="L727" t="n">
        <x:v>42409558.48</x:v>
      </x:c>
      <x:c r="M727" t="n">
        <x:v>4006800</x:v>
      </x:c>
      <x:c r="N727" t="n">
        <x:v>2</x:v>
      </x:c>
      <x:c r="O727" t="n">
        <x:v>0</x:v>
      </x:c>
      <x:c r="P727" t="n">
        <x:v>4</x:v>
      </x:c>
    </x:row>
    <x:row r="728">
      <x:c r="A728" t="str">
        <x:v>2025-07</x:v>
      </x:c>
      <x:c r="B728" t="str">
        <x:v>USR-00098</x:v>
      </x:c>
      <x:c r="C728" t="str">
        <x:v>Cero</x:v>
      </x:c>
      <x:c r="D728" t="str">
        <x:v>Gratuita</x:v>
      </x:c>
      <x:c r="E728" t="str">
        <x:v>Medellín</x:v>
      </x:c>
      <x:c r="F728" t="str">
        <x:v>Antioquia</x:v>
      </x:c>
      <x:c r="G728" t="n">
        <x:v>42</x:v>
      </x:c>
      <x:c r="H728" t="str">
        <x:v>Entre $3 M y $5 M</x:v>
      </x:c>
      <x:c r="I728" t="str">
        <x:v>Orgánico</x:v>
      </x:c>
      <x:c r="J728" t="n">
        <x:v>2</x:v>
      </x:c>
      <x:c r="K728" t="n">
        <x:v>0</x:v>
      </x:c>
      <x:c r="L728" t="n">
        <x:v>24100170.23</x:v>
      </x:c>
      <x:c r="M728" t="n">
        <x:v>0</x:v>
      </x:c>
      <x:c r="N728" t="n">
        <x:v>0</x:v>
      </x:c>
      <x:c r="O728" t="n">
        <x:v>0</x:v>
      </x:c>
      <x:c r="P728" t="n">
        <x:v>4</x:v>
      </x:c>
    </x:row>
    <x:row r="729">
      <x:c r="A729" t="str">
        <x:v>2025-07</x:v>
      </x:c>
      <x:c r="B729" t="str">
        <x:v>USR-00099</x:v>
      </x:c>
      <x:c r="C729" t="str">
        <x:v>Cero</x:v>
      </x:c>
      <x:c r="D729" t="str">
        <x:v>Gratuita</x:v>
      </x:c>
      <x:c r="E729" t="str">
        <x:v>Cali</x:v>
      </x:c>
      <x:c r="F729" t="str">
        <x:v>Valle del Cauca</x:v>
      </x:c>
      <x:c r="G729" t="n">
        <x:v>49</x:v>
      </x:c>
      <x:c r="H729" t="str">
        <x:v>Entre $3 M y $5 M</x:v>
      </x:c>
      <x:c r="I729" t="str">
        <x:v>Alianzas</x:v>
      </x:c>
      <x:c r="J729" t="n">
        <x:v>2</x:v>
      </x:c>
      <x:c r="K729" t="n">
        <x:v>0</x:v>
      </x:c>
      <x:c r="L729" t="n">
        <x:v>30154034.34</x:v>
      </x:c>
      <x:c r="M729" t="n">
        <x:v>0</x:v>
      </x:c>
      <x:c r="N729" t="n">
        <x:v>0</x:v>
      </x:c>
      <x:c r="O729" t="n">
        <x:v>0</x:v>
      </x:c>
      <x:c r="P729" t="n">
        <x:v>4</x:v>
      </x:c>
    </x:row>
    <x:row r="730">
      <x:c r="A730" t="str">
        <x:v>2025-07</x:v>
      </x:c>
      <x:c r="B730" t="str">
        <x:v>USR-00100</x:v>
      </x:c>
      <x:c r="C730" t="str">
        <x:v>Plus mensual</x:v>
      </x:c>
      <x:c r="D730" t="str">
        <x:v>Pago</x:v>
      </x:c>
      <x:c r="E730" t="str">
        <x:v>Cali</x:v>
      </x:c>
      <x:c r="F730" t="str">
        <x:v>Valle del Cauca</x:v>
      </x:c>
      <x:c r="G730" t="n">
        <x:v>36</x:v>
      </x:c>
      <x:c r="H730" t="str">
        <x:v>Menos de $1,5 M</x:v>
      </x:c>
      <x:c r="I730" t="str">
        <x:v>Búsqueda paga</x:v>
      </x:c>
      <x:c r="J730" t="n">
        <x:v>3</x:v>
      </x:c>
      <x:c r="K730" t="n">
        <x:v>0</x:v>
      </x:c>
      <x:c r="L730" t="n">
        <x:v>36325229.92</x:v>
      </x:c>
      <x:c r="M730" t="n">
        <x:v>570000</x:v>
      </x:c>
      <x:c r="N730" t="n">
        <x:v>2</x:v>
      </x:c>
      <x:c r="O730" t="n">
        <x:v>29900</x:v>
      </x:c>
      <x:c r="P730" t="n">
        <x:v>4</x:v>
      </x:c>
    </x:row>
    <x:row r="731">
      <x:c r="A731" t="str">
        <x:v>2025-07</x:v>
      </x:c>
      <x:c r="B731" t="str">
        <x:v>USR-00101</x:v>
      </x:c>
      <x:c r="C731" t="str">
        <x:v>Plus anual</x:v>
      </x:c>
      <x:c r="D731" t="str">
        <x:v>Pago</x:v>
      </x:c>
      <x:c r="E731" t="str">
        <x:v>Cali</x:v>
      </x:c>
      <x:c r="F731" t="str">
        <x:v>Valle del Cauca</x:v>
      </x:c>
      <x:c r="G731" t="n">
        <x:v>33</x:v>
      </x:c>
      <x:c r="H731" t="str">
        <x:v>Más de $5 M</x:v>
      </x:c>
      <x:c r="I731" t="str">
        <x:v>Orgánico</x:v>
      </x:c>
      <x:c r="J731" t="n">
        <x:v>4</x:v>
      </x:c>
      <x:c r="K731" t="n">
        <x:v>0</x:v>
      </x:c>
      <x:c r="L731" t="n">
        <x:v>62596641.78</x:v>
      </x:c>
      <x:c r="M731" t="n">
        <x:v>1600000</x:v>
      </x:c>
      <x:c r="N731" t="n">
        <x:v>2</x:v>
      </x:c>
      <x:c r="O731" t="n">
        <x:v>24916.67</x:v>
      </x:c>
      <x:c r="P731" t="n">
        <x:v>4</x:v>
      </x:c>
    </x:row>
    <x:row r="732">
      <x:c r="A732" t="str">
        <x:v>2025-07</x:v>
      </x:c>
      <x:c r="B732" t="str">
        <x:v>USR-00102</x:v>
      </x:c>
      <x:c r="C732" t="str">
        <x:v>Cero</x:v>
      </x:c>
      <x:c r="D732" t="str">
        <x:v>Gratuita</x:v>
      </x:c>
      <x:c r="E732" t="str">
        <x:v>Bogotá</x:v>
      </x:c>
      <x:c r="F732" t="str">
        <x:v>Bogotá D.C.</x:v>
      </x:c>
      <x:c r="G732" t="n">
        <x:v>64</x:v>
      </x:c>
      <x:c r="H732" t="str">
        <x:v>Entre $1,5 M y $3 M</x:v>
      </x:c>
      <x:c r="I732" t="str">
        <x:v>Alianzas</x:v>
      </x:c>
      <x:c r="J732" t="n">
        <x:v>2</x:v>
      </x:c>
      <x:c r="K732" t="n">
        <x:v>0</x:v>
      </x:c>
      <x:c r="L732" t="n">
        <x:v>12798430.58</x:v>
      </x:c>
      <x:c r="M732" t="n">
        <x:v>1505900</x:v>
      </x:c>
      <x:c r="N732" t="n">
        <x:v>2</x:v>
      </x:c>
      <x:c r="O732" t="n">
        <x:v>0</x:v>
      </x:c>
      <x:c r="P732" t="n">
        <x:v>4</x:v>
      </x:c>
    </x:row>
    <x:row r="733">
      <x:c r="A733" t="str">
        <x:v>2025-07</x:v>
      </x:c>
      <x:c r="B733" t="str">
        <x:v>USR-00103</x:v>
      </x:c>
      <x:c r="C733" t="str">
        <x:v>Cero</x:v>
      </x:c>
      <x:c r="D733" t="str">
        <x:v>Gratuita</x:v>
      </x:c>
      <x:c r="E733" t="str">
        <x:v>Medellín</x:v>
      </x:c>
      <x:c r="F733" t="str">
        <x:v>Antioquia</x:v>
      </x:c>
      <x:c r="G733" t="n">
        <x:v>32</x:v>
      </x:c>
      <x:c r="H733" t="str">
        <x:v>Menos de $1,5 M</x:v>
      </x:c>
      <x:c r="I733" t="str">
        <x:v>Alianzas</x:v>
      </x:c>
      <x:c r="J733" t="n">
        <x:v>2</x:v>
      </x:c>
      <x:c r="K733" t="n">
        <x:v>0</x:v>
      </x:c>
      <x:c r="L733" t="n">
        <x:v>14647525.59</x:v>
      </x:c>
      <x:c r="M733" t="n">
        <x:v>1447600</x:v>
      </x:c>
      <x:c r="N733" t="n">
        <x:v>2</x:v>
      </x:c>
      <x:c r="O733" t="n">
        <x:v>0</x:v>
      </x:c>
      <x:c r="P733" t="n">
        <x:v>4</x:v>
      </x:c>
    </x:row>
    <x:row r="734">
      <x:c r="A734" t="str">
        <x:v>2025-07</x:v>
      </x:c>
      <x:c r="B734" t="str">
        <x:v>USR-00104</x:v>
      </x:c>
      <x:c r="C734" t="str">
        <x:v>Cero</x:v>
      </x:c>
      <x:c r="D734" t="str">
        <x:v>Gratuita</x:v>
      </x:c>
      <x:c r="E734" t="str">
        <x:v>Bogotá</x:v>
      </x:c>
      <x:c r="F734" t="str">
        <x:v>Bogotá D.C.</x:v>
      </x:c>
      <x:c r="G734" t="n">
        <x:v>50</x:v>
      </x:c>
      <x:c r="H734" t="str">
        <x:v>Entre $3 M y $5 M</x:v>
      </x:c>
      <x:c r="I734" t="str">
        <x:v>Referidos</x:v>
      </x:c>
      <x:c r="J734" t="n">
        <x:v>2</x:v>
      </x:c>
      <x:c r="K734" t="n">
        <x:v>0</x:v>
      </x:c>
      <x:c r="L734" t="n">
        <x:v>18916664.09</x:v>
      </x:c>
      <x:c r="M734" t="n">
        <x:v>0</x:v>
      </x:c>
      <x:c r="N734" t="n">
        <x:v>0</x:v>
      </x:c>
      <x:c r="O734" t="n">
        <x:v>0</x:v>
      </x:c>
      <x:c r="P734" t="n">
        <x:v>4</x:v>
      </x:c>
    </x:row>
    <x:row r="735">
      <x:c r="A735" t="str">
        <x:v>2025-07</x:v>
      </x:c>
      <x:c r="B735" t="str">
        <x:v>USR-00105</x:v>
      </x:c>
      <x:c r="C735" t="str">
        <x:v>Cero</x:v>
      </x:c>
      <x:c r="D735" t="str">
        <x:v>Gratuita</x:v>
      </x:c>
      <x:c r="E735" t="str">
        <x:v>Bucaramanga</x:v>
      </x:c>
      <x:c r="F735" t="str">
        <x:v>Santander</x:v>
      </x:c>
      <x:c r="G735" t="n">
        <x:v>44</x:v>
      </x:c>
      <x:c r="H735" t="str">
        <x:v>Entre $3 M y $5 M</x:v>
      </x:c>
      <x:c r="I735" t="str">
        <x:v>Orgánico</x:v>
      </x:c>
      <x:c r="J735" t="n">
        <x:v>1</x:v>
      </x:c>
      <x:c r="K735" t="n">
        <x:v>0</x:v>
      </x:c>
      <x:c r="L735" t="n">
        <x:v>1905125.48</x:v>
      </x:c>
      <x:c r="M735" t="n">
        <x:v>0</x:v>
      </x:c>
      <x:c r="N735" t="n">
        <x:v>0</x:v>
      </x:c>
      <x:c r="O735" t="n">
        <x:v>0</x:v>
      </x:c>
      <x:c r="P735" t="n">
        <x:v>4</x:v>
      </x:c>
    </x:row>
    <x:row r="736">
      <x:c r="A736" t="str">
        <x:v>2025-07</x:v>
      </x:c>
      <x:c r="B736" t="str">
        <x:v>USR-00106</x:v>
      </x:c>
      <x:c r="C736" t="str">
        <x:v>Cero</x:v>
      </x:c>
      <x:c r="D736" t="str">
        <x:v>Gratuita</x:v>
      </x:c>
      <x:c r="E736" t="str">
        <x:v>Cartagena</x:v>
      </x:c>
      <x:c r="F736" t="str">
        <x:v>Bolívar</x:v>
      </x:c>
      <x:c r="G736" t="n">
        <x:v>29</x:v>
      </x:c>
      <x:c r="H736" t="str">
        <x:v>Menos de $1,5 M</x:v>
      </x:c>
      <x:c r="I736" t="str">
        <x:v>Redes sociales</x:v>
      </x:c>
      <x:c r="J736" t="n">
        <x:v>2</x:v>
      </x:c>
      <x:c r="K736" t="n">
        <x:v>0</x:v>
      </x:c>
      <x:c r="L736" t="n">
        <x:v>8281974.66</x:v>
      </x:c>
      <x:c r="M736" t="n">
        <x:v>89800</x:v>
      </x:c>
      <x:c r="N736" t="n">
        <x:v>1</x:v>
      </x:c>
      <x:c r="O736" t="n">
        <x:v>0</x:v>
      </x:c>
      <x:c r="P736" t="n">
        <x:v>4</x:v>
      </x:c>
    </x:row>
    <x:row r="737">
      <x:c r="A737" t="str">
        <x:v>2025-07</x:v>
      </x:c>
      <x:c r="B737" t="str">
        <x:v>USR-00107</x:v>
      </x:c>
      <x:c r="C737" t="str">
        <x:v>Cero</x:v>
      </x:c>
      <x:c r="D737" t="str">
        <x:v>Gratuita</x:v>
      </x:c>
      <x:c r="E737" t="str">
        <x:v>Medellín</x:v>
      </x:c>
      <x:c r="F737" t="str">
        <x:v>Antioquia</x:v>
      </x:c>
      <x:c r="G737" t="n">
        <x:v>63</x:v>
      </x:c>
      <x:c r="H737" t="str">
        <x:v>Más de $5 M</x:v>
      </x:c>
      <x:c r="I737" t="str">
        <x:v>Referidos</x:v>
      </x:c>
      <x:c r="J737" t="n">
        <x:v>2</x:v>
      </x:c>
      <x:c r="K737" t="n">
        <x:v>0</x:v>
      </x:c>
      <x:c r="L737" t="n">
        <x:v>12166620.91</x:v>
      </x:c>
      <x:c r="M737" t="n">
        <x:v>125800</x:v>
      </x:c>
      <x:c r="N737" t="n">
        <x:v>1</x:v>
      </x:c>
      <x:c r="O737" t="n">
        <x:v>0</x:v>
      </x:c>
      <x:c r="P737" t="n">
        <x:v>4</x:v>
      </x:c>
    </x:row>
    <x:row r="738">
      <x:c r="A738" t="str">
        <x:v>2025-07</x:v>
      </x:c>
      <x:c r="B738" t="str">
        <x:v>USR-00108</x:v>
      </x:c>
      <x:c r="C738" t="str">
        <x:v>Cero</x:v>
      </x:c>
      <x:c r="D738" t="str">
        <x:v>Gratuita</x:v>
      </x:c>
      <x:c r="E738" t="str">
        <x:v>Medellín</x:v>
      </x:c>
      <x:c r="F738" t="str">
        <x:v>Antioquia</x:v>
      </x:c>
      <x:c r="G738" t="n">
        <x:v>35</x:v>
      </x:c>
      <x:c r="H738" t="str">
        <x:v>Menos de $1,5 M</x:v>
      </x:c>
      <x:c r="I738" t="str">
        <x:v>Orgánico</x:v>
      </x:c>
      <x:c r="J738" t="n">
        <x:v>2</x:v>
      </x:c>
      <x:c r="K738" t="n">
        <x:v>0</x:v>
      </x:c>
      <x:c r="L738" t="n">
        <x:v>19462476.82</x:v>
      </x:c>
      <x:c r="M738" t="n">
        <x:v>2085200</x:v>
      </x:c>
      <x:c r="N738" t="n">
        <x:v>2</x:v>
      </x:c>
      <x:c r="O738" t="n">
        <x:v>0</x:v>
      </x:c>
      <x:c r="P738" t="n">
        <x:v>4</x:v>
      </x:c>
    </x:row>
    <x:row r="739">
      <x:c r="A739" t="str">
        <x:v>2025-07</x:v>
      </x:c>
      <x:c r="B739" t="str">
        <x:v>USR-00109</x:v>
      </x:c>
      <x:c r="C739" t="str">
        <x:v>Cero</x:v>
      </x:c>
      <x:c r="D739" t="str">
        <x:v>Gratuita</x:v>
      </x:c>
      <x:c r="E739" t="str">
        <x:v>Cali</x:v>
      </x:c>
      <x:c r="F739" t="str">
        <x:v>Valle del Cauca</x:v>
      </x:c>
      <x:c r="G739" t="n">
        <x:v>61</x:v>
      </x:c>
      <x:c r="H739" t="str">
        <x:v>Menos de $1,5 M</x:v>
      </x:c>
      <x:c r="I739" t="str">
        <x:v>Redes sociales</x:v>
      </x:c>
      <x:c r="J739" t="n">
        <x:v>2</x:v>
      </x:c>
      <x:c r="K739" t="n">
        <x:v>0</x:v>
      </x:c>
      <x:c r="L739" t="n">
        <x:v>60307702.29</x:v>
      </x:c>
      <x:c r="M739" t="n">
        <x:v>1268600</x:v>
      </x:c>
      <x:c r="N739" t="n">
        <x:v>1</x:v>
      </x:c>
      <x:c r="O739" t="n">
        <x:v>0</x:v>
      </x:c>
      <x:c r="P739" t="n">
        <x:v>4</x:v>
      </x:c>
    </x:row>
    <x:row r="740">
      <x:c r="A740" t="str">
        <x:v>2025-07</x:v>
      </x:c>
      <x:c r="B740" t="str">
        <x:v>USR-00110</x:v>
      </x:c>
      <x:c r="C740" t="str">
        <x:v>Cero</x:v>
      </x:c>
      <x:c r="D740" t="str">
        <x:v>Gratuita</x:v>
      </x:c>
      <x:c r="E740" t="str">
        <x:v>Barranquilla</x:v>
      </x:c>
      <x:c r="F740" t="str">
        <x:v>Atlántico</x:v>
      </x:c>
      <x:c r="G740" t="n">
        <x:v>50</x:v>
      </x:c>
      <x:c r="H740" t="str">
        <x:v>Más de $5 M</x:v>
      </x:c>
      <x:c r="I740" t="str">
        <x:v>Alianzas</x:v>
      </x:c>
      <x:c r="J740" t="n">
        <x:v>1</x:v>
      </x:c>
      <x:c r="K740" t="n">
        <x:v>0</x:v>
      </x:c>
      <x:c r="L740" t="n">
        <x:v>6448919.11</x:v>
      </x:c>
      <x:c r="M740" t="n">
        <x:v>390000</x:v>
      </x:c>
      <x:c r="N740" t="n">
        <x:v>1</x:v>
      </x:c>
      <x:c r="O740" t="n">
        <x:v>0</x:v>
      </x:c>
      <x:c r="P740" t="n">
        <x:v>4</x:v>
      </x:c>
    </x:row>
    <x:row r="741">
      <x:c r="A741" t="str">
        <x:v>2025-07</x:v>
      </x:c>
      <x:c r="B741" t="str">
        <x:v>USR-00111</x:v>
      </x:c>
      <x:c r="C741" t="str">
        <x:v>Cero</x:v>
      </x:c>
      <x:c r="D741" t="str">
        <x:v>Gratuita</x:v>
      </x:c>
      <x:c r="E741" t="str">
        <x:v>Bogotá</x:v>
      </x:c>
      <x:c r="F741" t="str">
        <x:v>Bogotá D.C.</x:v>
      </x:c>
      <x:c r="G741" t="n">
        <x:v>38</x:v>
      </x:c>
      <x:c r="H741" t="str">
        <x:v>Menos de $1,5 M</x:v>
      </x:c>
      <x:c r="I741" t="str">
        <x:v>Redes sociales</x:v>
      </x:c>
      <x:c r="J741" t="n">
        <x:v>2</x:v>
      </x:c>
      <x:c r="K741" t="n">
        <x:v>0</x:v>
      </x:c>
      <x:c r="L741" t="n">
        <x:v>24245634.01</x:v>
      </x:c>
      <x:c r="M741" t="n">
        <x:v>1113400</x:v>
      </x:c>
      <x:c r="N741" t="n">
        <x:v>2</x:v>
      </x:c>
      <x:c r="O741" t="n">
        <x:v>0</x:v>
      </x:c>
      <x:c r="P741" t="n">
        <x:v>4</x:v>
      </x:c>
    </x:row>
    <x:row r="742">
      <x:c r="A742" t="str">
        <x:v>2025-07</x:v>
      </x:c>
      <x:c r="B742" t="str">
        <x:v>USR-00112</x:v>
      </x:c>
      <x:c r="C742" t="str">
        <x:v>Cero</x:v>
      </x:c>
      <x:c r="D742" t="str">
        <x:v>Gratuita</x:v>
      </x:c>
      <x:c r="E742" t="str">
        <x:v>Medellín</x:v>
      </x:c>
      <x:c r="F742" t="str">
        <x:v>Antioquia</x:v>
      </x:c>
      <x:c r="G742" t="n">
        <x:v>35</x:v>
      </x:c>
      <x:c r="H742" t="str">
        <x:v>Entre $1,5 M y $3 M</x:v>
      </x:c>
      <x:c r="I742" t="str">
        <x:v>Referidos</x:v>
      </x:c>
      <x:c r="J742" t="n">
        <x:v>1</x:v>
      </x:c>
      <x:c r="K742" t="n">
        <x:v>0</x:v>
      </x:c>
      <x:c r="L742" t="n">
        <x:v>3202039.94</x:v>
      </x:c>
      <x:c r="M742" t="n">
        <x:v>446800</x:v>
      </x:c>
      <x:c r="N742" t="n">
        <x:v>1</x:v>
      </x:c>
      <x:c r="O742" t="n">
        <x:v>0</x:v>
      </x:c>
      <x:c r="P742" t="n">
        <x:v>4</x:v>
      </x:c>
    </x:row>
    <x:row r="743">
      <x:c r="A743" t="str">
        <x:v>2025-07</x:v>
      </x:c>
      <x:c r="B743" t="str">
        <x:v>USR-00113</x:v>
      </x:c>
      <x:c r="C743" t="str">
        <x:v>Cero</x:v>
      </x:c>
      <x:c r="D743" t="str">
        <x:v>Gratuita</x:v>
      </x:c>
      <x:c r="E743" t="str">
        <x:v>Barranquilla</x:v>
      </x:c>
      <x:c r="F743" t="str">
        <x:v>Atlántico</x:v>
      </x:c>
      <x:c r="G743" t="n">
        <x:v>64</x:v>
      </x:c>
      <x:c r="H743" t="str">
        <x:v>Entre $1,5 M y $3 M</x:v>
      </x:c>
      <x:c r="I743" t="str">
        <x:v>Redes sociales</x:v>
      </x:c>
      <x:c r="J743" t="n">
        <x:v>1</x:v>
      </x:c>
      <x:c r="K743" t="n">
        <x:v>0</x:v>
      </x:c>
      <x:c r="L743" t="n">
        <x:v>1927387.39</x:v>
      </x:c>
      <x:c r="M743" t="n">
        <x:v>76000</x:v>
      </x:c>
      <x:c r="N743" t="n">
        <x:v>1</x:v>
      </x:c>
      <x:c r="O743" t="n">
        <x:v>0</x:v>
      </x:c>
      <x:c r="P743" t="n">
        <x:v>4</x:v>
      </x:c>
    </x:row>
    <x:row r="744">
      <x:c r="A744" t="str">
        <x:v>2025-07</x:v>
      </x:c>
      <x:c r="B744" t="str">
        <x:v>USR-00114</x:v>
      </x:c>
      <x:c r="C744" t="str">
        <x:v>Cero</x:v>
      </x:c>
      <x:c r="D744" t="str">
        <x:v>Gratuita</x:v>
      </x:c>
      <x:c r="E744" t="str">
        <x:v>Bogotá</x:v>
      </x:c>
      <x:c r="F744" t="str">
        <x:v>Bogotá D.C.</x:v>
      </x:c>
      <x:c r="G744" t="n">
        <x:v>20</x:v>
      </x:c>
      <x:c r="H744" t="str">
        <x:v>Entre $3 M y $5 M</x:v>
      </x:c>
      <x:c r="I744" t="str">
        <x:v>Redes sociales</x:v>
      </x:c>
      <x:c r="J744" t="n">
        <x:v>2</x:v>
      </x:c>
      <x:c r="K744" t="n">
        <x:v>0</x:v>
      </x:c>
      <x:c r="L744" t="n">
        <x:v>11959224.81</x:v>
      </x:c>
      <x:c r="M744" t="n">
        <x:v>0</x:v>
      </x:c>
      <x:c r="N744" t="n">
        <x:v>0</x:v>
      </x:c>
      <x:c r="O744" t="n">
        <x:v>0</x:v>
      </x:c>
      <x:c r="P744" t="n">
        <x:v>4</x:v>
      </x:c>
    </x:row>
    <x:row r="745">
      <x:c r="A745" t="str">
        <x:v>2025-07</x:v>
      </x:c>
      <x:c r="B745" t="str">
        <x:v>USR-00115</x:v>
      </x:c>
      <x:c r="C745" t="str">
        <x:v>Cero</x:v>
      </x:c>
      <x:c r="D745" t="str">
        <x:v>Gratuita</x:v>
      </x:c>
      <x:c r="E745" t="str">
        <x:v>Cali</x:v>
      </x:c>
      <x:c r="F745" t="str">
        <x:v>Valle del Cauca</x:v>
      </x:c>
      <x:c r="G745" t="n">
        <x:v>59</x:v>
      </x:c>
      <x:c r="H745" t="str">
        <x:v>Entre $3 M y $5 M</x:v>
      </x:c>
      <x:c r="I745" t="str">
        <x:v>Contenido educativo</x:v>
      </x:c>
      <x:c r="J745" t="n">
        <x:v>2</x:v>
      </x:c>
      <x:c r="K745" t="n">
        <x:v>0</x:v>
      </x:c>
      <x:c r="L745" t="n">
        <x:v>33945452.04</x:v>
      </x:c>
      <x:c r="M745" t="n">
        <x:v>2153200</x:v>
      </x:c>
      <x:c r="N745" t="n">
        <x:v>2</x:v>
      </x:c>
      <x:c r="O745" t="n">
        <x:v>0</x:v>
      </x:c>
      <x:c r="P745" t="n">
        <x:v>4</x:v>
      </x:c>
    </x:row>
    <x:row r="746">
      <x:c r="A746" t="str">
        <x:v>2025-07</x:v>
      </x:c>
      <x:c r="B746" t="str">
        <x:v>USR-00116</x:v>
      </x:c>
      <x:c r="C746" t="str">
        <x:v>Cero</x:v>
      </x:c>
      <x:c r="D746" t="str">
        <x:v>Gratuita</x:v>
      </x:c>
      <x:c r="E746" t="str">
        <x:v>Medellín</x:v>
      </x:c>
      <x:c r="F746" t="str">
        <x:v>Antioquia</x:v>
      </x:c>
      <x:c r="G746" t="n">
        <x:v>56</x:v>
      </x:c>
      <x:c r="H746" t="str">
        <x:v>Entre $1,5 M y $3 M</x:v>
      </x:c>
      <x:c r="I746" t="str">
        <x:v>Alianzas</x:v>
      </x:c>
      <x:c r="J746" t="n">
        <x:v>1</x:v>
      </x:c>
      <x:c r="K746" t="n">
        <x:v>0</x:v>
      </x:c>
      <x:c r="L746" t="n">
        <x:v>5591343.51</x:v>
      </x:c>
      <x:c r="M746" t="n">
        <x:v>164600</x:v>
      </x:c>
      <x:c r="N746" t="n">
        <x:v>1</x:v>
      </x:c>
      <x:c r="O746" t="n">
        <x:v>0</x:v>
      </x:c>
      <x:c r="P746" t="n">
        <x:v>4</x:v>
      </x:c>
    </x:row>
    <x:row r="747">
      <x:c r="A747" t="str">
        <x:v>2025-07</x:v>
      </x:c>
      <x:c r="B747" t="str">
        <x:v>USR-00117</x:v>
      </x:c>
      <x:c r="C747" t="str">
        <x:v>Cero</x:v>
      </x:c>
      <x:c r="D747" t="str">
        <x:v>Gratuita</x:v>
      </x:c>
      <x:c r="E747" t="str">
        <x:v>Bogotá</x:v>
      </x:c>
      <x:c r="F747" t="str">
        <x:v>Bogotá D.C.</x:v>
      </x:c>
      <x:c r="G747" t="n">
        <x:v>56</x:v>
      </x:c>
      <x:c r="H747" t="str">
        <x:v>Menos de $1,5 M</x:v>
      </x:c>
      <x:c r="I747" t="str">
        <x:v>Orgánico</x:v>
      </x:c>
      <x:c r="J747" t="n">
        <x:v>2</x:v>
      </x:c>
      <x:c r="K747" t="n">
        <x:v>0</x:v>
      </x:c>
      <x:c r="L747" t="n">
        <x:v>10728930.63</x:v>
      </x:c>
      <x:c r="M747" t="n">
        <x:v>0</x:v>
      </x:c>
      <x:c r="N747" t="n">
        <x:v>0</x:v>
      </x:c>
      <x:c r="O747" t="n">
        <x:v>0</x:v>
      </x:c>
      <x:c r="P747" t="n">
        <x:v>4</x:v>
      </x:c>
    </x:row>
    <x:row r="748">
      <x:c r="A748" t="str">
        <x:v>2025-07</x:v>
      </x:c>
      <x:c r="B748" t="str">
        <x:v>USR-00118</x:v>
      </x:c>
      <x:c r="C748" t="str">
        <x:v>Cero</x:v>
      </x:c>
      <x:c r="D748" t="str">
        <x:v>Gratuita</x:v>
      </x:c>
      <x:c r="E748" t="str">
        <x:v>Bogotá</x:v>
      </x:c>
      <x:c r="F748" t="str">
        <x:v>Bogotá D.C.</x:v>
      </x:c>
      <x:c r="G748" t="n">
        <x:v>39</x:v>
      </x:c>
      <x:c r="H748" t="str">
        <x:v>Entre $1,5 M y $3 M</x:v>
      </x:c>
      <x:c r="I748" t="str">
        <x:v>Orgánico</x:v>
      </x:c>
      <x:c r="J748" t="n">
        <x:v>1</x:v>
      </x:c>
      <x:c r="K748" t="n">
        <x:v>0</x:v>
      </x:c>
      <x:c r="L748" t="n">
        <x:v>10671439.36</x:v>
      </x:c>
      <x:c r="M748" t="n">
        <x:v>613800</x:v>
      </x:c>
      <x:c r="N748" t="n">
        <x:v>1</x:v>
      </x:c>
      <x:c r="O748" t="n">
        <x:v>0</x:v>
      </x:c>
      <x:c r="P748" t="n">
        <x:v>4</x:v>
      </x:c>
    </x:row>
    <x:row r="749">
      <x:c r="A749" t="str">
        <x:v>2025-07</x:v>
      </x:c>
      <x:c r="B749" t="str">
        <x:v>USR-00119</x:v>
      </x:c>
      <x:c r="C749" t="str">
        <x:v>Cero</x:v>
      </x:c>
      <x:c r="D749" t="str">
        <x:v>Gratuita</x:v>
      </x:c>
      <x:c r="E749" t="str">
        <x:v>Bogotá</x:v>
      </x:c>
      <x:c r="F749" t="str">
        <x:v>Bogotá D.C.</x:v>
      </x:c>
      <x:c r="G749" t="n">
        <x:v>53</x:v>
      </x:c>
      <x:c r="H749" t="str">
        <x:v>Entre $1,5 M y $3 M</x:v>
      </x:c>
      <x:c r="I749" t="str">
        <x:v>Búsqueda paga</x:v>
      </x:c>
      <x:c r="J749" t="n">
        <x:v>2</x:v>
      </x:c>
      <x:c r="K749" t="n">
        <x:v>0</x:v>
      </x:c>
      <x:c r="L749" t="n">
        <x:v>18070704.67</x:v>
      </x:c>
      <x:c r="M749" t="n">
        <x:v>226200</x:v>
      </x:c>
      <x:c r="N749" t="n">
        <x:v>1</x:v>
      </x:c>
      <x:c r="O749" t="n">
        <x:v>0</x:v>
      </x:c>
      <x:c r="P749" t="n">
        <x:v>4</x:v>
      </x:c>
    </x:row>
    <x:row r="750">
      <x:c r="A750" t="str">
        <x:v>2025-07</x:v>
      </x:c>
      <x:c r="B750" t="str">
        <x:v>USR-00120</x:v>
      </x:c>
      <x:c r="C750" t="str">
        <x:v>Plus anual</x:v>
      </x:c>
      <x:c r="D750" t="str">
        <x:v>Pago</x:v>
      </x:c>
      <x:c r="E750" t="str">
        <x:v>Bogotá</x:v>
      </x:c>
      <x:c r="F750" t="str">
        <x:v>Bogotá D.C.</x:v>
      </x:c>
      <x:c r="G750" t="n">
        <x:v>54</x:v>
      </x:c>
      <x:c r="H750" t="str">
        <x:v>Más de $5 M</x:v>
      </x:c>
      <x:c r="I750" t="str">
        <x:v>Orgánico</x:v>
      </x:c>
      <x:c r="J750" t="n">
        <x:v>2</x:v>
      </x:c>
      <x:c r="K750" t="n">
        <x:v>0</x:v>
      </x:c>
      <x:c r="L750" t="n">
        <x:v>15677681.74</x:v>
      </x:c>
      <x:c r="M750" t="n">
        <x:v>850900</x:v>
      </x:c>
      <x:c r="N750" t="n">
        <x:v>2</x:v>
      </x:c>
      <x:c r="O750" t="n">
        <x:v>24916.67</x:v>
      </x:c>
      <x:c r="P750" t="n">
        <x:v>4</x:v>
      </x:c>
    </x:row>
    <x:row r="751">
      <x:c r="A751" t="str">
        <x:v>2025-07</x:v>
      </x:c>
      <x:c r="B751" t="str">
        <x:v>USR-00121</x:v>
      </x:c>
      <x:c r="C751" t="str">
        <x:v>Plus mensual</x:v>
      </x:c>
      <x:c r="D751" t="str">
        <x:v>Pago</x:v>
      </x:c>
      <x:c r="E751" t="str">
        <x:v>Bogotá</x:v>
      </x:c>
      <x:c r="F751" t="str">
        <x:v>Bogotá D.C.</x:v>
      </x:c>
      <x:c r="G751" t="n">
        <x:v>59</x:v>
      </x:c>
      <x:c r="H751" t="str">
        <x:v>Menos de $1,5 M</x:v>
      </x:c>
      <x:c r="I751" t="str">
        <x:v>Orgánico</x:v>
      </x:c>
      <x:c r="J751" t="n">
        <x:v>2</x:v>
      </x:c>
      <x:c r="K751" t="n">
        <x:v>0</x:v>
      </x:c>
      <x:c r="L751" t="n">
        <x:v>19964063.18</x:v>
      </x:c>
      <x:c r="M751" t="n">
        <x:v>94600</x:v>
      </x:c>
      <x:c r="N751" t="n">
        <x:v>1</x:v>
      </x:c>
      <x:c r="O751" t="n">
        <x:v>29900</x:v>
      </x:c>
      <x:c r="P751" t="n">
        <x:v>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5" hidden="0" customWidth="1"/>
    <x:col min="4" max="4" width="20" hidden="0" customWidth="1"/>
    <x:col min="5" max="5" width="15" hidden="0" customWidth="1"/>
    <x:col min="6" max="6" width="22" hidden="0" customWidth="1"/>
    <x:col min="7" max="7" width="22" hidden="0" customWidth="1"/>
    <x:col min="8" max="8" width="24" hidden="0" customWidth="1"/>
    <x:col min="9" max="9" width="23" hidden="0" customWidth="1"/>
    <x:col min="10" max="10" width="23" hidden="0" customWidth="1"/>
    <x:col min="11" max="11" width="13" hidden="0" customWidth="1"/>
    <x:col min="12" max="12" width="15" hidden="0" customWidth="1"/>
    <x:col min="13" max="13" width="18" hidden="0" customWidth="1"/>
    <x:col min="14" max="14" width="15" hidden="0" customWidth="1"/>
  </x:cols>
  <x:sheetData>
    <x:row r="1" ht="34" customHeight="1">
      <x:c r="A1" s="36" t="str">
        <x:v>deuda_id</x:v>
      </x:c>
      <x:c r="B1" s="36" t="str">
        <x:v>usuario_id</x:v>
      </x:c>
      <x:c r="C1" s="36" t="str">
        <x:v>fecha_apertura</x:v>
      </x:c>
      <x:c r="D1" s="36" t="str">
        <x:v>acreedor_ficticio</x:v>
      </x:c>
      <x:c r="E1" s="36" t="str">
        <x:v>tipo_credito</x:v>
      </x:c>
      <x:c r="F1" s="36" t="str">
        <x:v>capital_inicial_cop</x:v>
      </x:c>
      <x:c r="G1" s="36" t="str">
        <x:v>tasa_efectiva_anual</x:v>
      </x:c>
      <x:c r="H1" s="36" t="str">
        <x:v>tasa_mensual_efectiva</x:v>
      </x:c>
      <x:c r="I1" s="36" t="str">
        <x:v>plazo_estimado_meses</x:v>
      </x:c>
      <x:c r="J1" s="36" t="str">
        <x:v>cuota_referencia_cop</x:v>
      </x:c>
      <x:c r="K1" s="36" t="str">
        <x:v>estrategia</x:v>
      </x:c>
      <x:c r="L1" s="36" t="str">
        <x:v>estado_final</x:v>
      </x:c>
      <x:c r="M1" s="36" t="str">
        <x:v>saldo_final_cop</x:v>
      </x:c>
      <x:c r="N1" s="36" t="str">
        <x:v>fecha_cierre</x:v>
      </x:c>
    </x:row>
    <x:row r="2">
      <x:c r="A2" t="str">
        <x:v>DEU-000001</x:v>
      </x:c>
      <x:c r="B2" t="str">
        <x:v>USR-00001</x:v>
      </x:c>
      <x:c r="C2" t="n">
        <x:v>45658</x:v>
      </x:c>
      <x:c r="D2" t="str">
        <x:v>Entidad financiera A</x:v>
      </x:c>
      <x:c r="E2" t="str">
        <x:v>Crédito de consumo</x:v>
      </x:c>
      <x:c r="F2" t="n">
        <x:v>17720000</x:v>
      </x:c>
      <x:c r="G2" s="40" t="n">
        <x:v>0.1703</x:v>
      </x:c>
      <x:c r="H2" s="40" t="n">
        <x:v>0.013191</x:v>
      </x:c>
      <x:c r="I2" t="n">
        <x:v>36</x:v>
      </x:c>
      <x:c r="J2" t="n">
        <x:v>621500</x:v>
      </x:c>
      <x:c r="K2" t="str">
        <x:v>Avalancha</x:v>
      </x:c>
      <x:c r="L2" t="str">
        <x:v>Vigente</x:v>
      </x:c>
      <x:c r="M2" t="n">
        <x:v>13149868.44</x:v>
      </x:c>
      <x:c r="N2"/>
    </x:row>
    <x:row r="3">
      <x:c r="A3" t="str">
        <x:v>DEU-000002</x:v>
      </x:c>
      <x:c r="B3" t="str">
        <x:v>USR-00002</x:v>
      </x:c>
      <x:c r="C3" t="n">
        <x:v>45658</x:v>
      </x:c>
      <x:c r="D3" t="str">
        <x:v>Cooperativa C</x:v>
      </x:c>
      <x:c r="E3" t="str">
        <x:v>Crédito de consumo</x:v>
      </x:c>
      <x:c r="F3" t="n">
        <x:v>14580000</x:v>
      </x:c>
      <x:c r="G3" s="40" t="n">
        <x:v>0.285</x:v>
      </x:c>
      <x:c r="H3" s="40" t="n">
        <x:v>0.021116</x:v>
      </x:c>
      <x:c r="I3" t="n">
        <x:v>18</x:v>
      </x:c>
      <x:c r="J3" t="n">
        <x:v>982100</x:v>
      </x:c>
      <x:c r="K3" t="str">
        <x:v>Bola de nieve</x:v>
      </x:c>
      <x:c r="L3" t="str">
        <x:v>Vigente</x:v>
      </x:c>
      <x:c r="M3" t="n">
        <x:v>4259997.97</x:v>
      </x:c>
      <x:c r="N3"/>
    </x:row>
    <x:row r="4">
      <x:c r="A4" t="str">
        <x:v>DEU-000003</x:v>
      </x:c>
      <x:c r="B4" t="str">
        <x:v>USR-00002</x:v>
      </x:c>
      <x:c r="C4" t="n">
        <x:v>45658</x:v>
      </x:c>
      <x:c r="D4" t="str">
        <x:v>Entidad financiera B</x:v>
      </x:c>
      <x:c r="E4" t="str">
        <x:v>Crédito de consumo</x:v>
      </x:c>
      <x:c r="F4" t="n">
        <x:v>18950000</x:v>
      </x:c>
      <x:c r="G4" s="40" t="n">
        <x:v>0.1199</x:v>
      </x:c>
      <x:c r="H4" s="40" t="n">
        <x:v>0.009481</x:v>
      </x:c>
      <x:c r="I4" t="n">
        <x:v>48</x:v>
      </x:c>
      <x:c r="J4" t="n">
        <x:v>493300</x:v>
      </x:c>
      <x:c r="K4" t="str">
        <x:v>Avalancha</x:v>
      </x:c>
      <x:c r="L4" t="str">
        <x:v>Vigente</x:v>
      </x:c>
      <x:c r="M4" t="n">
        <x:v>13591512.84</x:v>
      </x:c>
      <x:c r="N4"/>
    </x:row>
    <x:row r="5">
      <x:c r="A5" t="str">
        <x:v>DEU-000004</x:v>
      </x:c>
      <x:c r="B5" t="str">
        <x:v>USR-00003</x:v>
      </x:c>
      <x:c r="C5" t="n">
        <x:v>45658</x:v>
      </x:c>
      <x:c r="D5" t="str">
        <x:v>Entidad financiera E</x:v>
      </x:c>
      <x:c r="E5" t="str">
        <x:v>Tarjeta de crédito</x:v>
      </x:c>
      <x:c r="F5" t="n">
        <x:v>6910000</x:v>
      </x:c>
      <x:c r="G5" s="40" t="n">
        <x:v>0.2762</x:v>
      </x:c>
      <x:c r="H5" s="40" t="n">
        <x:v>0.020532</x:v>
      </x:c>
      <x:c r="I5" t="n">
        <x:v>18</x:v>
      </x:c>
      <x:c r="J5" t="n">
        <x:v>463100</x:v>
      </x:c>
      <x:c r="K5" t="str">
        <x:v>Avalancha</x:v>
      </x:c>
      <x:c r="L5" t="str">
        <x:v>Pagada</x:v>
      </x:c>
      <x:c r="M5" t="n">
        <x:v>0</x:v>
      </x:c>
      <x:c r="N5" t="n">
        <x:v>46235</x:v>
      </x:c>
    </x:row>
    <x:row r="6">
      <x:c r="A6" t="str">
        <x:v>DEU-000005</x:v>
      </x:c>
      <x:c r="B6" t="str">
        <x:v>USR-00003</x:v>
      </x:c>
      <x:c r="C6" t="n">
        <x:v>45658</x:v>
      </x:c>
      <x:c r="D6" t="str">
        <x:v>Financiera D</x:v>
      </x:c>
      <x:c r="E6" t="str">
        <x:v>Crédito de consumo</x:v>
      </x:c>
      <x:c r="F6" t="n">
        <x:v>14840000</x:v>
      </x:c>
      <x:c r="G6" s="40" t="n">
        <x:v>0.1894</x:v>
      </x:c>
      <x:c r="H6" s="40" t="n">
        <x:v>0.014559</x:v>
      </x:c>
      <x:c r="I6" t="n">
        <x:v>36</x:v>
      </x:c>
      <x:c r="J6" t="n">
        <x:v>532600</x:v>
      </x:c>
      <x:c r="K6" t="str">
        <x:v>Bola de nieve</x:v>
      </x:c>
      <x:c r="L6" t="str">
        <x:v>Vigente</x:v>
      </x:c>
      <x:c r="M6" t="n">
        <x:v>11742384.33</x:v>
      </x:c>
      <x:c r="N6"/>
    </x:row>
    <x:row r="7">
      <x:c r="A7" t="str">
        <x:v>DEU-000006</x:v>
      </x:c>
      <x:c r="B7" t="str">
        <x:v>USR-00004</x:v>
      </x:c>
      <x:c r="C7" t="n">
        <x:v>45658</x:v>
      </x:c>
      <x:c r="D7" t="str">
        <x:v>Entidad financiera A</x:v>
      </x:c>
      <x:c r="E7" t="str">
        <x:v>Tarjeta de crédito</x:v>
      </x:c>
      <x:c r="F7" t="n">
        <x:v>6290000</x:v>
      </x:c>
      <x:c r="G7" s="40" t="n">
        <x:v>0.2839</x:v>
      </x:c>
      <x:c r="H7" s="40" t="n">
        <x:v>0.021044</x:v>
      </x:c>
      <x:c r="I7" t="n">
        <x:v>48</x:v>
      </x:c>
      <x:c r="J7" t="n">
        <x:v>209400</x:v>
      </x:c>
      <x:c r="K7" t="str">
        <x:v>Bola de nieve</x:v>
      </x:c>
      <x:c r="L7" t="str">
        <x:v>Vigente</x:v>
      </x:c>
      <x:c r="M7" t="n">
        <x:v>4584829.25</x:v>
      </x:c>
      <x:c r="N7"/>
    </x:row>
    <x:row r="8">
      <x:c r="A8" t="str">
        <x:v>DEU-000007</x:v>
      </x:c>
      <x:c r="B8" t="str">
        <x:v>USR-00004</x:v>
      </x:c>
      <x:c r="C8" t="n">
        <x:v>45658</x:v>
      </x:c>
      <x:c r="D8" t="str">
        <x:v>Cooperativa C</x:v>
      </x:c>
      <x:c r="E8" t="str">
        <x:v>Crédito de consumo</x:v>
      </x:c>
      <x:c r="F8" t="n">
        <x:v>13220000</x:v>
      </x:c>
      <x:c r="G8" s="40" t="n">
        <x:v>0.1857</x:v>
      </x:c>
      <x:c r="H8" s="40" t="n">
        <x:v>0.014296</x:v>
      </x:c>
      <x:c r="I8" t="n">
        <x:v>24</x:v>
      </x:c>
      <x:c r="J8" t="n">
        <x:v>654600</x:v>
      </x:c>
      <x:c r="K8" t="str">
        <x:v>Bola de nieve</x:v>
      </x:c>
      <x:c r="L8" t="str">
        <x:v>Vigente</x:v>
      </x:c>
      <x:c r="M8" t="n">
        <x:v>2631549.63</x:v>
      </x:c>
      <x:c r="N8"/>
    </x:row>
    <x:row r="9">
      <x:c r="A9" t="str">
        <x:v>DEU-000008</x:v>
      </x:c>
      <x:c r="B9" t="str">
        <x:v>USR-00005</x:v>
      </x:c>
      <x:c r="C9" t="n">
        <x:v>45658</x:v>
      </x:c>
      <x:c r="D9" t="str">
        <x:v>Cooperativa C</x:v>
      </x:c>
      <x:c r="E9" t="str">
        <x:v>Crédito de consumo</x:v>
      </x:c>
      <x:c r="F9" t="n">
        <x:v>7130000</x:v>
      </x:c>
      <x:c r="G9" s="40" t="n">
        <x:v>0.216</x:v>
      </x:c>
      <x:c r="H9" s="40" t="n">
        <x:v>0.016431</x:v>
      </x:c>
      <x:c r="I9" t="n">
        <x:v>18</x:v>
      </x:c>
      <x:c r="J9" t="n">
        <x:v>460800</x:v>
      </x:c>
      <x:c r="K9" t="str">
        <x:v>Bola de nieve</x:v>
      </x:c>
      <x:c r="L9" t="str">
        <x:v>Vigente</x:v>
      </x:c>
      <x:c r="M9" t="n">
        <x:v>119768.2</x:v>
      </x:c>
      <x:c r="N9"/>
    </x:row>
    <x:row r="10">
      <x:c r="A10" t="str">
        <x:v>DEU-000009</x:v>
      </x:c>
      <x:c r="B10" t="str">
        <x:v>USR-00006</x:v>
      </x:c>
      <x:c r="C10" t="n">
        <x:v>45658</x:v>
      </x:c>
      <x:c r="D10" t="str">
        <x:v>Entidad financiera A</x:v>
      </x:c>
      <x:c r="E10" t="str">
        <x:v>Crédito de consumo</x:v>
      </x:c>
      <x:c r="F10" t="n">
        <x:v>12620000</x:v>
      </x:c>
      <x:c r="G10" s="40" t="n">
        <x:v>0.3188</x:v>
      </x:c>
      <x:c r="H10" s="40" t="n">
        <x:v>0.023328</x:v>
      </x:c>
      <x:c r="I10" t="n">
        <x:v>30</x:v>
      </x:c>
      <x:c r="J10" t="n">
        <x:v>589600</x:v>
      </x:c>
      <x:c r="K10" t="str">
        <x:v>Avalancha</x:v>
      </x:c>
      <x:c r="L10" t="str">
        <x:v>Vigente</x:v>
      </x:c>
      <x:c r="M10" t="n">
        <x:v>10503059.11</x:v>
      </x:c>
      <x:c r="N10"/>
    </x:row>
    <x:row r="11">
      <x:c r="A11" t="str">
        <x:v>DEU-000010</x:v>
      </x:c>
      <x:c r="B11" t="str">
        <x:v>USR-00007</x:v>
      </x:c>
      <x:c r="C11" t="n">
        <x:v>45658</x:v>
      </x:c>
      <x:c r="D11" t="str">
        <x:v>Cooperativa C</x:v>
      </x:c>
      <x:c r="E11" t="str">
        <x:v>Crédito de consumo</x:v>
      </x:c>
      <x:c r="F11" t="n">
        <x:v>8520000</x:v>
      </x:c>
      <x:c r="G11" s="40" t="n">
        <x:v>0.239</x:v>
      </x:c>
      <x:c r="H11" s="40" t="n">
        <x:v>0.018019</x:v>
      </x:c>
      <x:c r="I11" t="n">
        <x:v>24</x:v>
      </x:c>
      <x:c r="J11" t="n">
        <x:v>440400</x:v>
      </x:c>
      <x:c r="K11" t="str">
        <x:v>Avalancha</x:v>
      </x:c>
      <x:c r="L11" t="str">
        <x:v>Vigente</x:v>
      </x:c>
      <x:c r="M11" t="n">
        <x:v>5192461.85</x:v>
      </x:c>
      <x:c r="N11"/>
    </x:row>
    <x:row r="12">
      <x:c r="A12" t="str">
        <x:v>DEU-000011</x:v>
      </x:c>
      <x:c r="B12" t="str">
        <x:v>USR-00007</x:v>
      </x:c>
      <x:c r="C12" t="n">
        <x:v>45658</x:v>
      </x:c>
      <x:c r="D12" t="str">
        <x:v>Cooperativa C</x:v>
      </x:c>
      <x:c r="E12" t="str">
        <x:v>Crédito de libre inversión</x:v>
      </x:c>
      <x:c r="F12" t="n">
        <x:v>15280000</x:v>
      </x:c>
      <x:c r="G12" s="40" t="n">
        <x:v>0.2995</x:v>
      </x:c>
      <x:c r="H12" s="40" t="n">
        <x:v>0.022072</x:v>
      </x:c>
      <x:c r="I12" t="n">
        <x:v>24</x:v>
      </x:c>
      <x:c r="J12" t="n">
        <x:v>827000</x:v>
      </x:c>
      <x:c r="K12" t="str">
        <x:v>Avalancha</x:v>
      </x:c>
      <x:c r="L12" t="str">
        <x:v>Vigente</x:v>
      </x:c>
      <x:c r="M12" t="n">
        <x:v>8199551.95</x:v>
      </x:c>
      <x:c r="N12"/>
    </x:row>
    <x:row r="13">
      <x:c r="A13" t="str">
        <x:v>DEU-000012</x:v>
      </x:c>
      <x:c r="B13" t="str">
        <x:v>USR-00008</x:v>
      </x:c>
      <x:c r="C13" t="n">
        <x:v>45658</x:v>
      </x:c>
      <x:c r="D13" t="str">
        <x:v>Entidad financiera B</x:v>
      </x:c>
      <x:c r="E13" t="str">
        <x:v>Crédito de consumo</x:v>
      </x:c>
      <x:c r="F13" t="n">
        <x:v>15800000</x:v>
      </x:c>
      <x:c r="G13" s="40" t="n">
        <x:v>0.1444</x:v>
      </x:c>
      <x:c r="H13" s="40" t="n">
        <x:v>0.011303</x:v>
      </x:c>
      <x:c r="I13" t="n">
        <x:v>18</x:v>
      </x:c>
      <x:c r="J13" t="n">
        <x:v>975000</x:v>
      </x:c>
      <x:c r="K13" t="str">
        <x:v>Avalancha</x:v>
      </x:c>
      <x:c r="L13" t="str">
        <x:v>Vigente</x:v>
      </x:c>
      <x:c r="M13" t="n">
        <x:v>6641360.92</x:v>
      </x:c>
      <x:c r="N13"/>
    </x:row>
    <x:row r="14">
      <x:c r="A14" t="str">
        <x:v>DEU-000013</x:v>
      </x:c>
      <x:c r="B14" t="str">
        <x:v>USR-00008</x:v>
      </x:c>
      <x:c r="C14" t="n">
        <x:v>45658</x:v>
      </x:c>
      <x:c r="D14" t="str">
        <x:v>Cooperativa C</x:v>
      </x:c>
      <x:c r="E14" t="str">
        <x:v>Crédito de vehículo</x:v>
      </x:c>
      <x:c r="F14" t="n">
        <x:v>13580000</x:v>
      </x:c>
      <x:c r="G14" s="40" t="n">
        <x:v>0.1466</x:v>
      </x:c>
      <x:c r="H14" s="40" t="n">
        <x:v>0.011465</x:v>
      </x:c>
      <x:c r="I14" t="n">
        <x:v>24</x:v>
      </x:c>
      <x:c r="J14" t="n">
        <x:v>650500</x:v>
      </x:c>
      <x:c r="K14" t="str">
        <x:v>Avalancha</x:v>
      </x:c>
      <x:c r="L14" t="str">
        <x:v>Vigente</x:v>
      </x:c>
      <x:c r="M14" t="n">
        <x:v>6381963.24</x:v>
      </x:c>
      <x:c r="N14"/>
    </x:row>
    <x:row r="15">
      <x:c r="A15" t="str">
        <x:v>DEU-000014</x:v>
      </x:c>
      <x:c r="B15" t="str">
        <x:v>USR-00009</x:v>
      </x:c>
      <x:c r="C15" t="n">
        <x:v>45658</x:v>
      </x:c>
      <x:c r="D15" t="str">
        <x:v>Financiera D</x:v>
      </x:c>
      <x:c r="E15" t="str">
        <x:v>Crédito de consumo</x:v>
      </x:c>
      <x:c r="F15" t="n">
        <x:v>5790000</x:v>
      </x:c>
      <x:c r="G15" s="40" t="n">
        <x:v>0.3389</x:v>
      </x:c>
      <x:c r="H15" s="40" t="n">
        <x:v>0.024619</x:v>
      </x:c>
      <x:c r="I15" t="n">
        <x:v>48</x:v>
      </x:c>
      <x:c r="J15" t="n">
        <x:v>206900</x:v>
      </x:c>
      <x:c r="K15" t="str">
        <x:v>Bola de nieve</x:v>
      </x:c>
      <x:c r="L15" t="str">
        <x:v>Vigente</x:v>
      </x:c>
      <x:c r="M15" t="n">
        <x:v>5043093.73</x:v>
      </x:c>
      <x:c r="N15"/>
    </x:row>
    <x:row r="16">
      <x:c r="A16" t="str">
        <x:v>DEU-000015</x:v>
      </x:c>
      <x:c r="B16" t="str">
        <x:v>USR-00010</x:v>
      </x:c>
      <x:c r="C16" t="n">
        <x:v>45658</x:v>
      </x:c>
      <x:c r="D16" t="str">
        <x:v>Cooperativa C</x:v>
      </x:c>
      <x:c r="E16" t="str">
        <x:v>Crédito de libre inversión</x:v>
      </x:c>
      <x:c r="F16" t="n">
        <x:v>20150000</x:v>
      </x:c>
      <x:c r="G16" s="40" t="n">
        <x:v>0.3258</x:v>
      </x:c>
      <x:c r="H16" s="40" t="n">
        <x:v>0.02378</x:v>
      </x:c>
      <x:c r="I16" t="n">
        <x:v>24</x:v>
      </x:c>
      <x:c r="J16" t="n">
        <x:v>1111500</x:v>
      </x:c>
      <x:c r="K16" t="str">
        <x:v>Avalancha</x:v>
      </x:c>
      <x:c r="L16" t="str">
        <x:v>Vigente</x:v>
      </x:c>
      <x:c r="M16" t="n">
        <x:v>9232764.35</x:v>
      </x:c>
      <x:c r="N16"/>
    </x:row>
    <x:row r="17">
      <x:c r="A17" t="str">
        <x:v>DEU-000016</x:v>
      </x:c>
      <x:c r="B17" t="str">
        <x:v>USR-00010</x:v>
      </x:c>
      <x:c r="C17" t="n">
        <x:v>45658</x:v>
      </x:c>
      <x:c r="D17" t="str">
        <x:v>Entidad financiera E</x:v>
      </x:c>
      <x:c r="E17" t="str">
        <x:v>Crédito de consumo</x:v>
      </x:c>
      <x:c r="F17" t="n">
        <x:v>3040000</x:v>
      </x:c>
      <x:c r="G17" s="40" t="n">
        <x:v>0.3148</x:v>
      </x:c>
      <x:c r="H17" s="40" t="n">
        <x:v>0.023069</x:v>
      </x:c>
      <x:c r="I17" t="n">
        <x:v>60</x:v>
      </x:c>
      <x:c r="J17" t="n">
        <x:v>94100</x:v>
      </x:c>
      <x:c r="K17" t="str">
        <x:v>Bola de nieve</x:v>
      </x:c>
      <x:c r="L17" t="str">
        <x:v>Vigente</x:v>
      </x:c>
      <x:c r="M17" t="n">
        <x:v>2870184.56</x:v>
      </x:c>
      <x:c r="N17"/>
    </x:row>
    <x:row r="18">
      <x:c r="A18" t="str">
        <x:v>DEU-000017</x:v>
      </x:c>
      <x:c r="B18" t="str">
        <x:v>USR-00011</x:v>
      </x:c>
      <x:c r="C18" t="n">
        <x:v>45658</x:v>
      </x:c>
      <x:c r="D18" t="str">
        <x:v>Financiera D</x:v>
      </x:c>
      <x:c r="E18" t="str">
        <x:v>Crédito de consumo</x:v>
      </x:c>
      <x:c r="F18" t="n">
        <x:v>4610000</x:v>
      </x:c>
      <x:c r="G18" s="40" t="n">
        <x:v>0.2734</x:v>
      </x:c>
      <x:c r="H18" s="40" t="n">
        <x:v>0.020345</x:v>
      </x:c>
      <x:c r="I18" t="n">
        <x:v>12</x:v>
      </x:c>
      <x:c r="J18" t="n">
        <x:v>436800</x:v>
      </x:c>
      <x:c r="K18" t="str">
        <x:v>Bola de nieve</x:v>
      </x:c>
      <x:c r="L18" t="str">
        <x:v>Pagada</x:v>
      </x:c>
      <x:c r="M18" t="n">
        <x:v>0</x:v>
      </x:c>
      <x:c r="N18" t="n">
        <x:v>46204</x:v>
      </x:c>
    </x:row>
    <x:row r="19">
      <x:c r="A19" t="str">
        <x:v>DEU-000018</x:v>
      </x:c>
      <x:c r="B19" t="str">
        <x:v>USR-00011</x:v>
      </x:c>
      <x:c r="C19" t="n">
        <x:v>45658</x:v>
      </x:c>
      <x:c r="D19" t="str">
        <x:v>Entidad financiera E</x:v>
      </x:c>
      <x:c r="E19" t="str">
        <x:v>Crédito educativo</x:v>
      </x:c>
      <x:c r="F19" t="n">
        <x:v>19470000</x:v>
      </x:c>
      <x:c r="G19" s="40" t="n">
        <x:v>0.3358</x:v>
      </x:c>
      <x:c r="H19" s="40" t="n">
        <x:v>0.024421</x:v>
      </x:c>
      <x:c r="I19" t="n">
        <x:v>12</x:v>
      </x:c>
      <x:c r="J19" t="n">
        <x:v>1891400</x:v>
      </x:c>
      <x:c r="K19" t="str">
        <x:v>Avalancha</x:v>
      </x:c>
      <x:c r="L19" t="str">
        <x:v>Pagada</x:v>
      </x:c>
      <x:c r="M19" t="n">
        <x:v>0</x:v>
      </x:c>
      <x:c r="N19" t="n">
        <x:v>46204</x:v>
      </x:c>
    </x:row>
    <x:row r="20">
      <x:c r="A20" t="str">
        <x:v>DEU-000019</x:v>
      </x:c>
      <x:c r="B20" t="str">
        <x:v>USR-00012</x:v>
      </x:c>
      <x:c r="C20" t="n">
        <x:v>45658</x:v>
      </x:c>
      <x:c r="D20" t="str">
        <x:v>Entidad financiera B</x:v>
      </x:c>
      <x:c r="E20" t="str">
        <x:v>Crédito de consumo</x:v>
      </x:c>
      <x:c r="F20" t="n">
        <x:v>9980000</x:v>
      </x:c>
      <x:c r="G20" s="40" t="n">
        <x:v>0.2383</x:v>
      </x:c>
      <x:c r="H20" s="40" t="n">
        <x:v>0.017971</x:v>
      </x:c>
      <x:c r="I20" t="n">
        <x:v>30</x:v>
      </x:c>
      <x:c r="J20" t="n">
        <x:v>433300</x:v>
      </x:c>
      <x:c r="K20" t="str">
        <x:v>Bola de nieve</x:v>
      </x:c>
      <x:c r="L20" t="str">
        <x:v>Vigente</x:v>
      </x:c>
      <x:c r="M20" t="n">
        <x:v>5631285.97</x:v>
      </x:c>
      <x:c r="N20"/>
    </x:row>
    <x:row r="21">
      <x:c r="A21" t="str">
        <x:v>DEU-000020</x:v>
      </x:c>
      <x:c r="B21" t="str">
        <x:v>USR-00012</x:v>
      </x:c>
      <x:c r="C21" t="n">
        <x:v>45658</x:v>
      </x:c>
      <x:c r="D21" t="str">
        <x:v>Entidad financiera A</x:v>
      </x:c>
      <x:c r="E21" t="str">
        <x:v>Tarjeta de crédito</x:v>
      </x:c>
      <x:c r="F21" t="n">
        <x:v>7960000</x:v>
      </x:c>
      <x:c r="G21" s="40" t="n">
        <x:v>0.3273</x:v>
      </x:c>
      <x:c r="H21" s="40" t="n">
        <x:v>0.023876</x:v>
      </x:c>
      <x:c r="I21" t="n">
        <x:v>30</x:v>
      </x:c>
      <x:c r="J21" t="n">
        <x:v>374600</x:v>
      </x:c>
      <x:c r="K21" t="str">
        <x:v>Avalancha</x:v>
      </x:c>
      <x:c r="L21" t="str">
        <x:v>Vigente</x:v>
      </x:c>
      <x:c r="M21" t="n">
        <x:v>5491758.72</x:v>
      </x:c>
      <x:c r="N21"/>
    </x:row>
    <x:row r="22">
      <x:c r="A22" t="str">
        <x:v>DEU-000021</x:v>
      </x:c>
      <x:c r="B22" t="str">
        <x:v>USR-00013</x:v>
      </x:c>
      <x:c r="C22" t="n">
        <x:v>45658</x:v>
      </x:c>
      <x:c r="D22" t="str">
        <x:v>Entidad financiera A</x:v>
      </x:c>
      <x:c r="E22" t="str">
        <x:v>Crédito de vehículo</x:v>
      </x:c>
      <x:c r="F22" t="n">
        <x:v>44430000</x:v>
      </x:c>
      <x:c r="G22" s="40" t="n">
        <x:v>0.1993</x:v>
      </x:c>
      <x:c r="H22" s="40" t="n">
        <x:v>0.01526</x:v>
      </x:c>
      <x:c r="I22" t="n">
        <x:v>18</x:v>
      </x:c>
      <x:c r="J22" t="n">
        <x:v>2841500</x:v>
      </x:c>
      <x:c r="K22" t="str">
        <x:v>Bola de nieve</x:v>
      </x:c>
      <x:c r="L22" t="str">
        <x:v>Vigente</x:v>
      </x:c>
      <x:c r="M22" t="n">
        <x:v>13048356.6</x:v>
      </x:c>
      <x:c r="N22"/>
    </x:row>
    <x:row r="23">
      <x:c r="A23" t="str">
        <x:v>DEU-000022</x:v>
      </x:c>
      <x:c r="B23" t="str">
        <x:v>USR-00013</x:v>
      </x:c>
      <x:c r="C23" t="n">
        <x:v>45658</x:v>
      </x:c>
      <x:c r="D23" t="str">
        <x:v>Entidad financiera B</x:v>
      </x:c>
      <x:c r="E23" t="str">
        <x:v>Crédito educativo</x:v>
      </x:c>
      <x:c r="F23" t="n">
        <x:v>9400000</x:v>
      </x:c>
      <x:c r="G23" s="40" t="n">
        <x:v>0.2995</x:v>
      </x:c>
      <x:c r="H23" s="40" t="n">
        <x:v>0.022072</x:v>
      </x:c>
      <x:c r="I23" t="n">
        <x:v>24</x:v>
      </x:c>
      <x:c r="J23" t="n">
        <x:v>508700</x:v>
      </x:c>
      <x:c r="K23" t="str">
        <x:v>Bola de nieve</x:v>
      </x:c>
      <x:c r="L23" t="str">
        <x:v>Vigente</x:v>
      </x:c>
      <x:c r="M23" t="n">
        <x:v>5083685.15</x:v>
      </x:c>
      <x:c r="N23"/>
    </x:row>
    <x:row r="24">
      <x:c r="A24" t="str">
        <x:v>DEU-000023</x:v>
      </x:c>
      <x:c r="B24" t="str">
        <x:v>USR-00014</x:v>
      </x:c>
      <x:c r="C24" t="n">
        <x:v>45658</x:v>
      </x:c>
      <x:c r="D24" t="str">
        <x:v>Financiera D</x:v>
      </x:c>
      <x:c r="E24" t="str">
        <x:v>Tarjeta de crédito</x:v>
      </x:c>
      <x:c r="F24" t="n">
        <x:v>2960000</x:v>
      </x:c>
      <x:c r="G24" s="40" t="n">
        <x:v>0.2183</x:v>
      </x:c>
      <x:c r="H24" s="40" t="n">
        <x:v>0.016591</x:v>
      </x:c>
      <x:c r="I24" t="n">
        <x:v>18</x:v>
      </x:c>
      <x:c r="J24" t="n">
        <x:v>191600</x:v>
      </x:c>
      <x:c r="K24" t="str">
        <x:v>Bola de nieve</x:v>
      </x:c>
      <x:c r="L24" t="str">
        <x:v>Vigente</x:v>
      </x:c>
      <x:c r="M24" t="n">
        <x:v>50099.6</x:v>
      </x:c>
      <x:c r="N24"/>
    </x:row>
    <x:row r="25">
      <x:c r="A25" t="str">
        <x:v>DEU-000024</x:v>
      </x:c>
      <x:c r="B25" t="str">
        <x:v>USR-00014</x:v>
      </x:c>
      <x:c r="C25" t="n">
        <x:v>45658</x:v>
      </x:c>
      <x:c r="D25" t="str">
        <x:v>Entidad financiera B</x:v>
      </x:c>
      <x:c r="E25" t="str">
        <x:v>Tarjeta de crédito</x:v>
      </x:c>
      <x:c r="F25" t="n">
        <x:v>7750000</x:v>
      </x:c>
      <x:c r="G25" s="40" t="n">
        <x:v>0.322</x:v>
      </x:c>
      <x:c r="H25" s="40" t="n">
        <x:v>0.023535</x:v>
      </x:c>
      <x:c r="I25" t="n">
        <x:v>12</x:v>
      </x:c>
      <x:c r="J25" t="n">
        <x:v>748800</x:v>
      </x:c>
      <x:c r="K25" t="str">
        <x:v>Bola de nieve</x:v>
      </x:c>
      <x:c r="L25" t="str">
        <x:v>Vigente</x:v>
      </x:c>
      <x:c r="M25" t="n">
        <x:v>595622.9</x:v>
      </x:c>
      <x:c r="N25"/>
    </x:row>
    <x:row r="26">
      <x:c r="A26" t="str">
        <x:v>DEU-000025</x:v>
      </x:c>
      <x:c r="B26" t="str">
        <x:v>USR-00015</x:v>
      </x:c>
      <x:c r="C26" t="n">
        <x:v>45658</x:v>
      </x:c>
      <x:c r="D26" t="str">
        <x:v>Cooperativa C</x:v>
      </x:c>
      <x:c r="E26" t="str">
        <x:v>Crédito de vehículo</x:v>
      </x:c>
      <x:c r="F26" t="n">
        <x:v>18710000</x:v>
      </x:c>
      <x:c r="G26" s="40" t="n">
        <x:v>0.2393</x:v>
      </x:c>
      <x:c r="H26" s="40" t="n">
        <x:v>0.01804</x:v>
      </x:c>
      <x:c r="I26" t="n">
        <x:v>30</x:v>
      </x:c>
      <x:c r="J26" t="n">
        <x:v>813100</x:v>
      </x:c>
      <x:c r="K26" t="str">
        <x:v>Bola de nieve</x:v>
      </x:c>
      <x:c r="L26" t="str">
        <x:v>Vigente</x:v>
      </x:c>
      <x:c r="M26" t="n">
        <x:v>15838014.79</x:v>
      </x:c>
      <x:c r="N26"/>
    </x:row>
    <x:row r="27">
      <x:c r="A27" t="str">
        <x:v>DEU-000026</x:v>
      </x:c>
      <x:c r="B27" t="str">
        <x:v>USR-00015</x:v>
      </x:c>
      <x:c r="C27" t="n">
        <x:v>45658</x:v>
      </x:c>
      <x:c r="D27" t="str">
        <x:v>Entidad financiera A</x:v>
      </x:c>
      <x:c r="E27" t="str">
        <x:v>Tarjeta de crédito</x:v>
      </x:c>
      <x:c r="F27" t="n">
        <x:v>900000</x:v>
      </x:c>
      <x:c r="G27" s="40" t="n">
        <x:v>0.2853</x:v>
      </x:c>
      <x:c r="H27" s="40" t="n">
        <x:v>0.021136</x:v>
      </x:c>
      <x:c r="I27" t="n">
        <x:v>30</x:v>
      </x:c>
      <x:c r="J27" t="n">
        <x:v>40800</x:v>
      </x:c>
      <x:c r="K27" t="str">
        <x:v>Bola de nieve</x:v>
      </x:c>
      <x:c r="L27" t="str">
        <x:v>Vigente</x:v>
      </x:c>
      <x:c r="M27" t="n">
        <x:v>543224.14</x:v>
      </x:c>
      <x:c r="N27"/>
    </x:row>
    <x:row r="28">
      <x:c r="A28" t="str">
        <x:v>DEU-000027</x:v>
      </x:c>
      <x:c r="B28" t="str">
        <x:v>USR-00016</x:v>
      </x:c>
      <x:c r="C28" t="n">
        <x:v>45658</x:v>
      </x:c>
      <x:c r="D28" t="str">
        <x:v>Entidad financiera B</x:v>
      </x:c>
      <x:c r="E28" t="str">
        <x:v>Tarjeta de crédito</x:v>
      </x:c>
      <x:c r="F28" t="n">
        <x:v>4440000</x:v>
      </x:c>
      <x:c r="G28" s="40" t="n">
        <x:v>0.2104</x:v>
      </x:c>
      <x:c r="H28" s="40" t="n">
        <x:v>0.01604</x:v>
      </x:c>
      <x:c r="I28" t="n">
        <x:v>24</x:v>
      </x:c>
      <x:c r="J28" t="n">
        <x:v>224300</x:v>
      </x:c>
      <x:c r="K28" t="str">
        <x:v>Avalancha</x:v>
      </x:c>
      <x:c r="L28" t="str">
        <x:v>Vigente</x:v>
      </x:c>
      <x:c r="M28" t="n">
        <x:v>1659824.89</x:v>
      </x:c>
      <x:c r="N28"/>
    </x:row>
    <x:row r="29">
      <x:c r="A29" t="str">
        <x:v>DEU-000028</x:v>
      </x:c>
      <x:c r="B29" t="str">
        <x:v>USR-00017</x:v>
      </x:c>
      <x:c r="C29" t="n">
        <x:v>45658</x:v>
      </x:c>
      <x:c r="D29" t="str">
        <x:v>Entidad financiera E</x:v>
      </x:c>
      <x:c r="E29" t="str">
        <x:v>Crédito de consumo</x:v>
      </x:c>
      <x:c r="F29" t="n">
        <x:v>2520000</x:v>
      </x:c>
      <x:c r="G29" s="40" t="n">
        <x:v>0.1317</x:v>
      </x:c>
      <x:c r="H29" s="40" t="n">
        <x:v>0.010363</x:v>
      </x:c>
      <x:c r="I29" t="n">
        <x:v>36</x:v>
      </x:c>
      <x:c r="J29" t="n">
        <x:v>84200</x:v>
      </x:c>
      <x:c r="K29" t="str">
        <x:v>Avalancha</x:v>
      </x:c>
      <x:c r="L29" t="str">
        <x:v>Vigente</x:v>
      </x:c>
      <x:c r="M29" t="n">
        <x:v>1462779.04</x:v>
      </x:c>
      <x:c r="N29"/>
    </x:row>
    <x:row r="30">
      <x:c r="A30" t="str">
        <x:v>DEU-000029</x:v>
      </x:c>
      <x:c r="B30" t="str">
        <x:v>USR-00018</x:v>
      </x:c>
      <x:c r="C30" t="n">
        <x:v>45658</x:v>
      </x:c>
      <x:c r="D30" t="str">
        <x:v>Entidad financiera B</x:v>
      </x:c>
      <x:c r="E30" t="str">
        <x:v>Crédito de consumo</x:v>
      </x:c>
      <x:c r="F30" t="n">
        <x:v>9760000</x:v>
      </x:c>
      <x:c r="G30" s="40" t="n">
        <x:v>0.2581</x:v>
      </x:c>
      <x:c r="H30" s="40" t="n">
        <x:v>0.019318</x:v>
      </x:c>
      <x:c r="I30" t="n">
        <x:v>24</x:v>
      </x:c>
      <x:c r="J30" t="n">
        <x:v>512000</x:v>
      </x:c>
      <x:c r="K30" t="str">
        <x:v>Avalancha</x:v>
      </x:c>
      <x:c r="L30" t="str">
        <x:v>Vigente</x:v>
      </x:c>
      <x:c r="M30" t="n">
        <x:v>3533069.44</x:v>
      </x:c>
      <x:c r="N30"/>
    </x:row>
    <x:row r="31">
      <x:c r="A31" t="str">
        <x:v>DEU-000030</x:v>
      </x:c>
      <x:c r="B31" t="str">
        <x:v>USR-00019</x:v>
      </x:c>
      <x:c r="C31" t="n">
        <x:v>45658</x:v>
      </x:c>
      <x:c r="D31" t="str">
        <x:v>Entidad financiera A</x:v>
      </x:c>
      <x:c r="E31" t="str">
        <x:v>Tarjeta de crédito</x:v>
      </x:c>
      <x:c r="F31" t="n">
        <x:v>5590000</x:v>
      </x:c>
      <x:c r="G31" s="40" t="n">
        <x:v>0.2309</x:v>
      </x:c>
      <x:c r="H31" s="40" t="n">
        <x:v>0.017463</x:v>
      </x:c>
      <x:c r="I31" t="n">
        <x:v>48</x:v>
      </x:c>
      <x:c r="J31" t="n">
        <x:v>173000</x:v>
      </x:c>
      <x:c r="K31" t="str">
        <x:v>Bola de nieve</x:v>
      </x:c>
      <x:c r="L31" t="str">
        <x:v>Vigente</x:v>
      </x:c>
      <x:c r="M31" t="n">
        <x:v>4622717.55</x:v>
      </x:c>
      <x:c r="N31"/>
    </x:row>
    <x:row r="32">
      <x:c r="A32" t="str">
        <x:v>DEU-000031</x:v>
      </x:c>
      <x:c r="B32" t="str">
        <x:v>USR-00019</x:v>
      </x:c>
      <x:c r="C32" t="n">
        <x:v>45658</x:v>
      </x:c>
      <x:c r="D32" t="str">
        <x:v>Entidad financiera E</x:v>
      </x:c>
      <x:c r="E32" t="str">
        <x:v>Tarjeta de crédito</x:v>
      </x:c>
      <x:c r="F32" t="n">
        <x:v>8430000</x:v>
      </x:c>
      <x:c r="G32" s="40" t="n">
        <x:v>0.2704</x:v>
      </x:c>
      <x:c r="H32" s="40" t="n">
        <x:v>0.020145</x:v>
      </x:c>
      <x:c r="I32" t="n">
        <x:v>18</x:v>
      </x:c>
      <x:c r="J32" t="n">
        <x:v>563000</x:v>
      </x:c>
      <x:c r="K32" t="str">
        <x:v>Avalancha</x:v>
      </x:c>
      <x:c r="L32" t="str">
        <x:v>Vigente</x:v>
      </x:c>
      <x:c r="M32" t="n">
        <x:v>1095411.73</x:v>
      </x:c>
      <x:c r="N32"/>
    </x:row>
    <x:row r="33">
      <x:c r="A33" t="str">
        <x:v>DEU-000032</x:v>
      </x:c>
      <x:c r="B33" t="str">
        <x:v>USR-00020</x:v>
      </x:c>
      <x:c r="C33" t="n">
        <x:v>45658</x:v>
      </x:c>
      <x:c r="D33" t="str">
        <x:v>Entidad financiera A</x:v>
      </x:c>
      <x:c r="E33" t="str">
        <x:v>Crédito educativo</x:v>
      </x:c>
      <x:c r="F33" t="n">
        <x:v>5510000</x:v>
      </x:c>
      <x:c r="G33" s="40" t="n">
        <x:v>0.3446</x:v>
      </x:c>
      <x:c r="H33" s="40" t="n">
        <x:v>0.024982</x:v>
      </x:c>
      <x:c r="I33" t="n">
        <x:v>60</x:v>
      </x:c>
      <x:c r="J33" t="n">
        <x:v>178200</x:v>
      </x:c>
      <x:c r="K33" t="str">
        <x:v>Avalancha</x:v>
      </x:c>
      <x:c r="L33" t="str">
        <x:v>Vigente</x:v>
      </x:c>
      <x:c r="M33" t="n">
        <x:v>6062841.2</x:v>
      </x:c>
      <x:c r="N33"/>
    </x:row>
    <x:row r="34">
      <x:c r="A34" t="str">
        <x:v>DEU-000033</x:v>
      </x:c>
      <x:c r="B34" t="str">
        <x:v>USR-00021</x:v>
      </x:c>
      <x:c r="C34" t="n">
        <x:v>45658</x:v>
      </x:c>
      <x:c r="D34" t="str">
        <x:v>Entidad financiera B</x:v>
      </x:c>
      <x:c r="E34" t="str">
        <x:v>Crédito educativo</x:v>
      </x:c>
      <x:c r="F34" t="n">
        <x:v>26810000</x:v>
      </x:c>
      <x:c r="G34" s="40" t="n">
        <x:v>0.2166</x:v>
      </x:c>
      <x:c r="H34" s="40" t="n">
        <x:v>0.016473</x:v>
      </x:c>
      <x:c r="I34" t="n">
        <x:v>24</x:v>
      </x:c>
      <x:c r="J34" t="n">
        <x:v>1361500</x:v>
      </x:c>
      <x:c r="K34" t="str">
        <x:v>Bola de nieve</x:v>
      </x:c>
      <x:c r="L34" t="str">
        <x:v>Vigente</x:v>
      </x:c>
      <x:c r="M34" t="n">
        <x:v>16569770.35</x:v>
      </x:c>
      <x:c r="N34"/>
    </x:row>
    <x:row r="35">
      <x:c r="A35" t="str">
        <x:v>DEU-000034</x:v>
      </x:c>
      <x:c r="B35" t="str">
        <x:v>USR-00022</x:v>
      </x:c>
      <x:c r="C35" t="n">
        <x:v>45658</x:v>
      </x:c>
      <x:c r="D35" t="str">
        <x:v>Entidad financiera B</x:v>
      </x:c>
      <x:c r="E35" t="str">
        <x:v>Crédito de consumo</x:v>
      </x:c>
      <x:c r="F35" t="n">
        <x:v>15130000</x:v>
      </x:c>
      <x:c r="G35" s="40" t="n">
        <x:v>0.2223</x:v>
      </x:c>
      <x:c r="H35" s="40" t="n">
        <x:v>0.016869</x:v>
      </x:c>
      <x:c r="I35" t="n">
        <x:v>12</x:v>
      </x:c>
      <x:c r="J35" t="n">
        <x:v>1403300</x:v>
      </x:c>
      <x:c r="K35" t="str">
        <x:v>Bola de nieve</x:v>
      </x:c>
      <x:c r="L35" t="str">
        <x:v>Pagada</x:v>
      </x:c>
      <x:c r="M35" t="n">
        <x:v>0</x:v>
      </x:c>
      <x:c r="N35" t="n">
        <x:v>46235</x:v>
      </x:c>
    </x:row>
    <x:row r="36">
      <x:c r="A36" t="str">
        <x:v>DEU-000035</x:v>
      </x:c>
      <x:c r="B36" t="str">
        <x:v>USR-00022</x:v>
      </x:c>
      <x:c r="C36" t="n">
        <x:v>45658</x:v>
      </x:c>
      <x:c r="D36" t="str">
        <x:v>Entidad financiera A</x:v>
      </x:c>
      <x:c r="E36" t="str">
        <x:v>Crédito de consumo</x:v>
      </x:c>
      <x:c r="F36" t="n">
        <x:v>4820000</x:v>
      </x:c>
      <x:c r="G36" s="40" t="n">
        <x:v>0.1907</x:v>
      </x:c>
      <x:c r="H36" s="40" t="n">
        <x:v>0.014651</x:v>
      </x:c>
      <x:c r="I36" t="n">
        <x:v>60</x:v>
      </x:c>
      <x:c r="J36" t="n">
        <x:v>121300</x:v>
      </x:c>
      <x:c r="K36" t="str">
        <x:v>Avalancha</x:v>
      </x:c>
      <x:c r="L36" t="str">
        <x:v>Vigente</x:v>
      </x:c>
      <x:c r="M36" t="n">
        <x:v>4375822.28</x:v>
      </x:c>
      <x:c r="N36"/>
    </x:row>
    <x:row r="37">
      <x:c r="A37" t="str">
        <x:v>DEU-000036</x:v>
      </x:c>
      <x:c r="B37" t="str">
        <x:v>USR-00023</x:v>
      </x:c>
      <x:c r="C37" t="n">
        <x:v>45658</x:v>
      </x:c>
      <x:c r="D37" t="str">
        <x:v>Cooperativa C</x:v>
      </x:c>
      <x:c r="E37" t="str">
        <x:v>Crédito educativo</x:v>
      </x:c>
      <x:c r="F37" t="n">
        <x:v>5860000</x:v>
      </x:c>
      <x:c r="G37" s="40" t="n">
        <x:v>0.3083</x:v>
      </x:c>
      <x:c r="H37" s="40" t="n">
        <x:v>0.022647</x:v>
      </x:c>
      <x:c r="I37" t="n">
        <x:v>48</x:v>
      </x:c>
      <x:c r="J37" t="n">
        <x:v>201500</x:v>
      </x:c>
      <x:c r="K37" t="str">
        <x:v>Bola de nieve</x:v>
      </x:c>
      <x:c r="L37" t="str">
        <x:v>Vigente</x:v>
      </x:c>
      <x:c r="M37" t="n">
        <x:v>5382678.07</x:v>
      </x:c>
      <x:c r="N37"/>
    </x:row>
    <x:row r="38">
      <x:c r="A38" t="str">
        <x:v>DEU-000037</x:v>
      </x:c>
      <x:c r="B38" t="str">
        <x:v>USR-00024</x:v>
      </x:c>
      <x:c r="C38" t="n">
        <x:v>45658</x:v>
      </x:c>
      <x:c r="D38" t="str">
        <x:v>Entidad financiera B</x:v>
      </x:c>
      <x:c r="E38" t="str">
        <x:v>Tarjeta de crédito</x:v>
      </x:c>
      <x:c r="F38" t="n">
        <x:v>820000</x:v>
      </x:c>
      <x:c r="G38" s="40" t="n">
        <x:v>0.2094</x:v>
      </x:c>
      <x:c r="H38" s="40" t="n">
        <x:v>0.01597</x:v>
      </x:c>
      <x:c r="I38" t="n">
        <x:v>48</x:v>
      </x:c>
      <x:c r="J38" t="n">
        <x:v>24600</x:v>
      </x:c>
      <x:c r="K38" t="str">
        <x:v>Avalancha</x:v>
      </x:c>
      <x:c r="L38" t="str">
        <x:v>Vigente</x:v>
      </x:c>
      <x:c r="M38" t="n">
        <x:v>719742.55</x:v>
      </x:c>
      <x:c r="N38"/>
    </x:row>
    <x:row r="39">
      <x:c r="A39" t="str">
        <x:v>DEU-000038</x:v>
      </x:c>
      <x:c r="B39" t="str">
        <x:v>USR-00024</x:v>
      </x:c>
      <x:c r="C39" t="n">
        <x:v>45658</x:v>
      </x:c>
      <x:c r="D39" t="str">
        <x:v>Entidad financiera E</x:v>
      </x:c>
      <x:c r="E39" t="str">
        <x:v>Crédito de vehículo</x:v>
      </x:c>
      <x:c r="F39" t="n">
        <x:v>52930000</x:v>
      </x:c>
      <x:c r="G39" s="40" t="n">
        <x:v>0.3347</x:v>
      </x:c>
      <x:c r="H39" s="40" t="n">
        <x:v>0.024351</x:v>
      </x:c>
      <x:c r="I39" t="n">
        <x:v>60</x:v>
      </x:c>
      <x:c r="J39" t="n">
        <x:v>1687200</x:v>
      </x:c>
      <x:c r="K39" t="str">
        <x:v>Avalancha</x:v>
      </x:c>
      <x:c r="L39" t="str">
        <x:v>Vigente</x:v>
      </x:c>
      <x:c r="M39" t="n">
        <x:v>53164571.19</x:v>
      </x:c>
      <x:c r="N39"/>
    </x:row>
    <x:row r="40">
      <x:c r="A40" t="str">
        <x:v>DEU-000039</x:v>
      </x:c>
      <x:c r="B40" t="str">
        <x:v>USR-00025</x:v>
      </x:c>
      <x:c r="C40" t="n">
        <x:v>45658</x:v>
      </x:c>
      <x:c r="D40" t="str">
        <x:v>Cooperativa C</x:v>
      </x:c>
      <x:c r="E40" t="str">
        <x:v>Tarjeta de crédito</x:v>
      </x:c>
      <x:c r="F40" t="n">
        <x:v>7020000</x:v>
      </x:c>
      <x:c r="G40" s="40" t="n">
        <x:v>0.1426</x:v>
      </x:c>
      <x:c r="H40" s="40" t="n">
        <x:v>0.011171</x:v>
      </x:c>
      <x:c r="I40" t="n">
        <x:v>18</x:v>
      </x:c>
      <x:c r="J40" t="n">
        <x:v>432700</x:v>
      </x:c>
      <x:c r="K40" t="str">
        <x:v>Avalancha</x:v>
      </x:c>
      <x:c r="L40" t="str">
        <x:v>Pagada</x:v>
      </x:c>
      <x:c r="M40" t="n">
        <x:v>0</x:v>
      </x:c>
      <x:c r="N40" t="n">
        <x:v>46266</x:v>
      </x:c>
    </x:row>
    <x:row r="41">
      <x:c r="A41" t="str">
        <x:v>DEU-000040</x:v>
      </x:c>
      <x:c r="B41" t="str">
        <x:v>USR-00025</x:v>
      </x:c>
      <x:c r="C41" t="n">
        <x:v>45658</x:v>
      </x:c>
      <x:c r="D41" t="str">
        <x:v>Financiera D</x:v>
      </x:c>
      <x:c r="E41" t="str">
        <x:v>Tarjeta de crédito</x:v>
      </x:c>
      <x:c r="F41" t="n">
        <x:v>5930000</x:v>
      </x:c>
      <x:c r="G41" s="40" t="n">
        <x:v>0.2258</x:v>
      </x:c>
      <x:c r="H41" s="40" t="n">
        <x:v>0.017111</x:v>
      </x:c>
      <x:c r="I41" t="n">
        <x:v>60</x:v>
      </x:c>
      <x:c r="J41" t="n">
        <x:v>158900</x:v>
      </x:c>
      <x:c r="K41" t="str">
        <x:v>Bola de nieve</x:v>
      </x:c>
      <x:c r="L41" t="str">
        <x:v>Vigente</x:v>
      </x:c>
      <x:c r="M41" t="n">
        <x:v>5062093.29</x:v>
      </x:c>
      <x:c r="N41"/>
    </x:row>
    <x:row r="42">
      <x:c r="A42" t="str">
        <x:v>DEU-000041</x:v>
      </x:c>
      <x:c r="B42" t="str">
        <x:v>USR-00026</x:v>
      </x:c>
      <x:c r="C42" t="n">
        <x:v>45658</x:v>
      </x:c>
      <x:c r="D42" t="str">
        <x:v>Entidad financiera B</x:v>
      </x:c>
      <x:c r="E42" t="str">
        <x:v>Crédito de libre inversión</x:v>
      </x:c>
      <x:c r="F42" t="n">
        <x:v>5640000</x:v>
      </x:c>
      <x:c r="G42" s="40" t="n">
        <x:v>0.1864</x:v>
      </x:c>
      <x:c r="H42" s="40" t="n">
        <x:v>0.014346</x:v>
      </x:c>
      <x:c r="I42" t="n">
        <x:v>48</x:v>
      </x:c>
      <x:c r="J42" t="n">
        <x:v>163400</x:v>
      </x:c>
      <x:c r="K42" t="str">
        <x:v>Bola de nieve</x:v>
      </x:c>
      <x:c r="L42" t="str">
        <x:v>Vigente</x:v>
      </x:c>
      <x:c r="M42" t="n">
        <x:v>4452897.42</x:v>
      </x:c>
      <x:c r="N42"/>
    </x:row>
    <x:row r="43">
      <x:c r="A43" t="str">
        <x:v>DEU-000042</x:v>
      </x:c>
      <x:c r="B43" t="str">
        <x:v>USR-00027</x:v>
      </x:c>
      <x:c r="C43" t="n">
        <x:v>45658</x:v>
      </x:c>
      <x:c r="D43" t="str">
        <x:v>Entidad financiera A</x:v>
      </x:c>
      <x:c r="E43" t="str">
        <x:v>Crédito de vehículo</x:v>
      </x:c>
      <x:c r="F43" t="n">
        <x:v>24660000</x:v>
      </x:c>
      <x:c r="G43" s="40" t="n">
        <x:v>0.1124</x:v>
      </x:c>
      <x:c r="H43" s="40" t="n">
        <x:v>0.008916</x:v>
      </x:c>
      <x:c r="I43" t="n">
        <x:v>48</x:v>
      </x:c>
      <x:c r="J43" t="n">
        <x:v>633800</x:v>
      </x:c>
      <x:c r="K43" t="str">
        <x:v>Bola de nieve</x:v>
      </x:c>
      <x:c r="L43" t="str">
        <x:v>Vigente</x:v>
      </x:c>
      <x:c r="M43" t="n">
        <x:v>24462254.76</x:v>
      </x:c>
      <x:c r="N43"/>
    </x:row>
    <x:row r="44">
      <x:c r="A44" t="str">
        <x:v>DEU-000043</x:v>
      </x:c>
      <x:c r="B44" t="str">
        <x:v>USR-00027</x:v>
      </x:c>
      <x:c r="C44" t="n">
        <x:v>45658</x:v>
      </x:c>
      <x:c r="D44" t="str">
        <x:v>Financiera D</x:v>
      </x:c>
      <x:c r="E44" t="str">
        <x:v>Crédito educativo</x:v>
      </x:c>
      <x:c r="F44" t="n">
        <x:v>4160000</x:v>
      </x:c>
      <x:c r="G44" s="40" t="n">
        <x:v>0.1391</x:v>
      </x:c>
      <x:c r="H44" s="40" t="n">
        <x:v>0.010912</x:v>
      </x:c>
      <x:c r="I44" t="n">
        <x:v>36</x:v>
      </x:c>
      <x:c r="J44" t="n">
        <x:v>140400</x:v>
      </x:c>
      <x:c r="K44" t="str">
        <x:v>Bola de nieve</x:v>
      </x:c>
      <x:c r="L44" t="str">
        <x:v>Vigente</x:v>
      </x:c>
      <x:c r="M44" t="n">
        <x:v>3976260.38</x:v>
      </x:c>
      <x:c r="N44"/>
    </x:row>
    <x:row r="45">
      <x:c r="A45" t="str">
        <x:v>DEU-000044</x:v>
      </x:c>
      <x:c r="B45" t="str">
        <x:v>USR-00027</x:v>
      </x:c>
      <x:c r="C45" t="n">
        <x:v>45658</x:v>
      </x:c>
      <x:c r="D45" t="str">
        <x:v>Financiera D</x:v>
      </x:c>
      <x:c r="E45" t="str">
        <x:v>Crédito educativo</x:v>
      </x:c>
      <x:c r="F45" t="n">
        <x:v>4380000</x:v>
      </x:c>
      <x:c r="G45" s="40" t="n">
        <x:v>0.3416</x:v>
      </x:c>
      <x:c r="H45" s="40" t="n">
        <x:v>0.024791</x:v>
      </x:c>
      <x:c r="I45" t="n">
        <x:v>24</x:v>
      </x:c>
      <x:c r="J45" t="n">
        <x:v>244300</x:v>
      </x:c>
      <x:c r="K45" t="str">
        <x:v>Bola de nieve</x:v>
      </x:c>
      <x:c r="L45" t="str">
        <x:v>Vigente</x:v>
      </x:c>
      <x:c r="M45" t="n">
        <x:v>4311996.29</x:v>
      </x:c>
      <x:c r="N45"/>
    </x:row>
    <x:row r="46">
      <x:c r="A46" t="str">
        <x:v>DEU-000045</x:v>
      </x:c>
      <x:c r="B46" t="str">
        <x:v>USR-00027</x:v>
      </x:c>
      <x:c r="C46" t="n">
        <x:v>45658</x:v>
      </x:c>
      <x:c r="D46" t="str">
        <x:v>Financiera D</x:v>
      </x:c>
      <x:c r="E46" t="str">
        <x:v>Crédito comercial</x:v>
      </x:c>
      <x:c r="F46" t="n">
        <x:v>22200000</x:v>
      </x:c>
      <x:c r="G46" s="40" t="n">
        <x:v>0.2055</x:v>
      </x:c>
      <x:c r="H46" s="40" t="n">
        <x:v>0.015696</x:v>
      </x:c>
      <x:c r="I46" t="n">
        <x:v>18</x:v>
      </x:c>
      <x:c r="J46" t="n">
        <x:v>1425300</x:v>
      </x:c>
      <x:c r="K46" t="str">
        <x:v>Avalancha</x:v>
      </x:c>
      <x:c r="L46" t="str">
        <x:v>Vigente</x:v>
      </x:c>
      <x:c r="M46" t="n">
        <x:v>19091732.97</x:v>
      </x:c>
      <x:c r="N46"/>
    </x:row>
    <x:row r="47">
      <x:c r="A47" t="str">
        <x:v>DEU-000046</x:v>
      </x:c>
      <x:c r="B47" t="str">
        <x:v>USR-00028</x:v>
      </x:c>
      <x:c r="C47" t="n">
        <x:v>45658</x:v>
      </x:c>
      <x:c r="D47" t="str">
        <x:v>Entidad financiera B</x:v>
      </x:c>
      <x:c r="E47" t="str">
        <x:v>Crédito de consumo</x:v>
      </x:c>
      <x:c r="F47" t="n">
        <x:v>13830000</x:v>
      </x:c>
      <x:c r="G47" s="40" t="n">
        <x:v>0.1412</x:v>
      </x:c>
      <x:c r="H47" s="40" t="n">
        <x:v>0.011067</x:v>
      </x:c>
      <x:c r="I47" t="n">
        <x:v>36</x:v>
      </x:c>
      <x:c r="J47" t="n">
        <x:v>467900</x:v>
      </x:c>
      <x:c r="K47" t="str">
        <x:v>Bola de nieve</x:v>
      </x:c>
      <x:c r="L47" t="str">
        <x:v>Vigente</x:v>
      </x:c>
      <x:c r="M47" t="n">
        <x:v>11375451.05</x:v>
      </x:c>
      <x:c r="N47"/>
    </x:row>
    <x:row r="48">
      <x:c r="A48" t="str">
        <x:v>DEU-000047</x:v>
      </x:c>
      <x:c r="B48" t="str">
        <x:v>USR-00028</x:v>
      </x:c>
      <x:c r="C48" t="n">
        <x:v>45658</x:v>
      </x:c>
      <x:c r="D48" t="str">
        <x:v>Entidad financiera B</x:v>
      </x:c>
      <x:c r="E48" t="str">
        <x:v>Tarjeta de crédito</x:v>
      </x:c>
      <x:c r="F48" t="n">
        <x:v>6100000</x:v>
      </x:c>
      <x:c r="G48" s="40" t="n">
        <x:v>0.2375</x:v>
      </x:c>
      <x:c r="H48" s="40" t="n">
        <x:v>0.017916</x:v>
      </x:c>
      <x:c r="I48" t="n">
        <x:v>36</x:v>
      </x:c>
      <x:c r="J48" t="n">
        <x:v>231400</x:v>
      </x:c>
      <x:c r="K48" t="str">
        <x:v>Bola de nieve</x:v>
      </x:c>
      <x:c r="L48" t="str">
        <x:v>Vigente</x:v>
      </x:c>
      <x:c r="M48" t="n">
        <x:v>3520159.29</x:v>
      </x:c>
      <x:c r="N48"/>
    </x:row>
    <x:row r="49">
      <x:c r="A49" t="str">
        <x:v>DEU-000048</x:v>
      </x:c>
      <x:c r="B49" t="str">
        <x:v>USR-00029</x:v>
      </x:c>
      <x:c r="C49" t="n">
        <x:v>45658</x:v>
      </x:c>
      <x:c r="D49" t="str">
        <x:v>Financiera D</x:v>
      </x:c>
      <x:c r="E49" t="str">
        <x:v>Tarjeta de crédito</x:v>
      </x:c>
      <x:c r="F49" t="n">
        <x:v>2460000</x:v>
      </x:c>
      <x:c r="G49" s="40" t="n">
        <x:v>0.2576</x:v>
      </x:c>
      <x:c r="H49" s="40" t="n">
        <x:v>0.019284</x:v>
      </x:c>
      <x:c r="I49" t="n">
        <x:v>30</x:v>
      </x:c>
      <x:c r="J49" t="n">
        <x:v>108800</x:v>
      </x:c>
      <x:c r="K49" t="str">
        <x:v>Avalancha</x:v>
      </x:c>
      <x:c r="L49" t="str">
        <x:v>Vigente</x:v>
      </x:c>
      <x:c r="M49" t="n">
        <x:v>1219256.81</x:v>
      </x:c>
      <x:c r="N49"/>
    </x:row>
    <x:row r="50">
      <x:c r="A50" t="str">
        <x:v>DEU-000049</x:v>
      </x:c>
      <x:c r="B50" t="str">
        <x:v>USR-00029</x:v>
      </x:c>
      <x:c r="C50" t="n">
        <x:v>45658</x:v>
      </x:c>
      <x:c r="D50" t="str">
        <x:v>Entidad financiera A</x:v>
      </x:c>
      <x:c r="E50" t="str">
        <x:v>Tarjeta de crédito</x:v>
      </x:c>
      <x:c r="F50" t="n">
        <x:v>5090000</x:v>
      </x:c>
      <x:c r="G50" s="40" t="n">
        <x:v>0.2827</x:v>
      </x:c>
      <x:c r="H50" s="40" t="n">
        <x:v>0.020964</x:v>
      </x:c>
      <x:c r="I50" t="n">
        <x:v>60</x:v>
      </x:c>
      <x:c r="J50" t="n">
        <x:v>149900</x:v>
      </x:c>
      <x:c r="K50" t="str">
        <x:v>Bola de nieve</x:v>
      </x:c>
      <x:c r="L50" t="str">
        <x:v>Vigente</x:v>
      </x:c>
      <x:c r="M50" t="n">
        <x:v>5137487.09</x:v>
      </x:c>
      <x:c r="N50"/>
    </x:row>
    <x:row r="51">
      <x:c r="A51" t="str">
        <x:v>DEU-000050</x:v>
      </x:c>
      <x:c r="B51" t="str">
        <x:v>USR-00030</x:v>
      </x:c>
      <x:c r="C51" t="n">
        <x:v>45658</x:v>
      </x:c>
      <x:c r="D51" t="str">
        <x:v>Cooperativa C</x:v>
      </x:c>
      <x:c r="E51" t="str">
        <x:v>Tarjeta de crédito</x:v>
      </x:c>
      <x:c r="F51" t="n">
        <x:v>6060000</x:v>
      </x:c>
      <x:c r="G51" s="40" t="n">
        <x:v>0.2844</x:v>
      </x:c>
      <x:c r="H51" s="40" t="n">
        <x:v>0.021077</x:v>
      </x:c>
      <x:c r="I51" t="n">
        <x:v>18</x:v>
      </x:c>
      <x:c r="J51" t="n">
        <x:v>408100</x:v>
      </x:c>
      <x:c r="K51" t="str">
        <x:v>Bola de nieve</x:v>
      </x:c>
      <x:c r="L51" t="str">
        <x:v>Vigente</x:v>
      </x:c>
      <x:c r="M51" t="n">
        <x:v>2204592.17</x:v>
      </x:c>
      <x:c r="N51"/>
    </x:row>
    <x:row r="52">
      <x:c r="A52" t="str">
        <x:v>DEU-000051</x:v>
      </x:c>
      <x:c r="B52" t="str">
        <x:v>USR-00031</x:v>
      </x:c>
      <x:c r="C52" t="n">
        <x:v>45658</x:v>
      </x:c>
      <x:c r="D52" t="str">
        <x:v>Cooperativa C</x:v>
      </x:c>
      <x:c r="E52" t="str">
        <x:v>Crédito educativo</x:v>
      </x:c>
      <x:c r="F52" t="n">
        <x:v>26810000</x:v>
      </x:c>
      <x:c r="G52" s="40" t="n">
        <x:v>0.2245</x:v>
      </x:c>
      <x:c r="H52" s="40" t="n">
        <x:v>0.017021</x:v>
      </x:c>
      <x:c r="I52" t="n">
        <x:v>48</x:v>
      </x:c>
      <x:c r="J52" t="n">
        <x:v>821900</x:v>
      </x:c>
      <x:c r="K52" t="str">
        <x:v>Avalancha</x:v>
      </x:c>
      <x:c r="L52" t="str">
        <x:v>Vigente</x:v>
      </x:c>
      <x:c r="M52" t="n">
        <x:v>24789570.13</x:v>
      </x:c>
      <x:c r="N52"/>
    </x:row>
    <x:row r="53">
      <x:c r="A53" t="str">
        <x:v>DEU-000052</x:v>
      </x:c>
      <x:c r="B53" t="str">
        <x:v>USR-00031</x:v>
      </x:c>
      <x:c r="C53" t="n">
        <x:v>45658</x:v>
      </x:c>
      <x:c r="D53" t="str">
        <x:v>Financiera D</x:v>
      </x:c>
      <x:c r="E53" t="str">
        <x:v>Crédito de consumo</x:v>
      </x:c>
      <x:c r="F53" t="n">
        <x:v>16120000</x:v>
      </x:c>
      <x:c r="G53" s="40" t="n">
        <x:v>0.2402</x:v>
      </x:c>
      <x:c r="H53" s="40" t="n">
        <x:v>0.018101</x:v>
      </x:c>
      <x:c r="I53" t="n">
        <x:v>18</x:v>
      </x:c>
      <x:c r="J53" t="n">
        <x:v>1057400</x:v>
      </x:c>
      <x:c r="K53" t="str">
        <x:v>Avalancha</x:v>
      </x:c>
      <x:c r="L53" t="str">
        <x:v>Vigente</x:v>
      </x:c>
      <x:c r="M53" t="n">
        <x:v>5064031.13</x:v>
      </x:c>
      <x:c r="N53"/>
    </x:row>
    <x:row r="54">
      <x:c r="A54" t="str">
        <x:v>DEU-000053</x:v>
      </x:c>
      <x:c r="B54" t="str">
        <x:v>USR-00005</x:v>
      </x:c>
      <x:c r="C54" t="n">
        <x:v>45689</x:v>
      </x:c>
      <x:c r="D54" t="str">
        <x:v>Financiera D</x:v>
      </x:c>
      <x:c r="E54" t="str">
        <x:v>Tarjeta de crédito</x:v>
      </x:c>
      <x:c r="F54" t="n">
        <x:v>2810000</x:v>
      </x:c>
      <x:c r="G54" s="40" t="n">
        <x:v>0.176</x:v>
      </x:c>
      <x:c r="H54" s="40" t="n">
        <x:v>0.013602</x:v>
      </x:c>
      <x:c r="I54" t="n">
        <x:v>60</x:v>
      </x:c>
      <x:c r="J54" t="n">
        <x:v>68800</x:v>
      </x:c>
      <x:c r="K54" t="str">
        <x:v>Bola de nieve</x:v>
      </x:c>
      <x:c r="L54" t="str">
        <x:v>Vigente</x:v>
      </x:c>
      <x:c r="M54" t="n">
        <x:v>2368711.73</x:v>
      </x:c>
      <x:c r="N54"/>
    </x:row>
    <x:row r="55">
      <x:c r="A55" t="str">
        <x:v>DEU-000054</x:v>
      </x:c>
      <x:c r="B55" t="str">
        <x:v>USR-00032</x:v>
      </x:c>
      <x:c r="C55" t="n">
        <x:v>45689</x:v>
      </x:c>
      <x:c r="D55" t="str">
        <x:v>Financiera D</x:v>
      </x:c>
      <x:c r="E55" t="str">
        <x:v>Tarjeta de crédito</x:v>
      </x:c>
      <x:c r="F55" t="n">
        <x:v>8400000</x:v>
      </x:c>
      <x:c r="G55" s="40" t="n">
        <x:v>0.1427</x:v>
      </x:c>
      <x:c r="H55" s="40" t="n">
        <x:v>0.011178</x:v>
      </x:c>
      <x:c r="I55" t="n">
        <x:v>12</x:v>
      </x:c>
      <x:c r="J55" t="n">
        <x:v>751900</x:v>
      </x:c>
      <x:c r="K55" t="str">
        <x:v>Avalancha</x:v>
      </x:c>
      <x:c r="L55" t="str">
        <x:v>Pagada</x:v>
      </x:c>
      <x:c r="M55" t="n">
        <x:v>0</x:v>
      </x:c>
      <x:c r="N55" t="n">
        <x:v>46266</x:v>
      </x:c>
    </x:row>
    <x:row r="56">
      <x:c r="A56" t="str">
        <x:v>DEU-000055</x:v>
      </x:c>
      <x:c r="B56" t="str">
        <x:v>USR-00032</x:v>
      </x:c>
      <x:c r="C56" t="n">
        <x:v>45689</x:v>
      </x:c>
      <x:c r="D56" t="str">
        <x:v>Entidad financiera A</x:v>
      </x:c>
      <x:c r="E56" t="str">
        <x:v>Crédito de libre inversión</x:v>
      </x:c>
      <x:c r="F56" t="n">
        <x:v>14100000</x:v>
      </x:c>
      <x:c r="G56" s="40" t="n">
        <x:v>0.1818</x:v>
      </x:c>
      <x:c r="H56" s="40" t="n">
        <x:v>0.014017</x:v>
      </x:c>
      <x:c r="I56" t="n">
        <x:v>24</x:v>
      </x:c>
      <x:c r="J56" t="n">
        <x:v>695900</x:v>
      </x:c>
      <x:c r="K56" t="str">
        <x:v>Bola de nieve</x:v>
      </x:c>
      <x:c r="L56" t="str">
        <x:v>Vigente</x:v>
      </x:c>
      <x:c r="M56" t="n">
        <x:v>3214222.23</x:v>
      </x:c>
      <x:c r="N56"/>
    </x:row>
    <x:row r="57">
      <x:c r="A57" t="str">
        <x:v>DEU-000056</x:v>
      </x:c>
      <x:c r="B57" t="str">
        <x:v>USR-00033</x:v>
      </x:c>
      <x:c r="C57" t="n">
        <x:v>45689</x:v>
      </x:c>
      <x:c r="D57" t="str">
        <x:v>Entidad financiera E</x:v>
      </x:c>
      <x:c r="E57" t="str">
        <x:v>Tarjeta de crédito</x:v>
      </x:c>
      <x:c r="F57" t="n">
        <x:v>3760000</x:v>
      </x:c>
      <x:c r="G57" s="40" t="n">
        <x:v>0.2861</x:v>
      </x:c>
      <x:c r="H57" s="40" t="n">
        <x:v>0.021189</x:v>
      </x:c>
      <x:c r="I57" t="n">
        <x:v>12</x:v>
      </x:c>
      <x:c r="J57" t="n">
        <x:v>358100</x:v>
      </x:c>
      <x:c r="K57" t="str">
        <x:v>Avalancha</x:v>
      </x:c>
      <x:c r="L57" t="str">
        <x:v>Pagada</x:v>
      </x:c>
      <x:c r="M57" t="n">
        <x:v>0</x:v>
      </x:c>
      <x:c r="N57" t="n">
        <x:v>46235</x:v>
      </x:c>
    </x:row>
    <x:row r="58">
      <x:c r="A58" t="str">
        <x:v>DEU-000057</x:v>
      </x:c>
      <x:c r="B58" t="str">
        <x:v>USR-00034</x:v>
      </x:c>
      <x:c r="C58" t="n">
        <x:v>45689</x:v>
      </x:c>
      <x:c r="D58" t="str">
        <x:v>Cooperativa C</x:v>
      </x:c>
      <x:c r="E58" t="str">
        <x:v>Crédito de libre inversión</x:v>
      </x:c>
      <x:c r="F58" t="n">
        <x:v>4830000</x:v>
      </x:c>
      <x:c r="G58" s="40" t="n">
        <x:v>0.2078</x:v>
      </x:c>
      <x:c r="H58" s="40" t="n">
        <x:v>0.015858</x:v>
      </x:c>
      <x:c r="I58" t="n">
        <x:v>12</x:v>
      </x:c>
      <x:c r="J58" t="n">
        <x:v>445200</x:v>
      </x:c>
      <x:c r="K58" t="str">
        <x:v>Bola de nieve</x:v>
      </x:c>
      <x:c r="L58" t="str">
        <x:v>Pagada</x:v>
      </x:c>
      <x:c r="M58" t="n">
        <x:v>0</x:v>
      </x:c>
      <x:c r="N58" t="n">
        <x:v>46113</x:v>
      </x:c>
    </x:row>
    <x:row r="59">
      <x:c r="A59" t="str">
        <x:v>DEU-000058</x:v>
      </x:c>
      <x:c r="B59" t="str">
        <x:v>USR-00034</x:v>
      </x:c>
      <x:c r="C59" t="n">
        <x:v>45689</x:v>
      </x:c>
      <x:c r="D59" t="str">
        <x:v>Cooperativa C</x:v>
      </x:c>
      <x:c r="E59" t="str">
        <x:v>Tarjeta de crédito</x:v>
      </x:c>
      <x:c r="F59" t="n">
        <x:v>6520000</x:v>
      </x:c>
      <x:c r="G59" s="40" t="n">
        <x:v>0.1312</x:v>
      </x:c>
      <x:c r="H59" s="40" t="n">
        <x:v>0.010326</x:v>
      </x:c>
      <x:c r="I59" t="n">
        <x:v>60</x:v>
      </x:c>
      <x:c r="J59" t="n">
        <x:v>146300</x:v>
      </x:c>
      <x:c r="K59" t="str">
        <x:v>Bola de nieve</x:v>
      </x:c>
      <x:c r="L59" t="str">
        <x:v>Vigente</x:v>
      </x:c>
      <x:c r="M59" t="n">
        <x:v>4854039.21</x:v>
      </x:c>
      <x:c r="N59"/>
    </x:row>
    <x:row r="60">
      <x:c r="A60" t="str">
        <x:v>DEU-000059</x:v>
      </x:c>
      <x:c r="B60" t="str">
        <x:v>USR-00035</x:v>
      </x:c>
      <x:c r="C60" t="n">
        <x:v>45689</x:v>
      </x:c>
      <x:c r="D60" t="str">
        <x:v>Entidad financiera E</x:v>
      </x:c>
      <x:c r="E60" t="str">
        <x:v>Crédito educativo</x:v>
      </x:c>
      <x:c r="F60" t="n">
        <x:v>3850000</x:v>
      </x:c>
      <x:c r="G60" s="40" t="n">
        <x:v>0.1765</x:v>
      </x:c>
      <x:c r="H60" s="40" t="n">
        <x:v>0.013637</x:v>
      </x:c>
      <x:c r="I60" t="n">
        <x:v>18</x:v>
      </x:c>
      <x:c r="J60" t="n">
        <x:v>242700</x:v>
      </x:c>
      <x:c r="K60" t="str">
        <x:v>Avalancha</x:v>
      </x:c>
      <x:c r="L60" t="str">
        <x:v>Vigente</x:v>
      </x:c>
      <x:c r="M60" t="n">
        <x:v>305198.68</x:v>
      </x:c>
      <x:c r="N60"/>
    </x:row>
    <x:row r="61">
      <x:c r="A61" t="str">
        <x:v>DEU-000060</x:v>
      </x:c>
      <x:c r="B61" t="str">
        <x:v>USR-00035</x:v>
      </x:c>
      <x:c r="C61" t="n">
        <x:v>45689</x:v>
      </x:c>
      <x:c r="D61" t="str">
        <x:v>Entidad financiera B</x:v>
      </x:c>
      <x:c r="E61" t="str">
        <x:v>Crédito educativo</x:v>
      </x:c>
      <x:c r="F61" t="n">
        <x:v>3950000</x:v>
      </x:c>
      <x:c r="G61" s="40" t="n">
        <x:v>0.2097</x:v>
      </x:c>
      <x:c r="H61" s="40" t="n">
        <x:v>0.015991</x:v>
      </x:c>
      <x:c r="I61" t="n">
        <x:v>60</x:v>
      </x:c>
      <x:c r="J61" t="n">
        <x:v>102900</x:v>
      </x:c>
      <x:c r="K61" t="str">
        <x:v>Avalancha</x:v>
      </x:c>
      <x:c r="L61" t="str">
        <x:v>Vigente</x:v>
      </x:c>
      <x:c r="M61" t="n">
        <x:v>3410087.52</x:v>
      </x:c>
      <x:c r="N61"/>
    </x:row>
    <x:row r="62">
      <x:c r="A62" t="str">
        <x:v>DEU-000061</x:v>
      </x:c>
      <x:c r="B62" t="str">
        <x:v>USR-00036</x:v>
      </x:c>
      <x:c r="C62" t="n">
        <x:v>45689</x:v>
      </x:c>
      <x:c r="D62" t="str">
        <x:v>Entidad financiera A</x:v>
      </x:c>
      <x:c r="E62" t="str">
        <x:v>Tarjeta de crédito</x:v>
      </x:c>
      <x:c r="F62" t="n">
        <x:v>5940000</x:v>
      </x:c>
      <x:c r="G62" s="40" t="n">
        <x:v>0.1256</x:v>
      </x:c>
      <x:c r="H62" s="40" t="n">
        <x:v>0.009908</x:v>
      </x:c>
      <x:c r="I62" t="n">
        <x:v>24</x:v>
      </x:c>
      <x:c r="J62" t="n">
        <x:v>279300</x:v>
      </x:c>
      <x:c r="K62" t="str">
        <x:v>Avalancha</x:v>
      </x:c>
      <x:c r="L62" t="str">
        <x:v>Vigente</x:v>
      </x:c>
      <x:c r="M62" t="n">
        <x:v>2695048.14</x:v>
      </x:c>
      <x:c r="N62"/>
    </x:row>
    <x:row r="63">
      <x:c r="A63" t="str">
        <x:v>DEU-000062</x:v>
      </x:c>
      <x:c r="B63" t="str">
        <x:v>USR-00036</x:v>
      </x:c>
      <x:c r="C63" t="n">
        <x:v>45689</x:v>
      </x:c>
      <x:c r="D63" t="str">
        <x:v>Entidad financiera A</x:v>
      </x:c>
      <x:c r="E63" t="str">
        <x:v>Crédito de consumo</x:v>
      </x:c>
      <x:c r="F63" t="n">
        <x:v>18730000</x:v>
      </x:c>
      <x:c r="G63" s="40" t="n">
        <x:v>0.2631</x:v>
      </x:c>
      <x:c r="H63" s="40" t="n">
        <x:v>0.019655</x:v>
      </x:c>
      <x:c r="I63" t="n">
        <x:v>36</x:v>
      </x:c>
      <x:c r="J63" t="n">
        <x:v>730800</x:v>
      </x:c>
      <x:c r="K63" t="str">
        <x:v>Bola de nieve</x:v>
      </x:c>
      <x:c r="L63" t="str">
        <x:v>Vigente</x:v>
      </x:c>
      <x:c r="M63" t="n">
        <x:v>15419207.88</x:v>
      </x:c>
      <x:c r="N63"/>
    </x:row>
    <x:row r="64">
      <x:c r="A64" t="str">
        <x:v>DEU-000063</x:v>
      </x:c>
      <x:c r="B64" t="str">
        <x:v>USR-00037</x:v>
      </x:c>
      <x:c r="C64" t="n">
        <x:v>45689</x:v>
      </x:c>
      <x:c r="D64" t="str">
        <x:v>Entidad financiera B</x:v>
      </x:c>
      <x:c r="E64" t="str">
        <x:v>Crédito de libre inversión</x:v>
      </x:c>
      <x:c r="F64" t="n">
        <x:v>9040000</x:v>
      </x:c>
      <x:c r="G64" s="40" t="n">
        <x:v>0.2368</x:v>
      </x:c>
      <x:c r="H64" s="40" t="n">
        <x:v>0.017868</x:v>
      </x:c>
      <x:c r="I64" t="n">
        <x:v>30</x:v>
      </x:c>
      <x:c r="J64" t="n">
        <x:v>391900</x:v>
      </x:c>
      <x:c r="K64" t="str">
        <x:v>Avalancha</x:v>
      </x:c>
      <x:c r="L64" t="str">
        <x:v>Vigente</x:v>
      </x:c>
      <x:c r="M64" t="n">
        <x:v>5354304.35</x:v>
      </x:c>
      <x:c r="N64"/>
    </x:row>
    <x:row r="65">
      <x:c r="A65" t="str">
        <x:v>DEU-000064</x:v>
      </x:c>
      <x:c r="B65" t="str">
        <x:v>USR-00037</x:v>
      </x:c>
      <x:c r="C65" t="n">
        <x:v>45689</x:v>
      </x:c>
      <x:c r="D65" t="str">
        <x:v>Cooperativa C</x:v>
      </x:c>
      <x:c r="E65" t="str">
        <x:v>Tarjeta de crédito</x:v>
      </x:c>
      <x:c r="F65" t="n">
        <x:v>3450000</x:v>
      </x:c>
      <x:c r="G65" s="40" t="n">
        <x:v>0.176</x:v>
      </x:c>
      <x:c r="H65" s="40" t="n">
        <x:v>0.013602</x:v>
      </x:c>
      <x:c r="I65" t="n">
        <x:v>36</x:v>
      </x:c>
      <x:c r="J65" t="n">
        <x:v>121800</x:v>
      </x:c>
      <x:c r="K65" t="str">
        <x:v>Bola de nieve</x:v>
      </x:c>
      <x:c r="L65" t="str">
        <x:v>Vigente</x:v>
      </x:c>
      <x:c r="M65" t="n">
        <x:v>2041774.04</x:v>
      </x:c>
      <x:c r="N65"/>
    </x:row>
    <x:row r="66">
      <x:c r="A66" t="str">
        <x:v>DEU-000065</x:v>
      </x:c>
      <x:c r="B66" t="str">
        <x:v>USR-00038</x:v>
      </x:c>
      <x:c r="C66" t="n">
        <x:v>45689</x:v>
      </x:c>
      <x:c r="D66" t="str">
        <x:v>Entidad financiera B</x:v>
      </x:c>
      <x:c r="E66" t="str">
        <x:v>Crédito comercial</x:v>
      </x:c>
      <x:c r="F66" t="n">
        <x:v>9100000</x:v>
      </x:c>
      <x:c r="G66" s="40" t="n">
        <x:v>0.1962</x:v>
      </x:c>
      <x:c r="H66" s="40" t="n">
        <x:v>0.015041</x:v>
      </x:c>
      <x:c r="I66" t="n">
        <x:v>24</x:v>
      </x:c>
      <x:c r="J66" t="n">
        <x:v>454500</x:v>
      </x:c>
      <x:c r="K66" t="str">
        <x:v>Avalancha</x:v>
      </x:c>
      <x:c r="L66" t="str">
        <x:v>Vigente</x:v>
      </x:c>
      <x:c r="M66" t="n">
        <x:v>2835510.51</x:v>
      </x:c>
      <x:c r="N66"/>
    </x:row>
    <x:row r="67">
      <x:c r="A67" t="str">
        <x:v>DEU-000066</x:v>
      </x:c>
      <x:c r="B67" t="str">
        <x:v>USR-00038</x:v>
      </x:c>
      <x:c r="C67" t="n">
        <x:v>45689</x:v>
      </x:c>
      <x:c r="D67" t="str">
        <x:v>Entidad financiera E</x:v>
      </x:c>
      <x:c r="E67" t="str">
        <x:v>Crédito educativo</x:v>
      </x:c>
      <x:c r="F67" t="n">
        <x:v>25750000</x:v>
      </x:c>
      <x:c r="G67" s="40" t="n">
        <x:v>0.1566</x:v>
      </x:c>
      <x:c r="H67" s="40" t="n">
        <x:v>0.012198</x:v>
      </x:c>
      <x:c r="I67" t="n">
        <x:v>36</x:v>
      </x:c>
      <x:c r="J67" t="n">
        <x:v>888100</x:v>
      </x:c>
      <x:c r="K67" t="str">
        <x:v>Avalancha</x:v>
      </x:c>
      <x:c r="L67" t="str">
        <x:v>Vigente</x:v>
      </x:c>
      <x:c r="M67" t="n">
        <x:v>15083834.05</x:v>
      </x:c>
      <x:c r="N67"/>
    </x:row>
    <x:row r="68">
      <x:c r="A68" t="str">
        <x:v>DEU-000067</x:v>
      </x:c>
      <x:c r="B68" t="str">
        <x:v>USR-00039</x:v>
      </x:c>
      <x:c r="C68" t="n">
        <x:v>45689</x:v>
      </x:c>
      <x:c r="D68" t="str">
        <x:v>Entidad financiera B</x:v>
      </x:c>
      <x:c r="E68" t="str">
        <x:v>Crédito de consumo</x:v>
      </x:c>
      <x:c r="F68" t="n">
        <x:v>17650000</x:v>
      </x:c>
      <x:c r="G68" s="40" t="n">
        <x:v>0.2233</x:v>
      </x:c>
      <x:c r="H68" s="40" t="n">
        <x:v>0.016938</x:v>
      </x:c>
      <x:c r="I68" t="n">
        <x:v>60</x:v>
      </x:c>
      <x:c r="J68" t="n">
        <x:v>470800</x:v>
      </x:c>
      <x:c r="K68" t="str">
        <x:v>Bola de nieve</x:v>
      </x:c>
      <x:c r="L68" t="str">
        <x:v>Vigente</x:v>
      </x:c>
      <x:c r="M68" t="n">
        <x:v>16175734.21</x:v>
      </x:c>
      <x:c r="N68"/>
    </x:row>
    <x:row r="69">
      <x:c r="A69" t="str">
        <x:v>DEU-000068</x:v>
      </x:c>
      <x:c r="B69" t="str">
        <x:v>USR-00039</x:v>
      </x:c>
      <x:c r="C69" t="n">
        <x:v>45689</x:v>
      </x:c>
      <x:c r="D69" t="str">
        <x:v>Cooperativa C</x:v>
      </x:c>
      <x:c r="E69" t="str">
        <x:v>Crédito de consumo</x:v>
      </x:c>
      <x:c r="F69" t="n">
        <x:v>13970000</x:v>
      </x:c>
      <x:c r="G69" s="40" t="n">
        <x:v>0.124</x:v>
      </x:c>
      <x:c r="H69" s="40" t="n">
        <x:v>0.009789</x:v>
      </x:c>
      <x:c r="I69" t="n">
        <x:v>12</x:v>
      </x:c>
      <x:c r="J69" t="n">
        <x:v>1239600</x:v>
      </x:c>
      <x:c r="K69" t="str">
        <x:v>Avalancha</x:v>
      </x:c>
      <x:c r="L69" t="str">
        <x:v>Pagada</x:v>
      </x:c>
      <x:c r="M69" t="n">
        <x:v>0</x:v>
      </x:c>
      <x:c r="N69" t="n">
        <x:v>46143</x:v>
      </x:c>
    </x:row>
    <x:row r="70">
      <x:c r="A70" t="str">
        <x:v>DEU-000069</x:v>
      </x:c>
      <x:c r="B70" t="str">
        <x:v>USR-00040</x:v>
      </x:c>
      <x:c r="C70" t="n">
        <x:v>45689</x:v>
      </x:c>
      <x:c r="D70" t="str">
        <x:v>Cooperativa C</x:v>
      </x:c>
      <x:c r="E70" t="str">
        <x:v>Crédito de consumo</x:v>
      </x:c>
      <x:c r="F70" t="n">
        <x:v>11340000</x:v>
      </x:c>
      <x:c r="G70" s="40" t="n">
        <x:v>0.2892</x:v>
      </x:c>
      <x:c r="H70" s="40" t="n">
        <x:v>0.021394</x:v>
      </x:c>
      <x:c r="I70" t="n">
        <x:v>30</x:v>
      </x:c>
      <x:c r="J70" t="n">
        <x:v>516100</x:v>
      </x:c>
      <x:c r="K70" t="str">
        <x:v>Bola de nieve</x:v>
      </x:c>
      <x:c r="L70" t="str">
        <x:v>Vigente</x:v>
      </x:c>
      <x:c r="M70" t="n">
        <x:v>11986341.45</x:v>
      </x:c>
      <x:c r="N70"/>
    </x:row>
    <x:row r="71">
      <x:c r="A71" t="str">
        <x:v>DEU-000070</x:v>
      </x:c>
      <x:c r="B71" t="str">
        <x:v>USR-00040</x:v>
      </x:c>
      <x:c r="C71" t="n">
        <x:v>45689</x:v>
      </x:c>
      <x:c r="D71" t="str">
        <x:v>Financiera D</x:v>
      </x:c>
      <x:c r="E71" t="str">
        <x:v>Crédito de consumo</x:v>
      </x:c>
      <x:c r="F71" t="n">
        <x:v>16100000</x:v>
      </x:c>
      <x:c r="G71" s="40" t="n">
        <x:v>0.1226</x:v>
      </x:c>
      <x:c r="H71" s="40" t="n">
        <x:v>0.009684</x:v>
      </x:c>
      <x:c r="I71" t="n">
        <x:v>24</x:v>
      </x:c>
      <x:c r="J71" t="n">
        <x:v>755000</x:v>
      </x:c>
      <x:c r="K71" t="str">
        <x:v>Bola de nieve</x:v>
      </x:c>
      <x:c r="L71" t="str">
        <x:v>Vigente</x:v>
      </x:c>
      <x:c r="M71" t="n">
        <x:v>11581296.24</x:v>
      </x:c>
      <x:c r="N71"/>
    </x:row>
    <x:row r="72">
      <x:c r="A72" t="str">
        <x:v>DEU-000071</x:v>
      </x:c>
      <x:c r="B72" t="str">
        <x:v>USR-00041</x:v>
      </x:c>
      <x:c r="C72" t="n">
        <x:v>45689</x:v>
      </x:c>
      <x:c r="D72" t="str">
        <x:v>Entidad financiera E</x:v>
      </x:c>
      <x:c r="E72" t="str">
        <x:v>Crédito de vehículo</x:v>
      </x:c>
      <x:c r="F72" t="n">
        <x:v>22870000</x:v>
      </x:c>
      <x:c r="G72" s="40" t="n">
        <x:v>0.3062</x:v>
      </x:c>
      <x:c r="H72" s="40" t="n">
        <x:v>0.02251</x:v>
      </x:c>
      <x:c r="I72" t="n">
        <x:v>12</x:v>
      </x:c>
      <x:c r="J72" t="n">
        <x:v>2196000</x:v>
      </x:c>
      <x:c r="K72" t="str">
        <x:v>Bola de nieve</x:v>
      </x:c>
      <x:c r="L72" t="str">
        <x:v>Pagada</x:v>
      </x:c>
      <x:c r="M72" t="n">
        <x:v>0</x:v>
      </x:c>
      <x:c r="N72" t="n">
        <x:v>46174</x:v>
      </x:c>
    </x:row>
    <x:row r="73">
      <x:c r="A73" t="str">
        <x:v>DEU-000072</x:v>
      </x:c>
      <x:c r="B73" t="str">
        <x:v>USR-00042</x:v>
      </x:c>
      <x:c r="C73" t="n">
        <x:v>45689</x:v>
      </x:c>
      <x:c r="D73" t="str">
        <x:v>Entidad financiera A</x:v>
      </x:c>
      <x:c r="E73" t="str">
        <x:v>Tarjeta de crédito</x:v>
      </x:c>
      <x:c r="F73" t="n">
        <x:v>5370000</x:v>
      </x:c>
      <x:c r="G73" s="40" t="n">
        <x:v>0.2103</x:v>
      </x:c>
      <x:c r="H73" s="40" t="n">
        <x:v>0.016033</x:v>
      </x:c>
      <x:c r="I73" t="n">
        <x:v>60</x:v>
      </x:c>
      <x:c r="J73" t="n">
        <x:v>140000</x:v>
      </x:c>
      <x:c r="K73" t="str">
        <x:v>Bola de nieve</x:v>
      </x:c>
      <x:c r="L73" t="str">
        <x:v>Vigente</x:v>
      </x:c>
      <x:c r="M73" t="n">
        <x:v>4937827.44</x:v>
      </x:c>
      <x:c r="N73"/>
    </x:row>
    <x:row r="74">
      <x:c r="A74" t="str">
        <x:v>DEU-000073</x:v>
      </x:c>
      <x:c r="B74" t="str">
        <x:v>USR-00042</x:v>
      </x:c>
      <x:c r="C74" t="n">
        <x:v>45689</x:v>
      </x:c>
      <x:c r="D74" t="str">
        <x:v>Entidad financiera A</x:v>
      </x:c>
      <x:c r="E74" t="str">
        <x:v>Crédito de libre inversión</x:v>
      </x:c>
      <x:c r="F74" t="n">
        <x:v>3780000</x:v>
      </x:c>
      <x:c r="G74" s="40" t="n">
        <x:v>0.2014</x:v>
      </x:c>
      <x:c r="H74" s="40" t="n">
        <x:v>0.015408</x:v>
      </x:c>
      <x:c r="I74" t="n">
        <x:v>36</x:v>
      </x:c>
      <x:c r="J74" t="n">
        <x:v>137600</x:v>
      </x:c>
      <x:c r="K74" t="str">
        <x:v>Bola de nieve</x:v>
      </x:c>
      <x:c r="L74" t="str">
        <x:v>Vigente</x:v>
      </x:c>
      <x:c r="M74" t="n">
        <x:v>2171832.02</x:v>
      </x:c>
      <x:c r="N74"/>
    </x:row>
    <x:row r="75">
      <x:c r="A75" t="str">
        <x:v>DEU-000074</x:v>
      </x:c>
      <x:c r="B75" t="str">
        <x:v>USR-00043</x:v>
      </x:c>
      <x:c r="C75" t="n">
        <x:v>45689</x:v>
      </x:c>
      <x:c r="D75" t="str">
        <x:v>Cooperativa C</x:v>
      </x:c>
      <x:c r="E75" t="str">
        <x:v>Crédito de libre inversión</x:v>
      </x:c>
      <x:c r="F75" t="n">
        <x:v>3280000</x:v>
      </x:c>
      <x:c r="G75" s="40" t="n">
        <x:v>0.1769</x:v>
      </x:c>
      <x:c r="H75" s="40" t="n">
        <x:v>0.013666</x:v>
      </x:c>
      <x:c r="I75" t="n">
        <x:v>36</x:v>
      </x:c>
      <x:c r="J75" t="n">
        <x:v>116000</x:v>
      </x:c>
      <x:c r="K75" t="str">
        <x:v>Avalancha</x:v>
      </x:c>
      <x:c r="L75" t="str">
        <x:v>Vigente</x:v>
      </x:c>
      <x:c r="M75" t="n">
        <x:v>2061917.4</x:v>
      </x:c>
      <x:c r="N75"/>
    </x:row>
    <x:row r="76">
      <x:c r="A76" t="str">
        <x:v>DEU-000075</x:v>
      </x:c>
      <x:c r="B76" t="str">
        <x:v>USR-00043</x:v>
      </x:c>
      <x:c r="C76" t="n">
        <x:v>45689</x:v>
      </x:c>
      <x:c r="D76" t="str">
        <x:v>Cooperativa C</x:v>
      </x:c>
      <x:c r="E76" t="str">
        <x:v>Crédito educativo</x:v>
      </x:c>
      <x:c r="F76" t="n">
        <x:v>24030000</x:v>
      </x:c>
      <x:c r="G76" s="40" t="n">
        <x:v>0.2708</x:v>
      </x:c>
      <x:c r="H76" s="40" t="n">
        <x:v>0.020171</x:v>
      </x:c>
      <x:c r="I76" t="n">
        <x:v>36</x:v>
      </x:c>
      <x:c r="J76" t="n">
        <x:v>945400</x:v>
      </x:c>
      <x:c r="K76" t="str">
        <x:v>Bola de nieve</x:v>
      </x:c>
      <x:c r="L76" t="str">
        <x:v>Vigente</x:v>
      </x:c>
      <x:c r="M76" t="n">
        <x:v>17359262.59</x:v>
      </x:c>
      <x:c r="N76"/>
    </x:row>
    <x:row r="77">
      <x:c r="A77" t="str">
        <x:v>DEU-000076</x:v>
      </x:c>
      <x:c r="B77" t="str">
        <x:v>USR-00044</x:v>
      </x:c>
      <x:c r="C77" t="n">
        <x:v>45689</x:v>
      </x:c>
      <x:c r="D77" t="str">
        <x:v>Entidad financiera A</x:v>
      </x:c>
      <x:c r="E77" t="str">
        <x:v>Crédito de libre inversión</x:v>
      </x:c>
      <x:c r="F77" t="n">
        <x:v>21940000</x:v>
      </x:c>
      <x:c r="G77" s="40" t="n">
        <x:v>0.2296</x:v>
      </x:c>
      <x:c r="H77" s="40" t="n">
        <x:v>0.017373</x:v>
      </x:c>
      <x:c r="I77" t="n">
        <x:v>30</x:v>
      </x:c>
      <x:c r="J77" t="n">
        <x:v>944600</x:v>
      </x:c>
      <x:c r="K77" t="str">
        <x:v>Bola de nieve</x:v>
      </x:c>
      <x:c r="L77" t="str">
        <x:v>Vigente</x:v>
      </x:c>
      <x:c r="M77" t="n">
        <x:v>16684794.22</x:v>
      </x:c>
      <x:c r="N77"/>
    </x:row>
    <x:row r="78">
      <x:c r="A78" t="str">
        <x:v>DEU-000077</x:v>
      </x:c>
      <x:c r="B78" t="str">
        <x:v>USR-00044</x:v>
      </x:c>
      <x:c r="C78" t="n">
        <x:v>45689</x:v>
      </x:c>
      <x:c r="D78" t="str">
        <x:v>Entidad financiera E</x:v>
      </x:c>
      <x:c r="E78" t="str">
        <x:v>Crédito de consumo</x:v>
      </x:c>
      <x:c r="F78" t="n">
        <x:v>10630000</x:v>
      </x:c>
      <x:c r="G78" s="40" t="n">
        <x:v>0.31</x:v>
      </x:c>
      <x:c r="H78" s="40" t="n">
        <x:v>0.022757</x:v>
      </x:c>
      <x:c r="I78" t="n">
        <x:v>60</x:v>
      </x:c>
      <x:c r="J78" t="n">
        <x:v>326600</x:v>
      </x:c>
      <x:c r="K78" t="str">
        <x:v>Bola de nieve</x:v>
      </x:c>
      <x:c r="L78" t="str">
        <x:v>Vigente</x:v>
      </x:c>
      <x:c r="M78" t="n">
        <x:v>9448602.46</x:v>
      </x:c>
      <x:c r="N78"/>
    </x:row>
    <x:row r="79">
      <x:c r="A79" t="str">
        <x:v>DEU-000078</x:v>
      </x:c>
      <x:c r="B79" t="str">
        <x:v>USR-00045</x:v>
      </x:c>
      <x:c r="C79" t="n">
        <x:v>45689</x:v>
      </x:c>
      <x:c r="D79" t="str">
        <x:v>Financiera D</x:v>
      </x:c>
      <x:c r="E79" t="str">
        <x:v>Tarjeta de crédito</x:v>
      </x:c>
      <x:c r="F79" t="n">
        <x:v>8390000</x:v>
      </x:c>
      <x:c r="G79" s="40" t="n">
        <x:v>0.2776</x:v>
      </x:c>
      <x:c r="H79" s="40" t="n">
        <x:v>0.020625</x:v>
      </x:c>
      <x:c r="I79" t="n">
        <x:v>12</x:v>
      </x:c>
      <x:c r="J79" t="n">
        <x:v>796400</x:v>
      </x:c>
      <x:c r="K79" t="str">
        <x:v>Bola de nieve</x:v>
      </x:c>
      <x:c r="L79" t="str">
        <x:v>Vigente</x:v>
      </x:c>
      <x:c r="M79" t="n">
        <x:v>2956573.56</x:v>
      </x:c>
      <x:c r="N79"/>
    </x:row>
    <x:row r="80">
      <x:c r="A80" t="str">
        <x:v>DEU-000079</x:v>
      </x:c>
      <x:c r="B80" t="str">
        <x:v>USR-00046</x:v>
      </x:c>
      <x:c r="C80" t="n">
        <x:v>45689</x:v>
      </x:c>
      <x:c r="D80" t="str">
        <x:v>Financiera D</x:v>
      </x:c>
      <x:c r="E80" t="str">
        <x:v>Crédito de consumo</x:v>
      </x:c>
      <x:c r="F80" t="n">
        <x:v>7300000</x:v>
      </x:c>
      <x:c r="G80" s="40" t="n">
        <x:v>0.319</x:v>
      </x:c>
      <x:c r="H80" s="40" t="n">
        <x:v>0.023341</x:v>
      </x:c>
      <x:c r="I80" t="n">
        <x:v>60</x:v>
      </x:c>
      <x:c r="J80" t="n">
        <x:v>227300</x:v>
      </x:c>
      <x:c r="K80" t="str">
        <x:v>Avalancha</x:v>
      </x:c>
      <x:c r="L80" t="str">
        <x:v>Vigente</x:v>
      </x:c>
      <x:c r="M80" t="n">
        <x:v>7168889.59</x:v>
      </x:c>
      <x:c r="N80"/>
    </x:row>
    <x:row r="81">
      <x:c r="A81" t="str">
        <x:v>DEU-000080</x:v>
      </x:c>
      <x:c r="B81" t="str">
        <x:v>USR-00047</x:v>
      </x:c>
      <x:c r="C81" t="n">
        <x:v>45689</x:v>
      </x:c>
      <x:c r="D81" t="str">
        <x:v>Entidad financiera E</x:v>
      </x:c>
      <x:c r="E81" t="str">
        <x:v>Crédito de consumo</x:v>
      </x:c>
      <x:c r="F81" t="n">
        <x:v>3520000</x:v>
      </x:c>
      <x:c r="G81" s="40" t="n">
        <x:v>0.3262</x:v>
      </x:c>
      <x:c r="H81" s="40" t="n">
        <x:v>0.023805</x:v>
      </x:c>
      <x:c r="I81" t="n">
        <x:v>30</x:v>
      </x:c>
      <x:c r="J81" t="n">
        <x:v>165500</x:v>
      </x:c>
      <x:c r="K81" t="str">
        <x:v>Bola de nieve</x:v>
      </x:c>
      <x:c r="L81" t="str">
        <x:v>Vigente</x:v>
      </x:c>
      <x:c r="M81" t="n">
        <x:v>2720295.06</x:v>
      </x:c>
      <x:c r="N81"/>
    </x:row>
    <x:row r="82">
      <x:c r="A82" t="str">
        <x:v>DEU-000081</x:v>
      </x:c>
      <x:c r="B82" t="str">
        <x:v>USR-00047</x:v>
      </x:c>
      <x:c r="C82" t="n">
        <x:v>45689</x:v>
      </x:c>
      <x:c r="D82" t="str">
        <x:v>Entidad financiera E</x:v>
      </x:c>
      <x:c r="E82" t="str">
        <x:v>Tarjeta de crédito</x:v>
      </x:c>
      <x:c r="F82" t="n">
        <x:v>7450000</x:v>
      </x:c>
      <x:c r="G82" s="40" t="n">
        <x:v>0.2847</x:v>
      </x:c>
      <x:c r="H82" s="40" t="n">
        <x:v>0.021097</x:v>
      </x:c>
      <x:c r="I82" t="n">
        <x:v>24</x:v>
      </x:c>
      <x:c r="J82" t="n">
        <x:v>398800</x:v>
      </x:c>
      <x:c r="K82" t="str">
        <x:v>Bola de nieve</x:v>
      </x:c>
      <x:c r="L82" t="str">
        <x:v>Vigente</x:v>
      </x:c>
      <x:c r="M82" t="n">
        <x:v>6242868.41</x:v>
      </x:c>
      <x:c r="N82"/>
    </x:row>
    <x:row r="83">
      <x:c r="A83" t="str">
        <x:v>DEU-000082</x:v>
      </x:c>
      <x:c r="B83" t="str">
        <x:v>USR-00048</x:v>
      </x:c>
      <x:c r="C83" t="n">
        <x:v>45689</x:v>
      </x:c>
      <x:c r="D83" t="str">
        <x:v>Cooperativa C</x:v>
      </x:c>
      <x:c r="E83" t="str">
        <x:v>Crédito de libre inversión</x:v>
      </x:c>
      <x:c r="F83" t="n">
        <x:v>17020000</x:v>
      </x:c>
      <x:c r="G83" s="40" t="n">
        <x:v>0.1164</x:v>
      </x:c>
      <x:c r="H83" s="40" t="n">
        <x:v>0.009218</x:v>
      </x:c>
      <x:c r="I83" t="n">
        <x:v>30</x:v>
      </x:c>
      <x:c r="J83" t="n">
        <x:v>652000</x:v>
      </x:c>
      <x:c r="K83" t="str">
        <x:v>Avalancha</x:v>
      </x:c>
      <x:c r="L83" t="str">
        <x:v>Vigente</x:v>
      </x:c>
      <x:c r="M83" t="n">
        <x:v>7415261.49</x:v>
      </x:c>
      <x:c r="N83"/>
    </x:row>
    <x:row r="84">
      <x:c r="A84" t="str">
        <x:v>DEU-000083</x:v>
      </x:c>
      <x:c r="B84" t="str">
        <x:v>USR-00048</x:v>
      </x:c>
      <x:c r="C84" t="n">
        <x:v>45689</x:v>
      </x:c>
      <x:c r="D84" t="str">
        <x:v>Cooperativa C</x:v>
      </x:c>
      <x:c r="E84" t="str">
        <x:v>Crédito de libre inversión</x:v>
      </x:c>
      <x:c r="F84" t="n">
        <x:v>23670000</x:v>
      </x:c>
      <x:c r="G84" s="40" t="n">
        <x:v>0.1119</x:v>
      </x:c>
      <x:c r="H84" s="40" t="n">
        <x:v>0.008878</x:v>
      </x:c>
      <x:c r="I84" t="n">
        <x:v>36</x:v>
      </x:c>
      <x:c r="J84" t="n">
        <x:v>771100</x:v>
      </x:c>
      <x:c r="K84" t="str">
        <x:v>Bola de nieve</x:v>
      </x:c>
      <x:c r="L84" t="str">
        <x:v>Vigente</x:v>
      </x:c>
      <x:c r="M84" t="n">
        <x:v>13207230.73</x:v>
      </x:c>
      <x:c r="N84"/>
    </x:row>
    <x:row r="85">
      <x:c r="A85" t="str">
        <x:v>DEU-000084</x:v>
      </x:c>
      <x:c r="B85" t="str">
        <x:v>USR-00049</x:v>
      </x:c>
      <x:c r="C85" t="n">
        <x:v>45689</x:v>
      </x:c>
      <x:c r="D85" t="str">
        <x:v>Cooperativa C</x:v>
      </x:c>
      <x:c r="E85" t="str">
        <x:v>Crédito de libre inversión</x:v>
      </x:c>
      <x:c r="F85" t="n">
        <x:v>20810000</x:v>
      </x:c>
      <x:c r="G85" s="40" t="n">
        <x:v>0.2472</x:v>
      </x:c>
      <x:c r="H85" s="40" t="n">
        <x:v>0.018579</x:v>
      </x:c>
      <x:c r="I85" t="n">
        <x:v>60</x:v>
      </x:c>
      <x:c r="J85" t="n">
        <x:v>578200</x:v>
      </x:c>
      <x:c r="K85" t="str">
        <x:v>Bola de nieve</x:v>
      </x:c>
      <x:c r="L85" t="str">
        <x:v>Vigente</x:v>
      </x:c>
      <x:c r="M85" t="n">
        <x:v>18303757.66</x:v>
      </x:c>
      <x:c r="N85"/>
    </x:row>
    <x:row r="86">
      <x:c r="A86" t="str">
        <x:v>DEU-000085</x:v>
      </x:c>
      <x:c r="B86" t="str">
        <x:v>USR-00050</x:v>
      </x:c>
      <x:c r="C86" t="n">
        <x:v>45689</x:v>
      </x:c>
      <x:c r="D86" t="str">
        <x:v>Entidad financiera E</x:v>
      </x:c>
      <x:c r="E86" t="str">
        <x:v>Tarjeta de crédito</x:v>
      </x:c>
      <x:c r="F86" t="n">
        <x:v>4080000</x:v>
      </x:c>
      <x:c r="G86" s="40" t="n">
        <x:v>0.2408</x:v>
      </x:c>
      <x:c r="H86" s="40" t="n">
        <x:v>0.018142</x:v>
      </x:c>
      <x:c r="I86" t="n">
        <x:v>48</x:v>
      </x:c>
      <x:c r="J86" t="n">
        <x:v>128000</x:v>
      </x:c>
      <x:c r="K86" t="str">
        <x:v>Bola de nieve</x:v>
      </x:c>
      <x:c r="L86" t="str">
        <x:v>Vigente</x:v>
      </x:c>
      <x:c r="M86" t="n">
        <x:v>3074158.98</x:v>
      </x:c>
      <x:c r="N86"/>
    </x:row>
    <x:row r="87">
      <x:c r="A87" t="str">
        <x:v>DEU-000086</x:v>
      </x:c>
      <x:c r="B87" t="str">
        <x:v>USR-00051</x:v>
      </x:c>
      <x:c r="C87" t="n">
        <x:v>45689</x:v>
      </x:c>
      <x:c r="D87" t="str">
        <x:v>Financiera D</x:v>
      </x:c>
      <x:c r="E87" t="str">
        <x:v>Tarjeta de crédito</x:v>
      </x:c>
      <x:c r="F87" t="n">
        <x:v>5070000</x:v>
      </x:c>
      <x:c r="G87" s="40" t="n">
        <x:v>0.1476</x:v>
      </x:c>
      <x:c r="H87" s="40" t="n">
        <x:v>0.011539</x:v>
      </x:c>
      <x:c r="I87" t="n">
        <x:v>18</x:v>
      </x:c>
      <x:c r="J87" t="n">
        <x:v>313500</x:v>
      </x:c>
      <x:c r="K87" t="str">
        <x:v>Avalancha</x:v>
      </x:c>
      <x:c r="L87" t="str">
        <x:v>Vigente</x:v>
      </x:c>
      <x:c r="M87" t="n">
        <x:v>850126.08</x:v>
      </x:c>
      <x:c r="N87"/>
    </x:row>
    <x:row r="88">
      <x:c r="A88" t="str">
        <x:v>DEU-000087</x:v>
      </x:c>
      <x:c r="B88" t="str">
        <x:v>USR-00051</x:v>
      </x:c>
      <x:c r="C88" t="n">
        <x:v>45689</x:v>
      </x:c>
      <x:c r="D88" t="str">
        <x:v>Entidad financiera A</x:v>
      </x:c>
      <x:c r="E88" t="str">
        <x:v>Crédito educativo</x:v>
      </x:c>
      <x:c r="F88" t="n">
        <x:v>23780000</x:v>
      </x:c>
      <x:c r="G88" s="40" t="n">
        <x:v>0.203</x:v>
      </x:c>
      <x:c r="H88" s="40" t="n">
        <x:v>0.015521</x:v>
      </x:c>
      <x:c r="I88" t="n">
        <x:v>18</x:v>
      </x:c>
      <x:c r="J88" t="n">
        <x:v>1524400</x:v>
      </x:c>
      <x:c r="K88" t="str">
        <x:v>Avalancha</x:v>
      </x:c>
      <x:c r="L88" t="str">
        <x:v>Vigente</x:v>
      </x:c>
      <x:c r="M88" t="n">
        <x:v>1302545.12</x:v>
      </x:c>
      <x:c r="N88"/>
    </x:row>
    <x:row r="89">
      <x:c r="A89" t="str">
        <x:v>DEU-000088</x:v>
      </x:c>
      <x:c r="B89" t="str">
        <x:v>USR-00051</x:v>
      </x:c>
      <x:c r="C89" t="n">
        <x:v>45689</x:v>
      </x:c>
      <x:c r="D89" t="str">
        <x:v>Entidad financiera E</x:v>
      </x:c>
      <x:c r="E89" t="str">
        <x:v>Crédito de libre inversión</x:v>
      </x:c>
      <x:c r="F89" t="n">
        <x:v>7400000</x:v>
      </x:c>
      <x:c r="G89" s="40" t="n">
        <x:v>0.1996</x:v>
      </x:c>
      <x:c r="H89" s="40" t="n">
        <x:v>0.015281</x:v>
      </x:c>
      <x:c r="I89" t="n">
        <x:v>12</x:v>
      </x:c>
      <x:c r="J89" t="n">
        <x:v>679600</x:v>
      </x:c>
      <x:c r="K89" t="str">
        <x:v>Avalancha</x:v>
      </x:c>
      <x:c r="L89" t="str">
        <x:v>Pagada</x:v>
      </x:c>
      <x:c r="M89" t="n">
        <x:v>0</x:v>
      </x:c>
      <x:c r="N89" t="n">
        <x:v>46174</x:v>
      </x:c>
    </x:row>
    <x:row r="90">
      <x:c r="A90" t="str">
        <x:v>DEU-000089</x:v>
      </x:c>
      <x:c r="B90" t="str">
        <x:v>USR-00051</x:v>
      </x:c>
      <x:c r="C90" t="n">
        <x:v>45689</x:v>
      </x:c>
      <x:c r="D90" t="str">
        <x:v>Entidad financiera A</x:v>
      </x:c>
      <x:c r="E90" t="str">
        <x:v>Tarjeta de crédito</x:v>
      </x:c>
      <x:c r="F90" t="n">
        <x:v>3510000</x:v>
      </x:c>
      <x:c r="G90" s="40" t="n">
        <x:v>0.1677</x:v>
      </x:c>
      <x:c r="H90" s="40" t="n">
        <x:v>0.013003</x:v>
      </x:c>
      <x:c r="I90" t="n">
        <x:v>12</x:v>
      </x:c>
      <x:c r="J90" t="n">
        <x:v>317800</x:v>
      </x:c>
      <x:c r="K90" t="str">
        <x:v>Bola de nieve</x:v>
      </x:c>
      <x:c r="L90" t="str">
        <x:v>Pagada</x:v>
      </x:c>
      <x:c r="M90" t="n">
        <x:v>0</x:v>
      </x:c>
      <x:c r="N90" t="n">
        <x:v>46235</x:v>
      </x:c>
    </x:row>
    <x:row r="91">
      <x:c r="A91" t="str">
        <x:v>DEU-000090</x:v>
      </x:c>
      <x:c r="B91" t="str">
        <x:v>USR-00051</x:v>
      </x:c>
      <x:c r="C91" t="n">
        <x:v>45689</x:v>
      </x:c>
      <x:c r="D91" t="str">
        <x:v>Entidad financiera E</x:v>
      </x:c>
      <x:c r="E91" t="str">
        <x:v>Tarjeta de crédito</x:v>
      </x:c>
      <x:c r="F91" t="n">
        <x:v>4770000</x:v>
      </x:c>
      <x:c r="G91" s="40" t="n">
        <x:v>0.2703</x:v>
      </x:c>
      <x:c r="H91" s="40" t="n">
        <x:v>0.020138</x:v>
      </x:c>
      <x:c r="I91" t="n">
        <x:v>12</x:v>
      </x:c>
      <x:c r="J91" t="n">
        <x:v>451400</x:v>
      </x:c>
      <x:c r="K91" t="str">
        <x:v>Avalancha</x:v>
      </x:c>
      <x:c r="L91" t="str">
        <x:v>Pagada</x:v>
      </x:c>
      <x:c r="M91" t="n">
        <x:v>0</x:v>
      </x:c>
      <x:c r="N91" t="n">
        <x:v>46054</x:v>
      </x:c>
    </x:row>
    <x:row r="92">
      <x:c r="A92" t="str">
        <x:v>DEU-000091</x:v>
      </x:c>
      <x:c r="B92" t="str">
        <x:v>USR-00052</x:v>
      </x:c>
      <x:c r="C92" t="n">
        <x:v>45689</x:v>
      </x:c>
      <x:c r="D92" t="str">
        <x:v>Entidad financiera A</x:v>
      </x:c>
      <x:c r="E92" t="str">
        <x:v>Crédito de libre inversión</x:v>
      </x:c>
      <x:c r="F92" t="n">
        <x:v>20960000</x:v>
      </x:c>
      <x:c r="G92" s="40" t="n">
        <x:v>0.1475</x:v>
      </x:c>
      <x:c r="H92" s="40" t="n">
        <x:v>0.011531</x:v>
      </x:c>
      <x:c r="I92" t="n">
        <x:v>48</x:v>
      </x:c>
      <x:c r="J92" t="n">
        <x:v>571100</x:v>
      </x:c>
      <x:c r="K92" t="str">
        <x:v>Bola de nieve</x:v>
      </x:c>
      <x:c r="L92" t="str">
        <x:v>Vigente</x:v>
      </x:c>
      <x:c r="M92" t="n">
        <x:v>17901449.4</x:v>
      </x:c>
      <x:c r="N92"/>
    </x:row>
    <x:row r="93">
      <x:c r="A93" t="str">
        <x:v>DEU-000092</x:v>
      </x:c>
      <x:c r="B93" t="str">
        <x:v>USR-00053</x:v>
      </x:c>
      <x:c r="C93" t="n">
        <x:v>45689</x:v>
      </x:c>
      <x:c r="D93" t="str">
        <x:v>Financiera D</x:v>
      </x:c>
      <x:c r="E93" t="str">
        <x:v>Crédito de consumo</x:v>
      </x:c>
      <x:c r="F93" t="n">
        <x:v>5160000</x:v>
      </x:c>
      <x:c r="G93" s="40" t="n">
        <x:v>0.2904</x:v>
      </x:c>
      <x:c r="H93" s="40" t="n">
        <x:v>0.021473</x:v>
      </x:c>
      <x:c r="I93" t="n">
        <x:v>24</x:v>
      </x:c>
      <x:c r="J93" t="n">
        <x:v>277400</x:v>
      </x:c>
      <x:c r="K93" t="str">
        <x:v>Bola de nieve</x:v>
      </x:c>
      <x:c r="L93" t="str">
        <x:v>Vigente</x:v>
      </x:c>
      <x:c r="M93" t="n">
        <x:v>2582246.09</x:v>
      </x:c>
      <x:c r="N93"/>
    </x:row>
    <x:row r="94">
      <x:c r="A94" t="str">
        <x:v>DEU-000093</x:v>
      </x:c>
      <x:c r="B94" t="str">
        <x:v>USR-00053</x:v>
      </x:c>
      <x:c r="C94" t="n">
        <x:v>45689</x:v>
      </x:c>
      <x:c r="D94" t="str">
        <x:v>Entidad financiera B</x:v>
      </x:c>
      <x:c r="E94" t="str">
        <x:v>Tarjeta de crédito</x:v>
      </x:c>
      <x:c r="F94" t="n">
        <x:v>4870000</x:v>
      </x:c>
      <x:c r="G94" s="40" t="n">
        <x:v>0.2356</x:v>
      </x:c>
      <x:c r="H94" s="40" t="n">
        <x:v>0.017786</x:v>
      </x:c>
      <x:c r="I94" t="n">
        <x:v>18</x:v>
      </x:c>
      <x:c r="J94" t="n">
        <x:v>318600</x:v>
      </x:c>
      <x:c r="K94" t="str">
        <x:v>Avalancha</x:v>
      </x:c>
      <x:c r="L94" t="str">
        <x:v>Vigente</x:v>
      </x:c>
      <x:c r="M94" t="n">
        <x:v>1408438.62</x:v>
      </x:c>
      <x:c r="N94"/>
    </x:row>
    <x:row r="95">
      <x:c r="A95" t="str">
        <x:v>DEU-000094</x:v>
      </x:c>
      <x:c r="B95" t="str">
        <x:v>USR-00053</x:v>
      </x:c>
      <x:c r="C95" t="n">
        <x:v>45689</x:v>
      </x:c>
      <x:c r="D95" t="str">
        <x:v>Cooperativa C</x:v>
      </x:c>
      <x:c r="E95" t="str">
        <x:v>Tarjeta de crédito</x:v>
      </x:c>
      <x:c r="F95" t="n">
        <x:v>2190000</x:v>
      </x:c>
      <x:c r="G95" s="40" t="n">
        <x:v>0.2717</x:v>
      </x:c>
      <x:c r="H95" s="40" t="n">
        <x:v>0.020231</x:v>
      </x:c>
      <x:c r="I95" t="n">
        <x:v>60</x:v>
      </x:c>
      <x:c r="J95" t="n">
        <x:v>63400</x:v>
      </x:c>
      <x:c r="K95" t="str">
        <x:v>Bola de nieve</x:v>
      </x:c>
      <x:c r="L95" t="str">
        <x:v>Vigente</x:v>
      </x:c>
      <x:c r="M95" t="n">
        <x:v>2413405.72</x:v>
      </x:c>
      <x:c r="N95"/>
    </x:row>
    <x:row r="96">
      <x:c r="A96" t="str">
        <x:v>DEU-000095</x:v>
      </x:c>
      <x:c r="B96" t="str">
        <x:v>USR-00053</x:v>
      </x:c>
      <x:c r="C96" t="n">
        <x:v>45689</x:v>
      </x:c>
      <x:c r="D96" t="str">
        <x:v>Entidad financiera E</x:v>
      </x:c>
      <x:c r="E96" t="str">
        <x:v>Tarjeta de crédito</x:v>
      </x:c>
      <x:c r="F96" t="n">
        <x:v>4290000</x:v>
      </x:c>
      <x:c r="G96" s="40" t="n">
        <x:v>0.249</x:v>
      </x:c>
      <x:c r="H96" s="40" t="n">
        <x:v>0.018701</x:v>
      </x:c>
      <x:c r="I96" t="n">
        <x:v>48</x:v>
      </x:c>
      <x:c r="J96" t="n">
        <x:v>136200</x:v>
      </x:c>
      <x:c r="K96" t="str">
        <x:v>Bola de nieve</x:v>
      </x:c>
      <x:c r="L96" t="str">
        <x:v>Vigente</x:v>
      </x:c>
      <x:c r="M96" t="n">
        <x:v>3923403</x:v>
      </x:c>
      <x:c r="N96"/>
    </x:row>
    <x:row r="97">
      <x:c r="A97" t="str">
        <x:v>DEU-000096</x:v>
      </x:c>
      <x:c r="B97" t="str">
        <x:v>USR-00054</x:v>
      </x:c>
      <x:c r="C97" t="n">
        <x:v>45689</x:v>
      </x:c>
      <x:c r="D97" t="str">
        <x:v>Entidad financiera E</x:v>
      </x:c>
      <x:c r="E97" t="str">
        <x:v>Crédito de consumo</x:v>
      </x:c>
      <x:c r="F97" t="n">
        <x:v>1870000</x:v>
      </x:c>
      <x:c r="G97" s="40" t="n">
        <x:v>0.2735</x:v>
      </x:c>
      <x:c r="H97" s="40" t="n">
        <x:v>0.020352</x:v>
      </x:c>
      <x:c r="I97" t="n">
        <x:v>30</x:v>
      </x:c>
      <x:c r="J97" t="n">
        <x:v>83900</x:v>
      </x:c>
      <x:c r="K97" t="str">
        <x:v>Avalancha</x:v>
      </x:c>
      <x:c r="L97" t="str">
        <x:v>Vigente</x:v>
      </x:c>
      <x:c r="M97" t="n">
        <x:v>1248937.3</x:v>
      </x:c>
      <x:c r="N97"/>
    </x:row>
    <x:row r="98">
      <x:c r="A98" t="str">
        <x:v>DEU-000097</x:v>
      </x:c>
      <x:c r="B98" t="str">
        <x:v>USR-00054</x:v>
      </x:c>
      <x:c r="C98" t="n">
        <x:v>45689</x:v>
      </x:c>
      <x:c r="D98" t="str">
        <x:v>Entidad financiera E</x:v>
      </x:c>
      <x:c r="E98" t="str">
        <x:v>Crédito de vehículo</x:v>
      </x:c>
      <x:c r="F98" t="n">
        <x:v>31130000</x:v>
      </x:c>
      <x:c r="G98" s="40" t="n">
        <x:v>0.1791</x:v>
      </x:c>
      <x:c r="H98" s="40" t="n">
        <x:v>0.013824</x:v>
      </x:c>
      <x:c r="I98" t="n">
        <x:v>12</x:v>
      </x:c>
      <x:c r="J98" t="n">
        <x:v>2833100</x:v>
      </x:c>
      <x:c r="K98" t="str">
        <x:v>Bola de nieve</x:v>
      </x:c>
      <x:c r="L98" t="str">
        <x:v>Pagada</x:v>
      </x:c>
      <x:c r="M98" t="n">
        <x:v>0</x:v>
      </x:c>
      <x:c r="N98" t="n">
        <x:v>46143</x:v>
      </x:c>
    </x:row>
    <x:row r="99">
      <x:c r="A99" t="str">
        <x:v>DEU-000098</x:v>
      </x:c>
      <x:c r="B99" t="str">
        <x:v>USR-00054</x:v>
      </x:c>
      <x:c r="C99" t="n">
        <x:v>45689</x:v>
      </x:c>
      <x:c r="D99" t="str">
        <x:v>Entidad financiera A</x:v>
      </x:c>
      <x:c r="E99" t="str">
        <x:v>Crédito educativo</x:v>
      </x:c>
      <x:c r="F99" t="n">
        <x:v>18180000</x:v>
      </x:c>
      <x:c r="G99" s="40" t="n">
        <x:v>0.1456</x:v>
      </x:c>
      <x:c r="H99" s="40" t="n">
        <x:v>0.011392</x:v>
      </x:c>
      <x:c r="I99" t="n">
        <x:v>24</x:v>
      </x:c>
      <x:c r="J99" t="n">
        <x:v>870000</x:v>
      </x:c>
      <x:c r="K99" t="str">
        <x:v>Bola de nieve</x:v>
      </x:c>
      <x:c r="L99" t="str">
        <x:v>Vigente</x:v>
      </x:c>
      <x:c r="M99" t="n">
        <x:v>7735444.3</x:v>
      </x:c>
      <x:c r="N99"/>
    </x:row>
    <x:row r="100">
      <x:c r="A100" t="str">
        <x:v>DEU-000099</x:v>
      </x:c>
      <x:c r="B100" t="str">
        <x:v>USR-00054</x:v>
      </x:c>
      <x:c r="C100" t="n">
        <x:v>45689</x:v>
      </x:c>
      <x:c r="D100" t="str">
        <x:v>Entidad financiera A</x:v>
      </x:c>
      <x:c r="E100" t="str">
        <x:v>Crédito de libre inversión</x:v>
      </x:c>
      <x:c r="F100" t="n">
        <x:v>3050000</x:v>
      </x:c>
      <x:c r="G100" s="40" t="n">
        <x:v>0.1095</x:v>
      </x:c>
      <x:c r="H100" s="40" t="n">
        <x:v>0.008697</x:v>
      </x:c>
      <x:c r="I100" t="n">
        <x:v>18</x:v>
      </x:c>
      <x:c r="J100" t="n">
        <x:v>183800</x:v>
      </x:c>
      <x:c r="K100" t="str">
        <x:v>Avalancha</x:v>
      </x:c>
      <x:c r="L100" t="str">
        <x:v>Vigente</x:v>
      </x:c>
      <x:c r="M100" t="n">
        <x:v>775833.09</x:v>
      </x:c>
      <x:c r="N100"/>
    </x:row>
    <x:row r="101">
      <x:c r="A101" t="str">
        <x:v>DEU-000100</x:v>
      </x:c>
      <x:c r="B101" t="str">
        <x:v>USR-00055</x:v>
      </x:c>
      <x:c r="C101" t="n">
        <x:v>45689</x:v>
      </x:c>
      <x:c r="D101" t="str">
        <x:v>Entidad financiera E</x:v>
      </x:c>
      <x:c r="E101" t="str">
        <x:v>Crédito de libre inversión</x:v>
      </x:c>
      <x:c r="F101" t="n">
        <x:v>6680000</x:v>
      </x:c>
      <x:c r="G101" s="40" t="n">
        <x:v>0.1298</x:v>
      </x:c>
      <x:c r="H101" s="40" t="n">
        <x:v>0.010222</x:v>
      </x:c>
      <x:c r="I101" t="n">
        <x:v>36</x:v>
      </x:c>
      <x:c r="J101" t="n">
        <x:v>222700</x:v>
      </x:c>
      <x:c r="K101" t="str">
        <x:v>Avalancha</x:v>
      </x:c>
      <x:c r="L101" t="str">
        <x:v>Vigente</x:v>
      </x:c>
      <x:c r="M101" t="n">
        <x:v>5609647.25</x:v>
      </x:c>
      <x:c r="N101"/>
    </x:row>
    <x:row r="102">
      <x:c r="A102" t="str">
        <x:v>DEU-000101</x:v>
      </x:c>
      <x:c r="B102" t="str">
        <x:v>USR-00055</x:v>
      </x:c>
      <x:c r="C102" t="n">
        <x:v>45689</x:v>
      </x:c>
      <x:c r="D102" t="str">
        <x:v>Cooperativa C</x:v>
      </x:c>
      <x:c r="E102" t="str">
        <x:v>Crédito de consumo</x:v>
      </x:c>
      <x:c r="F102" t="n">
        <x:v>6200000</x:v>
      </x:c>
      <x:c r="G102" s="40" t="n">
        <x:v>0.3228</x:v>
      </x:c>
      <x:c r="H102" s="40" t="n">
        <x:v>0.023586</x:v>
      </x:c>
      <x:c r="I102" t="n">
        <x:v>18</x:v>
      </x:c>
      <x:c r="J102" t="n">
        <x:v>426700</x:v>
      </x:c>
      <x:c r="K102" t="str">
        <x:v>Avalancha</x:v>
      </x:c>
      <x:c r="L102" t="str">
        <x:v>Vigente</x:v>
      </x:c>
      <x:c r="M102" t="n">
        <x:v>1874173.74</x:v>
      </x:c>
      <x:c r="N102"/>
    </x:row>
    <x:row r="103">
      <x:c r="A103" t="str">
        <x:v>DEU-000102</x:v>
      </x:c>
      <x:c r="B103" t="str">
        <x:v>USR-00056</x:v>
      </x:c>
      <x:c r="C103" t="n">
        <x:v>45717</x:v>
      </x:c>
      <x:c r="D103" t="str">
        <x:v>Financiera D</x:v>
      </x:c>
      <x:c r="E103" t="str">
        <x:v>Crédito de consumo</x:v>
      </x:c>
      <x:c r="F103" t="n">
        <x:v>2810000</x:v>
      </x:c>
      <x:c r="G103" s="40" t="n">
        <x:v>0.2849</x:v>
      </x:c>
      <x:c r="H103" s="40" t="n">
        <x:v>0.02111</x:v>
      </x:c>
      <x:c r="I103" t="n">
        <x:v>60</x:v>
      </x:c>
      <x:c r="J103" t="n">
        <x:v>83000</x:v>
      </x:c>
      <x:c r="K103" t="str">
        <x:v>Avalancha</x:v>
      </x:c>
      <x:c r="L103" t="str">
        <x:v>Vigente</x:v>
      </x:c>
      <x:c r="M103" t="n">
        <x:v>2805861.98</x:v>
      </x:c>
      <x:c r="N103"/>
    </x:row>
    <x:row r="104">
      <x:c r="A104" t="str">
        <x:v>DEU-000103</x:v>
      </x:c>
      <x:c r="B104" t="str">
        <x:v>USR-00057</x:v>
      </x:c>
      <x:c r="C104" t="n">
        <x:v>45717</x:v>
      </x:c>
      <x:c r="D104" t="str">
        <x:v>Entidad financiera A</x:v>
      </x:c>
      <x:c r="E104" t="str">
        <x:v>Crédito de vehículo</x:v>
      </x:c>
      <x:c r="F104" t="n">
        <x:v>54370000</x:v>
      </x:c>
      <x:c r="G104" s="40" t="n">
        <x:v>0.148</x:v>
      </x:c>
      <x:c r="H104" s="40" t="n">
        <x:v>0.011568</x:v>
      </x:c>
      <x:c r="I104" t="n">
        <x:v>12</x:v>
      </x:c>
      <x:c r="J104" t="n">
        <x:v>4878700</x:v>
      </x:c>
      <x:c r="K104" t="str">
        <x:v>Avalancha</x:v>
      </x:c>
      <x:c r="L104" t="str">
        <x:v>Pagada</x:v>
      </x:c>
      <x:c r="M104" t="n">
        <x:v>0</x:v>
      </x:c>
      <x:c r="N104" t="n">
        <x:v>46235</x:v>
      </x:c>
    </x:row>
    <x:row r="105">
      <x:c r="A105" t="str">
        <x:v>DEU-000104</x:v>
      </x:c>
      <x:c r="B105" t="str">
        <x:v>USR-00057</x:v>
      </x:c>
      <x:c r="C105" t="n">
        <x:v>45717</x:v>
      </x:c>
      <x:c r="D105" t="str">
        <x:v>Cooperativa C</x:v>
      </x:c>
      <x:c r="E105" t="str">
        <x:v>Crédito de vehículo</x:v>
      </x:c>
      <x:c r="F105" t="n">
        <x:v>31270000</x:v>
      </x:c>
      <x:c r="G105" s="40" t="n">
        <x:v>0.3138</x:v>
      </x:c>
      <x:c r="H105" s="40" t="n">
        <x:v>0.023004</x:v>
      </x:c>
      <x:c r="I105" t="n">
        <x:v>18</x:v>
      </x:c>
      <x:c r="J105" t="n">
        <x:v>2141300</x:v>
      </x:c>
      <x:c r="K105" t="str">
        <x:v>Avalancha</x:v>
      </x:c>
      <x:c r="L105" t="str">
        <x:v>Vigente</x:v>
      </x:c>
      <x:c r="M105" t="n">
        <x:v>13450975.77</x:v>
      </x:c>
      <x:c r="N105"/>
    </x:row>
    <x:row r="106">
      <x:c r="A106" t="str">
        <x:v>DEU-000105</x:v>
      </x:c>
      <x:c r="B106" t="str">
        <x:v>USR-00058</x:v>
      </x:c>
      <x:c r="C106" t="n">
        <x:v>45717</x:v>
      </x:c>
      <x:c r="D106" t="str">
        <x:v>Cooperativa C</x:v>
      </x:c>
      <x:c r="E106" t="str">
        <x:v>Crédito de consumo</x:v>
      </x:c>
      <x:c r="F106" t="n">
        <x:v>15150000</x:v>
      </x:c>
      <x:c r="G106" s="40" t="n">
        <x:v>0.2864</x:v>
      </x:c>
      <x:c r="H106" s="40" t="n">
        <x:v>0.021209</x:v>
      </x:c>
      <x:c r="I106" t="n">
        <x:v>12</x:v>
      </x:c>
      <x:c r="J106" t="n">
        <x:v>1443200</x:v>
      </x:c>
      <x:c r="K106" t="str">
        <x:v>Avalancha</x:v>
      </x:c>
      <x:c r="L106" t="str">
        <x:v>Vigente</x:v>
      </x:c>
      <x:c r="M106" t="n">
        <x:v>6127944.82</x:v>
      </x:c>
      <x:c r="N106"/>
    </x:row>
    <x:row r="107">
      <x:c r="A107" t="str">
        <x:v>DEU-000106</x:v>
      </x:c>
      <x:c r="B107" t="str">
        <x:v>USR-00058</x:v>
      </x:c>
      <x:c r="C107" t="n">
        <x:v>45717</x:v>
      </x:c>
      <x:c r="D107" t="str">
        <x:v>Entidad financiera B</x:v>
      </x:c>
      <x:c r="E107" t="str">
        <x:v>Tarjeta de crédito</x:v>
      </x:c>
      <x:c r="F107" t="n">
        <x:v>7800000</x:v>
      </x:c>
      <x:c r="G107" s="40" t="n">
        <x:v>0.3446</x:v>
      </x:c>
      <x:c r="H107" s="40" t="n">
        <x:v>0.024982</x:v>
      </x:c>
      <x:c r="I107" t="n">
        <x:v>12</x:v>
      </x:c>
      <x:c r="J107" t="n">
        <x:v>760300</x:v>
      </x:c>
      <x:c r="K107" t="str">
        <x:v>Avalancha</x:v>
      </x:c>
      <x:c r="L107" t="str">
        <x:v>Vigente</x:v>
      </x:c>
      <x:c r="M107" t="n">
        <x:v>1962180.14</x:v>
      </x:c>
      <x:c r="N107"/>
    </x:row>
    <x:row r="108">
      <x:c r="A108" t="str">
        <x:v>DEU-000107</x:v>
      </x:c>
      <x:c r="B108" t="str">
        <x:v>USR-00059</x:v>
      </x:c>
      <x:c r="C108" t="n">
        <x:v>45717</x:v>
      </x:c>
      <x:c r="D108" t="str">
        <x:v>Entidad financiera E</x:v>
      </x:c>
      <x:c r="E108" t="str">
        <x:v>Crédito de libre inversión</x:v>
      </x:c>
      <x:c r="F108" t="n">
        <x:v>5250000</x:v>
      </x:c>
      <x:c r="G108" s="40" t="n">
        <x:v>0.277</x:v>
      </x:c>
      <x:c r="H108" s="40" t="n">
        <x:v>0.020585</x:v>
      </x:c>
      <x:c r="I108" t="n">
        <x:v>30</x:v>
      </x:c>
      <x:c r="J108" t="n">
        <x:v>236300</x:v>
      </x:c>
      <x:c r="K108" t="str">
        <x:v>Bola de nieve</x:v>
      </x:c>
      <x:c r="L108" t="str">
        <x:v>Vigente</x:v>
      </x:c>
      <x:c r="M108" t="n">
        <x:v>3373125.75</x:v>
      </x:c>
      <x:c r="N108"/>
    </x:row>
    <x:row r="109">
      <x:c r="A109" t="str">
        <x:v>DEU-000108</x:v>
      </x:c>
      <x:c r="B109" t="str">
        <x:v>USR-00059</x:v>
      </x:c>
      <x:c r="C109" t="n">
        <x:v>45717</x:v>
      </x:c>
      <x:c r="D109" t="str">
        <x:v>Entidad financiera E</x:v>
      </x:c>
      <x:c r="E109" t="str">
        <x:v>Crédito de vehículo</x:v>
      </x:c>
      <x:c r="F109" t="n">
        <x:v>47770000</x:v>
      </x:c>
      <x:c r="G109" s="40" t="n">
        <x:v>0.2354</x:v>
      </x:c>
      <x:c r="H109" s="40" t="n">
        <x:v>0.017772</x:v>
      </x:c>
      <x:c r="I109" t="n">
        <x:v>18</x:v>
      </x:c>
      <x:c r="J109" t="n">
        <x:v>3124300</x:v>
      </x:c>
      <x:c r="K109" t="str">
        <x:v>Bola de nieve</x:v>
      </x:c>
      <x:c r="L109" t="str">
        <x:v>Vigente</x:v>
      </x:c>
      <x:c r="M109" t="n">
        <x:v>8298199.15</x:v>
      </x:c>
      <x:c r="N109"/>
    </x:row>
    <x:row r="110">
      <x:c r="A110" t="str">
        <x:v>DEU-000109</x:v>
      </x:c>
      <x:c r="B110" t="str">
        <x:v>USR-00060</x:v>
      </x:c>
      <x:c r="C110" t="n">
        <x:v>45717</x:v>
      </x:c>
      <x:c r="D110" t="str">
        <x:v>Entidad financiera A</x:v>
      </x:c>
      <x:c r="E110" t="str">
        <x:v>Tarjeta de crédito</x:v>
      </x:c>
      <x:c r="F110" t="n">
        <x:v>4820000</x:v>
      </x:c>
      <x:c r="G110" s="40" t="n">
        <x:v>0.2578</x:v>
      </x:c>
      <x:c r="H110" s="40" t="n">
        <x:v>0.019298</x:v>
      </x:c>
      <x:c r="I110" t="n">
        <x:v>60</x:v>
      </x:c>
      <x:c r="J110" t="n">
        <x:v>136300</x:v>
      </x:c>
      <x:c r="K110" t="str">
        <x:v>Avalancha</x:v>
      </x:c>
      <x:c r="L110" t="str">
        <x:v>Vigente</x:v>
      </x:c>
      <x:c r="M110" t="n">
        <x:v>4986524.97</x:v>
      </x:c>
      <x:c r="N110"/>
    </x:row>
    <x:row r="111">
      <x:c r="A111" t="str">
        <x:v>DEU-000110</x:v>
      </x:c>
      <x:c r="B111" t="str">
        <x:v>USR-00060</x:v>
      </x:c>
      <x:c r="C111" t="n">
        <x:v>45717</x:v>
      </x:c>
      <x:c r="D111" t="str">
        <x:v>Cooperativa C</x:v>
      </x:c>
      <x:c r="E111" t="str">
        <x:v>Crédito de consumo</x:v>
      </x:c>
      <x:c r="F111" t="n">
        <x:v>18380000</x:v>
      </x:c>
      <x:c r="G111" s="40" t="n">
        <x:v>0.2626</x:v>
      </x:c>
      <x:c r="H111" s="40" t="n">
        <x:v>0.019621</x:v>
      </x:c>
      <x:c r="I111" t="n">
        <x:v>18</x:v>
      </x:c>
      <x:c r="J111" t="n">
        <x:v>1221900</x:v>
      </x:c>
      <x:c r="K111" t="str">
        <x:v>Bola de nieve</x:v>
      </x:c>
      <x:c r="L111" t="str">
        <x:v>Vigente</x:v>
      </x:c>
      <x:c r="M111" t="n">
        <x:v>5342674.33</x:v>
      </x:c>
      <x:c r="N111"/>
    </x:row>
    <x:row r="112">
      <x:c r="A112" t="str">
        <x:v>DEU-000111</x:v>
      </x:c>
      <x:c r="B112" t="str">
        <x:v>USR-00061</x:v>
      </x:c>
      <x:c r="C112" t="n">
        <x:v>45717</x:v>
      </x:c>
      <x:c r="D112" t="str">
        <x:v>Entidad financiera B</x:v>
      </x:c>
      <x:c r="E112" t="str">
        <x:v>Crédito educativo</x:v>
      </x:c>
      <x:c r="F112" t="n">
        <x:v>15310000</x:v>
      </x:c>
      <x:c r="G112" s="40" t="n">
        <x:v>0.2594</x:v>
      </x:c>
      <x:c r="H112" s="40" t="n">
        <x:v>0.019406</x:v>
      </x:c>
      <x:c r="I112" t="n">
        <x:v>60</x:v>
      </x:c>
      <x:c r="J112" t="n">
        <x:v>434100</x:v>
      </x:c>
      <x:c r="K112" t="str">
        <x:v>Avalancha</x:v>
      </x:c>
      <x:c r="L112" t="str">
        <x:v>Vigente</x:v>
      </x:c>
      <x:c r="M112" t="n">
        <x:v>15716856.9</x:v>
      </x:c>
      <x:c r="N112"/>
    </x:row>
    <x:row r="113">
      <x:c r="A113" t="str">
        <x:v>DEU-000112</x:v>
      </x:c>
      <x:c r="B113" t="str">
        <x:v>USR-00061</x:v>
      </x:c>
      <x:c r="C113" t="n">
        <x:v>45717</x:v>
      </x:c>
      <x:c r="D113" t="str">
        <x:v>Entidad financiera A</x:v>
      </x:c>
      <x:c r="E113" t="str">
        <x:v>Crédito de vehículo</x:v>
      </x:c>
      <x:c r="F113" t="n">
        <x:v>22130000</x:v>
      </x:c>
      <x:c r="G113" s="40" t="n">
        <x:v>0.1331</x:v>
      </x:c>
      <x:c r="H113" s="40" t="n">
        <x:v>0.010468</x:v>
      </x:c>
      <x:c r="I113" t="n">
        <x:v>24</x:v>
      </x:c>
      <x:c r="J113" t="n">
        <x:v>1047500</x:v>
      </x:c>
      <x:c r="K113" t="str">
        <x:v>Bola de nieve</x:v>
      </x:c>
      <x:c r="L113" t="str">
        <x:v>Vigente</x:v>
      </x:c>
      <x:c r="M113" t="n">
        <x:v>12402636.32</x:v>
      </x:c>
      <x:c r="N113"/>
    </x:row>
    <x:row r="114">
      <x:c r="A114" t="str">
        <x:v>DEU-000113</x:v>
      </x:c>
      <x:c r="B114" t="str">
        <x:v>USR-00062</x:v>
      </x:c>
      <x:c r="C114" t="n">
        <x:v>45717</x:v>
      </x:c>
      <x:c r="D114" t="str">
        <x:v>Entidad financiera B</x:v>
      </x:c>
      <x:c r="E114" t="str">
        <x:v>Crédito de consumo</x:v>
      </x:c>
      <x:c r="F114" t="n">
        <x:v>17500000</x:v>
      </x:c>
      <x:c r="G114" s="40" t="n">
        <x:v>0.3335</x:v>
      </x:c>
      <x:c r="H114" s="40" t="n">
        <x:v>0.024274</x:v>
      </x:c>
      <x:c r="I114" t="n">
        <x:v>30</x:v>
      </x:c>
      <x:c r="J114" t="n">
        <x:v>828000</x:v>
      </x:c>
      <x:c r="K114" t="str">
        <x:v>Bola de nieve</x:v>
      </x:c>
      <x:c r="L114" t="str">
        <x:v>Vigente</x:v>
      </x:c>
      <x:c r="M114" t="n">
        <x:v>13654772.12</x:v>
      </x:c>
      <x:c r="N114"/>
    </x:row>
    <x:row r="115">
      <x:c r="A115" t="str">
        <x:v>DEU-000114</x:v>
      </x:c>
      <x:c r="B115" t="str">
        <x:v>USR-00063</x:v>
      </x:c>
      <x:c r="C115" t="n">
        <x:v>45717</x:v>
      </x:c>
      <x:c r="D115" t="str">
        <x:v>Entidad financiera E</x:v>
      </x:c>
      <x:c r="E115" t="str">
        <x:v>Crédito de libre inversión</x:v>
      </x:c>
      <x:c r="F115" t="n">
        <x:v>18240000</x:v>
      </x:c>
      <x:c r="G115" s="40" t="n">
        <x:v>0.2788</x:v>
      </x:c>
      <x:c r="H115" s="40" t="n">
        <x:v>0.020705</x:v>
      </x:c>
      <x:c r="I115" t="n">
        <x:v>48</x:v>
      </x:c>
      <x:c r="J115" t="n">
        <x:v>603200</x:v>
      </x:c>
      <x:c r="K115" t="str">
        <x:v>Avalancha</x:v>
      </x:c>
      <x:c r="L115" t="str">
        <x:v>Vigente</x:v>
      </x:c>
      <x:c r="M115" t="n">
        <x:v>14811306.93</x:v>
      </x:c>
      <x:c r="N115"/>
    </x:row>
    <x:row r="116">
      <x:c r="A116" t="str">
        <x:v>DEU-000115</x:v>
      </x:c>
      <x:c r="B116" t="str">
        <x:v>USR-00063</x:v>
      </x:c>
      <x:c r="C116" t="n">
        <x:v>45717</x:v>
      </x:c>
      <x:c r="D116" t="str">
        <x:v>Entidad financiera E</x:v>
      </x:c>
      <x:c r="E116" t="str">
        <x:v>Crédito de consumo</x:v>
      </x:c>
      <x:c r="F116" t="n">
        <x:v>14300000</x:v>
      </x:c>
      <x:c r="G116" s="40" t="n">
        <x:v>0.2387</x:v>
      </x:c>
      <x:c r="H116" s="40" t="n">
        <x:v>0.017999</x:v>
      </x:c>
      <x:c r="I116" t="n">
        <x:v>12</x:v>
      </x:c>
      <x:c r="J116" t="n">
        <x:v>1335600</x:v>
      </x:c>
      <x:c r="K116" t="str">
        <x:v>Bola de nieve</x:v>
      </x:c>
      <x:c r="L116" t="str">
        <x:v>Pagada</x:v>
      </x:c>
      <x:c r="M116" t="n">
        <x:v>0</x:v>
      </x:c>
      <x:c r="N116" t="n">
        <x:v>46143</x:v>
      </x:c>
    </x:row>
    <x:row r="117">
      <x:c r="A117" t="str">
        <x:v>DEU-000116</x:v>
      </x:c>
      <x:c r="B117" t="str">
        <x:v>USR-00064</x:v>
      </x:c>
      <x:c r="C117" t="n">
        <x:v>45717</x:v>
      </x:c>
      <x:c r="D117" t="str">
        <x:v>Entidad financiera B</x:v>
      </x:c>
      <x:c r="E117" t="str">
        <x:v>Tarjeta de crédito</x:v>
      </x:c>
      <x:c r="F117" t="n">
        <x:v>1650000</x:v>
      </x:c>
      <x:c r="G117" s="40" t="n">
        <x:v>0.2296</x:v>
      </x:c>
      <x:c r="H117" s="40" t="n">
        <x:v>0.017373</x:v>
      </x:c>
      <x:c r="I117" t="n">
        <x:v>30</x:v>
      </x:c>
      <x:c r="J117" t="n">
        <x:v>71000</x:v>
      </x:c>
      <x:c r="K117" t="str">
        <x:v>Bola de nieve</x:v>
      </x:c>
      <x:c r="L117" t="str">
        <x:v>Vigente</x:v>
      </x:c>
      <x:c r="M117" t="n">
        <x:v>1318871.76</x:v>
      </x:c>
      <x:c r="N117"/>
    </x:row>
    <x:row r="118">
      <x:c r="A118" t="str">
        <x:v>DEU-000117</x:v>
      </x:c>
      <x:c r="B118" t="str">
        <x:v>USR-00065</x:v>
      </x:c>
      <x:c r="C118" t="n">
        <x:v>45717</x:v>
      </x:c>
      <x:c r="D118" t="str">
        <x:v>Entidad financiera E</x:v>
      </x:c>
      <x:c r="E118" t="str">
        <x:v>Crédito de libre inversión</x:v>
      </x:c>
      <x:c r="F118" t="n">
        <x:v>19580000</x:v>
      </x:c>
      <x:c r="G118" s="40" t="n">
        <x:v>0.2019</x:v>
      </x:c>
      <x:c r="H118" s="40" t="n">
        <x:v>0.015443</x:v>
      </x:c>
      <x:c r="I118" t="n">
        <x:v>24</x:v>
      </x:c>
      <x:c r="J118" t="n">
        <x:v>982600</x:v>
      </x:c>
      <x:c r="K118" t="str">
        <x:v>Avalancha</x:v>
      </x:c>
      <x:c r="L118" t="str">
        <x:v>Vigente</x:v>
      </x:c>
      <x:c r="M118" t="n">
        <x:v>9068656.56</x:v>
      </x:c>
      <x:c r="N118"/>
    </x:row>
    <x:row r="119">
      <x:c r="A119" t="str">
        <x:v>DEU-000118</x:v>
      </x:c>
      <x:c r="B119" t="str">
        <x:v>USR-00065</x:v>
      </x:c>
      <x:c r="C119" t="n">
        <x:v>45717</x:v>
      </x:c>
      <x:c r="D119" t="str">
        <x:v>Entidad financiera E</x:v>
      </x:c>
      <x:c r="E119" t="str">
        <x:v>Crédito de vehículo</x:v>
      </x:c>
      <x:c r="F119" t="n">
        <x:v>27970000</x:v>
      </x:c>
      <x:c r="G119" s="40" t="n">
        <x:v>0.2874</x:v>
      </x:c>
      <x:c r="H119" s="40" t="n">
        <x:v>0.021275</x:v>
      </x:c>
      <x:c r="I119" t="n">
        <x:v>30</x:v>
      </x:c>
      <x:c r="J119" t="n">
        <x:v>1270900</x:v>
      </x:c>
      <x:c r="K119" t="str">
        <x:v>Bola de nieve</x:v>
      </x:c>
      <x:c r="L119" t="str">
        <x:v>Vigente</x:v>
      </x:c>
      <x:c r="M119" t="n">
        <x:v>18048577.43</x:v>
      </x:c>
      <x:c r="N119"/>
    </x:row>
    <x:row r="120">
      <x:c r="A120" t="str">
        <x:v>DEU-000119</x:v>
      </x:c>
      <x:c r="B120" t="str">
        <x:v>USR-00065</x:v>
      </x:c>
      <x:c r="C120" t="n">
        <x:v>45717</x:v>
      </x:c>
      <x:c r="D120" t="str">
        <x:v>Entidad financiera B</x:v>
      </x:c>
      <x:c r="E120" t="str">
        <x:v>Crédito de consumo</x:v>
      </x:c>
      <x:c r="F120" t="n">
        <x:v>14400000</x:v>
      </x:c>
      <x:c r="G120" s="40" t="n">
        <x:v>0.1949</x:v>
      </x:c>
      <x:c r="H120" s="40" t="n">
        <x:v>0.014949</x:v>
      </x:c>
      <x:c r="I120" t="n">
        <x:v>60</x:v>
      </x:c>
      <x:c r="J120" t="n">
        <x:v>365200</x:v>
      </x:c>
      <x:c r="K120" t="str">
        <x:v>Avalancha</x:v>
      </x:c>
      <x:c r="L120" t="str">
        <x:v>Vigente</x:v>
      </x:c>
      <x:c r="M120" t="n">
        <x:v>14003664.61</x:v>
      </x:c>
      <x:c r="N120"/>
    </x:row>
    <x:row r="121">
      <x:c r="A121" t="str">
        <x:v>DEU-000120</x:v>
      </x:c>
      <x:c r="B121" t="str">
        <x:v>USR-00066</x:v>
      </x:c>
      <x:c r="C121" t="n">
        <x:v>45717</x:v>
      </x:c>
      <x:c r="D121" t="str">
        <x:v>Financiera D</x:v>
      </x:c>
      <x:c r="E121" t="str">
        <x:v>Tarjeta de crédito</x:v>
      </x:c>
      <x:c r="F121" t="n">
        <x:v>3180000</x:v>
      </x:c>
      <x:c r="G121" s="40" t="n">
        <x:v>0.264</x:v>
      </x:c>
      <x:c r="H121" s="40" t="n">
        <x:v>0.019715</x:v>
      </x:c>
      <x:c r="I121" t="n">
        <x:v>48</x:v>
      </x:c>
      <x:c r="J121" t="n">
        <x:v>103100</x:v>
      </x:c>
      <x:c r="K121" t="str">
        <x:v>Bola de nieve</x:v>
      </x:c>
      <x:c r="L121" t="str">
        <x:v>Vigente</x:v>
      </x:c>
      <x:c r="M121" t="n">
        <x:v>2730001.19</x:v>
      </x:c>
      <x:c r="N121"/>
    </x:row>
    <x:row r="122">
      <x:c r="A122" t="str">
        <x:v>DEU-000121</x:v>
      </x:c>
      <x:c r="B122" t="str">
        <x:v>USR-00066</x:v>
      </x:c>
      <x:c r="C122" t="n">
        <x:v>45717</x:v>
      </x:c>
      <x:c r="D122" t="str">
        <x:v>Entidad financiera A</x:v>
      </x:c>
      <x:c r="E122" t="str">
        <x:v>Crédito de consumo</x:v>
      </x:c>
      <x:c r="F122" t="n">
        <x:v>9740000</x:v>
      </x:c>
      <x:c r="G122" s="40" t="n">
        <x:v>0.1449</x:v>
      </x:c>
      <x:c r="H122" s="40" t="n">
        <x:v>0.01134</x:v>
      </x:c>
      <x:c r="I122" t="n">
        <x:v>36</x:v>
      </x:c>
      <x:c r="J122" t="n">
        <x:v>331000</x:v>
      </x:c>
      <x:c r="K122" t="str">
        <x:v>Bola de nieve</x:v>
      </x:c>
      <x:c r="L122" t="str">
        <x:v>Vigente</x:v>
      </x:c>
      <x:c r="M122" t="n">
        <x:v>5657771.76</x:v>
      </x:c>
      <x:c r="N122"/>
    </x:row>
    <x:row r="123">
      <x:c r="A123" t="str">
        <x:v>DEU-000122</x:v>
      </x:c>
      <x:c r="B123" t="str">
        <x:v>USR-00066</x:v>
      </x:c>
      <x:c r="C123" t="n">
        <x:v>45717</x:v>
      </x:c>
      <x:c r="D123" t="str">
        <x:v>Entidad financiera E</x:v>
      </x:c>
      <x:c r="E123" t="str">
        <x:v>Crédito de consumo</x:v>
      </x:c>
      <x:c r="F123" t="n">
        <x:v>5220000</x:v>
      </x:c>
      <x:c r="G123" s="40" t="n">
        <x:v>0.1359</x:v>
      </x:c>
      <x:c r="H123" s="40" t="n">
        <x:v>0.010675</x:v>
      </x:c>
      <x:c r="I123" t="n">
        <x:v>48</x:v>
      </x:c>
      <x:c r="J123" t="n">
        <x:v>139500</x:v>
      </x:c>
      <x:c r="K123" t="str">
        <x:v>Bola de nieve</x:v>
      </x:c>
      <x:c r="L123" t="str">
        <x:v>Vigente</x:v>
      </x:c>
      <x:c r="M123" t="n">
        <x:v>4576335.81</x:v>
      </x:c>
      <x:c r="N123"/>
    </x:row>
    <x:row r="124">
      <x:c r="A124" t="str">
        <x:v>DEU-000123</x:v>
      </x:c>
      <x:c r="B124" t="str">
        <x:v>USR-00066</x:v>
      </x:c>
      <x:c r="C124" t="n">
        <x:v>45717</x:v>
      </x:c>
      <x:c r="D124" t="str">
        <x:v>Entidad financiera A</x:v>
      </x:c>
      <x:c r="E124" t="str">
        <x:v>Crédito de libre inversión</x:v>
      </x:c>
      <x:c r="F124" t="n">
        <x:v>17240000</x:v>
      </x:c>
      <x:c r="G124" s="40" t="n">
        <x:v>0.1821</x:v>
      </x:c>
      <x:c r="H124" s="40" t="n">
        <x:v>0.014039</x:v>
      </x:c>
      <x:c r="I124" t="n">
        <x:v>30</x:v>
      </x:c>
      <x:c r="J124" t="n">
        <x:v>708100</x:v>
      </x:c>
      <x:c r="K124" t="str">
        <x:v>Avalancha</x:v>
      </x:c>
      <x:c r="L124" t="str">
        <x:v>Vigente</x:v>
      </x:c>
      <x:c r="M124" t="n">
        <x:v>12643589.75</x:v>
      </x:c>
      <x:c r="N124"/>
    </x:row>
    <x:row r="125">
      <x:c r="A125" t="str">
        <x:v>DEU-000124</x:v>
      </x:c>
      <x:c r="B125" t="str">
        <x:v>USR-00067</x:v>
      </x:c>
      <x:c r="C125" t="n">
        <x:v>45717</x:v>
      </x:c>
      <x:c r="D125" t="str">
        <x:v>Cooperativa C</x:v>
      </x:c>
      <x:c r="E125" t="str">
        <x:v>Tarjeta de crédito</x:v>
      </x:c>
      <x:c r="F125" t="n">
        <x:v>6990000</x:v>
      </x:c>
      <x:c r="G125" s="40" t="n">
        <x:v>0.1842</x:v>
      </x:c>
      <x:c r="H125" s="40" t="n">
        <x:v>0.014189</x:v>
      </x:c>
      <x:c r="I125" t="n">
        <x:v>12</x:v>
      </x:c>
      <x:c r="J125" t="n">
        <x:v>637600</x:v>
      </x:c>
      <x:c r="K125" t="str">
        <x:v>Avalancha</x:v>
      </x:c>
      <x:c r="L125" t="str">
        <x:v>Pagada</x:v>
      </x:c>
      <x:c r="M125" t="n">
        <x:v>0</x:v>
      </x:c>
      <x:c r="N125" t="n">
        <x:v>46235</x:v>
      </x:c>
    </x:row>
    <x:row r="126">
      <x:c r="A126" t="str">
        <x:v>DEU-000125</x:v>
      </x:c>
      <x:c r="B126" t="str">
        <x:v>USR-00067</x:v>
      </x:c>
      <x:c r="C126" t="n">
        <x:v>45717</x:v>
      </x:c>
      <x:c r="D126" t="str">
        <x:v>Financiera D</x:v>
      </x:c>
      <x:c r="E126" t="str">
        <x:v>Crédito educativo</x:v>
      </x:c>
      <x:c r="F126" t="n">
        <x:v>15720000</x:v>
      </x:c>
      <x:c r="G126" s="40" t="n">
        <x:v>0.2012</x:v>
      </x:c>
      <x:c r="H126" s="40" t="n">
        <x:v>0.015394</x:v>
      </x:c>
      <x:c r="I126" t="n">
        <x:v>30</x:v>
      </x:c>
      <x:c r="J126" t="n">
        <x:v>658200</x:v>
      </x:c>
      <x:c r="K126" t="str">
        <x:v>Bola de nieve</x:v>
      </x:c>
      <x:c r="L126" t="str">
        <x:v>Vigente</x:v>
      </x:c>
      <x:c r="M126" t="n">
        <x:v>12776426.67</x:v>
      </x:c>
      <x:c r="N126"/>
    </x:row>
    <x:row r="127">
      <x:c r="A127" t="str">
        <x:v>DEU-000126</x:v>
      </x:c>
      <x:c r="B127" t="str">
        <x:v>USR-00067</x:v>
      </x:c>
      <x:c r="C127" t="n">
        <x:v>45717</x:v>
      </x:c>
      <x:c r="D127" t="str">
        <x:v>Entidad financiera B</x:v>
      </x:c>
      <x:c r="E127" t="str">
        <x:v>Crédito de vehículo</x:v>
      </x:c>
      <x:c r="F127" t="n">
        <x:v>46110000</x:v>
      </x:c>
      <x:c r="G127" s="40" t="n">
        <x:v>0.1749</x:v>
      </x:c>
      <x:c r="H127" s="40" t="n">
        <x:v>0.013523</x:v>
      </x:c>
      <x:c r="I127" t="n">
        <x:v>36</x:v>
      </x:c>
      <x:c r="J127" t="n">
        <x:v>1626300</x:v>
      </x:c>
      <x:c r="K127" t="str">
        <x:v>Avalancha</x:v>
      </x:c>
      <x:c r="L127" t="str">
        <x:v>Vigente</x:v>
      </x:c>
      <x:c r="M127" t="n">
        <x:v>32035637.01</x:v>
      </x:c>
      <x:c r="N127"/>
    </x:row>
    <x:row r="128">
      <x:c r="A128" t="str">
        <x:v>DEU-000127</x:v>
      </x:c>
      <x:c r="B128" t="str">
        <x:v>USR-00067</x:v>
      </x:c>
      <x:c r="C128" t="n">
        <x:v>45717</x:v>
      </x:c>
      <x:c r="D128" t="str">
        <x:v>Cooperativa C</x:v>
      </x:c>
      <x:c r="E128" t="str">
        <x:v>Crédito de consumo</x:v>
      </x:c>
      <x:c r="F128" t="n">
        <x:v>18320000</x:v>
      </x:c>
      <x:c r="G128" s="40" t="n">
        <x:v>0.2363</x:v>
      </x:c>
      <x:c r="H128" s="40" t="n">
        <x:v>0.017834</x:v>
      </x:c>
      <x:c r="I128" t="n">
        <x:v>60</x:v>
      </x:c>
      <x:c r="J128" t="n">
        <x:v>499800</x:v>
      </x:c>
      <x:c r="K128" t="str">
        <x:v>Bola de nieve</x:v>
      </x:c>
      <x:c r="L128" t="str">
        <x:v>Vigente</x:v>
      </x:c>
      <x:c r="M128" t="n">
        <x:v>14944332.83</x:v>
      </x:c>
      <x:c r="N128"/>
    </x:row>
    <x:row r="129">
      <x:c r="A129" t="str">
        <x:v>DEU-000128</x:v>
      </x:c>
      <x:c r="B129" t="str">
        <x:v>USR-00068</x:v>
      </x:c>
      <x:c r="C129" t="n">
        <x:v>45717</x:v>
      </x:c>
      <x:c r="D129" t="str">
        <x:v>Cooperativa C</x:v>
      </x:c>
      <x:c r="E129" t="str">
        <x:v>Tarjeta de crédito</x:v>
      </x:c>
      <x:c r="F129" t="n">
        <x:v>5130000</x:v>
      </x:c>
      <x:c r="G129" s="40" t="n">
        <x:v>0.2847</x:v>
      </x:c>
      <x:c r="H129" s="40" t="n">
        <x:v>0.021097</x:v>
      </x:c>
      <x:c r="I129" t="n">
        <x:v>12</x:v>
      </x:c>
      <x:c r="J129" t="n">
        <x:v>488400</x:v>
      </x:c>
      <x:c r="K129" t="str">
        <x:v>Bola de nieve</x:v>
      </x:c>
      <x:c r="L129" t="str">
        <x:v>Pagada</x:v>
      </x:c>
      <x:c r="M129" t="n">
        <x:v>0</x:v>
      </x:c>
      <x:c r="N129" t="n">
        <x:v>46266</x:v>
      </x:c>
    </x:row>
    <x:row r="130">
      <x:c r="A130" t="str">
        <x:v>DEU-000129</x:v>
      </x:c>
      <x:c r="B130" t="str">
        <x:v>USR-00069</x:v>
      </x:c>
      <x:c r="C130" t="n">
        <x:v>45717</x:v>
      </x:c>
      <x:c r="D130" t="str">
        <x:v>Entidad financiera E</x:v>
      </x:c>
      <x:c r="E130" t="str">
        <x:v>Crédito de consumo</x:v>
      </x:c>
      <x:c r="F130" t="n">
        <x:v>7920000</x:v>
      </x:c>
      <x:c r="G130" s="40" t="n">
        <x:v>0.2765</x:v>
      </x:c>
      <x:c r="H130" s="40" t="n">
        <x:v>0.020552</x:v>
      </x:c>
      <x:c r="I130" t="n">
        <x:v>48</x:v>
      </x:c>
      <x:c r="J130" t="n">
        <x:v>261100</x:v>
      </x:c>
      <x:c r="K130" t="str">
        <x:v>Avalancha</x:v>
      </x:c>
      <x:c r="L130" t="str">
        <x:v>Vigente</x:v>
      </x:c>
      <x:c r="M130" t="n">
        <x:v>6669052.36</x:v>
      </x:c>
      <x:c r="N130"/>
    </x:row>
    <x:row r="131">
      <x:c r="A131" t="str">
        <x:v>DEU-000130</x:v>
      </x:c>
      <x:c r="B131" t="str">
        <x:v>USR-00070</x:v>
      </x:c>
      <x:c r="C131" t="n">
        <x:v>45717</x:v>
      </x:c>
      <x:c r="D131" t="str">
        <x:v>Cooperativa C</x:v>
      </x:c>
      <x:c r="E131" t="str">
        <x:v>Tarjeta de crédito</x:v>
      </x:c>
      <x:c r="F131" t="n">
        <x:v>1720000</x:v>
      </x:c>
      <x:c r="G131" s="40" t="n">
        <x:v>0.3212</x:v>
      </x:c>
      <x:c r="H131" s="40" t="n">
        <x:v>0.023483</x:v>
      </x:c>
      <x:c r="I131" t="n">
        <x:v>60</x:v>
      </x:c>
      <x:c r="J131" t="n">
        <x:v>53700</x:v>
      </x:c>
      <x:c r="K131" t="str">
        <x:v>Avalancha</x:v>
      </x:c>
      <x:c r="L131" t="str">
        <x:v>Vigente</x:v>
      </x:c>
      <x:c r="M131" t="n">
        <x:v>1657855</x:v>
      </x:c>
      <x:c r="N131"/>
    </x:row>
    <x:row r="132">
      <x:c r="A132" t="str">
        <x:v>DEU-000131</x:v>
      </x:c>
      <x:c r="B132" t="str">
        <x:v>USR-00070</x:v>
      </x:c>
      <x:c r="C132" t="n">
        <x:v>45717</x:v>
      </x:c>
      <x:c r="D132" t="str">
        <x:v>Financiera D</x:v>
      </x:c>
      <x:c r="E132" t="str">
        <x:v>Tarjeta de crédito</x:v>
      </x:c>
      <x:c r="F132" t="n">
        <x:v>5120000</x:v>
      </x:c>
      <x:c r="G132" s="40" t="n">
        <x:v>0.2731</x:v>
      </x:c>
      <x:c r="H132" s="40" t="n">
        <x:v>0.020325</x:v>
      </x:c>
      <x:c r="I132" t="n">
        <x:v>12</x:v>
      </x:c>
      <x:c r="J132" t="n">
        <x:v>485100</x:v>
      </x:c>
      <x:c r="K132" t="str">
        <x:v>Bola de nieve</x:v>
      </x:c>
      <x:c r="L132" t="str">
        <x:v>Pagada</x:v>
      </x:c>
      <x:c r="M132" t="n">
        <x:v>0</x:v>
      </x:c>
      <x:c r="N132" t="n">
        <x:v>46113</x:v>
      </x:c>
    </x:row>
    <x:row r="133">
      <x:c r="A133" t="str">
        <x:v>DEU-000132</x:v>
      </x:c>
      <x:c r="B133" t="str">
        <x:v>USR-00070</x:v>
      </x:c>
      <x:c r="C133" t="n">
        <x:v>45717</x:v>
      </x:c>
      <x:c r="D133" t="str">
        <x:v>Financiera D</x:v>
      </x:c>
      <x:c r="E133" t="str">
        <x:v>Crédito de libre inversión</x:v>
      </x:c>
      <x:c r="F133" t="n">
        <x:v>22140000</x:v>
      </x:c>
      <x:c r="G133" s="40" t="n">
        <x:v>0.3036</x:v>
      </x:c>
      <x:c r="H133" s="40" t="n">
        <x:v>0.02234</x:v>
      </x:c>
      <x:c r="I133" t="n">
        <x:v>12</x:v>
      </x:c>
      <x:c r="J133" t="n">
        <x:v>2123800</x:v>
      </x:c>
      <x:c r="K133" t="str">
        <x:v>Bola de nieve</x:v>
      </x:c>
      <x:c r="L133" t="str">
        <x:v>Vigente</x:v>
      </x:c>
      <x:c r="M133" t="n">
        <x:v>2283244.78</x:v>
      </x:c>
      <x:c r="N133"/>
    </x:row>
    <x:row r="134">
      <x:c r="A134" t="str">
        <x:v>DEU-000133</x:v>
      </x:c>
      <x:c r="B134" t="str">
        <x:v>USR-00070</x:v>
      </x:c>
      <x:c r="C134" t="n">
        <x:v>45717</x:v>
      </x:c>
      <x:c r="D134" t="str">
        <x:v>Financiera D</x:v>
      </x:c>
      <x:c r="E134" t="str">
        <x:v>Crédito de libre inversión</x:v>
      </x:c>
      <x:c r="F134" t="n">
        <x:v>12490000</x:v>
      </x:c>
      <x:c r="G134" s="40" t="n">
        <x:v>0.214</x:v>
      </x:c>
      <x:c r="H134" s="40" t="n">
        <x:v>0.016291</x:v>
      </x:c>
      <x:c r="I134" t="n">
        <x:v>12</x:v>
      </x:c>
      <x:c r="J134" t="n">
        <x:v>1154300</x:v>
      </x:c>
      <x:c r="K134" t="str">
        <x:v>Bola de nieve</x:v>
      </x:c>
      <x:c r="L134" t="str">
        <x:v>Pagada</x:v>
      </x:c>
      <x:c r="M134" t="n">
        <x:v>0</x:v>
      </x:c>
      <x:c r="N134" t="n">
        <x:v>46204</x:v>
      </x:c>
    </x:row>
    <x:row r="135">
      <x:c r="A135" t="str">
        <x:v>DEU-000134</x:v>
      </x:c>
      <x:c r="B135" t="str">
        <x:v>USR-00071</x:v>
      </x:c>
      <x:c r="C135" t="n">
        <x:v>45717</x:v>
      </x:c>
      <x:c r="D135" t="str">
        <x:v>Entidad financiera A</x:v>
      </x:c>
      <x:c r="E135" t="str">
        <x:v>Tarjeta de crédito</x:v>
      </x:c>
      <x:c r="F135" t="n">
        <x:v>1390000</x:v>
      </x:c>
      <x:c r="G135" s="40" t="n">
        <x:v>0.2978</x:v>
      </x:c>
      <x:c r="H135" s="40" t="n">
        <x:v>0.02196</x:v>
      </x:c>
      <x:c r="I135" t="n">
        <x:v>12</x:v>
      </x:c>
      <x:c r="J135" t="n">
        <x:v>133000</x:v>
      </x:c>
      <x:c r="K135" t="str">
        <x:v>Avalancha</x:v>
      </x:c>
      <x:c r="L135" t="str">
        <x:v>Pagada</x:v>
      </x:c>
      <x:c r="M135" t="n">
        <x:v>0</x:v>
      </x:c>
      <x:c r="N135" t="n">
        <x:v>46266</x:v>
      </x:c>
    </x:row>
    <x:row r="136">
      <x:c r="A136" t="str">
        <x:v>DEU-000135</x:v>
      </x:c>
      <x:c r="B136" t="str">
        <x:v>USR-00071</x:v>
      </x:c>
      <x:c r="C136" t="n">
        <x:v>45717</x:v>
      </x:c>
      <x:c r="D136" t="str">
        <x:v>Entidad financiera E</x:v>
      </x:c>
      <x:c r="E136" t="str">
        <x:v>Crédito educativo</x:v>
      </x:c>
      <x:c r="F136" t="n">
        <x:v>12380000</x:v>
      </x:c>
      <x:c r="G136" s="40" t="n">
        <x:v>0.1096</x:v>
      </x:c>
      <x:c r="H136" s="40" t="n">
        <x:v>0.008704</x:v>
      </x:c>
      <x:c r="I136" t="n">
        <x:v>24</x:v>
      </x:c>
      <x:c r="J136" t="n">
        <x:v>573800</x:v>
      </x:c>
      <x:c r="K136" t="str">
        <x:v>Bola de nieve</x:v>
      </x:c>
      <x:c r="L136" t="str">
        <x:v>Vigente</x:v>
      </x:c>
      <x:c r="M136" t="n">
        <x:v>5263650.68</x:v>
      </x:c>
      <x:c r="N136"/>
    </x:row>
    <x:row r="137">
      <x:c r="A137" t="str">
        <x:v>DEU-000136</x:v>
      </x:c>
      <x:c r="B137" t="str">
        <x:v>USR-00072</x:v>
      </x:c>
      <x:c r="C137" t="n">
        <x:v>45717</x:v>
      </x:c>
      <x:c r="D137" t="str">
        <x:v>Entidad financiera B</x:v>
      </x:c>
      <x:c r="E137" t="str">
        <x:v>Crédito de consumo</x:v>
      </x:c>
      <x:c r="F137" t="n">
        <x:v>8150000</x:v>
      </x:c>
      <x:c r="G137" s="40" t="n">
        <x:v>0.2911</x:v>
      </x:c>
      <x:c r="H137" s="40" t="n">
        <x:v>0.021519</x:v>
      </x:c>
      <x:c r="I137" t="n">
        <x:v>36</x:v>
      </x:c>
      <x:c r="J137" t="n">
        <x:v>327600</x:v>
      </x:c>
      <x:c r="K137" t="str">
        <x:v>Avalancha</x:v>
      </x:c>
      <x:c r="L137" t="str">
        <x:v>Vigente</x:v>
      </x:c>
      <x:c r="M137" t="n">
        <x:v>5604528.48</x:v>
      </x:c>
      <x:c r="N137"/>
    </x:row>
    <x:row r="138">
      <x:c r="A138" t="str">
        <x:v>DEU-000137</x:v>
      </x:c>
      <x:c r="B138" t="str">
        <x:v>USR-00072</x:v>
      </x:c>
      <x:c r="C138" t="n">
        <x:v>45717</x:v>
      </x:c>
      <x:c r="D138" t="str">
        <x:v>Entidad financiera A</x:v>
      </x:c>
      <x:c r="E138" t="str">
        <x:v>Crédito de libre inversión</x:v>
      </x:c>
      <x:c r="F138" t="n">
        <x:v>2720000</x:v>
      </x:c>
      <x:c r="G138" s="40" t="n">
        <x:v>0.2004</x:v>
      </x:c>
      <x:c r="H138" s="40" t="n">
        <x:v>0.015338</x:v>
      </x:c>
      <x:c r="I138" t="n">
        <x:v>30</x:v>
      </x:c>
      <x:c r="J138" t="n">
        <x:v>113800</x:v>
      </x:c>
      <x:c r="K138" t="str">
        <x:v>Avalancha</x:v>
      </x:c>
      <x:c r="L138" t="str">
        <x:v>Vigente</x:v>
      </x:c>
      <x:c r="M138" t="n">
        <x:v>1958092.84</x:v>
      </x:c>
      <x:c r="N138"/>
    </x:row>
    <x:row r="139">
      <x:c r="A139" t="str">
        <x:v>DEU-000138</x:v>
      </x:c>
      <x:c r="B139" t="str">
        <x:v>USR-00073</x:v>
      </x:c>
      <x:c r="C139" t="n">
        <x:v>45717</x:v>
      </x:c>
      <x:c r="D139" t="str">
        <x:v>Entidad financiera B</x:v>
      </x:c>
      <x:c r="E139" t="str">
        <x:v>Crédito de consumo</x:v>
      </x:c>
      <x:c r="F139" t="n">
        <x:v>3520000</x:v>
      </x:c>
      <x:c r="G139" s="40" t="n">
        <x:v>0.3205</x:v>
      </x:c>
      <x:c r="H139" s="40" t="n">
        <x:v>0.023438</x:v>
      </x:c>
      <x:c r="I139" t="n">
        <x:v>12</x:v>
      </x:c>
      <x:c r="J139" t="n">
        <x:v>339900</x:v>
      </x:c>
      <x:c r="K139" t="str">
        <x:v>Avalancha</x:v>
      </x:c>
      <x:c r="L139" t="str">
        <x:v>Pagada</x:v>
      </x:c>
      <x:c r="M139" t="n">
        <x:v>0</x:v>
      </x:c>
      <x:c r="N139" t="n">
        <x:v>46174</x:v>
      </x:c>
    </x:row>
    <x:row r="140">
      <x:c r="A140" t="str">
        <x:v>DEU-000139</x:v>
      </x:c>
      <x:c r="B140" t="str">
        <x:v>USR-00073</x:v>
      </x:c>
      <x:c r="C140" t="n">
        <x:v>45717</x:v>
      </x:c>
      <x:c r="D140" t="str">
        <x:v>Entidad financiera A</x:v>
      </x:c>
      <x:c r="E140" t="str">
        <x:v>Tarjeta de crédito</x:v>
      </x:c>
      <x:c r="F140" t="n">
        <x:v>7780000</x:v>
      </x:c>
      <x:c r="G140" s="40" t="n">
        <x:v>0.1248</x:v>
      </x:c>
      <x:c r="H140" s="40" t="n">
        <x:v>0.009849</x:v>
      </x:c>
      <x:c r="I140" t="n">
        <x:v>12</x:v>
      </x:c>
      <x:c r="J140" t="n">
        <x:v>690600</x:v>
      </x:c>
      <x:c r="K140" t="str">
        <x:v>Avalancha</x:v>
      </x:c>
      <x:c r="L140" t="str">
        <x:v>Pagada</x:v>
      </x:c>
      <x:c r="M140" t="n">
        <x:v>0</x:v>
      </x:c>
      <x:c r="N140" t="n">
        <x:v>46204</x:v>
      </x:c>
    </x:row>
    <x:row r="141">
      <x:c r="A141" t="str">
        <x:v>DEU-000140</x:v>
      </x:c>
      <x:c r="B141" t="str">
        <x:v>USR-00074</x:v>
      </x:c>
      <x:c r="C141" t="n">
        <x:v>45717</x:v>
      </x:c>
      <x:c r="D141" t="str">
        <x:v>Financiera D</x:v>
      </x:c>
      <x:c r="E141" t="str">
        <x:v>Tarjeta de crédito</x:v>
      </x:c>
      <x:c r="F141" t="n">
        <x:v>1370000</x:v>
      </x:c>
      <x:c r="G141" s="40" t="n">
        <x:v>0.285</x:v>
      </x:c>
      <x:c r="H141" s="40" t="n">
        <x:v>0.021116</x:v>
      </x:c>
      <x:c r="I141" t="n">
        <x:v>48</x:v>
      </x:c>
      <x:c r="J141" t="n">
        <x:v>45700</x:v>
      </x:c>
      <x:c r="K141" t="str">
        <x:v>Bola de nieve</x:v>
      </x:c>
      <x:c r="L141" t="str">
        <x:v>Vigente</x:v>
      </x:c>
      <x:c r="M141" t="n">
        <x:v>1042412.12</x:v>
      </x:c>
      <x:c r="N141"/>
    </x:row>
    <x:row r="142">
      <x:c r="A142" t="str">
        <x:v>DEU-000141</x:v>
      </x:c>
      <x:c r="B142" t="str">
        <x:v>USR-00075</x:v>
      </x:c>
      <x:c r="C142" t="n">
        <x:v>45717</x:v>
      </x:c>
      <x:c r="D142" t="str">
        <x:v>Entidad financiera B</x:v>
      </x:c>
      <x:c r="E142" t="str">
        <x:v>Crédito de vehículo</x:v>
      </x:c>
      <x:c r="F142" t="n">
        <x:v>55210000</x:v>
      </x:c>
      <x:c r="G142" s="40" t="n">
        <x:v>0.146</x:v>
      </x:c>
      <x:c r="H142" s="40" t="n">
        <x:v>0.011421</x:v>
      </x:c>
      <x:c r="I142" t="n">
        <x:v>24</x:v>
      </x:c>
      <x:c r="J142" t="n">
        <x:v>2643100</x:v>
      </x:c>
      <x:c r="K142" t="str">
        <x:v>Bola de nieve</x:v>
      </x:c>
      <x:c r="L142" t="str">
        <x:v>Vigente</x:v>
      </x:c>
      <x:c r="M142" t="n">
        <x:v>32282133.14</x:v>
      </x:c>
      <x:c r="N142"/>
    </x:row>
    <x:row r="143">
      <x:c r="A143" t="str">
        <x:v>DEU-000142</x:v>
      </x:c>
      <x:c r="B143" t="str">
        <x:v>USR-00075</x:v>
      </x:c>
      <x:c r="C143" t="n">
        <x:v>45717</x:v>
      </x:c>
      <x:c r="D143" t="str">
        <x:v>Financiera D</x:v>
      </x:c>
      <x:c r="E143" t="str">
        <x:v>Crédito de libre inversión</x:v>
      </x:c>
      <x:c r="F143" t="n">
        <x:v>16570000</x:v>
      </x:c>
      <x:c r="G143" s="40" t="n">
        <x:v>0.1727</x:v>
      </x:c>
      <x:c r="H143" s="40" t="n">
        <x:v>0.013364</x:v>
      </x:c>
      <x:c r="I143" t="n">
        <x:v>36</x:v>
      </x:c>
      <x:c r="J143" t="n">
        <x:v>582900</x:v>
      </x:c>
      <x:c r="K143" t="str">
        <x:v>Avalancha</x:v>
      </x:c>
      <x:c r="L143" t="str">
        <x:v>Vigente</x:v>
      </x:c>
      <x:c r="M143" t="n">
        <x:v>13775325.04</x:v>
      </x:c>
      <x:c r="N143"/>
    </x:row>
    <x:row r="144">
      <x:c r="A144" t="str">
        <x:v>DEU-000143</x:v>
      </x:c>
      <x:c r="B144" t="str">
        <x:v>USR-00076</x:v>
      </x:c>
      <x:c r="C144" t="n">
        <x:v>45717</x:v>
      </x:c>
      <x:c r="D144" t="str">
        <x:v>Cooperativa C</x:v>
      </x:c>
      <x:c r="E144" t="str">
        <x:v>Tarjeta de crédito</x:v>
      </x:c>
      <x:c r="F144" t="n">
        <x:v>5470000</x:v>
      </x:c>
      <x:c r="G144" s="40" t="n">
        <x:v>0.2095</x:v>
      </x:c>
      <x:c r="H144" s="40" t="n">
        <x:v>0.015977</x:v>
      </x:c>
      <x:c r="I144" t="n">
        <x:v>12</x:v>
      </x:c>
      <x:c r="J144" t="n">
        <x:v>504500</x:v>
      </x:c>
      <x:c r="K144" t="str">
        <x:v>Avalancha</x:v>
      </x:c>
      <x:c r="L144" t="str">
        <x:v>Pagada</x:v>
      </x:c>
      <x:c r="M144" t="n">
        <x:v>0</x:v>
      </x:c>
      <x:c r="N144" t="n">
        <x:v>46143</x:v>
      </x:c>
    </x:row>
    <x:row r="145">
      <x:c r="A145" t="str">
        <x:v>DEU-000144</x:v>
      </x:c>
      <x:c r="B145" t="str">
        <x:v>USR-00076</x:v>
      </x:c>
      <x:c r="C145" t="n">
        <x:v>45717</x:v>
      </x:c>
      <x:c r="D145" t="str">
        <x:v>Entidad financiera E</x:v>
      </x:c>
      <x:c r="E145" t="str">
        <x:v>Crédito educativo</x:v>
      </x:c>
      <x:c r="F145" t="n">
        <x:v>15750000</x:v>
      </x:c>
      <x:c r="G145" s="40" t="n">
        <x:v>0.3046</x:v>
      </x:c>
      <x:c r="H145" s="40" t="n">
        <x:v>0.022405</x:v>
      </x:c>
      <x:c r="I145" t="n">
        <x:v>60</x:v>
      </x:c>
      <x:c r="J145" t="n">
        <x:v>479900</x:v>
      </x:c>
      <x:c r="K145" t="str">
        <x:v>Avalancha</x:v>
      </x:c>
      <x:c r="L145" t="str">
        <x:v>Vigente</x:v>
      </x:c>
      <x:c r="M145" t="n">
        <x:v>16233601.11</x:v>
      </x:c>
      <x:c r="N145"/>
    </x:row>
    <x:row r="146">
      <x:c r="A146" t="str">
        <x:v>DEU-000145</x:v>
      </x:c>
      <x:c r="B146" t="str">
        <x:v>USR-00077</x:v>
      </x:c>
      <x:c r="C146" t="n">
        <x:v>45717</x:v>
      </x:c>
      <x:c r="D146" t="str">
        <x:v>Entidad financiera E</x:v>
      </x:c>
      <x:c r="E146" t="str">
        <x:v>Tarjeta de crédito</x:v>
      </x:c>
      <x:c r="F146" t="n">
        <x:v>3000000</x:v>
      </x:c>
      <x:c r="G146" s="40" t="n">
        <x:v>0.3104</x:v>
      </x:c>
      <x:c r="H146" s="40" t="n">
        <x:v>0.022783</x:v>
      </x:c>
      <x:c r="I146" t="n">
        <x:v>12</x:v>
      </x:c>
      <x:c r="J146" t="n">
        <x:v>288600</x:v>
      </x:c>
      <x:c r="K146" t="str">
        <x:v>Avalancha</x:v>
      </x:c>
      <x:c r="L146" t="str">
        <x:v>Vigente</x:v>
      </x:c>
      <x:c r="M146" t="n">
        <x:v>906664.44</x:v>
      </x:c>
      <x:c r="N146"/>
    </x:row>
    <x:row r="147">
      <x:c r="A147" t="str">
        <x:v>DEU-000146</x:v>
      </x:c>
      <x:c r="B147" t="str">
        <x:v>USR-00077</x:v>
      </x:c>
      <x:c r="C147" t="n">
        <x:v>45717</x:v>
      </x:c>
      <x:c r="D147" t="str">
        <x:v>Entidad financiera B</x:v>
      </x:c>
      <x:c r="E147" t="str">
        <x:v>Tarjeta de crédito</x:v>
      </x:c>
      <x:c r="F147" t="n">
        <x:v>7160000</x:v>
      </x:c>
      <x:c r="G147" s="40" t="n">
        <x:v>0.2149</x:v>
      </x:c>
      <x:c r="H147" s="40" t="n">
        <x:v>0.016354</x:v>
      </x:c>
      <x:c r="I147" t="n">
        <x:v>24</x:v>
      </x:c>
      <x:c r="J147" t="n">
        <x:v>363100</x:v>
      </x:c>
      <x:c r="K147" t="str">
        <x:v>Bola de nieve</x:v>
      </x:c>
      <x:c r="L147" t="str">
        <x:v>Vigente</x:v>
      </x:c>
      <x:c r="M147" t="n">
        <x:v>3180739.45</x:v>
      </x:c>
      <x:c r="N147"/>
    </x:row>
    <x:row r="148">
      <x:c r="A148" t="str">
        <x:v>DEU-000147</x:v>
      </x:c>
      <x:c r="B148" t="str">
        <x:v>USR-00078</x:v>
      </x:c>
      <x:c r="C148" t="n">
        <x:v>45717</x:v>
      </x:c>
      <x:c r="D148" t="str">
        <x:v>Cooperativa C</x:v>
      </x:c>
      <x:c r="E148" t="str">
        <x:v>Tarjeta de crédito</x:v>
      </x:c>
      <x:c r="F148" t="n">
        <x:v>5200000</x:v>
      </x:c>
      <x:c r="G148" s="40" t="n">
        <x:v>0.2808</x:v>
      </x:c>
      <x:c r="H148" s="40" t="n">
        <x:v>0.020838</x:v>
      </x:c>
      <x:c r="I148" t="n">
        <x:v>48</x:v>
      </x:c>
      <x:c r="J148" t="n">
        <x:v>172400</x:v>
      </x:c>
      <x:c r="K148" t="str">
        <x:v>Bola de nieve</x:v>
      </x:c>
      <x:c r="L148" t="str">
        <x:v>Vigente</x:v>
      </x:c>
      <x:c r="M148" t="n">
        <x:v>4366567.36</x:v>
      </x:c>
      <x:c r="N148"/>
    </x:row>
    <x:row r="149">
      <x:c r="A149" t="str">
        <x:v>DEU-000148</x:v>
      </x:c>
      <x:c r="B149" t="str">
        <x:v>USR-00078</x:v>
      </x:c>
      <x:c r="C149" t="n">
        <x:v>45717</x:v>
      </x:c>
      <x:c r="D149" t="str">
        <x:v>Entidad financiera B</x:v>
      </x:c>
      <x:c r="E149" t="str">
        <x:v>Tarjeta de crédito</x:v>
      </x:c>
      <x:c r="F149" t="n">
        <x:v>5670000</x:v>
      </x:c>
      <x:c r="G149" s="40" t="n">
        <x:v>0.1174</x:v>
      </x:c>
      <x:c r="H149" s="40" t="n">
        <x:v>0.009293</x:v>
      </x:c>
      <x:c r="I149" t="n">
        <x:v>60</x:v>
      </x:c>
      <x:c r="J149" t="n">
        <x:v>123700</x:v>
      </x:c>
      <x:c r="K149" t="str">
        <x:v>Bola de nieve</x:v>
      </x:c>
      <x:c r="L149" t="str">
        <x:v>Vigente</x:v>
      </x:c>
      <x:c r="M149" t="n">
        <x:v>5068539.02</x:v>
      </x:c>
      <x:c r="N149"/>
    </x:row>
    <x:row r="150">
      <x:c r="A150" t="str">
        <x:v>DEU-000149</x:v>
      </x:c>
      <x:c r="B150" t="str">
        <x:v>USR-00078</x:v>
      </x:c>
      <x:c r="C150" t="n">
        <x:v>45717</x:v>
      </x:c>
      <x:c r="D150" t="str">
        <x:v>Cooperativa C</x:v>
      </x:c>
      <x:c r="E150" t="str">
        <x:v>Crédito de consumo</x:v>
      </x:c>
      <x:c r="F150" t="n">
        <x:v>13860000</x:v>
      </x:c>
      <x:c r="G150" s="40" t="n">
        <x:v>0.3364</x:v>
      </x:c>
      <x:c r="H150" s="40" t="n">
        <x:v>0.024459</x:v>
      </x:c>
      <x:c r="I150" t="n">
        <x:v>36</x:v>
      </x:c>
      <x:c r="J150" t="n">
        <x:v>583500</x:v>
      </x:c>
      <x:c r="K150" t="str">
        <x:v>Bola de nieve</x:v>
      </x:c>
      <x:c r="L150" t="str">
        <x:v>Vigente</x:v>
      </x:c>
      <x:c r="M150" t="n">
        <x:v>10404272.51</x:v>
      </x:c>
      <x:c r="N150"/>
    </x:row>
    <x:row r="151">
      <x:c r="A151" t="str">
        <x:v>DEU-000150</x:v>
      </x:c>
      <x:c r="B151" t="str">
        <x:v>USR-00078</x:v>
      </x:c>
      <x:c r="C151" t="n">
        <x:v>45717</x:v>
      </x:c>
      <x:c r="D151" t="str">
        <x:v>Entidad financiera E</x:v>
      </x:c>
      <x:c r="E151" t="str">
        <x:v>Crédito de consumo</x:v>
      </x:c>
      <x:c r="F151" t="n">
        <x:v>6850000</x:v>
      </x:c>
      <x:c r="G151" s="40" t="n">
        <x:v>0.1943</x:v>
      </x:c>
      <x:c r="H151" s="40" t="n">
        <x:v>0.014907</x:v>
      </x:c>
      <x:c r="I151" t="n">
        <x:v>12</x:v>
      </x:c>
      <x:c r="J151" t="n">
        <x:v>627600</x:v>
      </x:c>
      <x:c r="K151" t="str">
        <x:v>Bola de nieve</x:v>
      </x:c>
      <x:c r="L151" t="str">
        <x:v>Pagada</x:v>
      </x:c>
      <x:c r="M151" t="n">
        <x:v>0</x:v>
      </x:c>
      <x:c r="N151" t="n">
        <x:v>46143</x:v>
      </x:c>
    </x:row>
    <x:row r="152">
      <x:c r="A152" t="str">
        <x:v>DEU-000151</x:v>
      </x:c>
      <x:c r="B152" t="str">
        <x:v>USR-00079</x:v>
      </x:c>
      <x:c r="C152" t="n">
        <x:v>45717</x:v>
      </x:c>
      <x:c r="D152" t="str">
        <x:v>Financiera D</x:v>
      </x:c>
      <x:c r="E152" t="str">
        <x:v>Crédito de vehículo</x:v>
      </x:c>
      <x:c r="F152" t="n">
        <x:v>56510000</x:v>
      </x:c>
      <x:c r="G152" s="40" t="n">
        <x:v>0.1566</x:v>
      </x:c>
      <x:c r="H152" s="40" t="n">
        <x:v>0.012198</x:v>
      </x:c>
      <x:c r="I152" t="n">
        <x:v>18</x:v>
      </x:c>
      <x:c r="J152" t="n">
        <x:v>3515700</x:v>
      </x:c>
      <x:c r="K152" t="str">
        <x:v>Bola de nieve</x:v>
      </x:c>
      <x:c r="L152" t="str">
        <x:v>Vigente</x:v>
      </x:c>
      <x:c r="M152" t="n">
        <x:v>317936.94</x:v>
      </x:c>
      <x:c r="N152"/>
    </x:row>
    <x:row r="153">
      <x:c r="A153" t="str">
        <x:v>DEU-000152</x:v>
      </x:c>
      <x:c r="B153" t="str">
        <x:v>USR-00080</x:v>
      </x:c>
      <x:c r="C153" t="n">
        <x:v>45717</x:v>
      </x:c>
      <x:c r="D153" t="str">
        <x:v>Cooperativa C</x:v>
      </x:c>
      <x:c r="E153" t="str">
        <x:v>Crédito de consumo</x:v>
      </x:c>
      <x:c r="F153" t="n">
        <x:v>18880000</x:v>
      </x:c>
      <x:c r="G153" s="40" t="n">
        <x:v>0.1399</x:v>
      </x:c>
      <x:c r="H153" s="40" t="n">
        <x:v>0.010971</x:v>
      </x:c>
      <x:c r="I153" t="n">
        <x:v>30</x:v>
      </x:c>
      <x:c r="J153" t="n">
        <x:v>742000</x:v>
      </x:c>
      <x:c r="K153" t="str">
        <x:v>Bola de nieve</x:v>
      </x:c>
      <x:c r="L153" t="str">
        <x:v>Vigente</x:v>
      </x:c>
      <x:c r="M153" t="n">
        <x:v>8848821.33</x:v>
      </x:c>
      <x:c r="N153"/>
    </x:row>
    <x:row r="154">
      <x:c r="A154" t="str">
        <x:v>DEU-000153</x:v>
      </x:c>
      <x:c r="B154" t="str">
        <x:v>USR-00081</x:v>
      </x:c>
      <x:c r="C154" t="n">
        <x:v>45717</x:v>
      </x:c>
      <x:c r="D154" t="str">
        <x:v>Entidad financiera E</x:v>
      </x:c>
      <x:c r="E154" t="str">
        <x:v>Tarjeta de crédito</x:v>
      </x:c>
      <x:c r="F154" t="n">
        <x:v>7750000</x:v>
      </x:c>
      <x:c r="G154" s="40" t="n">
        <x:v>0.3366</x:v>
      </x:c>
      <x:c r="H154" s="40" t="n">
        <x:v>0.024472</x:v>
      </x:c>
      <x:c r="I154" t="n">
        <x:v>18</x:v>
      </x:c>
      <x:c r="J154" t="n">
        <x:v>537500</x:v>
      </x:c>
      <x:c r="K154" t="str">
        <x:v>Avalancha</x:v>
      </x:c>
      <x:c r="L154" t="str">
        <x:v>Vigente</x:v>
      </x:c>
      <x:c r="M154" t="n">
        <x:v>5906199.02</x:v>
      </x:c>
      <x:c r="N154"/>
    </x:row>
    <x:row r="155">
      <x:c r="A155" t="str">
        <x:v>DEU-000154</x:v>
      </x:c>
      <x:c r="B155" t="str">
        <x:v>USR-00081</x:v>
      </x:c>
      <x:c r="C155" t="n">
        <x:v>45717</x:v>
      </x:c>
      <x:c r="D155" t="str">
        <x:v>Entidad financiera E</x:v>
      </x:c>
      <x:c r="E155" t="str">
        <x:v>Crédito de consumo</x:v>
      </x:c>
      <x:c r="F155" t="n">
        <x:v>8520000</x:v>
      </x:c>
      <x:c r="G155" s="40" t="n">
        <x:v>0.2442</x:v>
      </x:c>
      <x:c r="H155" s="40" t="n">
        <x:v>0.018375</x:v>
      </x:c>
      <x:c r="I155" t="n">
        <x:v>12</x:v>
      </x:c>
      <x:c r="J155" t="n">
        <x:v>797600</x:v>
      </x:c>
      <x:c r="K155" t="str">
        <x:v>Bola de nieve</x:v>
      </x:c>
      <x:c r="L155" t="str">
        <x:v>Pagada</x:v>
      </x:c>
      <x:c r="M155" t="n">
        <x:v>0</x:v>
      </x:c>
      <x:c r="N155" t="n">
        <x:v>46266</x:v>
      </x:c>
    </x:row>
    <x:row r="156">
      <x:c r="A156" t="str">
        <x:v>DEU-000155</x:v>
      </x:c>
      <x:c r="B156" t="str">
        <x:v>USR-00082</x:v>
      </x:c>
      <x:c r="C156" t="n">
        <x:v>45717</x:v>
      </x:c>
      <x:c r="D156" t="str">
        <x:v>Entidad financiera E</x:v>
      </x:c>
      <x:c r="E156" t="str">
        <x:v>Tarjeta de crédito</x:v>
      </x:c>
      <x:c r="F156" t="n">
        <x:v>6970000</x:v>
      </x:c>
      <x:c r="G156" s="40" t="n">
        <x:v>0.2482</x:v>
      </x:c>
      <x:c r="H156" s="40" t="n">
        <x:v>0.018647</x:v>
      </x:c>
      <x:c r="I156" t="n">
        <x:v>36</x:v>
      </x:c>
      <x:c r="J156" t="n">
        <x:v>267500</x:v>
      </x:c>
      <x:c r="K156" t="str">
        <x:v>Avalancha</x:v>
      </x:c>
      <x:c r="L156" t="str">
        <x:v>Vigente</x:v>
      </x:c>
      <x:c r="M156" t="n">
        <x:v>4986185.29</x:v>
      </x:c>
      <x:c r="N156"/>
    </x:row>
    <x:row r="157">
      <x:c r="A157" t="str">
        <x:v>DEU-000156</x:v>
      </x:c>
      <x:c r="B157" t="str">
        <x:v>USR-00082</x:v>
      </x:c>
      <x:c r="C157" t="n">
        <x:v>45717</x:v>
      </x:c>
      <x:c r="D157" t="str">
        <x:v>Cooperativa C</x:v>
      </x:c>
      <x:c r="E157" t="str">
        <x:v>Crédito de libre inversión</x:v>
      </x:c>
      <x:c r="F157" t="n">
        <x:v>13500000</x:v>
      </x:c>
      <x:c r="G157" s="40" t="n">
        <x:v>0.3103</x:v>
      </x:c>
      <x:c r="H157" s="40" t="n">
        <x:v>0.022777</x:v>
      </x:c>
      <x:c r="I157" t="n">
        <x:v>24</x:v>
      </x:c>
      <x:c r="J157" t="n">
        <x:v>736400</x:v>
      </x:c>
      <x:c r="K157" t="str">
        <x:v>Avalancha</x:v>
      </x:c>
      <x:c r="L157" t="str">
        <x:v>Vigente</x:v>
      </x:c>
      <x:c r="M157" t="n">
        <x:v>7381092.65</x:v>
      </x:c>
      <x:c r="N157"/>
    </x:row>
    <x:row r="158">
      <x:c r="A158" t="str">
        <x:v>DEU-000157</x:v>
      </x:c>
      <x:c r="B158" t="str">
        <x:v>USR-00083</x:v>
      </x:c>
      <x:c r="C158" t="n">
        <x:v>45717</x:v>
      </x:c>
      <x:c r="D158" t="str">
        <x:v>Entidad financiera A</x:v>
      </x:c>
      <x:c r="E158" t="str">
        <x:v>Tarjeta de crédito</x:v>
      </x:c>
      <x:c r="F158" t="n">
        <x:v>2630000</x:v>
      </x:c>
      <x:c r="G158" s="40" t="n">
        <x:v>0.3418</x:v>
      </x:c>
      <x:c r="H158" s="40" t="n">
        <x:v>0.024804</x:v>
      </x:c>
      <x:c r="I158" t="n">
        <x:v>18</x:v>
      </x:c>
      <x:c r="J158" t="n">
        <x:v>182900</x:v>
      </x:c>
      <x:c r="K158" t="str">
        <x:v>Bola de nieve</x:v>
      </x:c>
      <x:c r="L158" t="str">
        <x:v>Vigente</x:v>
      </x:c>
      <x:c r="M158" t="n">
        <x:v>435421.73</x:v>
      </x:c>
      <x:c r="N158"/>
    </x:row>
    <x:row r="159">
      <x:c r="A159" t="str">
        <x:v>DEU-000158</x:v>
      </x:c>
      <x:c r="B159" t="str">
        <x:v>USR-00084</x:v>
      </x:c>
      <x:c r="C159" t="n">
        <x:v>45717</x:v>
      </x:c>
      <x:c r="D159" t="str">
        <x:v>Entidad financiera B</x:v>
      </x:c>
      <x:c r="E159" t="str">
        <x:v>Crédito de libre inversión</x:v>
      </x:c>
      <x:c r="F159" t="n">
        <x:v>19890000</x:v>
      </x:c>
      <x:c r="G159" s="40" t="n">
        <x:v>0.1357</x:v>
      </x:c>
      <x:c r="H159" s="40" t="n">
        <x:v>0.010661</x:v>
      </x:c>
      <x:c r="I159" t="n">
        <x:v>18</x:v>
      </x:c>
      <x:c r="J159" t="n">
        <x:v>1220300</x:v>
      </x:c>
      <x:c r="K159" t="str">
        <x:v>Avalancha</x:v>
      </x:c>
      <x:c r="L159" t="str">
        <x:v>Vigente</x:v>
      </x:c>
      <x:c r="M159" t="n">
        <x:v>12043885.69</x:v>
      </x:c>
      <x:c r="N159"/>
    </x:row>
    <x:row r="160">
      <x:c r="A160" t="str">
        <x:v>DEU-000159</x:v>
      </x:c>
      <x:c r="B160" t="str">
        <x:v>USR-00084</x:v>
      </x:c>
      <x:c r="C160" t="n">
        <x:v>45717</x:v>
      </x:c>
      <x:c r="D160" t="str">
        <x:v>Cooperativa C</x:v>
      </x:c>
      <x:c r="E160" t="str">
        <x:v>Crédito educativo</x:v>
      </x:c>
      <x:c r="F160" t="n">
        <x:v>9080000</x:v>
      </x:c>
      <x:c r="G160" s="40" t="n">
        <x:v>0.3447</x:v>
      </x:c>
      <x:c r="H160" s="40" t="n">
        <x:v>0.024988</x:v>
      </x:c>
      <x:c r="I160" t="n">
        <x:v>12</x:v>
      </x:c>
      <x:c r="J160" t="n">
        <x:v>885100</x:v>
      </x:c>
      <x:c r="K160" t="str">
        <x:v>Bola de nieve</x:v>
      </x:c>
      <x:c r="L160" t="str">
        <x:v>Pagada</x:v>
      </x:c>
      <x:c r="M160" t="n">
        <x:v>0</x:v>
      </x:c>
      <x:c r="N160" t="n">
        <x:v>46174</x:v>
      </x:c>
    </x:row>
    <x:row r="161">
      <x:c r="A161" t="str">
        <x:v>DEU-000160</x:v>
      </x:c>
      <x:c r="B161" t="str">
        <x:v>USR-00085</x:v>
      </x:c>
      <x:c r="C161" t="n">
        <x:v>45717</x:v>
      </x:c>
      <x:c r="D161" t="str">
        <x:v>Financiera D</x:v>
      </x:c>
      <x:c r="E161" t="str">
        <x:v>Crédito de consumo</x:v>
      </x:c>
      <x:c r="F161" t="n">
        <x:v>12280000</x:v>
      </x:c>
      <x:c r="G161" s="40" t="n">
        <x:v>0.3137</x:v>
      </x:c>
      <x:c r="H161" s="40" t="n">
        <x:v>0.022998</x:v>
      </x:c>
      <x:c r="I161" t="n">
        <x:v>60</x:v>
      </x:c>
      <x:c r="J161" t="n">
        <x:v>379400</x:v>
      </x:c>
      <x:c r="K161" t="str">
        <x:v>Avalancha</x:v>
      </x:c>
      <x:c r="L161" t="str">
        <x:v>Vigente</x:v>
      </x:c>
      <x:c r="M161" t="n">
        <x:v>13053861.49</x:v>
      </x:c>
      <x:c r="N161"/>
    </x:row>
    <x:row r="162">
      <x:c r="A162" t="str">
        <x:v>DEU-000161</x:v>
      </x:c>
      <x:c r="B162" t="str">
        <x:v>USR-00086</x:v>
      </x:c>
      <x:c r="C162" t="n">
        <x:v>45717</x:v>
      </x:c>
      <x:c r="D162" t="str">
        <x:v>Financiera D</x:v>
      </x:c>
      <x:c r="E162" t="str">
        <x:v>Crédito de libre inversión</x:v>
      </x:c>
      <x:c r="F162" t="n">
        <x:v>2970000</x:v>
      </x:c>
      <x:c r="G162" s="40" t="n">
        <x:v>0.2827</x:v>
      </x:c>
      <x:c r="H162" s="40" t="n">
        <x:v>0.020964</x:v>
      </x:c>
      <x:c r="I162" t="n">
        <x:v>60</x:v>
      </x:c>
      <x:c r="J162" t="n">
        <x:v>87400</x:v>
      </x:c>
      <x:c r="K162" t="str">
        <x:v>Avalancha</x:v>
      </x:c>
      <x:c r="L162" t="str">
        <x:v>Vigente</x:v>
      </x:c>
      <x:c r="M162" t="n">
        <x:v>2890546.55</x:v>
      </x:c>
      <x:c r="N162"/>
    </x:row>
    <x:row r="163">
      <x:c r="A163" t="str">
        <x:v>DEU-000162</x:v>
      </x:c>
      <x:c r="B163" t="str">
        <x:v>USR-00087</x:v>
      </x:c>
      <x:c r="C163" t="n">
        <x:v>45717</x:v>
      </x:c>
      <x:c r="D163" t="str">
        <x:v>Financiera D</x:v>
      </x:c>
      <x:c r="E163" t="str">
        <x:v>Crédito de vehículo</x:v>
      </x:c>
      <x:c r="F163" t="n">
        <x:v>36120000</x:v>
      </x:c>
      <x:c r="G163" s="40" t="n">
        <x:v>0.2167</x:v>
      </x:c>
      <x:c r="H163" s="40" t="n">
        <x:v>0.01648</x:v>
      </x:c>
      <x:c r="I163" t="n">
        <x:v>48</x:v>
      </x:c>
      <x:c r="J163" t="n">
        <x:v>1094800</x:v>
      </x:c>
      <x:c r="K163" t="str">
        <x:v>Avalancha</x:v>
      </x:c>
      <x:c r="L163" t="str">
        <x:v>Vigente</x:v>
      </x:c>
      <x:c r="M163" t="n">
        <x:v>30351079.56</x:v>
      </x:c>
      <x:c r="N163"/>
    </x:row>
    <x:row r="164">
      <x:c r="A164" t="str">
        <x:v>DEU-000163</x:v>
      </x:c>
      <x:c r="B164" t="str">
        <x:v>USR-00088</x:v>
      </x:c>
      <x:c r="C164" t="n">
        <x:v>45717</x:v>
      </x:c>
      <x:c r="D164" t="str">
        <x:v>Cooperativa C</x:v>
      </x:c>
      <x:c r="E164" t="str">
        <x:v>Crédito de consumo</x:v>
      </x:c>
      <x:c r="F164" t="n">
        <x:v>8820000</x:v>
      </x:c>
      <x:c r="G164" s="40" t="n">
        <x:v>0.2594</x:v>
      </x:c>
      <x:c r="H164" s="40" t="n">
        <x:v>0.019406</x:v>
      </x:c>
      <x:c r="I164" t="n">
        <x:v>36</x:v>
      </x:c>
      <x:c r="J164" t="n">
        <x:v>342700</x:v>
      </x:c>
      <x:c r="K164" t="str">
        <x:v>Avalancha</x:v>
      </x:c>
      <x:c r="L164" t="str">
        <x:v>Vigente</x:v>
      </x:c>
      <x:c r="M164" t="n">
        <x:v>7146682.85</x:v>
      </x:c>
      <x:c r="N164"/>
    </x:row>
    <x:row r="165">
      <x:c r="A165" t="str">
        <x:v>DEU-000164</x:v>
      </x:c>
      <x:c r="B165" t="str">
        <x:v>USR-00089</x:v>
      </x:c>
      <x:c r="C165" t="n">
        <x:v>45717</x:v>
      </x:c>
      <x:c r="D165" t="str">
        <x:v>Entidad financiera B</x:v>
      </x:c>
      <x:c r="E165" t="str">
        <x:v>Crédito de consumo</x:v>
      </x:c>
      <x:c r="F165" t="n">
        <x:v>16630000</x:v>
      </x:c>
      <x:c r="G165" s="40" t="n">
        <x:v>0.257</x:v>
      </x:c>
      <x:c r="H165" s="40" t="n">
        <x:v>0.019243</x:v>
      </x:c>
      <x:c r="I165" t="n">
        <x:v>60</x:v>
      </x:c>
      <x:c r="J165" t="n">
        <x:v>469700</x:v>
      </x:c>
      <x:c r="K165" t="str">
        <x:v>Bola de nieve</x:v>
      </x:c>
      <x:c r="L165" t="str">
        <x:v>Vigente</x:v>
      </x:c>
      <x:c r="M165" t="n">
        <x:v>14938784.89</x:v>
      </x:c>
      <x:c r="N165"/>
    </x:row>
    <x:row r="166">
      <x:c r="A166" t="str">
        <x:v>DEU-000165</x:v>
      </x:c>
      <x:c r="B166" t="str">
        <x:v>USR-00089</x:v>
      </x:c>
      <x:c r="C166" t="n">
        <x:v>45717</x:v>
      </x:c>
      <x:c r="D166" t="str">
        <x:v>Cooperativa C</x:v>
      </x:c>
      <x:c r="E166" t="str">
        <x:v>Tarjeta de crédito</x:v>
      </x:c>
      <x:c r="F166" t="n">
        <x:v>7500000</x:v>
      </x:c>
      <x:c r="G166" s="40" t="n">
        <x:v>0.2942</x:v>
      </x:c>
      <x:c r="H166" s="40" t="n">
        <x:v>0.021724</x:v>
      </x:c>
      <x:c r="I166" t="n">
        <x:v>60</x:v>
      </x:c>
      <x:c r="J166" t="n">
        <x:v>224900</x:v>
      </x:c>
      <x:c r="K166" t="str">
        <x:v>Avalancha</x:v>
      </x:c>
      <x:c r="L166" t="str">
        <x:v>Vigente</x:v>
      </x:c>
      <x:c r="M166" t="n">
        <x:v>7043877.41</x:v>
      </x:c>
      <x:c r="N166"/>
    </x:row>
    <x:row r="167">
      <x:c r="A167" t="str">
        <x:v>DEU-000166</x:v>
      </x:c>
      <x:c r="B167" t="str">
        <x:v>USR-00090</x:v>
      </x:c>
      <x:c r="C167" t="n">
        <x:v>45717</x:v>
      </x:c>
      <x:c r="D167" t="str">
        <x:v>Financiera D</x:v>
      </x:c>
      <x:c r="E167" t="str">
        <x:v>Crédito educativo</x:v>
      </x:c>
      <x:c r="F167" t="n">
        <x:v>19820000</x:v>
      </x:c>
      <x:c r="G167" s="40" t="n">
        <x:v>0.1959</x:v>
      </x:c>
      <x:c r="H167" s="40" t="n">
        <x:v>0.01502</x:v>
      </x:c>
      <x:c r="I167" t="n">
        <x:v>24</x:v>
      </x:c>
      <x:c r="J167" t="n">
        <x:v>989700</x:v>
      </x:c>
      <x:c r="K167" t="str">
        <x:v>Avalancha</x:v>
      </x:c>
      <x:c r="L167" t="str">
        <x:v>Vigente</x:v>
      </x:c>
      <x:c r="M167" t="n">
        <x:v>9369331.32</x:v>
      </x:c>
      <x:c r="N167"/>
    </x:row>
    <x:row r="168">
      <x:c r="A168" t="str">
        <x:v>DEU-000167</x:v>
      </x:c>
      <x:c r="B168" t="str">
        <x:v>USR-00091</x:v>
      </x:c>
      <x:c r="C168" t="n">
        <x:v>45717</x:v>
      </x:c>
      <x:c r="D168" t="str">
        <x:v>Entidad financiera A</x:v>
      </x:c>
      <x:c r="E168" t="str">
        <x:v>Crédito de consumo</x:v>
      </x:c>
      <x:c r="F168" t="n">
        <x:v>14590000</x:v>
      </x:c>
      <x:c r="G168" s="40" t="n">
        <x:v>0.1456</x:v>
      </x:c>
      <x:c r="H168" s="40" t="n">
        <x:v>0.011392</x:v>
      </x:c>
      <x:c r="I168" t="n">
        <x:v>30</x:v>
      </x:c>
      <x:c r="J168" t="n">
        <x:v>576900</x:v>
      </x:c>
      <x:c r="K168" t="str">
        <x:v>Avalancha</x:v>
      </x:c>
      <x:c r="L168" t="str">
        <x:v>Vigente</x:v>
      </x:c>
      <x:c r="M168" t="n">
        <x:v>7950461.23</x:v>
      </x:c>
      <x:c r="N168"/>
    </x:row>
    <x:row r="169">
      <x:c r="A169" t="str">
        <x:v>DEU-000168</x:v>
      </x:c>
      <x:c r="B169" t="str">
        <x:v>USR-00091</x:v>
      </x:c>
      <x:c r="C169" t="n">
        <x:v>45717</x:v>
      </x:c>
      <x:c r="D169" t="str">
        <x:v>Entidad financiera E</x:v>
      </x:c>
      <x:c r="E169" t="str">
        <x:v>Crédito de libre inversión</x:v>
      </x:c>
      <x:c r="F169" t="n">
        <x:v>14830000</x:v>
      </x:c>
      <x:c r="G169" s="40" t="n">
        <x:v>0.2737</x:v>
      </x:c>
      <x:c r="H169" s="40" t="n">
        <x:v>0.020365</x:v>
      </x:c>
      <x:c r="I169" t="n">
        <x:v>30</x:v>
      </x:c>
      <x:c r="J169" t="n">
        <x:v>665500</x:v>
      </x:c>
      <x:c r="K169" t="str">
        <x:v>Bola de nieve</x:v>
      </x:c>
      <x:c r="L169" t="str">
        <x:v>Vigente</x:v>
      </x:c>
      <x:c r="M169" t="n">
        <x:v>7943683.93</x:v>
      </x:c>
      <x:c r="N169"/>
    </x:row>
    <x:row r="170">
      <x:c r="A170" t="str">
        <x:v>DEU-000169</x:v>
      </x:c>
      <x:c r="B170" t="str">
        <x:v>USR-00091</x:v>
      </x:c>
      <x:c r="C170" t="n">
        <x:v>45717</x:v>
      </x:c>
      <x:c r="D170" t="str">
        <x:v>Entidad financiera E</x:v>
      </x:c>
      <x:c r="E170" t="str">
        <x:v>Tarjeta de crédito</x:v>
      </x:c>
      <x:c r="F170" t="n">
        <x:v>1550000</x:v>
      </x:c>
      <x:c r="G170" s="40" t="n">
        <x:v>0.2438</x:v>
      </x:c>
      <x:c r="H170" s="40" t="n">
        <x:v>0.018347</x:v>
      </x:c>
      <x:c r="I170" t="n">
        <x:v>48</x:v>
      </x:c>
      <x:c r="J170" t="n">
        <x:v>48800</x:v>
      </x:c>
      <x:c r="K170" t="str">
        <x:v>Bola de nieve</x:v>
      </x:c>
      <x:c r="L170" t="str">
        <x:v>Vigente</x:v>
      </x:c>
      <x:c r="M170" t="n">
        <x:v>1248849.35</x:v>
      </x:c>
      <x:c r="N170"/>
    </x:row>
    <x:row r="171">
      <x:c r="A171" t="str">
        <x:v>DEU-000170</x:v>
      </x:c>
      <x:c r="B171" t="str">
        <x:v>USR-00091</x:v>
      </x:c>
      <x:c r="C171" t="n">
        <x:v>45717</x:v>
      </x:c>
      <x:c r="D171" t="str">
        <x:v>Entidad financiera E</x:v>
      </x:c>
      <x:c r="E171" t="str">
        <x:v>Crédito de consumo</x:v>
      </x:c>
      <x:c r="F171" t="n">
        <x:v>5780000</x:v>
      </x:c>
      <x:c r="G171" s="40" t="n">
        <x:v>0.1464</x:v>
      </x:c>
      <x:c r="H171" s="40" t="n">
        <x:v>0.011451</x:v>
      </x:c>
      <x:c r="I171" t="n">
        <x:v>12</x:v>
      </x:c>
      <x:c r="J171" t="n">
        <x:v>518300</x:v>
      </x:c>
      <x:c r="K171" t="str">
        <x:v>Avalancha</x:v>
      </x:c>
      <x:c r="L171" t="str">
        <x:v>Pagada</x:v>
      </x:c>
      <x:c r="M171" t="n">
        <x:v>0</x:v>
      </x:c>
      <x:c r="N171" t="n">
        <x:v>46174</x:v>
      </x:c>
    </x:row>
    <x:row r="172">
      <x:c r="A172" t="str">
        <x:v>DEU-000171</x:v>
      </x:c>
      <x:c r="B172" t="str">
        <x:v>USR-00092</x:v>
      </x:c>
      <x:c r="C172" t="n">
        <x:v>45717</x:v>
      </x:c>
      <x:c r="D172" t="str">
        <x:v>Cooperativa C</x:v>
      </x:c>
      <x:c r="E172" t="str">
        <x:v>Tarjeta de crédito</x:v>
      </x:c>
      <x:c r="F172" t="n">
        <x:v>5250000</x:v>
      </x:c>
      <x:c r="G172" s="40" t="n">
        <x:v>0.3321</x:v>
      </x:c>
      <x:c r="H172" s="40" t="n">
        <x:v>0.024184</x:v>
      </x:c>
      <x:c r="I172" t="n">
        <x:v>12</x:v>
      </x:c>
      <x:c r="J172" t="n">
        <x:v>509300</x:v>
      </x:c>
      <x:c r="K172" t="str">
        <x:v>Bola de nieve</x:v>
      </x:c>
      <x:c r="L172" t="str">
        <x:v>Pagada</x:v>
      </x:c>
      <x:c r="M172" t="n">
        <x:v>0</x:v>
      </x:c>
      <x:c r="N172" t="n">
        <x:v>46082</x:v>
      </x:c>
    </x:row>
    <x:row r="173">
      <x:c r="A173" t="str">
        <x:v>DEU-000172</x:v>
      </x:c>
      <x:c r="B173" t="str">
        <x:v>USR-00092</x:v>
      </x:c>
      <x:c r="C173" t="n">
        <x:v>45717</x:v>
      </x:c>
      <x:c r="D173" t="str">
        <x:v>Entidad financiera B</x:v>
      </x:c>
      <x:c r="E173" t="str">
        <x:v>Crédito de vehículo</x:v>
      </x:c>
      <x:c r="F173" t="n">
        <x:v>45850000</x:v>
      </x:c>
      <x:c r="G173" s="40" t="n">
        <x:v>0.1906</x:v>
      </x:c>
      <x:c r="H173" s="40" t="n">
        <x:v>0.014644</x:v>
      </x:c>
      <x:c r="I173" t="n">
        <x:v>36</x:v>
      </x:c>
      <x:c r="J173" t="n">
        <x:v>1647800</x:v>
      </x:c>
      <x:c r="K173" t="str">
        <x:v>Bola de nieve</x:v>
      </x:c>
      <x:c r="L173" t="str">
        <x:v>Vigente</x:v>
      </x:c>
      <x:c r="M173" t="n">
        <x:v>28804384.79</x:v>
      </x:c>
      <x:c r="N173"/>
    </x:row>
    <x:row r="174">
      <x:c r="A174" t="str">
        <x:v>DEU-000173</x:v>
      </x:c>
      <x:c r="B174" t="str">
        <x:v>USR-00093</x:v>
      </x:c>
      <x:c r="C174" t="n">
        <x:v>45717</x:v>
      </x:c>
      <x:c r="D174" t="str">
        <x:v>Financiera D</x:v>
      </x:c>
      <x:c r="E174" t="str">
        <x:v>Crédito de consumo</x:v>
      </x:c>
      <x:c r="F174" t="n">
        <x:v>11960000</x:v>
      </x:c>
      <x:c r="G174" s="40" t="n">
        <x:v>0.1338</x:v>
      </x:c>
      <x:c r="H174" s="40" t="n">
        <x:v>0.01052</x:v>
      </x:c>
      <x:c r="I174" t="n">
        <x:v>18</x:v>
      </x:c>
      <x:c r="J174" t="n">
        <x:v>732800</x:v>
      </x:c>
      <x:c r="K174" t="str">
        <x:v>Avalancha</x:v>
      </x:c>
      <x:c r="L174" t="str">
        <x:v>Vigente</x:v>
      </x:c>
      <x:c r="M174" t="n">
        <x:v>762023.07</x:v>
      </x:c>
      <x:c r="N174"/>
    </x:row>
    <x:row r="175">
      <x:c r="A175" t="str">
        <x:v>DEU-000174</x:v>
      </x:c>
      <x:c r="B175" t="str">
        <x:v>USR-00093</x:v>
      </x:c>
      <x:c r="C175" t="n">
        <x:v>45717</x:v>
      </x:c>
      <x:c r="D175" t="str">
        <x:v>Entidad financiera B</x:v>
      </x:c>
      <x:c r="E175" t="str">
        <x:v>Crédito de consumo</x:v>
      </x:c>
      <x:c r="F175" t="n">
        <x:v>2880000</x:v>
      </x:c>
      <x:c r="G175" s="40" t="n">
        <x:v>0.2267</x:v>
      </x:c>
      <x:c r="H175" s="40" t="n">
        <x:v>0.017173</x:v>
      </x:c>
      <x:c r="I175" t="n">
        <x:v>60</x:v>
      </x:c>
      <x:c r="J175" t="n">
        <x:v>77300</x:v>
      </x:c>
      <x:c r="K175" t="str">
        <x:v>Avalancha</x:v>
      </x:c>
      <x:c r="L175" t="str">
        <x:v>Vigente</x:v>
      </x:c>
      <x:c r="M175" t="n">
        <x:v>2593414.44</x:v>
      </x:c>
      <x:c r="N175"/>
    </x:row>
    <x:row r="176">
      <x:c r="A176" t="str">
        <x:v>DEU-000175</x:v>
      </x:c>
      <x:c r="B176" t="str">
        <x:v>USR-00093</x:v>
      </x:c>
      <x:c r="C176" t="n">
        <x:v>45717</x:v>
      </x:c>
      <x:c r="D176" t="str">
        <x:v>Entidad financiera B</x:v>
      </x:c>
      <x:c r="E176" t="str">
        <x:v>Crédito de consumo</x:v>
      </x:c>
      <x:c r="F176" t="n">
        <x:v>11640000</x:v>
      </x:c>
      <x:c r="G176" s="40" t="n">
        <x:v>0.2304</x:v>
      </x:c>
      <x:c r="H176" s="40" t="n">
        <x:v>0.017428</x:v>
      </x:c>
      <x:c r="I176" t="n">
        <x:v>60</x:v>
      </x:c>
      <x:c r="J176" t="n">
        <x:v>314300</x:v>
      </x:c>
      <x:c r="K176" t="str">
        <x:v>Bola de nieve</x:v>
      </x:c>
      <x:c r="L176" t="str">
        <x:v>Vigente</x:v>
      </x:c>
      <x:c r="M176" t="n">
        <x:v>9602228.14</x:v>
      </x:c>
      <x:c r="N176"/>
    </x:row>
    <x:row r="177">
      <x:c r="A177" t="str">
        <x:v>DEU-000176</x:v>
      </x:c>
      <x:c r="B177" t="str">
        <x:v>USR-00094</x:v>
      </x:c>
      <x:c r="C177" t="n">
        <x:v>45717</x:v>
      </x:c>
      <x:c r="D177" t="str">
        <x:v>Entidad financiera A</x:v>
      </x:c>
      <x:c r="E177" t="str">
        <x:v>Crédito de libre inversión</x:v>
      </x:c>
      <x:c r="F177" t="n">
        <x:v>7980000</x:v>
      </x:c>
      <x:c r="G177" s="40" t="n">
        <x:v>0.1648</x:v>
      </x:c>
      <x:c r="H177" s="40" t="n">
        <x:v>0.012794</x:v>
      </x:c>
      <x:c r="I177" t="n">
        <x:v>18</x:v>
      </x:c>
      <x:c r="J177" t="n">
        <x:v>499200</x:v>
      </x:c>
      <x:c r="K177" t="str">
        <x:v>Bola de nieve</x:v>
      </x:c>
      <x:c r="L177" t="str">
        <x:v>Vigente</x:v>
      </x:c>
      <x:c r="M177" t="n">
        <x:v>2057105.78</x:v>
      </x:c>
      <x:c r="N177"/>
    </x:row>
    <x:row r="178">
      <x:c r="A178" t="str">
        <x:v>DEU-000177</x:v>
      </x:c>
      <x:c r="B178" t="str">
        <x:v>USR-00094</x:v>
      </x:c>
      <x:c r="C178" t="n">
        <x:v>45717</x:v>
      </x:c>
      <x:c r="D178" t="str">
        <x:v>Entidad financiera A</x:v>
      </x:c>
      <x:c r="E178" t="str">
        <x:v>Tarjeta de crédito</x:v>
      </x:c>
      <x:c r="F178" t="n">
        <x:v>4820000</x:v>
      </x:c>
      <x:c r="G178" s="40" t="n">
        <x:v>0.3376</x:v>
      </x:c>
      <x:c r="H178" s="40" t="n">
        <x:v>0.024536</x:v>
      </x:c>
      <x:c r="I178" t="n">
        <x:v>36</x:v>
      </x:c>
      <x:c r="J178" t="n">
        <x:v>203100</x:v>
      </x:c>
      <x:c r="K178" t="str">
        <x:v>Avalancha</x:v>
      </x:c>
      <x:c r="L178" t="str">
        <x:v>Vigente</x:v>
      </x:c>
      <x:c r="M178" t="n">
        <x:v>4979006.34</x:v>
      </x:c>
      <x:c r="N178"/>
    </x:row>
    <x:row r="179">
      <x:c r="A179" t="str">
        <x:v>DEU-000178</x:v>
      </x:c>
      <x:c r="B179" t="str">
        <x:v>USR-00095</x:v>
      </x:c>
      <x:c r="C179" t="n">
        <x:v>45748</x:v>
      </x:c>
      <x:c r="D179" t="str">
        <x:v>Entidad financiera A</x:v>
      </x:c>
      <x:c r="E179" t="str">
        <x:v>Tarjeta de crédito</x:v>
      </x:c>
      <x:c r="F179" t="n">
        <x:v>7560000</x:v>
      </x:c>
      <x:c r="G179" s="40" t="n">
        <x:v>0.2656</x:v>
      </x:c>
      <x:c r="H179" s="40" t="n">
        <x:v>0.019823</x:v>
      </x:c>
      <x:c r="I179" t="n">
        <x:v>36</x:v>
      </x:c>
      <x:c r="J179" t="n">
        <x:v>295800</x:v>
      </x:c>
      <x:c r="K179" t="str">
        <x:v>Avalancha</x:v>
      </x:c>
      <x:c r="L179" t="str">
        <x:v>Vigente</x:v>
      </x:c>
      <x:c r="M179" t="n">
        <x:v>6733834.71</x:v>
      </x:c>
      <x:c r="N179"/>
    </x:row>
    <x:row r="180">
      <x:c r="A180" t="str">
        <x:v>DEU-000179</x:v>
      </x:c>
      <x:c r="B180" t="str">
        <x:v>USR-00095</x:v>
      </x:c>
      <x:c r="C180" t="n">
        <x:v>45748</x:v>
      </x:c>
      <x:c r="D180" t="str">
        <x:v>Entidad financiera E</x:v>
      </x:c>
      <x:c r="E180" t="str">
        <x:v>Crédito de vehículo</x:v>
      </x:c>
      <x:c r="F180" t="n">
        <x:v>44700000</x:v>
      </x:c>
      <x:c r="G180" s="40" t="n">
        <x:v>0.1449</x:v>
      </x:c>
      <x:c r="H180" s="40" t="n">
        <x:v>0.01134</x:v>
      </x:c>
      <x:c r="I180" t="n">
        <x:v>24</x:v>
      </x:c>
      <x:c r="J180" t="n">
        <x:v>2137900</x:v>
      </x:c>
      <x:c r="K180" t="str">
        <x:v>Avalancha</x:v>
      </x:c>
      <x:c r="L180" t="str">
        <x:v>Vigente</x:v>
      </x:c>
      <x:c r="M180" t="n">
        <x:v>26257445.3</x:v>
      </x:c>
      <x:c r="N180"/>
    </x:row>
    <x:row r="181">
      <x:c r="A181" t="str">
        <x:v>DEU-000180</x:v>
      </x:c>
      <x:c r="B181" t="str">
        <x:v>USR-00095</x:v>
      </x:c>
      <x:c r="C181" t="n">
        <x:v>45748</x:v>
      </x:c>
      <x:c r="D181" t="str">
        <x:v>Entidad financiera E</x:v>
      </x:c>
      <x:c r="E181" t="str">
        <x:v>Tarjeta de crédito</x:v>
      </x:c>
      <x:c r="F181" t="n">
        <x:v>4500000</x:v>
      </x:c>
      <x:c r="G181" s="40" t="n">
        <x:v>0.2186</x:v>
      </x:c>
      <x:c r="H181" s="40" t="n">
        <x:v>0.016612</x:v>
      </x:c>
      <x:c r="I181" t="n">
        <x:v>18</x:v>
      </x:c>
      <x:c r="J181" t="n">
        <x:v>291300</x:v>
      </x:c>
      <x:c r="K181" t="str">
        <x:v>Avalancha</x:v>
      </x:c>
      <x:c r="L181" t="str">
        <x:v>Vigente</x:v>
      </x:c>
      <x:c r="M181" t="n">
        <x:v>1599201.5</x:v>
      </x:c>
      <x:c r="N181"/>
    </x:row>
    <x:row r="182">
      <x:c r="A182" t="str">
        <x:v>DEU-000181</x:v>
      </x:c>
      <x:c r="B182" t="str">
        <x:v>USR-00095</x:v>
      </x:c>
      <x:c r="C182" t="n">
        <x:v>45748</x:v>
      </x:c>
      <x:c r="D182" t="str">
        <x:v>Cooperativa C</x:v>
      </x:c>
      <x:c r="E182" t="str">
        <x:v>Crédito educativo</x:v>
      </x:c>
      <x:c r="F182" t="n">
        <x:v>20660000</x:v>
      </x:c>
      <x:c r="G182" s="40" t="n">
        <x:v>0.2076</x:v>
      </x:c>
      <x:c r="H182" s="40" t="n">
        <x:v>0.015844</x:v>
      </x:c>
      <x:c r="I182" t="n">
        <x:v>36</x:v>
      </x:c>
      <x:c r="J182" t="n">
        <x:v>757400</x:v>
      </x:c>
      <x:c r="K182" t="str">
        <x:v>Bola de nieve</x:v>
      </x:c>
      <x:c r="L182" t="str">
        <x:v>Vigente</x:v>
      </x:c>
      <x:c r="M182" t="n">
        <x:v>16164359.02</x:v>
      </x:c>
      <x:c r="N182"/>
    </x:row>
    <x:row r="183">
      <x:c r="A183" t="str">
        <x:v>DEU-000182</x:v>
      </x:c>
      <x:c r="B183" t="str">
        <x:v>USR-00095</x:v>
      </x:c>
      <x:c r="C183" t="n">
        <x:v>45748</x:v>
      </x:c>
      <x:c r="D183" t="str">
        <x:v>Entidad financiera A</x:v>
      </x:c>
      <x:c r="E183" t="str">
        <x:v>Tarjeta de crédito</x:v>
      </x:c>
      <x:c r="F183" t="n">
        <x:v>7910000</x:v>
      </x:c>
      <x:c r="G183" s="40" t="n">
        <x:v>0.1298</x:v>
      </x:c>
      <x:c r="H183" s="40" t="n">
        <x:v>0.010222</x:v>
      </x:c>
      <x:c r="I183" t="n">
        <x:v>12</x:v>
      </x:c>
      <x:c r="J183" t="n">
        <x:v>703800</x:v>
      </x:c>
      <x:c r="K183" t="str">
        <x:v>Bola de nieve</x:v>
      </x:c>
      <x:c r="L183" t="str">
        <x:v>Pagada</x:v>
      </x:c>
      <x:c r="M183" t="n">
        <x:v>0</x:v>
      </x:c>
      <x:c r="N183" t="n">
        <x:v>46204</x:v>
      </x:c>
    </x:row>
    <x:row r="184">
      <x:c r="A184" t="str">
        <x:v>DEU-000183</x:v>
      </x:c>
      <x:c r="B184" t="str">
        <x:v>USR-00096</x:v>
      </x:c>
      <x:c r="C184" t="n">
        <x:v>45748</x:v>
      </x:c>
      <x:c r="D184" t="str">
        <x:v>Entidad financiera E</x:v>
      </x:c>
      <x:c r="E184" t="str">
        <x:v>Crédito educativo</x:v>
      </x:c>
      <x:c r="F184" t="n">
        <x:v>7430000</x:v>
      </x:c>
      <x:c r="G184" s="40" t="n">
        <x:v>0.131</x:v>
      </x:c>
      <x:c r="H184" s="40" t="n">
        <x:v>0.010311</x:v>
      </x:c>
      <x:c r="I184" t="n">
        <x:v>24</x:v>
      </x:c>
      <x:c r="J184" t="n">
        <x:v>351100</x:v>
      </x:c>
      <x:c r="K184" t="str">
        <x:v>Avalancha</x:v>
      </x:c>
      <x:c r="L184" t="str">
        <x:v>Vigente</x:v>
      </x:c>
      <x:c r="M184" t="n">
        <x:v>4354247.46</x:v>
      </x:c>
      <x:c r="N184"/>
    </x:row>
    <x:row r="185">
      <x:c r="A185" t="str">
        <x:v>DEU-000184</x:v>
      </x:c>
      <x:c r="B185" t="str">
        <x:v>USR-00097</x:v>
      </x:c>
      <x:c r="C185" t="n">
        <x:v>45748</x:v>
      </x:c>
      <x:c r="D185" t="str">
        <x:v>Entidad financiera A</x:v>
      </x:c>
      <x:c r="E185" t="str">
        <x:v>Crédito de vehículo</x:v>
      </x:c>
      <x:c r="F185" t="n">
        <x:v>34430000</x:v>
      </x:c>
      <x:c r="G185" s="40" t="n">
        <x:v>0.1332</x:v>
      </x:c>
      <x:c r="H185" s="40" t="n">
        <x:v>0.010475</x:v>
      </x:c>
      <x:c r="I185" t="n">
        <x:v>12</x:v>
      </x:c>
      <x:c r="J185" t="n">
        <x:v>3068300</x:v>
      </x:c>
      <x:c r="K185" t="str">
        <x:v>Avalancha</x:v>
      </x:c>
      <x:c r="L185" t="str">
        <x:v>Pagada</x:v>
      </x:c>
      <x:c r="M185" t="n">
        <x:v>0</x:v>
      </x:c>
      <x:c r="N185" t="n">
        <x:v>46235</x:v>
      </x:c>
    </x:row>
    <x:row r="186">
      <x:c r="A186" t="str">
        <x:v>DEU-000185</x:v>
      </x:c>
      <x:c r="B186" t="str">
        <x:v>USR-00097</x:v>
      </x:c>
      <x:c r="C186" t="n">
        <x:v>45748</x:v>
      </x:c>
      <x:c r="D186" t="str">
        <x:v>Financiera D</x:v>
      </x:c>
      <x:c r="E186" t="str">
        <x:v>Crédito de libre inversión</x:v>
      </x:c>
      <x:c r="F186" t="n">
        <x:v>16370000</x:v>
      </x:c>
      <x:c r="G186" s="40" t="n">
        <x:v>0.2779</x:v>
      </x:c>
      <x:c r="H186" s="40" t="n">
        <x:v>0.020645</x:v>
      </x:c>
      <x:c r="I186" t="n">
        <x:v>60</x:v>
      </x:c>
      <x:c r="J186" t="n">
        <x:v>478300</x:v>
      </x:c>
      <x:c r="K186" t="str">
        <x:v>Avalancha</x:v>
      </x:c>
      <x:c r="L186" t="str">
        <x:v>Vigente</x:v>
      </x:c>
      <x:c r="M186" t="n">
        <x:v>16899602.06</x:v>
      </x:c>
      <x:c r="N186"/>
    </x:row>
    <x:row r="187">
      <x:c r="A187" t="str">
        <x:v>DEU-000186</x:v>
      </x:c>
      <x:c r="B187" t="str">
        <x:v>USR-00098</x:v>
      </x:c>
      <x:c r="C187" t="n">
        <x:v>45748</x:v>
      </x:c>
      <x:c r="D187" t="str">
        <x:v>Entidad financiera B</x:v>
      </x:c>
      <x:c r="E187" t="str">
        <x:v>Crédito educativo</x:v>
      </x:c>
      <x:c r="F187" t="n">
        <x:v>23010000</x:v>
      </x:c>
      <x:c r="G187" s="40" t="n">
        <x:v>0.2838</x:v>
      </x:c>
      <x:c r="H187" s="40" t="n">
        <x:v>0.021037</x:v>
      </x:c>
      <x:c r="I187" t="n">
        <x:v>12</x:v>
      </x:c>
      <x:c r="J187" t="n">
        <x:v>2189700</x:v>
      </x:c>
      <x:c r="K187" t="str">
        <x:v>Avalancha</x:v>
      </x:c>
      <x:c r="L187" t="str">
        <x:v>Vigente</x:v>
      </x:c>
      <x:c r="M187" t="n">
        <x:v>1915526.79</x:v>
      </x:c>
      <x:c r="N187"/>
    </x:row>
    <x:row r="188">
      <x:c r="A188" t="str">
        <x:v>DEU-000187</x:v>
      </x:c>
      <x:c r="B188" t="str">
        <x:v>USR-00098</x:v>
      </x:c>
      <x:c r="C188" t="n">
        <x:v>45748</x:v>
      </x:c>
      <x:c r="D188" t="str">
        <x:v>Cooperativa C</x:v>
      </x:c>
      <x:c r="E188" t="str">
        <x:v>Tarjeta de crédito</x:v>
      </x:c>
      <x:c r="F188" t="n">
        <x:v>3230000</x:v>
      </x:c>
      <x:c r="G188" s="40" t="n">
        <x:v>0.1869</x:v>
      </x:c>
      <x:c r="H188" s="40" t="n">
        <x:v>0.014381</x:v>
      </x:c>
      <x:c r="I188" t="n">
        <x:v>36</x:v>
      </x:c>
      <x:c r="J188" t="n">
        <x:v>115600</x:v>
      </x:c>
      <x:c r="K188" t="str">
        <x:v>Avalancha</x:v>
      </x:c>
      <x:c r="L188" t="str">
        <x:v>Vigente</x:v>
      </x:c>
      <x:c r="M188" t="n">
        <x:v>2274086.14</x:v>
      </x:c>
      <x:c r="N188"/>
    </x:row>
    <x:row r="189">
      <x:c r="A189" t="str">
        <x:v>DEU-000188</x:v>
      </x:c>
      <x:c r="B189" t="str">
        <x:v>USR-00099</x:v>
      </x:c>
      <x:c r="C189" t="n">
        <x:v>45748</x:v>
      </x:c>
      <x:c r="D189" t="str">
        <x:v>Entidad financiera A</x:v>
      </x:c>
      <x:c r="E189" t="str">
        <x:v>Crédito educativo</x:v>
      </x:c>
      <x:c r="F189" t="n">
        <x:v>26150000</x:v>
      </x:c>
      <x:c r="G189" s="40" t="n">
        <x:v>0.1525</x:v>
      </x:c>
      <x:c r="H189" s="40" t="n">
        <x:v>0.011898</x:v>
      </x:c>
      <x:c r="I189" t="n">
        <x:v>60</x:v>
      </x:c>
      <x:c r="J189" t="n">
        <x:v>612200</x:v>
      </x:c>
      <x:c r="K189" t="str">
        <x:v>Avalancha</x:v>
      </x:c>
      <x:c r="L189" t="str">
        <x:v>Vigente</x:v>
      </x:c>
      <x:c r="M189" t="n">
        <x:v>21203557.08</x:v>
      </x:c>
      <x:c r="N189"/>
    </x:row>
    <x:row r="190">
      <x:c r="A190" t="str">
        <x:v>DEU-000189</x:v>
      </x:c>
      <x:c r="B190" t="str">
        <x:v>USR-00099</x:v>
      </x:c>
      <x:c r="C190" t="n">
        <x:v>45748</x:v>
      </x:c>
      <x:c r="D190" t="str">
        <x:v>Entidad financiera B</x:v>
      </x:c>
      <x:c r="E190" t="str">
        <x:v>Tarjeta de crédito</x:v>
      </x:c>
      <x:c r="F190" t="n">
        <x:v>4720000</x:v>
      </x:c>
      <x:c r="G190" s="40" t="n">
        <x:v>0.2908</x:v>
      </x:c>
      <x:c r="H190" s="40" t="n">
        <x:v>0.0215</x:v>
      </x:c>
      <x:c r="I190" t="n">
        <x:v>18</x:v>
      </x:c>
      <x:c r="J190" t="n">
        <x:v>319000</x:v>
      </x:c>
      <x:c r="K190" t="str">
        <x:v>Bola de nieve</x:v>
      </x:c>
      <x:c r="L190" t="str">
        <x:v>Vigente</x:v>
      </x:c>
      <x:c r="M190" t="n">
        <x:v>1075641.51</x:v>
      </x:c>
      <x:c r="N190"/>
    </x:row>
    <x:row r="191">
      <x:c r="A191" t="str">
        <x:v>DEU-000190</x:v>
      </x:c>
      <x:c r="B191" t="str">
        <x:v>USR-00100</x:v>
      </x:c>
      <x:c r="C191" t="n">
        <x:v>45748</x:v>
      </x:c>
      <x:c r="D191" t="str">
        <x:v>Financiera D</x:v>
      </x:c>
      <x:c r="E191" t="str">
        <x:v>Crédito de consumo</x:v>
      </x:c>
      <x:c r="F191" t="n">
        <x:v>13680000</x:v>
      </x:c>
      <x:c r="G191" s="40" t="n">
        <x:v>0.3073</x:v>
      </x:c>
      <x:c r="H191" s="40" t="n">
        <x:v>0.022582</x:v>
      </x:c>
      <x:c r="I191" t="n">
        <x:v>30</x:v>
      </x:c>
      <x:c r="J191" t="n">
        <x:v>632700</x:v>
      </x:c>
      <x:c r="K191" t="str">
        <x:v>Bola de nieve</x:v>
      </x:c>
      <x:c r="L191" t="str">
        <x:v>Vigente</x:v>
      </x:c>
      <x:c r="M191" t="n">
        <x:v>10802156.51</x:v>
      </x:c>
      <x:c r="N191"/>
    </x:row>
    <x:row r="192">
      <x:c r="A192" t="str">
        <x:v>DEU-000191</x:v>
      </x:c>
      <x:c r="B192" t="str">
        <x:v>USR-00100</x:v>
      </x:c>
      <x:c r="C192" t="n">
        <x:v>45748</x:v>
      </x:c>
      <x:c r="D192" t="str">
        <x:v>Financiera D</x:v>
      </x:c>
      <x:c r="E192" t="str">
        <x:v>Crédito de consumo</x:v>
      </x:c>
      <x:c r="F192" t="n">
        <x:v>10860000</x:v>
      </x:c>
      <x:c r="G192" s="40" t="n">
        <x:v>0.279</x:v>
      </x:c>
      <x:c r="H192" s="40" t="n">
        <x:v>0.020718</x:v>
      </x:c>
      <x:c r="I192" t="n">
        <x:v>30</x:v>
      </x:c>
      <x:c r="J192" t="n">
        <x:v>489700</x:v>
      </x:c>
      <x:c r="K192" t="str">
        <x:v>Bola de nieve</x:v>
      </x:c>
      <x:c r="L192" t="str">
        <x:v>Vigente</x:v>
      </x:c>
      <x:c r="M192" t="n">
        <x:v>7426756.85</x:v>
      </x:c>
      <x:c r="N192"/>
    </x:row>
    <x:row r="193">
      <x:c r="A193" t="str">
        <x:v>DEU-000192</x:v>
      </x:c>
      <x:c r="B193" t="str">
        <x:v>USR-00100</x:v>
      </x:c>
      <x:c r="C193" t="n">
        <x:v>45748</x:v>
      </x:c>
      <x:c r="D193" t="str">
        <x:v>Entidad financiera B</x:v>
      </x:c>
      <x:c r="E193" t="str">
        <x:v>Crédito de libre inversión</x:v>
      </x:c>
      <x:c r="F193" t="n">
        <x:v>13480000</x:v>
      </x:c>
      <x:c r="G193" s="40" t="n">
        <x:v>0.1282</x:v>
      </x:c>
      <x:c r="H193" s="40" t="n">
        <x:v>0.010103</x:v>
      </x:c>
      <x:c r="I193" t="n">
        <x:v>60</x:v>
      </x:c>
      <x:c r="J193" t="n">
        <x:v>300700</x:v>
      </x:c>
      <x:c r="K193" t="str">
        <x:v>Avalancha</x:v>
      </x:c>
      <x:c r="L193" t="str">
        <x:v>Vigente</x:v>
      </x:c>
      <x:c r="M193" t="n">
        <x:v>12507713.79</x:v>
      </x:c>
      <x:c r="N193"/>
    </x:row>
    <x:row r="194">
      <x:c r="A194" t="str">
        <x:v>DEU-000193</x:v>
      </x:c>
      <x:c r="B194" t="str">
        <x:v>USR-00101</x:v>
      </x:c>
      <x:c r="C194" t="n">
        <x:v>45748</x:v>
      </x:c>
      <x:c r="D194" t="str">
        <x:v>Entidad financiera B</x:v>
      </x:c>
      <x:c r="E194" t="str">
        <x:v>Crédito de vehículo</x:v>
      </x:c>
      <x:c r="F194" t="n">
        <x:v>39040000</x:v>
      </x:c>
      <x:c r="G194" s="40" t="n">
        <x:v>0.3028</x:v>
      </x:c>
      <x:c r="H194" s="40" t="n">
        <x:v>0.022288</x:v>
      </x:c>
      <x:c r="I194" t="n">
        <x:v>48</x:v>
      </x:c>
      <x:c r="J194" t="n">
        <x:v>1332700</x:v>
      </x:c>
      <x:c r="K194" t="str">
        <x:v>Avalancha</x:v>
      </x:c>
      <x:c r="L194" t="str">
        <x:v>Vigente</x:v>
      </x:c>
      <x:c r="M194" t="n">
        <x:v>32850215.77</x:v>
      </x:c>
      <x:c r="N194"/>
    </x:row>
    <x:row r="195">
      <x:c r="A195" t="str">
        <x:v>DEU-000194</x:v>
      </x:c>
      <x:c r="B195" t="str">
        <x:v>USR-00101</x:v>
      </x:c>
      <x:c r="C195" t="n">
        <x:v>45748</x:v>
      </x:c>
      <x:c r="D195" t="str">
        <x:v>Financiera D</x:v>
      </x:c>
      <x:c r="E195" t="str">
        <x:v>Tarjeta de crédito</x:v>
      </x:c>
      <x:c r="F195" t="n">
        <x:v>7880000</x:v>
      </x:c>
      <x:c r="G195" s="40" t="n">
        <x:v>0.3436</x:v>
      </x:c>
      <x:c r="H195" s="40" t="n">
        <x:v>0.024918</x:v>
      </x:c>
      <x:c r="I195" t="n">
        <x:v>36</x:v>
      </x:c>
      <x:c r="J195" t="n">
        <x:v>334100</x:v>
      </x:c>
      <x:c r="K195" t="str">
        <x:v>Avalancha</x:v>
      </x:c>
      <x:c r="L195" t="str">
        <x:v>Vigente</x:v>
      </x:c>
      <x:c r="M195" t="n">
        <x:v>6182438.39</x:v>
      </x:c>
      <x:c r="N195"/>
    </x:row>
    <x:row r="196">
      <x:c r="A196" t="str">
        <x:v>DEU-000195</x:v>
      </x:c>
      <x:c r="B196" t="str">
        <x:v>USR-00101</x:v>
      </x:c>
      <x:c r="C196" t="n">
        <x:v>45748</x:v>
      </x:c>
      <x:c r="D196" t="str">
        <x:v>Cooperativa C</x:v>
      </x:c>
      <x:c r="E196" t="str">
        <x:v>Crédito de consumo</x:v>
      </x:c>
      <x:c r="F196" t="n">
        <x:v>13540000</x:v>
      </x:c>
      <x:c r="G196" s="40" t="n">
        <x:v>0.1445</x:v>
      </x:c>
      <x:c r="H196" s="40" t="n">
        <x:v>0.011311</x:v>
      </x:c>
      <x:c r="I196" t="n">
        <x:v>18</x:v>
      </x:c>
      <x:c r="J196" t="n">
        <x:v>835600</x:v>
      </x:c>
      <x:c r="K196" t="str">
        <x:v>Avalancha</x:v>
      </x:c>
      <x:c r="L196" t="str">
        <x:v>Vigente</x:v>
      </x:c>
      <x:c r="M196" t="n">
        <x:v>3266380.37</x:v>
      </x:c>
      <x:c r="N196"/>
    </x:row>
    <x:row r="197">
      <x:c r="A197" t="str">
        <x:v>DEU-000196</x:v>
      </x:c>
      <x:c r="B197" t="str">
        <x:v>USR-00101</x:v>
      </x:c>
      <x:c r="C197" t="n">
        <x:v>45748</x:v>
      </x:c>
      <x:c r="D197" t="str">
        <x:v>Cooperativa C</x:v>
      </x:c>
      <x:c r="E197" t="str">
        <x:v>Crédito de libre inversión</x:v>
      </x:c>
      <x:c r="F197" t="n">
        <x:v>5690000</x:v>
      </x:c>
      <x:c r="G197" s="40" t="n">
        <x:v>0.2746</x:v>
      </x:c>
      <x:c r="H197" s="40" t="n">
        <x:v>0.020425</x:v>
      </x:c>
      <x:c r="I197" t="n">
        <x:v>48</x:v>
      </x:c>
      <x:c r="J197" t="n">
        <x:v>187100</x:v>
      </x:c>
      <x:c r="K197" t="str">
        <x:v>Bola de nieve</x:v>
      </x:c>
      <x:c r="L197" t="str">
        <x:v>Vigente</x:v>
      </x:c>
      <x:c r="M197" t="n">
        <x:v>4836802.35</x:v>
      </x:c>
      <x:c r="N197"/>
    </x:row>
    <x:row r="198">
      <x:c r="A198" t="str">
        <x:v>DEU-000197</x:v>
      </x:c>
      <x:c r="B198" t="str">
        <x:v>USR-00102</x:v>
      </x:c>
      <x:c r="C198" t="n">
        <x:v>45748</x:v>
      </x:c>
      <x:c r="D198" t="str">
        <x:v>Financiera D</x:v>
      </x:c>
      <x:c r="E198" t="str">
        <x:v>Tarjeta de crédito</x:v>
      </x:c>
      <x:c r="F198" t="n">
        <x:v>3300000</x:v>
      </x:c>
      <x:c r="G198" s="40" t="n">
        <x:v>0.2458</x:v>
      </x:c>
      <x:c r="H198" s="40" t="n">
        <x:v>0.018484</x:v>
      </x:c>
      <x:c r="I198" t="n">
        <x:v>18</x:v>
      </x:c>
      <x:c r="J198" t="n">
        <x:v>217200</x:v>
      </x:c>
      <x:c r="K198" t="str">
        <x:v>Avalancha</x:v>
      </x:c>
      <x:c r="L198" t="str">
        <x:v>Vigente</x:v>
      </x:c>
      <x:c r="M198" t="n">
        <x:v>1075206.06</x:v>
      </x:c>
      <x:c r="N198"/>
    </x:row>
    <x:row r="199">
      <x:c r="A199" t="str">
        <x:v>DEU-000198</x:v>
      </x:c>
      <x:c r="B199" t="str">
        <x:v>USR-00102</x:v>
      </x:c>
      <x:c r="C199" t="n">
        <x:v>45748</x:v>
      </x:c>
      <x:c r="D199" t="str">
        <x:v>Entidad financiera A</x:v>
      </x:c>
      <x:c r="E199" t="str">
        <x:v>Crédito de libre inversión</x:v>
      </x:c>
      <x:c r="F199" t="n">
        <x:v>13840000</x:v>
      </x:c>
      <x:c r="G199" s="40" t="n">
        <x:v>0.2314</x:v>
      </x:c>
      <x:c r="H199" s="40" t="n">
        <x:v>0.017497</x:v>
      </x:c>
      <x:c r="I199" t="n">
        <x:v>12</x:v>
      </x:c>
      <x:c r="J199" t="n">
        <x:v>1288700</x:v>
      </x:c>
      <x:c r="K199" t="str">
        <x:v>Avalancha</x:v>
      </x:c>
      <x:c r="L199" t="str">
        <x:v>Pagada</x:v>
      </x:c>
      <x:c r="M199" t="n">
        <x:v>0</x:v>
      </x:c>
      <x:c r="N199" t="n">
        <x:v>46174</x:v>
      </x:c>
    </x:row>
    <x:row r="200">
      <x:c r="A200" t="str">
        <x:v>DEU-000199</x:v>
      </x:c>
      <x:c r="B200" t="str">
        <x:v>USR-00103</x:v>
      </x:c>
      <x:c r="C200" t="n">
        <x:v>45748</x:v>
      </x:c>
      <x:c r="D200" t="str">
        <x:v>Entidad financiera A</x:v>
      </x:c>
      <x:c r="E200" t="str">
        <x:v>Crédito de consumo</x:v>
      </x:c>
      <x:c r="F200" t="n">
        <x:v>10000000</x:v>
      </x:c>
      <x:c r="G200" s="40" t="n">
        <x:v>0.2486</x:v>
      </x:c>
      <x:c r="H200" s="40" t="n">
        <x:v>0.018674</x:v>
      </x:c>
      <x:c r="I200" t="n">
        <x:v>12</x:v>
      </x:c>
      <x:c r="J200" t="n">
        <x:v>937900</x:v>
      </x:c>
      <x:c r="K200" t="str">
        <x:v>Avalancha</x:v>
      </x:c>
      <x:c r="L200" t="str">
        <x:v>Vigente</x:v>
      </x:c>
      <x:c r="M200" t="n">
        <x:v>1243734.6</x:v>
      </x:c>
      <x:c r="N200"/>
    </x:row>
    <x:row r="201">
      <x:c r="A201" t="str">
        <x:v>DEU-000200</x:v>
      </x:c>
      <x:c r="B201" t="str">
        <x:v>USR-00103</x:v>
      </x:c>
      <x:c r="C201" t="n">
        <x:v>45748</x:v>
      </x:c>
      <x:c r="D201" t="str">
        <x:v>Cooperativa C</x:v>
      </x:c>
      <x:c r="E201" t="str">
        <x:v>Tarjeta de crédito</x:v>
      </x:c>
      <x:c r="F201" t="n">
        <x:v>7960000</x:v>
      </x:c>
      <x:c r="G201" s="40" t="n">
        <x:v>0.339</x:v>
      </x:c>
      <x:c r="H201" s="40" t="n">
        <x:v>0.024625</x:v>
      </x:c>
      <x:c r="I201" t="n">
        <x:v>24</x:v>
      </x:c>
      <x:c r="J201" t="n">
        <x:v>443200</x:v>
      </x:c>
      <x:c r="K201" t="str">
        <x:v>Bola de nieve</x:v>
      </x:c>
      <x:c r="L201" t="str">
        <x:v>Vigente</x:v>
      </x:c>
      <x:c r="M201" t="n">
        <x:v>5192707.37</x:v>
      </x:c>
      <x:c r="N201"/>
    </x:row>
    <x:row r="202">
      <x:c r="A202" t="str">
        <x:v>DEU-000201</x:v>
      </x:c>
      <x:c r="B202" t="str">
        <x:v>USR-00104</x:v>
      </x:c>
      <x:c r="C202" t="n">
        <x:v>45748</x:v>
      </x:c>
      <x:c r="D202" t="str">
        <x:v>Entidad financiera E</x:v>
      </x:c>
      <x:c r="E202" t="str">
        <x:v>Crédito de libre inversión</x:v>
      </x:c>
      <x:c r="F202" t="n">
        <x:v>16940000</x:v>
      </x:c>
      <x:c r="G202" s="40" t="n">
        <x:v>0.1735</x:v>
      </x:c>
      <x:c r="H202" s="40" t="n">
        <x:v>0.013422</x:v>
      </x:c>
      <x:c r="I202" t="n">
        <x:v>30</x:v>
      </x:c>
      <x:c r="J202" t="n">
        <x:v>689700</x:v>
      </x:c>
      <x:c r="K202" t="str">
        <x:v>Bola de nieve</x:v>
      </x:c>
      <x:c r="L202" t="str">
        <x:v>Vigente</x:v>
      </x:c>
      <x:c r="M202" t="n">
        <x:v>11972856.18</x:v>
      </x:c>
      <x:c r="N202"/>
    </x:row>
    <x:row r="203">
      <x:c r="A203" t="str">
        <x:v>DEU-000202</x:v>
      </x:c>
      <x:c r="B203" t="str">
        <x:v>USR-00104</x:v>
      </x:c>
      <x:c r="C203" t="n">
        <x:v>45748</x:v>
      </x:c>
      <x:c r="D203" t="str">
        <x:v>Entidad financiera A</x:v>
      </x:c>
      <x:c r="E203" t="str">
        <x:v>Tarjeta de crédito</x:v>
      </x:c>
      <x:c r="F203" t="n">
        <x:v>1680000</x:v>
      </x:c>
      <x:c r="G203" s="40" t="n">
        <x:v>0.3298</x:v>
      </x:c>
      <x:c r="H203" s="40" t="n">
        <x:v>0.024037</x:v>
      </x:c>
      <x:c r="I203" t="n">
        <x:v>24</x:v>
      </x:c>
      <x:c r="J203" t="n">
        <x:v>92900</x:v>
      </x:c>
      <x:c r="K203" t="str">
        <x:v>Bola de nieve</x:v>
      </x:c>
      <x:c r="L203" t="str">
        <x:v>Vigente</x:v>
      </x:c>
      <x:c r="M203" t="n">
        <x:v>1438864.73</x:v>
      </x:c>
      <x:c r="N203"/>
    </x:row>
    <x:row r="204">
      <x:c r="A204" t="str">
        <x:v>DEU-000203</x:v>
      </x:c>
      <x:c r="B204" t="str">
        <x:v>USR-00105</x:v>
      </x:c>
      <x:c r="C204" t="n">
        <x:v>45748</x:v>
      </x:c>
      <x:c r="D204" t="str">
        <x:v>Entidad financiera E</x:v>
      </x:c>
      <x:c r="E204" t="str">
        <x:v>Tarjeta de crédito</x:v>
      </x:c>
      <x:c r="F204" t="n">
        <x:v>1980000</x:v>
      </x:c>
      <x:c r="G204" s="40" t="n">
        <x:v>0.3363</x:v>
      </x:c>
      <x:c r="H204" s="40" t="n">
        <x:v>0.024453</x:v>
      </x:c>
      <x:c r="I204" t="n">
        <x:v>36</x:v>
      </x:c>
      <x:c r="J204" t="n">
        <x:v>83300</x:v>
      </x:c>
      <x:c r="K204" t="str">
        <x:v>Bola de nieve</x:v>
      </x:c>
      <x:c r="L204" t="str">
        <x:v>Vigente</x:v>
      </x:c>
      <x:c r="M204" t="n">
        <x:v>1878216.72</x:v>
      </x:c>
      <x:c r="N204"/>
    </x:row>
    <x:row r="205">
      <x:c r="A205" t="str">
        <x:v>DEU-000204</x:v>
      </x:c>
      <x:c r="B205" t="str">
        <x:v>USR-00106</x:v>
      </x:c>
      <x:c r="C205" t="n">
        <x:v>45748</x:v>
      </x:c>
      <x:c r="D205" t="str">
        <x:v>Cooperativa C</x:v>
      </x:c>
      <x:c r="E205" t="str">
        <x:v>Tarjeta de crédito</x:v>
      </x:c>
      <x:c r="F205" t="n">
        <x:v>3980000</x:v>
      </x:c>
      <x:c r="G205" s="40" t="n">
        <x:v>0.3112</x:v>
      </x:c>
      <x:c r="H205" s="40" t="n">
        <x:v>0.022835</x:v>
      </x:c>
      <x:c r="I205" t="n">
        <x:v>36</x:v>
      </x:c>
      <x:c r="J205" t="n">
        <x:v>163300</x:v>
      </x:c>
      <x:c r="K205" t="str">
        <x:v>Bola de nieve</x:v>
      </x:c>
      <x:c r="L205" t="str">
        <x:v>Vigente</x:v>
      </x:c>
      <x:c r="M205" t="n">
        <x:v>3692509.57</x:v>
      </x:c>
      <x:c r="N205"/>
    </x:row>
    <x:row r="206">
      <x:c r="A206" t="str">
        <x:v>DEU-000205</x:v>
      </x:c>
      <x:c r="B206" t="str">
        <x:v>USR-00106</x:v>
      </x:c>
      <x:c r="C206" t="n">
        <x:v>45748</x:v>
      </x:c>
      <x:c r="D206" t="str">
        <x:v>Entidad financiera B</x:v>
      </x:c>
      <x:c r="E206" t="str">
        <x:v>Crédito educativo</x:v>
      </x:c>
      <x:c r="F206" t="n">
        <x:v>4630000</x:v>
      </x:c>
      <x:c r="G206" s="40" t="n">
        <x:v>0.3447</x:v>
      </x:c>
      <x:c r="H206" s="40" t="n">
        <x:v>0.024988</x:v>
      </x:c>
      <x:c r="I206" t="n">
        <x:v>36</x:v>
      </x:c>
      <x:c r="J206" t="n">
        <x:v>196500</x:v>
      </x:c>
      <x:c r="K206" t="str">
        <x:v>Avalancha</x:v>
      </x:c>
      <x:c r="L206" t="str">
        <x:v>Vigente</x:v>
      </x:c>
      <x:c r="M206" t="n">
        <x:v>4827407.38</x:v>
      </x:c>
      <x:c r="N206"/>
    </x:row>
    <x:row r="207">
      <x:c r="A207" t="str">
        <x:v>DEU-000206</x:v>
      </x:c>
      <x:c r="B207" t="str">
        <x:v>USR-00107</x:v>
      </x:c>
      <x:c r="C207" t="n">
        <x:v>45748</x:v>
      </x:c>
      <x:c r="D207" t="str">
        <x:v>Cooperativa C</x:v>
      </x:c>
      <x:c r="E207" t="str">
        <x:v>Tarjeta de crédito</x:v>
      </x:c>
      <x:c r="F207" t="n">
        <x:v>6400000</x:v>
      </x:c>
      <x:c r="G207" s="40" t="n">
        <x:v>0.2842</x:v>
      </x:c>
      <x:c r="H207" s="40" t="n">
        <x:v>0.021063</x:v>
      </x:c>
      <x:c r="I207" t="n">
        <x:v>18</x:v>
      </x:c>
      <x:c r="J207" t="n">
        <x:v>430900</x:v>
      </x:c>
      <x:c r="K207" t="str">
        <x:v>Avalancha</x:v>
      </x:c>
      <x:c r="L207" t="str">
        <x:v>Vigente</x:v>
      </x:c>
      <x:c r="M207" t="n">
        <x:v>1432903.36</x:v>
      </x:c>
      <x:c r="N207"/>
    </x:row>
    <x:row r="208">
      <x:c r="A208" t="str">
        <x:v>DEU-000207</x:v>
      </x:c>
      <x:c r="B208" t="str">
        <x:v>USR-00107</x:v>
      </x:c>
      <x:c r="C208" t="n">
        <x:v>45748</x:v>
      </x:c>
      <x:c r="D208" t="str">
        <x:v>Entidad financiera A</x:v>
      </x:c>
      <x:c r="E208" t="str">
        <x:v>Tarjeta de crédito</x:v>
      </x:c>
      <x:c r="F208" t="n">
        <x:v>5680000</x:v>
      </x:c>
      <x:c r="G208" s="40" t="n">
        <x:v>0.1245</x:v>
      </x:c>
      <x:c r="H208" s="40" t="n">
        <x:v>0.009826</x:v>
      </x:c>
      <x:c r="I208" t="n">
        <x:v>60</x:v>
      </x:c>
      <x:c r="J208" t="n">
        <x:v>125800</x:v>
      </x:c>
      <x:c r="K208" t="str">
        <x:v>Avalancha</x:v>
      </x:c>
      <x:c r="L208" t="str">
        <x:v>Vigente</x:v>
      </x:c>
      <x:c r="M208" t="n">
        <x:v>5088057.83</x:v>
      </x:c>
      <x:c r="N208"/>
    </x:row>
    <x:row r="209">
      <x:c r="A209" t="str">
        <x:v>DEU-000208</x:v>
      </x:c>
      <x:c r="B209" t="str">
        <x:v>USR-00108</x:v>
      </x:c>
      <x:c r="C209" t="n">
        <x:v>45748</x:v>
      </x:c>
      <x:c r="D209" t="str">
        <x:v>Entidad financiera E</x:v>
      </x:c>
      <x:c r="E209" t="str">
        <x:v>Tarjeta de crédito</x:v>
      </x:c>
      <x:c r="F209" t="n">
        <x:v>3370000</x:v>
      </x:c>
      <x:c r="G209" s="40" t="n">
        <x:v>0.1461</x:v>
      </x:c>
      <x:c r="H209" s="40" t="n">
        <x:v>0.011429</x:v>
      </x:c>
      <x:c r="I209" t="n">
        <x:v>12</x:v>
      </x:c>
      <x:c r="J209" t="n">
        <x:v>302100</x:v>
      </x:c>
      <x:c r="K209" t="str">
        <x:v>Avalancha</x:v>
      </x:c>
      <x:c r="L209" t="str">
        <x:v>Pagada</x:v>
      </x:c>
      <x:c r="M209" t="n">
        <x:v>0</x:v>
      </x:c>
      <x:c r="N209" t="n">
        <x:v>46143</x:v>
      </x:c>
    </x:row>
    <x:row r="210">
      <x:c r="A210" t="str">
        <x:v>DEU-000209</x:v>
      </x:c>
      <x:c r="B210" t="str">
        <x:v>USR-00108</x:v>
      </x:c>
      <x:c r="C210" t="n">
        <x:v>45748</x:v>
      </x:c>
      <x:c r="D210" t="str">
        <x:v>Financiera D</x:v>
      </x:c>
      <x:c r="E210" t="str">
        <x:v>Crédito educativo</x:v>
      </x:c>
      <x:c r="F210" t="n">
        <x:v>19700000</x:v>
      </x:c>
      <x:c r="G210" s="40" t="n">
        <x:v>0.1669</x:v>
      </x:c>
      <x:c r="H210" s="40" t="n">
        <x:v>0.012946</x:v>
      </x:c>
      <x:c r="I210" t="n">
        <x:v>12</x:v>
      </x:c>
      <x:c r="J210" t="n">
        <x:v>1783100</x:v>
      </x:c>
      <x:c r="K210" t="str">
        <x:v>Bola de nieve</x:v>
      </x:c>
      <x:c r="L210" t="str">
        <x:v>Vigente</x:v>
      </x:c>
      <x:c r="M210" t="n">
        <x:v>3446537.11</x:v>
      </x:c>
      <x:c r="N210"/>
    </x:row>
    <x:row r="211">
      <x:c r="A211" t="str">
        <x:v>DEU-000210</x:v>
      </x:c>
      <x:c r="B211" t="str">
        <x:v>USR-00109</x:v>
      </x:c>
      <x:c r="C211" t="n">
        <x:v>45748</x:v>
      </x:c>
      <x:c r="D211" t="str">
        <x:v>Entidad financiera E</x:v>
      </x:c>
      <x:c r="E211" t="str">
        <x:v>Crédito de vehículo</x:v>
      </x:c>
      <x:c r="F211" t="n">
        <x:v>51320000</x:v>
      </x:c>
      <x:c r="G211" s="40" t="n">
        <x:v>0.181</x:v>
      </x:c>
      <x:c r="H211" s="40" t="n">
        <x:v>0.01396</x:v>
      </x:c>
      <x:c r="I211" t="n">
        <x:v>60</x:v>
      </x:c>
      <x:c r="J211" t="n">
        <x:v>1268600</x:v>
      </x:c>
      <x:c r="K211" t="str">
        <x:v>Avalancha</x:v>
      </x:c>
      <x:c r="L211" t="str">
        <x:v>Vigente</x:v>
      </x:c>
      <x:c r="M211" t="n">
        <x:v>51504543.88</x:v>
      </x:c>
      <x:c r="N211"/>
    </x:row>
    <x:row r="212">
      <x:c r="A212" t="str">
        <x:v>DEU-000211</x:v>
      </x:c>
      <x:c r="B212" t="str">
        <x:v>USR-00109</x:v>
      </x:c>
      <x:c r="C212" t="n">
        <x:v>45748</x:v>
      </x:c>
      <x:c r="D212" t="str">
        <x:v>Cooperativa C</x:v>
      </x:c>
      <x:c r="E212" t="str">
        <x:v>Crédito educativo</x:v>
      </x:c>
      <x:c r="F212" t="n">
        <x:v>7040000</x:v>
      </x:c>
      <x:c r="G212" s="40" t="n">
        <x:v>0.3288</x:v>
      </x:c>
      <x:c r="H212" s="40" t="n">
        <x:v>0.023973</x:v>
      </x:c>
      <x:c r="I212" t="n">
        <x:v>30</x:v>
      </x:c>
      <x:c r="J212" t="n">
        <x:v>331800</x:v>
      </x:c>
      <x:c r="K212" t="str">
        <x:v>Bola de nieve</x:v>
      </x:c>
      <x:c r="L212" t="str">
        <x:v>Vigente</x:v>
      </x:c>
      <x:c r="M212" t="n">
        <x:v>6729995.9</x:v>
      </x:c>
      <x:c r="N212"/>
    </x:row>
    <x:row r="213">
      <x:c r="A213" t="str">
        <x:v>DEU-000212</x:v>
      </x:c>
      <x:c r="B213" t="str">
        <x:v>USR-00110</x:v>
      </x:c>
      <x:c r="C213" t="n">
        <x:v>45748</x:v>
      </x:c>
      <x:c r="D213" t="str">
        <x:v>Cooperativa C</x:v>
      </x:c>
      <x:c r="E213" t="str">
        <x:v>Tarjeta de crédito</x:v>
      </x:c>
      <x:c r="F213" t="n">
        <x:v>7920000</x:v>
      </x:c>
      <x:c r="G213" s="40" t="n">
        <x:v>0.143</x:v>
      </x:c>
      <x:c r="H213" s="40" t="n">
        <x:v>0.0112</x:v>
      </x:c>
      <x:c r="I213" t="n">
        <x:v>12</x:v>
      </x:c>
      <x:c r="J213" t="n">
        <x:v>709000</x:v>
      </x:c>
      <x:c r="K213" t="str">
        <x:v>Avalancha</x:v>
      </x:c>
      <x:c r="L213" t="str">
        <x:v>Vigente</x:v>
      </x:c>
      <x:c r="M213" t="n">
        <x:v>1136920.12</x:v>
      </x:c>
      <x:c r="N213"/>
    </x:row>
    <x:row r="214">
      <x:c r="A214" t="str">
        <x:v>DEU-000213</x:v>
      </x:c>
      <x:c r="B214" t="str">
        <x:v>USR-00111</x:v>
      </x:c>
      <x:c r="C214" t="n">
        <x:v>45748</x:v>
      </x:c>
      <x:c r="D214" t="str">
        <x:v>Cooperativa C</x:v>
      </x:c>
      <x:c r="E214" t="str">
        <x:v>Crédito de consumo</x:v>
      </x:c>
      <x:c r="F214" t="n">
        <x:v>9070000</x:v>
      </x:c>
      <x:c r="G214" s="40" t="n">
        <x:v>0.1505</x:v>
      </x:c>
      <x:c r="H214" s="40" t="n">
        <x:v>0.011752</x:v>
      </x:c>
      <x:c r="I214" t="n">
        <x:v>30</x:v>
      </x:c>
      <x:c r="J214" t="n">
        <x:v>360500</x:v>
      </x:c>
      <x:c r="K214" t="str">
        <x:v>Avalancha</x:v>
      </x:c>
      <x:c r="L214" t="str">
        <x:v>Vigente</x:v>
      </x:c>
      <x:c r="M214" t="n">
        <x:v>7671581.67</x:v>
      </x:c>
      <x:c r="N214"/>
    </x:row>
    <x:row r="215">
      <x:c r="A215" t="str">
        <x:v>DEU-000214</x:v>
      </x:c>
      <x:c r="B215" t="str">
        <x:v>USR-00111</x:v>
      </x:c>
      <x:c r="C215" t="n">
        <x:v>45748</x:v>
      </x:c>
      <x:c r="D215" t="str">
        <x:v>Entidad financiera B</x:v>
      </x:c>
      <x:c r="E215" t="str">
        <x:v>Crédito de libre inversión</x:v>
      </x:c>
      <x:c r="F215" t="n">
        <x:v>15820000</x:v>
      </x:c>
      <x:c r="G215" s="40" t="n">
        <x:v>0.2829</x:v>
      </x:c>
      <x:c r="H215" s="40" t="n">
        <x:v>0.020977</x:v>
      </x:c>
      <x:c r="I215" t="n">
        <x:v>60</x:v>
      </x:c>
      <x:c r="J215" t="n">
        <x:v>465900</x:v>
      </x:c>
      <x:c r="K215" t="str">
        <x:v>Avalancha</x:v>
      </x:c>
      <x:c r="L215" t="str">
        <x:v>Vigente</x:v>
      </x:c>
      <x:c r="M215" t="n">
        <x:v>14318450.17</x:v>
      </x:c>
      <x:c r="N215"/>
    </x:row>
    <x:row r="216">
      <x:c r="A216" t="str">
        <x:v>DEU-000215</x:v>
      </x:c>
      <x:c r="B216" t="str">
        <x:v>USR-00112</x:v>
      </x:c>
      <x:c r="C216" t="n">
        <x:v>45748</x:v>
      </x:c>
      <x:c r="D216" t="str">
        <x:v>Financiera D</x:v>
      </x:c>
      <x:c r="E216" t="str">
        <x:v>Tarjeta de crédito</x:v>
      </x:c>
      <x:c r="F216" t="n">
        <x:v>4720000</x:v>
      </x:c>
      <x:c r="G216" s="40" t="n">
        <x:v>0.2707</x:v>
      </x:c>
      <x:c r="H216" s="40" t="n">
        <x:v>0.020165</x:v>
      </x:c>
      <x:c r="I216" t="n">
        <x:v>12</x:v>
      </x:c>
      <x:c r="J216" t="n">
        <x:v>446800</x:v>
      </x:c>
      <x:c r="K216" t="str">
        <x:v>Bola de nieve</x:v>
      </x:c>
      <x:c r="L216" t="str">
        <x:v>Pagada</x:v>
      </x:c>
      <x:c r="M216" t="n">
        <x:v>0</x:v>
      </x:c>
      <x:c r="N216" t="n">
        <x:v>46266</x:v>
      </x:c>
    </x:row>
    <x:row r="217">
      <x:c r="A217" t="str">
        <x:v>DEU-000216</x:v>
      </x:c>
      <x:c r="B217" t="str">
        <x:v>USR-00113</x:v>
      </x:c>
      <x:c r="C217" t="n">
        <x:v>45748</x:v>
      </x:c>
      <x:c r="D217" t="str">
        <x:v>Financiera D</x:v>
      </x:c>
      <x:c r="E217" t="str">
        <x:v>Crédito de libre inversión</x:v>
      </x:c>
      <x:c r="F217" t="n">
        <x:v>1900000</x:v>
      </x:c>
      <x:c r="G217" s="40" t="n">
        <x:v>0.3176</x:v>
      </x:c>
      <x:c r="H217" s="40" t="n">
        <x:v>0.02325</x:v>
      </x:c>
      <x:c r="I217" t="n">
        <x:v>48</x:v>
      </x:c>
      <x:c r="J217" t="n">
        <x:v>66100</x:v>
      </x:c>
      <x:c r="K217" t="str">
        <x:v>Bola de nieve</x:v>
      </x:c>
      <x:c r="L217" t="str">
        <x:v>Vigente</x:v>
      </x:c>
      <x:c r="M217" t="n">
        <x:v>1804077.78</x:v>
      </x:c>
      <x:c r="N217"/>
    </x:row>
    <x:row r="218">
      <x:c r="A218" t="str">
        <x:v>DEU-000217</x:v>
      </x:c>
      <x:c r="B218" t="str">
        <x:v>USR-00114</x:v>
      </x:c>
      <x:c r="C218" t="n">
        <x:v>45748</x:v>
      </x:c>
      <x:c r="D218" t="str">
        <x:v>Entidad financiera B</x:v>
      </x:c>
      <x:c r="E218" t="str">
        <x:v>Tarjeta de crédito</x:v>
      </x:c>
      <x:c r="F218" t="n">
        <x:v>5190000</x:v>
      </x:c>
      <x:c r="G218" s="40" t="n">
        <x:v>0.3298</x:v>
      </x:c>
      <x:c r="H218" s="40" t="n">
        <x:v>0.024037</x:v>
      </x:c>
      <x:c r="I218" t="n">
        <x:v>60</x:v>
      </x:c>
      <x:c r="J218" t="n">
        <x:v>164200</x:v>
      </x:c>
      <x:c r="K218" t="str">
        <x:v>Avalancha</x:v>
      </x:c>
      <x:c r="L218" t="str">
        <x:v>Vigente</x:v>
      </x:c>
      <x:c r="M218" t="n">
        <x:v>5550452.04</x:v>
      </x:c>
      <x:c r="N218"/>
    </x:row>
    <x:row r="219">
      <x:c r="A219" t="str">
        <x:v>DEU-000218</x:v>
      </x:c>
      <x:c r="B219" t="str">
        <x:v>USR-00114</x:v>
      </x:c>
      <x:c r="C219" t="n">
        <x:v>45748</x:v>
      </x:c>
      <x:c r="D219" t="str">
        <x:v>Entidad financiera E</x:v>
      </x:c>
      <x:c r="E219" t="str">
        <x:v>Tarjeta de crédito</x:v>
      </x:c>
      <x:c r="F219" t="n">
        <x:v>7730000</x:v>
      </x:c>
      <x:c r="G219" s="40" t="n">
        <x:v>0.2466</x:v>
      </x:c>
      <x:c r="H219" s="40" t="n">
        <x:v>0.018538</x:v>
      </x:c>
      <x:c r="I219" t="n">
        <x:v>18</x:v>
      </x:c>
      <x:c r="J219" t="n">
        <x:v>509000</x:v>
      </x:c>
      <x:c r="K219" t="str">
        <x:v>Avalancha</x:v>
      </x:c>
      <x:c r="L219" t="str">
        <x:v>Vigente</x:v>
      </x:c>
      <x:c r="M219" t="n">
        <x:v>2751187.47</x:v>
      </x:c>
      <x:c r="N219"/>
    </x:row>
    <x:row r="220">
      <x:c r="A220" t="str">
        <x:v>DEU-000219</x:v>
      </x:c>
      <x:c r="B220" t="str">
        <x:v>USR-00115</x:v>
      </x:c>
      <x:c r="C220" t="n">
        <x:v>45748</x:v>
      </x:c>
      <x:c r="D220" t="str">
        <x:v>Entidad financiera B</x:v>
      </x:c>
      <x:c r="E220" t="str">
        <x:v>Crédito educativo</x:v>
      </x:c>
      <x:c r="F220" t="n">
        <x:v>25030000</x:v>
      </x:c>
      <x:c r="G220" s="40" t="n">
        <x:v>0.1307</x:v>
      </x:c>
      <x:c r="H220" s="40" t="n">
        <x:v>0.010289</x:v>
      </x:c>
      <x:c r="I220" t="n">
        <x:v>36</x:v>
      </x:c>
      <x:c r="J220" t="n">
        <x:v>835500</x:v>
      </x:c>
      <x:c r="K220" t="str">
        <x:v>Avalancha</x:v>
      </x:c>
      <x:c r="L220" t="str">
        <x:v>Vigente</x:v>
      </x:c>
      <x:c r="M220" t="n">
        <x:v>18047155.93</x:v>
      </x:c>
      <x:c r="N220"/>
    </x:row>
    <x:row r="221">
      <x:c r="A221" t="str">
        <x:v>DEU-000220</x:v>
      </x:c>
      <x:c r="B221" t="str">
        <x:v>USR-00115</x:v>
      </x:c>
      <x:c r="C221" t="n">
        <x:v>45748</x:v>
      </x:c>
      <x:c r="D221" t="str">
        <x:v>Entidad financiera B</x:v>
      </x:c>
      <x:c r="E221" t="str">
        <x:v>Crédito de libre inversión</x:v>
      </x:c>
      <x:c r="F221" t="n">
        <x:v>14390000</x:v>
      </x:c>
      <x:c r="G221" s="40" t="n">
        <x:v>0.1929</x:v>
      </x:c>
      <x:c r="H221" s="40" t="n">
        <x:v>0.014808</x:v>
      </x:c>
      <x:c r="I221" t="n">
        <x:v>12</x:v>
      </x:c>
      <x:c r="J221" t="n">
        <x:v>1317700</x:v>
      </x:c>
      <x:c r="K221" t="str">
        <x:v>Avalancha</x:v>
      </x:c>
      <x:c r="L221" t="str">
        <x:v>Pagada</x:v>
      </x:c>
      <x:c r="M221" t="n">
        <x:v>0</x:v>
      </x:c>
      <x:c r="N221" t="n">
        <x:v>46143</x:v>
      </x:c>
    </x:row>
    <x:row r="222">
      <x:c r="A222" t="str">
        <x:v>DEU-000221</x:v>
      </x:c>
      <x:c r="B222" t="str">
        <x:v>USR-00116</x:v>
      </x:c>
      <x:c r="C222" t="n">
        <x:v>45748</x:v>
      </x:c>
      <x:c r="D222" t="str">
        <x:v>Entidad financiera E</x:v>
      </x:c>
      <x:c r="E222" t="str">
        <x:v>Tarjeta de crédito</x:v>
      </x:c>
      <x:c r="F222" t="n">
        <x:v>5650000</x:v>
      </x:c>
      <x:c r="G222" s="40" t="n">
        <x:v>0.2759</x:v>
      </x:c>
      <x:c r="H222" s="40" t="n">
        <x:v>0.020512</x:v>
      </x:c>
      <x:c r="I222" t="n">
        <x:v>60</x:v>
      </x:c>
      <x:c r="J222" t="n">
        <x:v>164600</x:v>
      </x:c>
      <x:c r="K222" t="str">
        <x:v>Avalancha</x:v>
      </x:c>
      <x:c r="L222" t="str">
        <x:v>Vigente</x:v>
      </x:c>
      <x:c r="M222" t="n">
        <x:v>4883207.68</x:v>
      </x:c>
      <x:c r="N222"/>
    </x:row>
    <x:row r="223">
      <x:c r="A223" t="str">
        <x:v>DEU-000222</x:v>
      </x:c>
      <x:c r="B223" t="str">
        <x:v>USR-00117</x:v>
      </x:c>
      <x:c r="C223" t="n">
        <x:v>45748</x:v>
      </x:c>
      <x:c r="D223" t="str">
        <x:v>Entidad financiera A</x:v>
      </x:c>
      <x:c r="E223" t="str">
        <x:v>Tarjeta de crédito</x:v>
      </x:c>
      <x:c r="F223" t="n">
        <x:v>2310000</x:v>
      </x:c>
      <x:c r="G223" s="40" t="n">
        <x:v>0.2783</x:v>
      </x:c>
      <x:c r="H223" s="40" t="n">
        <x:v>0.020672</x:v>
      </x:c>
      <x:c r="I223" t="n">
        <x:v>30</x:v>
      </x:c>
      <x:c r="J223" t="n">
        <x:v>104100</x:v>
      </x:c>
      <x:c r="K223" t="str">
        <x:v>Avalancha</x:v>
      </x:c>
      <x:c r="L223" t="str">
        <x:v>Vigente</x:v>
      </x:c>
      <x:c r="M223" t="n">
        <x:v>1395214.99</x:v>
      </x:c>
      <x:c r="N223"/>
    </x:row>
    <x:row r="224">
      <x:c r="A224" t="str">
        <x:v>DEU-000223</x:v>
      </x:c>
      <x:c r="B224" t="str">
        <x:v>USR-00118</x:v>
      </x:c>
      <x:c r="C224" t="n">
        <x:v>45748</x:v>
      </x:c>
      <x:c r="D224" t="str">
        <x:v>Entidad financiera A</x:v>
      </x:c>
      <x:c r="E224" t="str">
        <x:v>Crédito de consumo</x:v>
      </x:c>
      <x:c r="F224" t="n">
        <x:v>12020000</x:v>
      </x:c>
      <x:c r="G224" s="40" t="n">
        <x:v>0.2236</x:v>
      </x:c>
      <x:c r="H224" s="40" t="n">
        <x:v>0.016959</x:v>
      </x:c>
      <x:c r="I224" t="n">
        <x:v>24</x:v>
      </x:c>
      <x:c r="J224" t="n">
        <x:v>613800</x:v>
      </x:c>
      <x:c r="K224" t="str">
        <x:v>Bola de nieve</x:v>
      </x:c>
      <x:c r="L224" t="str">
        <x:v>Vigente</x:v>
      </x:c>
      <x:c r="M224" t="n">
        <x:v>9728133.85</x:v>
      </x:c>
      <x:c r="N224"/>
    </x:row>
    <x:row r="225">
      <x:c r="A225" t="str">
        <x:v>DEU-000224</x:v>
      </x:c>
      <x:c r="B225" t="str">
        <x:v>USR-00119</x:v>
      </x:c>
      <x:c r="C225" t="n">
        <x:v>45748</x:v>
      </x:c>
      <x:c r="D225" t="str">
        <x:v>Entidad financiera E</x:v>
      </x:c>
      <x:c r="E225" t="str">
        <x:v>Crédito educativo</x:v>
      </x:c>
      <x:c r="F225" t="n">
        <x:v>13070000</x:v>
      </x:c>
      <x:c r="G225" s="40" t="n">
        <x:v>0.1763</x:v>
      </x:c>
      <x:c r="H225" s="40" t="n">
        <x:v>0.013623</x:v>
      </x:c>
      <x:c r="I225" t="n">
        <x:v>36</x:v>
      </x:c>
      <x:c r="J225" t="n">
        <x:v>461700</x:v>
      </x:c>
      <x:c r="K225" t="str">
        <x:v>Avalancha</x:v>
      </x:c>
      <x:c r="L225" t="str">
        <x:v>Vigente</x:v>
      </x:c>
      <x:c r="M225" t="n">
        <x:v>9531490.13</x:v>
      </x:c>
      <x:c r="N225"/>
    </x:row>
    <x:row r="226">
      <x:c r="A226" t="str">
        <x:v>DEU-000225</x:v>
      </x:c>
      <x:c r="B226" t="str">
        <x:v>USR-00119</x:v>
      </x:c>
      <x:c r="C226" t="n">
        <x:v>45748</x:v>
      </x:c>
      <x:c r="D226" t="str">
        <x:v>Cooperativa C</x:v>
      </x:c>
      <x:c r="E226" t="str">
        <x:v>Tarjeta de crédito</x:v>
      </x:c>
      <x:c r="F226" t="n">
        <x:v>5420000</x:v>
      </x:c>
      <x:c r="G226" s="40" t="n">
        <x:v>0.3276</x:v>
      </x:c>
      <x:c r="H226" s="40" t="n">
        <x:v>0.023895</x:v>
      </x:c>
      <x:c r="I226" t="n">
        <x:v>36</x:v>
      </x:c>
      <x:c r="J226" t="n">
        <x:v>226200</x:v>
      </x:c>
      <x:c r="K226" t="str">
        <x:v>Bola de nieve</x:v>
      </x:c>
      <x:c r="L226" t="str">
        <x:v>Vigente</x:v>
      </x:c>
      <x:c r="M226" t="n">
        <x:v>3819221.28</x:v>
      </x:c>
      <x:c r="N226"/>
    </x:row>
    <x:row r="227">
      <x:c r="A227" t="str">
        <x:v>DEU-000226</x:v>
      </x:c>
      <x:c r="B227" t="str">
        <x:v>USR-00120</x:v>
      </x:c>
      <x:c r="C227" t="n">
        <x:v>45748</x:v>
      </x:c>
      <x:c r="D227" t="str">
        <x:v>Cooperativa C</x:v>
      </x:c>
      <x:c r="E227" t="str">
        <x:v>Tarjeta de crédito</x:v>
      </x:c>
      <x:c r="F227" t="n">
        <x:v>2930000</x:v>
      </x:c>
      <x:c r="G227" s="40" t="n">
        <x:v>0.2282</x:v>
      </x:c>
      <x:c r="H227" s="40" t="n">
        <x:v>0.017277</x:v>
      </x:c>
      <x:c r="I227" t="n">
        <x:v>60</x:v>
      </x:c>
      <x:c r="J227" t="n">
        <x:v>78800</x:v>
      </x:c>
      <x:c r="K227" t="str">
        <x:v>Avalancha</x:v>
      </x:c>
      <x:c r="L227" t="str">
        <x:v>Vigente</x:v>
      </x:c>
      <x:c r="M227" t="n">
        <x:v>2472725.29</x:v>
      </x:c>
      <x:c r="N227"/>
    </x:row>
    <x:row r="228">
      <x:c r="A228" t="str">
        <x:v>DEU-000227</x:v>
      </x:c>
      <x:c r="B228" t="str">
        <x:v>USR-00120</x:v>
      </x:c>
      <x:c r="C228" t="n">
        <x:v>45748</x:v>
      </x:c>
      <x:c r="D228" t="str">
        <x:v>Entidad financiera E</x:v>
      </x:c>
      <x:c r="E228" t="str">
        <x:v>Crédito de consumo</x:v>
      </x:c>
      <x:c r="F228" t="n">
        <x:v>14730000</x:v>
      </x:c>
      <x:c r="G228" s="40" t="n">
        <x:v>0.2837</x:v>
      </x:c>
      <x:c r="H228" s="40" t="n">
        <x:v>0.02103</x:v>
      </x:c>
      <x:c r="I228" t="n">
        <x:v>24</x:v>
      </x:c>
      <x:c r="J228" t="n">
        <x:v>787900</x:v>
      </x:c>
      <x:c r="K228" t="str">
        <x:v>Bola de nieve</x:v>
      </x:c>
      <x:c r="L228" t="str">
        <x:v>Vigente</x:v>
      </x:c>
      <x:c r="M228" t="n">
        <x:v>4026439.71</x:v>
      </x:c>
      <x:c r="N228"/>
    </x:row>
    <x:row r="229">
      <x:c r="A229" t="str">
        <x:v>DEU-000228</x:v>
      </x:c>
      <x:c r="B229" t="str">
        <x:v>USR-00121</x:v>
      </x:c>
      <x:c r="C229" t="n">
        <x:v>45748</x:v>
      </x:c>
      <x:c r="D229" t="str">
        <x:v>Entidad financiera B</x:v>
      </x:c>
      <x:c r="E229" t="str">
        <x:v>Crédito educativo</x:v>
      </x:c>
      <x:c r="F229" t="n">
        <x:v>5000000</x:v>
      </x:c>
      <x:c r="G229" s="40" t="n">
        <x:v>0.3087</x:v>
      </x:c>
      <x:c r="H229" s="40" t="n">
        <x:v>0.022673</x:v>
      </x:c>
      <x:c r="I229" t="n">
        <x:v>48</x:v>
      </x:c>
      <x:c r="J229" t="n">
        <x:v>172000</x:v>
      </x:c>
      <x:c r="K229" t="str">
        <x:v>Avalancha</x:v>
      </x:c>
      <x:c r="L229" t="str">
        <x:v>Vigente</x:v>
      </x:c>
      <x:c r="M229" t="n">
        <x:v>5127229.2</x:v>
      </x:c>
      <x:c r="N229"/>
    </x:row>
    <x:row r="230">
      <x:c r="A230" t="str">
        <x:v>DEU-000229</x:v>
      </x:c>
      <x:c r="B230" t="str">
        <x:v>USR-00122</x:v>
      </x:c>
      <x:c r="C230" t="n">
        <x:v>45778</x:v>
      </x:c>
      <x:c r="D230" t="str">
        <x:v>Cooperativa C</x:v>
      </x:c>
      <x:c r="E230" t="str">
        <x:v>Tarjeta de crédito</x:v>
      </x:c>
      <x:c r="F230" t="n">
        <x:v>1800000</x:v>
      </x:c>
      <x:c r="G230" s="40" t="n">
        <x:v>0.3371</x:v>
      </x:c>
      <x:c r="H230" s="40" t="n">
        <x:v>0.024504</x:v>
      </x:c>
      <x:c r="I230" t="n">
        <x:v>60</x:v>
      </x:c>
      <x:c r="J230" t="n">
        <x:v>57600</x:v>
      </x:c>
      <x:c r="K230" t="str">
        <x:v>Avalancha</x:v>
      </x:c>
      <x:c r="L230" t="str">
        <x:v>Vigente</x:v>
      </x:c>
      <x:c r="M230" t="n">
        <x:v>1848633.91</x:v>
      </x:c>
      <x:c r="N230"/>
    </x:row>
    <x:row r="231">
      <x:c r="A231" t="str">
        <x:v>DEU-000230</x:v>
      </x:c>
      <x:c r="B231" t="str">
        <x:v>USR-00122</x:v>
      </x:c>
      <x:c r="C231" t="n">
        <x:v>45778</x:v>
      </x:c>
      <x:c r="D231" t="str">
        <x:v>Cooperativa C</x:v>
      </x:c>
      <x:c r="E231" t="str">
        <x:v>Crédito de vehículo</x:v>
      </x:c>
      <x:c r="F231" t="n">
        <x:v>32390000</x:v>
      </x:c>
      <x:c r="G231" s="40" t="n">
        <x:v>0.2402</x:v>
      </x:c>
      <x:c r="H231" s="40" t="n">
        <x:v>0.018101</x:v>
      </x:c>
      <x:c r="I231" t="n">
        <x:v>12</x:v>
      </x:c>
      <x:c r="J231" t="n">
        <x:v>3027200</x:v>
      </x:c>
      <x:c r="K231" t="str">
        <x:v>Avalancha</x:v>
      </x:c>
      <x:c r="L231" t="str">
        <x:v>Pagada</x:v>
      </x:c>
      <x:c r="M231" t="n">
        <x:v>0</x:v>
      </x:c>
      <x:c r="N231" t="n">
        <x:v>46143</x:v>
      </x:c>
    </x:row>
    <x:row r="232">
      <x:c r="A232" t="str">
        <x:v>DEU-000231</x:v>
      </x:c>
      <x:c r="B232" t="str">
        <x:v>USR-00122</x:v>
      </x:c>
      <x:c r="C232" t="n">
        <x:v>45778</x:v>
      </x:c>
      <x:c r="D232" t="str">
        <x:v>Financiera D</x:v>
      </x:c>
      <x:c r="E232" t="str">
        <x:v>Crédito educativo</x:v>
      </x:c>
      <x:c r="F232" t="n">
        <x:v>14060000</x:v>
      </x:c>
      <x:c r="G232" s="40" t="n">
        <x:v>0.2727</x:v>
      </x:c>
      <x:c r="H232" s="40" t="n">
        <x:v>0.020298</x:v>
      </x:c>
      <x:c r="I232" t="n">
        <x:v>60</x:v>
      </x:c>
      <x:c r="J232" t="n">
        <x:v>407400</x:v>
      </x:c>
      <x:c r="K232" t="str">
        <x:v>Avalancha</x:v>
      </x:c>
      <x:c r="L232" t="str">
        <x:v>Vigente</x:v>
      </x:c>
      <x:c r="M232" t="n">
        <x:v>12535585.06</x:v>
      </x:c>
      <x:c r="N232"/>
    </x:row>
    <x:row r="233">
      <x:c r="A233" t="str">
        <x:v>DEU-000232</x:v>
      </x:c>
      <x:c r="B233" t="str">
        <x:v>USR-00122</x:v>
      </x:c>
      <x:c r="C233" t="n">
        <x:v>45778</x:v>
      </x:c>
      <x:c r="D233" t="str">
        <x:v>Entidad financiera A</x:v>
      </x:c>
      <x:c r="E233" t="str">
        <x:v>Tarjeta de crédito</x:v>
      </x:c>
      <x:c r="F233" t="n">
        <x:v>4940000</x:v>
      </x:c>
      <x:c r="G233" s="40" t="n">
        <x:v>0.1414</x:v>
      </x:c>
      <x:c r="H233" s="40" t="n">
        <x:v>0.011082</x:v>
      </x:c>
      <x:c r="I233" t="n">
        <x:v>48</x:v>
      </x:c>
      <x:c r="J233" t="n">
        <x:v>133300</x:v>
      </x:c>
      <x:c r="K233" t="str">
        <x:v>Avalancha</x:v>
      </x:c>
      <x:c r="L233" t="str">
        <x:v>Vigente</x:v>
      </x:c>
      <x:c r="M233" t="n">
        <x:v>4430284.21</x:v>
      </x:c>
      <x:c r="N233"/>
    </x:row>
    <x:row r="234">
      <x:c r="A234" t="str">
        <x:v>DEU-000233</x:v>
      </x:c>
      <x:c r="B234" t="str">
        <x:v>USR-00122</x:v>
      </x:c>
      <x:c r="C234" t="n">
        <x:v>45778</x:v>
      </x:c>
      <x:c r="D234" t="str">
        <x:v>Entidad financiera E</x:v>
      </x:c>
      <x:c r="E234" t="str">
        <x:v>Tarjeta de crédito</x:v>
      </x:c>
      <x:c r="F234" t="n">
        <x:v>8310000</x:v>
      </x:c>
      <x:c r="G234" s="40" t="n">
        <x:v>0.1562</x:v>
      </x:c>
      <x:c r="H234" s="40" t="n">
        <x:v>0.012168</x:v>
      </x:c>
      <x:c r="I234" t="n">
        <x:v>48</x:v>
      </x:c>
      <x:c r="J234" t="n">
        <x:v>229600</x:v>
      </x:c>
      <x:c r="K234" t="str">
        <x:v>Avalancha</x:v>
      </x:c>
      <x:c r="L234" t="str">
        <x:v>Vigente</x:v>
      </x:c>
      <x:c r="M234" t="n">
        <x:v>7517737.51</x:v>
      </x:c>
      <x:c r="N234"/>
    </x:row>
    <x:row r="235">
      <x:c r="A235" t="str">
        <x:v>DEU-000234</x:v>
      </x:c>
      <x:c r="B235" t="str">
        <x:v>USR-00123</x:v>
      </x:c>
      <x:c r="C235" t="n">
        <x:v>45778</x:v>
      </x:c>
      <x:c r="D235" t="str">
        <x:v>Entidad financiera A</x:v>
      </x:c>
      <x:c r="E235" t="str">
        <x:v>Tarjeta de crédito</x:v>
      </x:c>
      <x:c r="F235" t="n">
        <x:v>8030000</x:v>
      </x:c>
      <x:c r="G235" s="40" t="n">
        <x:v>0.303</x:v>
      </x:c>
      <x:c r="H235" s="40" t="n">
        <x:v>0.022301</x:v>
      </x:c>
      <x:c r="I235" t="n">
        <x:v>24</x:v>
      </x:c>
      <x:c r="J235" t="n">
        <x:v>435700</x:v>
      </x:c>
      <x:c r="K235" t="str">
        <x:v>Bola de nieve</x:v>
      </x:c>
      <x:c r="L235" t="str">
        <x:v>Vigente</x:v>
      </x:c>
      <x:c r="M235" t="n">
        <x:v>3310340.33</x:v>
      </x:c>
      <x:c r="N235"/>
    </x:row>
    <x:row r="236">
      <x:c r="A236" t="str">
        <x:v>DEU-000235</x:v>
      </x:c>
      <x:c r="B236" t="str">
        <x:v>USR-00123</x:v>
      </x:c>
      <x:c r="C236" t="n">
        <x:v>45778</x:v>
      </x:c>
      <x:c r="D236" t="str">
        <x:v>Financiera D</x:v>
      </x:c>
      <x:c r="E236" t="str">
        <x:v>Tarjeta de crédito</x:v>
      </x:c>
      <x:c r="F236" t="n">
        <x:v>7240000</x:v>
      </x:c>
      <x:c r="G236" s="40" t="n">
        <x:v>0.2934</x:v>
      </x:c>
      <x:c r="H236" s="40" t="n">
        <x:v>0.021671</x:v>
      </x:c>
      <x:c r="I236" t="n">
        <x:v>30</x:v>
      </x:c>
      <x:c r="J236" t="n">
        <x:v>330700</x:v>
      </x:c>
      <x:c r="K236" t="str">
        <x:v>Avalancha</x:v>
      </x:c>
      <x:c r="L236" t="str">
        <x:v>Vigente</x:v>
      </x:c>
      <x:c r="M236" t="n">
        <x:v>4996258.85</x:v>
      </x:c>
      <x:c r="N236"/>
    </x:row>
    <x:row r="237">
      <x:c r="A237" t="str">
        <x:v>DEU-000236</x:v>
      </x:c>
      <x:c r="B237" t="str">
        <x:v>USR-00124</x:v>
      </x:c>
      <x:c r="C237" t="n">
        <x:v>45778</x:v>
      </x:c>
      <x:c r="D237" t="str">
        <x:v>Entidad financiera E</x:v>
      </x:c>
      <x:c r="E237" t="str">
        <x:v>Tarjeta de crédito</x:v>
      </x:c>
      <x:c r="F237" t="n">
        <x:v>7640000</x:v>
      </x:c>
      <x:c r="G237" s="40" t="n">
        <x:v>0.2866</x:v>
      </x:c>
      <x:c r="H237" s="40" t="n">
        <x:v>0.021222</x:v>
      </x:c>
      <x:c r="I237" t="n">
        <x:v>36</x:v>
      </x:c>
      <x:c r="J237" t="n">
        <x:v>305700</x:v>
      </x:c>
      <x:c r="K237" t="str">
        <x:v>Bola de nieve</x:v>
      </x:c>
      <x:c r="L237" t="str">
        <x:v>Vigente</x:v>
      </x:c>
      <x:c r="M237" t="n">
        <x:v>6334798.84</x:v>
      </x:c>
      <x:c r="N237"/>
    </x:row>
    <x:row r="238">
      <x:c r="A238" t="str">
        <x:v>DEU-000237</x:v>
      </x:c>
      <x:c r="B238" t="str">
        <x:v>USR-00124</x:v>
      </x:c>
      <x:c r="C238" t="n">
        <x:v>45778</x:v>
      </x:c>
      <x:c r="D238" t="str">
        <x:v>Entidad financiera B</x:v>
      </x:c>
      <x:c r="E238" t="str">
        <x:v>Crédito de consumo</x:v>
      </x:c>
      <x:c r="F238" t="n">
        <x:v>7470000</x:v>
      </x:c>
      <x:c r="G238" s="40" t="n">
        <x:v>0.113</x:v>
      </x:c>
      <x:c r="H238" s="40" t="n">
        <x:v>0.008962</x:v>
      </x:c>
      <x:c r="I238" t="n">
        <x:v>30</x:v>
      </x:c>
      <x:c r="J238" t="n">
        <x:v>285100</x:v>
      </x:c>
      <x:c r="K238" t="str">
        <x:v>Bola de nieve</x:v>
      </x:c>
      <x:c r="L238" t="str">
        <x:v>Vigente</x:v>
      </x:c>
      <x:c r="M238" t="n">
        <x:v>4982124.08</x:v>
      </x:c>
      <x:c r="N238"/>
    </x:row>
    <x:row r="239">
      <x:c r="A239" t="str">
        <x:v>DEU-000238</x:v>
      </x:c>
      <x:c r="B239" t="str">
        <x:v>USR-00125</x:v>
      </x:c>
      <x:c r="C239" t="n">
        <x:v>45778</x:v>
      </x:c>
      <x:c r="D239" t="str">
        <x:v>Entidad financiera E</x:v>
      </x:c>
      <x:c r="E239" t="str">
        <x:v>Tarjeta de crédito</x:v>
      </x:c>
      <x:c r="F239" t="n">
        <x:v>4550000</x:v>
      </x:c>
      <x:c r="G239" s="40" t="n">
        <x:v>0.1125</x:v>
      </x:c>
      <x:c r="H239" s="40" t="n">
        <x:v>0.008924</x:v>
      </x:c>
      <x:c r="I239" t="n">
        <x:v>36</x:v>
      </x:c>
      <x:c r="J239" t="n">
        <x:v>148300</x:v>
      </x:c>
      <x:c r="K239" t="str">
        <x:v>Bola de nieve</x:v>
      </x:c>
      <x:c r="L239" t="str">
        <x:v>Vigente</x:v>
      </x:c>
      <x:c r="M239" t="n">
        <x:v>3464895</x:v>
      </x:c>
      <x:c r="N239"/>
    </x:row>
    <x:row r="240">
      <x:c r="A240" t="str">
        <x:v>DEU-000239</x:v>
      </x:c>
      <x:c r="B240" t="str">
        <x:v>USR-00125</x:v>
      </x:c>
      <x:c r="C240" t="n">
        <x:v>45778</x:v>
      </x:c>
      <x:c r="D240" t="str">
        <x:v>Entidad financiera A</x:v>
      </x:c>
      <x:c r="E240" t="str">
        <x:v>Crédito educativo</x:v>
      </x:c>
      <x:c r="F240" t="n">
        <x:v>26670000</x:v>
      </x:c>
      <x:c r="G240" s="40" t="n">
        <x:v>0.2772</x:v>
      </x:c>
      <x:c r="H240" s="40" t="n">
        <x:v>0.020598</x:v>
      </x:c>
      <x:c r="I240" t="n">
        <x:v>18</x:v>
      </x:c>
      <x:c r="J240" t="n">
        <x:v>1788300</x:v>
      </x:c>
      <x:c r="K240" t="str">
        <x:v>Avalancha</x:v>
      </x:c>
      <x:c r="L240" t="str">
        <x:v>Vigente</x:v>
      </x:c>
      <x:c r="M240" t="n">
        <x:v>10444282.82</x:v>
      </x:c>
      <x:c r="N240"/>
    </x:row>
    <x:row r="241">
      <x:c r="A241" t="str">
        <x:v>DEU-000240</x:v>
      </x:c>
      <x:c r="B241" t="str">
        <x:v>USR-00126</x:v>
      </x:c>
      <x:c r="C241" t="n">
        <x:v>45778</x:v>
      </x:c>
      <x:c r="D241" t="str">
        <x:v>Entidad financiera E</x:v>
      </x:c>
      <x:c r="E241" t="str">
        <x:v>Crédito de consumo</x:v>
      </x:c>
      <x:c r="F241" t="n">
        <x:v>11620000</x:v>
      </x:c>
      <x:c r="G241" s="40" t="n">
        <x:v>0.141</x:v>
      </x:c>
      <x:c r="H241" s="40" t="n">
        <x:v>0.011053</x:v>
      </x:c>
      <x:c r="I241" t="n">
        <x:v>30</x:v>
      </x:c>
      <x:c r="J241" t="n">
        <x:v>457200</x:v>
      </x:c>
      <x:c r="K241" t="str">
        <x:v>Bola de nieve</x:v>
      </x:c>
      <x:c r="L241" t="str">
        <x:v>Vigente</x:v>
      </x:c>
      <x:c r="M241" t="n">
        <x:v>10104105.78</x:v>
      </x:c>
      <x:c r="N241"/>
    </x:row>
    <x:row r="242">
      <x:c r="A242" t="str">
        <x:v>DEU-000241</x:v>
      </x:c>
      <x:c r="B242" t="str">
        <x:v>USR-00126</x:v>
      </x:c>
      <x:c r="C242" t="n">
        <x:v>45778</x:v>
      </x:c>
      <x:c r="D242" t="str">
        <x:v>Entidad financiera E</x:v>
      </x:c>
      <x:c r="E242" t="str">
        <x:v>Tarjeta de crédito</x:v>
      </x:c>
      <x:c r="F242" t="n">
        <x:v>4300000</x:v>
      </x:c>
      <x:c r="G242" s="40" t="n">
        <x:v>0.3297</x:v>
      </x:c>
      <x:c r="H242" s="40" t="n">
        <x:v>0.02403</x:v>
      </x:c>
      <x:c r="I242" t="n">
        <x:v>48</x:v>
      </x:c>
      <x:c r="J242" t="n">
        <x:v>151900</x:v>
      </x:c>
      <x:c r="K242" t="str">
        <x:v>Avalancha</x:v>
      </x:c>
      <x:c r="L242" t="str">
        <x:v>Vigente</x:v>
      </x:c>
      <x:c r="M242" t="n">
        <x:v>4165567.29</x:v>
      </x:c>
      <x:c r="N242"/>
    </x:row>
    <x:row r="243">
      <x:c r="A243" t="str">
        <x:v>DEU-000242</x:v>
      </x:c>
      <x:c r="B243" t="str">
        <x:v>USR-00127</x:v>
      </x:c>
      <x:c r="C243" t="n">
        <x:v>45778</x:v>
      </x:c>
      <x:c r="D243" t="str">
        <x:v>Financiera D</x:v>
      </x:c>
      <x:c r="E243" t="str">
        <x:v>Crédito de libre inversión</x:v>
      </x:c>
      <x:c r="F243" t="n">
        <x:v>3320000</x:v>
      </x:c>
      <x:c r="G243" s="40" t="n">
        <x:v>0.3243</x:v>
      </x:c>
      <x:c r="H243" s="40" t="n">
        <x:v>0.023683</x:v>
      </x:c>
      <x:c r="I243" t="n">
        <x:v>30</x:v>
      </x:c>
      <x:c r="J243" t="n">
        <x:v>155800</x:v>
      </x:c>
      <x:c r="K243" t="str">
        <x:v>Avalancha</x:v>
      </x:c>
      <x:c r="L243" t="str">
        <x:v>Vigente</x:v>
      </x:c>
      <x:c r="M243" t="n">
        <x:v>2764659.41</x:v>
      </x:c>
      <x:c r="N243"/>
    </x:row>
    <x:row r="244">
      <x:c r="A244" t="str">
        <x:v>DEU-000243</x:v>
      </x:c>
      <x:c r="B244" t="str">
        <x:v>USR-00127</x:v>
      </x:c>
      <x:c r="C244" t="n">
        <x:v>45778</x:v>
      </x:c>
      <x:c r="D244" t="str">
        <x:v>Entidad financiera A</x:v>
      </x:c>
      <x:c r="E244" t="str">
        <x:v>Tarjeta de crédito</x:v>
      </x:c>
      <x:c r="F244" t="n">
        <x:v>2710000</x:v>
      </x:c>
      <x:c r="G244" s="40" t="n">
        <x:v>0.1874</x:v>
      </x:c>
      <x:c r="H244" s="40" t="n">
        <x:v>0.014417</x:v>
      </x:c>
      <x:c r="I244" t="n">
        <x:v>60</x:v>
      </x:c>
      <x:c r="J244" t="n">
        <x:v>67800</x:v>
      </x:c>
      <x:c r="K244" t="str">
        <x:v>Bola de nieve</x:v>
      </x:c>
      <x:c r="L244" t="str">
        <x:v>Vigente</x:v>
      </x:c>
      <x:c r="M244" t="n">
        <x:v>2339632.94</x:v>
      </x:c>
      <x:c r="N244"/>
    </x:row>
    <x:row r="245">
      <x:c r="A245" t="str">
        <x:v>DEU-000244</x:v>
      </x:c>
      <x:c r="B245" t="str">
        <x:v>USR-00128</x:v>
      </x:c>
      <x:c r="C245" t="n">
        <x:v>45778</x:v>
      </x:c>
      <x:c r="D245" t="str">
        <x:v>Entidad financiera E</x:v>
      </x:c>
      <x:c r="E245" t="str">
        <x:v>Crédito de consumo</x:v>
      </x:c>
      <x:c r="F245" t="n">
        <x:v>9720000</x:v>
      </x:c>
      <x:c r="G245" s="40" t="n">
        <x:v>0.2274</x:v>
      </x:c>
      <x:c r="H245" s="40" t="n">
        <x:v>0.017221</x:v>
      </x:c>
      <x:c r="I245" t="n">
        <x:v>30</x:v>
      </x:c>
      <x:c r="J245" t="n">
        <x:v>417600</x:v>
      </x:c>
      <x:c r="K245" t="str">
        <x:v>Bola de nieve</x:v>
      </x:c>
      <x:c r="L245" t="str">
        <x:v>Vigente</x:v>
      </x:c>
      <x:c r="M245" t="n">
        <x:v>5938908.16</x:v>
      </x:c>
      <x:c r="N245"/>
    </x:row>
    <x:row r="246">
      <x:c r="A246" t="str">
        <x:v>DEU-000245</x:v>
      </x:c>
      <x:c r="B246" t="str">
        <x:v>USR-00129</x:v>
      </x:c>
      <x:c r="C246" t="n">
        <x:v>45778</x:v>
      </x:c>
      <x:c r="D246" t="str">
        <x:v>Entidad financiera A</x:v>
      </x:c>
      <x:c r="E246" t="str">
        <x:v>Crédito educativo</x:v>
      </x:c>
      <x:c r="F246" t="n">
        <x:v>20120000</x:v>
      </x:c>
      <x:c r="G246" s="40" t="n">
        <x:v>0.1162</x:v>
      </x:c>
      <x:c r="H246" s="40" t="n">
        <x:v>0.009203</x:v>
      </x:c>
      <x:c r="I246" t="n">
        <x:v>24</x:v>
      </x:c>
      <x:c r="J246" t="n">
        <x:v>938200</x:v>
      </x:c>
      <x:c r="K246" t="str">
        <x:v>Avalancha</x:v>
      </x:c>
      <x:c r="L246" t="str">
        <x:v>Vigente</x:v>
      </x:c>
      <x:c r="M246" t="n">
        <x:v>17307614.33</x:v>
      </x:c>
      <x:c r="N246"/>
    </x:row>
    <x:row r="247">
      <x:c r="A247" t="str">
        <x:v>DEU-000246</x:v>
      </x:c>
      <x:c r="B247" t="str">
        <x:v>USR-00129</x:v>
      </x:c>
      <x:c r="C247" t="n">
        <x:v>45778</x:v>
      </x:c>
      <x:c r="D247" t="str">
        <x:v>Financiera D</x:v>
      </x:c>
      <x:c r="E247" t="str">
        <x:v>Crédito educativo</x:v>
      </x:c>
      <x:c r="F247" t="n">
        <x:v>9580000</x:v>
      </x:c>
      <x:c r="G247" s="40" t="n">
        <x:v>0.1674</x:v>
      </x:c>
      <x:c r="H247" s="40" t="n">
        <x:v>0.012982</x:v>
      </x:c>
      <x:c r="I247" t="n">
        <x:v>24</x:v>
      </x:c>
      <x:c r="J247" t="n">
        <x:v>467100</x:v>
      </x:c>
      <x:c r="K247" t="str">
        <x:v>Avalancha</x:v>
      </x:c>
      <x:c r="L247" t="str">
        <x:v>Vigente</x:v>
      </x:c>
      <x:c r="M247" t="n">
        <x:v>8713383.31</x:v>
      </x:c>
      <x:c r="N247"/>
    </x:row>
    <x:row r="248">
      <x:c r="A248" t="str">
        <x:v>DEU-000247</x:v>
      </x:c>
      <x:c r="B248" t="str">
        <x:v>USR-00130</x:v>
      </x:c>
      <x:c r="C248" t="n">
        <x:v>45778</x:v>
      </x:c>
      <x:c r="D248" t="str">
        <x:v>Entidad financiera A</x:v>
      </x:c>
      <x:c r="E248" t="str">
        <x:v>Crédito de vehículo</x:v>
      </x:c>
      <x:c r="F248" t="n">
        <x:v>57910000</x:v>
      </x:c>
      <x:c r="G248" s="40" t="n">
        <x:v>0.3068</x:v>
      </x:c>
      <x:c r="H248" s="40" t="n">
        <x:v>0.022549</x:v>
      </x:c>
      <x:c r="I248" t="n">
        <x:v>36</x:v>
      </x:c>
      <x:c r="J248" t="n">
        <x:v>2366000</x:v>
      </x:c>
      <x:c r="K248" t="str">
        <x:v>Avalancha</x:v>
      </x:c>
      <x:c r="L248" t="str">
        <x:v>Vigente</x:v>
      </x:c>
      <x:c r="M248" t="n">
        <x:v>41450955.21</x:v>
      </x:c>
      <x:c r="N248"/>
    </x:row>
    <x:row r="249">
      <x:c r="A249" t="str">
        <x:v>DEU-000248</x:v>
      </x:c>
      <x:c r="B249" t="str">
        <x:v>USR-00130</x:v>
      </x:c>
      <x:c r="C249" t="n">
        <x:v>45778</x:v>
      </x:c>
      <x:c r="D249" t="str">
        <x:v>Entidad financiera B</x:v>
      </x:c>
      <x:c r="E249" t="str">
        <x:v>Tarjeta de crédito</x:v>
      </x:c>
      <x:c r="F249" t="n">
        <x:v>5180000</x:v>
      </x:c>
      <x:c r="G249" s="40" t="n">
        <x:v>0.3019</x:v>
      </x:c>
      <x:c r="H249" s="40" t="n">
        <x:v>0.022229</x:v>
      </x:c>
      <x:c r="I249" t="n">
        <x:v>24</x:v>
      </x:c>
      <x:c r="J249" t="n">
        <x:v>280800</x:v>
      </x:c>
      <x:c r="K249" t="str">
        <x:v>Avalancha</x:v>
      </x:c>
      <x:c r="L249" t="str">
        <x:v>Vigente</x:v>
      </x:c>
      <x:c r="M249" t="n">
        <x:v>4811914.94</x:v>
      </x:c>
      <x:c r="N249"/>
    </x:row>
    <x:row r="250">
      <x:c r="A250" t="str">
        <x:v>DEU-000249</x:v>
      </x:c>
      <x:c r="B250" t="str">
        <x:v>USR-00131</x:v>
      </x:c>
      <x:c r="C250" t="n">
        <x:v>45778</x:v>
      </x:c>
      <x:c r="D250" t="str">
        <x:v>Entidad financiera E</x:v>
      </x:c>
      <x:c r="E250" t="str">
        <x:v>Crédito de consumo</x:v>
      </x:c>
      <x:c r="F250" t="n">
        <x:v>5240000</x:v>
      </x:c>
      <x:c r="G250" s="40" t="n">
        <x:v>0.2712</x:v>
      </x:c>
      <x:c r="H250" s="40" t="n">
        <x:v>0.020198</x:v>
      </x:c>
      <x:c r="I250" t="n">
        <x:v>30</x:v>
      </x:c>
      <x:c r="J250" t="n">
        <x:v>234600</x:v>
      </x:c>
      <x:c r="K250" t="str">
        <x:v>Avalancha</x:v>
      </x:c>
      <x:c r="L250" t="str">
        <x:v>Vigente</x:v>
      </x:c>
      <x:c r="M250" t="n">
        <x:v>4187078.15</x:v>
      </x:c>
      <x:c r="N250"/>
    </x:row>
    <x:row r="251">
      <x:c r="A251" t="str">
        <x:v>DEU-000250</x:v>
      </x:c>
      <x:c r="B251" t="str">
        <x:v>USR-00132</x:v>
      </x:c>
      <x:c r="C251" t="n">
        <x:v>45778</x:v>
      </x:c>
      <x:c r="D251" t="str">
        <x:v>Cooperativa C</x:v>
      </x:c>
      <x:c r="E251" t="str">
        <x:v>Crédito de libre inversión</x:v>
      </x:c>
      <x:c r="F251" t="n">
        <x:v>15710000</x:v>
      </x:c>
      <x:c r="G251" s="40" t="n">
        <x:v>0.2664</x:v>
      </x:c>
      <x:c r="H251" s="40" t="n">
        <x:v>0.019876</x:v>
      </x:c>
      <x:c r="I251" t="n">
        <x:v>24</x:v>
      </x:c>
      <x:c r="J251" t="n">
        <x:v>829400</x:v>
      </x:c>
      <x:c r="K251" t="str">
        <x:v>Bola de nieve</x:v>
      </x:c>
      <x:c r="L251" t="str">
        <x:v>Vigente</x:v>
      </x:c>
      <x:c r="M251" t="n">
        <x:v>8545081.1</x:v>
      </x:c>
      <x:c r="N251"/>
    </x:row>
    <x:row r="252">
      <x:c r="A252" t="str">
        <x:v>DEU-000251</x:v>
      </x:c>
      <x:c r="B252" t="str">
        <x:v>USR-00132</x:v>
      </x:c>
      <x:c r="C252" t="n">
        <x:v>45778</x:v>
      </x:c>
      <x:c r="D252" t="str">
        <x:v>Entidad financiera E</x:v>
      </x:c>
      <x:c r="E252" t="str">
        <x:v>Crédito de consumo</x:v>
      </x:c>
      <x:c r="F252" t="n">
        <x:v>7130000</x:v>
      </x:c>
      <x:c r="G252" s="40" t="n">
        <x:v>0.2379</x:v>
      </x:c>
      <x:c r="H252" s="40" t="n">
        <x:v>0.017944</x:v>
      </x:c>
      <x:c r="I252" t="n">
        <x:v>12</x:v>
      </x:c>
      <x:c r="J252" t="n">
        <x:v>665700</x:v>
      </x:c>
      <x:c r="K252" t="str">
        <x:v>Avalancha</x:v>
      </x:c>
      <x:c r="L252" t="str">
        <x:v>Vigente</x:v>
      </x:c>
      <x:c r="M252" t="n">
        <x:v>1895423.03</x:v>
      </x:c>
      <x:c r="N252"/>
    </x:row>
    <x:row r="253">
      <x:c r="A253" t="str">
        <x:v>DEU-000252</x:v>
      </x:c>
      <x:c r="B253" t="str">
        <x:v>USR-00133</x:v>
      </x:c>
      <x:c r="C253" t="n">
        <x:v>45778</x:v>
      </x:c>
      <x:c r="D253" t="str">
        <x:v>Entidad financiera B</x:v>
      </x:c>
      <x:c r="E253" t="str">
        <x:v>Tarjeta de crédito</x:v>
      </x:c>
      <x:c r="F253" t="n">
        <x:v>4120000</x:v>
      </x:c>
      <x:c r="G253" s="40" t="n">
        <x:v>0.2405</x:v>
      </x:c>
      <x:c r="H253" s="40" t="n">
        <x:v>0.018122</x:v>
      </x:c>
      <x:c r="I253" t="n">
        <x:v>30</x:v>
      </x:c>
      <x:c r="J253" t="n">
        <x:v>179200</x:v>
      </x:c>
      <x:c r="K253" t="str">
        <x:v>Avalancha</x:v>
      </x:c>
      <x:c r="L253" t="str">
        <x:v>Vigente</x:v>
      </x:c>
      <x:c r="M253" t="n">
        <x:v>3087945.15</x:v>
      </x:c>
      <x:c r="N253"/>
    </x:row>
    <x:row r="254">
      <x:c r="A254" t="str">
        <x:v>DEU-000253</x:v>
      </x:c>
      <x:c r="B254" t="str">
        <x:v>USR-00134</x:v>
      </x:c>
      <x:c r="C254" t="n">
        <x:v>45778</x:v>
      </x:c>
      <x:c r="D254" t="str">
        <x:v>Cooperativa C</x:v>
      </x:c>
      <x:c r="E254" t="str">
        <x:v>Tarjeta de crédito</x:v>
      </x:c>
      <x:c r="F254" t="n">
        <x:v>3470000</x:v>
      </x:c>
      <x:c r="G254" s="40" t="n">
        <x:v>0.2138</x:v>
      </x:c>
      <x:c r="H254" s="40" t="n">
        <x:v>0.016277</x:v>
      </x:c>
      <x:c r="I254" t="n">
        <x:v>36</x:v>
      </x:c>
      <x:c r="J254" t="n">
        <x:v>128100</x:v>
      </x:c>
      <x:c r="K254" t="str">
        <x:v>Bola de nieve</x:v>
      </x:c>
      <x:c r="L254" t="str">
        <x:v>Vigente</x:v>
      </x:c>
      <x:c r="M254" t="n">
        <x:v>2487757.79</x:v>
      </x:c>
      <x:c r="N254"/>
    </x:row>
    <x:row r="255">
      <x:c r="A255" t="str">
        <x:v>DEU-000254</x:v>
      </x:c>
      <x:c r="B255" t="str">
        <x:v>USR-00134</x:v>
      </x:c>
      <x:c r="C255" t="n">
        <x:v>45778</x:v>
      </x:c>
      <x:c r="D255" t="str">
        <x:v>Entidad financiera A</x:v>
      </x:c>
      <x:c r="E255" t="str">
        <x:v>Crédito de consumo</x:v>
      </x:c>
      <x:c r="F255" t="n">
        <x:v>5380000</x:v>
      </x:c>
      <x:c r="G255" s="40" t="n">
        <x:v>0.1178</x:v>
      </x:c>
      <x:c r="H255" s="40" t="n">
        <x:v>0.009323</x:v>
      </x:c>
      <x:c r="I255" t="n">
        <x:v>48</x:v>
      </x:c>
      <x:c r="J255" t="n">
        <x:v>139500</x:v>
      </x:c>
      <x:c r="K255" t="str">
        <x:v>Avalancha</x:v>
      </x:c>
      <x:c r="L255" t="str">
        <x:v>Vigente</x:v>
      </x:c>
      <x:c r="M255" t="n">
        <x:v>4405622.71</x:v>
      </x:c>
      <x:c r="N255"/>
    </x:row>
    <x:row r="256">
      <x:c r="A256" t="str">
        <x:v>DEU-000255</x:v>
      </x:c>
      <x:c r="B256" t="str">
        <x:v>USR-00134</x:v>
      </x:c>
      <x:c r="C256" t="n">
        <x:v>45778</x:v>
      </x:c>
      <x:c r="D256" t="str">
        <x:v>Financiera D</x:v>
      </x:c>
      <x:c r="E256" t="str">
        <x:v>Tarjeta de crédito</x:v>
      </x:c>
      <x:c r="F256" t="n">
        <x:v>7150000</x:v>
      </x:c>
      <x:c r="G256" s="40" t="n">
        <x:v>0.2321</x:v>
      </x:c>
      <x:c r="H256" s="40" t="n">
        <x:v>0.017545</x:v>
      </x:c>
      <x:c r="I256" t="n">
        <x:v>36</x:v>
      </x:c>
      <x:c r="J256" t="n">
        <x:v>269600</x:v>
      </x:c>
      <x:c r="K256" t="str">
        <x:v>Bola de nieve</x:v>
      </x:c>
      <x:c r="L256" t="str">
        <x:v>Vigente</x:v>
      </x:c>
      <x:c r="M256" t="n">
        <x:v>4645594.1</x:v>
      </x:c>
      <x:c r="N256"/>
    </x:row>
    <x:row r="257">
      <x:c r="A257" t="str">
        <x:v>DEU-000256</x:v>
      </x:c>
      <x:c r="B257" t="str">
        <x:v>USR-00135</x:v>
      </x:c>
      <x:c r="C257" t="n">
        <x:v>45778</x:v>
      </x:c>
      <x:c r="D257" t="str">
        <x:v>Entidad financiera B</x:v>
      </x:c>
      <x:c r="E257" t="str">
        <x:v>Tarjeta de crédito</x:v>
      </x:c>
      <x:c r="F257" t="n">
        <x:v>3840000</x:v>
      </x:c>
      <x:c r="G257" s="40" t="n">
        <x:v>0.1626</x:v>
      </x:c>
      <x:c r="H257" s="40" t="n">
        <x:v>0.012634</x:v>
      </x:c>
      <x:c r="I257" t="n">
        <x:v>12</x:v>
      </x:c>
      <x:c r="J257" t="n">
        <x:v>346900</x:v>
      </x:c>
      <x:c r="K257" t="str">
        <x:v>Avalancha</x:v>
      </x:c>
      <x:c r="L257" t="str">
        <x:v>Vigente</x:v>
      </x:c>
      <x:c r="M257" t="n">
        <x:v>597607.13</x:v>
      </x:c>
      <x:c r="N257"/>
    </x:row>
    <x:row r="258">
      <x:c r="A258" t="str">
        <x:v>DEU-000257</x:v>
      </x:c>
      <x:c r="B258" t="str">
        <x:v>USR-00136</x:v>
      </x:c>
      <x:c r="C258" t="n">
        <x:v>45778</x:v>
      </x:c>
      <x:c r="D258" t="str">
        <x:v>Financiera D</x:v>
      </x:c>
      <x:c r="E258" t="str">
        <x:v>Tarjeta de crédito</x:v>
      </x:c>
      <x:c r="F258" t="n">
        <x:v>1250000</x:v>
      </x:c>
      <x:c r="G258" s="40" t="n">
        <x:v>0.1891</x:v>
      </x:c>
      <x:c r="H258" s="40" t="n">
        <x:v>0.014538</x:v>
      </x:c>
      <x:c r="I258" t="n">
        <x:v>60</x:v>
      </x:c>
      <x:c r="J258" t="n">
        <x:v>31400</x:v>
      </x:c>
      <x:c r="K258" t="str">
        <x:v>Avalancha</x:v>
      </x:c>
      <x:c r="L258" t="str">
        <x:v>Vigente</x:v>
      </x:c>
      <x:c r="M258" t="n">
        <x:v>1087892.45</x:v>
      </x:c>
      <x:c r="N258"/>
    </x:row>
    <x:row r="259">
      <x:c r="A259" t="str">
        <x:v>DEU-000258</x:v>
      </x:c>
      <x:c r="B259" t="str">
        <x:v>USR-00137</x:v>
      </x:c>
      <x:c r="C259" t="n">
        <x:v>45778</x:v>
      </x:c>
      <x:c r="D259" t="str">
        <x:v>Financiera D</x:v>
      </x:c>
      <x:c r="E259" t="str">
        <x:v>Tarjeta de crédito</x:v>
      </x:c>
      <x:c r="F259" t="n">
        <x:v>2400000</x:v>
      </x:c>
      <x:c r="G259" s="40" t="n">
        <x:v>0.1182</x:v>
      </x:c>
      <x:c r="H259" s="40" t="n">
        <x:v>0.009353</x:v>
      </x:c>
      <x:c r="I259" t="n">
        <x:v>18</x:v>
      </x:c>
      <x:c r="J259" t="n">
        <x:v>145500</x:v>
      </x:c>
      <x:c r="K259" t="str">
        <x:v>Avalancha</x:v>
      </x:c>
      <x:c r="L259" t="str">
        <x:v>Vigente</x:v>
      </x:c>
      <x:c r="M259" t="n">
        <x:v>623229.99</x:v>
      </x:c>
      <x:c r="N259"/>
    </x:row>
    <x:row r="260">
      <x:c r="A260" t="str">
        <x:v>DEU-000259</x:v>
      </x:c>
      <x:c r="B260" t="str">
        <x:v>USR-00137</x:v>
      </x:c>
      <x:c r="C260" t="n">
        <x:v>45778</x:v>
      </x:c>
      <x:c r="D260" t="str">
        <x:v>Entidad financiera E</x:v>
      </x:c>
      <x:c r="E260" t="str">
        <x:v>Crédito de libre inversión</x:v>
      </x:c>
      <x:c r="F260" t="n">
        <x:v>9820000</x:v>
      </x:c>
      <x:c r="G260" s="40" t="n">
        <x:v>0.3351</x:v>
      </x:c>
      <x:c r="H260" s="40" t="n">
        <x:v>0.024376</x:v>
      </x:c>
      <x:c r="I260" t="n">
        <x:v>30</x:v>
      </x:c>
      <x:c r="J260" t="n">
        <x:v>465300</x:v>
      </x:c>
      <x:c r="K260" t="str">
        <x:v>Avalancha</x:v>
      </x:c>
      <x:c r="L260" t="str">
        <x:v>Vigente</x:v>
      </x:c>
      <x:c r="M260" t="n">
        <x:v>5981813.09</x:v>
      </x:c>
      <x:c r="N260"/>
    </x:row>
    <x:row r="261">
      <x:c r="A261" t="str">
        <x:v>DEU-000260</x:v>
      </x:c>
      <x:c r="B261" t="str">
        <x:v>USR-00138</x:v>
      </x:c>
      <x:c r="C261" t="n">
        <x:v>45778</x:v>
      </x:c>
      <x:c r="D261" t="str">
        <x:v>Financiera D</x:v>
      </x:c>
      <x:c r="E261" t="str">
        <x:v>Crédito educativo</x:v>
      </x:c>
      <x:c r="F261" t="n">
        <x:v>13910000</x:v>
      </x:c>
      <x:c r="G261" s="40" t="n">
        <x:v>0.1285</x:v>
      </x:c>
      <x:c r="H261" s="40" t="n">
        <x:v>0.010125</x:v>
      </x:c>
      <x:c r="I261" t="n">
        <x:v>30</x:v>
      </x:c>
      <x:c r="J261" t="n">
        <x:v>540000</x:v>
      </x:c>
      <x:c r="K261" t="str">
        <x:v>Bola de nieve</x:v>
      </x:c>
      <x:c r="L261" t="str">
        <x:v>Vigente</x:v>
      </x:c>
      <x:c r="M261" t="n">
        <x:v>9699563.99</x:v>
      </x:c>
      <x:c r="N261"/>
    </x:row>
    <x:row r="262">
      <x:c r="A262" t="str">
        <x:v>DEU-000261</x:v>
      </x:c>
      <x:c r="B262" t="str">
        <x:v>USR-00138</x:v>
      </x:c>
      <x:c r="C262" t="n">
        <x:v>45778</x:v>
      </x:c>
      <x:c r="D262" t="str">
        <x:v>Financiera D</x:v>
      </x:c>
      <x:c r="E262" t="str">
        <x:v>Crédito de consumo</x:v>
      </x:c>
      <x:c r="F262" t="n">
        <x:v>8220000</x:v>
      </x:c>
      <x:c r="G262" s="40" t="n">
        <x:v>0.2336</x:v>
      </x:c>
      <x:c r="H262" s="40" t="n">
        <x:v>0.017649</x:v>
      </x:c>
      <x:c r="I262" t="n">
        <x:v>24</x:v>
      </x:c>
      <x:c r="J262" t="n">
        <x:v>423100</x:v>
      </x:c>
      <x:c r="K262" t="str">
        <x:v>Bola de nieve</x:v>
      </x:c>
      <x:c r="L262" t="str">
        <x:v>Vigente</x:v>
      </x:c>
      <x:c r="M262" t="n">
        <x:v>3997691.57</x:v>
      </x:c>
      <x:c r="N262"/>
    </x:row>
    <x:row r="263">
      <x:c r="A263" t="str">
        <x:v>DEU-000262</x:v>
      </x:c>
      <x:c r="B263" t="str">
        <x:v>USR-00139</x:v>
      </x:c>
      <x:c r="C263" t="n">
        <x:v>45778</x:v>
      </x:c>
      <x:c r="D263" t="str">
        <x:v>Financiera D</x:v>
      </x:c>
      <x:c r="E263" t="str">
        <x:v>Tarjeta de crédito</x:v>
      </x:c>
      <x:c r="F263" t="n">
        <x:v>6360000</x:v>
      </x:c>
      <x:c r="G263" s="40" t="n">
        <x:v>0.2617</x:v>
      </x:c>
      <x:c r="H263" s="40" t="n">
        <x:v>0.019561</x:v>
      </x:c>
      <x:c r="I263" t="n">
        <x:v>60</x:v>
      </x:c>
      <x:c r="J263" t="n">
        <x:v>181000</x:v>
      </x:c>
      <x:c r="K263" t="str">
        <x:v>Avalancha</x:v>
      </x:c>
      <x:c r="L263" t="str">
        <x:v>Vigente</x:v>
      </x:c>
      <x:c r="M263" t="n">
        <x:v>5978879.36</x:v>
      </x:c>
      <x:c r="N263"/>
    </x:row>
    <x:row r="264">
      <x:c r="A264" t="str">
        <x:v>DEU-000263</x:v>
      </x:c>
      <x:c r="B264" t="str">
        <x:v>USR-00139</x:v>
      </x:c>
      <x:c r="C264" t="n">
        <x:v>45778</x:v>
      </x:c>
      <x:c r="D264" t="str">
        <x:v>Financiera D</x:v>
      </x:c>
      <x:c r="E264" t="str">
        <x:v>Crédito de consumo</x:v>
      </x:c>
      <x:c r="F264" t="n">
        <x:v>13900000</x:v>
      </x:c>
      <x:c r="G264" s="40" t="n">
        <x:v>0.1217</x:v>
      </x:c>
      <x:c r="H264" s="40" t="n">
        <x:v>0.009616</x:v>
      </x:c>
      <x:c r="I264" t="n">
        <x:v>48</x:v>
      </x:c>
      <x:c r="J264" t="n">
        <x:v>362900</x:v>
      </x:c>
      <x:c r="K264" t="str">
        <x:v>Bola de nieve</x:v>
      </x:c>
      <x:c r="L264" t="str">
        <x:v>Vigente</x:v>
      </x:c>
      <x:c r="M264" t="n">
        <x:v>11967209.09</x:v>
      </x:c>
      <x:c r="N264"/>
    </x:row>
    <x:row r="265">
      <x:c r="A265" t="str">
        <x:v>DEU-000264</x:v>
      </x:c>
      <x:c r="B265" t="str">
        <x:v>USR-00140</x:v>
      </x:c>
      <x:c r="C265" t="n">
        <x:v>45778</x:v>
      </x:c>
      <x:c r="D265" t="str">
        <x:v>Entidad financiera E</x:v>
      </x:c>
      <x:c r="E265" t="str">
        <x:v>Tarjeta de crédito</x:v>
      </x:c>
      <x:c r="F265" t="n">
        <x:v>8010000</x:v>
      </x:c>
      <x:c r="G265" s="40" t="n">
        <x:v>0.3123</x:v>
      </x:c>
      <x:c r="H265" s="40" t="n">
        <x:v>0.022907</x:v>
      </x:c>
      <x:c r="I265" t="n">
        <x:v>60</x:v>
      </x:c>
      <x:c r="J265" t="n">
        <x:v>246900</x:v>
      </x:c>
      <x:c r="K265" t="str">
        <x:v>Bola de nieve</x:v>
      </x:c>
      <x:c r="L265" t="str">
        <x:v>Vigente</x:v>
      </x:c>
      <x:c r="M265" t="n">
        <x:v>8103874.35</x:v>
      </x:c>
      <x:c r="N265"/>
    </x:row>
    <x:row r="266">
      <x:c r="A266" t="str">
        <x:v>DEU-000265</x:v>
      </x:c>
      <x:c r="B266" t="str">
        <x:v>USR-00140</x:v>
      </x:c>
      <x:c r="C266" t="n">
        <x:v>45778</x:v>
      </x:c>
      <x:c r="D266" t="str">
        <x:v>Cooperativa C</x:v>
      </x:c>
      <x:c r="E266" t="str">
        <x:v>Crédito de consumo</x:v>
      </x:c>
      <x:c r="F266" t="n">
        <x:v>14690000</x:v>
      </x:c>
      <x:c r="G266" s="40" t="n">
        <x:v>0.3055</x:v>
      </x:c>
      <x:c r="H266" s="40" t="n">
        <x:v>0.022464</x:v>
      </x:c>
      <x:c r="I266" t="n">
        <x:v>48</x:v>
      </x:c>
      <x:c r="J266" t="n">
        <x:v>503200</x:v>
      </x:c>
      <x:c r="K266" t="str">
        <x:v>Avalancha</x:v>
      </x:c>
      <x:c r="L266" t="str">
        <x:v>Vigente</x:v>
      </x:c>
      <x:c r="M266" t="n">
        <x:v>13422353.93</x:v>
      </x:c>
      <x:c r="N266"/>
    </x:row>
    <x:row r="267">
      <x:c r="A267" t="str">
        <x:v>DEU-000266</x:v>
      </x:c>
      <x:c r="B267" t="str">
        <x:v>USR-00140</x:v>
      </x:c>
      <x:c r="C267" t="n">
        <x:v>45778</x:v>
      </x:c>
      <x:c r="D267" t="str">
        <x:v>Financiera D</x:v>
      </x:c>
      <x:c r="E267" t="str">
        <x:v>Tarjeta de crédito</x:v>
      </x:c>
      <x:c r="F267" t="n">
        <x:v>6660000</x:v>
      </x:c>
      <x:c r="G267" s="40" t="n">
        <x:v>0.153</x:v>
      </x:c>
      <x:c r="H267" s="40" t="n">
        <x:v>0.011935</x:v>
      </x:c>
      <x:c r="I267" t="n">
        <x:v>36</x:v>
      </x:c>
      <x:c r="J267" t="n">
        <x:v>228700</x:v>
      </x:c>
      <x:c r="K267" t="str">
        <x:v>Bola de nieve</x:v>
      </x:c>
      <x:c r="L267" t="str">
        <x:v>Vigente</x:v>
      </x:c>
      <x:c r="M267" t="n">
        <x:v>6431490.37</x:v>
      </x:c>
      <x:c r="N267"/>
    </x:row>
    <x:row r="268">
      <x:c r="A268" t="str">
        <x:v>DEU-000267</x:v>
      </x:c>
      <x:c r="B268" t="str">
        <x:v>USR-00141</x:v>
      </x:c>
      <x:c r="C268" t="n">
        <x:v>45778</x:v>
      </x:c>
      <x:c r="D268" t="str">
        <x:v>Cooperativa C</x:v>
      </x:c>
      <x:c r="E268" t="str">
        <x:v>Tarjeta de crédito</x:v>
      </x:c>
      <x:c r="F268" t="n">
        <x:v>2580000</x:v>
      </x:c>
      <x:c r="G268" s="40" t="n">
        <x:v>0.1259</x:v>
      </x:c>
      <x:c r="H268" s="40" t="n">
        <x:v>0.009931</x:v>
      </x:c>
      <x:c r="I268" t="n">
        <x:v>36</x:v>
      </x:c>
      <x:c r="J268" t="n">
        <x:v>85600</x:v>
      </x:c>
      <x:c r="K268" t="str">
        <x:v>Avalancha</x:v>
      </x:c>
      <x:c r="L268" t="str">
        <x:v>Vigente</x:v>
      </x:c>
      <x:c r="M268" t="n">
        <x:v>1912035.71</x:v>
      </x:c>
      <x:c r="N268"/>
    </x:row>
    <x:row r="269">
      <x:c r="A269" t="str">
        <x:v>DEU-000268</x:v>
      </x:c>
      <x:c r="B269" t="str">
        <x:v>USR-00141</x:v>
      </x:c>
      <x:c r="C269" t="n">
        <x:v>45778</x:v>
      </x:c>
      <x:c r="D269" t="str">
        <x:v>Entidad financiera E</x:v>
      </x:c>
      <x:c r="E269" t="str">
        <x:v>Tarjeta de crédito</x:v>
      </x:c>
      <x:c r="F269" t="n">
        <x:v>1340000</x:v>
      </x:c>
      <x:c r="G269" s="40" t="n">
        <x:v>0.2689</x:v>
      </x:c>
      <x:c r="H269" s="40" t="n">
        <x:v>0.020044</x:v>
      </x:c>
      <x:c r="I269" t="n">
        <x:v>48</x:v>
      </x:c>
      <x:c r="J269" t="n">
        <x:v>43700</x:v>
      </x:c>
      <x:c r="K269" t="str">
        <x:v>Avalancha</x:v>
      </x:c>
      <x:c r="L269" t="str">
        <x:v>Vigente</x:v>
      </x:c>
      <x:c r="M269" t="n">
        <x:v>1369891.67</x:v>
      </x:c>
      <x:c r="N269"/>
    </x:row>
    <x:row r="270">
      <x:c r="A270" t="str">
        <x:v>DEU-000269</x:v>
      </x:c>
      <x:c r="B270" t="str">
        <x:v>USR-00141</x:v>
      </x:c>
      <x:c r="C270" t="n">
        <x:v>45778</x:v>
      </x:c>
      <x:c r="D270" t="str">
        <x:v>Cooperativa C</x:v>
      </x:c>
      <x:c r="E270" t="str">
        <x:v>Crédito de consumo</x:v>
      </x:c>
      <x:c r="F270" t="n">
        <x:v>10610000</x:v>
      </x:c>
      <x:c r="G270" s="40" t="n">
        <x:v>0.3351</x:v>
      </x:c>
      <x:c r="H270" s="40" t="n">
        <x:v>0.024376</x:v>
      </x:c>
      <x:c r="I270" t="n">
        <x:v>60</x:v>
      </x:c>
      <x:c r="J270" t="n">
        <x:v>338400</x:v>
      </x:c>
      <x:c r="K270" t="str">
        <x:v>Bola de nieve</x:v>
      </x:c>
      <x:c r="L270" t="str">
        <x:v>Vigente</x:v>
      </x:c>
      <x:c r="M270" t="n">
        <x:v>10147543.12</x:v>
      </x:c>
      <x:c r="N270"/>
    </x:row>
    <x:row r="271">
      <x:c r="A271" t="str">
        <x:v>DEU-000270</x:v>
      </x:c>
      <x:c r="B271" t="str">
        <x:v>USR-00141</x:v>
      </x:c>
      <x:c r="C271" t="n">
        <x:v>45778</x:v>
      </x:c>
      <x:c r="D271" t="str">
        <x:v>Cooperativa C</x:v>
      </x:c>
      <x:c r="E271" t="str">
        <x:v>Crédito comercial</x:v>
      </x:c>
      <x:c r="F271" t="n">
        <x:v>17780000</x:v>
      </x:c>
      <x:c r="G271" s="40" t="n">
        <x:v>0.2443</x:v>
      </x:c>
      <x:c r="H271" s="40" t="n">
        <x:v>0.018381</x:v>
      </x:c>
      <x:c r="I271" t="n">
        <x:v>36</x:v>
      </x:c>
      <x:c r="J271" t="n">
        <x:v>679600</x:v>
      </x:c>
      <x:c r="K271" t="str">
        <x:v>Avalancha</x:v>
      </x:c>
      <x:c r="L271" t="str">
        <x:v>Vigente</x:v>
      </x:c>
      <x:c r="M271" t="n">
        <x:v>11728890.67</x:v>
      </x:c>
      <x:c r="N271"/>
    </x:row>
    <x:row r="272">
      <x:c r="A272" t="str">
        <x:v>DEU-000271</x:v>
      </x:c>
      <x:c r="B272" t="str">
        <x:v>USR-00141</x:v>
      </x:c>
      <x:c r="C272" t="n">
        <x:v>45778</x:v>
      </x:c>
      <x:c r="D272" t="str">
        <x:v>Financiera D</x:v>
      </x:c>
      <x:c r="E272" t="str">
        <x:v>Crédito de libre inversión</x:v>
      </x:c>
      <x:c r="F272" t="n">
        <x:v>5560000</x:v>
      </x:c>
      <x:c r="G272" s="40" t="n">
        <x:v>0.1628</x:v>
      </x:c>
      <x:c r="H272" s="40" t="n">
        <x:v>0.012649</x:v>
      </x:c>
      <x:c r="I272" t="n">
        <x:v>24</x:v>
      </x:c>
      <x:c r="J272" t="n">
        <x:v>270100</x:v>
      </x:c>
      <x:c r="K272" t="str">
        <x:v>Bola de nieve</x:v>
      </x:c>
      <x:c r="L272" t="str">
        <x:v>Vigente</x:v>
      </x:c>
      <x:c r="M272" t="n">
        <x:v>2962857.01</x:v>
      </x:c>
      <x:c r="N272"/>
    </x:row>
    <x:row r="273">
      <x:c r="A273" t="str">
        <x:v>DEU-000272</x:v>
      </x:c>
      <x:c r="B273" t="str">
        <x:v>USR-00142</x:v>
      </x:c>
      <x:c r="C273" t="n">
        <x:v>45778</x:v>
      </x:c>
      <x:c r="D273" t="str">
        <x:v>Entidad financiera A</x:v>
      </x:c>
      <x:c r="E273" t="str">
        <x:v>Tarjeta de crédito</x:v>
      </x:c>
      <x:c r="F273" t="n">
        <x:v>7230000</x:v>
      </x:c>
      <x:c r="G273" s="40" t="n">
        <x:v>0.1833</x:v>
      </x:c>
      <x:c r="H273" s="40" t="n">
        <x:v>0.014124</x:v>
      </x:c>
      <x:c r="I273" t="n">
        <x:v>30</x:v>
      </x:c>
      <x:c r="J273" t="n">
        <x:v>297300</x:v>
      </x:c>
      <x:c r="K273" t="str">
        <x:v>Avalancha</x:v>
      </x:c>
      <x:c r="L273" t="str">
        <x:v>Vigente</x:v>
      </x:c>
      <x:c r="M273" t="n">
        <x:v>4087371.95</x:v>
      </x:c>
      <x:c r="N273"/>
    </x:row>
    <x:row r="274">
      <x:c r="A274" t="str">
        <x:v>DEU-000273</x:v>
      </x:c>
      <x:c r="B274" t="str">
        <x:v>USR-00143</x:v>
      </x:c>
      <x:c r="C274" t="n">
        <x:v>45778</x:v>
      </x:c>
      <x:c r="D274" t="str">
        <x:v>Financiera D</x:v>
      </x:c>
      <x:c r="E274" t="str">
        <x:v>Tarjeta de crédito</x:v>
      </x:c>
      <x:c r="F274" t="n">
        <x:v>7620000</x:v>
      </x:c>
      <x:c r="G274" s="40" t="n">
        <x:v>0.2884</x:v>
      </x:c>
      <x:c r="H274" s="40" t="n">
        <x:v>0.021341</x:v>
      </x:c>
      <x:c r="I274" t="n">
        <x:v>60</x:v>
      </x:c>
      <x:c r="J274" t="n">
        <x:v>226400</x:v>
      </x:c>
      <x:c r="K274" t="str">
        <x:v>Bola de nieve</x:v>
      </x:c>
      <x:c r="L274" t="str">
        <x:v>Vigente</x:v>
      </x:c>
      <x:c r="M274" t="n">
        <x:v>7430693.2</x:v>
      </x:c>
      <x:c r="N274"/>
    </x:row>
    <x:row r="275">
      <x:c r="A275" t="str">
        <x:v>DEU-000274</x:v>
      </x:c>
      <x:c r="B275" t="str">
        <x:v>USR-00144</x:v>
      </x:c>
      <x:c r="C275" t="n">
        <x:v>45778</x:v>
      </x:c>
      <x:c r="D275" t="str">
        <x:v>Entidad financiera E</x:v>
      </x:c>
      <x:c r="E275" t="str">
        <x:v>Tarjeta de crédito</x:v>
      </x:c>
      <x:c r="F275" t="n">
        <x:v>3540000</x:v>
      </x:c>
      <x:c r="G275" s="40" t="n">
        <x:v>0.1092</x:v>
      </x:c>
      <x:c r="H275" s="40" t="n">
        <x:v>0.008674</x:v>
      </x:c>
      <x:c r="I275" t="n">
        <x:v>18</x:v>
      </x:c>
      <x:c r="J275" t="n">
        <x:v>213300</x:v>
      </x:c>
      <x:c r="K275" t="str">
        <x:v>Bola de nieve</x:v>
      </x:c>
      <x:c r="L275" t="str">
        <x:v>Vigente</x:v>
      </x:c>
      <x:c r="M275" t="n">
        <x:v>1086949.29</x:v>
      </x:c>
      <x:c r="N275"/>
    </x:row>
    <x:row r="276">
      <x:c r="A276" t="str">
        <x:v>DEU-000275</x:v>
      </x:c>
      <x:c r="B276" t="str">
        <x:v>USR-00145</x:v>
      </x:c>
      <x:c r="C276" t="n">
        <x:v>45778</x:v>
      </x:c>
      <x:c r="D276" t="str">
        <x:v>Cooperativa C</x:v>
      </x:c>
      <x:c r="E276" t="str">
        <x:v>Crédito educativo</x:v>
      </x:c>
      <x:c r="F276" t="n">
        <x:v>24620000</x:v>
      </x:c>
      <x:c r="G276" s="40" t="n">
        <x:v>0.2963</x:v>
      </x:c>
      <x:c r="H276" s="40" t="n">
        <x:v>0.021862</x:v>
      </x:c>
      <x:c r="I276" t="n">
        <x:v>30</x:v>
      </x:c>
      <x:c r="J276" t="n">
        <x:v>1127600</x:v>
      </x:c>
      <x:c r="K276" t="str">
        <x:v>Avalancha</x:v>
      </x:c>
      <x:c r="L276" t="str">
        <x:v>Vigente</x:v>
      </x:c>
      <x:c r="M276" t="n">
        <x:v>13198233.58</x:v>
      </x:c>
      <x:c r="N276"/>
    </x:row>
    <x:row r="277">
      <x:c r="A277" t="str">
        <x:v>DEU-000276</x:v>
      </x:c>
      <x:c r="B277" t="str">
        <x:v>USR-00007</x:v>
      </x:c>
      <x:c r="C277" t="n">
        <x:v>45809</x:v>
      </x:c>
      <x:c r="D277" t="str">
        <x:v>Financiera D</x:v>
      </x:c>
      <x:c r="E277" t="str">
        <x:v>Crédito de consumo</x:v>
      </x:c>
      <x:c r="F277" t="n">
        <x:v>10460000</x:v>
      </x:c>
      <x:c r="G277" s="40" t="n">
        <x:v>0.2699</x:v>
      </x:c>
      <x:c r="H277" s="40" t="n">
        <x:v>0.020111</x:v>
      </x:c>
      <x:c r="I277" t="n">
        <x:v>12</x:v>
      </x:c>
      <x:c r="J277" t="n">
        <x:v>989800</x:v>
      </x:c>
      <x:c r="K277" t="str">
        <x:v>Avalancha</x:v>
      </x:c>
      <x:c r="L277" t="str">
        <x:v>Vigente</x:v>
      </x:c>
      <x:c r="M277" t="n">
        <x:v>146193.32</x:v>
      </x:c>
      <x:c r="N277"/>
    </x:row>
    <x:row r="278">
      <x:c r="A278" t="str">
        <x:v>DEU-000277</x:v>
      </x:c>
      <x:c r="B278" t="str">
        <x:v>USR-00019</x:v>
      </x:c>
      <x:c r="C278" t="n">
        <x:v>45809</x:v>
      </x:c>
      <x:c r="D278" t="str">
        <x:v>Entidad financiera E</x:v>
      </x:c>
      <x:c r="E278" t="str">
        <x:v>Crédito de libre inversión</x:v>
      </x:c>
      <x:c r="F278" t="n">
        <x:v>22020000</x:v>
      </x:c>
      <x:c r="G278" s="40" t="n">
        <x:v>0.1316</x:v>
      </x:c>
      <x:c r="H278" s="40" t="n">
        <x:v>0.010356</x:v>
      </x:c>
      <x:c r="I278" t="n">
        <x:v>18</x:v>
      </x:c>
      <x:c r="J278" t="n">
        <x:v>1347200</x:v>
      </x:c>
      <x:c r="K278" t="str">
        <x:v>Avalancha</x:v>
      </x:c>
      <x:c r="L278" t="str">
        <x:v>Vigente</x:v>
      </x:c>
      <x:c r="M278" t="n">
        <x:v>4864545.49</x:v>
      </x:c>
      <x:c r="N278"/>
    </x:row>
    <x:row r="279">
      <x:c r="A279" t="str">
        <x:v>DEU-000278</x:v>
      </x:c>
      <x:c r="B279" t="str">
        <x:v>USR-00048</x:v>
      </x:c>
      <x:c r="C279" t="n">
        <x:v>45809</x:v>
      </x:c>
      <x:c r="D279" t="str">
        <x:v>Entidad financiera B</x:v>
      </x:c>
      <x:c r="E279" t="str">
        <x:v>Tarjeta de crédito</x:v>
      </x:c>
      <x:c r="F279" t="n">
        <x:v>3970000</x:v>
      </x:c>
      <x:c r="G279" s="40" t="n">
        <x:v>0.23</x:v>
      </x:c>
      <x:c r="H279" s="40" t="n">
        <x:v>0.017401</x:v>
      </x:c>
      <x:c r="I279" t="n">
        <x:v>36</x:v>
      </x:c>
      <x:c r="J279" t="n">
        <x:v>149300</x:v>
      </x:c>
      <x:c r="K279" t="str">
        <x:v>Bola de nieve</x:v>
      </x:c>
      <x:c r="L279" t="str">
        <x:v>Vigente</x:v>
      </x:c>
      <x:c r="M279" t="n">
        <x:v>3082793.64</x:v>
      </x:c>
      <x:c r="N279"/>
    </x:row>
    <x:row r="280">
      <x:c r="A280" t="str">
        <x:v>DEU-000279</x:v>
      </x:c>
      <x:c r="B280" t="str">
        <x:v>USR-00117</x:v>
      </x:c>
      <x:c r="C280" t="n">
        <x:v>45809</x:v>
      </x:c>
      <x:c r="D280" t="str">
        <x:v>Entidad financiera A</x:v>
      </x:c>
      <x:c r="E280" t="str">
        <x:v>Crédito de libre inversión</x:v>
      </x:c>
      <x:c r="F280" t="n">
        <x:v>8230000</x:v>
      </x:c>
      <x:c r="G280" s="40" t="n">
        <x:v>0.2689</x:v>
      </x:c>
      <x:c r="H280" s="40" t="n">
        <x:v>0.020044</x:v>
      </x:c>
      <x:c r="I280" t="n">
        <x:v>60</x:v>
      </x:c>
      <x:c r="J280" t="n">
        <x:v>237000</x:v>
      </x:c>
      <x:c r="K280" t="str">
        <x:v>Bola de nieve</x:v>
      </x:c>
      <x:c r="L280" t="str">
        <x:v>Vigente</x:v>
      </x:c>
      <x:c r="M280" t="n">
        <x:v>7769843.4</x:v>
      </x:c>
      <x:c r="N280"/>
    </x:row>
    <x:row r="281">
      <x:c r="A281" t="str">
        <x:v>DEU-000280</x:v>
      </x:c>
      <x:c r="B281" t="str">
        <x:v>USR-00146</x:v>
      </x:c>
      <x:c r="C281" t="n">
        <x:v>45809</x:v>
      </x:c>
      <x:c r="D281" t="str">
        <x:v>Financiera D</x:v>
      </x:c>
      <x:c r="E281" t="str">
        <x:v>Crédito educativo</x:v>
      </x:c>
      <x:c r="F281" t="n">
        <x:v>23410000</x:v>
      </x:c>
      <x:c r="G281" s="40" t="n">
        <x:v>0.2779</x:v>
      </x:c>
      <x:c r="H281" s="40" t="n">
        <x:v>0.020645</x:v>
      </x:c>
      <x:c r="I281" t="n">
        <x:v>12</x:v>
      </x:c>
      <x:c r="J281" t="n">
        <x:v>2222400</x:v>
      </x:c>
      <x:c r="K281" t="str">
        <x:v>Avalancha</x:v>
      </x:c>
      <x:c r="L281" t="str">
        <x:v>Pagada</x:v>
      </x:c>
      <x:c r="M281" t="n">
        <x:v>0</x:v>
      </x:c>
      <x:c r="N281" t="n">
        <x:v>46174</x:v>
      </x:c>
    </x:row>
    <x:row r="282">
      <x:c r="A282" t="str">
        <x:v>DEU-000281</x:v>
      </x:c>
      <x:c r="B282" t="str">
        <x:v>USR-00146</x:v>
      </x:c>
      <x:c r="C282" t="n">
        <x:v>45809</x:v>
      </x:c>
      <x:c r="D282" t="str">
        <x:v>Cooperativa C</x:v>
      </x:c>
      <x:c r="E282" t="str">
        <x:v>Crédito de vehículo</x:v>
      </x:c>
      <x:c r="F282" t="n">
        <x:v>30750000</x:v>
      </x:c>
      <x:c r="G282" s="40" t="n">
        <x:v>0.132</x:v>
      </x:c>
      <x:c r="H282" s="40" t="n">
        <x:v>0.010386</x:v>
      </x:c>
      <x:c r="I282" t="n">
        <x:v>24</x:v>
      </x:c>
      <x:c r="J282" t="n">
        <x:v>1454200</x:v>
      </x:c>
      <x:c r="K282" t="str">
        <x:v>Bola de nieve</x:v>
      </x:c>
      <x:c r="L282" t="str">
        <x:v>Vigente</x:v>
      </x:c>
      <x:c r="M282" t="n">
        <x:v>13079244.66</x:v>
      </x:c>
      <x:c r="N282"/>
    </x:row>
    <x:row r="283">
      <x:c r="A283" t="str">
        <x:v>DEU-000282</x:v>
      </x:c>
      <x:c r="B283" t="str">
        <x:v>USR-00146</x:v>
      </x:c>
      <x:c r="C283" t="n">
        <x:v>45809</x:v>
      </x:c>
      <x:c r="D283" t="str">
        <x:v>Entidad financiera B</x:v>
      </x:c>
      <x:c r="E283" t="str">
        <x:v>Crédito de consumo</x:v>
      </x:c>
      <x:c r="F283" t="n">
        <x:v>17880000</x:v>
      </x:c>
      <x:c r="G283" s="40" t="n">
        <x:v>0.158</x:v>
      </x:c>
      <x:c r="H283" s="40" t="n">
        <x:v>0.0123</x:v>
      </x:c>
      <x:c r="I283" t="n">
        <x:v>12</x:v>
      </x:c>
      <x:c r="J283" t="n">
        <x:v>1611800</x:v>
      </x:c>
      <x:c r="K283" t="str">
        <x:v>Bola de nieve</x:v>
      </x:c>
      <x:c r="L283" t="str">
        <x:v>Pagada</x:v>
      </x:c>
      <x:c r="M283" t="n">
        <x:v>0</x:v>
      </x:c>
      <x:c r="N283" t="n">
        <x:v>46235</x:v>
      </x:c>
    </x:row>
    <x:row r="284">
      <x:c r="A284" t="str">
        <x:v>DEU-000283</x:v>
      </x:c>
      <x:c r="B284" t="str">
        <x:v>USR-00146</x:v>
      </x:c>
      <x:c r="C284" t="n">
        <x:v>45809</x:v>
      </x:c>
      <x:c r="D284" t="str">
        <x:v>Entidad financiera E</x:v>
      </x:c>
      <x:c r="E284" t="str">
        <x:v>Tarjeta de crédito</x:v>
      </x:c>
      <x:c r="F284" t="n">
        <x:v>710000</x:v>
      </x:c>
      <x:c r="G284" s="40" t="n">
        <x:v>0.2422</x:v>
      </x:c>
      <x:c r="H284" s="40" t="n">
        <x:v>0.018238</x:v>
      </x:c>
      <x:c r="I284" t="n">
        <x:v>30</x:v>
      </x:c>
      <x:c r="J284" t="n">
        <x:v>30900</x:v>
      </x:c>
      <x:c r="K284" t="str">
        <x:v>Avalancha</x:v>
      </x:c>
      <x:c r="L284" t="str">
        <x:v>Vigente</x:v>
      </x:c>
      <x:c r="M284" t="n">
        <x:v>395365.5</x:v>
      </x:c>
      <x:c r="N284"/>
    </x:row>
    <x:row r="285">
      <x:c r="A285" t="str">
        <x:v>DEU-000284</x:v>
      </x:c>
      <x:c r="B285" t="str">
        <x:v>USR-00147</x:v>
      </x:c>
      <x:c r="C285" t="n">
        <x:v>45809</x:v>
      </x:c>
      <x:c r="D285" t="str">
        <x:v>Entidad financiera E</x:v>
      </x:c>
      <x:c r="E285" t="str">
        <x:v>Crédito de vehículo</x:v>
      </x:c>
      <x:c r="F285" t="n">
        <x:v>48680000</x:v>
      </x:c>
      <x:c r="G285" s="40" t="n">
        <x:v>0.1256</x:v>
      </x:c>
      <x:c r="H285" s="40" t="n">
        <x:v>0.009908</x:v>
      </x:c>
      <x:c r="I285" t="n">
        <x:v>12</x:v>
      </x:c>
      <x:c r="J285" t="n">
        <x:v>4322700</x:v>
      </x:c>
      <x:c r="K285" t="str">
        <x:v>Avalancha</x:v>
      </x:c>
      <x:c r="L285" t="str">
        <x:v>Vigente</x:v>
      </x:c>
      <x:c r="M285" t="n">
        <x:v>8521130.92</x:v>
      </x:c>
      <x:c r="N285"/>
    </x:row>
    <x:row r="286">
      <x:c r="A286" t="str">
        <x:v>DEU-000285</x:v>
      </x:c>
      <x:c r="B286" t="str">
        <x:v>USR-00147</x:v>
      </x:c>
      <x:c r="C286" t="n">
        <x:v>45809</x:v>
      </x:c>
      <x:c r="D286" t="str">
        <x:v>Entidad financiera A</x:v>
      </x:c>
      <x:c r="E286" t="str">
        <x:v>Tarjeta de crédito</x:v>
      </x:c>
      <x:c r="F286" t="n">
        <x:v>5850000</x:v>
      </x:c>
      <x:c r="G286" s="40" t="n">
        <x:v>0.2202</x:v>
      </x:c>
      <x:c r="H286" s="40" t="n">
        <x:v>0.016723</x:v>
      </x:c>
      <x:c r="I286" t="n">
        <x:v>18</x:v>
      </x:c>
      <x:c r="J286" t="n">
        <x:v>379100</x:v>
      </x:c>
      <x:c r="K286" t="str">
        <x:v>Avalancha</x:v>
      </x:c>
      <x:c r="L286" t="str">
        <x:v>Vigente</x:v>
      </x:c>
      <x:c r="M286" t="n">
        <x:v>2862435.45</x:v>
      </x:c>
      <x:c r="N286"/>
    </x:row>
    <x:row r="287">
      <x:c r="A287" t="str">
        <x:v>DEU-000286</x:v>
      </x:c>
      <x:c r="B287" t="str">
        <x:v>USR-00148</x:v>
      </x:c>
      <x:c r="C287" t="n">
        <x:v>45809</x:v>
      </x:c>
      <x:c r="D287" t="str">
        <x:v>Cooperativa C</x:v>
      </x:c>
      <x:c r="E287" t="str">
        <x:v>Tarjeta de crédito</x:v>
      </x:c>
      <x:c r="F287" t="n">
        <x:v>4040000</x:v>
      </x:c>
      <x:c r="G287" s="40" t="n">
        <x:v>0.3197</x:v>
      </x:c>
      <x:c r="H287" s="40" t="n">
        <x:v>0.023386</x:v>
      </x:c>
      <x:c r="I287" t="n">
        <x:v>36</x:v>
      </x:c>
      <x:c r="J287" t="n">
        <x:v>167200</x:v>
      </x:c>
      <x:c r="K287" t="str">
        <x:v>Avalancha</x:v>
      </x:c>
      <x:c r="L287" t="str">
        <x:v>Vigente</x:v>
      </x:c>
      <x:c r="M287" t="n">
        <x:v>3100363.14</x:v>
      </x:c>
      <x:c r="N287"/>
    </x:row>
    <x:row r="288">
      <x:c r="A288" t="str">
        <x:v>DEU-000287</x:v>
      </x:c>
      <x:c r="B288" t="str">
        <x:v>USR-00149</x:v>
      </x:c>
      <x:c r="C288" t="n">
        <x:v>45809</x:v>
      </x:c>
      <x:c r="D288" t="str">
        <x:v>Financiera D</x:v>
      </x:c>
      <x:c r="E288" t="str">
        <x:v>Crédito comercial</x:v>
      </x:c>
      <x:c r="F288" t="n">
        <x:v>22180000</x:v>
      </x:c>
      <x:c r="G288" s="40" t="n">
        <x:v>0.247</x:v>
      </x:c>
      <x:c r="H288" s="40" t="n">
        <x:v>0.018565</x:v>
      </x:c>
      <x:c r="I288" t="n">
        <x:v>48</x:v>
      </x:c>
      <x:c r="J288" t="n">
        <x:v>702200</x:v>
      </x:c>
      <x:c r="K288" t="str">
        <x:v>Bola de nieve</x:v>
      </x:c>
      <x:c r="L288" t="str">
        <x:v>Vigente</x:v>
      </x:c>
      <x:c r="M288" t="n">
        <x:v>24884882.79</x:v>
      </x:c>
      <x:c r="N288"/>
    </x:row>
    <x:row r="289">
      <x:c r="A289" t="str">
        <x:v>DEU-000288</x:v>
      </x:c>
      <x:c r="B289" t="str">
        <x:v>USR-00149</x:v>
      </x:c>
      <x:c r="C289" t="n">
        <x:v>45809</x:v>
      </x:c>
      <x:c r="D289" t="str">
        <x:v>Entidad financiera A</x:v>
      </x:c>
      <x:c r="E289" t="str">
        <x:v>Crédito de consumo</x:v>
      </x:c>
      <x:c r="F289" t="n">
        <x:v>12060000</x:v>
      </x:c>
      <x:c r="G289" s="40" t="n">
        <x:v>0.2406</x:v>
      </x:c>
      <x:c r="H289" s="40" t="n">
        <x:v>0.018129</x:v>
      </x:c>
      <x:c r="I289" t="n">
        <x:v>48</x:v>
      </x:c>
      <x:c r="J289" t="n">
        <x:v>378400</x:v>
      </x:c>
      <x:c r="K289" t="str">
        <x:v>Bola de nieve</x:v>
      </x:c>
      <x:c r="L289" t="str">
        <x:v>Vigente</x:v>
      </x:c>
      <x:c r="M289" t="n">
        <x:v>11865839.55</x:v>
      </x:c>
      <x:c r="N289"/>
    </x:row>
    <x:row r="290">
      <x:c r="A290" t="str">
        <x:v>DEU-000289</x:v>
      </x:c>
      <x:c r="B290" t="str">
        <x:v>USR-00150</x:v>
      </x:c>
      <x:c r="C290" t="n">
        <x:v>45809</x:v>
      </x:c>
      <x:c r="D290" t="str">
        <x:v>Financiera D</x:v>
      </x:c>
      <x:c r="E290" t="str">
        <x:v>Tarjeta de crédito</x:v>
      </x:c>
      <x:c r="F290" t="n">
        <x:v>2040000</x:v>
      </x:c>
      <x:c r="G290" s="40" t="n">
        <x:v>0.2471</x:v>
      </x:c>
      <x:c r="H290" s="40" t="n">
        <x:v>0.018572</x:v>
      </x:c>
      <x:c r="I290" t="n">
        <x:v>24</x:v>
      </x:c>
      <x:c r="J290" t="n">
        <x:v>106100</x:v>
      </x:c>
      <x:c r="K290" t="str">
        <x:v>Avalancha</x:v>
      </x:c>
      <x:c r="L290" t="str">
        <x:v>Vigente</x:v>
      </x:c>
      <x:c r="M290" t="n">
        <x:v>839663.22</x:v>
      </x:c>
      <x:c r="N290"/>
    </x:row>
    <x:row r="291">
      <x:c r="A291" t="str">
        <x:v>DEU-000290</x:v>
      </x:c>
      <x:c r="B291" t="str">
        <x:v>USR-00151</x:v>
      </x:c>
      <x:c r="C291" t="n">
        <x:v>45809</x:v>
      </x:c>
      <x:c r="D291" t="str">
        <x:v>Entidad financiera E</x:v>
      </x:c>
      <x:c r="E291" t="str">
        <x:v>Tarjeta de crédito</x:v>
      </x:c>
      <x:c r="F291" t="n">
        <x:v>5840000</x:v>
      </x:c>
      <x:c r="G291" s="40" t="n">
        <x:v>0.24</x:v>
      </x:c>
      <x:c r="H291" s="40" t="n">
        <x:v>0.018088</x:v>
      </x:c>
      <x:c r="I291" t="n">
        <x:v>12</x:v>
      </x:c>
      <x:c r="J291" t="n">
        <x:v>545800</x:v>
      </x:c>
      <x:c r="K291" t="str">
        <x:v>Bola de nieve</x:v>
      </x:c>
      <x:c r="L291" t="str">
        <x:v>Vigente</x:v>
      </x:c>
      <x:c r="M291" t="n">
        <x:v>474145.49</x:v>
      </x:c>
      <x:c r="N291"/>
    </x:row>
    <x:row r="292">
      <x:c r="A292" t="str">
        <x:v>DEU-000291</x:v>
      </x:c>
      <x:c r="B292" t="str">
        <x:v>USR-00151</x:v>
      </x:c>
      <x:c r="C292" t="n">
        <x:v>45809</x:v>
      </x:c>
      <x:c r="D292" t="str">
        <x:v>Entidad financiera E</x:v>
      </x:c>
      <x:c r="E292" t="str">
        <x:v>Tarjeta de crédito</x:v>
      </x:c>
      <x:c r="F292" t="n">
        <x:v>990000</x:v>
      </x:c>
      <x:c r="G292" s="40" t="n">
        <x:v>0.1765</x:v>
      </x:c>
      <x:c r="H292" s="40" t="n">
        <x:v>0.013637</x:v>
      </x:c>
      <x:c r="I292" t="n">
        <x:v>24</x:v>
      </x:c>
      <x:c r="J292" t="n">
        <x:v>48600</x:v>
      </x:c>
      <x:c r="K292" t="str">
        <x:v>Bola de nieve</x:v>
      </x:c>
      <x:c r="L292" t="str">
        <x:v>Vigente</x:v>
      </x:c>
      <x:c r="M292" t="n">
        <x:v>433490.47</x:v>
      </x:c>
      <x:c r="N292"/>
    </x:row>
    <x:row r="293">
      <x:c r="A293" t="str">
        <x:v>DEU-000292</x:v>
      </x:c>
      <x:c r="B293" t="str">
        <x:v>USR-00151</x:v>
      </x:c>
      <x:c r="C293" t="n">
        <x:v>45809</x:v>
      </x:c>
      <x:c r="D293" t="str">
        <x:v>Cooperativa C</x:v>
      </x:c>
      <x:c r="E293" t="str">
        <x:v>Crédito de consumo</x:v>
      </x:c>
      <x:c r="F293" t="n">
        <x:v>3480000</x:v>
      </x:c>
      <x:c r="G293" s="40" t="n">
        <x:v>0.1139</x:v>
      </x:c>
      <x:c r="H293" s="40" t="n">
        <x:v>0.009029</x:v>
      </x:c>
      <x:c r="I293" t="n">
        <x:v>18</x:v>
      </x:c>
      <x:c r="J293" t="n">
        <x:v>210300</x:v>
      </x:c>
      <x:c r="K293" t="str">
        <x:v>Bola de nieve</x:v>
      </x:c>
      <x:c r="L293" t="str">
        <x:v>Vigente</x:v>
      </x:c>
      <x:c r="M293" t="n">
        <x:v>218956.3</x:v>
      </x:c>
      <x:c r="N293"/>
    </x:row>
    <x:row r="294">
      <x:c r="A294" t="str">
        <x:v>DEU-000293</x:v>
      </x:c>
      <x:c r="B294" t="str">
        <x:v>USR-00151</x:v>
      </x:c>
      <x:c r="C294" t="n">
        <x:v>45809</x:v>
      </x:c>
      <x:c r="D294" t="str">
        <x:v>Financiera D</x:v>
      </x:c>
      <x:c r="E294" t="str">
        <x:v>Tarjeta de crédito</x:v>
      </x:c>
      <x:c r="F294" t="n">
        <x:v>2420000</x:v>
      </x:c>
      <x:c r="G294" s="40" t="n">
        <x:v>0.1377</x:v>
      </x:c>
      <x:c r="H294" s="40" t="n">
        <x:v>0.010809</x:v>
      </x:c>
      <x:c r="I294" t="n">
        <x:v>12</x:v>
      </x:c>
      <x:c r="J294" t="n">
        <x:v>216100</x:v>
      </x:c>
      <x:c r="K294" t="str">
        <x:v>Avalancha</x:v>
      </x:c>
      <x:c r="L294" t="str">
        <x:v>Pagada</x:v>
      </x:c>
      <x:c r="M294" t="n">
        <x:v>0</x:v>
      </x:c>
      <x:c r="N294" t="n">
        <x:v>46235</x:v>
      </x:c>
    </x:row>
    <x:row r="295">
      <x:c r="A295" t="str">
        <x:v>DEU-000294</x:v>
      </x:c>
      <x:c r="B295" t="str">
        <x:v>USR-00152</x:v>
      </x:c>
      <x:c r="C295" t="n">
        <x:v>45809</x:v>
      </x:c>
      <x:c r="D295" t="str">
        <x:v>Entidad financiera B</x:v>
      </x:c>
      <x:c r="E295" t="str">
        <x:v>Crédito de vehículo</x:v>
      </x:c>
      <x:c r="F295" t="n">
        <x:v>13310000</x:v>
      </x:c>
      <x:c r="G295" s="40" t="n">
        <x:v>0.1993</x:v>
      </x:c>
      <x:c r="H295" s="40" t="n">
        <x:v>0.01526</x:v>
      </x:c>
      <x:c r="I295" t="n">
        <x:v>18</x:v>
      </x:c>
      <x:c r="J295" t="n">
        <x:v>851200</x:v>
      </x:c>
      <x:c r="K295" t="str">
        <x:v>Bola de nieve</x:v>
      </x:c>
      <x:c r="L295" t="str">
        <x:v>Vigente</x:v>
      </x:c>
      <x:c r="M295" t="n">
        <x:v>5925783.19</x:v>
      </x:c>
      <x:c r="N295"/>
    </x:row>
    <x:row r="296">
      <x:c r="A296" t="str">
        <x:v>DEU-000295</x:v>
      </x:c>
      <x:c r="B296" t="str">
        <x:v>USR-00152</x:v>
      </x:c>
      <x:c r="C296" t="n">
        <x:v>45809</x:v>
      </x:c>
      <x:c r="D296" t="str">
        <x:v>Cooperativa C</x:v>
      </x:c>
      <x:c r="E296" t="str">
        <x:v>Tarjeta de crédito</x:v>
      </x:c>
      <x:c r="F296" t="n">
        <x:v>3600000</x:v>
      </x:c>
      <x:c r="G296" s="40" t="n">
        <x:v>0.1362</x:v>
      </x:c>
      <x:c r="H296" s="40" t="n">
        <x:v>0.010698</x:v>
      </x:c>
      <x:c r="I296" t="n">
        <x:v>60</x:v>
      </x:c>
      <x:c r="J296" t="n">
        <x:v>81600</x:v>
      </x:c>
      <x:c r="K296" t="str">
        <x:v>Avalancha</x:v>
      </x:c>
      <x:c r="L296" t="str">
        <x:v>Vigente</x:v>
      </x:c>
      <x:c r="M296" t="n">
        <x:v>3229092.62</x:v>
      </x:c>
      <x:c r="N296"/>
    </x:row>
    <x:row r="297">
      <x:c r="A297" t="str">
        <x:v>DEU-000296</x:v>
      </x:c>
      <x:c r="B297" t="str">
        <x:v>USR-00153</x:v>
      </x:c>
      <x:c r="C297" t="n">
        <x:v>45809</x:v>
      </x:c>
      <x:c r="D297" t="str">
        <x:v>Entidad financiera E</x:v>
      </x:c>
      <x:c r="E297" t="str">
        <x:v>Crédito de consumo</x:v>
      </x:c>
      <x:c r="F297" t="n">
        <x:v>13720000</x:v>
      </x:c>
      <x:c r="G297" s="40" t="n">
        <x:v>0.1964</x:v>
      </x:c>
      <x:c r="H297" s="40" t="n">
        <x:v>0.015055</x:v>
      </x:c>
      <x:c r="I297" t="n">
        <x:v>36</x:v>
      </x:c>
      <x:c r="J297" t="n">
        <x:v>496500</x:v>
      </x:c>
      <x:c r="K297" t="str">
        <x:v>Bola de nieve</x:v>
      </x:c>
      <x:c r="L297" t="str">
        <x:v>Vigente</x:v>
      </x:c>
      <x:c r="M297" t="n">
        <x:v>9679569.62</x:v>
      </x:c>
      <x:c r="N297"/>
    </x:row>
    <x:row r="298">
      <x:c r="A298" t="str">
        <x:v>DEU-000297</x:v>
      </x:c>
      <x:c r="B298" t="str">
        <x:v>USR-00154</x:v>
      </x:c>
      <x:c r="C298" t="n">
        <x:v>45809</x:v>
      </x:c>
      <x:c r="D298" t="str">
        <x:v>Entidad financiera E</x:v>
      </x:c>
      <x:c r="E298" t="str">
        <x:v>Crédito de consumo</x:v>
      </x:c>
      <x:c r="F298" t="n">
        <x:v>14640000</x:v>
      </x:c>
      <x:c r="G298" s="40" t="n">
        <x:v>0.3053</x:v>
      </x:c>
      <x:c r="H298" s="40" t="n">
        <x:v>0.022451</x:v>
      </x:c>
      <x:c r="I298" t="n">
        <x:v>36</x:v>
      </x:c>
      <x:c r="J298" t="n">
        <x:v>597200</x:v>
      </x:c>
      <x:c r="K298" t="str">
        <x:v>Bola de nieve</x:v>
      </x:c>
      <x:c r="L298" t="str">
        <x:v>Vigente</x:v>
      </x:c>
      <x:c r="M298" t="n">
        <x:v>13139171.31</x:v>
      </x:c>
      <x:c r="N298"/>
    </x:row>
    <x:row r="299">
      <x:c r="A299" t="str">
        <x:v>DEU-000298</x:v>
      </x:c>
      <x:c r="B299" t="str">
        <x:v>USR-00154</x:v>
      </x:c>
      <x:c r="C299" t="n">
        <x:v>45809</x:v>
      </x:c>
      <x:c r="D299" t="str">
        <x:v>Entidad financiera B</x:v>
      </x:c>
      <x:c r="E299" t="str">
        <x:v>Tarjeta de crédito</x:v>
      </x:c>
      <x:c r="F299" t="n">
        <x:v>6610000</x:v>
      </x:c>
      <x:c r="G299" s="40" t="n">
        <x:v>0.2089</x:v>
      </x:c>
      <x:c r="H299" s="40" t="n">
        <x:v>0.015935</x:v>
      </x:c>
      <x:c r="I299" t="n">
        <x:v>12</x:v>
      </x:c>
      <x:c r="J299" t="n">
        <x:v>609500</x:v>
      </x:c>
      <x:c r="K299" t="str">
        <x:v>Avalancha</x:v>
      </x:c>
      <x:c r="L299" t="str">
        <x:v>Pagada</x:v>
      </x:c>
      <x:c r="M299" t="n">
        <x:v>0</x:v>
      </x:c>
      <x:c r="N299" t="n">
        <x:v>46204</x:v>
      </x:c>
    </x:row>
    <x:row r="300">
      <x:c r="A300" t="str">
        <x:v>DEU-000299</x:v>
      </x:c>
      <x:c r="B300" t="str">
        <x:v>USR-00155</x:v>
      </x:c>
      <x:c r="C300" t="n">
        <x:v>45809</x:v>
      </x:c>
      <x:c r="D300" t="str">
        <x:v>Entidad financiera E</x:v>
      </x:c>
      <x:c r="E300" t="str">
        <x:v>Crédito de vehículo</x:v>
      </x:c>
      <x:c r="F300" t="n">
        <x:v>26650000</x:v>
      </x:c>
      <x:c r="G300" s="40" t="n">
        <x:v>0.273</x:v>
      </x:c>
      <x:c r="H300" s="40" t="n">
        <x:v>0.020318</x:v>
      </x:c>
      <x:c r="I300" t="n">
        <x:v>18</x:v>
      </x:c>
      <x:c r="J300" t="n">
        <x:v>1782600</x:v>
      </x:c>
      <x:c r="K300" t="str">
        <x:v>Avalancha</x:v>
      </x:c>
      <x:c r="L300" t="str">
        <x:v>Vigente</x:v>
      </x:c>
      <x:c r="M300" t="n">
        <x:v>6319692.01</x:v>
      </x:c>
      <x:c r="N300"/>
    </x:row>
    <x:row r="301">
      <x:c r="A301" t="str">
        <x:v>DEU-000300</x:v>
      </x:c>
      <x:c r="B301" t="str">
        <x:v>USR-00156</x:v>
      </x:c>
      <x:c r="C301" t="n">
        <x:v>45809</x:v>
      </x:c>
      <x:c r="D301" t="str">
        <x:v>Entidad financiera E</x:v>
      </x:c>
      <x:c r="E301" t="str">
        <x:v>Tarjeta de crédito</x:v>
      </x:c>
      <x:c r="F301" t="n">
        <x:v>2230000</x:v>
      </x:c>
      <x:c r="G301" s="40" t="n">
        <x:v>0.2173</x:v>
      </x:c>
      <x:c r="H301" s="40" t="n">
        <x:v>0.016521</x:v>
      </x:c>
      <x:c r="I301" t="n">
        <x:v>48</x:v>
      </x:c>
      <x:c r="J301" t="n">
        <x:v>67700</x:v>
      </x:c>
      <x:c r="K301" t="str">
        <x:v>Bola de nieve</x:v>
      </x:c>
      <x:c r="L301" t="str">
        <x:v>Vigente</x:v>
      </x:c>
      <x:c r="M301" t="n">
        <x:v>1967753.02</x:v>
      </x:c>
      <x:c r="N301"/>
    </x:row>
    <x:row r="302">
      <x:c r="A302" t="str">
        <x:v>DEU-000301</x:v>
      </x:c>
      <x:c r="B302" t="str">
        <x:v>USR-00156</x:v>
      </x:c>
      <x:c r="C302" t="n">
        <x:v>45809</x:v>
      </x:c>
      <x:c r="D302" t="str">
        <x:v>Financiera D</x:v>
      </x:c>
      <x:c r="E302" t="str">
        <x:v>Tarjeta de crédito</x:v>
      </x:c>
      <x:c r="F302" t="n">
        <x:v>4800000</x:v>
      </x:c>
      <x:c r="G302" s="40" t="n">
        <x:v>0.1209</x:v>
      </x:c>
      <x:c r="H302" s="40" t="n">
        <x:v>0.009556</x:v>
      </x:c>
      <x:c r="I302" t="n">
        <x:v>60</x:v>
      </x:c>
      <x:c r="J302" t="n">
        <x:v>105500</x:v>
      </x:c>
      <x:c r="K302" t="str">
        <x:v>Avalancha</x:v>
      </x:c>
      <x:c r="L302" t="str">
        <x:v>Vigente</x:v>
      </x:c>
      <x:c r="M302" t="n">
        <x:v>4432357.74</x:v>
      </x:c>
      <x:c r="N302"/>
    </x:row>
    <x:row r="303">
      <x:c r="A303" t="str">
        <x:v>DEU-000302</x:v>
      </x:c>
      <x:c r="B303" t="str">
        <x:v>USR-00157</x:v>
      </x:c>
      <x:c r="C303" t="n">
        <x:v>45809</x:v>
      </x:c>
      <x:c r="D303" t="str">
        <x:v>Financiera D</x:v>
      </x:c>
      <x:c r="E303" t="str">
        <x:v>Crédito de consumo</x:v>
      </x:c>
      <x:c r="F303" t="n">
        <x:v>12120000</x:v>
      </x:c>
      <x:c r="G303" s="40" t="n">
        <x:v>0.3311</x:v>
      </x:c>
      <x:c r="H303" s="40" t="n">
        <x:v>0.02412</x:v>
      </x:c>
      <x:c r="I303" t="n">
        <x:v>36</x:v>
      </x:c>
      <x:c r="J303" t="n">
        <x:v>507500</x:v>
      </x:c>
      <x:c r="K303" t="str">
        <x:v>Bola de nieve</x:v>
      </x:c>
      <x:c r="L303" t="str">
        <x:v>Vigente</x:v>
      </x:c>
      <x:c r="M303" t="n">
        <x:v>9558075.4</x:v>
      </x:c>
      <x:c r="N303"/>
    </x:row>
    <x:row r="304">
      <x:c r="A304" t="str">
        <x:v>DEU-000303</x:v>
      </x:c>
      <x:c r="B304" t="str">
        <x:v>USR-00158</x:v>
      </x:c>
      <x:c r="C304" t="n">
        <x:v>45809</x:v>
      </x:c>
      <x:c r="D304" t="str">
        <x:v>Entidad financiera E</x:v>
      </x:c>
      <x:c r="E304" t="str">
        <x:v>Tarjeta de crédito</x:v>
      </x:c>
      <x:c r="F304" t="n">
        <x:v>4710000</x:v>
      </x:c>
      <x:c r="G304" s="40" t="n">
        <x:v>0.2192</x:v>
      </x:c>
      <x:c r="H304" s="40" t="n">
        <x:v>0.016653</x:v>
      </x:c>
      <x:c r="I304" t="n">
        <x:v>60</x:v>
      </x:c>
      <x:c r="J304" t="n">
        <x:v>124700</x:v>
      </x:c>
      <x:c r="K304" t="str">
        <x:v>Bola de nieve</x:v>
      </x:c>
      <x:c r="L304" t="str">
        <x:v>Vigente</x:v>
      </x:c>
      <x:c r="M304" t="n">
        <x:v>4102012.41</x:v>
      </x:c>
      <x:c r="N304"/>
    </x:row>
    <x:row r="305">
      <x:c r="A305" t="str">
        <x:v>DEU-000304</x:v>
      </x:c>
      <x:c r="B305" t="str">
        <x:v>USR-00158</x:v>
      </x:c>
      <x:c r="C305" t="n">
        <x:v>45809</x:v>
      </x:c>
      <x:c r="D305" t="str">
        <x:v>Entidad financiera A</x:v>
      </x:c>
      <x:c r="E305" t="str">
        <x:v>Tarjeta de crédito</x:v>
      </x:c>
      <x:c r="F305" t="n">
        <x:v>8020000</x:v>
      </x:c>
      <x:c r="G305" s="40" t="n">
        <x:v>0.2199</x:v>
      </x:c>
      <x:c r="H305" s="40" t="n">
        <x:v>0.016702</x:v>
      </x:c>
      <x:c r="I305" t="n">
        <x:v>18</x:v>
      </x:c>
      <x:c r="J305" t="n">
        <x:v>519600</x:v>
      </x:c>
      <x:c r="K305" t="str">
        <x:v>Bola de nieve</x:v>
      </x:c>
      <x:c r="L305" t="str">
        <x:v>Vigente</x:v>
      </x:c>
      <x:c r="M305" t="n">
        <x:v>2723205.56</x:v>
      </x:c>
      <x:c r="N305"/>
    </x:row>
    <x:row r="306">
      <x:c r="A306" t="str">
        <x:v>DEU-000305</x:v>
      </x:c>
      <x:c r="B306" t="str">
        <x:v>USR-00159</x:v>
      </x:c>
      <x:c r="C306" t="n">
        <x:v>45809</x:v>
      </x:c>
      <x:c r="D306" t="str">
        <x:v>Entidad financiera E</x:v>
      </x:c>
      <x:c r="E306" t="str">
        <x:v>Crédito de consumo</x:v>
      </x:c>
      <x:c r="F306" t="n">
        <x:v>15790000</x:v>
      </x:c>
      <x:c r="G306" s="40" t="n">
        <x:v>0.1879</x:v>
      </x:c>
      <x:c r="H306" s="40" t="n">
        <x:v>0.014452</x:v>
      </x:c>
      <x:c r="I306" t="n">
        <x:v>30</x:v>
      </x:c>
      <x:c r="J306" t="n">
        <x:v>652400</x:v>
      </x:c>
      <x:c r="K306" t="str">
        <x:v>Avalancha</x:v>
      </x:c>
      <x:c r="L306" t="str">
        <x:v>Vigente</x:v>
      </x:c>
      <x:c r="M306" t="n">
        <x:v>11391852.97</x:v>
      </x:c>
      <x:c r="N306"/>
    </x:row>
    <x:row r="307">
      <x:c r="A307" t="str">
        <x:v>DEU-000306</x:v>
      </x:c>
      <x:c r="B307" t="str">
        <x:v>USR-00159</x:v>
      </x:c>
      <x:c r="C307" t="n">
        <x:v>45809</x:v>
      </x:c>
      <x:c r="D307" t="str">
        <x:v>Entidad financiera A</x:v>
      </x:c>
      <x:c r="E307" t="str">
        <x:v>Crédito educativo</x:v>
      </x:c>
      <x:c r="F307" t="n">
        <x:v>24960000</x:v>
      </x:c>
      <x:c r="G307" s="40" t="n">
        <x:v>0.2151</x:v>
      </x:c>
      <x:c r="H307" s="40" t="n">
        <x:v>0.016368</x:v>
      </x:c>
      <x:c r="I307" t="n">
        <x:v>12</x:v>
      </x:c>
      <x:c r="J307" t="n">
        <x:v>2307900</x:v>
      </x:c>
      <x:c r="K307" t="str">
        <x:v>Bola de nieve</x:v>
      </x:c>
      <x:c r="L307" t="str">
        <x:v>Pagada</x:v>
      </x:c>
      <x:c r="M307" t="n">
        <x:v>0</x:v>
      </x:c>
      <x:c r="N307" t="n">
        <x:v>46204</x:v>
      </x:c>
    </x:row>
    <x:row r="308">
      <x:c r="A308" t="str">
        <x:v>DEU-000307</x:v>
      </x:c>
      <x:c r="B308" t="str">
        <x:v>USR-00160</x:v>
      </x:c>
      <x:c r="C308" t="n">
        <x:v>45809</x:v>
      </x:c>
      <x:c r="D308" t="str">
        <x:v>Financiera D</x:v>
      </x:c>
      <x:c r="E308" t="str">
        <x:v>Crédito de consumo</x:v>
      </x:c>
      <x:c r="F308" t="n">
        <x:v>3340000</x:v>
      </x:c>
      <x:c r="G308" s="40" t="n">
        <x:v>0.3016</x:v>
      </x:c>
      <x:c r="H308" s="40" t="n">
        <x:v>0.022209</x:v>
      </x:c>
      <x:c r="I308" t="n">
        <x:v>30</x:v>
      </x:c>
      <x:c r="J308" t="n">
        <x:v>153700</x:v>
      </x:c>
      <x:c r="K308" t="str">
        <x:v>Bola de nieve</x:v>
      </x:c>
      <x:c r="L308" t="str">
        <x:v>Vigente</x:v>
      </x:c>
      <x:c r="M308" t="n">
        <x:v>2165181.6</x:v>
      </x:c>
      <x:c r="N308"/>
    </x:row>
    <x:row r="309">
      <x:c r="A309" t="str">
        <x:v>DEU-000308</x:v>
      </x:c>
      <x:c r="B309" t="str">
        <x:v>USR-00160</x:v>
      </x:c>
      <x:c r="C309" t="n">
        <x:v>45809</x:v>
      </x:c>
      <x:c r="D309" t="str">
        <x:v>Entidad financiera B</x:v>
      </x:c>
      <x:c r="E309" t="str">
        <x:v>Tarjeta de crédito</x:v>
      </x:c>
      <x:c r="F309" t="n">
        <x:v>750000</x:v>
      </x:c>
      <x:c r="G309" s="40" t="n">
        <x:v>0.1734</x:v>
      </x:c>
      <x:c r="H309" s="40" t="n">
        <x:v>0.013415</x:v>
      </x:c>
      <x:c r="I309" t="n">
        <x:v>24</x:v>
      </x:c>
      <x:c r="J309" t="n">
        <x:v>36800</x:v>
      </x:c>
      <x:c r="K309" t="str">
        <x:v>Bola de nieve</x:v>
      </x:c>
      <x:c r="L309" t="str">
        <x:v>Vigente</x:v>
      </x:c>
      <x:c r="M309" t="n">
        <x:v>317824.15</x:v>
      </x:c>
      <x:c r="N309"/>
    </x:row>
    <x:row r="310">
      <x:c r="A310" t="str">
        <x:v>DEU-000309</x:v>
      </x:c>
      <x:c r="B310" t="str">
        <x:v>USR-00161</x:v>
      </x:c>
      <x:c r="C310" t="n">
        <x:v>45809</x:v>
      </x:c>
      <x:c r="D310" t="str">
        <x:v>Entidad financiera E</x:v>
      </x:c>
      <x:c r="E310" t="str">
        <x:v>Crédito de consumo</x:v>
      </x:c>
      <x:c r="F310" t="n">
        <x:v>18570000</x:v>
      </x:c>
      <x:c r="G310" s="40" t="n">
        <x:v>0.3134</x:v>
      </x:c>
      <x:c r="H310" s="40" t="n">
        <x:v>0.022978</x:v>
      </x:c>
      <x:c r="I310" t="n">
        <x:v>30</x:v>
      </x:c>
      <x:c r="J310" t="n">
        <x:v>863500</x:v>
      </x:c>
      <x:c r="K310" t="str">
        <x:v>Avalancha</x:v>
      </x:c>
      <x:c r="L310" t="str">
        <x:v>Vigente</x:v>
      </x:c>
      <x:c r="M310" t="n">
        <x:v>13036152.86</x:v>
      </x:c>
      <x:c r="N310"/>
    </x:row>
    <x:row r="311">
      <x:c r="A311" t="str">
        <x:v>DEU-000310</x:v>
      </x:c>
      <x:c r="B311" t="str">
        <x:v>USR-00162</x:v>
      </x:c>
      <x:c r="C311" t="n">
        <x:v>45809</x:v>
      </x:c>
      <x:c r="D311" t="str">
        <x:v>Cooperativa C</x:v>
      </x:c>
      <x:c r="E311" t="str">
        <x:v>Crédito de vehículo</x:v>
      </x:c>
      <x:c r="F311" t="n">
        <x:v>56490000</x:v>
      </x:c>
      <x:c r="G311" s="40" t="n">
        <x:v>0.3136</x:v>
      </x:c>
      <x:c r="H311" s="40" t="n">
        <x:v>0.022991</x:v>
      </x:c>
      <x:c r="I311" t="n">
        <x:v>36</x:v>
      </x:c>
      <x:c r="J311" t="n">
        <x:v>2324100</x:v>
      </x:c>
      <x:c r="K311" t="str">
        <x:v>Bola de nieve</x:v>
      </x:c>
      <x:c r="L311" t="str">
        <x:v>Vigente</x:v>
      </x:c>
      <x:c r="M311" t="n">
        <x:v>52392760.15</x:v>
      </x:c>
      <x:c r="N311"/>
    </x:row>
    <x:row r="312">
      <x:c r="A312" t="str">
        <x:v>DEU-000311</x:v>
      </x:c>
      <x:c r="B312" t="str">
        <x:v>USR-00163</x:v>
      </x:c>
      <x:c r="C312" t="n">
        <x:v>45809</x:v>
      </x:c>
      <x:c r="D312" t="str">
        <x:v>Entidad financiera B</x:v>
      </x:c>
      <x:c r="E312" t="str">
        <x:v>Crédito de libre inversión</x:v>
      </x:c>
      <x:c r="F312" t="n">
        <x:v>10700000</x:v>
      </x:c>
      <x:c r="G312" s="40" t="n">
        <x:v>0.1077</x:v>
      </x:c>
      <x:c r="H312" s="40" t="n">
        <x:v>0.00856</x:v>
      </x:c>
      <x:c r="I312" t="n">
        <x:v>36</x:v>
      </x:c>
      <x:c r="J312" t="n">
        <x:v>346600</x:v>
      </x:c>
      <x:c r="K312" t="str">
        <x:v>Avalancha</x:v>
      </x:c>
      <x:c r="L312" t="str">
        <x:v>Vigente</x:v>
      </x:c>
      <x:c r="M312" t="n">
        <x:v>8446837.78</x:v>
      </x:c>
      <x:c r="N312"/>
    </x:row>
    <x:row r="313">
      <x:c r="A313" t="str">
        <x:v>DEU-000312</x:v>
      </x:c>
      <x:c r="B313" t="str">
        <x:v>USR-00163</x:v>
      </x:c>
      <x:c r="C313" t="n">
        <x:v>45809</x:v>
      </x:c>
      <x:c r="D313" t="str">
        <x:v>Entidad financiera E</x:v>
      </x:c>
      <x:c r="E313" t="str">
        <x:v>Crédito de libre inversión</x:v>
      </x:c>
      <x:c r="F313" t="n">
        <x:v>7930000</x:v>
      </x:c>
      <x:c r="G313" s="40" t="n">
        <x:v>0.1445</x:v>
      </x:c>
      <x:c r="H313" s="40" t="n">
        <x:v>0.011311</x:v>
      </x:c>
      <x:c r="I313" t="n">
        <x:v>48</x:v>
      </x:c>
      <x:c r="J313" t="n">
        <x:v>215000</x:v>
      </x:c>
      <x:c r="K313" t="str">
        <x:v>Bola de nieve</x:v>
      </x:c>
      <x:c r="L313" t="str">
        <x:v>Vigente</x:v>
      </x:c>
      <x:c r="M313" t="n">
        <x:v>7197256.31</x:v>
      </x:c>
      <x:c r="N313"/>
    </x:row>
    <x:row r="314">
      <x:c r="A314" t="str">
        <x:v>DEU-000313</x:v>
      </x:c>
      <x:c r="B314" t="str">
        <x:v>USR-00164</x:v>
      </x:c>
      <x:c r="C314" t="n">
        <x:v>45809</x:v>
      </x:c>
      <x:c r="D314" t="str">
        <x:v>Cooperativa C</x:v>
      </x:c>
      <x:c r="E314" t="str">
        <x:v>Tarjeta de crédito</x:v>
      </x:c>
      <x:c r="F314" t="n">
        <x:v>7370000</x:v>
      </x:c>
      <x:c r="G314" s="40" t="n">
        <x:v>0.1709</x:v>
      </x:c>
      <x:c r="H314" s="40" t="n">
        <x:v>0.013235</x:v>
      </x:c>
      <x:c r="I314" t="n">
        <x:v>24</x:v>
      </x:c>
      <x:c r="J314" t="n">
        <x:v>360400</x:v>
      </x:c>
      <x:c r="K314" t="str">
        <x:v>Avalancha</x:v>
      </x:c>
      <x:c r="L314" t="str">
        <x:v>Vigente</x:v>
      </x:c>
      <x:c r="M314" t="n">
        <x:v>4460621.72</x:v>
      </x:c>
      <x:c r="N314"/>
    </x:row>
    <x:row r="315">
      <x:c r="A315" t="str">
        <x:v>DEU-000314</x:v>
      </x:c>
      <x:c r="B315" t="str">
        <x:v>USR-00165</x:v>
      </x:c>
      <x:c r="C315" t="n">
        <x:v>45809</x:v>
      </x:c>
      <x:c r="D315" t="str">
        <x:v>Entidad financiera B</x:v>
      </x:c>
      <x:c r="E315" t="str">
        <x:v>Crédito de consumo</x:v>
      </x:c>
      <x:c r="F315" t="n">
        <x:v>13130000</x:v>
      </x:c>
      <x:c r="G315" s="40" t="n">
        <x:v>0.1333</x:v>
      </x:c>
      <x:c r="H315" s="40" t="n">
        <x:v>0.010482</x:v>
      </x:c>
      <x:c r="I315" t="n">
        <x:v>18</x:v>
      </x:c>
      <x:c r="J315" t="n">
        <x:v>804200</x:v>
      </x:c>
      <x:c r="K315" t="str">
        <x:v>Bola de nieve</x:v>
      </x:c>
      <x:c r="L315" t="str">
        <x:v>Vigente</x:v>
      </x:c>
      <x:c r="M315" t="n">
        <x:v>6217853.36</x:v>
      </x:c>
      <x:c r="N315"/>
    </x:row>
    <x:row r="316">
      <x:c r="A316" t="str">
        <x:v>DEU-000315</x:v>
      </x:c>
      <x:c r="B316" t="str">
        <x:v>USR-00166</x:v>
      </x:c>
      <x:c r="C316" t="n">
        <x:v>45809</x:v>
      </x:c>
      <x:c r="D316" t="str">
        <x:v>Entidad financiera B</x:v>
      </x:c>
      <x:c r="E316" t="str">
        <x:v>Crédito de consumo</x:v>
      </x:c>
      <x:c r="F316" t="n">
        <x:v>18250000</x:v>
      </x:c>
      <x:c r="G316" s="40" t="n">
        <x:v>0.1523</x:v>
      </x:c>
      <x:c r="H316" s="40" t="n">
        <x:v>0.011883</x:v>
      </x:c>
      <x:c r="I316" t="n">
        <x:v>24</x:v>
      </x:c>
      <x:c r="J316" t="n">
        <x:v>878500</x:v>
      </x:c>
      <x:c r="K316" t="str">
        <x:v>Avalancha</x:v>
      </x:c>
      <x:c r="L316" t="str">
        <x:v>Vigente</x:v>
      </x:c>
      <x:c r="M316" t="n">
        <x:v>10950136.69</x:v>
      </x:c>
      <x:c r="N316"/>
    </x:row>
    <x:row r="317">
      <x:c r="A317" t="str">
        <x:v>DEU-000316</x:v>
      </x:c>
      <x:c r="B317" t="str">
        <x:v>USR-00166</x:v>
      </x:c>
      <x:c r="C317" t="n">
        <x:v>45809</x:v>
      </x:c>
      <x:c r="D317" t="str">
        <x:v>Entidad financiera A</x:v>
      </x:c>
      <x:c r="E317" t="str">
        <x:v>Crédito de consumo</x:v>
      </x:c>
      <x:c r="F317" t="n">
        <x:v>16780000</x:v>
      </x:c>
      <x:c r="G317" s="40" t="n">
        <x:v>0.2118</x:v>
      </x:c>
      <x:c r="H317" s="40" t="n">
        <x:v>0.016138</x:v>
      </x:c>
      <x:c r="I317" t="n">
        <x:v>30</x:v>
      </x:c>
      <x:c r="J317" t="n">
        <x:v>710000</x:v>
      </x:c>
      <x:c r="K317" t="str">
        <x:v>Bola de nieve</x:v>
      </x:c>
      <x:c r="L317" t="str">
        <x:v>Vigente</x:v>
      </x:c>
      <x:c r="M317" t="n">
        <x:v>13422937.66</x:v>
      </x:c>
      <x:c r="N317"/>
    </x:row>
    <x:row r="318">
      <x:c r="A318" t="str">
        <x:v>DEU-000317</x:v>
      </x:c>
      <x:c r="B318" t="str">
        <x:v>USR-00167</x:v>
      </x:c>
      <x:c r="C318" t="n">
        <x:v>45809</x:v>
      </x:c>
      <x:c r="D318" t="str">
        <x:v>Entidad financiera E</x:v>
      </x:c>
      <x:c r="E318" t="str">
        <x:v>Crédito de consumo</x:v>
      </x:c>
      <x:c r="F318" t="n">
        <x:v>2420000</x:v>
      </x:c>
      <x:c r="G318" s="40" t="n">
        <x:v>0.1348</x:v>
      </x:c>
      <x:c r="H318" s="40" t="n">
        <x:v>0.010594</x:v>
      </x:c>
      <x:c r="I318" t="n">
        <x:v>48</x:v>
      </x:c>
      <x:c r="J318" t="n">
        <x:v>64600</x:v>
      </x:c>
      <x:c r="K318" t="str">
        <x:v>Avalancha</x:v>
      </x:c>
      <x:c r="L318" t="str">
        <x:v>Vigente</x:v>
      </x:c>
      <x:c r="M318" t="n">
        <x:v>1902928.08</x:v>
      </x:c>
      <x:c r="N318"/>
    </x:row>
    <x:row r="319">
      <x:c r="A319" t="str">
        <x:v>DEU-000318</x:v>
      </x:c>
      <x:c r="B319" t="str">
        <x:v>USR-00167</x:v>
      </x:c>
      <x:c r="C319" t="n">
        <x:v>45809</x:v>
      </x:c>
      <x:c r="D319" t="str">
        <x:v>Entidad financiera B</x:v>
      </x:c>
      <x:c r="E319" t="str">
        <x:v>Tarjeta de crédito</x:v>
      </x:c>
      <x:c r="F319" t="n">
        <x:v>4870000</x:v>
      </x:c>
      <x:c r="G319" s="40" t="n">
        <x:v>0.2856</x:v>
      </x:c>
      <x:c r="H319" s="40" t="n">
        <x:v>0.021156</x:v>
      </x:c>
      <x:c r="I319" t="n">
        <x:v>30</x:v>
      </x:c>
      <x:c r="J319" t="n">
        <x:v>220900</x:v>
      </x:c>
      <x:c r="K319" t="str">
        <x:v>Avalancha</x:v>
      </x:c>
      <x:c r="L319" t="str">
        <x:v>Vigente</x:v>
      </x:c>
      <x:c r="M319" t="n">
        <x:v>4511012.52</x:v>
      </x:c>
      <x:c r="N319"/>
    </x:row>
    <x:row r="320">
      <x:c r="A320" t="str">
        <x:v>DEU-000319</x:v>
      </x:c>
      <x:c r="B320" t="str">
        <x:v>USR-00168</x:v>
      </x:c>
      <x:c r="C320" t="n">
        <x:v>45809</x:v>
      </x:c>
      <x:c r="D320" t="str">
        <x:v>Cooperativa C</x:v>
      </x:c>
      <x:c r="E320" t="str">
        <x:v>Crédito de consumo</x:v>
      </x:c>
      <x:c r="F320" t="n">
        <x:v>17040000</x:v>
      </x:c>
      <x:c r="G320" s="40" t="n">
        <x:v>0.121</x:v>
      </x:c>
      <x:c r="H320" s="40" t="n">
        <x:v>0.009564</x:v>
      </x:c>
      <x:c r="I320" t="n">
        <x:v>24</x:v>
      </x:c>
      <x:c r="J320" t="n">
        <x:v>798000</x:v>
      </x:c>
      <x:c r="K320" t="str">
        <x:v>Avalancha</x:v>
      </x:c>
      <x:c r="L320" t="str">
        <x:v>Vigente</x:v>
      </x:c>
      <x:c r="M320" t="n">
        <x:v>12955987.77</x:v>
      </x:c>
      <x:c r="N320"/>
    </x:row>
    <x:row r="321">
      <x:c r="A321" t="str">
        <x:v>DEU-000320</x:v>
      </x:c>
      <x:c r="B321" t="str">
        <x:v>USR-00168</x:v>
      </x:c>
      <x:c r="C321" t="n">
        <x:v>45809</x:v>
      </x:c>
      <x:c r="D321" t="str">
        <x:v>Entidad financiera E</x:v>
      </x:c>
      <x:c r="E321" t="str">
        <x:v>Tarjeta de crédito</x:v>
      </x:c>
      <x:c r="F321" t="n">
        <x:v>3740000</x:v>
      </x:c>
      <x:c r="G321" s="40" t="n">
        <x:v>0.1835</x:v>
      </x:c>
      <x:c r="H321" s="40" t="n">
        <x:v>0.014139</x:v>
      </x:c>
      <x:c r="I321" t="n">
        <x:v>12</x:v>
      </x:c>
      <x:c r="J321" t="n">
        <x:v>341000</x:v>
      </x:c>
      <x:c r="K321" t="str">
        <x:v>Avalancha</x:v>
      </x:c>
      <x:c r="L321" t="str">
        <x:v>Pagada</x:v>
      </x:c>
      <x:c r="M321" t="n">
        <x:v>0</x:v>
      </x:c>
      <x:c r="N321" t="n">
        <x:v>46235</x:v>
      </x:c>
    </x:row>
    <x:row r="322">
      <x:c r="A322" t="str">
        <x:v>DEU-000321</x:v>
      </x:c>
      <x:c r="B322" t="str">
        <x:v>USR-00168</x:v>
      </x:c>
      <x:c r="C322" t="n">
        <x:v>45809</x:v>
      </x:c>
      <x:c r="D322" t="str">
        <x:v>Cooperativa C</x:v>
      </x:c>
      <x:c r="E322" t="str">
        <x:v>Crédito de consumo</x:v>
      </x:c>
      <x:c r="F322" t="n">
        <x:v>3650000</x:v>
      </x:c>
      <x:c r="G322" s="40" t="n">
        <x:v>0.1786</x:v>
      </x:c>
      <x:c r="H322" s="40" t="n">
        <x:v>0.013788</x:v>
      </x:c>
      <x:c r="I322" t="n">
        <x:v>36</x:v>
      </x:c>
      <x:c r="J322" t="n">
        <x:v>129300</x:v>
      </x:c>
      <x:c r="K322" t="str">
        <x:v>Avalancha</x:v>
      </x:c>
      <x:c r="L322" t="str">
        <x:v>Vigente</x:v>
      </x:c>
      <x:c r="M322" t="n">
        <x:v>2491446.73</x:v>
      </x:c>
      <x:c r="N322"/>
    </x:row>
    <x:row r="323">
      <x:c r="A323" t="str">
        <x:v>DEU-000322</x:v>
      </x:c>
      <x:c r="B323" t="str">
        <x:v>USR-00169</x:v>
      </x:c>
      <x:c r="C323" t="n">
        <x:v>45809</x:v>
      </x:c>
      <x:c r="D323" t="str">
        <x:v>Cooperativa C</x:v>
      </x:c>
      <x:c r="E323" t="str">
        <x:v>Tarjeta de crédito</x:v>
      </x:c>
      <x:c r="F323" t="n">
        <x:v>2680000</x:v>
      </x:c>
      <x:c r="G323" s="40" t="n">
        <x:v>0.1221</x:v>
      </x:c>
      <x:c r="H323" s="40" t="n">
        <x:v>0.009646</x:v>
      </x:c>
      <x:c r="I323" t="n">
        <x:v>60</x:v>
      </x:c>
      <x:c r="J323" t="n">
        <x:v>59000</x:v>
      </x:c>
      <x:c r="K323" t="str">
        <x:v>Bola de nieve</x:v>
      </x:c>
      <x:c r="L323" t="str">
        <x:v>Vigente</x:v>
      </x:c>
      <x:c r="M323" t="n">
        <x:v>2252789.43</x:v>
      </x:c>
      <x:c r="N323"/>
    </x:row>
    <x:row r="324">
      <x:c r="A324" t="str">
        <x:v>DEU-000323</x:v>
      </x:c>
      <x:c r="B324" t="str">
        <x:v>USR-00169</x:v>
      </x:c>
      <x:c r="C324" t="n">
        <x:v>45809</x:v>
      </x:c>
      <x:c r="D324" t="str">
        <x:v>Cooperativa C</x:v>
      </x:c>
      <x:c r="E324" t="str">
        <x:v>Crédito de consumo</x:v>
      </x:c>
      <x:c r="F324" t="n">
        <x:v>18440000</x:v>
      </x:c>
      <x:c r="G324" s="40" t="n">
        <x:v>0.3324</x:v>
      </x:c>
      <x:c r="H324" s="40" t="n">
        <x:v>0.024203</x:v>
      </x:c>
      <x:c r="I324" t="n">
        <x:v>18</x:v>
      </x:c>
      <x:c r="J324" t="n">
        <x:v>1275900</x:v>
      </x:c>
      <x:c r="K324" t="str">
        <x:v>Bola de nieve</x:v>
      </x:c>
      <x:c r="L324" t="str">
        <x:v>Vigente</x:v>
      </x:c>
      <x:c r="M324" t="n">
        <x:v>8397902.67</x:v>
      </x:c>
      <x:c r="N324"/>
    </x:row>
    <x:row r="325">
      <x:c r="A325" t="str">
        <x:v>DEU-000324</x:v>
      </x:c>
      <x:c r="B325" t="str">
        <x:v>USR-00170</x:v>
      </x:c>
      <x:c r="C325" t="n">
        <x:v>45809</x:v>
      </x:c>
      <x:c r="D325" t="str">
        <x:v>Financiera D</x:v>
      </x:c>
      <x:c r="E325" t="str">
        <x:v>Crédito educativo</x:v>
      </x:c>
      <x:c r="F325" t="n">
        <x:v>15960000</x:v>
      </x:c>
      <x:c r="G325" s="40" t="n">
        <x:v>0.1934</x:v>
      </x:c>
      <x:c r="H325" s="40" t="n">
        <x:v>0.014843</x:v>
      </x:c>
      <x:c r="I325" t="n">
        <x:v>24</x:v>
      </x:c>
      <x:c r="J325" t="n">
        <x:v>795300</x:v>
      </x:c>
      <x:c r="K325" t="str">
        <x:v>Avalancha</x:v>
      </x:c>
      <x:c r="L325" t="str">
        <x:v>Vigente</x:v>
      </x:c>
      <x:c r="M325" t="n">
        <x:v>11453004.69</x:v>
      </x:c>
      <x:c r="N325"/>
    </x:row>
    <x:row r="326">
      <x:c r="A326" t="str">
        <x:v>DEU-000325</x:v>
      </x:c>
      <x:c r="B326" t="str">
        <x:v>USR-00171</x:v>
      </x:c>
      <x:c r="C326" t="n">
        <x:v>45809</x:v>
      </x:c>
      <x:c r="D326" t="str">
        <x:v>Cooperativa C</x:v>
      </x:c>
      <x:c r="E326" t="str">
        <x:v>Tarjeta de crédito</x:v>
      </x:c>
      <x:c r="F326" t="n">
        <x:v>1410000</x:v>
      </x:c>
      <x:c r="G326" s="40" t="n">
        <x:v>0.2254</x:v>
      </x:c>
      <x:c r="H326" s="40" t="n">
        <x:v>0.017083</x:v>
      </x:c>
      <x:c r="I326" t="n">
        <x:v>18</x:v>
      </x:c>
      <x:c r="J326" t="n">
        <x:v>91700</x:v>
      </x:c>
      <x:c r="K326" t="str">
        <x:v>Avalancha</x:v>
      </x:c>
      <x:c r="L326" t="str">
        <x:v>Vigente</x:v>
      </x:c>
      <x:c r="M326" t="n">
        <x:v>634835.04</x:v>
      </x:c>
      <x:c r="N326"/>
    </x:row>
    <x:row r="327">
      <x:c r="A327" t="str">
        <x:v>DEU-000326</x:v>
      </x:c>
      <x:c r="B327" t="str">
        <x:v>USR-00172</x:v>
      </x:c>
      <x:c r="C327" t="n">
        <x:v>45809</x:v>
      </x:c>
      <x:c r="D327" t="str">
        <x:v>Entidad financiera E</x:v>
      </x:c>
      <x:c r="E327" t="str">
        <x:v>Crédito de vehículo</x:v>
      </x:c>
      <x:c r="F327" t="n">
        <x:v>21780000</x:v>
      </x:c>
      <x:c r="G327" s="40" t="n">
        <x:v>0.2995</x:v>
      </x:c>
      <x:c r="H327" s="40" t="n">
        <x:v>0.022072</x:v>
      </x:c>
      <x:c r="I327" t="n">
        <x:v>24</x:v>
      </x:c>
      <x:c r="J327" t="n">
        <x:v>1178700</x:v>
      </x:c>
      <x:c r="K327" t="str">
        <x:v>Bola de nieve</x:v>
      </x:c>
      <x:c r="L327" t="str">
        <x:v>Vigente</x:v>
      </x:c>
      <x:c r="M327" t="n">
        <x:v>21169815.36</x:v>
      </x:c>
      <x:c r="N327"/>
    </x:row>
    <x:row r="328">
      <x:c r="A328" t="str">
        <x:v>DEU-000327</x:v>
      </x:c>
      <x:c r="B328" t="str">
        <x:v>USR-00173</x:v>
      </x:c>
      <x:c r="C328" t="n">
        <x:v>45809</x:v>
      </x:c>
      <x:c r="D328" t="str">
        <x:v>Cooperativa C</x:v>
      </x:c>
      <x:c r="E328" t="str">
        <x:v>Tarjeta de crédito</x:v>
      </x:c>
      <x:c r="F328" t="n">
        <x:v>1960000</x:v>
      </x:c>
      <x:c r="G328" s="40" t="n">
        <x:v>0.1896</x:v>
      </x:c>
      <x:c r="H328" s="40" t="n">
        <x:v>0.014573</x:v>
      </x:c>
      <x:c r="I328" t="n">
        <x:v>48</x:v>
      </x:c>
      <x:c r="J328" t="n">
        <x:v>57100</x:v>
      </x:c>
      <x:c r="K328" t="str">
        <x:v>Bola de nieve</x:v>
      </x:c>
      <x:c r="L328" t="str">
        <x:v>Vigente</x:v>
      </x:c>
      <x:c r="M328" t="n">
        <x:v>1883380.94</x:v>
      </x:c>
      <x:c r="N328"/>
    </x:row>
    <x:row r="329">
      <x:c r="A329" t="str">
        <x:v>DEU-000328</x:v>
      </x:c>
      <x:c r="B329" t="str">
        <x:v>USR-00174</x:v>
      </x:c>
      <x:c r="C329" t="n">
        <x:v>45809</x:v>
      </x:c>
      <x:c r="D329" t="str">
        <x:v>Entidad financiera A</x:v>
      </x:c>
      <x:c r="E329" t="str">
        <x:v>Crédito de consumo</x:v>
      </x:c>
      <x:c r="F329" t="n">
        <x:v>12390000</x:v>
      </x:c>
      <x:c r="G329" s="40" t="n">
        <x:v>0.1522</x:v>
      </x:c>
      <x:c r="H329" s="40" t="n">
        <x:v>0.011876</x:v>
      </x:c>
      <x:c r="I329" t="n">
        <x:v>12</x:v>
      </x:c>
      <x:c r="J329" t="n">
        <x:v>1113900</x:v>
      </x:c>
      <x:c r="K329" t="str">
        <x:v>Avalancha</x:v>
      </x:c>
      <x:c r="L329" t="str">
        <x:v>Vigente</x:v>
      </x:c>
      <x:c r="M329" t="n">
        <x:v>232358.9</x:v>
      </x:c>
      <x:c r="N329"/>
    </x:row>
    <x:row r="330">
      <x:c r="A330" t="str">
        <x:v>DEU-000329</x:v>
      </x:c>
      <x:c r="B330" t="str">
        <x:v>USR-00174</x:v>
      </x:c>
      <x:c r="C330" t="n">
        <x:v>45809</x:v>
      </x:c>
      <x:c r="D330" t="str">
        <x:v>Entidad financiera A</x:v>
      </x:c>
      <x:c r="E330" t="str">
        <x:v>Crédito comercial</x:v>
      </x:c>
      <x:c r="F330" t="n">
        <x:v>7430000</x:v>
      </x:c>
      <x:c r="G330" s="40" t="n">
        <x:v>0.3153</x:v>
      </x:c>
      <x:c r="H330" s="40" t="n">
        <x:v>0.023102</x:v>
      </x:c>
      <x:c r="I330" t="n">
        <x:v>24</x:v>
      </x:c>
      <x:c r="J330" t="n">
        <x:v>406800</x:v>
      </x:c>
      <x:c r="K330" t="str">
        <x:v>Bola de nieve</x:v>
      </x:c>
      <x:c r="L330" t="str">
        <x:v>Vigente</x:v>
      </x:c>
      <x:c r="M330" t="n">
        <x:v>4975919.49</x:v>
      </x:c>
      <x:c r="N330"/>
    </x:row>
    <x:row r="331">
      <x:c r="A331" t="str">
        <x:v>DEU-000330</x:v>
      </x:c>
      <x:c r="B331" t="str">
        <x:v>USR-00175</x:v>
      </x:c>
      <x:c r="C331" t="n">
        <x:v>45809</x:v>
      </x:c>
      <x:c r="D331" t="str">
        <x:v>Entidad financiera B</x:v>
      </x:c>
      <x:c r="E331" t="str">
        <x:v>Crédito de vehículo</x:v>
      </x:c>
      <x:c r="F331" t="n">
        <x:v>30700000</x:v>
      </x:c>
      <x:c r="G331" s="40" t="n">
        <x:v>0.1068</x:v>
      </x:c>
      <x:c r="H331" s="40" t="n">
        <x:v>0.008492</x:v>
      </x:c>
      <x:c r="I331" t="n">
        <x:v>30</x:v>
      </x:c>
      <x:c r="J331" t="n">
        <x:v>1163500</x:v>
      </x:c>
      <x:c r="K331" t="str">
        <x:v>Bola de nieve</x:v>
      </x:c>
      <x:c r="L331" t="str">
        <x:v>Vigente</x:v>
      </x:c>
      <x:c r="M331" t="n">
        <x:v>24332355.11</x:v>
      </x:c>
      <x:c r="N331"/>
    </x:row>
    <x:row r="332">
      <x:c r="A332" t="str">
        <x:v>DEU-000331</x:v>
      </x:c>
      <x:c r="B332" t="str">
        <x:v>USR-00175</x:v>
      </x:c>
      <x:c r="C332" t="n">
        <x:v>45809</x:v>
      </x:c>
      <x:c r="D332" t="str">
        <x:v>Financiera D</x:v>
      </x:c>
      <x:c r="E332" t="str">
        <x:v>Tarjeta de crédito</x:v>
      </x:c>
      <x:c r="F332" t="n">
        <x:v>2980000</x:v>
      </x:c>
      <x:c r="G332" s="40" t="n">
        <x:v>0.2469</x:v>
      </x:c>
      <x:c r="H332" s="40" t="n">
        <x:v>0.018558</x:v>
      </x:c>
      <x:c r="I332" t="n">
        <x:v>60</x:v>
      </x:c>
      <x:c r="J332" t="n">
        <x:v>82800</x:v>
      </x:c>
      <x:c r="K332" t="str">
        <x:v>Avalancha</x:v>
      </x:c>
      <x:c r="L332" t="str">
        <x:v>Vigente</x:v>
      </x:c>
      <x:c r="M332" t="n">
        <x:v>2879258.46</x:v>
      </x:c>
      <x:c r="N332"/>
    </x:row>
    <x:row r="333">
      <x:c r="A333" t="str">
        <x:v>DEU-000332</x:v>
      </x:c>
      <x:c r="B333" t="str">
        <x:v>USR-00176</x:v>
      </x:c>
      <x:c r="C333" t="n">
        <x:v>45809</x:v>
      </x:c>
      <x:c r="D333" t="str">
        <x:v>Entidad financiera A</x:v>
      </x:c>
      <x:c r="E333" t="str">
        <x:v>Tarjeta de crédito</x:v>
      </x:c>
      <x:c r="F333" t="n">
        <x:v>3560000</x:v>
      </x:c>
      <x:c r="G333" s="40" t="n">
        <x:v>0.2009</x:v>
      </x:c>
      <x:c r="H333" s="40" t="n">
        <x:v>0.015373</x:v>
      </x:c>
      <x:c r="I333" t="n">
        <x:v>12</x:v>
      </x:c>
      <x:c r="J333" t="n">
        <x:v>327100</x:v>
      </x:c>
      <x:c r="K333" t="str">
        <x:v>Bola de nieve</x:v>
      </x:c>
      <x:c r="L333" t="str">
        <x:v>Vigente</x:v>
      </x:c>
      <x:c r="M333" t="n">
        <x:v>1296752.03</x:v>
      </x:c>
      <x:c r="N333"/>
    </x:row>
    <x:row r="334">
      <x:c r="A334" t="str">
        <x:v>DEU-000333</x:v>
      </x:c>
      <x:c r="B334" t="str">
        <x:v>USR-00176</x:v>
      </x:c>
      <x:c r="C334" t="n">
        <x:v>45809</x:v>
      </x:c>
      <x:c r="D334" t="str">
        <x:v>Entidad financiera B</x:v>
      </x:c>
      <x:c r="E334" t="str">
        <x:v>Crédito de vehículo</x:v>
      </x:c>
      <x:c r="F334" t="n">
        <x:v>43730000</x:v>
      </x:c>
      <x:c r="G334" s="40" t="n">
        <x:v>0.3312</x:v>
      </x:c>
      <x:c r="H334" s="40" t="n">
        <x:v>0.024127</x:v>
      </x:c>
      <x:c r="I334" t="n">
        <x:v>18</x:v>
      </x:c>
      <x:c r="J334" t="n">
        <x:v>3023800</x:v>
      </x:c>
      <x:c r="K334" t="str">
        <x:v>Bola de nieve</x:v>
      </x:c>
      <x:c r="L334" t="str">
        <x:v>Vigente</x:v>
      </x:c>
      <x:c r="M334" t="n">
        <x:v>34075660.23</x:v>
      </x:c>
      <x:c r="N334"/>
    </x:row>
    <x:row r="335">
      <x:c r="A335" t="str">
        <x:v>DEU-000334</x:v>
      </x:c>
      <x:c r="B335" t="str">
        <x:v>USR-00176</x:v>
      </x:c>
      <x:c r="C335" t="n">
        <x:v>45809</x:v>
      </x:c>
      <x:c r="D335" t="str">
        <x:v>Entidad financiera B</x:v>
      </x:c>
      <x:c r="E335" t="str">
        <x:v>Crédito comercial</x:v>
      </x:c>
      <x:c r="F335" t="n">
        <x:v>25870000</x:v>
      </x:c>
      <x:c r="G335" s="40" t="n">
        <x:v>0.3159</x:v>
      </x:c>
      <x:c r="H335" s="40" t="n">
        <x:v>0.02314</x:v>
      </x:c>
      <x:c r="I335" t="n">
        <x:v>30</x:v>
      </x:c>
      <x:c r="J335" t="n">
        <x:v>1205600</x:v>
      </x:c>
      <x:c r="K335" t="str">
        <x:v>Bola de nieve</x:v>
      </x:c>
      <x:c r="L335" t="str">
        <x:v>Vigente</x:v>
      </x:c>
      <x:c r="M335" t="n">
        <x:v>24344915.35</x:v>
      </x:c>
      <x:c r="N335"/>
    </x:row>
    <x:row r="336">
      <x:c r="A336" t="str">
        <x:v>DEU-000335</x:v>
      </x:c>
      <x:c r="B336" t="str">
        <x:v>USR-00176</x:v>
      </x:c>
      <x:c r="C336" t="n">
        <x:v>45809</x:v>
      </x:c>
      <x:c r="D336" t="str">
        <x:v>Entidad financiera E</x:v>
      </x:c>
      <x:c r="E336" t="str">
        <x:v>Tarjeta de crédito</x:v>
      </x:c>
      <x:c r="F336" t="n">
        <x:v>7240000</x:v>
      </x:c>
      <x:c r="G336" s="40" t="n">
        <x:v>0.3079</x:v>
      </x:c>
      <x:c r="H336" s="40" t="n">
        <x:v>0.022621</x:v>
      </x:c>
      <x:c r="I336" t="n">
        <x:v>24</x:v>
      </x:c>
      <x:c r="J336" t="n">
        <x:v>394200</x:v>
      </x:c>
      <x:c r="K336" t="str">
        <x:v>Avalancha</x:v>
      </x:c>
      <x:c r="L336" t="str">
        <x:v>Vigente</x:v>
      </x:c>
      <x:c r="M336" t="n">
        <x:v>3937292.17</x:v>
      </x:c>
      <x:c r="N336"/>
    </x:row>
    <x:row r="337">
      <x:c r="A337" t="str">
        <x:v>DEU-000336</x:v>
      </x:c>
      <x:c r="B337" t="str">
        <x:v>USR-00177</x:v>
      </x:c>
      <x:c r="C337" t="n">
        <x:v>45809</x:v>
      </x:c>
      <x:c r="D337" t="str">
        <x:v>Entidad financiera E</x:v>
      </x:c>
      <x:c r="E337" t="str">
        <x:v>Tarjeta de crédito</x:v>
      </x:c>
      <x:c r="F337" t="n">
        <x:v>1030000</x:v>
      </x:c>
      <x:c r="G337" s="40" t="n">
        <x:v>0.2652</x:v>
      </x:c>
      <x:c r="H337" s="40" t="n">
        <x:v>0.019796</x:v>
      </x:c>
      <x:c r="I337" t="n">
        <x:v>30</x:v>
      </x:c>
      <x:c r="J337" t="n">
        <x:v>45900</x:v>
      </x:c>
      <x:c r="K337" t="str">
        <x:v>Bola de nieve</x:v>
      </x:c>
      <x:c r="L337" t="str">
        <x:v>Vigente</x:v>
      </x:c>
      <x:c r="M337" t="n">
        <x:v>783168.13</x:v>
      </x:c>
      <x:c r="N337"/>
    </x:row>
    <x:row r="338">
      <x:c r="A338" t="str">
        <x:v>DEU-000337</x:v>
      </x:c>
      <x:c r="B338" t="str">
        <x:v>USR-00177</x:v>
      </x:c>
      <x:c r="C338" t="n">
        <x:v>45809</x:v>
      </x:c>
      <x:c r="D338" t="str">
        <x:v>Entidad financiera E</x:v>
      </x:c>
      <x:c r="E338" t="str">
        <x:v>Tarjeta de crédito</x:v>
      </x:c>
      <x:c r="F338" t="n">
        <x:v>2520000</x:v>
      </x:c>
      <x:c r="G338" s="40" t="n">
        <x:v>0.2703</x:v>
      </x:c>
      <x:c r="H338" s="40" t="n">
        <x:v>0.020138</x:v>
      </x:c>
      <x:c r="I338" t="n">
        <x:v>18</x:v>
      </x:c>
      <x:c r="J338" t="n">
        <x:v>168300</x:v>
      </x:c>
      <x:c r="K338" t="str">
        <x:v>Avalancha</x:v>
      </x:c>
      <x:c r="L338" t="str">
        <x:v>Vigente</x:v>
      </x:c>
      <x:c r="M338" t="n">
        <x:v>1056009.57</x:v>
      </x:c>
      <x:c r="N338"/>
    </x:row>
    <x:row r="339">
      <x:c r="A339" t="str">
        <x:v>DEU-000338</x:v>
      </x:c>
      <x:c r="B339" t="str">
        <x:v>USR-00177</x:v>
      </x:c>
      <x:c r="C339" t="n">
        <x:v>45809</x:v>
      </x:c>
      <x:c r="D339" t="str">
        <x:v>Entidad financiera E</x:v>
      </x:c>
      <x:c r="E339" t="str">
        <x:v>Crédito de vehículo</x:v>
      </x:c>
      <x:c r="F339" t="n">
        <x:v>52350000</x:v>
      </x:c>
      <x:c r="G339" s="40" t="n">
        <x:v>0.1589</x:v>
      </x:c>
      <x:c r="H339" s="40" t="n">
        <x:v>0.012365</x:v>
      </x:c>
      <x:c r="I339" t="n">
        <x:v>24</x:v>
      </x:c>
      <x:c r="J339" t="n">
        <x:v>2534300</x:v>
      </x:c>
      <x:c r="K339" t="str">
        <x:v>Avalancha</x:v>
      </x:c>
      <x:c r="L339" t="str">
        <x:v>Vigente</x:v>
      </x:c>
      <x:c r="M339" t="n">
        <x:v>25501022.67</x:v>
      </x:c>
      <x:c r="N339"/>
    </x:row>
    <x:row r="340">
      <x:c r="A340" t="str">
        <x:v>DEU-000339</x:v>
      </x:c>
      <x:c r="B340" t="str">
        <x:v>USR-00177</x:v>
      </x:c>
      <x:c r="C340" t="n">
        <x:v>45809</x:v>
      </x:c>
      <x:c r="D340" t="str">
        <x:v>Financiera D</x:v>
      </x:c>
      <x:c r="E340" t="str">
        <x:v>Crédito de consumo</x:v>
      </x:c>
      <x:c r="F340" t="n">
        <x:v>13560000</x:v>
      </x:c>
      <x:c r="G340" s="40" t="n">
        <x:v>0.205</x:v>
      </x:c>
      <x:c r="H340" s="40" t="n">
        <x:v>0.015661</x:v>
      </x:c>
      <x:c r="I340" t="n">
        <x:v>12</x:v>
      </x:c>
      <x:c r="J340" t="n">
        <x:v>1248300</x:v>
      </x:c>
      <x:c r="K340" t="str">
        <x:v>Avalancha</x:v>
      </x:c>
      <x:c r="L340" t="str">
        <x:v>Vigente</x:v>
      </x:c>
      <x:c r="M340" t="n">
        <x:v>3235239.98</x:v>
      </x:c>
      <x:c r="N340"/>
    </x:row>
    <x:row r="341">
      <x:c r="A341" t="str">
        <x:v>DEU-000340</x:v>
      </x:c>
      <x:c r="B341" t="str">
        <x:v>USR-00178</x:v>
      </x:c>
      <x:c r="C341" t="n">
        <x:v>45809</x:v>
      </x:c>
      <x:c r="D341" t="str">
        <x:v>Financiera D</x:v>
      </x:c>
      <x:c r="E341" t="str">
        <x:v>Tarjeta de crédito</x:v>
      </x:c>
      <x:c r="F341" t="n">
        <x:v>4810000</x:v>
      </x:c>
      <x:c r="G341" s="40" t="n">
        <x:v>0.1989</x:v>
      </x:c>
      <x:c r="H341" s="40" t="n">
        <x:v>0.015232</x:v>
      </x:c>
      <x:c r="I341" t="n">
        <x:v>30</x:v>
      </x:c>
      <x:c r="J341" t="n">
        <x:v>200900</x:v>
      </x:c>
      <x:c r="K341" t="str">
        <x:v>Bola de nieve</x:v>
      </x:c>
      <x:c r="L341" t="str">
        <x:v>Vigente</x:v>
      </x:c>
      <x:c r="M341" t="n">
        <x:v>4722565.34</x:v>
      </x:c>
      <x:c r="N341"/>
    </x:row>
    <x:row r="342">
      <x:c r="A342" t="str">
        <x:v>DEU-000341</x:v>
      </x:c>
      <x:c r="B342" t="str">
        <x:v>USR-00178</x:v>
      </x:c>
      <x:c r="C342" t="n">
        <x:v>45809</x:v>
      </x:c>
      <x:c r="D342" t="str">
        <x:v>Entidad financiera A</x:v>
      </x:c>
      <x:c r="E342" t="str">
        <x:v>Crédito de consumo</x:v>
      </x:c>
      <x:c r="F342" t="n">
        <x:v>7400000</x:v>
      </x:c>
      <x:c r="G342" s="40" t="n">
        <x:v>0.2987</x:v>
      </x:c>
      <x:c r="H342" s="40" t="n">
        <x:v>0.022019</x:v>
      </x:c>
      <x:c r="I342" t="n">
        <x:v>60</x:v>
      </x:c>
      <x:c r="J342" t="n">
        <x:v>223400</x:v>
      </x:c>
      <x:c r="K342" t="str">
        <x:v>Bola de nieve</x:v>
      </x:c>
      <x:c r="L342" t="str">
        <x:v>Vigente</x:v>
      </x:c>
      <x:c r="M342" t="n">
        <x:v>7339542.35</x:v>
      </x:c>
      <x:c r="N342"/>
    </x:row>
    <x:row r="343">
      <x:c r="A343" t="str">
        <x:v>DEU-000342</x:v>
      </x:c>
      <x:c r="B343" t="str">
        <x:v>USR-00178</x:v>
      </x:c>
      <x:c r="C343" t="n">
        <x:v>45809</x:v>
      </x:c>
      <x:c r="D343" t="str">
        <x:v>Entidad financiera E</x:v>
      </x:c>
      <x:c r="E343" t="str">
        <x:v>Crédito de consumo</x:v>
      </x:c>
      <x:c r="F343" t="n">
        <x:v>6320000</x:v>
      </x:c>
      <x:c r="G343" s="40" t="n">
        <x:v>0.1209</x:v>
      </x:c>
      <x:c r="H343" s="40" t="n">
        <x:v>0.009556</x:v>
      </x:c>
      <x:c r="I343" t="n">
        <x:v>48</x:v>
      </x:c>
      <x:c r="J343" t="n">
        <x:v>164800</x:v>
      </x:c>
      <x:c r="K343" t="str">
        <x:v>Bola de nieve</x:v>
      </x:c>
      <x:c r="L343" t="str">
        <x:v>Vigente</x:v>
      </x:c>
      <x:c r="M343" t="n">
        <x:v>6133196.24</x:v>
      </x:c>
      <x:c r="N343"/>
    </x:row>
    <x:row r="344">
      <x:c r="A344" t="str">
        <x:v>DEU-000343</x:v>
      </x:c>
      <x:c r="B344" t="str">
        <x:v>USR-00179</x:v>
      </x:c>
      <x:c r="C344" t="n">
        <x:v>45809</x:v>
      </x:c>
      <x:c r="D344" t="str">
        <x:v>Entidad financiera A</x:v>
      </x:c>
      <x:c r="E344" t="str">
        <x:v>Tarjeta de crédito</x:v>
      </x:c>
      <x:c r="F344" t="n">
        <x:v>7670000</x:v>
      </x:c>
      <x:c r="G344" s="40" t="n">
        <x:v>0.3426</x:v>
      </x:c>
      <x:c r="H344" s="40" t="n">
        <x:v>0.024855</x:v>
      </x:c>
      <x:c r="I344" t="n">
        <x:v>36</x:v>
      </x:c>
      <x:c r="J344" t="n">
        <x:v>324900</x:v>
      </x:c>
      <x:c r="K344" t="str">
        <x:v>Bola de nieve</x:v>
      </x:c>
      <x:c r="L344" t="str">
        <x:v>Vigente</x:v>
      </x:c>
      <x:c r="M344" t="n">
        <x:v>6955431.59</x:v>
      </x:c>
      <x:c r="N344"/>
    </x:row>
    <x:row r="345">
      <x:c r="A345" t="str">
        <x:v>DEU-000344</x:v>
      </x:c>
      <x:c r="B345" t="str">
        <x:v>USR-00179</x:v>
      </x:c>
      <x:c r="C345" t="n">
        <x:v>45809</x:v>
      </x:c>
      <x:c r="D345" t="str">
        <x:v>Entidad financiera E</x:v>
      </x:c>
      <x:c r="E345" t="str">
        <x:v>Crédito educativo</x:v>
      </x:c>
      <x:c r="F345" t="n">
        <x:v>10490000</x:v>
      </x:c>
      <x:c r="G345" s="40" t="n">
        <x:v>0.3371</x:v>
      </x:c>
      <x:c r="H345" s="40" t="n">
        <x:v>0.024504</x:v>
      </x:c>
      <x:c r="I345" t="n">
        <x:v>12</x:v>
      </x:c>
      <x:c r="J345" t="n">
        <x:v>1019600</x:v>
      </x:c>
      <x:c r="K345" t="str">
        <x:v>Avalancha</x:v>
      </x:c>
      <x:c r="L345" t="str">
        <x:v>Vigente</x:v>
      </x:c>
      <x:c r="M345" t="n">
        <x:v>5144883.88</x:v>
      </x:c>
      <x:c r="N345"/>
    </x:row>
    <x:row r="346">
      <x:c r="A346" t="str">
        <x:v>DEU-000345</x:v>
      </x:c>
      <x:c r="B346" t="str">
        <x:v>USR-00180</x:v>
      </x:c>
      <x:c r="C346" t="n">
        <x:v>45809</x:v>
      </x:c>
      <x:c r="D346" t="str">
        <x:v>Entidad financiera A</x:v>
      </x:c>
      <x:c r="E346" t="str">
        <x:v>Tarjeta de crédito</x:v>
      </x:c>
      <x:c r="F346" t="n">
        <x:v>5880000</x:v>
      </x:c>
      <x:c r="G346" s="40" t="n">
        <x:v>0.2309</x:v>
      </x:c>
      <x:c r="H346" s="40" t="n">
        <x:v>0.017463</x:v>
      </x:c>
      <x:c r="I346" t="n">
        <x:v>12</x:v>
      </x:c>
      <x:c r="J346" t="n">
        <x:v>547400</x:v>
      </x:c>
      <x:c r="K346" t="str">
        <x:v>Bola de nieve</x:v>
      </x:c>
      <x:c r="L346" t="str">
        <x:v>Vigente</x:v>
      </x:c>
      <x:c r="M346" t="n">
        <x:v>2042544.44</x:v>
      </x:c>
      <x:c r="N346"/>
    </x:row>
    <x:row r="347">
      <x:c r="A347" t="str">
        <x:v>DEU-000346</x:v>
      </x:c>
      <x:c r="B347" t="str">
        <x:v>USR-00180</x:v>
      </x:c>
      <x:c r="C347" t="n">
        <x:v>45809</x:v>
      </x:c>
      <x:c r="D347" t="str">
        <x:v>Entidad financiera A</x:v>
      </x:c>
      <x:c r="E347" t="str">
        <x:v>Crédito de consumo</x:v>
      </x:c>
      <x:c r="F347" t="n">
        <x:v>10210000</x:v>
      </x:c>
      <x:c r="G347" s="40" t="n">
        <x:v>0.1279</x:v>
      </x:c>
      <x:c r="H347" s="40" t="n">
        <x:v>0.01008</x:v>
      </x:c>
      <x:c r="I347" t="n">
        <x:v>18</x:v>
      </x:c>
      <x:c r="J347" t="n">
        <x:v>623100</x:v>
      </x:c>
      <x:c r="K347" t="str">
        <x:v>Bola de nieve</x:v>
      </x:c>
      <x:c r="L347" t="str">
        <x:v>Vigente</x:v>
      </x:c>
      <x:c r="M347" t="n">
        <x:v>5144529.97</x:v>
      </x:c>
      <x:c r="N347"/>
    </x:row>
    <x:row r="348">
      <x:c r="A348" t="str">
        <x:v>DEU-000347</x:v>
      </x:c>
      <x:c r="B348" t="str">
        <x:v>USR-00181</x:v>
      </x:c>
      <x:c r="C348" t="n">
        <x:v>45809</x:v>
      </x:c>
      <x:c r="D348" t="str">
        <x:v>Cooperativa C</x:v>
      </x:c>
      <x:c r="E348" t="str">
        <x:v>Tarjeta de crédito</x:v>
      </x:c>
      <x:c r="F348" t="n">
        <x:v>1850000</x:v>
      </x:c>
      <x:c r="G348" s="40" t="n">
        <x:v>0.1454</x:v>
      </x:c>
      <x:c r="H348" s="40" t="n">
        <x:v>0.011377</x:v>
      </x:c>
      <x:c r="I348" t="n">
        <x:v>24</x:v>
      </x:c>
      <x:c r="J348" t="n">
        <x:v>88500</x:v>
      </x:c>
      <x:c r="K348" t="str">
        <x:v>Bola de nieve</x:v>
      </x:c>
      <x:c r="L348" t="str">
        <x:v>Vigente</x:v>
      </x:c>
      <x:c r="M348" t="n">
        <x:v>730112.05</x:v>
      </x:c>
      <x:c r="N348"/>
    </x:row>
    <x:row r="349">
      <x:c r="A349" t="str">
        <x:v>DEU-000348</x:v>
      </x:c>
      <x:c r="B349" t="str">
        <x:v>USR-00182</x:v>
      </x:c>
      <x:c r="C349" t="n">
        <x:v>45809</x:v>
      </x:c>
      <x:c r="D349" t="str">
        <x:v>Entidad financiera A</x:v>
      </x:c>
      <x:c r="E349" t="str">
        <x:v>Crédito de vehículo</x:v>
      </x:c>
      <x:c r="F349" t="n">
        <x:v>31100000</x:v>
      </x:c>
      <x:c r="G349" s="40" t="n">
        <x:v>0.3111</x:v>
      </x:c>
      <x:c r="H349" s="40" t="n">
        <x:v>0.022829</x:v>
      </x:c>
      <x:c r="I349" t="n">
        <x:v>18</x:v>
      </x:c>
      <x:c r="J349" t="n">
        <x:v>2126400</x:v>
      </x:c>
      <x:c r="K349" t="str">
        <x:v>Bola de nieve</x:v>
      </x:c>
      <x:c r="L349" t="str">
        <x:v>Vigente</x:v>
      </x:c>
      <x:c r="M349" t="n">
        <x:v>23196677.46</x:v>
      </x:c>
      <x:c r="N349"/>
    </x:row>
    <x:row r="350">
      <x:c r="A350" t="str">
        <x:v>DEU-000349</x:v>
      </x:c>
      <x:c r="B350" t="str">
        <x:v>USR-00183</x:v>
      </x:c>
      <x:c r="C350" t="n">
        <x:v>45809</x:v>
      </x:c>
      <x:c r="D350" t="str">
        <x:v>Entidad financiera B</x:v>
      </x:c>
      <x:c r="E350" t="str">
        <x:v>Tarjeta de crédito</x:v>
      </x:c>
      <x:c r="F350" t="n">
        <x:v>3580000</x:v>
      </x:c>
      <x:c r="G350" s="40" t="n">
        <x:v>0.173</x:v>
      </x:c>
      <x:c r="H350" s="40" t="n">
        <x:v>0.013386</x:v>
      </x:c>
      <x:c r="I350" t="n">
        <x:v>60</x:v>
      </x:c>
      <x:c r="J350" t="n">
        <x:v>87200</x:v>
      </x:c>
      <x:c r="K350" t="str">
        <x:v>Avalancha</x:v>
      </x:c>
      <x:c r="L350" t="str">
        <x:v>Vigente</x:v>
      </x:c>
      <x:c r="M350" t="n">
        <x:v>3344370.77</x:v>
      </x:c>
      <x:c r="N350"/>
    </x:row>
    <x:row r="351">
      <x:c r="A351" t="str">
        <x:v>DEU-000350</x:v>
      </x:c>
      <x:c r="B351" t="str">
        <x:v>USR-00184</x:v>
      </x:c>
      <x:c r="C351" t="n">
        <x:v>45809</x:v>
      </x:c>
      <x:c r="D351" t="str">
        <x:v>Financiera D</x:v>
      </x:c>
      <x:c r="E351" t="str">
        <x:v>Crédito de libre inversión</x:v>
      </x:c>
      <x:c r="F351" t="n">
        <x:v>18890000</x:v>
      </x:c>
      <x:c r="G351" s="40" t="n">
        <x:v>0.2972</x:v>
      </x:c>
      <x:c r="H351" s="40" t="n">
        <x:v>0.021921</x:v>
      </x:c>
      <x:c r="I351" t="n">
        <x:v>18</x:v>
      </x:c>
      <x:c r="J351" t="n">
        <x:v>1281400</x:v>
      </x:c>
      <x:c r="K351" t="str">
        <x:v>Bola de nieve</x:v>
      </x:c>
      <x:c r="L351" t="str">
        <x:v>Vigente</x:v>
      </x:c>
      <x:c r="M351" t="n">
        <x:v>8971241.97</x:v>
      </x:c>
      <x:c r="N351"/>
    </x:row>
    <x:row r="352">
      <x:c r="A352" t="str">
        <x:v>DEU-000351</x:v>
      </x:c>
      <x:c r="B352" t="str">
        <x:v>USR-00185</x:v>
      </x:c>
      <x:c r="C352" t="n">
        <x:v>45809</x:v>
      </x:c>
      <x:c r="D352" t="str">
        <x:v>Financiera D</x:v>
      </x:c>
      <x:c r="E352" t="str">
        <x:v>Tarjeta de crédito</x:v>
      </x:c>
      <x:c r="F352" t="n">
        <x:v>2990000</x:v>
      </x:c>
      <x:c r="G352" s="40" t="n">
        <x:v>0.2573</x:v>
      </x:c>
      <x:c r="H352" s="40" t="n">
        <x:v>0.019264</x:v>
      </x:c>
      <x:c r="I352" t="n">
        <x:v>30</x:v>
      </x:c>
      <x:c r="J352" t="n">
        <x:v>132200</x:v>
      </x:c>
      <x:c r="K352" t="str">
        <x:v>Avalancha</x:v>
      </x:c>
      <x:c r="L352" t="str">
        <x:v>Vigente</x:v>
      </x:c>
      <x:c r="M352" t="n">
        <x:v>1910661.26</x:v>
      </x:c>
      <x:c r="N352"/>
    </x:row>
    <x:row r="353">
      <x:c r="A353" t="str">
        <x:v>DEU-000352</x:v>
      </x:c>
      <x:c r="B353" t="str">
        <x:v>USR-00186</x:v>
      </x:c>
      <x:c r="C353" t="n">
        <x:v>45809</x:v>
      </x:c>
      <x:c r="D353" t="str">
        <x:v>Entidad financiera E</x:v>
      </x:c>
      <x:c r="E353" t="str">
        <x:v>Crédito de vehículo</x:v>
      </x:c>
      <x:c r="F353" t="n">
        <x:v>39550000</x:v>
      </x:c>
      <x:c r="G353" s="40" t="n">
        <x:v>0.1804</x:v>
      </x:c>
      <x:c r="H353" s="40" t="n">
        <x:v>0.013917</x:v>
      </x:c>
      <x:c r="I353" t="n">
        <x:v>48</x:v>
      </x:c>
      <x:c r="J353" t="n">
        <x:v>1135100</x:v>
      </x:c>
      <x:c r="K353" t="str">
        <x:v>Bola de nieve</x:v>
      </x:c>
      <x:c r="L353" t="str">
        <x:v>Vigente</x:v>
      </x:c>
      <x:c r="M353" t="n">
        <x:v>35377118.47</x:v>
      </x:c>
      <x:c r="N353"/>
    </x:row>
    <x:row r="354">
      <x:c r="A354" t="str">
        <x:v>DEU-000353</x:v>
      </x:c>
      <x:c r="B354" t="str">
        <x:v>USR-00187</x:v>
      </x:c>
      <x:c r="C354" t="n">
        <x:v>45809</x:v>
      </x:c>
      <x:c r="D354" t="str">
        <x:v>Financiera D</x:v>
      </x:c>
      <x:c r="E354" t="str">
        <x:v>Crédito de consumo</x:v>
      </x:c>
      <x:c r="F354" t="n">
        <x:v>11610000</x:v>
      </x:c>
      <x:c r="G354" s="40" t="n">
        <x:v>0.2112</x:v>
      </x:c>
      <x:c r="H354" s="40" t="n">
        <x:v>0.016096</x:v>
      </x:c>
      <x:c r="I354" t="n">
        <x:v>36</x:v>
      </x:c>
      <x:c r="J354" t="n">
        <x:v>427400</x:v>
      </x:c>
      <x:c r="K354" t="str">
        <x:v>Avalancha</x:v>
      </x:c>
      <x:c r="L354" t="str">
        <x:v>Vigente</x:v>
      </x:c>
      <x:c r="M354" t="n">
        <x:v>8997735.22</x:v>
      </x:c>
      <x:c r="N354"/>
    </x:row>
    <x:row r="355">
      <x:c r="A355" t="str">
        <x:v>DEU-000354</x:v>
      </x:c>
      <x:c r="B355" t="str">
        <x:v>USR-00188</x:v>
      </x:c>
      <x:c r="C355" t="n">
        <x:v>45809</x:v>
      </x:c>
      <x:c r="D355" t="str">
        <x:v>Entidad financiera A</x:v>
      </x:c>
      <x:c r="E355" t="str">
        <x:v>Crédito de consumo</x:v>
      </x:c>
      <x:c r="F355" t="n">
        <x:v>6070000</x:v>
      </x:c>
      <x:c r="G355" s="40" t="n">
        <x:v>0.1549</x:v>
      </x:c>
      <x:c r="H355" s="40" t="n">
        <x:v>0.012073</x:v>
      </x:c>
      <x:c r="I355" t="n">
        <x:v>12</x:v>
      </x:c>
      <x:c r="J355" t="n">
        <x:v>546400</x:v>
      </x:c>
      <x:c r="K355" t="str">
        <x:v>Bola de nieve</x:v>
      </x:c>
      <x:c r="L355" t="str">
        <x:v>Pagada</x:v>
      </x:c>
      <x:c r="M355" t="n">
        <x:v>0</x:v>
      </x:c>
      <x:c r="N355" t="n">
        <x:v>46174</x:v>
      </x:c>
    </x:row>
    <x:row r="356">
      <x:c r="A356" t="str">
        <x:v>DEU-000355</x:v>
      </x:c>
      <x:c r="B356" t="str">
        <x:v>USR-00188</x:v>
      </x:c>
      <x:c r="C356" t="n">
        <x:v>45809</x:v>
      </x:c>
      <x:c r="D356" t="str">
        <x:v>Financiera D</x:v>
      </x:c>
      <x:c r="E356" t="str">
        <x:v>Crédito de consumo</x:v>
      </x:c>
      <x:c r="F356" t="n">
        <x:v>7480000</x:v>
      </x:c>
      <x:c r="G356" s="40" t="n">
        <x:v>0.2819</x:v>
      </x:c>
      <x:c r="H356" s="40" t="n">
        <x:v>0.020911</x:v>
      </x:c>
      <x:c r="I356" t="n">
        <x:v>18</x:v>
      </x:c>
      <x:c r="J356" t="n">
        <x:v>502900</x:v>
      </x:c>
      <x:c r="K356" t="str">
        <x:v>Bola de nieve</x:v>
      </x:c>
      <x:c r="L356" t="str">
        <x:v>Vigente</x:v>
      </x:c>
      <x:c r="M356" t="n">
        <x:v>3859660.85</x:v>
      </x:c>
      <x:c r="N356"/>
    </x:row>
    <x:row r="357">
      <x:c r="A357" t="str">
        <x:v>DEU-000356</x:v>
      </x:c>
      <x:c r="B357" t="str">
        <x:v>USR-00002</x:v>
      </x:c>
      <x:c r="C357" t="n">
        <x:v>45839</x:v>
      </x:c>
      <x:c r="D357" t="str">
        <x:v>Entidad financiera B</x:v>
      </x:c>
      <x:c r="E357" t="str">
        <x:v>Crédito de consumo</x:v>
      </x:c>
      <x:c r="F357" t="n">
        <x:v>8950000</x:v>
      </x:c>
      <x:c r="G357" s="40" t="n">
        <x:v>0.2249</x:v>
      </x:c>
      <x:c r="H357" s="40" t="n">
        <x:v>0.017049</x:v>
      </x:c>
      <x:c r="I357" t="n">
        <x:v>60</x:v>
      </x:c>
      <x:c r="J357" t="n">
        <x:v>239400</x:v>
      </x:c>
      <x:c r="K357" t="str">
        <x:v>Avalancha</x:v>
      </x:c>
      <x:c r="L357" t="str">
        <x:v>Vigente</x:v>
      </x:c>
      <x:c r="M357" t="n">
        <x:v>7752249.31</x:v>
      </x:c>
      <x:c r="N357"/>
    </x:row>
    <x:row r="358">
      <x:c r="A358" t="str">
        <x:v>DEU-000357</x:v>
      </x:c>
      <x:c r="B358" t="str">
        <x:v>USR-00009</x:v>
      </x:c>
      <x:c r="C358" t="n">
        <x:v>45839</x:v>
      </x:c>
      <x:c r="D358" t="str">
        <x:v>Financiera D</x:v>
      </x:c>
      <x:c r="E358" t="str">
        <x:v>Crédito de libre inversión</x:v>
      </x:c>
      <x:c r="F358" t="n">
        <x:v>14930000</x:v>
      </x:c>
      <x:c r="G358" s="40" t="n">
        <x:v>0.2422</x:v>
      </x:c>
      <x:c r="H358" s="40" t="n">
        <x:v>0.018238</x:v>
      </x:c>
      <x:c r="I358" t="n">
        <x:v>48</x:v>
      </x:c>
      <x:c r="J358" t="n">
        <x:v>469500</x:v>
      </x:c>
      <x:c r="K358" t="str">
        <x:v>Avalancha</x:v>
      </x:c>
      <x:c r="L358" t="str">
        <x:v>Vigente</x:v>
      </x:c>
      <x:c r="M358" t="n">
        <x:v>11815726.22</x:v>
      </x:c>
      <x:c r="N358"/>
    </x:row>
    <x:row r="359">
      <x:c r="A359" t="str">
        <x:v>DEU-000358</x:v>
      </x:c>
      <x:c r="B359" t="str">
        <x:v>USR-00071</x:v>
      </x:c>
      <x:c r="C359" t="n">
        <x:v>45839</x:v>
      </x:c>
      <x:c r="D359" t="str">
        <x:v>Entidad financiera B</x:v>
      </x:c>
      <x:c r="E359" t="str">
        <x:v>Tarjeta de crédito</x:v>
      </x:c>
      <x:c r="F359" t="n">
        <x:v>7140000</x:v>
      </x:c>
      <x:c r="G359" s="40" t="n">
        <x:v>0.2541</x:v>
      </x:c>
      <x:c r="H359" s="40" t="n">
        <x:v>0.019047</x:v>
      </x:c>
      <x:c r="I359" t="n">
        <x:v>24</x:v>
      </x:c>
      <x:c r="J359" t="n">
        <x:v>373400</x:v>
      </x:c>
      <x:c r="K359" t="str">
        <x:v>Avalancha</x:v>
      </x:c>
      <x:c r="L359" t="str">
        <x:v>Vigente</x:v>
      </x:c>
      <x:c r="M359" t="n">
        <x:v>3864202.59</x:v>
      </x:c>
      <x:c r="N359"/>
    </x:row>
    <x:row r="360">
      <x:c r="A360" t="str">
        <x:v>DEU-000359</x:v>
      </x:c>
      <x:c r="B360" t="str">
        <x:v>USR-00121</x:v>
      </x:c>
      <x:c r="C360" t="n">
        <x:v>45839</x:v>
      </x:c>
      <x:c r="D360" t="str">
        <x:v>Entidad financiera E</x:v>
      </x:c>
      <x:c r="E360" t="str">
        <x:v>Crédito comercial</x:v>
      </x:c>
      <x:c r="F360" t="n">
        <x:v>14990000</x:v>
      </x:c>
      <x:c r="G360" s="40" t="n">
        <x:v>0.1174</x:v>
      </x:c>
      <x:c r="H360" s="40" t="n">
        <x:v>0.009293</x:v>
      </x:c>
      <x:c r="I360" t="n">
        <x:v>36</x:v>
      </x:c>
      <x:c r="J360" t="n">
        <x:v>491800</x:v>
      </x:c>
      <x:c r="K360" t="str">
        <x:v>Bola de nieve</x:v>
      </x:c>
      <x:c r="L360" t="str">
        <x:v>Vigente</x:v>
      </x:c>
      <x:c r="M360" t="n">
        <x:v>12041654.56</x:v>
      </x:c>
      <x:c r="N360"/>
    </x:row>
    <x:row r="361">
      <x:c r="A361" t="str">
        <x:v>DEU-000360</x:v>
      </x:c>
      <x:c r="B361" t="str">
        <x:v>USR-00189</x:v>
      </x:c>
      <x:c r="C361" t="n">
        <x:v>45839</x:v>
      </x:c>
      <x:c r="D361" t="str">
        <x:v>Entidad financiera A</x:v>
      </x:c>
      <x:c r="E361" t="str">
        <x:v>Crédito de consumo</x:v>
      </x:c>
      <x:c r="F361" t="n">
        <x:v>10100000</x:v>
      </x:c>
      <x:c r="G361" s="40" t="n">
        <x:v>0.2182</x:v>
      </x:c>
      <x:c r="H361" s="40" t="n">
        <x:v>0.016584</x:v>
      </x:c>
      <x:c r="I361" t="n">
        <x:v>36</x:v>
      </x:c>
      <x:c r="J361" t="n">
        <x:v>374800</x:v>
      </x:c>
      <x:c r="K361" t="str">
        <x:v>Bola de nieve</x:v>
      </x:c>
      <x:c r="L361" t="str">
        <x:v>Vigente</x:v>
      </x:c>
      <x:c r="M361" t="n">
        <x:v>7618552.6</x:v>
      </x:c>
      <x:c r="N361"/>
    </x:row>
    <x:row r="362">
      <x:c r="A362" t="str">
        <x:v>DEU-000361</x:v>
      </x:c>
      <x:c r="B362" t="str">
        <x:v>USR-00189</x:v>
      </x:c>
      <x:c r="C362" t="n">
        <x:v>45839</x:v>
      </x:c>
      <x:c r="D362" t="str">
        <x:v>Entidad financiera A</x:v>
      </x:c>
      <x:c r="E362" t="str">
        <x:v>Tarjeta de crédito</x:v>
      </x:c>
      <x:c r="F362" t="n">
        <x:v>5700000</x:v>
      </x:c>
      <x:c r="G362" s="40" t="n">
        <x:v>0.1725</x:v>
      </x:c>
      <x:c r="H362" s="40" t="n">
        <x:v>0.01335</x:v>
      </x:c>
      <x:c r="I362" t="n">
        <x:v>30</x:v>
      </x:c>
      <x:c r="J362" t="n">
        <x:v>231800</x:v>
      </x:c>
      <x:c r="K362" t="str">
        <x:v>Avalancha</x:v>
      </x:c>
      <x:c r="L362" t="str">
        <x:v>Vigente</x:v>
      </x:c>
      <x:c r="M362" t="n">
        <x:v>4824501.39</x:v>
      </x:c>
      <x:c r="N362"/>
    </x:row>
    <x:row r="363">
      <x:c r="A363" t="str">
        <x:v>DEU-000362</x:v>
      </x:c>
      <x:c r="B363" t="str">
        <x:v>USR-00189</x:v>
      </x:c>
      <x:c r="C363" t="n">
        <x:v>45839</x:v>
      </x:c>
      <x:c r="D363" t="str">
        <x:v>Cooperativa C</x:v>
      </x:c>
      <x:c r="E363" t="str">
        <x:v>Crédito comercial</x:v>
      </x:c>
      <x:c r="F363" t="n">
        <x:v>20860000</x:v>
      </x:c>
      <x:c r="G363" s="40" t="n">
        <x:v>0.2202</x:v>
      </x:c>
      <x:c r="H363" s="40" t="n">
        <x:v>0.016723</x:v>
      </x:c>
      <x:c r="I363" t="n">
        <x:v>48</x:v>
      </x:c>
      <x:c r="J363" t="n">
        <x:v>635500</x:v>
      </x:c>
      <x:c r="K363" t="str">
        <x:v>Bola de nieve</x:v>
      </x:c>
      <x:c r="L363" t="str">
        <x:v>Vigente</x:v>
      </x:c>
      <x:c r="M363" t="n">
        <x:v>17128411.45</x:v>
      </x:c>
      <x:c r="N363"/>
    </x:row>
    <x:row r="364">
      <x:c r="A364" t="str">
        <x:v>DEU-000363</x:v>
      </x:c>
      <x:c r="B364" t="str">
        <x:v>USR-00190</x:v>
      </x:c>
      <x:c r="C364" t="n">
        <x:v>45839</x:v>
      </x:c>
      <x:c r="D364" t="str">
        <x:v>Entidad financiera B</x:v>
      </x:c>
      <x:c r="E364" t="str">
        <x:v>Tarjeta de crédito</x:v>
      </x:c>
      <x:c r="F364" t="n">
        <x:v>2380000</x:v>
      </x:c>
      <x:c r="G364" s="40" t="n">
        <x:v>0.1582</x:v>
      </x:c>
      <x:c r="H364" s="40" t="n">
        <x:v>0.012314</x:v>
      </x:c>
      <x:c r="I364" t="n">
        <x:v>18</x:v>
      </x:c>
      <x:c r="J364" t="n">
        <x:v>148200</x:v>
      </x:c>
      <x:c r="K364" t="str">
        <x:v>Avalancha</x:v>
      </x:c>
      <x:c r="L364" t="str">
        <x:v>Vigente</x:v>
      </x:c>
      <x:c r="M364" t="n">
        <x:v>819490.14</x:v>
      </x:c>
      <x:c r="N364"/>
    </x:row>
    <x:row r="365">
      <x:c r="A365" t="str">
        <x:v>DEU-000364</x:v>
      </x:c>
      <x:c r="B365" t="str">
        <x:v>USR-00190</x:v>
      </x:c>
      <x:c r="C365" t="n">
        <x:v>45839</x:v>
      </x:c>
      <x:c r="D365" t="str">
        <x:v>Entidad financiera A</x:v>
      </x:c>
      <x:c r="E365" t="str">
        <x:v>Tarjeta de crédito</x:v>
      </x:c>
      <x:c r="F365" t="n">
        <x:v>1230000</x:v>
      </x:c>
      <x:c r="G365" s="40" t="n">
        <x:v>0.3229</x:v>
      </x:c>
      <x:c r="H365" s="40" t="n">
        <x:v>0.023593</x:v>
      </x:c>
      <x:c r="I365" t="n">
        <x:v>12</x:v>
      </x:c>
      <x:c r="J365" t="n">
        <x:v>118900</x:v>
      </x:c>
      <x:c r="K365" t="str">
        <x:v>Avalancha</x:v>
      </x:c>
      <x:c r="L365" t="str">
        <x:v>Pagada</x:v>
      </x:c>
      <x:c r="M365" t="n">
        <x:v>0</x:v>
      </x:c>
      <x:c r="N365" t="n">
        <x:v>46235</x:v>
      </x:c>
    </x:row>
    <x:row r="366">
      <x:c r="A366" t="str">
        <x:v>DEU-000365</x:v>
      </x:c>
      <x:c r="B366" t="str">
        <x:v>USR-00191</x:v>
      </x:c>
      <x:c r="C366" t="n">
        <x:v>45839</x:v>
      </x:c>
      <x:c r="D366" t="str">
        <x:v>Entidad financiera E</x:v>
      </x:c>
      <x:c r="E366" t="str">
        <x:v>Crédito de consumo</x:v>
      </x:c>
      <x:c r="F366" t="n">
        <x:v>6690000</x:v>
      </x:c>
      <x:c r="G366" s="40" t="n">
        <x:v>0.1681</x:v>
      </x:c>
      <x:c r="H366" s="40" t="n">
        <x:v>0.013032</x:v>
      </x:c>
      <x:c r="I366" t="n">
        <x:v>36</x:v>
      </x:c>
      <x:c r="J366" t="n">
        <x:v>234000</x:v>
      </x:c>
      <x:c r="K366" t="str">
        <x:v>Bola de nieve</x:v>
      </x:c>
      <x:c r="L366" t="str">
        <x:v>Vigente</x:v>
      </x:c>
      <x:c r="M366" t="n">
        <x:v>4771082.1</x:v>
      </x:c>
      <x:c r="N366"/>
    </x:row>
    <x:row r="367">
      <x:c r="A367" t="str">
        <x:v>DEU-000366</x:v>
      </x:c>
      <x:c r="B367" t="str">
        <x:v>USR-00192</x:v>
      </x:c>
      <x:c r="C367" t="n">
        <x:v>45839</x:v>
      </x:c>
      <x:c r="D367" t="str">
        <x:v>Entidad financiera B</x:v>
      </x:c>
      <x:c r="E367" t="str">
        <x:v>Crédito de consumo</x:v>
      </x:c>
      <x:c r="F367" t="n">
        <x:v>11420000</x:v>
      </x:c>
      <x:c r="G367" s="40" t="n">
        <x:v>0.1648</x:v>
      </x:c>
      <x:c r="H367" s="40" t="n">
        <x:v>0.012794</x:v>
      </x:c>
      <x:c r="I367" t="n">
        <x:v>36</x:v>
      </x:c>
      <x:c r="J367" t="n">
        <x:v>397900</x:v>
      </x:c>
      <x:c r="K367" t="str">
        <x:v>Avalancha</x:v>
      </x:c>
      <x:c r="L367" t="str">
        <x:v>Vigente</x:v>
      </x:c>
      <x:c r="M367" t="n">
        <x:v>9364395.69</x:v>
      </x:c>
      <x:c r="N367"/>
    </x:row>
    <x:row r="368">
      <x:c r="A368" t="str">
        <x:v>DEU-000367</x:v>
      </x:c>
      <x:c r="B368" t="str">
        <x:v>USR-00192</x:v>
      </x:c>
      <x:c r="C368" t="n">
        <x:v>45839</x:v>
      </x:c>
      <x:c r="D368" t="str">
        <x:v>Entidad financiera A</x:v>
      </x:c>
      <x:c r="E368" t="str">
        <x:v>Crédito comercial</x:v>
      </x:c>
      <x:c r="F368" t="n">
        <x:v>22320000</x:v>
      </x:c>
      <x:c r="G368" s="40" t="n">
        <x:v>0.1705</x:v>
      </x:c>
      <x:c r="H368" s="40" t="n">
        <x:v>0.013206</x:v>
      </x:c>
      <x:c r="I368" t="n">
        <x:v>60</x:v>
      </x:c>
      <x:c r="J368" t="n">
        <x:v>541000</x:v>
      </x:c>
      <x:c r="K368" t="str">
        <x:v>Avalancha</x:v>
      </x:c>
      <x:c r="L368" t="str">
        <x:v>Vigente</x:v>
      </x:c>
      <x:c r="M368" t="n">
        <x:v>22359491.4</x:v>
      </x:c>
      <x:c r="N368"/>
    </x:row>
    <x:row r="369">
      <x:c r="A369" t="str">
        <x:v>DEU-000368</x:v>
      </x:c>
      <x:c r="B369" t="str">
        <x:v>USR-00193</x:v>
      </x:c>
      <x:c r="C369" t="n">
        <x:v>45839</x:v>
      </x:c>
      <x:c r="D369" t="str">
        <x:v>Entidad financiera E</x:v>
      </x:c>
      <x:c r="E369" t="str">
        <x:v>Tarjeta de crédito</x:v>
      </x:c>
      <x:c r="F369" t="n">
        <x:v>3370000</x:v>
      </x:c>
      <x:c r="G369" s="40" t="n">
        <x:v>0.1573</x:v>
      </x:c>
      <x:c r="H369" s="40" t="n">
        <x:v>0.012249</x:v>
      </x:c>
      <x:c r="I369" t="n">
        <x:v>30</x:v>
      </x:c>
      <x:c r="J369" t="n">
        <x:v>134900</x:v>
      </x:c>
      <x:c r="K369" t="str">
        <x:v>Avalancha</x:v>
      </x:c>
      <x:c r="L369" t="str">
        <x:v>Vigente</x:v>
      </x:c>
      <x:c r="M369" t="n">
        <x:v>2584262.32</x:v>
      </x:c>
      <x:c r="N369"/>
    </x:row>
    <x:row r="370">
      <x:c r="A370" t="str">
        <x:v>DEU-000369</x:v>
      </x:c>
      <x:c r="B370" t="str">
        <x:v>USR-00193</x:v>
      </x:c>
      <x:c r="C370" t="n">
        <x:v>45839</x:v>
      </x:c>
      <x:c r="D370" t="str">
        <x:v>Cooperativa C</x:v>
      </x:c>
      <x:c r="E370" t="str">
        <x:v>Crédito de consumo</x:v>
      </x:c>
      <x:c r="F370" t="n">
        <x:v>7380000</x:v>
      </x:c>
      <x:c r="G370" s="40" t="n">
        <x:v>0.2707</x:v>
      </x:c>
      <x:c r="H370" s="40" t="n">
        <x:v>0.020165</x:v>
      </x:c>
      <x:c r="I370" t="n">
        <x:v>12</x:v>
      </x:c>
      <x:c r="J370" t="n">
        <x:v>698600</x:v>
      </x:c>
      <x:c r="K370" t="str">
        <x:v>Bola de nieve</x:v>
      </x:c>
      <x:c r="L370" t="str">
        <x:v>Vigente</x:v>
      </x:c>
      <x:c r="M370" t="n">
        <x:v>3811845.87</x:v>
      </x:c>
      <x:c r="N370"/>
    </x:row>
    <x:row r="371">
      <x:c r="A371" t="str">
        <x:v>DEU-000370</x:v>
      </x:c>
      <x:c r="B371" t="str">
        <x:v>USR-00194</x:v>
      </x:c>
      <x:c r="C371" t="n">
        <x:v>45839</x:v>
      </x:c>
      <x:c r="D371" t="str">
        <x:v>Entidad financiera B</x:v>
      </x:c>
      <x:c r="E371" t="str">
        <x:v>Crédito de vehículo</x:v>
      </x:c>
      <x:c r="F371" t="n">
        <x:v>27770000</x:v>
      </x:c>
      <x:c r="G371" s="40" t="n">
        <x:v>0.2858</x:v>
      </x:c>
      <x:c r="H371" s="40" t="n">
        <x:v>0.021169</x:v>
      </x:c>
      <x:c r="I371" t="n">
        <x:v>48</x:v>
      </x:c>
      <x:c r="J371" t="n">
        <x:v>927000</x:v>
      </x:c>
      <x:c r="K371" t="str">
        <x:v>Bola de nieve</x:v>
      </x:c>
      <x:c r="L371" t="str">
        <x:v>Vigente</x:v>
      </x:c>
      <x:c r="M371" t="n">
        <x:v>28832943.44</x:v>
      </x:c>
      <x:c r="N371"/>
    </x:row>
    <x:row r="372">
      <x:c r="A372" t="str">
        <x:v>DEU-000371</x:v>
      </x:c>
      <x:c r="B372" t="str">
        <x:v>USR-00195</x:v>
      </x:c>
      <x:c r="C372" t="n">
        <x:v>45839</x:v>
      </x:c>
      <x:c r="D372" t="str">
        <x:v>Entidad financiera B</x:v>
      </x:c>
      <x:c r="E372" t="str">
        <x:v>Crédito de vehículo</x:v>
      </x:c>
      <x:c r="F372" t="n">
        <x:v>49790000</x:v>
      </x:c>
      <x:c r="G372" s="40" t="n">
        <x:v>0.2277</x:v>
      </x:c>
      <x:c r="H372" s="40" t="n">
        <x:v>0.017242</x:v>
      </x:c>
      <x:c r="I372" t="n">
        <x:v>60</x:v>
      </x:c>
      <x:c r="J372" t="n">
        <x:v>1338300</x:v>
      </x:c>
      <x:c r="K372" t="str">
        <x:v>Avalancha</x:v>
      </x:c>
      <x:c r="L372" t="str">
        <x:v>Vigente</x:v>
      </x:c>
      <x:c r="M372" t="n">
        <x:v>42255128.48</x:v>
      </x:c>
      <x:c r="N372"/>
    </x:row>
    <x:row r="373">
      <x:c r="A373" t="str">
        <x:v>DEU-000372</x:v>
      </x:c>
      <x:c r="B373" t="str">
        <x:v>USR-00195</x:v>
      </x:c>
      <x:c r="C373" t="n">
        <x:v>45839</x:v>
      </x:c>
      <x:c r="D373" t="str">
        <x:v>Financiera D</x:v>
      </x:c>
      <x:c r="E373" t="str">
        <x:v>Tarjeta de crédito</x:v>
      </x:c>
      <x:c r="F373" t="n">
        <x:v>6460000</x:v>
      </x:c>
      <x:c r="G373" s="40" t="n">
        <x:v>0.1964</x:v>
      </x:c>
      <x:c r="H373" s="40" t="n">
        <x:v>0.015055</x:v>
      </x:c>
      <x:c r="I373" t="n">
        <x:v>36</x:v>
      </x:c>
      <x:c r="J373" t="n">
        <x:v>233800</x:v>
      </x:c>
      <x:c r="K373" t="str">
        <x:v>Avalancha</x:v>
      </x:c>
      <x:c r="L373" t="str">
        <x:v>Vigente</x:v>
      </x:c>
      <x:c r="M373" t="n">
        <x:v>4668916.53</x:v>
      </x:c>
      <x:c r="N373"/>
    </x:row>
    <x:row r="374">
      <x:c r="A374" t="str">
        <x:v>DEU-000373</x:v>
      </x:c>
      <x:c r="B374" t="str">
        <x:v>USR-00196</x:v>
      </x:c>
      <x:c r="C374" t="n">
        <x:v>45839</x:v>
      </x:c>
      <x:c r="D374" t="str">
        <x:v>Entidad financiera E</x:v>
      </x:c>
      <x:c r="E374" t="str">
        <x:v>Tarjeta de crédito</x:v>
      </x:c>
      <x:c r="F374" t="n">
        <x:v>1160000</x:v>
      </x:c>
      <x:c r="G374" s="40" t="n">
        <x:v>0.1904</x:v>
      </x:c>
      <x:c r="H374" s="40" t="n">
        <x:v>0.01463</x:v>
      </x:c>
      <x:c r="I374" t="n">
        <x:v>18</x:v>
      </x:c>
      <x:c r="J374" t="n">
        <x:v>73800</x:v>
      </x:c>
      <x:c r="K374" t="str">
        <x:v>Bola de nieve</x:v>
      </x:c>
      <x:c r="L374" t="str">
        <x:v>Vigente</x:v>
      </x:c>
      <x:c r="M374" t="n">
        <x:v>570405.33</x:v>
      </x:c>
      <x:c r="N374"/>
    </x:row>
    <x:row r="375">
      <x:c r="A375" t="str">
        <x:v>DEU-000374</x:v>
      </x:c>
      <x:c r="B375" t="str">
        <x:v>USR-00197</x:v>
      </x:c>
      <x:c r="C375" t="n">
        <x:v>45839</x:v>
      </x:c>
      <x:c r="D375" t="str">
        <x:v>Cooperativa C</x:v>
      </x:c>
      <x:c r="E375" t="str">
        <x:v>Crédito de consumo</x:v>
      </x:c>
      <x:c r="F375" t="n">
        <x:v>2670000</x:v>
      </x:c>
      <x:c r="G375" s="40" t="n">
        <x:v>0.1898</x:v>
      </x:c>
      <x:c r="H375" s="40" t="n">
        <x:v>0.014587</x:v>
      </x:c>
      <x:c r="I375" t="n">
        <x:v>36</x:v>
      </x:c>
      <x:c r="J375" t="n">
        <x:v>95900</x:v>
      </x:c>
      <x:c r="K375" t="str">
        <x:v>Avalancha</x:v>
      </x:c>
      <x:c r="L375" t="str">
        <x:v>Vigente</x:v>
      </x:c>
      <x:c r="M375" t="n">
        <x:v>2048908.01</x:v>
      </x:c>
      <x:c r="N375"/>
    </x:row>
    <x:row r="376">
      <x:c r="A376" t="str">
        <x:v>DEU-000375</x:v>
      </x:c>
      <x:c r="B376" t="str">
        <x:v>USR-00198</x:v>
      </x:c>
      <x:c r="C376" t="n">
        <x:v>45839</x:v>
      </x:c>
      <x:c r="D376" t="str">
        <x:v>Entidad financiera A</x:v>
      </x:c>
      <x:c r="E376" t="str">
        <x:v>Crédito de libre inversión</x:v>
      </x:c>
      <x:c r="F376" t="n">
        <x:v>22050000</x:v>
      </x:c>
      <x:c r="G376" s="40" t="n">
        <x:v>0.2282</x:v>
      </x:c>
      <x:c r="H376" s="40" t="n">
        <x:v>0.017277</x:v>
      </x:c>
      <x:c r="I376" t="n">
        <x:v>60</x:v>
      </x:c>
      <x:c r="J376" t="n">
        <x:v>593200</x:v>
      </x:c>
      <x:c r="K376" t="str">
        <x:v>Avalancha</x:v>
      </x:c>
      <x:c r="L376" t="str">
        <x:v>Vigente</x:v>
      </x:c>
      <x:c r="M376" t="n">
        <x:v>22741658.49</x:v>
      </x:c>
      <x:c r="N376"/>
    </x:row>
    <x:row r="377">
      <x:c r="A377" t="str">
        <x:v>DEU-000376</x:v>
      </x:c>
      <x:c r="B377" t="str">
        <x:v>USR-00198</x:v>
      </x:c>
      <x:c r="C377" t="n">
        <x:v>45839</x:v>
      </x:c>
      <x:c r="D377" t="str">
        <x:v>Financiera D</x:v>
      </x:c>
      <x:c r="E377" t="str">
        <x:v>Crédito de libre inversión</x:v>
      </x:c>
      <x:c r="F377" t="n">
        <x:v>22210000</x:v>
      </x:c>
      <x:c r="G377" s="40" t="n">
        <x:v>0.1139</x:v>
      </x:c>
      <x:c r="H377" s="40" t="n">
        <x:v>0.009029</x:v>
      </x:c>
      <x:c r="I377" t="n">
        <x:v>24</x:v>
      </x:c>
      <x:c r="J377" t="n">
        <x:v>1033500</x:v>
      </x:c>
      <x:c r="K377" t="str">
        <x:v>Bola de nieve</x:v>
      </x:c>
      <x:c r="L377" t="str">
        <x:v>Vigente</x:v>
      </x:c>
      <x:c r="M377" t="n">
        <x:v>11495247.71</x:v>
      </x:c>
      <x:c r="N377"/>
    </x:row>
    <x:row r="378">
      <x:c r="A378" t="str">
        <x:v>DEU-000377</x:v>
      </x:c>
      <x:c r="B378" t="str">
        <x:v>USR-00199</x:v>
      </x:c>
      <x:c r="C378" t="n">
        <x:v>45839</x:v>
      </x:c>
      <x:c r="D378" t="str">
        <x:v>Financiera D</x:v>
      </x:c>
      <x:c r="E378" t="str">
        <x:v>Crédito de consumo</x:v>
      </x:c>
      <x:c r="F378" t="n">
        <x:v>13570000</x:v>
      </x:c>
      <x:c r="G378" s="40" t="n">
        <x:v>0.2738</x:v>
      </x:c>
      <x:c r="H378" s="40" t="n">
        <x:v>0.020372</x:v>
      </x:c>
      <x:c r="I378" t="n">
        <x:v>30</x:v>
      </x:c>
      <x:c r="J378" t="n">
        <x:v>609000</x:v>
      </x:c>
      <x:c r="K378" t="str">
        <x:v>Avalancha</x:v>
      </x:c>
      <x:c r="L378" t="str">
        <x:v>Vigente</x:v>
      </x:c>
      <x:c r="M378" t="n">
        <x:v>11368788.96</x:v>
      </x:c>
      <x:c r="N378"/>
    </x:row>
    <x:row r="379">
      <x:c r="A379" t="str">
        <x:v>DEU-000378</x:v>
      </x:c>
      <x:c r="B379" t="str">
        <x:v>USR-00199</x:v>
      </x:c>
      <x:c r="C379" t="n">
        <x:v>45839</x:v>
      </x:c>
      <x:c r="D379" t="str">
        <x:v>Financiera D</x:v>
      </x:c>
      <x:c r="E379" t="str">
        <x:v>Tarjeta de crédito</x:v>
      </x:c>
      <x:c r="F379" t="n">
        <x:v>880000</x:v>
      </x:c>
      <x:c r="G379" s="40" t="n">
        <x:v>0.1798</x:v>
      </x:c>
      <x:c r="H379" s="40" t="n">
        <x:v>0.013874</x:v>
      </x:c>
      <x:c r="I379" t="n">
        <x:v>48</x:v>
      </x:c>
      <x:c r="J379" t="n">
        <x:v>25200</x:v>
      </x:c>
      <x:c r="K379" t="str">
        <x:v>Avalancha</x:v>
      </x:c>
      <x:c r="L379" t="str">
        <x:v>Vigente</x:v>
      </x:c>
      <x:c r="M379" t="n">
        <x:v>715199.6</x:v>
      </x:c>
      <x:c r="N379"/>
    </x:row>
    <x:row r="380">
      <x:c r="A380" t="str">
        <x:v>DEU-000379</x:v>
      </x:c>
      <x:c r="B380" t="str">
        <x:v>USR-00199</x:v>
      </x:c>
      <x:c r="C380" t="n">
        <x:v>45839</x:v>
      </x:c>
      <x:c r="D380" t="str">
        <x:v>Entidad financiera B</x:v>
      </x:c>
      <x:c r="E380" t="str">
        <x:v>Crédito de consumo</x:v>
      </x:c>
      <x:c r="F380" t="n">
        <x:v>2550000</x:v>
      </x:c>
      <x:c r="G380" s="40" t="n">
        <x:v>0.2812</x:v>
      </x:c>
      <x:c r="H380" s="40" t="n">
        <x:v>0.020864</x:v>
      </x:c>
      <x:c r="I380" t="n">
        <x:v>12</x:v>
      </x:c>
      <x:c r="J380" t="n">
        <x:v>242400</x:v>
      </x:c>
      <x:c r="K380" t="str">
        <x:v>Avalancha</x:v>
      </x:c>
      <x:c r="L380" t="str">
        <x:v>Vigente</x:v>
      </x:c>
      <x:c r="M380" t="n">
        <x:v>914321.82</x:v>
      </x:c>
      <x:c r="N380"/>
    </x:row>
    <x:row r="381">
      <x:c r="A381" t="str">
        <x:v>DEU-000380</x:v>
      </x:c>
      <x:c r="B381" t="str">
        <x:v>USR-00199</x:v>
      </x:c>
      <x:c r="C381" t="n">
        <x:v>45839</x:v>
      </x:c>
      <x:c r="D381" t="str">
        <x:v>Cooperativa C</x:v>
      </x:c>
      <x:c r="E381" t="str">
        <x:v>Tarjeta de crédito</x:v>
      </x:c>
      <x:c r="F381" t="n">
        <x:v>6960000</x:v>
      </x:c>
      <x:c r="G381" s="40" t="n">
        <x:v>0.2811</x:v>
      </x:c>
      <x:c r="H381" s="40" t="n">
        <x:v>0.020858</x:v>
      </x:c>
      <x:c r="I381" t="n">
        <x:v>36</x:v>
      </x:c>
      <x:c r="J381" t="n">
        <x:v>276800</x:v>
      </x:c>
      <x:c r="K381" t="str">
        <x:v>Avalancha</x:v>
      </x:c>
      <x:c r="L381" t="str">
        <x:v>Vigente</x:v>
      </x:c>
      <x:c r="M381" t="n">
        <x:v>5618442.67</x:v>
      </x:c>
      <x:c r="N381"/>
    </x:row>
    <x:row r="382">
      <x:c r="A382" t="str">
        <x:v>DEU-000381</x:v>
      </x:c>
      <x:c r="B382" t="str">
        <x:v>USR-00200</x:v>
      </x:c>
      <x:c r="C382" t="n">
        <x:v>45839</x:v>
      </x:c>
      <x:c r="D382" t="str">
        <x:v>Entidad financiera B</x:v>
      </x:c>
      <x:c r="E382" t="str">
        <x:v>Crédito de consumo</x:v>
      </x:c>
      <x:c r="F382" t="n">
        <x:v>16400000</x:v>
      </x:c>
      <x:c r="G382" s="40" t="n">
        <x:v>0.2647</x:v>
      </x:c>
      <x:c r="H382" s="40" t="n">
        <x:v>0.019762</x:v>
      </x:c>
      <x:c r="I382" t="n">
        <x:v>36</x:v>
      </x:c>
      <x:c r="J382" t="n">
        <x:v>641000</x:v>
      </x:c>
      <x:c r="K382" t="str">
        <x:v>Bola de nieve</x:v>
      </x:c>
      <x:c r="L382" t="str">
        <x:v>Vigente</x:v>
      </x:c>
      <x:c r="M382" t="n">
        <x:v>15251741.78</x:v>
      </x:c>
      <x:c r="N382"/>
    </x:row>
    <x:row r="383">
      <x:c r="A383" t="str">
        <x:v>DEU-000382</x:v>
      </x:c>
      <x:c r="B383" t="str">
        <x:v>USR-00201</x:v>
      </x:c>
      <x:c r="C383" t="n">
        <x:v>45839</x:v>
      </x:c>
      <x:c r="D383" t="str">
        <x:v>Entidad financiera B</x:v>
      </x:c>
      <x:c r="E383" t="str">
        <x:v>Crédito de vehículo</x:v>
      </x:c>
      <x:c r="F383" t="n">
        <x:v>13690000</x:v>
      </x:c>
      <x:c r="G383" s="40" t="n">
        <x:v>0.2618</x:v>
      </x:c>
      <x:c r="H383" s="40" t="n">
        <x:v>0.019567</x:v>
      </x:c>
      <x:c r="I383" t="n">
        <x:v>18</x:v>
      </x:c>
      <x:c r="J383" t="n">
        <x:v>909700</x:v>
      </x:c>
      <x:c r="K383" t="str">
        <x:v>Bola de nieve</x:v>
      </x:c>
      <x:c r="L383" t="str">
        <x:v>Vigente</x:v>
      </x:c>
      <x:c r="M383" t="n">
        <x:v>5701681.49</x:v>
      </x:c>
      <x:c r="N383"/>
    </x:row>
    <x:row r="384">
      <x:c r="A384" t="str">
        <x:v>DEU-000383</x:v>
      </x:c>
      <x:c r="B384" t="str">
        <x:v>USR-00201</x:v>
      </x:c>
      <x:c r="C384" t="n">
        <x:v>45839</x:v>
      </x:c>
      <x:c r="D384" t="str">
        <x:v>Financiera D</x:v>
      </x:c>
      <x:c r="E384" t="str">
        <x:v>Tarjeta de crédito</x:v>
      </x:c>
      <x:c r="F384" t="n">
        <x:v>8210000</x:v>
      </x:c>
      <x:c r="G384" s="40" t="n">
        <x:v>0.3022</x:v>
      </x:c>
      <x:c r="H384" s="40" t="n">
        <x:v>0.022248</x:v>
      </x:c>
      <x:c r="I384" t="n">
        <x:v>60</x:v>
      </x:c>
      <x:c r="J384" t="n">
        <x:v>249200</x:v>
      </x:c>
      <x:c r="K384" t="str">
        <x:v>Bola de nieve</x:v>
      </x:c>
      <x:c r="L384" t="str">
        <x:v>Vigente</x:v>
      </x:c>
      <x:c r="M384" t="n">
        <x:v>7692863.77</x:v>
      </x:c>
      <x:c r="N384"/>
    </x:row>
    <x:row r="385">
      <x:c r="A385" t="str">
        <x:v>DEU-000384</x:v>
      </x:c>
      <x:c r="B385" t="str">
        <x:v>USR-00202</x:v>
      </x:c>
      <x:c r="C385" t="n">
        <x:v>45839</x:v>
      </x:c>
      <x:c r="D385" t="str">
        <x:v>Cooperativa C</x:v>
      </x:c>
      <x:c r="E385" t="str">
        <x:v>Tarjeta de crédito</x:v>
      </x:c>
      <x:c r="F385" t="n">
        <x:v>3100000</x:v>
      </x:c>
      <x:c r="G385" s="40" t="n">
        <x:v>0.108</x:v>
      </x:c>
      <x:c r="H385" s="40" t="n">
        <x:v>0.008583</x:v>
      </x:c>
      <x:c r="I385" t="n">
        <x:v>36</x:v>
      </x:c>
      <x:c r="J385" t="n">
        <x:v>100500</x:v>
      </x:c>
      <x:c r="K385" t="str">
        <x:v>Avalancha</x:v>
      </x:c>
      <x:c r="L385" t="str">
        <x:v>Vigente</x:v>
      </x:c>
      <x:c r="M385" t="n">
        <x:v>2774513.05</x:v>
      </x:c>
      <x:c r="N385"/>
    </x:row>
    <x:row r="386">
      <x:c r="A386" t="str">
        <x:v>DEU-000385</x:v>
      </x:c>
      <x:c r="B386" t="str">
        <x:v>USR-00202</x:v>
      </x:c>
      <x:c r="C386" t="n">
        <x:v>45839</x:v>
      </x:c>
      <x:c r="D386" t="str">
        <x:v>Entidad financiera E</x:v>
      </x:c>
      <x:c r="E386" t="str">
        <x:v>Crédito de libre inversión</x:v>
      </x:c>
      <x:c r="F386" t="n">
        <x:v>19310000</x:v>
      </x:c>
      <x:c r="G386" s="40" t="n">
        <x:v>0.1057</x:v>
      </x:c>
      <x:c r="H386" s="40" t="n">
        <x:v>0.008408</x:v>
      </x:c>
      <x:c r="I386" t="n">
        <x:v>24</x:v>
      </x:c>
      <x:c r="J386" t="n">
        <x:v>891900</x:v>
      </x:c>
      <x:c r="K386" t="str">
        <x:v>Avalancha</x:v>
      </x:c>
      <x:c r="L386" t="str">
        <x:v>Vigente</x:v>
      </x:c>
      <x:c r="M386" t="n">
        <x:v>11593456.16</x:v>
      </x:c>
      <x:c r="N386"/>
    </x:row>
    <x:row r="387">
      <x:c r="A387" t="str">
        <x:v>DEU-000386</x:v>
      </x:c>
      <x:c r="B387" t="str">
        <x:v>USR-00203</x:v>
      </x:c>
      <x:c r="C387" t="n">
        <x:v>45839</x:v>
      </x:c>
      <x:c r="D387" t="str">
        <x:v>Cooperativa C</x:v>
      </x:c>
      <x:c r="E387" t="str">
        <x:v>Tarjeta de crédito</x:v>
      </x:c>
      <x:c r="F387" t="n">
        <x:v>5050000</x:v>
      </x:c>
      <x:c r="G387" s="40" t="n">
        <x:v>0.2025</x:v>
      </x:c>
      <x:c r="H387" s="40" t="n">
        <x:v>0.015486</x:v>
      </x:c>
      <x:c r="I387" t="n">
        <x:v>24</x:v>
      </x:c>
      <x:c r="J387" t="n">
        <x:v>253500</x:v>
      </x:c>
      <x:c r="K387" t="str">
        <x:v>Avalancha</x:v>
      </x:c>
      <x:c r="L387" t="str">
        <x:v>Vigente</x:v>
      </x:c>
      <x:c r="M387" t="n">
        <x:v>3270328.46</x:v>
      </x:c>
      <x:c r="N387"/>
    </x:row>
    <x:row r="388">
      <x:c r="A388" t="str">
        <x:v>DEU-000387</x:v>
      </x:c>
      <x:c r="B388" t="str">
        <x:v>USR-00203</x:v>
      </x:c>
      <x:c r="C388" t="n">
        <x:v>45839</x:v>
      </x:c>
      <x:c r="D388" t="str">
        <x:v>Entidad financiera B</x:v>
      </x:c>
      <x:c r="E388" t="str">
        <x:v>Tarjeta de crédito</x:v>
      </x:c>
      <x:c r="F388" t="n">
        <x:v>3570000</x:v>
      </x:c>
      <x:c r="G388" s="40" t="n">
        <x:v>0.2292</x:v>
      </x:c>
      <x:c r="H388" s="40" t="n">
        <x:v>0.017346</x:v>
      </x:c>
      <x:c r="I388" t="n">
        <x:v>48</x:v>
      </x:c>
      <x:c r="J388" t="n">
        <x:v>110200</x:v>
      </x:c>
      <x:c r="K388" t="str">
        <x:v>Avalancha</x:v>
      </x:c>
      <x:c r="L388" t="str">
        <x:v>Vigente</x:v>
      </x:c>
      <x:c r="M388" t="n">
        <x:v>3045268.01</x:v>
      </x:c>
      <x:c r="N388"/>
    </x:row>
    <x:row r="389">
      <x:c r="A389" t="str">
        <x:v>DEU-000388</x:v>
      </x:c>
      <x:c r="B389" t="str">
        <x:v>USR-00204</x:v>
      </x:c>
      <x:c r="C389" t="n">
        <x:v>45839</x:v>
      </x:c>
      <x:c r="D389" t="str">
        <x:v>Entidad financiera A</x:v>
      </x:c>
      <x:c r="E389" t="str">
        <x:v>Crédito educativo</x:v>
      </x:c>
      <x:c r="F389" t="n">
        <x:v>8330000</x:v>
      </x:c>
      <x:c r="G389" s="40" t="n">
        <x:v>0.2773</x:v>
      </x:c>
      <x:c r="H389" s="40" t="n">
        <x:v>0.020605</x:v>
      </x:c>
      <x:c r="I389" t="n">
        <x:v>36</x:v>
      </x:c>
      <x:c r="J389" t="n">
        <x:v>330000</x:v>
      </x:c>
      <x:c r="K389" t="str">
        <x:v>Avalancha</x:v>
      </x:c>
      <x:c r="L389" t="str">
        <x:v>Vigente</x:v>
      </x:c>
      <x:c r="M389" t="n">
        <x:v>5525807.16</x:v>
      </x:c>
      <x:c r="N389"/>
    </x:row>
    <x:row r="390">
      <x:c r="A390" t="str">
        <x:v>DEU-000389</x:v>
      </x:c>
      <x:c r="B390" t="str">
        <x:v>USR-00204</x:v>
      </x:c>
      <x:c r="C390" t="n">
        <x:v>45839</x:v>
      </x:c>
      <x:c r="D390" t="str">
        <x:v>Entidad financiera E</x:v>
      </x:c>
      <x:c r="E390" t="str">
        <x:v>Crédito de libre inversión</x:v>
      </x:c>
      <x:c r="F390" t="n">
        <x:v>15160000</x:v>
      </x:c>
      <x:c r="G390" s="40" t="n">
        <x:v>0.3411</x:v>
      </x:c>
      <x:c r="H390" s="40" t="n">
        <x:v>0.024759</x:v>
      </x:c>
      <x:c r="I390" t="n">
        <x:v>60</x:v>
      </x:c>
      <x:c r="J390" t="n">
        <x:v>487800</x:v>
      </x:c>
      <x:c r="K390" t="str">
        <x:v>Avalancha</x:v>
      </x:c>
      <x:c r="L390" t="str">
        <x:v>Vigente</x:v>
      </x:c>
      <x:c r="M390" t="n">
        <x:v>15139984.99</x:v>
      </x:c>
      <x:c r="N390"/>
    </x:row>
    <x:row r="391">
      <x:c r="A391" t="str">
        <x:v>DEU-000390</x:v>
      </x:c>
      <x:c r="B391" t="str">
        <x:v>USR-00205</x:v>
      </x:c>
      <x:c r="C391" t="n">
        <x:v>45839</x:v>
      </x:c>
      <x:c r="D391" t="str">
        <x:v>Entidad financiera E</x:v>
      </x:c>
      <x:c r="E391" t="str">
        <x:v>Tarjeta de crédito</x:v>
      </x:c>
      <x:c r="F391" t="n">
        <x:v>7270000</x:v>
      </x:c>
      <x:c r="G391" s="40" t="n">
        <x:v>0.1795</x:v>
      </x:c>
      <x:c r="H391" s="40" t="n">
        <x:v>0.013853</x:v>
      </x:c>
      <x:c r="I391" t="n">
        <x:v>36</x:v>
      </x:c>
      <x:c r="J391" t="n">
        <x:v>257800</x:v>
      </x:c>
      <x:c r="K391" t="str">
        <x:v>Avalancha</x:v>
      </x:c>
      <x:c r="L391" t="str">
        <x:v>Vigente</x:v>
      </x:c>
      <x:c r="M391" t="n">
        <x:v>5140683.32</x:v>
      </x:c>
      <x:c r="N391"/>
    </x:row>
    <x:row r="392">
      <x:c r="A392" t="str">
        <x:v>DEU-000391</x:v>
      </x:c>
      <x:c r="B392" t="str">
        <x:v>USR-00205</x:v>
      </x:c>
      <x:c r="C392" t="n">
        <x:v>45839</x:v>
      </x:c>
      <x:c r="D392" t="str">
        <x:v>Financiera D</x:v>
      </x:c>
      <x:c r="E392" t="str">
        <x:v>Crédito educativo</x:v>
      </x:c>
      <x:c r="F392" t="n">
        <x:v>8700000</x:v>
      </x:c>
      <x:c r="G392" s="40" t="n">
        <x:v>0.2189</x:v>
      </x:c>
      <x:c r="H392" s="40" t="n">
        <x:v>0.016633</x:v>
      </x:c>
      <x:c r="I392" t="n">
        <x:v>48</x:v>
      </x:c>
      <x:c r="J392" t="n">
        <x:v>264600</x:v>
      </x:c>
      <x:c r="K392" t="str">
        <x:v>Avalancha</x:v>
      </x:c>
      <x:c r="L392" t="str">
        <x:v>Vigente</x:v>
      </x:c>
      <x:c r="M392" t="n">
        <x:v>8280212</x:v>
      </x:c>
      <x:c r="N392"/>
    </x:row>
    <x:row r="393">
      <x:c r="A393" t="str">
        <x:v>DEU-000392</x:v>
      </x:c>
      <x:c r="B393" t="str">
        <x:v>USR-00206</x:v>
      </x:c>
      <x:c r="C393" t="n">
        <x:v>45839</x:v>
      </x:c>
      <x:c r="D393" t="str">
        <x:v>Cooperativa C</x:v>
      </x:c>
      <x:c r="E393" t="str">
        <x:v>Tarjeta de crédito</x:v>
      </x:c>
      <x:c r="F393" t="n">
        <x:v>4430000</x:v>
      </x:c>
      <x:c r="G393" s="40" t="n">
        <x:v>0.1953</x:v>
      </x:c>
      <x:c r="H393" s="40" t="n">
        <x:v>0.014977</x:v>
      </x:c>
      <x:c r="I393" t="n">
        <x:v>12</x:v>
      </x:c>
      <x:c r="J393" t="n">
        <x:v>406100</x:v>
      </x:c>
      <x:c r="K393" t="str">
        <x:v>Bola de nieve</x:v>
      </x:c>
      <x:c r="L393" t="str">
        <x:v>Vigente</x:v>
      </x:c>
      <x:c r="M393" t="n">
        <x:v>45863.43</x:v>
      </x:c>
      <x:c r="N393"/>
    </x:row>
    <x:row r="394">
      <x:c r="A394" t="str">
        <x:v>DEU-000393</x:v>
      </x:c>
      <x:c r="B394" t="str">
        <x:v>USR-00207</x:v>
      </x:c>
      <x:c r="C394" t="n">
        <x:v>45839</x:v>
      </x:c>
      <x:c r="D394" t="str">
        <x:v>Entidad financiera E</x:v>
      </x:c>
      <x:c r="E394" t="str">
        <x:v>Tarjeta de crédito</x:v>
      </x:c>
      <x:c r="F394" t="n">
        <x:v>6860000</x:v>
      </x:c>
      <x:c r="G394" s="40" t="n">
        <x:v>0.1142</x:v>
      </x:c>
      <x:c r="H394" s="40" t="n">
        <x:v>0.009052</x:v>
      </x:c>
      <x:c r="I394" t="n">
        <x:v>48</x:v>
      </x:c>
      <x:c r="J394" t="n">
        <x:v>176800</x:v>
      </x:c>
      <x:c r="K394" t="str">
        <x:v>Avalancha</x:v>
      </x:c>
      <x:c r="L394" t="str">
        <x:v>Vigente</x:v>
      </x:c>
      <x:c r="M394" t="n">
        <x:v>5293688.18</x:v>
      </x:c>
      <x:c r="N394"/>
    </x:row>
    <x:row r="395">
      <x:c r="A395" t="str">
        <x:v>DEU-000394</x:v>
      </x:c>
      <x:c r="B395" t="str">
        <x:v>USR-00208</x:v>
      </x:c>
      <x:c r="C395" t="n">
        <x:v>45839</x:v>
      </x:c>
      <x:c r="D395" t="str">
        <x:v>Entidad financiera E</x:v>
      </x:c>
      <x:c r="E395" t="str">
        <x:v>Crédito de vehículo</x:v>
      </x:c>
      <x:c r="F395" t="n">
        <x:v>39230000</x:v>
      </x:c>
      <x:c r="G395" s="40" t="n">
        <x:v>0.2655</x:v>
      </x:c>
      <x:c r="H395" s="40" t="n">
        <x:v>0.019816</x:v>
      </x:c>
      <x:c r="I395" t="n">
        <x:v>30</x:v>
      </x:c>
      <x:c r="J395" t="n">
        <x:v>1747200</x:v>
      </x:c>
      <x:c r="K395" t="str">
        <x:v>Avalancha</x:v>
      </x:c>
      <x:c r="L395" t="str">
        <x:v>Vigente</x:v>
      </x:c>
      <x:c r="M395" t="n">
        <x:v>33053117.52</x:v>
      </x:c>
      <x:c r="N395"/>
    </x:row>
    <x:row r="396">
      <x:c r="A396" t="str">
        <x:v>DEU-000395</x:v>
      </x:c>
      <x:c r="B396" t="str">
        <x:v>USR-00209</x:v>
      </x:c>
      <x:c r="C396" t="n">
        <x:v>45839</x:v>
      </x:c>
      <x:c r="D396" t="str">
        <x:v>Financiera D</x:v>
      </x:c>
      <x:c r="E396" t="str">
        <x:v>Crédito educativo</x:v>
      </x:c>
      <x:c r="F396" t="n">
        <x:v>7870000</x:v>
      </x:c>
      <x:c r="G396" s="40" t="n">
        <x:v>0.2742</x:v>
      </x:c>
      <x:c r="H396" s="40" t="n">
        <x:v>0.020398</x:v>
      </x:c>
      <x:c r="I396" t="n">
        <x:v>12</x:v>
      </x:c>
      <x:c r="J396" t="n">
        <x:v>746000</x:v>
      </x:c>
      <x:c r="K396" t="str">
        <x:v>Avalancha</x:v>
      </x:c>
      <x:c r="L396" t="str">
        <x:v>Vigente</x:v>
      </x:c>
      <x:c r="M396" t="n">
        <x:v>3136478.38</x:v>
      </x:c>
      <x:c r="N396"/>
    </x:row>
    <x:row r="397">
      <x:c r="A397" t="str">
        <x:v>DEU-000396</x:v>
      </x:c>
      <x:c r="B397" t="str">
        <x:v>USR-00209</x:v>
      </x:c>
      <x:c r="C397" t="n">
        <x:v>45839</x:v>
      </x:c>
      <x:c r="D397" t="str">
        <x:v>Financiera D</x:v>
      </x:c>
      <x:c r="E397" t="str">
        <x:v>Crédito comercial</x:v>
      </x:c>
      <x:c r="F397" t="n">
        <x:v>30120000</x:v>
      </x:c>
      <x:c r="G397" s="40" t="n">
        <x:v>0.2666</x:v>
      </x:c>
      <x:c r="H397" s="40" t="n">
        <x:v>0.01989</x:v>
      </x:c>
      <x:c r="I397" t="n">
        <x:v>48</x:v>
      </x:c>
      <x:c r="J397" t="n">
        <x:v>979800</x:v>
      </x:c>
      <x:c r="K397" t="str">
        <x:v>Avalancha</x:v>
      </x:c>
      <x:c r="L397" t="str">
        <x:v>Vigente</x:v>
      </x:c>
      <x:c r="M397" t="n">
        <x:v>29272030.28</x:v>
      </x:c>
      <x:c r="N397"/>
    </x:row>
    <x:row r="398">
      <x:c r="A398" t="str">
        <x:v>DEU-000397</x:v>
      </x:c>
      <x:c r="B398" t="str">
        <x:v>USR-00210</x:v>
      </x:c>
      <x:c r="C398" t="n">
        <x:v>45839</x:v>
      </x:c>
      <x:c r="D398" t="str">
        <x:v>Entidad financiera E</x:v>
      </x:c>
      <x:c r="E398" t="str">
        <x:v>Crédito de libre inversión</x:v>
      </x:c>
      <x:c r="F398" t="n">
        <x:v>22740000</x:v>
      </x:c>
      <x:c r="G398" s="40" t="n">
        <x:v>0.2211</x:v>
      </x:c>
      <x:c r="H398" s="40" t="n">
        <x:v>0.016785</x:v>
      </x:c>
      <x:c r="I398" t="n">
        <x:v>18</x:v>
      </x:c>
      <x:c r="J398" t="n">
        <x:v>1474300</x:v>
      </x:c>
      <x:c r="K398" t="str">
        <x:v>Avalancha</x:v>
      </x:c>
      <x:c r="L398" t="str">
        <x:v>Vigente</x:v>
      </x:c>
      <x:c r="M398" t="n">
        <x:v>7022750.37</x:v>
      </x:c>
      <x:c r="N398"/>
    </x:row>
    <x:row r="399">
      <x:c r="A399" t="str">
        <x:v>DEU-000398</x:v>
      </x:c>
      <x:c r="B399" t="str">
        <x:v>USR-00210</x:v>
      </x:c>
      <x:c r="C399" t="n">
        <x:v>45839</x:v>
      </x:c>
      <x:c r="D399" t="str">
        <x:v>Entidad financiera B</x:v>
      </x:c>
      <x:c r="E399" t="str">
        <x:v>Crédito de vehículo</x:v>
      </x:c>
      <x:c r="F399" t="n">
        <x:v>53350000</x:v>
      </x:c>
      <x:c r="G399" s="40" t="n">
        <x:v>0.1568</x:v>
      </x:c>
      <x:c r="H399" s="40" t="n">
        <x:v>0.012212</x:v>
      </x:c>
      <x:c r="I399" t="n">
        <x:v>48</x:v>
      </x:c>
      <x:c r="J399" t="n">
        <x:v>1475400</x:v>
      </x:c>
      <x:c r="K399" t="str">
        <x:v>Avalancha</x:v>
      </x:c>
      <x:c r="L399" t="str">
        <x:v>Vigente</x:v>
      </x:c>
      <x:c r="M399" t="n">
        <x:v>50935204.43</x:v>
      </x:c>
      <x:c r="N399"/>
    </x:row>
    <x:row r="400">
      <x:c r="A400" t="str">
        <x:v>DEU-000399</x:v>
      </x:c>
      <x:c r="B400" t="str">
        <x:v>USR-00211</x:v>
      </x:c>
      <x:c r="C400" t="n">
        <x:v>45839</x:v>
      </x:c>
      <x:c r="D400" t="str">
        <x:v>Entidad financiera B</x:v>
      </x:c>
      <x:c r="E400" t="str">
        <x:v>Crédito de libre inversión</x:v>
      </x:c>
      <x:c r="F400" t="n">
        <x:v>13390000</x:v>
      </x:c>
      <x:c r="G400" s="40" t="n">
        <x:v>0.3253</x:v>
      </x:c>
      <x:c r="H400" s="40" t="n">
        <x:v>0.023747</x:v>
      </x:c>
      <x:c r="I400" t="n">
        <x:v>18</x:v>
      </x:c>
      <x:c r="J400" t="n">
        <x:v>922800</x:v>
      </x:c>
      <x:c r="K400" t="str">
        <x:v>Bola de nieve</x:v>
      </x:c>
      <x:c r="L400" t="str">
        <x:v>Vigente</x:v>
      </x:c>
      <x:c r="M400" t="n">
        <x:v>7758597.08</x:v>
      </x:c>
      <x:c r="N400"/>
    </x:row>
    <x:row r="401">
      <x:c r="A401" t="str">
        <x:v>DEU-000400</x:v>
      </x:c>
      <x:c r="B401" t="str">
        <x:v>USR-00212</x:v>
      </x:c>
      <x:c r="C401" t="n">
        <x:v>45839</x:v>
      </x:c>
      <x:c r="D401" t="str">
        <x:v>Entidad financiera B</x:v>
      </x:c>
      <x:c r="E401" t="str">
        <x:v>Crédito de libre inversión</x:v>
      </x:c>
      <x:c r="F401" t="n">
        <x:v>7550000</x:v>
      </x:c>
      <x:c r="G401" s="40" t="n">
        <x:v>0.1982</x:v>
      </x:c>
      <x:c r="H401" s="40" t="n">
        <x:v>0.015182</x:v>
      </x:c>
      <x:c r="I401" t="n">
        <x:v>48</x:v>
      </x:c>
      <x:c r="J401" t="n">
        <x:v>222600</x:v>
      </x:c>
      <x:c r="K401" t="str">
        <x:v>Bola de nieve</x:v>
      </x:c>
      <x:c r="L401" t="str">
        <x:v>Vigente</x:v>
      </x:c>
      <x:c r="M401" t="n">
        <x:v>6173671.27</x:v>
      </x:c>
      <x:c r="N401"/>
    </x:row>
    <x:row r="402">
      <x:c r="A402" t="str">
        <x:v>DEU-000401</x:v>
      </x:c>
      <x:c r="B402" t="str">
        <x:v>USR-00213</x:v>
      </x:c>
      <x:c r="C402" t="n">
        <x:v>45839</x:v>
      </x:c>
      <x:c r="D402" t="str">
        <x:v>Entidad financiera E</x:v>
      </x:c>
      <x:c r="E402" t="str">
        <x:v>Crédito de consumo</x:v>
      </x:c>
      <x:c r="F402" t="n">
        <x:v>5190000</x:v>
      </x:c>
      <x:c r="G402" s="40" t="n">
        <x:v>0.1718</x:v>
      </x:c>
      <x:c r="H402" s="40" t="n">
        <x:v>0.013299</x:v>
      </x:c>
      <x:c r="I402" t="n">
        <x:v>12</x:v>
      </x:c>
      <x:c r="J402" t="n">
        <x:v>470800</x:v>
      </x:c>
      <x:c r="K402" t="str">
        <x:v>Avalancha</x:v>
      </x:c>
      <x:c r="L402" t="str">
        <x:v>Vigente</x:v>
      </x:c>
      <x:c r="M402" t="n">
        <x:v>1380727.25</x:v>
      </x:c>
      <x:c r="N402"/>
    </x:row>
    <x:row r="403">
      <x:c r="A403" t="str">
        <x:v>DEU-000402</x:v>
      </x:c>
      <x:c r="B403" t="str">
        <x:v>USR-00214</x:v>
      </x:c>
      <x:c r="C403" t="n">
        <x:v>45839</x:v>
      </x:c>
      <x:c r="D403" t="str">
        <x:v>Entidad financiera A</x:v>
      </x:c>
      <x:c r="E403" t="str">
        <x:v>Tarjeta de crédito</x:v>
      </x:c>
      <x:c r="F403" t="n">
        <x:v>6880000</x:v>
      </x:c>
      <x:c r="G403" s="40" t="n">
        <x:v>0.1249</x:v>
      </x:c>
      <x:c r="H403" s="40" t="n">
        <x:v>0.009856</x:v>
      </x:c>
      <x:c r="I403" t="n">
        <x:v>18</x:v>
      </x:c>
      <x:c r="J403" t="n">
        <x:v>419000</x:v>
      </x:c>
      <x:c r="K403" t="str">
        <x:v>Avalancha</x:v>
      </x:c>
      <x:c r="L403" t="str">
        <x:v>Vigente</x:v>
      </x:c>
      <x:c r="M403" t="n">
        <x:v>2505991.62</x:v>
      </x:c>
      <x:c r="N403"/>
    </x:row>
    <x:row r="404">
      <x:c r="A404" t="str">
        <x:v>DEU-000403</x:v>
      </x:c>
      <x:c r="B404" t="str">
        <x:v>USR-00214</x:v>
      </x:c>
      <x:c r="C404" t="n">
        <x:v>45839</x:v>
      </x:c>
      <x:c r="D404" t="str">
        <x:v>Entidad financiera B</x:v>
      </x:c>
      <x:c r="E404" t="str">
        <x:v>Tarjeta de crédito</x:v>
      </x:c>
      <x:c r="F404" t="n">
        <x:v>5830000</x:v>
      </x:c>
      <x:c r="G404" s="40" t="n">
        <x:v>0.3136</x:v>
      </x:c>
      <x:c r="H404" s="40" t="n">
        <x:v>0.022991</x:v>
      </x:c>
      <x:c r="I404" t="n">
        <x:v>24</x:v>
      </x:c>
      <x:c r="J404" t="n">
        <x:v>318800</x:v>
      </x:c>
      <x:c r="K404" t="str">
        <x:v>Bola de nieve</x:v>
      </x:c>
      <x:c r="L404" t="str">
        <x:v>Vigente</x:v>
      </x:c>
      <x:c r="M404" t="n">
        <x:v>3317699.79</x:v>
      </x:c>
      <x:c r="N404"/>
    </x:row>
    <x:row r="405">
      <x:c r="A405" t="str">
        <x:v>DEU-000404</x:v>
      </x:c>
      <x:c r="B405" t="str">
        <x:v>USR-00214</x:v>
      </x:c>
      <x:c r="C405" t="n">
        <x:v>45839</x:v>
      </x:c>
      <x:c r="D405" t="str">
        <x:v>Cooperativa C</x:v>
      </x:c>
      <x:c r="E405" t="str">
        <x:v>Crédito educativo</x:v>
      </x:c>
      <x:c r="F405" t="n">
        <x:v>25350000</x:v>
      </x:c>
      <x:c r="G405" s="40" t="n">
        <x:v>0.3042</x:v>
      </x:c>
      <x:c r="H405" s="40" t="n">
        <x:v>0.022379</x:v>
      </x:c>
      <x:c r="I405" t="n">
        <x:v>36</x:v>
      </x:c>
      <x:c r="J405" t="n">
        <x:v>1032900</x:v>
      </x:c>
      <x:c r="K405" t="str">
        <x:v>Avalancha</x:v>
      </x:c>
      <x:c r="L405" t="str">
        <x:v>Vigente</x:v>
      </x:c>
      <x:c r="M405" t="n">
        <x:v>20033164.67</x:v>
      </x:c>
      <x:c r="N405"/>
    </x:row>
    <x:row r="406">
      <x:c r="A406" t="str">
        <x:v>DEU-000405</x:v>
      </x:c>
      <x:c r="B406" t="str">
        <x:v>USR-00214</x:v>
      </x:c>
      <x:c r="C406" t="n">
        <x:v>45839</x:v>
      </x:c>
      <x:c r="D406" t="str">
        <x:v>Financiera D</x:v>
      </x:c>
      <x:c r="E406" t="str">
        <x:v>Crédito de consumo</x:v>
      </x:c>
      <x:c r="F406" t="n">
        <x:v>4740000</x:v>
      </x:c>
      <x:c r="G406" s="40" t="n">
        <x:v>0.2535</x:v>
      </x:c>
      <x:c r="H406" s="40" t="n">
        <x:v>0.019007</x:v>
      </x:c>
      <x:c r="I406" t="n">
        <x:v>12</x:v>
      </x:c>
      <x:c r="J406" t="n">
        <x:v>445500</x:v>
      </x:c>
      <x:c r="K406" t="str">
        <x:v>Avalancha</x:v>
      </x:c>
      <x:c r="L406" t="str">
        <x:v>Pagada</x:v>
      </x:c>
      <x:c r="M406" t="n">
        <x:v>0</x:v>
      </x:c>
      <x:c r="N406" t="n">
        <x:v>46174</x:v>
      </x:c>
    </x:row>
    <x:row r="407">
      <x:c r="A407" t="str">
        <x:v>DEU-000406</x:v>
      </x:c>
      <x:c r="B407" t="str">
        <x:v>USR-00215</x:v>
      </x:c>
      <x:c r="C407" t="n">
        <x:v>45839</x:v>
      </x:c>
      <x:c r="D407" t="str">
        <x:v>Cooperativa C</x:v>
      </x:c>
      <x:c r="E407" t="str">
        <x:v>Crédito de consumo</x:v>
      </x:c>
      <x:c r="F407" t="n">
        <x:v>2360000</x:v>
      </x:c>
      <x:c r="G407" s="40" t="n">
        <x:v>0.3093</x:v>
      </x:c>
      <x:c r="H407" s="40" t="n">
        <x:v>0.022712</x:v>
      </x:c>
      <x:c r="I407" t="n">
        <x:v>24</x:v>
      </x:c>
      <x:c r="J407" t="n">
        <x:v>128600</x:v>
      </x:c>
      <x:c r="K407" t="str">
        <x:v>Avalancha</x:v>
      </x:c>
      <x:c r="L407" t="str">
        <x:v>Vigente</x:v>
      </x:c>
      <x:c r="M407" t="n">
        <x:v>1497380.21</x:v>
      </x:c>
      <x:c r="N407"/>
    </x:row>
    <x:row r="408">
      <x:c r="A408" t="str">
        <x:v>DEU-000407</x:v>
      </x:c>
      <x:c r="B408" t="str">
        <x:v>USR-00215</x:v>
      </x:c>
      <x:c r="C408" t="n">
        <x:v>45839</x:v>
      </x:c>
      <x:c r="D408" t="str">
        <x:v>Entidad financiera A</x:v>
      </x:c>
      <x:c r="E408" t="str">
        <x:v>Tarjeta de crédito</x:v>
      </x:c>
      <x:c r="F408" t="n">
        <x:v>7400000</x:v>
      </x:c>
      <x:c r="G408" s="40" t="n">
        <x:v>0.1477</x:v>
      </x:c>
      <x:c r="H408" s="40" t="n">
        <x:v>0.011546</x:v>
      </x:c>
      <x:c r="I408" t="n">
        <x:v>12</x:v>
      </x:c>
      <x:c r="J408" t="n">
        <x:v>663900</x:v>
      </x:c>
      <x:c r="K408" t="str">
        <x:v>Avalancha</x:v>
      </x:c>
      <x:c r="L408" t="str">
        <x:v>Vigente</x:v>
      </x:c>
      <x:c r="M408" t="n">
        <x:v>2024865.62</x:v>
      </x:c>
      <x:c r="N408"/>
    </x:row>
    <x:row r="409">
      <x:c r="A409" t="str">
        <x:v>DEU-000408</x:v>
      </x:c>
      <x:c r="B409" t="str">
        <x:v>USR-00215</x:v>
      </x:c>
      <x:c r="C409" t="n">
        <x:v>45839</x:v>
      </x:c>
      <x:c r="D409" t="str">
        <x:v>Financiera D</x:v>
      </x:c>
      <x:c r="E409" t="str">
        <x:v>Tarjeta de crédito</x:v>
      </x:c>
      <x:c r="F409" t="n">
        <x:v>6090000</x:v>
      </x:c>
      <x:c r="G409" s="40" t="n">
        <x:v>0.266</x:v>
      </x:c>
      <x:c r="H409" s="40" t="n">
        <x:v>0.01985</x:v>
      </x:c>
      <x:c r="I409" t="n">
        <x:v>18</x:v>
      </x:c>
      <x:c r="J409" t="n">
        <x:v>405700</x:v>
      </x:c>
      <x:c r="K409" t="str">
        <x:v>Bola de nieve</x:v>
      </x:c>
      <x:c r="L409" t="str">
        <x:v>Vigente</x:v>
      </x:c>
      <x:c r="M409" t="n">
        <x:v>3051241.93</x:v>
      </x:c>
      <x:c r="N409"/>
    </x:row>
    <x:row r="410">
      <x:c r="A410" t="str">
        <x:v>DEU-000409</x:v>
      </x:c>
      <x:c r="B410" t="str">
        <x:v>USR-00216</x:v>
      </x:c>
      <x:c r="C410" t="n">
        <x:v>45839</x:v>
      </x:c>
      <x:c r="D410" t="str">
        <x:v>Entidad financiera A</x:v>
      </x:c>
      <x:c r="E410" t="str">
        <x:v>Tarjeta de crédito</x:v>
      </x:c>
      <x:c r="F410" t="n">
        <x:v>3750000</x:v>
      </x:c>
      <x:c r="G410" s="40" t="n">
        <x:v>0.1583</x:v>
      </x:c>
      <x:c r="H410" s="40" t="n">
        <x:v>0.012321</x:v>
      </x:c>
      <x:c r="I410" t="n">
        <x:v>48</x:v>
      </x:c>
      <x:c r="J410" t="n">
        <x:v>104000</x:v>
      </x:c>
      <x:c r="K410" t="str">
        <x:v>Bola de nieve</x:v>
      </x:c>
      <x:c r="L410" t="str">
        <x:v>Vigente</x:v>
      </x:c>
      <x:c r="M410" t="n">
        <x:v>2981104.56</x:v>
      </x:c>
      <x:c r="N410"/>
    </x:row>
    <x:row r="411">
      <x:c r="A411" t="str">
        <x:v>DEU-000410</x:v>
      </x:c>
      <x:c r="B411" t="str">
        <x:v>USR-00216</x:v>
      </x:c>
      <x:c r="C411" t="n">
        <x:v>45839</x:v>
      </x:c>
      <x:c r="D411" t="str">
        <x:v>Financiera D</x:v>
      </x:c>
      <x:c r="E411" t="str">
        <x:v>Crédito comercial</x:v>
      </x:c>
      <x:c r="F411" t="n">
        <x:v>24490000</x:v>
      </x:c>
      <x:c r="G411" s="40" t="n">
        <x:v>0.2512</x:v>
      </x:c>
      <x:c r="H411" s="40" t="n">
        <x:v>0.018851</x:v>
      </x:c>
      <x:c r="I411" t="n">
        <x:v>24</x:v>
      </x:c>
      <x:c r="J411" t="n">
        <x:v>1278000</x:v>
      </x:c>
      <x:c r="K411" t="str">
        <x:v>Avalancha</x:v>
      </x:c>
      <x:c r="L411" t="str">
        <x:v>Vigente</x:v>
      </x:c>
      <x:c r="M411" t="n">
        <x:v>20031474.92</x:v>
      </x:c>
      <x:c r="N411"/>
    </x:row>
    <x:row r="412">
      <x:c r="A412" t="str">
        <x:v>DEU-000411</x:v>
      </x:c>
      <x:c r="B412" t="str">
        <x:v>USR-00217</x:v>
      </x:c>
      <x:c r="C412" t="n">
        <x:v>45839</x:v>
      </x:c>
      <x:c r="D412" t="str">
        <x:v>Financiera D</x:v>
      </x:c>
      <x:c r="E412" t="str">
        <x:v>Crédito de consumo</x:v>
      </x:c>
      <x:c r="F412" t="n">
        <x:v>8420000</x:v>
      </x:c>
      <x:c r="G412" s="40" t="n">
        <x:v>0.2806</x:v>
      </x:c>
      <x:c r="H412" s="40" t="n">
        <x:v>0.020825</x:v>
      </x:c>
      <x:c r="I412" t="n">
        <x:v>18</x:v>
      </x:c>
      <x:c r="J412" t="n">
        <x:v>565700</x:v>
      </x:c>
      <x:c r="K412" t="str">
        <x:v>Bola de nieve</x:v>
      </x:c>
      <x:c r="L412" t="str">
        <x:v>Vigente</x:v>
      </x:c>
      <x:c r="M412" t="n">
        <x:v>4793479.95</x:v>
      </x:c>
      <x:c r="N412"/>
    </x:row>
    <x:row r="413">
      <x:c r="A413" t="str">
        <x:v>DEU-000412</x:v>
      </x:c>
      <x:c r="B413" t="str">
        <x:v>USR-00217</x:v>
      </x:c>
      <x:c r="C413" t="n">
        <x:v>45839</x:v>
      </x:c>
      <x:c r="D413" t="str">
        <x:v>Entidad financiera A</x:v>
      </x:c>
      <x:c r="E413" t="str">
        <x:v>Crédito de libre inversión</x:v>
      </x:c>
      <x:c r="F413" t="n">
        <x:v>1960000</x:v>
      </x:c>
      <x:c r="G413" s="40" t="n">
        <x:v>0.1238</x:v>
      </x:c>
      <x:c r="H413" s="40" t="n">
        <x:v>0.009774</x:v>
      </x:c>
      <x:c r="I413" t="n">
        <x:v>18</x:v>
      </x:c>
      <x:c r="J413" t="n">
        <x:v>119300</x:v>
      </x:c>
      <x:c r="K413" t="str">
        <x:v>Bola de nieve</x:v>
      </x:c>
      <x:c r="L413" t="str">
        <x:v>Vigente</x:v>
      </x:c>
      <x:c r="M413" t="n">
        <x:v>340071.74</x:v>
      </x:c>
      <x:c r="N413"/>
    </x:row>
    <x:row r="414">
      <x:c r="A414" t="str">
        <x:v>DEU-000413</x:v>
      </x:c>
      <x:c r="B414" t="str">
        <x:v>USR-00218</x:v>
      </x:c>
      <x:c r="C414" t="n">
        <x:v>45839</x:v>
      </x:c>
      <x:c r="D414" t="str">
        <x:v>Financiera D</x:v>
      </x:c>
      <x:c r="E414" t="str">
        <x:v>Crédito de consumo</x:v>
      </x:c>
      <x:c r="F414" t="n">
        <x:v>9860000</x:v>
      </x:c>
      <x:c r="G414" s="40" t="n">
        <x:v>0.1342</x:v>
      </x:c>
      <x:c r="H414" s="40" t="n">
        <x:v>0.010549</x:v>
      </x:c>
      <x:c r="I414" t="n">
        <x:v>36</x:v>
      </x:c>
      <x:c r="J414" t="n">
        <x:v>330600</x:v>
      </x:c>
      <x:c r="K414" t="str">
        <x:v>Avalancha</x:v>
      </x:c>
      <x:c r="L414" t="str">
        <x:v>Vigente</x:v>
      </x:c>
      <x:c r="M414" t="n">
        <x:v>6711992.53</x:v>
      </x:c>
      <x:c r="N414"/>
    </x:row>
    <x:row r="415">
      <x:c r="A415" t="str">
        <x:v>DEU-000414</x:v>
      </x:c>
      <x:c r="B415" t="str">
        <x:v>USR-00218</x:v>
      </x:c>
      <x:c r="C415" t="n">
        <x:v>45839</x:v>
      </x:c>
      <x:c r="D415" t="str">
        <x:v>Entidad financiera A</x:v>
      </x:c>
      <x:c r="E415" t="str">
        <x:v>Tarjeta de crédito</x:v>
      </x:c>
      <x:c r="F415" t="n">
        <x:v>7080000</x:v>
      </x:c>
      <x:c r="G415" s="40" t="n">
        <x:v>0.1134</x:v>
      </x:c>
      <x:c r="H415" s="40" t="n">
        <x:v>0.008992</x:v>
      </x:c>
      <x:c r="I415" t="n">
        <x:v>48</x:v>
      </x:c>
      <x:c r="J415" t="n">
        <x:v>182300</x:v>
      </x:c>
      <x:c r="K415" t="str">
        <x:v>Bola de nieve</x:v>
      </x:c>
      <x:c r="L415" t="str">
        <x:v>Vigente</x:v>
      </x:c>
      <x:c r="M415" t="n">
        <x:v>5741757.6</x:v>
      </x:c>
      <x:c r="N415"/>
    </x:row>
    <x:row r="416">
      <x:c r="A416" t="str">
        <x:v>DEU-000415</x:v>
      </x:c>
      <x:c r="B416" t="str">
        <x:v>USR-00219</x:v>
      </x:c>
      <x:c r="C416" t="n">
        <x:v>45839</x:v>
      </x:c>
      <x:c r="D416" t="str">
        <x:v>Cooperativa C</x:v>
      </x:c>
      <x:c r="E416" t="str">
        <x:v>Tarjeta de crédito</x:v>
      </x:c>
      <x:c r="F416" t="n">
        <x:v>1550000</x:v>
      </x:c>
      <x:c r="G416" s="40" t="n">
        <x:v>0.1648</x:v>
      </x:c>
      <x:c r="H416" s="40" t="n">
        <x:v>0.012794</x:v>
      </x:c>
      <x:c r="I416" t="n">
        <x:v>36</x:v>
      </x:c>
      <x:c r="J416" t="n">
        <x:v>54000</x:v>
      </x:c>
      <x:c r="K416" t="str">
        <x:v>Bola de nieve</x:v>
      </x:c>
      <x:c r="L416" t="str">
        <x:v>Vigente</x:v>
      </x:c>
      <x:c r="M416" t="n">
        <x:v>1371944.13</x:v>
      </x:c>
      <x:c r="N416"/>
    </x:row>
    <x:row r="417">
      <x:c r="A417" t="str">
        <x:v>DEU-000416</x:v>
      </x:c>
      <x:c r="B417" t="str">
        <x:v>USR-00220</x:v>
      </x:c>
      <x:c r="C417" t="n">
        <x:v>45839</x:v>
      </x:c>
      <x:c r="D417" t="str">
        <x:v>Entidad financiera B</x:v>
      </x:c>
      <x:c r="E417" t="str">
        <x:v>Crédito de consumo</x:v>
      </x:c>
      <x:c r="F417" t="n">
        <x:v>12750000</x:v>
      </x:c>
      <x:c r="G417" s="40" t="n">
        <x:v>0.2553</x:v>
      </x:c>
      <x:c r="H417" s="40" t="n">
        <x:v>0.019129</x:v>
      </x:c>
      <x:c r="I417" t="n">
        <x:v>36</x:v>
      </x:c>
      <x:c r="J417" t="n">
        <x:v>493200</x:v>
      </x:c>
      <x:c r="K417" t="str">
        <x:v>Bola de nieve</x:v>
      </x:c>
      <x:c r="L417" t="str">
        <x:v>Vigente</x:v>
      </x:c>
      <x:c r="M417" t="n">
        <x:v>12126195.93</x:v>
      </x:c>
      <x:c r="N417"/>
    </x:row>
    <x:row r="418">
      <x:c r="A418" t="str">
        <x:v>DEU-000417</x:v>
      </x:c>
      <x:c r="B418" t="str">
        <x:v>USR-00220</x:v>
      </x:c>
      <x:c r="C418" t="n">
        <x:v>45839</x:v>
      </x:c>
      <x:c r="D418" t="str">
        <x:v>Entidad financiera E</x:v>
      </x:c>
      <x:c r="E418" t="str">
        <x:v>Crédito educativo</x:v>
      </x:c>
      <x:c r="F418" t="n">
        <x:v>5760000</x:v>
      </x:c>
      <x:c r="G418" s="40" t="n">
        <x:v>0.295</x:v>
      </x:c>
      <x:c r="H418" s="40" t="n">
        <x:v>0.021776</x:v>
      </x:c>
      <x:c r="I418" t="n">
        <x:v>12</x:v>
      </x:c>
      <x:c r="J418" t="n">
        <x:v>550600</x:v>
      </x:c>
      <x:c r="K418" t="str">
        <x:v>Avalancha</x:v>
      </x:c>
      <x:c r="L418" t="str">
        <x:v>Vigente</x:v>
      </x:c>
      <x:c r="M418" t="n">
        <x:v>402512.21</x:v>
      </x:c>
      <x:c r="N418"/>
    </x:row>
    <x:row r="419">
      <x:c r="A419" t="str">
        <x:v>DEU-000418</x:v>
      </x:c>
      <x:c r="B419" t="str">
        <x:v>USR-00220</x:v>
      </x:c>
      <x:c r="C419" t="n">
        <x:v>45839</x:v>
      </x:c>
      <x:c r="D419" t="str">
        <x:v>Financiera D</x:v>
      </x:c>
      <x:c r="E419" t="str">
        <x:v>Crédito de vehículo</x:v>
      </x:c>
      <x:c r="F419" t="n">
        <x:v>30910000</x:v>
      </x:c>
      <x:c r="G419" s="40" t="n">
        <x:v>0.1101</x:v>
      </x:c>
      <x:c r="H419" s="40" t="n">
        <x:v>0.008742</x:v>
      </x:c>
      <x:c r="I419" t="n">
        <x:v>30</x:v>
      </x:c>
      <x:c r="J419" t="n">
        <x:v>1175800</x:v>
      </x:c>
      <x:c r="K419" t="str">
        <x:v>Avalancha</x:v>
      </x:c>
      <x:c r="L419" t="str">
        <x:v>Vigente</x:v>
      </x:c>
      <x:c r="M419" t="n">
        <x:v>17551166.83</x:v>
      </x:c>
      <x:c r="N419"/>
    </x:row>
    <x:row r="420">
      <x:c r="A420" t="str">
        <x:v>DEU-000419</x:v>
      </x:c>
      <x:c r="B420" t="str">
        <x:v>USR-00221</x:v>
      </x:c>
      <x:c r="C420" t="n">
        <x:v>45839</x:v>
      </x:c>
      <x:c r="D420" t="str">
        <x:v>Cooperativa C</x:v>
      </x:c>
      <x:c r="E420" t="str">
        <x:v>Crédito comercial</x:v>
      </x:c>
      <x:c r="F420" t="n">
        <x:v>16090000</x:v>
      </x:c>
      <x:c r="G420" s="40" t="n">
        <x:v>0.1206</x:v>
      </x:c>
      <x:c r="H420" s="40" t="n">
        <x:v>0.009534</x:v>
      </x:c>
      <x:c r="I420" t="n">
        <x:v>36</x:v>
      </x:c>
      <x:c r="J420" t="n">
        <x:v>530100</x:v>
      </x:c>
      <x:c r="K420" t="str">
        <x:v>Avalancha</x:v>
      </x:c>
      <x:c r="L420" t="str">
        <x:v>Vigente</x:v>
      </x:c>
      <x:c r="M420" t="n">
        <x:v>16214225.17</x:v>
      </x:c>
      <x:c r="N420"/>
    </x:row>
    <x:row r="421">
      <x:c r="A421" t="str">
        <x:v>DEU-000420</x:v>
      </x:c>
      <x:c r="B421" t="str">
        <x:v>USR-00221</x:v>
      </x:c>
      <x:c r="C421" t="n">
        <x:v>45839</x:v>
      </x:c>
      <x:c r="D421" t="str">
        <x:v>Entidad financiera B</x:v>
      </x:c>
      <x:c r="E421" t="str">
        <x:v>Crédito de consumo</x:v>
      </x:c>
      <x:c r="F421" t="n">
        <x:v>14680000</x:v>
      </x:c>
      <x:c r="G421" s="40" t="n">
        <x:v>0.1991</x:v>
      </x:c>
      <x:c r="H421" s="40" t="n">
        <x:v>0.015246</x:v>
      </x:c>
      <x:c r="I421" t="n">
        <x:v>48</x:v>
      </x:c>
      <x:c r="J421" t="n">
        <x:v>433500</x:v>
      </x:c>
      <x:c r="K421" t="str">
        <x:v>Bola de nieve</x:v>
      </x:c>
      <x:c r="L421" t="str">
        <x:v>Vigente</x:v>
      </x:c>
      <x:c r="M421" t="n">
        <x:v>15109595.95</x:v>
      </x:c>
      <x:c r="N421"/>
    </x:row>
    <x:row r="422">
      <x:c r="A422" t="str">
        <x:v>DEU-000421</x:v>
      </x:c>
      <x:c r="B422" t="str">
        <x:v>USR-00222</x:v>
      </x:c>
      <x:c r="C422" t="n">
        <x:v>45839</x:v>
      </x:c>
      <x:c r="D422" t="str">
        <x:v>Cooperativa C</x:v>
      </x:c>
      <x:c r="E422" t="str">
        <x:v>Tarjeta de crédito</x:v>
      </x:c>
      <x:c r="F422" t="n">
        <x:v>6850000</x:v>
      </x:c>
      <x:c r="G422" s="40" t="n">
        <x:v>0.1721</x:v>
      </x:c>
      <x:c r="H422" s="40" t="n">
        <x:v>0.013321</x:v>
      </x:c>
      <x:c r="I422" t="n">
        <x:v>30</x:v>
      </x:c>
      <x:c r="J422" t="n">
        <x:v>278500</x:v>
      </x:c>
      <x:c r="K422" t="str">
        <x:v>Avalancha</x:v>
      </x:c>
      <x:c r="L422" t="str">
        <x:v>Vigente</x:v>
      </x:c>
      <x:c r="M422" t="n">
        <x:v>6114508.42</x:v>
      </x:c>
      <x:c r="N422"/>
    </x:row>
    <x:row r="423">
      <x:c r="A423" t="str">
        <x:v>DEU-000422</x:v>
      </x:c>
      <x:c r="B423" t="str">
        <x:v>USR-00223</x:v>
      </x:c>
      <x:c r="C423" t="n">
        <x:v>45839</x:v>
      </x:c>
      <x:c r="D423" t="str">
        <x:v>Cooperativa C</x:v>
      </x:c>
      <x:c r="E423" t="str">
        <x:v>Tarjeta de crédito</x:v>
      </x:c>
      <x:c r="F423" t="n">
        <x:v>2560000</x:v>
      </x:c>
      <x:c r="G423" s="40" t="n">
        <x:v>0.3005</x:v>
      </x:c>
      <x:c r="H423" s="40" t="n">
        <x:v>0.022137</x:v>
      </x:c>
      <x:c r="I423" t="n">
        <x:v>48</x:v>
      </x:c>
      <x:c r="J423" t="n">
        <x:v>87100</x:v>
      </x:c>
      <x:c r="K423" t="str">
        <x:v>Bola de nieve</x:v>
      </x:c>
      <x:c r="L423" t="str">
        <x:v>Vigente</x:v>
      </x:c>
      <x:c r="M423" t="n">
        <x:v>2582246.22</x:v>
      </x:c>
      <x:c r="N423"/>
    </x:row>
    <x:row r="424">
      <x:c r="A424" t="str">
        <x:v>DEU-000423</x:v>
      </x:c>
      <x:c r="B424" t="str">
        <x:v>USR-00224</x:v>
      </x:c>
      <x:c r="C424" t="n">
        <x:v>45839</x:v>
      </x:c>
      <x:c r="D424" t="str">
        <x:v>Entidad financiera A</x:v>
      </x:c>
      <x:c r="E424" t="str">
        <x:v>Crédito de libre inversión</x:v>
      </x:c>
      <x:c r="F424" t="n">
        <x:v>5810000</x:v>
      </x:c>
      <x:c r="G424" s="40" t="n">
        <x:v>0.2811</x:v>
      </x:c>
      <x:c r="H424" s="40" t="n">
        <x:v>0.020858</x:v>
      </x:c>
      <x:c r="I424" t="n">
        <x:v>48</x:v>
      </x:c>
      <x:c r="J424" t="n">
        <x:v>192700</x:v>
      </x:c>
      <x:c r="K424" t="str">
        <x:v>Avalancha</x:v>
      </x:c>
      <x:c r="L424" t="str">
        <x:v>Vigente</x:v>
      </x:c>
      <x:c r="M424" t="n">
        <x:v>5205865.36</x:v>
      </x:c>
      <x:c r="N424"/>
    </x:row>
    <x:row r="425">
      <x:c r="A425" t="str">
        <x:v>DEU-000424</x:v>
      </x:c>
      <x:c r="B425" t="str">
        <x:v>USR-00224</x:v>
      </x:c>
      <x:c r="C425" t="n">
        <x:v>45839</x:v>
      </x:c>
      <x:c r="D425" t="str">
        <x:v>Entidad financiera E</x:v>
      </x:c>
      <x:c r="E425" t="str">
        <x:v>Crédito de consumo</x:v>
      </x:c>
      <x:c r="F425" t="n">
        <x:v>18510000</x:v>
      </x:c>
      <x:c r="G425" s="40" t="n">
        <x:v>0.2465</x:v>
      </x:c>
      <x:c r="H425" s="40" t="n">
        <x:v>0.018531</x:v>
      </x:c>
      <x:c r="I425" t="n">
        <x:v>24</x:v>
      </x:c>
      <x:c r="J425" t="n">
        <x:v>962400</x:v>
      </x:c>
      <x:c r="K425" t="str">
        <x:v>Bola de nieve</x:v>
      </x:c>
      <x:c r="L425" t="str">
        <x:v>Vigente</x:v>
      </x:c>
      <x:c r="M425" t="n">
        <x:v>12844083.56</x:v>
      </x:c>
      <x:c r="N425"/>
    </x:row>
    <x:row r="426">
      <x:c r="A426" t="str">
        <x:v>DEU-000425</x:v>
      </x:c>
      <x:c r="B426" t="str">
        <x:v>USR-00224</x:v>
      </x:c>
      <x:c r="C426" t="n">
        <x:v>45839</x:v>
      </x:c>
      <x:c r="D426" t="str">
        <x:v>Entidad financiera B</x:v>
      </x:c>
      <x:c r="E426" t="str">
        <x:v>Crédito de vehículo</x:v>
      </x:c>
      <x:c r="F426" t="n">
        <x:v>35800000</x:v>
      </x:c>
      <x:c r="G426" s="40" t="n">
        <x:v>0.2206</x:v>
      </x:c>
      <x:c r="H426" s="40" t="n">
        <x:v>0.016751</x:v>
      </x:c>
      <x:c r="I426" t="n">
        <x:v>30</x:v>
      </x:c>
      <x:c r="J426" t="n">
        <x:v>1527900</x:v>
      </x:c>
      <x:c r="K426" t="str">
        <x:v>Bola de nieve</x:v>
      </x:c>
      <x:c r="L426" t="str">
        <x:v>Vigente</x:v>
      </x:c>
      <x:c r="M426" t="n">
        <x:v>31557382.83</x:v>
      </x:c>
      <x:c r="N426"/>
    </x:row>
    <x:row r="427">
      <x:c r="A427" t="str">
        <x:v>DEU-000426</x:v>
      </x:c>
      <x:c r="B427" t="str">
        <x:v>USR-00224</x:v>
      </x:c>
      <x:c r="C427" t="n">
        <x:v>45839</x:v>
      </x:c>
      <x:c r="D427" t="str">
        <x:v>Cooperativa C</x:v>
      </x:c>
      <x:c r="E427" t="str">
        <x:v>Crédito educativo</x:v>
      </x:c>
      <x:c r="F427" t="n">
        <x:v>11530000</x:v>
      </x:c>
      <x:c r="G427" s="40" t="n">
        <x:v>0.2888</x:v>
      </x:c>
      <x:c r="H427" s="40" t="n">
        <x:v>0.021368</x:v>
      </x:c>
      <x:c r="I427" t="n">
        <x:v>60</x:v>
      </x:c>
      <x:c r="J427" t="n">
        <x:v>342800</x:v>
      </x:c>
      <x:c r="K427" t="str">
        <x:v>Bola de nieve</x:v>
      </x:c>
      <x:c r="L427" t="str">
        <x:v>Vigente</x:v>
      </x:c>
      <x:c r="M427" t="n">
        <x:v>10836109.89</x:v>
      </x:c>
      <x:c r="N427"/>
    </x:row>
    <x:row r="428">
      <x:c r="A428" t="str">
        <x:v>DEU-000427</x:v>
      </x:c>
      <x:c r="B428" t="str">
        <x:v>USR-00224</x:v>
      </x:c>
      <x:c r="C428" t="n">
        <x:v>45839</x:v>
      </x:c>
      <x:c r="D428" t="str">
        <x:v>Financiera D</x:v>
      </x:c>
      <x:c r="E428" t="str">
        <x:v>Tarjeta de crédito</x:v>
      </x:c>
      <x:c r="F428" t="n">
        <x:v>8090000</x:v>
      </x:c>
      <x:c r="G428" s="40" t="n">
        <x:v>0.21</x:v>
      </x:c>
      <x:c r="H428" s="40" t="n">
        <x:v>0.016012</x:v>
      </x:c>
      <x:c r="I428" t="n">
        <x:v>30</x:v>
      </x:c>
      <x:c r="J428" t="n">
        <x:v>341700</x:v>
      </x:c>
      <x:c r="K428" t="str">
        <x:v>Bola de nieve</x:v>
      </x:c>
      <x:c r="L428" t="str">
        <x:v>Vigente</x:v>
      </x:c>
      <x:c r="M428" t="n">
        <x:v>6728421.86</x:v>
      </x:c>
      <x:c r="N428"/>
    </x:row>
    <x:row r="429">
      <x:c r="A429" t="str">
        <x:v>DEU-000428</x:v>
      </x:c>
      <x:c r="B429" t="str">
        <x:v>USR-00225</x:v>
      </x:c>
      <x:c r="C429" t="n">
        <x:v>45839</x:v>
      </x:c>
      <x:c r="D429" t="str">
        <x:v>Financiera D</x:v>
      </x:c>
      <x:c r="E429" t="str">
        <x:v>Crédito educativo</x:v>
      </x:c>
      <x:c r="F429" t="n">
        <x:v>16420000</x:v>
      </x:c>
      <x:c r="G429" s="40" t="n">
        <x:v>0.2367</x:v>
      </x:c>
      <x:c r="H429" s="40" t="n">
        <x:v>0.017862</x:v>
      </x:c>
      <x:c r="I429" t="n">
        <x:v>24</x:v>
      </x:c>
      <x:c r="J429" t="n">
        <x:v>847300</x:v>
      </x:c>
      <x:c r="K429" t="str">
        <x:v>Avalancha</x:v>
      </x:c>
      <x:c r="L429" t="str">
        <x:v>Vigente</x:v>
      </x:c>
      <x:c r="M429" t="n">
        <x:v>9937973.02</x:v>
      </x:c>
      <x:c r="N429"/>
    </x:row>
    <x:row r="430">
      <x:c r="A430" t="str">
        <x:v>DEU-000429</x:v>
      </x:c>
      <x:c r="B430" t="str">
        <x:v>USR-00225</x:v>
      </x:c>
      <x:c r="C430" t="n">
        <x:v>45839</x:v>
      </x:c>
      <x:c r="D430" t="str">
        <x:v>Entidad financiera B</x:v>
      </x:c>
      <x:c r="E430" t="str">
        <x:v>Crédito educativo</x:v>
      </x:c>
      <x:c r="F430" t="n">
        <x:v>24730000</x:v>
      </x:c>
      <x:c r="G430" s="40" t="n">
        <x:v>0.2896</x:v>
      </x:c>
      <x:c r="H430" s="40" t="n">
        <x:v>0.021421</x:v>
      </x:c>
      <x:c r="I430" t="n">
        <x:v>18</x:v>
      </x:c>
      <x:c r="J430" t="n">
        <x:v>1670200</x:v>
      </x:c>
      <x:c r="K430" t="str">
        <x:v>Avalancha</x:v>
      </x:c>
      <x:c r="L430" t="str">
        <x:v>Vigente</x:v>
      </x:c>
      <x:c r="M430" t="n">
        <x:v>10431862.77</x:v>
      </x:c>
      <x:c r="N430"/>
    </x:row>
    <x:row r="431">
      <x:c r="A431" t="str">
        <x:v>DEU-000430</x:v>
      </x:c>
      <x:c r="B431" t="str">
        <x:v>USR-00225</x:v>
      </x:c>
      <x:c r="C431" t="n">
        <x:v>45839</x:v>
      </x:c>
      <x:c r="D431" t="str">
        <x:v>Cooperativa C</x:v>
      </x:c>
      <x:c r="E431" t="str">
        <x:v>Crédito de consumo</x:v>
      </x:c>
      <x:c r="F431" t="n">
        <x:v>9700000</x:v>
      </x:c>
      <x:c r="G431" s="40" t="n">
        <x:v>0.1714</x:v>
      </x:c>
      <x:c r="H431" s="40" t="n">
        <x:v>0.013271</x:v>
      </x:c>
      <x:c r="I431" t="n">
        <x:v>60</x:v>
      </x:c>
      <x:c r="J431" t="n">
        <x:v>235500</x:v>
      </x:c>
      <x:c r="K431" t="str">
        <x:v>Bola de nieve</x:v>
      </x:c>
      <x:c r="L431" t="str">
        <x:v>Vigente</x:v>
      </x:c>
      <x:c r="M431" t="n">
        <x:v>8209049.09</x:v>
      </x:c>
      <x:c r="N431"/>
    </x:row>
    <x:row r="432">
      <x:c r="A432" t="str">
        <x:v>DEU-000431</x:v>
      </x:c>
      <x:c r="B432" t="str">
        <x:v>USR-00061</x:v>
      </x:c>
      <x:c r="C432" t="n">
        <x:v>45870</x:v>
      </x:c>
      <x:c r="D432" t="str">
        <x:v>Entidad financiera B</x:v>
      </x:c>
      <x:c r="E432" t="str">
        <x:v>Crédito de consumo</x:v>
      </x:c>
      <x:c r="F432" t="n">
        <x:v>13200000</x:v>
      </x:c>
      <x:c r="G432" s="40" t="n">
        <x:v>0.1201</x:v>
      </x:c>
      <x:c r="H432" s="40" t="n">
        <x:v>0.009496</x:v>
      </x:c>
      <x:c r="I432" t="n">
        <x:v>48</x:v>
      </x:c>
      <x:c r="J432" t="n">
        <x:v>343700</x:v>
      </x:c>
      <x:c r="K432" t="str">
        <x:v>Avalancha</x:v>
      </x:c>
      <x:c r="L432" t="str">
        <x:v>Vigente</x:v>
      </x:c>
      <x:c r="M432" t="n">
        <x:v>12471322.68</x:v>
      </x:c>
      <x:c r="N432"/>
    </x:row>
    <x:row r="433">
      <x:c r="A433" t="str">
        <x:v>DEU-000432</x:v>
      </x:c>
      <x:c r="B433" t="str">
        <x:v>USR-00063</x:v>
      </x:c>
      <x:c r="C433" t="n">
        <x:v>45870</x:v>
      </x:c>
      <x:c r="D433" t="str">
        <x:v>Entidad financiera B</x:v>
      </x:c>
      <x:c r="E433" t="str">
        <x:v>Tarjeta de crédito</x:v>
      </x:c>
      <x:c r="F433" t="n">
        <x:v>7420000</x:v>
      </x:c>
      <x:c r="G433" s="40" t="n">
        <x:v>0.2039</x:v>
      </x:c>
      <x:c r="H433" s="40" t="n">
        <x:v>0.015584</x:v>
      </x:c>
      <x:c r="I433" t="n">
        <x:v>36</x:v>
      </x:c>
      <x:c r="J433" t="n">
        <x:v>270900</x:v>
      </x:c>
      <x:c r="K433" t="str">
        <x:v>Bola de nieve</x:v>
      </x:c>
      <x:c r="L433" t="str">
        <x:v>Vigente</x:v>
      </x:c>
      <x:c r="M433" t="n">
        <x:v>4803099.14</x:v>
      </x:c>
      <x:c r="N433"/>
    </x:row>
    <x:row r="434">
      <x:c r="A434" t="str">
        <x:v>DEU-000433</x:v>
      </x:c>
      <x:c r="B434" t="str">
        <x:v>USR-00154</x:v>
      </x:c>
      <x:c r="C434" t="n">
        <x:v>45870</x:v>
      </x:c>
      <x:c r="D434" t="str">
        <x:v>Cooperativa C</x:v>
      </x:c>
      <x:c r="E434" t="str">
        <x:v>Tarjeta de crédito</x:v>
      </x:c>
      <x:c r="F434" t="n">
        <x:v>780000</x:v>
      </x:c>
      <x:c r="G434" s="40" t="n">
        <x:v>0.2414</x:v>
      </x:c>
      <x:c r="H434" s="40" t="n">
        <x:v>0.018183</x:v>
      </x:c>
      <x:c r="I434" t="n">
        <x:v>12</x:v>
      </x:c>
      <x:c r="J434" t="n">
        <x:v>72900</x:v>
      </x:c>
      <x:c r="K434" t="str">
        <x:v>Bola de nieve</x:v>
      </x:c>
      <x:c r="L434" t="str">
        <x:v>Pagada</x:v>
      </x:c>
      <x:c r="M434" t="n">
        <x:v>0</x:v>
      </x:c>
      <x:c r="N434" t="n">
        <x:v>46204</x:v>
      </x:c>
    </x:row>
    <x:row r="435">
      <x:c r="A435" t="str">
        <x:v>DEU-000434</x:v>
      </x:c>
      <x:c r="B435" t="str">
        <x:v>USR-00160</x:v>
      </x:c>
      <x:c r="C435" t="n">
        <x:v>45870</x:v>
      </x:c>
      <x:c r="D435" t="str">
        <x:v>Financiera D</x:v>
      </x:c>
      <x:c r="E435" t="str">
        <x:v>Tarjeta de crédito</x:v>
      </x:c>
      <x:c r="F435" t="n">
        <x:v>7350000</x:v>
      </x:c>
      <x:c r="G435" s="40" t="n">
        <x:v>0.3253</x:v>
      </x:c>
      <x:c r="H435" s="40" t="n">
        <x:v>0.023747</x:v>
      </x:c>
      <x:c r="I435" t="n">
        <x:v>12</x:v>
      </x:c>
      <x:c r="J435" t="n">
        <x:v>711100</x:v>
      </x:c>
      <x:c r="K435" t="str">
        <x:v>Avalancha</x:v>
      </x:c>
      <x:c r="L435" t="str">
        <x:v>Pagada</x:v>
      </x:c>
      <x:c r="M435" t="n">
        <x:v>0</x:v>
      </x:c>
      <x:c r="N435" t="n">
        <x:v>46266</x:v>
      </x:c>
    </x:row>
    <x:row r="436">
      <x:c r="A436" t="str">
        <x:v>DEU-000435</x:v>
      </x:c>
      <x:c r="B436" t="str">
        <x:v>USR-00184</x:v>
      </x:c>
      <x:c r="C436" t="n">
        <x:v>45870</x:v>
      </x:c>
      <x:c r="D436" t="str">
        <x:v>Entidad financiera B</x:v>
      </x:c>
      <x:c r="E436" t="str">
        <x:v>Tarjeta de crédito</x:v>
      </x:c>
      <x:c r="F436" t="n">
        <x:v>3890000</x:v>
      </x:c>
      <x:c r="G436" s="40" t="n">
        <x:v>0.2143</x:v>
      </x:c>
      <x:c r="H436" s="40" t="n">
        <x:v>0.016312</x:v>
      </x:c>
      <x:c r="I436" t="n">
        <x:v>36</x:v>
      </x:c>
      <x:c r="J436" t="n">
        <x:v>143700</x:v>
      </x:c>
      <x:c r="K436" t="str">
        <x:v>Avalancha</x:v>
      </x:c>
      <x:c r="L436" t="str">
        <x:v>Vigente</x:v>
      </x:c>
      <x:c r="M436" t="n">
        <x:v>3046682.21</x:v>
      </x:c>
      <x:c r="N436"/>
    </x:row>
    <x:row r="437">
      <x:c r="A437" t="str">
        <x:v>DEU-000436</x:v>
      </x:c>
      <x:c r="B437" t="str">
        <x:v>USR-00203</x:v>
      </x:c>
      <x:c r="C437" t="n">
        <x:v>45870</x:v>
      </x:c>
      <x:c r="D437" t="str">
        <x:v>Financiera D</x:v>
      </x:c>
      <x:c r="E437" t="str">
        <x:v>Crédito de libre inversión</x:v>
      </x:c>
      <x:c r="F437" t="n">
        <x:v>2350000</x:v>
      </x:c>
      <x:c r="G437" s="40" t="n">
        <x:v>0.317</x:v>
      </x:c>
      <x:c r="H437" s="40" t="n">
        <x:v>0.023212</x:v>
      </x:c>
      <x:c r="I437" t="n">
        <x:v>30</x:v>
      </x:c>
      <x:c r="J437" t="n">
        <x:v>109600</x:v>
      </x:c>
      <x:c r="K437" t="str">
        <x:v>Avalancha</x:v>
      </x:c>
      <x:c r="L437" t="str">
        <x:v>Vigente</x:v>
      </x:c>
      <x:c r="M437" t="n">
        <x:v>1885575.34</x:v>
      </x:c>
      <x:c r="N437"/>
    </x:row>
    <x:row r="438">
      <x:c r="A438" t="str">
        <x:v>DEU-000437</x:v>
      </x:c>
      <x:c r="B438" t="str">
        <x:v>USR-00223</x:v>
      </x:c>
      <x:c r="C438" t="n">
        <x:v>45870</x:v>
      </x:c>
      <x:c r="D438" t="str">
        <x:v>Entidad financiera B</x:v>
      </x:c>
      <x:c r="E438" t="str">
        <x:v>Crédito de consumo</x:v>
      </x:c>
      <x:c r="F438" t="n">
        <x:v>7170000</x:v>
      </x:c>
      <x:c r="G438" s="40" t="n">
        <x:v>0.1436</x:v>
      </x:c>
      <x:c r="H438" s="40" t="n">
        <x:v>0.011245</x:v>
      </x:c>
      <x:c r="I438" t="n">
        <x:v>60</x:v>
      </x:c>
      <x:c r="J438" t="n">
        <x:v>165000</x:v>
      </x:c>
      <x:c r="K438" t="str">
        <x:v>Avalancha</x:v>
      </x:c>
      <x:c r="L438" t="str">
        <x:v>Vigente</x:v>
      </x:c>
      <x:c r="M438" t="n">
        <x:v>6627099.51</x:v>
      </x:c>
      <x:c r="N438"/>
    </x:row>
    <x:row r="439">
      <x:c r="A439" t="str">
        <x:v>DEU-000438</x:v>
      </x:c>
      <x:c r="B439" t="str">
        <x:v>USR-00226</x:v>
      </x:c>
      <x:c r="C439" t="n">
        <x:v>45870</x:v>
      </x:c>
      <x:c r="D439" t="str">
        <x:v>Cooperativa C</x:v>
      </x:c>
      <x:c r="E439" t="str">
        <x:v>Crédito de libre inversión</x:v>
      </x:c>
      <x:c r="F439" t="n">
        <x:v>5710000</x:v>
      </x:c>
      <x:c r="G439" s="40" t="n">
        <x:v>0.1437</x:v>
      </x:c>
      <x:c r="H439" s="40" t="n">
        <x:v>0.011252</x:v>
      </x:c>
      <x:c r="I439" t="n">
        <x:v>30</x:v>
      </x:c>
      <x:c r="J439" t="n">
        <x:v>225300</x:v>
      </x:c>
      <x:c r="K439" t="str">
        <x:v>Avalancha</x:v>
      </x:c>
      <x:c r="L439" t="str">
        <x:v>Vigente</x:v>
      </x:c>
      <x:c r="M439" t="n">
        <x:v>4128160.25</x:v>
      </x:c>
      <x:c r="N439"/>
    </x:row>
    <x:row r="440">
      <x:c r="A440" t="str">
        <x:v>DEU-000439</x:v>
      </x:c>
      <x:c r="B440" t="str">
        <x:v>USR-00227</x:v>
      </x:c>
      <x:c r="C440" t="n">
        <x:v>45870</x:v>
      </x:c>
      <x:c r="D440" t="str">
        <x:v>Financiera D</x:v>
      </x:c>
      <x:c r="E440" t="str">
        <x:v>Tarjeta de crédito</x:v>
      </x:c>
      <x:c r="F440" t="n">
        <x:v>2050000</x:v>
      </x:c>
      <x:c r="G440" s="40" t="n">
        <x:v>0.1421</x:v>
      </x:c>
      <x:c r="H440" s="40" t="n">
        <x:v>0.011134</x:v>
      </x:c>
      <x:c r="I440" t="n">
        <x:v>24</x:v>
      </x:c>
      <x:c r="J440" t="n">
        <x:v>97800</x:v>
      </x:c>
      <x:c r="K440" t="str">
        <x:v>Avalancha</x:v>
      </x:c>
      <x:c r="L440" t="str">
        <x:v>Vigente</x:v>
      </x:c>
      <x:c r="M440" t="n">
        <x:v>904601.15</x:v>
      </x:c>
      <x:c r="N440"/>
    </x:row>
    <x:row r="441">
      <x:c r="A441" t="str">
        <x:v>DEU-000440</x:v>
      </x:c>
      <x:c r="B441" t="str">
        <x:v>USR-00227</x:v>
      </x:c>
      <x:c r="C441" t="n">
        <x:v>45870</x:v>
      </x:c>
      <x:c r="D441" t="str">
        <x:v>Entidad financiera B</x:v>
      </x:c>
      <x:c r="E441" t="str">
        <x:v>Crédito de vehículo</x:v>
      </x:c>
      <x:c r="F441" t="n">
        <x:v>38320000</x:v>
      </x:c>
      <x:c r="G441" s="40" t="n">
        <x:v>0.3006</x:v>
      </x:c>
      <x:c r="H441" s="40" t="n">
        <x:v>0.022144</x:v>
      </x:c>
      <x:c r="I441" t="n">
        <x:v>30</x:v>
      </x:c>
      <x:c r="J441" t="n">
        <x:v>1761800</x:v>
      </x:c>
      <x:c r="K441" t="str">
        <x:v>Bola de nieve</x:v>
      </x:c>
      <x:c r="L441" t="str">
        <x:v>Vigente</x:v>
      </x:c>
      <x:c r="M441" t="n">
        <x:v>38977964.95</x:v>
      </x:c>
      <x:c r="N441"/>
    </x:row>
    <x:row r="442">
      <x:c r="A442" t="str">
        <x:v>DEU-000441</x:v>
      </x:c>
      <x:c r="B442" t="str">
        <x:v>USR-00228</x:v>
      </x:c>
      <x:c r="C442" t="n">
        <x:v>45870</x:v>
      </x:c>
      <x:c r="D442" t="str">
        <x:v>Entidad financiera B</x:v>
      </x:c>
      <x:c r="E442" t="str">
        <x:v>Crédito educativo</x:v>
      </x:c>
      <x:c r="F442" t="n">
        <x:v>13280000</x:v>
      </x:c>
      <x:c r="G442" s="40" t="n">
        <x:v>0.2711</x:v>
      </x:c>
      <x:c r="H442" s="40" t="n">
        <x:v>0.020191</x:v>
      </x:c>
      <x:c r="I442" t="n">
        <x:v>48</x:v>
      </x:c>
      <x:c r="J442" t="n">
        <x:v>434600</x:v>
      </x:c>
      <x:c r="K442" t="str">
        <x:v>Avalancha</x:v>
      </x:c>
      <x:c r="L442" t="str">
        <x:v>Vigente</x:v>
      </x:c>
      <x:c r="M442" t="n">
        <x:v>13053144.94</x:v>
      </x:c>
      <x:c r="N442"/>
    </x:row>
    <x:row r="443">
      <x:c r="A443" t="str">
        <x:v>DEU-000442</x:v>
      </x:c>
      <x:c r="B443" t="str">
        <x:v>USR-00229</x:v>
      </x:c>
      <x:c r="C443" t="n">
        <x:v>45870</x:v>
      </x:c>
      <x:c r="D443" t="str">
        <x:v>Cooperativa C</x:v>
      </x:c>
      <x:c r="E443" t="str">
        <x:v>Crédito de consumo</x:v>
      </x:c>
      <x:c r="F443" t="n">
        <x:v>2780000</x:v>
      </x:c>
      <x:c r="G443" s="40" t="n">
        <x:v>0.1949</x:v>
      </x:c>
      <x:c r="H443" s="40" t="n">
        <x:v>0.014949</x:v>
      </x:c>
      <x:c r="I443" t="n">
        <x:v>12</x:v>
      </x:c>
      <x:c r="J443" t="n">
        <x:v>254800</x:v>
      </x:c>
      <x:c r="K443" t="str">
        <x:v>Bola de nieve</x:v>
      </x:c>
      <x:c r="L443" t="str">
        <x:v>Vigente</x:v>
      </x:c>
      <x:c r="M443" t="n">
        <x:v>240046.37</x:v>
      </x:c>
      <x:c r="N443"/>
    </x:row>
    <x:row r="444">
      <x:c r="A444" t="str">
        <x:v>DEU-000443</x:v>
      </x:c>
      <x:c r="B444" t="str">
        <x:v>USR-00229</x:v>
      </x:c>
      <x:c r="C444" t="n">
        <x:v>45870</x:v>
      </x:c>
      <x:c r="D444" t="str">
        <x:v>Entidad financiera B</x:v>
      </x:c>
      <x:c r="E444" t="str">
        <x:v>Crédito de consumo</x:v>
      </x:c>
      <x:c r="F444" t="n">
        <x:v>7460000</x:v>
      </x:c>
      <x:c r="G444" s="40" t="n">
        <x:v>0.1803</x:v>
      </x:c>
      <x:c r="H444" s="40" t="n">
        <x:v>0.01391</x:v>
      </x:c>
      <x:c r="I444" t="n">
        <x:v>48</x:v>
      </x:c>
      <x:c r="J444" t="n">
        <x:v>214100</x:v>
      </x:c>
      <x:c r="K444" t="str">
        <x:v>Avalancha</x:v>
      </x:c>
      <x:c r="L444" t="str">
        <x:v>Vigente</x:v>
      </x:c>
      <x:c r="M444" t="n">
        <x:v>6059414.2</x:v>
      </x:c>
      <x:c r="N444"/>
    </x:row>
    <x:row r="445">
      <x:c r="A445" t="str">
        <x:v>DEU-000444</x:v>
      </x:c>
      <x:c r="B445" t="str">
        <x:v>USR-00230</x:v>
      </x:c>
      <x:c r="C445" t="n">
        <x:v>45870</x:v>
      </x:c>
      <x:c r="D445" t="str">
        <x:v>Financiera D</x:v>
      </x:c>
      <x:c r="E445" t="str">
        <x:v>Crédito de vehículo</x:v>
      </x:c>
      <x:c r="F445" t="n">
        <x:v>52080000</x:v>
      </x:c>
      <x:c r="G445" s="40" t="n">
        <x:v>0.1658</x:v>
      </x:c>
      <x:c r="H445" s="40" t="n">
        <x:v>0.012866</x:v>
      </x:c>
      <x:c r="I445" t="n">
        <x:v>30</x:v>
      </x:c>
      <x:c r="J445" t="n">
        <x:v>2103500</x:v>
      </x:c>
      <x:c r="K445" t="str">
        <x:v>Avalancha</x:v>
      </x:c>
      <x:c r="L445" t="str">
        <x:v>Vigente</x:v>
      </x:c>
      <x:c r="M445" t="n">
        <x:v>37351305.82</x:v>
      </x:c>
      <x:c r="N445"/>
    </x:row>
    <x:row r="446">
      <x:c r="A446" t="str">
        <x:v>DEU-000445</x:v>
      </x:c>
      <x:c r="B446" t="str">
        <x:v>USR-00231</x:v>
      </x:c>
      <x:c r="C446" t="n">
        <x:v>45870</x:v>
      </x:c>
      <x:c r="D446" t="str">
        <x:v>Financiera D</x:v>
      </x:c>
      <x:c r="E446" t="str">
        <x:v>Tarjeta de crédito</x:v>
      </x:c>
      <x:c r="F446" t="n">
        <x:v>6180000</x:v>
      </x:c>
      <x:c r="G446" s="40" t="n">
        <x:v>0.1411</x:v>
      </x:c>
      <x:c r="H446" s="40" t="n">
        <x:v>0.01106</x:v>
      </x:c>
      <x:c r="I446" t="n">
        <x:v>36</x:v>
      </x:c>
      <x:c r="J446" t="n">
        <x:v>209000</x:v>
      </x:c>
      <x:c r="K446" t="str">
        <x:v>Avalancha</x:v>
      </x:c>
      <x:c r="L446" t="str">
        <x:v>Vigente</x:v>
      </x:c>
      <x:c r="M446" t="n">
        <x:v>4554260.21</x:v>
      </x:c>
      <x:c r="N446"/>
    </x:row>
    <x:row r="447">
      <x:c r="A447" t="str">
        <x:v>DEU-000446</x:v>
      </x:c>
      <x:c r="B447" t="str">
        <x:v>USR-00232</x:v>
      </x:c>
      <x:c r="C447" t="n">
        <x:v>45870</x:v>
      </x:c>
      <x:c r="D447" t="str">
        <x:v>Entidad financiera A</x:v>
      </x:c>
      <x:c r="E447" t="str">
        <x:v>Crédito de consumo</x:v>
      </x:c>
      <x:c r="F447" t="n">
        <x:v>11850000</x:v>
      </x:c>
      <x:c r="G447" s="40" t="n">
        <x:v>0.2129</x:v>
      </x:c>
      <x:c r="H447" s="40" t="n">
        <x:v>0.016215</x:v>
      </x:c>
      <x:c r="I447" t="n">
        <x:v>30</x:v>
      </x:c>
      <x:c r="J447" t="n">
        <x:v>502000</x:v>
      </x:c>
      <x:c r="K447" t="str">
        <x:v>Avalancha</x:v>
      </x:c>
      <x:c r="L447" t="str">
        <x:v>Vigente</x:v>
      </x:c>
      <x:c r="M447" t="n">
        <x:v>9640901.36</x:v>
      </x:c>
      <x:c r="N447"/>
    </x:row>
    <x:row r="448">
      <x:c r="A448" t="str">
        <x:v>DEU-000447</x:v>
      </x:c>
      <x:c r="B448" t="str">
        <x:v>USR-00232</x:v>
      </x:c>
      <x:c r="C448" t="n">
        <x:v>45870</x:v>
      </x:c>
      <x:c r="D448" t="str">
        <x:v>Entidad financiera B</x:v>
      </x:c>
      <x:c r="E448" t="str">
        <x:v>Crédito de consumo</x:v>
      </x:c>
      <x:c r="F448" t="n">
        <x:v>3470000</x:v>
      </x:c>
      <x:c r="G448" s="40" t="n">
        <x:v>0.187</x:v>
      </x:c>
      <x:c r="H448" s="40" t="n">
        <x:v>0.014388</x:v>
      </x:c>
      <x:c r="I448" t="n">
        <x:v>48</x:v>
      </x:c>
      <x:c r="J448" t="n">
        <x:v>100600</x:v>
      </x:c>
      <x:c r="K448" t="str">
        <x:v>Avalancha</x:v>
      </x:c>
      <x:c r="L448" t="str">
        <x:v>Vigente</x:v>
      </x:c>
      <x:c r="M448" t="n">
        <x:v>3292969.28</x:v>
      </x:c>
      <x:c r="N448"/>
    </x:row>
    <x:row r="449">
      <x:c r="A449" t="str">
        <x:v>DEU-000448</x:v>
      </x:c>
      <x:c r="B449" t="str">
        <x:v>USR-00232</x:v>
      </x:c>
      <x:c r="C449" t="n">
        <x:v>45870</x:v>
      </x:c>
      <x:c r="D449" t="str">
        <x:v>Financiera D</x:v>
      </x:c>
      <x:c r="E449" t="str">
        <x:v>Tarjeta de crédito</x:v>
      </x:c>
      <x:c r="F449" t="n">
        <x:v>7920000</x:v>
      </x:c>
      <x:c r="G449" s="40" t="n">
        <x:v>0.1912</x:v>
      </x:c>
      <x:c r="H449" s="40" t="n">
        <x:v>0.014687</x:v>
      </x:c>
      <x:c r="I449" t="n">
        <x:v>48</x:v>
      </x:c>
      <x:c r="J449" t="n">
        <x:v>231100</x:v>
      </x:c>
      <x:c r="K449" t="str">
        <x:v>Bola de nieve</x:v>
      </x:c>
      <x:c r="L449" t="str">
        <x:v>Vigente</x:v>
      </x:c>
      <x:c r="M449" t="n">
        <x:v>6995862.4</x:v>
      </x:c>
      <x:c r="N449"/>
    </x:row>
    <x:row r="450">
      <x:c r="A450" t="str">
        <x:v>DEU-000449</x:v>
      </x:c>
      <x:c r="B450" t="str">
        <x:v>USR-00233</x:v>
      </x:c>
      <x:c r="C450" t="n">
        <x:v>45870</x:v>
      </x:c>
      <x:c r="D450" t="str">
        <x:v>Cooperativa C</x:v>
      </x:c>
      <x:c r="E450" t="str">
        <x:v>Tarjeta de crédito</x:v>
      </x:c>
      <x:c r="F450" t="n">
        <x:v>980000</x:v>
      </x:c>
      <x:c r="G450" s="40" t="n">
        <x:v>0.2742</x:v>
      </x:c>
      <x:c r="H450" s="40" t="n">
        <x:v>0.020398</x:v>
      </x:c>
      <x:c r="I450" t="n">
        <x:v>18</x:v>
      </x:c>
      <x:c r="J450" t="n">
        <x:v>65600</x:v>
      </x:c>
      <x:c r="K450" t="str">
        <x:v>Bola de nieve</x:v>
      </x:c>
      <x:c r="L450" t="str">
        <x:v>Vigente</x:v>
      </x:c>
      <x:c r="M450" t="n">
        <x:v>381773.84</x:v>
      </x:c>
      <x:c r="N450"/>
    </x:row>
    <x:row r="451">
      <x:c r="A451" t="str">
        <x:v>DEU-000450</x:v>
      </x:c>
      <x:c r="B451" t="str">
        <x:v>USR-00233</x:v>
      </x:c>
      <x:c r="C451" t="n">
        <x:v>45870</x:v>
      </x:c>
      <x:c r="D451" t="str">
        <x:v>Entidad financiera E</x:v>
      </x:c>
      <x:c r="E451" t="str">
        <x:v>Crédito de libre inversión</x:v>
      </x:c>
      <x:c r="F451" t="n">
        <x:v>1570000</x:v>
      </x:c>
      <x:c r="G451" s="40" t="n">
        <x:v>0.1557</x:v>
      </x:c>
      <x:c r="H451" s="40" t="n">
        <x:v>0.012132</x:v>
      </x:c>
      <x:c r="I451" t="n">
        <x:v>12</x:v>
      </x:c>
      <x:c r="J451" t="n">
        <x:v>141400</x:v>
      </x:c>
      <x:c r="K451" t="str">
        <x:v>Avalancha</x:v>
      </x:c>
      <x:c r="L451" t="str">
        <x:v>Vigente</x:v>
      </x:c>
      <x:c r="M451" t="n">
        <x:v>173306.28</x:v>
      </x:c>
      <x:c r="N451"/>
    </x:row>
    <x:row r="452">
      <x:c r="A452" t="str">
        <x:v>DEU-000451</x:v>
      </x:c>
      <x:c r="B452" t="str">
        <x:v>USR-00234</x:v>
      </x:c>
      <x:c r="C452" t="n">
        <x:v>45870</x:v>
      </x:c>
      <x:c r="D452" t="str">
        <x:v>Entidad financiera A</x:v>
      </x:c>
      <x:c r="E452" t="str">
        <x:v>Tarjeta de crédito</x:v>
      </x:c>
      <x:c r="F452" t="n">
        <x:v>5490000</x:v>
      </x:c>
      <x:c r="G452" s="40" t="n">
        <x:v>0.1074</x:v>
      </x:c>
      <x:c r="H452" s="40" t="n">
        <x:v>0.008537</x:v>
      </x:c>
      <x:c r="I452" t="n">
        <x:v>24</x:v>
      </x:c>
      <x:c r="J452" t="n">
        <x:v>254000</x:v>
      </x:c>
      <x:c r="K452" t="str">
        <x:v>Avalancha</x:v>
      </x:c>
      <x:c r="L452" t="str">
        <x:v>Vigente</x:v>
      </x:c>
      <x:c r="M452" t="n">
        <x:v>3244539.45</x:v>
      </x:c>
      <x:c r="N452"/>
    </x:row>
    <x:row r="453">
      <x:c r="A453" t="str">
        <x:v>DEU-000452</x:v>
      </x:c>
      <x:c r="B453" t="str">
        <x:v>USR-00234</x:v>
      </x:c>
      <x:c r="C453" t="n">
        <x:v>45870</x:v>
      </x:c>
      <x:c r="D453" t="str">
        <x:v>Entidad financiera E</x:v>
      </x:c>
      <x:c r="E453" t="str">
        <x:v>Tarjeta de crédito</x:v>
      </x:c>
      <x:c r="F453" t="n">
        <x:v>1170000</x:v>
      </x:c>
      <x:c r="G453" s="40" t="n">
        <x:v>0.1795</x:v>
      </x:c>
      <x:c r="H453" s="40" t="n">
        <x:v>0.013853</x:v>
      </x:c>
      <x:c r="I453" t="n">
        <x:v>48</x:v>
      </x:c>
      <x:c r="J453" t="n">
        <x:v>33500</x:v>
      </x:c>
      <x:c r="K453" t="str">
        <x:v>Bola de nieve</x:v>
      </x:c>
      <x:c r="L453" t="str">
        <x:v>Vigente</x:v>
      </x:c>
      <x:c r="M453" t="n">
        <x:v>1034890.14</x:v>
      </x:c>
      <x:c r="N453"/>
    </x:row>
    <x:row r="454">
      <x:c r="A454" t="str">
        <x:v>DEU-000453</x:v>
      </x:c>
      <x:c r="B454" t="str">
        <x:v>USR-00235</x:v>
      </x:c>
      <x:c r="C454" t="n">
        <x:v>45870</x:v>
      </x:c>
      <x:c r="D454" t="str">
        <x:v>Entidad financiera E</x:v>
      </x:c>
      <x:c r="E454" t="str">
        <x:v>Crédito de consumo</x:v>
      </x:c>
      <x:c r="F454" t="n">
        <x:v>14030000</x:v>
      </x:c>
      <x:c r="G454" s="40" t="n">
        <x:v>0.303</x:v>
      </x:c>
      <x:c r="H454" s="40" t="n">
        <x:v>0.022301</x:v>
      </x:c>
      <x:c r="I454" t="n">
        <x:v>24</x:v>
      </x:c>
      <x:c r="J454" t="n">
        <x:v>761300</x:v>
      </x:c>
      <x:c r="K454" t="str">
        <x:v>Avalancha</x:v>
      </x:c>
      <x:c r="L454" t="str">
        <x:v>Vigente</x:v>
      </x:c>
      <x:c r="M454" t="n">
        <x:v>11540140.58</x:v>
      </x:c>
      <x:c r="N454"/>
    </x:row>
    <x:row r="455">
      <x:c r="A455" t="str">
        <x:v>DEU-000454</x:v>
      </x:c>
      <x:c r="B455" t="str">
        <x:v>USR-00235</x:v>
      </x:c>
      <x:c r="C455" t="n">
        <x:v>45870</x:v>
      </x:c>
      <x:c r="D455" t="str">
        <x:v>Entidad financiera A</x:v>
      </x:c>
      <x:c r="E455" t="str">
        <x:v>Tarjeta de crédito</x:v>
      </x:c>
      <x:c r="F455" t="n">
        <x:v>700000</x:v>
      </x:c>
      <x:c r="G455" s="40" t="n">
        <x:v>0.1428</x:v>
      </x:c>
      <x:c r="H455" s="40" t="n">
        <x:v>0.011186</x:v>
      </x:c>
      <x:c r="I455" t="n">
        <x:v>12</x:v>
      </x:c>
      <x:c r="J455" t="n">
        <x:v>62700</x:v>
      </x:c>
      <x:c r="K455" t="str">
        <x:v>Avalancha</x:v>
      </x:c>
      <x:c r="L455" t="str">
        <x:v>Vigente</x:v>
      </x:c>
      <x:c r="M455" t="n">
        <x:v>170769.49</x:v>
      </x:c>
      <x:c r="N455"/>
    </x:row>
    <x:row r="456">
      <x:c r="A456" t="str">
        <x:v>DEU-000455</x:v>
      </x:c>
      <x:c r="B456" t="str">
        <x:v>USR-00236</x:v>
      </x:c>
      <x:c r="C456" t="n">
        <x:v>45870</x:v>
      </x:c>
      <x:c r="D456" t="str">
        <x:v>Entidad financiera E</x:v>
      </x:c>
      <x:c r="E456" t="str">
        <x:v>Crédito de libre inversión</x:v>
      </x:c>
      <x:c r="F456" t="n">
        <x:v>12430000</x:v>
      </x:c>
      <x:c r="G456" s="40" t="n">
        <x:v>0.2074</x:v>
      </x:c>
      <x:c r="H456" s="40" t="n">
        <x:v>0.01583</x:v>
      </x:c>
      <x:c r="I456" t="n">
        <x:v>48</x:v>
      </x:c>
      <x:c r="J456" t="n">
        <x:v>371600</x:v>
      </x:c>
      <x:c r="K456" t="str">
        <x:v>Bola de nieve</x:v>
      </x:c>
      <x:c r="L456" t="str">
        <x:v>Vigente</x:v>
      </x:c>
      <x:c r="M456" t="n">
        <x:v>11089685.02</x:v>
      </x:c>
      <x:c r="N456"/>
    </x:row>
    <x:row r="457">
      <x:c r="A457" t="str">
        <x:v>DEU-000456</x:v>
      </x:c>
      <x:c r="B457" t="str">
        <x:v>USR-00236</x:v>
      </x:c>
      <x:c r="C457" t="n">
        <x:v>45870</x:v>
      </x:c>
      <x:c r="D457" t="str">
        <x:v>Entidad financiera B</x:v>
      </x:c>
      <x:c r="E457" t="str">
        <x:v>Crédito educativo</x:v>
      </x:c>
      <x:c r="F457" t="n">
        <x:v>18470000</x:v>
      </x:c>
      <x:c r="G457" s="40" t="n">
        <x:v>0.2098</x:v>
      </x:c>
      <x:c r="H457" s="40" t="n">
        <x:v>0.015998</x:v>
      </x:c>
      <x:c r="I457" t="n">
        <x:v>36</x:v>
      </x:c>
      <x:c r="J457" t="n">
        <x:v>678900</x:v>
      </x:c>
      <x:c r="K457" t="str">
        <x:v>Bola de nieve</x:v>
      </x:c>
      <x:c r="L457" t="str">
        <x:v>Vigente</x:v>
      </x:c>
      <x:c r="M457" t="n">
        <x:v>15048680.85</x:v>
      </x:c>
      <x:c r="N457"/>
    </x:row>
    <x:row r="458">
      <x:c r="A458" t="str">
        <x:v>DEU-000457</x:v>
      </x:c>
      <x:c r="B458" t="str">
        <x:v>USR-00237</x:v>
      </x:c>
      <x:c r="C458" t="n">
        <x:v>45870</x:v>
      </x:c>
      <x:c r="D458" t="str">
        <x:v>Cooperativa C</x:v>
      </x:c>
      <x:c r="E458" t="str">
        <x:v>Tarjeta de crédito</x:v>
      </x:c>
      <x:c r="F458" t="n">
        <x:v>7630000</x:v>
      </x:c>
      <x:c r="G458" s="40" t="n">
        <x:v>0.3191</x:v>
      </x:c>
      <x:c r="H458" s="40" t="n">
        <x:v>0.023348</x:v>
      </x:c>
      <x:c r="I458" t="n">
        <x:v>18</x:v>
      </x:c>
      <x:c r="J458" t="n">
        <x:v>524000</x:v>
      </x:c>
      <x:c r="K458" t="str">
        <x:v>Bola de nieve</x:v>
      </x:c>
      <x:c r="L458" t="str">
        <x:v>Vigente</x:v>
      </x:c>
      <x:c r="M458" t="n">
        <x:v>4517277.74</x:v>
      </x:c>
      <x:c r="N458"/>
    </x:row>
    <x:row r="459">
      <x:c r="A459" t="str">
        <x:v>DEU-000458</x:v>
      </x:c>
      <x:c r="B459" t="str">
        <x:v>USR-00238</x:v>
      </x:c>
      <x:c r="C459" t="n">
        <x:v>45870</x:v>
      </x:c>
      <x:c r="D459" t="str">
        <x:v>Entidad financiera B</x:v>
      </x:c>
      <x:c r="E459" t="str">
        <x:v>Crédito educativo</x:v>
      </x:c>
      <x:c r="F459" t="n">
        <x:v>24350000</x:v>
      </x:c>
      <x:c r="G459" s="40" t="n">
        <x:v>0.3234</x:v>
      </x:c>
      <x:c r="H459" s="40" t="n">
        <x:v>0.023625</x:v>
      </x:c>
      <x:c r="I459" t="n">
        <x:v>24</x:v>
      </x:c>
      <x:c r="J459" t="n">
        <x:v>1340900</x:v>
      </x:c>
      <x:c r="K459" t="str">
        <x:v>Avalancha</x:v>
      </x:c>
      <x:c r="L459" t="str">
        <x:v>Vigente</x:v>
      </x:c>
      <x:c r="M459" t="n">
        <x:v>13105254.62</x:v>
      </x:c>
      <x:c r="N459"/>
    </x:row>
    <x:row r="460">
      <x:c r="A460" t="str">
        <x:v>DEU-000459</x:v>
      </x:c>
      <x:c r="B460" t="str">
        <x:v>USR-00238</x:v>
      </x:c>
      <x:c r="C460" t="n">
        <x:v>45870</x:v>
      </x:c>
      <x:c r="D460" t="str">
        <x:v>Entidad financiera A</x:v>
      </x:c>
      <x:c r="E460" t="str">
        <x:v>Crédito de consumo</x:v>
      </x:c>
      <x:c r="F460" t="n">
        <x:v>6140000</x:v>
      </x:c>
      <x:c r="G460" s="40" t="n">
        <x:v>0.153</x:v>
      </x:c>
      <x:c r="H460" s="40" t="n">
        <x:v>0.011935</x:v>
      </x:c>
      <x:c r="I460" t="n">
        <x:v>18</x:v>
      </x:c>
      <x:c r="J460" t="n">
        <x:v>381100</x:v>
      </x:c>
      <x:c r="K460" t="str">
        <x:v>Avalancha</x:v>
      </x:c>
      <x:c r="L460" t="str">
        <x:v>Vigente</x:v>
      </x:c>
      <x:c r="M460" t="n">
        <x:v>2394261.81</x:v>
      </x:c>
      <x:c r="N460"/>
    </x:row>
    <x:row r="461">
      <x:c r="A461" t="str">
        <x:v>DEU-000460</x:v>
      </x:c>
      <x:c r="B461" t="str">
        <x:v>USR-00238</x:v>
      </x:c>
      <x:c r="C461" t="n">
        <x:v>45870</x:v>
      </x:c>
      <x:c r="D461" t="str">
        <x:v>Entidad financiera B</x:v>
      </x:c>
      <x:c r="E461" t="str">
        <x:v>Crédito de vehículo</x:v>
      </x:c>
      <x:c r="F461" t="n">
        <x:v>12070000</x:v>
      </x:c>
      <x:c r="G461" s="40" t="n">
        <x:v>0.1245</x:v>
      </x:c>
      <x:c r="H461" s="40" t="n">
        <x:v>0.009826</x:v>
      </x:c>
      <x:c r="I461" t="n">
        <x:v>30</x:v>
      </x:c>
      <x:c r="J461" t="n">
        <x:v>466500</x:v>
      </x:c>
      <x:c r="K461" t="str">
        <x:v>Avalancha</x:v>
      </x:c>
      <x:c r="L461" t="str">
        <x:v>Vigente</x:v>
      </x:c>
      <x:c r="M461" t="n">
        <x:v>7661160.01</x:v>
      </x:c>
      <x:c r="N461"/>
    </x:row>
    <x:row r="462">
      <x:c r="A462" t="str">
        <x:v>DEU-000461</x:v>
      </x:c>
      <x:c r="B462" t="str">
        <x:v>USR-00239</x:v>
      </x:c>
      <x:c r="C462" t="n">
        <x:v>45870</x:v>
      </x:c>
      <x:c r="D462" t="str">
        <x:v>Entidad financiera B</x:v>
      </x:c>
      <x:c r="E462" t="str">
        <x:v>Tarjeta de crédito</x:v>
      </x:c>
      <x:c r="F462" t="n">
        <x:v>1620000</x:v>
      </x:c>
      <x:c r="G462" s="40" t="n">
        <x:v>0.2833</x:v>
      </x:c>
      <x:c r="H462" s="40" t="n">
        <x:v>0.021004</x:v>
      </x:c>
      <x:c r="I462" t="n">
        <x:v>18</x:v>
      </x:c>
      <x:c r="J462" t="n">
        <x:v>109000</x:v>
      </x:c>
      <x:c r="K462" t="str">
        <x:v>Avalancha</x:v>
      </x:c>
      <x:c r="L462" t="str">
        <x:v>Vigente</x:v>
      </x:c>
      <x:c r="M462" t="n">
        <x:v>734690.8</x:v>
      </x:c>
      <x:c r="N462"/>
    </x:row>
    <x:row r="463">
      <x:c r="A463" t="str">
        <x:v>DEU-000462</x:v>
      </x:c>
      <x:c r="B463" t="str">
        <x:v>USR-00239</x:v>
      </x:c>
      <x:c r="C463" t="n">
        <x:v>45870</x:v>
      </x:c>
      <x:c r="D463" t="str">
        <x:v>Entidad financiera E</x:v>
      </x:c>
      <x:c r="E463" t="str">
        <x:v>Crédito educativo</x:v>
      </x:c>
      <x:c r="F463" t="n">
        <x:v>23890000</x:v>
      </x:c>
      <x:c r="G463" s="40" t="n">
        <x:v>0.2319</x:v>
      </x:c>
      <x:c r="H463" s="40" t="n">
        <x:v>0.017532</x:v>
      </x:c>
      <x:c r="I463" t="n">
        <x:v>60</x:v>
      </x:c>
      <x:c r="J463" t="n">
        <x:v>646800</x:v>
      </x:c>
      <x:c r="K463" t="str">
        <x:v>Bola de nieve</x:v>
      </x:c>
      <x:c r="L463" t="str">
        <x:v>Vigente</x:v>
      </x:c>
      <x:c r="M463" t="n">
        <x:v>21762165.35</x:v>
      </x:c>
      <x:c r="N463"/>
    </x:row>
    <x:row r="464">
      <x:c r="A464" t="str">
        <x:v>DEU-000463</x:v>
      </x:c>
      <x:c r="B464" t="str">
        <x:v>USR-00240</x:v>
      </x:c>
      <x:c r="C464" t="n">
        <x:v>45870</x:v>
      </x:c>
      <x:c r="D464" t="str">
        <x:v>Cooperativa C</x:v>
      </x:c>
      <x:c r="E464" t="str">
        <x:v>Crédito de consumo</x:v>
      </x:c>
      <x:c r="F464" t="n">
        <x:v>2860000</x:v>
      </x:c>
      <x:c r="G464" s="40" t="n">
        <x:v>0.2896</x:v>
      </x:c>
      <x:c r="H464" s="40" t="n">
        <x:v>0.021421</x:v>
      </x:c>
      <x:c r="I464" t="n">
        <x:v>24</x:v>
      </x:c>
      <x:c r="J464" t="n">
        <x:v>153700</x:v>
      </x:c>
      <x:c r="K464" t="str">
        <x:v>Bola de nieve</x:v>
      </x:c>
      <x:c r="L464" t="str">
        <x:v>Vigente</x:v>
      </x:c>
      <x:c r="M464" t="n">
        <x:v>2304208.53</x:v>
      </x:c>
      <x:c r="N464"/>
    </x:row>
    <x:row r="465">
      <x:c r="A465" t="str">
        <x:v>DEU-000464</x:v>
      </x:c>
      <x:c r="B465" t="str">
        <x:v>USR-00241</x:v>
      </x:c>
      <x:c r="C465" t="n">
        <x:v>45870</x:v>
      </x:c>
      <x:c r="D465" t="str">
        <x:v>Entidad financiera B</x:v>
      </x:c>
      <x:c r="E465" t="str">
        <x:v>Tarjeta de crédito</x:v>
      </x:c>
      <x:c r="F465" t="n">
        <x:v>6970000</x:v>
      </x:c>
      <x:c r="G465" s="40" t="n">
        <x:v>0.2711</x:v>
      </x:c>
      <x:c r="H465" s="40" t="n">
        <x:v>0.020191</x:v>
      </x:c>
      <x:c r="I465" t="n">
        <x:v>24</x:v>
      </x:c>
      <x:c r="J465" t="n">
        <x:v>369300</x:v>
      </x:c>
      <x:c r="K465" t="str">
        <x:v>Avalancha</x:v>
      </x:c>
      <x:c r="L465" t="str">
        <x:v>Vigente</x:v>
      </x:c>
      <x:c r="M465" t="n">
        <x:v>5090772.67</x:v>
      </x:c>
      <x:c r="N465"/>
    </x:row>
    <x:row r="466">
      <x:c r="A466" t="str">
        <x:v>DEU-000465</x:v>
      </x:c>
      <x:c r="B466" t="str">
        <x:v>USR-00242</x:v>
      </x:c>
      <x:c r="C466" t="n">
        <x:v>45870</x:v>
      </x:c>
      <x:c r="D466" t="str">
        <x:v>Entidad financiera E</x:v>
      </x:c>
      <x:c r="E466" t="str">
        <x:v>Tarjeta de crédito</x:v>
      </x:c>
      <x:c r="F466" t="n">
        <x:v>7320000</x:v>
      </x:c>
      <x:c r="G466" s="40" t="n">
        <x:v>0.2514</x:v>
      </x:c>
      <x:c r="H466" s="40" t="n">
        <x:v>0.018864</x:v>
      </x:c>
      <x:c r="I466" t="n">
        <x:v>36</x:v>
      </x:c>
      <x:c r="J466" t="n">
        <x:v>282000</x:v>
      </x:c>
      <x:c r="K466" t="str">
        <x:v>Avalancha</x:v>
      </x:c>
      <x:c r="L466" t="str">
        <x:v>Vigente</x:v>
      </x:c>
      <x:c r="M466" t="n">
        <x:v>6868387.93</x:v>
      </x:c>
      <x:c r="N466"/>
    </x:row>
    <x:row r="467">
      <x:c r="A467" t="str">
        <x:v>DEU-000466</x:v>
      </x:c>
      <x:c r="B467" t="str">
        <x:v>USR-00243</x:v>
      </x:c>
      <x:c r="C467" t="n">
        <x:v>45870</x:v>
      </x:c>
      <x:c r="D467" t="str">
        <x:v>Entidad financiera B</x:v>
      </x:c>
      <x:c r="E467" t="str">
        <x:v>Crédito de vehículo</x:v>
      </x:c>
      <x:c r="F467" t="n">
        <x:v>40930000</x:v>
      </x:c>
      <x:c r="G467" s="40" t="n">
        <x:v>0.1726</x:v>
      </x:c>
      <x:c r="H467" s="40" t="n">
        <x:v>0.013357</x:v>
      </x:c>
      <x:c r="I467" t="n">
        <x:v>36</x:v>
      </x:c>
      <x:c r="J467" t="n">
        <x:v>1439600</x:v>
      </x:c>
      <x:c r="K467" t="str">
        <x:v>Avalancha</x:v>
      </x:c>
      <x:c r="L467" t="str">
        <x:v>Vigente</x:v>
      </x:c>
      <x:c r="M467" t="n">
        <x:v>30778221.91</x:v>
      </x:c>
      <x:c r="N467"/>
    </x:row>
    <x:row r="468">
      <x:c r="A468" t="str">
        <x:v>DEU-000467</x:v>
      </x:c>
      <x:c r="B468" t="str">
        <x:v>USR-00244</x:v>
      </x:c>
      <x:c r="C468" t="n">
        <x:v>45870</x:v>
      </x:c>
      <x:c r="D468" t="str">
        <x:v>Entidad financiera E</x:v>
      </x:c>
      <x:c r="E468" t="str">
        <x:v>Tarjeta de crédito</x:v>
      </x:c>
      <x:c r="F468" t="n">
        <x:v>6030000</x:v>
      </x:c>
      <x:c r="G468" s="40" t="n">
        <x:v>0.2259</x:v>
      </x:c>
      <x:c r="H468" s="40" t="n">
        <x:v>0.017118</x:v>
      </x:c>
      <x:c r="I468" t="n">
        <x:v>60</x:v>
      </x:c>
      <x:c r="J468" t="n">
        <x:v>161600</x:v>
      </x:c>
      <x:c r="K468" t="str">
        <x:v>Avalancha</x:v>
      </x:c>
      <x:c r="L468" t="str">
        <x:v>Vigente</x:v>
      </x:c>
      <x:c r="M468" t="n">
        <x:v>5909529.87</x:v>
      </x:c>
      <x:c r="N468"/>
    </x:row>
    <x:row r="469">
      <x:c r="A469" t="str">
        <x:v>DEU-000468</x:v>
      </x:c>
      <x:c r="B469" t="str">
        <x:v>USR-00244</x:v>
      </x:c>
      <x:c r="C469" t="n">
        <x:v>45870</x:v>
      </x:c>
      <x:c r="D469" t="str">
        <x:v>Financiera D</x:v>
      </x:c>
      <x:c r="E469" t="str">
        <x:v>Crédito de consumo</x:v>
      </x:c>
      <x:c r="F469" t="n">
        <x:v>16660000</x:v>
      </x:c>
      <x:c r="G469" s="40" t="n">
        <x:v>0.1701</x:v>
      </x:c>
      <x:c r="H469" s="40" t="n">
        <x:v>0.013177</x:v>
      </x:c>
      <x:c r="I469" t="n">
        <x:v>36</x:v>
      </x:c>
      <x:c r="J469" t="n">
        <x:v>584200</x:v>
      </x:c>
      <x:c r="K469" t="str">
        <x:v>Bola de nieve</x:v>
      </x:c>
      <x:c r="L469" t="str">
        <x:v>Vigente</x:v>
      </x:c>
      <x:c r="M469" t="n">
        <x:v>14572509.09</x:v>
      </x:c>
      <x:c r="N469"/>
    </x:row>
    <x:row r="470">
      <x:c r="A470" t="str">
        <x:v>DEU-000469</x:v>
      </x:c>
      <x:c r="B470" t="str">
        <x:v>USR-00245</x:v>
      </x:c>
      <x:c r="C470" t="n">
        <x:v>45870</x:v>
      </x:c>
      <x:c r="D470" t="str">
        <x:v>Entidad financiera B</x:v>
      </x:c>
      <x:c r="E470" t="str">
        <x:v>Crédito educativo</x:v>
      </x:c>
      <x:c r="F470" t="n">
        <x:v>25540000</x:v>
      </x:c>
      <x:c r="G470" s="40" t="n">
        <x:v>0.2354</x:v>
      </x:c>
      <x:c r="H470" s="40" t="n">
        <x:v>0.017772</x:v>
      </x:c>
      <x:c r="I470" t="n">
        <x:v>36</x:v>
      </x:c>
      <x:c r="J470" t="n">
        <x:v>966500</x:v>
      </x:c>
      <x:c r="K470" t="str">
        <x:v>Avalancha</x:v>
      </x:c>
      <x:c r="L470" t="str">
        <x:v>Vigente</x:v>
      </x:c>
      <x:c r="M470" t="n">
        <x:v>21797347.63</x:v>
      </x:c>
      <x:c r="N470"/>
    </x:row>
    <x:row r="471">
      <x:c r="A471" t="str">
        <x:v>DEU-000470</x:v>
      </x:c>
      <x:c r="B471" t="str">
        <x:v>USR-00246</x:v>
      </x:c>
      <x:c r="C471" t="n">
        <x:v>45870</x:v>
      </x:c>
      <x:c r="D471" t="str">
        <x:v>Entidad financiera B</x:v>
      </x:c>
      <x:c r="E471" t="str">
        <x:v>Crédito de consumo</x:v>
      </x:c>
      <x:c r="F471" t="n">
        <x:v>16040000</x:v>
      </x:c>
      <x:c r="G471" s="40" t="n">
        <x:v>0.3299</x:v>
      </x:c>
      <x:c r="H471" s="40" t="n">
        <x:v>0.024043</x:v>
      </x:c>
      <x:c r="I471" t="n">
        <x:v>30</x:v>
      </x:c>
      <x:c r="J471" t="n">
        <x:v>756600</x:v>
      </x:c>
      <x:c r="K471" t="str">
        <x:v>Bola de nieve</x:v>
      </x:c>
      <x:c r="L471" t="str">
        <x:v>Vigente</x:v>
      </x:c>
      <x:c r="M471" t="n">
        <x:v>12454398.7</x:v>
      </x:c>
      <x:c r="N471"/>
    </x:row>
    <x:row r="472">
      <x:c r="A472" t="str">
        <x:v>DEU-000471</x:v>
      </x:c>
      <x:c r="B472" t="str">
        <x:v>USR-00246</x:v>
      </x:c>
      <x:c r="C472" t="n">
        <x:v>45870</x:v>
      </x:c>
      <x:c r="D472" t="str">
        <x:v>Cooperativa C</x:v>
      </x:c>
      <x:c r="E472" t="str">
        <x:v>Crédito de consumo</x:v>
      </x:c>
      <x:c r="F472" t="n">
        <x:v>12480000</x:v>
      </x:c>
      <x:c r="G472" s="40" t="n">
        <x:v>0.1842</x:v>
      </x:c>
      <x:c r="H472" s="40" t="n">
        <x:v>0.014189</x:v>
      </x:c>
      <x:c r="I472" t="n">
        <x:v>24</x:v>
      </x:c>
      <x:c r="J472" t="n">
        <x:v>617200</x:v>
      </x:c>
      <x:c r="K472" t="str">
        <x:v>Bola de nieve</x:v>
      </x:c>
      <x:c r="L472" t="str">
        <x:v>Vigente</x:v>
      </x:c>
      <x:c r="M472" t="n">
        <x:v>8535017.5</x:v>
      </x:c>
      <x:c r="N472"/>
    </x:row>
    <x:row r="473">
      <x:c r="A473" t="str">
        <x:v>DEU-000472</x:v>
      </x:c>
      <x:c r="B473" t="str">
        <x:v>USR-00247</x:v>
      </x:c>
      <x:c r="C473" t="n">
        <x:v>45870</x:v>
      </x:c>
      <x:c r="D473" t="str">
        <x:v>Financiera D</x:v>
      </x:c>
      <x:c r="E473" t="str">
        <x:v>Tarjeta de crédito</x:v>
      </x:c>
      <x:c r="F473" t="n">
        <x:v>3260000</x:v>
      </x:c>
      <x:c r="G473" s="40" t="n">
        <x:v>0.2191</x:v>
      </x:c>
      <x:c r="H473" s="40" t="n">
        <x:v>0.016646</x:v>
      </x:c>
      <x:c r="I473" t="n">
        <x:v>36</x:v>
      </x:c>
      <x:c r="J473" t="n">
        <x:v>121100</x:v>
      </x:c>
      <x:c r="K473" t="str">
        <x:v>Avalancha</x:v>
      </x:c>
      <x:c r="L473" t="str">
        <x:v>Vigente</x:v>
      </x:c>
      <x:c r="M473" t="n">
        <x:v>3250927.52</x:v>
      </x:c>
      <x:c r="N473"/>
    </x:row>
    <x:row r="474">
      <x:c r="A474" t="str">
        <x:v>DEU-000473</x:v>
      </x:c>
      <x:c r="B474" t="str">
        <x:v>USR-00247</x:v>
      </x:c>
      <x:c r="C474" t="n">
        <x:v>45870</x:v>
      </x:c>
      <x:c r="D474" t="str">
        <x:v>Financiera D</x:v>
      </x:c>
      <x:c r="E474" t="str">
        <x:v>Crédito de vehículo</x:v>
      </x:c>
      <x:c r="F474" t="n">
        <x:v>49700000</x:v>
      </x:c>
      <x:c r="G474" s="40" t="n">
        <x:v>0.3432</x:v>
      </x:c>
      <x:c r="H474" s="40" t="n">
        <x:v>0.024893</x:v>
      </x:c>
      <x:c r="I474" t="n">
        <x:v>12</x:v>
      </x:c>
      <x:c r="J474" t="n">
        <x:v>4842000</x:v>
      </x:c>
      <x:c r="K474" t="str">
        <x:v>Avalancha</x:v>
      </x:c>
      <x:c r="L474" t="str">
        <x:v>Vigente</x:v>
      </x:c>
      <x:c r="M474" t="n">
        <x:v>42347061.96</x:v>
      </x:c>
      <x:c r="N474"/>
    </x:row>
    <x:row r="475">
      <x:c r="A475" t="str">
        <x:v>DEU-000474</x:v>
      </x:c>
      <x:c r="B475" t="str">
        <x:v>USR-00248</x:v>
      </x:c>
      <x:c r="C475" t="n">
        <x:v>45870</x:v>
      </x:c>
      <x:c r="D475" t="str">
        <x:v>Cooperativa C</x:v>
      </x:c>
      <x:c r="E475" t="str">
        <x:v>Tarjeta de crédito</x:v>
      </x:c>
      <x:c r="F475" t="n">
        <x:v>3500000</x:v>
      </x:c>
      <x:c r="G475" s="40" t="n">
        <x:v>0.285</x:v>
      </x:c>
      <x:c r="H475" s="40" t="n">
        <x:v>0.021116</x:v>
      </x:c>
      <x:c r="I475" t="n">
        <x:v>12</x:v>
      </x:c>
      <x:c r="J475" t="n">
        <x:v>333200</x:v>
      </x:c>
      <x:c r="K475" t="str">
        <x:v>Bola de nieve</x:v>
      </x:c>
      <x:c r="L475" t="str">
        <x:v>Vigente</x:v>
      </x:c>
      <x:c r="M475" t="n">
        <x:v>151560.05</x:v>
      </x:c>
      <x:c r="N475"/>
    </x:row>
    <x:row r="476">
      <x:c r="A476" t="str">
        <x:v>DEU-000475</x:v>
      </x:c>
      <x:c r="B476" t="str">
        <x:v>USR-00248</x:v>
      </x:c>
      <x:c r="C476" t="n">
        <x:v>45870</x:v>
      </x:c>
      <x:c r="D476" t="str">
        <x:v>Financiera D</x:v>
      </x:c>
      <x:c r="E476" t="str">
        <x:v>Crédito de vehículo</x:v>
      </x:c>
      <x:c r="F476" t="n">
        <x:v>15130000</x:v>
      </x:c>
      <x:c r="G476" s="40" t="n">
        <x:v>0.2912</x:v>
      </x:c>
      <x:c r="H476" s="40" t="n">
        <x:v>0.021526</x:v>
      </x:c>
      <x:c r="I476" t="n">
        <x:v>12</x:v>
      </x:c>
      <x:c r="J476" t="n">
        <x:v>1444100</x:v>
      </x:c>
      <x:c r="K476" t="str">
        <x:v>Bola de nieve</x:v>
      </x:c>
      <x:c r="L476" t="str">
        <x:v>Vigente</x:v>
      </x:c>
      <x:c r="M476" t="n">
        <x:v>6822709.59</x:v>
      </x:c>
      <x:c r="N476"/>
    </x:row>
    <x:row r="477">
      <x:c r="A477" t="str">
        <x:v>DEU-000476</x:v>
      </x:c>
      <x:c r="B477" t="str">
        <x:v>USR-00249</x:v>
      </x:c>
      <x:c r="C477" t="n">
        <x:v>45870</x:v>
      </x:c>
      <x:c r="D477" t="str">
        <x:v>Entidad financiera E</x:v>
      </x:c>
      <x:c r="E477" t="str">
        <x:v>Crédito de libre inversión</x:v>
      </x:c>
      <x:c r="F477" t="n">
        <x:v>5690000</x:v>
      </x:c>
      <x:c r="G477" s="40" t="n">
        <x:v>0.2173</x:v>
      </x:c>
      <x:c r="H477" s="40" t="n">
        <x:v>0.016521</x:v>
      </x:c>
      <x:c r="I477" t="n">
        <x:v>24</x:v>
      </x:c>
      <x:c r="J477" t="n">
        <x:v>289100</x:v>
      </x:c>
      <x:c r="K477" t="str">
        <x:v>Avalancha</x:v>
      </x:c>
      <x:c r="L477" t="str">
        <x:v>Vigente</x:v>
      </x:c>
      <x:c r="M477" t="n">
        <x:v>3334568.76</x:v>
      </x:c>
      <x:c r="N477"/>
    </x:row>
    <x:row r="478">
      <x:c r="A478" t="str">
        <x:v>DEU-000477</x:v>
      </x:c>
      <x:c r="B478" t="str">
        <x:v>USR-00249</x:v>
      </x:c>
      <x:c r="C478" t="n">
        <x:v>45870</x:v>
      </x:c>
      <x:c r="D478" t="str">
        <x:v>Entidad financiera E</x:v>
      </x:c>
      <x:c r="E478" t="str">
        <x:v>Tarjeta de crédito</x:v>
      </x:c>
      <x:c r="F478" t="n">
        <x:v>8040000</x:v>
      </x:c>
      <x:c r="G478" s="40" t="n">
        <x:v>0.1315</x:v>
      </x:c>
      <x:c r="H478" s="40" t="n">
        <x:v>0.010349</x:v>
      </x:c>
      <x:c r="I478" t="n">
        <x:v>60</x:v>
      </x:c>
      <x:c r="J478" t="n">
        <x:v>180500</x:v>
      </x:c>
      <x:c r="K478" t="str">
        <x:v>Avalancha</x:v>
      </x:c>
      <x:c r="L478" t="str">
        <x:v>Vigente</x:v>
      </x:c>
      <x:c r="M478" t="n">
        <x:v>6345505.62</x:v>
      </x:c>
      <x:c r="N478"/>
    </x:row>
    <x:row r="479">
      <x:c r="A479" t="str">
        <x:v>DEU-000478</x:v>
      </x:c>
      <x:c r="B479" t="str">
        <x:v>USR-00250</x:v>
      </x:c>
      <x:c r="C479" t="n">
        <x:v>45870</x:v>
      </x:c>
      <x:c r="D479" t="str">
        <x:v>Cooperativa C</x:v>
      </x:c>
      <x:c r="E479" t="str">
        <x:v>Crédito de consumo</x:v>
      </x:c>
      <x:c r="F479" t="n">
        <x:v>8880000</x:v>
      </x:c>
      <x:c r="G479" s="40" t="n">
        <x:v>0.2136</x:v>
      </x:c>
      <x:c r="H479" s="40" t="n">
        <x:v>0.016263</x:v>
      </x:c>
      <x:c r="I479" t="n">
        <x:v>18</x:v>
      </x:c>
      <x:c r="J479" t="n">
        <x:v>573000</x:v>
      </x:c>
      <x:c r="K479" t="str">
        <x:v>Avalancha</x:v>
      </x:c>
      <x:c r="L479" t="str">
        <x:v>Vigente</x:v>
      </x:c>
      <x:c r="M479" t="n">
        <x:v>3950829.91</x:v>
      </x:c>
      <x:c r="N479"/>
    </x:row>
    <x:row r="480">
      <x:c r="A480" t="str">
        <x:v>DEU-000479</x:v>
      </x:c>
      <x:c r="B480" t="str">
        <x:v>USR-00250</x:v>
      </x:c>
      <x:c r="C480" t="n">
        <x:v>45870</x:v>
      </x:c>
      <x:c r="D480" t="str">
        <x:v>Cooperativa C</x:v>
      </x:c>
      <x:c r="E480" t="str">
        <x:v>Tarjeta de crédito</x:v>
      </x:c>
      <x:c r="F480" t="n">
        <x:v>1570000</x:v>
      </x:c>
      <x:c r="G480" s="40" t="n">
        <x:v>0.1646</x:v>
      </x:c>
      <x:c r="H480" s="40" t="n">
        <x:v>0.012779</x:v>
      </x:c>
      <x:c r="I480" t="n">
        <x:v>36</x:v>
      </x:c>
      <x:c r="J480" t="n">
        <x:v>54700</x:v>
      </x:c>
      <x:c r="K480" t="str">
        <x:v>Bola de nieve</x:v>
      </x:c>
      <x:c r="L480" t="str">
        <x:v>Vigente</x:v>
      </x:c>
      <x:c r="M480" t="n">
        <x:v>1324260.18</x:v>
      </x:c>
      <x:c r="N480"/>
    </x:row>
    <x:row r="481">
      <x:c r="A481" t="str">
        <x:v>DEU-000480</x:v>
      </x:c>
      <x:c r="B481" t="str">
        <x:v>USR-00251</x:v>
      </x:c>
      <x:c r="C481" t="n">
        <x:v>45870</x:v>
      </x:c>
      <x:c r="D481" t="str">
        <x:v>Financiera D</x:v>
      </x:c>
      <x:c r="E481" t="str">
        <x:v>Crédito educativo</x:v>
      </x:c>
      <x:c r="F481" t="n">
        <x:v>20930000</x:v>
      </x:c>
      <x:c r="G481" s="40" t="n">
        <x:v>0.2962</x:v>
      </x:c>
      <x:c r="H481" s="40" t="n">
        <x:v>0.021855</x:v>
      </x:c>
      <x:c r="I481" t="n">
        <x:v>30</x:v>
      </x:c>
      <x:c r="J481" t="n">
        <x:v>958500</x:v>
      </x:c>
      <x:c r="K481" t="str">
        <x:v>Avalancha</x:v>
      </x:c>
      <x:c r="L481" t="str">
        <x:v>Vigente</x:v>
      </x:c>
      <x:c r="M481" t="n">
        <x:v>19888807.54</x:v>
      </x:c>
      <x:c r="N481"/>
    </x:row>
    <x:row r="482">
      <x:c r="A482" t="str">
        <x:v>DEU-000481</x:v>
      </x:c>
      <x:c r="B482" t="str">
        <x:v>USR-00251</x:v>
      </x:c>
      <x:c r="C482" t="n">
        <x:v>45870</x:v>
      </x:c>
      <x:c r="D482" t="str">
        <x:v>Entidad financiera B</x:v>
      </x:c>
      <x:c r="E482" t="str">
        <x:v>Crédito de consumo</x:v>
      </x:c>
      <x:c r="F482" t="n">
        <x:v>6590000</x:v>
      </x:c>
      <x:c r="G482" s="40" t="n">
        <x:v>0.2057</x:v>
      </x:c>
      <x:c r="H482" s="40" t="n">
        <x:v>0.01571</x:v>
      </x:c>
      <x:c r="I482" t="n">
        <x:v>24</x:v>
      </x:c>
      <x:c r="J482" t="n">
        <x:v>331700</x:v>
      </x:c>
      <x:c r="K482" t="str">
        <x:v>Avalancha</x:v>
      </x:c>
      <x:c r="L482" t="str">
        <x:v>Vigente</x:v>
      </x:c>
      <x:c r="M482" t="n">
        <x:v>6573801.59</x:v>
      </x:c>
      <x:c r="N482"/>
    </x:row>
    <x:row r="483">
      <x:c r="A483" t="str">
        <x:v>DEU-000482</x:v>
      </x:c>
      <x:c r="B483" t="str">
        <x:v>USR-00252</x:v>
      </x:c>
      <x:c r="C483" t="n">
        <x:v>45870</x:v>
      </x:c>
      <x:c r="D483" t="str">
        <x:v>Entidad financiera E</x:v>
      </x:c>
      <x:c r="E483" t="str">
        <x:v>Crédito de vehículo</x:v>
      </x:c>
      <x:c r="F483" t="n">
        <x:v>24620000</x:v>
      </x:c>
      <x:c r="G483" s="40" t="n">
        <x:v>0.2799</x:v>
      </x:c>
      <x:c r="H483" s="40" t="n">
        <x:v>0.020778</x:v>
      </x:c>
      <x:c r="I483" t="n">
        <x:v>24</x:v>
      </x:c>
      <x:c r="J483" t="n">
        <x:v>1313200</x:v>
      </x:c>
      <x:c r="K483" t="str">
        <x:v>Bola de nieve</x:v>
      </x:c>
      <x:c r="L483" t="str">
        <x:v>Vigente</x:v>
      </x:c>
      <x:c r="M483" t="n">
        <x:v>14816758.86</x:v>
      </x:c>
      <x:c r="N483"/>
    </x:row>
    <x:row r="484">
      <x:c r="A484" t="str">
        <x:v>DEU-000483</x:v>
      </x:c>
      <x:c r="B484" t="str">
        <x:v>USR-00252</x:v>
      </x:c>
      <x:c r="C484" t="n">
        <x:v>45870</x:v>
      </x:c>
      <x:c r="D484" t="str">
        <x:v>Financiera D</x:v>
      </x:c>
      <x:c r="E484" t="str">
        <x:v>Tarjeta de crédito</x:v>
      </x:c>
      <x:c r="F484" t="n">
        <x:v>7610000</x:v>
      </x:c>
      <x:c r="G484" s="40" t="n">
        <x:v>0.3069</x:v>
      </x:c>
      <x:c r="H484" s="40" t="n">
        <x:v>0.022555</x:v>
      </x:c>
      <x:c r="I484" t="n">
        <x:v>48</x:v>
      </x:c>
      <x:c r="J484" t="n">
        <x:v>261200</x:v>
      </x:c>
      <x:c r="K484" t="str">
        <x:v>Avalancha</x:v>
      </x:c>
      <x:c r="L484" t="str">
        <x:v>Vigente</x:v>
      </x:c>
      <x:c r="M484" t="n">
        <x:v>7342970.82</x:v>
      </x:c>
      <x:c r="N484"/>
    </x:row>
    <x:row r="485">
      <x:c r="A485" t="str">
        <x:v>DEU-000484</x:v>
      </x:c>
      <x:c r="B485" t="str">
        <x:v>USR-00253</x:v>
      </x:c>
      <x:c r="C485" t="n">
        <x:v>45870</x:v>
      </x:c>
      <x:c r="D485" t="str">
        <x:v>Financiera D</x:v>
      </x:c>
      <x:c r="E485" t="str">
        <x:v>Crédito de libre inversión</x:v>
      </x:c>
      <x:c r="F485" t="n">
        <x:v>13200000</x:v>
      </x:c>
      <x:c r="G485" s="40" t="n">
        <x:v>0.1975</x:v>
      </x:c>
      <x:c r="H485" s="40" t="n">
        <x:v>0.015133</x:v>
      </x:c>
      <x:c r="I485" t="n">
        <x:v>12</x:v>
      </x:c>
      <x:c r="J485" t="n">
        <x:v>1211200</x:v>
      </x:c>
      <x:c r="K485" t="str">
        <x:v>Bola de nieve</x:v>
      </x:c>
      <x:c r="L485" t="str">
        <x:v>Vigente</x:v>
      </x:c>
      <x:c r="M485" t="n">
        <x:v>13808382.6</x:v>
      </x:c>
      <x:c r="N485"/>
    </x:row>
    <x:row r="486">
      <x:c r="A486" t="str">
        <x:v>DEU-000485</x:v>
      </x:c>
      <x:c r="B486" t="str">
        <x:v>USR-00253</x:v>
      </x:c>
      <x:c r="C486" t="n">
        <x:v>45870</x:v>
      </x:c>
      <x:c r="D486" t="str">
        <x:v>Entidad financiera E</x:v>
      </x:c>
      <x:c r="E486" t="str">
        <x:v>Crédito educativo</x:v>
      </x:c>
      <x:c r="F486" t="n">
        <x:v>8840000</x:v>
      </x:c>
      <x:c r="G486" s="40" t="n">
        <x:v>0.2898</x:v>
      </x:c>
      <x:c r="H486" s="40" t="n">
        <x:v>0.021434</x:v>
      </x:c>
      <x:c r="I486" t="n">
        <x:v>24</x:v>
      </x:c>
      <x:c r="J486" t="n">
        <x:v>475000</x:v>
      </x:c>
      <x:c r="K486" t="str">
        <x:v>Avalancha</x:v>
      </x:c>
      <x:c r="L486" t="str">
        <x:v>Vigente</x:v>
      </x:c>
      <x:c r="M486" t="n">
        <x:v>8420300.3</x:v>
      </x:c>
      <x:c r="N486"/>
    </x:row>
    <x:row r="487">
      <x:c r="A487" t="str">
        <x:v>DEU-000486</x:v>
      </x:c>
      <x:c r="B487" t="str">
        <x:v>USR-00254</x:v>
      </x:c>
      <x:c r="C487" t="n">
        <x:v>45870</x:v>
      </x:c>
      <x:c r="D487" t="str">
        <x:v>Entidad financiera B</x:v>
      </x:c>
      <x:c r="E487" t="str">
        <x:v>Crédito de libre inversión</x:v>
      </x:c>
      <x:c r="F487" t="n">
        <x:v>12380000</x:v>
      </x:c>
      <x:c r="G487" s="40" t="n">
        <x:v>0.3428</x:v>
      </x:c>
      <x:c r="H487" s="40" t="n">
        <x:v>0.024867</x:v>
      </x:c>
      <x:c r="I487" t="n">
        <x:v>18</x:v>
      </x:c>
      <x:c r="J487" t="n">
        <x:v>861500</x:v>
      </x:c>
      <x:c r="K487" t="str">
        <x:v>Bola de nieve</x:v>
      </x:c>
      <x:c r="L487" t="str">
        <x:v>Vigente</x:v>
      </x:c>
      <x:c r="M487" t="n">
        <x:v>6879122.88</x:v>
      </x:c>
      <x:c r="N487"/>
    </x:row>
    <x:row r="488">
      <x:c r="A488" t="str">
        <x:v>DEU-000487</x:v>
      </x:c>
      <x:c r="B488" t="str">
        <x:v>USR-00254</x:v>
      </x:c>
      <x:c r="C488" t="n">
        <x:v>45870</x:v>
      </x:c>
      <x:c r="D488" t="str">
        <x:v>Entidad financiera E</x:v>
      </x:c>
      <x:c r="E488" t="str">
        <x:v>Crédito de vehículo</x:v>
      </x:c>
      <x:c r="F488" t="n">
        <x:v>45240000</x:v>
      </x:c>
      <x:c r="G488" s="40" t="n">
        <x:v>0.2626</x:v>
      </x:c>
      <x:c r="H488" s="40" t="n">
        <x:v>0.019621</x:v>
      </x:c>
      <x:c r="I488" t="n">
        <x:v>12</x:v>
      </x:c>
      <x:c r="J488" t="n">
        <x:v>4267900</x:v>
      </x:c>
      <x:c r="K488" t="str">
        <x:v>Bola de nieve</x:v>
      </x:c>
      <x:c r="L488" t="str">
        <x:v>Vigente</x:v>
      </x:c>
      <x:c r="M488" t="n">
        <x:v>17787630.13</x:v>
      </x:c>
      <x:c r="N488"/>
    </x:row>
    <x:row r="489">
      <x:c r="A489" t="str">
        <x:v>DEU-000488</x:v>
      </x:c>
      <x:c r="B489" t="str">
        <x:v>USR-00254</x:v>
      </x:c>
      <x:c r="C489" t="n">
        <x:v>45870</x:v>
      </x:c>
      <x:c r="D489" t="str">
        <x:v>Cooperativa C</x:v>
      </x:c>
      <x:c r="E489" t="str">
        <x:v>Crédito educativo</x:v>
      </x:c>
      <x:c r="F489" t="n">
        <x:v>14390000</x:v>
      </x:c>
      <x:c r="G489" s="40" t="n">
        <x:v>0.3166</x:v>
      </x:c>
      <x:c r="H489" s="40" t="n">
        <x:v>0.023186</x:v>
      </x:c>
      <x:c r="I489" t="n">
        <x:v>18</x:v>
      </x:c>
      <x:c r="J489" t="n">
        <x:v>986900</x:v>
      </x:c>
      <x:c r="K489" t="str">
        <x:v>Bola de nieve</x:v>
      </x:c>
      <x:c r="L489" t="str">
        <x:v>Vigente</x:v>
      </x:c>
      <x:c r="M489" t="n">
        <x:v>11000876.1</x:v>
      </x:c>
      <x:c r="N489"/>
    </x:row>
    <x:row r="490">
      <x:c r="A490" t="str">
        <x:v>DEU-000489</x:v>
      </x:c>
      <x:c r="B490" t="str">
        <x:v>USR-00255</x:v>
      </x:c>
      <x:c r="C490" t="n">
        <x:v>45870</x:v>
      </x:c>
      <x:c r="D490" t="str">
        <x:v>Financiera D</x:v>
      </x:c>
      <x:c r="E490" t="str">
        <x:v>Crédito de consumo</x:v>
      </x:c>
      <x:c r="F490" t="n">
        <x:v>16820000</x:v>
      </x:c>
      <x:c r="G490" s="40" t="n">
        <x:v>0.1379</x:v>
      </x:c>
      <x:c r="H490" s="40" t="n">
        <x:v>0.010824</x:v>
      </x:c>
      <x:c r="I490" t="n">
        <x:v>60</x:v>
      </x:c>
      <x:c r="J490" t="n">
        <x:v>382600</x:v>
      </x:c>
      <x:c r="K490" t="str">
        <x:v>Bola de nieve</x:v>
      </x:c>
      <x:c r="L490" t="str">
        <x:v>Vigente</x:v>
      </x:c>
      <x:c r="M490" t="n">
        <x:v>15241697.72</x:v>
      </x:c>
      <x:c r="N490"/>
    </x:row>
    <x:row r="491">
      <x:c r="A491" t="str">
        <x:v>DEU-000490</x:v>
      </x:c>
      <x:c r="B491" t="str">
        <x:v>USR-00255</x:v>
      </x:c>
      <x:c r="C491" t="n">
        <x:v>45870</x:v>
      </x:c>
      <x:c r="D491" t="str">
        <x:v>Entidad financiera A</x:v>
      </x:c>
      <x:c r="E491" t="str">
        <x:v>Crédito educativo</x:v>
      </x:c>
      <x:c r="F491" t="n">
        <x:v>23160000</x:v>
      </x:c>
      <x:c r="G491" s="40" t="n">
        <x:v>0.2569</x:v>
      </x:c>
      <x:c r="H491" s="40" t="n">
        <x:v>0.019237</x:v>
      </x:c>
      <x:c r="I491" t="n">
        <x:v>12</x:v>
      </x:c>
      <x:c r="J491" t="n">
        <x:v>2179700</x:v>
      </x:c>
      <x:c r="K491" t="str">
        <x:v>Bola de nieve</x:v>
      </x:c>
      <x:c r="L491" t="str">
        <x:v>Vigente</x:v>
      </x:c>
      <x:c r="M491" t="n">
        <x:v>2934818.03</x:v>
      </x:c>
      <x:c r="N491"/>
    </x:row>
    <x:row r="492">
      <x:c r="A492" t="str">
        <x:v>DEU-000491</x:v>
      </x:c>
      <x:c r="B492" t="str">
        <x:v>USR-00255</x:v>
      </x:c>
      <x:c r="C492" t="n">
        <x:v>45870</x:v>
      </x:c>
      <x:c r="D492" t="str">
        <x:v>Entidad financiera B</x:v>
      </x:c>
      <x:c r="E492" t="str">
        <x:v>Crédito de libre inversión</x:v>
      </x:c>
      <x:c r="F492" t="n">
        <x:v>8620000</x:v>
      </x:c>
      <x:c r="G492" s="40" t="n">
        <x:v>0.1352</x:v>
      </x:c>
      <x:c r="H492" s="40" t="n">
        <x:v>0.010623</x:v>
      </x:c>
      <x:c r="I492" t="n">
        <x:v>30</x:v>
      </x:c>
      <x:c r="J492" t="n">
        <x:v>337100</x:v>
      </x:c>
      <x:c r="K492" t="str">
        <x:v>Avalancha</x:v>
      </x:c>
      <x:c r="L492" t="str">
        <x:v>Vigente</x:v>
      </x:c>
      <x:c r="M492" t="n">
        <x:v>6038344.01</x:v>
      </x:c>
      <x:c r="N492"/>
    </x:row>
    <x:row r="493">
      <x:c r="A493" t="str">
        <x:v>DEU-000492</x:v>
      </x:c>
      <x:c r="B493" t="str">
        <x:v>USR-00255</x:v>
      </x:c>
      <x:c r="C493" t="n">
        <x:v>45870</x:v>
      </x:c>
      <x:c r="D493" t="str">
        <x:v>Entidad financiera A</x:v>
      </x:c>
      <x:c r="E493" t="str">
        <x:v>Tarjeta de crédito</x:v>
      </x:c>
      <x:c r="F493" t="n">
        <x:v>1770000</x:v>
      </x:c>
      <x:c r="G493" s="40" t="n">
        <x:v>0.1838</x:v>
      </x:c>
      <x:c r="H493" s="40" t="n">
        <x:v>0.01416</x:v>
      </x:c>
      <x:c r="I493" t="n">
        <x:v>18</x:v>
      </x:c>
      <x:c r="J493" t="n">
        <x:v>112100</x:v>
      </x:c>
      <x:c r="K493" t="str">
        <x:v>Avalancha</x:v>
      </x:c>
      <x:c r="L493" t="str">
        <x:v>Vigente</x:v>
      </x:c>
      <x:c r="M493" t="n">
        <x:v>957911.85</x:v>
      </x:c>
      <x:c r="N493"/>
    </x:row>
    <x:row r="494">
      <x:c r="A494" t="str">
        <x:v>DEU-000493</x:v>
      </x:c>
      <x:c r="B494" t="str">
        <x:v>USR-00256</x:v>
      </x:c>
      <x:c r="C494" t="n">
        <x:v>45870</x:v>
      </x:c>
      <x:c r="D494" t="str">
        <x:v>Entidad financiera A</x:v>
      </x:c>
      <x:c r="E494" t="str">
        <x:v>Tarjeta de crédito</x:v>
      </x:c>
      <x:c r="F494" t="n">
        <x:v>7220000</x:v>
      </x:c>
      <x:c r="G494" s="40" t="n">
        <x:v>0.2072</x:v>
      </x:c>
      <x:c r="H494" s="40" t="n">
        <x:v>0.015816</x:v>
      </x:c>
      <x:c r="I494" t="n">
        <x:v>12</x:v>
      </x:c>
      <x:c r="J494" t="n">
        <x:v>665300</x:v>
      </x:c>
      <x:c r="K494" t="str">
        <x:v>Bola de nieve</x:v>
      </x:c>
      <x:c r="L494" t="str">
        <x:v>Pagada</x:v>
      </x:c>
      <x:c r="M494" t="n">
        <x:v>0</x:v>
      </x:c>
      <x:c r="N494" t="n">
        <x:v>46266</x:v>
      </x:c>
    </x:row>
    <x:row r="495">
      <x:c r="A495" t="str">
        <x:v>DEU-000494</x:v>
      </x:c>
      <x:c r="B495" t="str">
        <x:v>USR-00256</x:v>
      </x:c>
      <x:c r="C495" t="n">
        <x:v>45870</x:v>
      </x:c>
      <x:c r="D495" t="str">
        <x:v>Cooperativa C</x:v>
      </x:c>
      <x:c r="E495" t="str">
        <x:v>Tarjeta de crédito</x:v>
      </x:c>
      <x:c r="F495" t="n">
        <x:v>5090000</x:v>
      </x:c>
      <x:c r="G495" s="40" t="n">
        <x:v>0.2149</x:v>
      </x:c>
      <x:c r="H495" s="40" t="n">
        <x:v>0.016354</x:v>
      </x:c>
      <x:c r="I495" t="n">
        <x:v>48</x:v>
      </x:c>
      <x:c r="J495" t="n">
        <x:v>153900</x:v>
      </x:c>
      <x:c r="K495" t="str">
        <x:v>Avalancha</x:v>
      </x:c>
      <x:c r="L495" t="str">
        <x:v>Vigente</x:v>
      </x:c>
      <x:c r="M495" t="n">
        <x:v>4124894.78</x:v>
      </x:c>
      <x:c r="N495"/>
    </x:row>
    <x:row r="496">
      <x:c r="A496" t="str">
        <x:v>DEU-000495</x:v>
      </x:c>
      <x:c r="B496" t="str">
        <x:v>USR-00257</x:v>
      </x:c>
      <x:c r="C496" t="n">
        <x:v>45870</x:v>
      </x:c>
      <x:c r="D496" t="str">
        <x:v>Financiera D</x:v>
      </x:c>
      <x:c r="E496" t="str">
        <x:v>Crédito de consumo</x:v>
      </x:c>
      <x:c r="F496" t="n">
        <x:v>16900000</x:v>
      </x:c>
      <x:c r="G496" s="40" t="n">
        <x:v>0.313</x:v>
      </x:c>
      <x:c r="H496" s="40" t="n">
        <x:v>0.022952</x:v>
      </x:c>
      <x:c r="I496" t="n">
        <x:v>24</x:v>
      </x:c>
      <x:c r="J496" t="n">
        <x:v>923700</x:v>
      </x:c>
      <x:c r="K496" t="str">
        <x:v>Bola de nieve</x:v>
      </x:c>
      <x:c r="L496" t="str">
        <x:v>Vigente</x:v>
      </x:c>
      <x:c r="M496" t="n">
        <x:v>12072865.42</x:v>
      </x:c>
      <x:c r="N496"/>
    </x:row>
    <x:row r="497">
      <x:c r="A497" t="str">
        <x:v>DEU-000496</x:v>
      </x:c>
      <x:c r="B497" t="str">
        <x:v>USR-00258</x:v>
      </x:c>
      <x:c r="C497" t="n">
        <x:v>45870</x:v>
      </x:c>
      <x:c r="D497" t="str">
        <x:v>Entidad financiera E</x:v>
      </x:c>
      <x:c r="E497" t="str">
        <x:v>Crédito de consumo</x:v>
      </x:c>
      <x:c r="F497" t="n">
        <x:v>2360000</x:v>
      </x:c>
      <x:c r="G497" s="40" t="n">
        <x:v>0.2002</x:v>
      </x:c>
      <x:c r="H497" s="40" t="n">
        <x:v>0.015324</x:v>
      </x:c>
      <x:c r="I497" t="n">
        <x:v>60</x:v>
      </x:c>
      <x:c r="J497" t="n">
        <x:v>60400</x:v>
      </x:c>
      <x:c r="K497" t="str">
        <x:v>Avalancha</x:v>
      </x:c>
      <x:c r="L497" t="str">
        <x:v>Vigente</x:v>
      </x:c>
      <x:c r="M497" t="n">
        <x:v>2104621.39</x:v>
      </x:c>
      <x:c r="N497"/>
    </x:row>
    <x:row r="498">
      <x:c r="A498" t="str">
        <x:v>DEU-000497</x:v>
      </x:c>
      <x:c r="B498" t="str">
        <x:v>USR-00258</x:v>
      </x:c>
      <x:c r="C498" t="n">
        <x:v>45870</x:v>
      </x:c>
      <x:c r="D498" t="str">
        <x:v>Entidad financiera B</x:v>
      </x:c>
      <x:c r="E498" t="str">
        <x:v>Crédito de consumo</x:v>
      </x:c>
      <x:c r="F498" t="n">
        <x:v>8450000</x:v>
      </x:c>
      <x:c r="G498" s="40" t="n">
        <x:v>0.2469</x:v>
      </x:c>
      <x:c r="H498" s="40" t="n">
        <x:v>0.018558</x:v>
      </x:c>
      <x:c r="I498" t="n">
        <x:v>24</x:v>
      </x:c>
      <x:c r="J498" t="n">
        <x:v>439500</x:v>
      </x:c>
      <x:c r="K498" t="str">
        <x:v>Avalancha</x:v>
      </x:c>
      <x:c r="L498" t="str">
        <x:v>Vigente</x:v>
      </x:c>
      <x:c r="M498" t="n">
        <x:v>4918241.29</x:v>
      </x:c>
      <x:c r="N498"/>
    </x:row>
    <x:row r="499">
      <x:c r="A499" t="str">
        <x:v>DEU-000498</x:v>
      </x:c>
      <x:c r="B499" t="str">
        <x:v>USR-00259</x:v>
      </x:c>
      <x:c r="C499" t="n">
        <x:v>45870</x:v>
      </x:c>
      <x:c r="D499" t="str">
        <x:v>Cooperativa C</x:v>
      </x:c>
      <x:c r="E499" t="str">
        <x:v>Tarjeta de crédito</x:v>
      </x:c>
      <x:c r="F499" t="n">
        <x:v>940000</x:v>
      </x:c>
      <x:c r="G499" s="40" t="n">
        <x:v>0.1492</x:v>
      </x:c>
      <x:c r="H499" s="40" t="n">
        <x:v>0.011656</x:v>
      </x:c>
      <x:c r="I499" t="n">
        <x:v>48</x:v>
      </x:c>
      <x:c r="J499" t="n">
        <x:v>25700</x:v>
      </x:c>
      <x:c r="K499" t="str">
        <x:v>Avalancha</x:v>
      </x:c>
      <x:c r="L499" t="str">
        <x:v>Vigente</x:v>
      </x:c>
      <x:c r="M499" t="n">
        <x:v>823759.22</x:v>
      </x:c>
      <x:c r="N499"/>
    </x:row>
    <x:row r="500">
      <x:c r="A500" t="str">
        <x:v>DEU-000499</x:v>
      </x:c>
      <x:c r="B500" t="str">
        <x:v>USR-00260</x:v>
      </x:c>
      <x:c r="C500" t="n">
        <x:v>45870</x:v>
      </x:c>
      <x:c r="D500" t="str">
        <x:v>Entidad financiera B</x:v>
      </x:c>
      <x:c r="E500" t="str">
        <x:v>Crédito de consumo</x:v>
      </x:c>
      <x:c r="F500" t="n">
        <x:v>16210000</x:v>
      </x:c>
      <x:c r="G500" s="40" t="n">
        <x:v>0.2625</x:v>
      </x:c>
      <x:c r="H500" s="40" t="n">
        <x:v>0.019614</x:v>
      </x:c>
      <x:c r="I500" t="n">
        <x:v>24</x:v>
      </x:c>
      <x:c r="J500" t="n">
        <x:v>853300</x:v>
      </x:c>
      <x:c r="K500" t="str">
        <x:v>Bola de nieve</x:v>
      </x:c>
      <x:c r="L500" t="str">
        <x:v>Vigente</x:v>
      </x:c>
      <x:c r="M500" t="n">
        <x:v>12005487.6</x:v>
      </x:c>
      <x:c r="N500"/>
    </x:row>
    <x:row r="501">
      <x:c r="A501" t="str">
        <x:v>DEU-000500</x:v>
      </x:c>
      <x:c r="B501" t="str">
        <x:v>USR-00261</x:v>
      </x:c>
      <x:c r="C501" t="n">
        <x:v>45870</x:v>
      </x:c>
      <x:c r="D501" t="str">
        <x:v>Financiera D</x:v>
      </x:c>
      <x:c r="E501" t="str">
        <x:v>Crédito de consumo</x:v>
      </x:c>
      <x:c r="F501" t="n">
        <x:v>12050000</x:v>
      </x:c>
      <x:c r="G501" s="40" t="n">
        <x:v>0.1875</x:v>
      </x:c>
      <x:c r="H501" s="40" t="n">
        <x:v>0.014424</x:v>
      </x:c>
      <x:c r="I501" t="n">
        <x:v>12</x:v>
      </x:c>
      <x:c r="J501" t="n">
        <x:v>1100800</x:v>
      </x:c>
      <x:c r="K501" t="str">
        <x:v>Avalancha</x:v>
      </x:c>
      <x:c r="L501" t="str">
        <x:v>Vigente</x:v>
      </x:c>
      <x:c r="M501" t="n">
        <x:v>2105229.62</x:v>
      </x:c>
      <x:c r="N501"/>
    </x:row>
    <x:row r="502">
      <x:c r="A502" t="str">
        <x:v>DEU-000501</x:v>
      </x:c>
      <x:c r="B502" t="str">
        <x:v>USR-00262</x:v>
      </x:c>
      <x:c r="C502" t="n">
        <x:v>45870</x:v>
      </x:c>
      <x:c r="D502" t="str">
        <x:v>Entidad financiera B</x:v>
      </x:c>
      <x:c r="E502" t="str">
        <x:v>Crédito de consumo</x:v>
      </x:c>
      <x:c r="F502" t="n">
        <x:v>13350000</x:v>
      </x:c>
      <x:c r="G502" s="40" t="n">
        <x:v>0.2522</x:v>
      </x:c>
      <x:c r="H502" s="40" t="n">
        <x:v>0.018919</x:v>
      </x:c>
      <x:c r="I502" t="n">
        <x:v>12</x:v>
      </x:c>
      <x:c r="J502" t="n">
        <x:v>1254000</x:v>
      </x:c>
      <x:c r="K502" t="str">
        <x:v>Bola de nieve</x:v>
      </x:c>
      <x:c r="L502" t="str">
        <x:v>Vigente</x:v>
      </x:c>
      <x:c r="M502" t="n">
        <x:v>1423553.3</x:v>
      </x:c>
      <x:c r="N502"/>
    </x:row>
    <x:row r="503">
      <x:c r="A503" t="str">
        <x:v>DEU-000502</x:v>
      </x:c>
      <x:c r="B503" t="str">
        <x:v>USR-00263</x:v>
      </x:c>
      <x:c r="C503" t="n">
        <x:v>45870</x:v>
      </x:c>
      <x:c r="D503" t="str">
        <x:v>Entidad financiera E</x:v>
      </x:c>
      <x:c r="E503" t="str">
        <x:v>Crédito de vehículo</x:v>
      </x:c>
      <x:c r="F503" t="n">
        <x:v>20460000</x:v>
      </x:c>
      <x:c r="G503" s="40" t="n">
        <x:v>0.221</x:v>
      </x:c>
      <x:c r="H503" s="40" t="n">
        <x:v>0.016778</x:v>
      </x:c>
      <x:c r="I503" t="n">
        <x:v>12</x:v>
      </x:c>
      <x:c r="J503" t="n">
        <x:v>1896600</x:v>
      </x:c>
      <x:c r="K503" t="str">
        <x:v>Bola de nieve</x:v>
      </x:c>
      <x:c r="L503" t="str">
        <x:v>Vigente</x:v>
      </x:c>
      <x:c r="M503" t="n">
        <x:v>7047523.03</x:v>
      </x:c>
      <x:c r="N503"/>
    </x:row>
    <x:row r="504">
      <x:c r="A504" t="str">
        <x:v>DEU-000503</x:v>
      </x:c>
      <x:c r="B504" t="str">
        <x:v>USR-00264</x:v>
      </x:c>
      <x:c r="C504" t="n">
        <x:v>45870</x:v>
      </x:c>
      <x:c r="D504" t="str">
        <x:v>Cooperativa C</x:v>
      </x:c>
      <x:c r="E504" t="str">
        <x:v>Tarjeta de crédito</x:v>
      </x:c>
      <x:c r="F504" t="n">
        <x:v>5880000</x:v>
      </x:c>
      <x:c r="G504" s="40" t="n">
        <x:v>0.1552</x:v>
      </x:c>
      <x:c r="H504" s="40" t="n">
        <x:v>0.012095</x:v>
      </x:c>
      <x:c r="I504" t="n">
        <x:v>48</x:v>
      </x:c>
      <x:c r="J504" t="n">
        <x:v>162200</x:v>
      </x:c>
      <x:c r="K504" t="str">
        <x:v>Bola de nieve</x:v>
      </x:c>
      <x:c r="L504" t="str">
        <x:v>Vigente</x:v>
      </x:c>
      <x:c r="M504" t="n">
        <x:v>5770600.59</x:v>
      </x:c>
      <x:c r="N504"/>
    </x:row>
    <x:row r="505">
      <x:c r="A505" t="str">
        <x:v>DEU-000504</x:v>
      </x:c>
      <x:c r="B505" t="str">
        <x:v>USR-00010</x:v>
      </x:c>
      <x:c r="C505" t="n">
        <x:v>45901</x:v>
      </x:c>
      <x:c r="D505" t="str">
        <x:v>Entidad financiera A</x:v>
      </x:c>
      <x:c r="E505" t="str">
        <x:v>Tarjeta de crédito</x:v>
      </x:c>
      <x:c r="F505" t="n">
        <x:v>5670000</x:v>
      </x:c>
      <x:c r="G505" s="40" t="n">
        <x:v>0.3057</x:v>
      </x:c>
      <x:c r="H505" s="40" t="n">
        <x:v>0.022477</x:v>
      </x:c>
      <x:c r="I505" t="n">
        <x:v>60</x:v>
      </x:c>
      <x:c r="J505" t="n">
        <x:v>173000</x:v>
      </x:c>
      <x:c r="K505" t="str">
        <x:v>Avalancha</x:v>
      </x:c>
      <x:c r="L505" t="str">
        <x:v>Vigente</x:v>
      </x:c>
      <x:c r="M505" t="n">
        <x:v>5870379.72</x:v>
      </x:c>
      <x:c r="N505"/>
    </x:row>
    <x:row r="506">
      <x:c r="A506" t="str">
        <x:v>DEU-000505</x:v>
      </x:c>
      <x:c r="B506" t="str">
        <x:v>USR-00036</x:v>
      </x:c>
      <x:c r="C506" t="n">
        <x:v>45901</x:v>
      </x:c>
      <x:c r="D506" t="str">
        <x:v>Cooperativa C</x:v>
      </x:c>
      <x:c r="E506" t="str">
        <x:v>Crédito educativo</x:v>
      </x:c>
      <x:c r="F506" t="n">
        <x:v>7400000</x:v>
      </x:c>
      <x:c r="G506" s="40" t="n">
        <x:v>0.3325</x:v>
      </x:c>
      <x:c r="H506" s="40" t="n">
        <x:v>0.02421</x:v>
      </x:c>
      <x:c r="I506" t="n">
        <x:v>24</x:v>
      </x:c>
      <x:c r="J506" t="n">
        <x:v>410200</x:v>
      </x:c>
      <x:c r="K506" t="str">
        <x:v>Bola de nieve</x:v>
      </x:c>
      <x:c r="L506" t="str">
        <x:v>Vigente</x:v>
      </x:c>
      <x:c r="M506" t="n">
        <x:v>6328886.26</x:v>
      </x:c>
      <x:c r="N506"/>
    </x:row>
    <x:row r="507">
      <x:c r="A507" t="str">
        <x:v>DEU-000506</x:v>
      </x:c>
      <x:c r="B507" t="str">
        <x:v>USR-00073</x:v>
      </x:c>
      <x:c r="C507" t="n">
        <x:v>45901</x:v>
      </x:c>
      <x:c r="D507" t="str">
        <x:v>Entidad financiera A</x:v>
      </x:c>
      <x:c r="E507" t="str">
        <x:v>Crédito educativo</x:v>
      </x:c>
      <x:c r="F507" t="n">
        <x:v>15240000</x:v>
      </x:c>
      <x:c r="G507" s="40" t="n">
        <x:v>0.2118</x:v>
      </x:c>
      <x:c r="H507" s="40" t="n">
        <x:v>0.016138</x:v>
      </x:c>
      <x:c r="I507" t="n">
        <x:v>18</x:v>
      </x:c>
      <x:c r="J507" t="n">
        <x:v>982300</x:v>
      </x:c>
      <x:c r="K507" t="str">
        <x:v>Bola de nieve</x:v>
      </x:c>
      <x:c r="L507" t="str">
        <x:v>Vigente</x:v>
      </x:c>
      <x:c r="M507" t="n">
        <x:v>7439204.95</x:v>
      </x:c>
      <x:c r="N507"/>
    </x:row>
    <x:row r="508">
      <x:c r="A508" t="str">
        <x:v>DEU-000507</x:v>
      </x:c>
      <x:c r="B508" t="str">
        <x:v>USR-00152</x:v>
      </x:c>
      <x:c r="C508" t="n">
        <x:v>45901</x:v>
      </x:c>
      <x:c r="D508" t="str">
        <x:v>Entidad financiera E</x:v>
      </x:c>
      <x:c r="E508" t="str">
        <x:v>Crédito de libre inversión</x:v>
      </x:c>
      <x:c r="F508" t="n">
        <x:v>15070000</x:v>
      </x:c>
      <x:c r="G508" s="40" t="n">
        <x:v>0.3005</x:v>
      </x:c>
      <x:c r="H508" s="40" t="n">
        <x:v>0.022137</x:v>
      </x:c>
      <x:c r="I508" t="n">
        <x:v>18</x:v>
      </x:c>
      <x:c r="J508" t="n">
        <x:v>1024200</x:v>
      </x:c>
      <x:c r="K508" t="str">
        <x:v>Avalancha</x:v>
      </x:c>
      <x:c r="L508" t="str">
        <x:v>Vigente</x:v>
      </x:c>
      <x:c r="M508" t="n">
        <x:v>6374889.92</x:v>
      </x:c>
      <x:c r="N508"/>
    </x:row>
    <x:row r="509">
      <x:c r="A509" t="str">
        <x:v>DEU-000508</x:v>
      </x:c>
      <x:c r="B509" t="str">
        <x:v>USR-00265</x:v>
      </x:c>
      <x:c r="C509" t="n">
        <x:v>45901</x:v>
      </x:c>
      <x:c r="D509" t="str">
        <x:v>Entidad financiera B</x:v>
      </x:c>
      <x:c r="E509" t="str">
        <x:v>Tarjeta de crédito</x:v>
      </x:c>
      <x:c r="F509" t="n">
        <x:v>5890000</x:v>
      </x:c>
      <x:c r="G509" s="40" t="n">
        <x:v>0.1577</x:v>
      </x:c>
      <x:c r="H509" s="40" t="n">
        <x:v>0.012278</x:v>
      </x:c>
      <x:c r="I509" t="n">
        <x:v>48</x:v>
      </x:c>
      <x:c r="J509" t="n">
        <x:v>163100</x:v>
      </x:c>
      <x:c r="K509" t="str">
        <x:v>Bola de nieve</x:v>
      </x:c>
      <x:c r="L509" t="str">
        <x:v>Vigente</x:v>
      </x:c>
      <x:c r="M509" t="n">
        <x:v>5481719.45</x:v>
      </x:c>
      <x:c r="N509"/>
    </x:row>
    <x:row r="510">
      <x:c r="A510" t="str">
        <x:v>DEU-000509</x:v>
      </x:c>
      <x:c r="B510" t="str">
        <x:v>USR-00266</x:v>
      </x:c>
      <x:c r="C510" t="n">
        <x:v>45901</x:v>
      </x:c>
      <x:c r="D510" t="str">
        <x:v>Entidad financiera E</x:v>
      </x:c>
      <x:c r="E510" t="str">
        <x:v>Crédito educativo</x:v>
      </x:c>
      <x:c r="F510" t="n">
        <x:v>25290000</x:v>
      </x:c>
      <x:c r="G510" s="40" t="n">
        <x:v>0.2722</x:v>
      </x:c>
      <x:c r="H510" s="40" t="n">
        <x:v>0.020265</x:v>
      </x:c>
      <x:c r="I510" t="n">
        <x:v>24</x:v>
      </x:c>
      <x:c r="J510" t="n">
        <x:v>1341100</x:v>
      </x:c>
      <x:c r="K510" t="str">
        <x:v>Avalancha</x:v>
      </x:c>
      <x:c r="L510" t="str">
        <x:v>Vigente</x:v>
      </x:c>
      <x:c r="M510" t="n">
        <x:v>24957107.53</x:v>
      </x:c>
      <x:c r="N510"/>
    </x:row>
    <x:row r="511">
      <x:c r="A511" t="str">
        <x:v>DEU-000510</x:v>
      </x:c>
      <x:c r="B511" t="str">
        <x:v>USR-00266</x:v>
      </x:c>
      <x:c r="C511" t="n">
        <x:v>45901</x:v>
      </x:c>
      <x:c r="D511" t="str">
        <x:v>Financiera D</x:v>
      </x:c>
      <x:c r="E511" t="str">
        <x:v>Crédito de libre inversión</x:v>
      </x:c>
      <x:c r="F511" t="n">
        <x:v>10240000</x:v>
      </x:c>
      <x:c r="G511" s="40" t="n">
        <x:v>0.3306</x:v>
      </x:c>
      <x:c r="H511" s="40" t="n">
        <x:v>0.024088</x:v>
      </x:c>
      <x:c r="I511" t="n">
        <x:v>24</x:v>
      </x:c>
      <x:c r="J511" t="n">
        <x:v>566800</x:v>
      </x:c>
      <x:c r="K511" t="str">
        <x:v>Bola de nieve</x:v>
      </x:c>
      <x:c r="L511" t="str">
        <x:v>Vigente</x:v>
      </x:c>
      <x:c r="M511" t="n">
        <x:v>9592011.51</x:v>
      </x:c>
      <x:c r="N511"/>
    </x:row>
    <x:row r="512">
      <x:c r="A512" t="str">
        <x:v>DEU-000511</x:v>
      </x:c>
      <x:c r="B512" t="str">
        <x:v>USR-00267</x:v>
      </x:c>
      <x:c r="C512" t="n">
        <x:v>45901</x:v>
      </x:c>
      <x:c r="D512" t="str">
        <x:v>Financiera D</x:v>
      </x:c>
      <x:c r="E512" t="str">
        <x:v>Tarjeta de crédito</x:v>
      </x:c>
      <x:c r="F512" t="n">
        <x:v>7100000</x:v>
      </x:c>
      <x:c r="G512" s="40" t="n">
        <x:v>0.3343</x:v>
      </x:c>
      <x:c r="H512" s="40" t="n">
        <x:v>0.024325</x:v>
      </x:c>
      <x:c r="I512" t="n">
        <x:v>30</x:v>
      </x:c>
      <x:c r="J512" t="n">
        <x:v>336200</x:v>
      </x:c>
      <x:c r="K512" t="str">
        <x:v>Avalancha</x:v>
      </x:c>
      <x:c r="L512" t="str">
        <x:v>Vigente</x:v>
      </x:c>
      <x:c r="M512" t="n">
        <x:v>5917227.86</x:v>
      </x:c>
      <x:c r="N512"/>
    </x:row>
    <x:row r="513">
      <x:c r="A513" t="str">
        <x:v>DEU-000512</x:v>
      </x:c>
      <x:c r="B513" t="str">
        <x:v>USR-00267</x:v>
      </x:c>
      <x:c r="C513" t="n">
        <x:v>45901</x:v>
      </x:c>
      <x:c r="D513" t="str">
        <x:v>Entidad financiera E</x:v>
      </x:c>
      <x:c r="E513" t="str">
        <x:v>Crédito de libre inversión</x:v>
      </x:c>
      <x:c r="F513" t="n">
        <x:v>17110000</x:v>
      </x:c>
      <x:c r="G513" s="40" t="n">
        <x:v>0.1265</x:v>
      </x:c>
      <x:c r="H513" s="40" t="n">
        <x:v>0.009976</x:v>
      </x:c>
      <x:c r="I513" t="n">
        <x:v>12</x:v>
      </x:c>
      <x:c r="J513" t="n">
        <x:v>1520000</x:v>
      </x:c>
      <x:c r="K513" t="str">
        <x:v>Bola de nieve</x:v>
      </x:c>
      <x:c r="L513" t="str">
        <x:v>Pagada</x:v>
      </x:c>
      <x:c r="M513" t="n">
        <x:v>0</x:v>
      </x:c>
      <x:c r="N513" t="n">
        <x:v>46266</x:v>
      </x:c>
    </x:row>
    <x:row r="514">
      <x:c r="A514" t="str">
        <x:v>DEU-000513</x:v>
      </x:c>
      <x:c r="B514" t="str">
        <x:v>USR-00268</x:v>
      </x:c>
      <x:c r="C514" t="n">
        <x:v>45901</x:v>
      </x:c>
      <x:c r="D514" t="str">
        <x:v>Financiera D</x:v>
      </x:c>
      <x:c r="E514" t="str">
        <x:v>Tarjeta de crédito</x:v>
      </x:c>
      <x:c r="F514" t="n">
        <x:v>5210000</x:v>
      </x:c>
      <x:c r="G514" s="40" t="n">
        <x:v>0.2555</x:v>
      </x:c>
      <x:c r="H514" s="40" t="n">
        <x:v>0.019142</x:v>
      </x:c>
      <x:c r="I514" t="n">
        <x:v>18</x:v>
      </x:c>
      <x:c r="J514" t="n">
        <x:v>344900</x:v>
      </x:c>
      <x:c r="K514" t="str">
        <x:v>Avalancha</x:v>
      </x:c>
      <x:c r="L514" t="str">
        <x:v>Vigente</x:v>
      </x:c>
      <x:c r="M514" t="n">
        <x:v>2347605.92</x:v>
      </x:c>
      <x:c r="N514"/>
    </x:row>
    <x:row r="515">
      <x:c r="A515" t="str">
        <x:v>DEU-000514</x:v>
      </x:c>
      <x:c r="B515" t="str">
        <x:v>USR-00269</x:v>
      </x:c>
      <x:c r="C515" t="n">
        <x:v>45901</x:v>
      </x:c>
      <x:c r="D515" t="str">
        <x:v>Entidad financiera A</x:v>
      </x:c>
      <x:c r="E515" t="str">
        <x:v>Tarjeta de crédito</x:v>
      </x:c>
      <x:c r="F515" t="n">
        <x:v>4880000</x:v>
      </x:c>
      <x:c r="G515" s="40" t="n">
        <x:v>0.1272</x:v>
      </x:c>
      <x:c r="H515" s="40" t="n">
        <x:v>0.010028</x:v>
      </x:c>
      <x:c r="I515" t="n">
        <x:v>36</x:v>
      </x:c>
      <x:c r="J515" t="n">
        <x:v>162200</x:v>
      </x:c>
      <x:c r="K515" t="str">
        <x:v>Bola de nieve</x:v>
      </x:c>
      <x:c r="L515" t="str">
        <x:v>Vigente</x:v>
      </x:c>
      <x:c r="M515" t="n">
        <x:v>4105967.25</x:v>
      </x:c>
      <x:c r="N515"/>
    </x:row>
    <x:row r="516">
      <x:c r="A516" t="str">
        <x:v>DEU-000515</x:v>
      </x:c>
      <x:c r="B516" t="str">
        <x:v>USR-00270</x:v>
      </x:c>
      <x:c r="C516" t="n">
        <x:v>45901</x:v>
      </x:c>
      <x:c r="D516" t="str">
        <x:v>Cooperativa C</x:v>
      </x:c>
      <x:c r="E516" t="str">
        <x:v>Crédito de libre inversión</x:v>
      </x:c>
      <x:c r="F516" t="n">
        <x:v>21750000</x:v>
      </x:c>
      <x:c r="G516" s="40" t="n">
        <x:v>0.1673</x:v>
      </x:c>
      <x:c r="H516" s="40" t="n">
        <x:v>0.012975</x:v>
      </x:c>
      <x:c r="I516" t="n">
        <x:v>48</x:v>
      </x:c>
      <x:c r="J516" t="n">
        <x:v>611600</x:v>
      </x:c>
      <x:c r="K516" t="str">
        <x:v>Avalancha</x:v>
      </x:c>
      <x:c r="L516" t="str">
        <x:v>Vigente</x:v>
      </x:c>
      <x:c r="M516" t="n">
        <x:v>18651945.79</x:v>
      </x:c>
      <x:c r="N516"/>
    </x:row>
    <x:row r="517">
      <x:c r="A517" t="str">
        <x:v>DEU-000516</x:v>
      </x:c>
      <x:c r="B517" t="str">
        <x:v>USR-00271</x:v>
      </x:c>
      <x:c r="C517" t="n">
        <x:v>45901</x:v>
      </x:c>
      <x:c r="D517" t="str">
        <x:v>Entidad financiera A</x:v>
      </x:c>
      <x:c r="E517" t="str">
        <x:v>Crédito de consumo</x:v>
      </x:c>
      <x:c r="F517" t="n">
        <x:v>5040000</x:v>
      </x:c>
      <x:c r="G517" s="40" t="n">
        <x:v>0.3196</x:v>
      </x:c>
      <x:c r="H517" s="40" t="n">
        <x:v>0.02338</x:v>
      </x:c>
      <x:c r="I517" t="n">
        <x:v>48</x:v>
      </x:c>
      <x:c r="J517" t="n">
        <x:v>175800</x:v>
      </x:c>
      <x:c r="K517" t="str">
        <x:v>Avalancha</x:v>
      </x:c>
      <x:c r="L517" t="str">
        <x:v>Vigente</x:v>
      </x:c>
      <x:c r="M517" t="n">
        <x:v>5020251.42</x:v>
      </x:c>
      <x:c r="N517"/>
    </x:row>
    <x:row r="518">
      <x:c r="A518" t="str">
        <x:v>DEU-000517</x:v>
      </x:c>
      <x:c r="B518" t="str">
        <x:v>USR-00272</x:v>
      </x:c>
      <x:c r="C518" t="n">
        <x:v>45901</x:v>
      </x:c>
      <x:c r="D518" t="str">
        <x:v>Financiera D</x:v>
      </x:c>
      <x:c r="E518" t="str">
        <x:v>Tarjeta de crédito</x:v>
      </x:c>
      <x:c r="F518" t="n">
        <x:v>3580000</x:v>
      </x:c>
      <x:c r="G518" s="40" t="n">
        <x:v>0.3425</x:v>
      </x:c>
      <x:c r="H518" s="40" t="n">
        <x:v>0.024848</x:v>
      </x:c>
      <x:c r="I518" t="n">
        <x:v>30</x:v>
      </x:c>
      <x:c r="J518" t="n">
        <x:v>170700</x:v>
      </x:c>
      <x:c r="K518" t="str">
        <x:v>Bola de nieve</x:v>
      </x:c>
      <x:c r="L518" t="str">
        <x:v>Vigente</x:v>
      </x:c>
      <x:c r="M518" t="n">
        <x:v>2456955.64</x:v>
      </x:c>
      <x:c r="N518"/>
    </x:row>
    <x:row r="519">
      <x:c r="A519" t="str">
        <x:v>DEU-000518</x:v>
      </x:c>
      <x:c r="B519" t="str">
        <x:v>USR-00273</x:v>
      </x:c>
      <x:c r="C519" t="n">
        <x:v>45901</x:v>
      </x:c>
      <x:c r="D519" t="str">
        <x:v>Entidad financiera B</x:v>
      </x:c>
      <x:c r="E519" t="str">
        <x:v>Crédito educativo</x:v>
      </x:c>
      <x:c r="F519" t="n">
        <x:v>22390000</x:v>
      </x:c>
      <x:c r="G519" s="40" t="n">
        <x:v>0.1555</x:v>
      </x:c>
      <x:c r="H519" s="40" t="n">
        <x:v>0.012117</x:v>
      </x:c>
      <x:c r="I519" t="n">
        <x:v>18</x:v>
      </x:c>
      <x:c r="J519" t="n">
        <x:v>1392000</x:v>
      </x:c>
      <x:c r="K519" t="str">
        <x:v>Avalancha</x:v>
      </x:c>
      <x:c r="L519" t="str">
        <x:v>Vigente</x:v>
      </x:c>
      <x:c r="M519" t="n">
        <x:v>8030185.1</x:v>
      </x:c>
      <x:c r="N519"/>
    </x:row>
    <x:row r="520">
      <x:c r="A520" t="str">
        <x:v>DEU-000519</x:v>
      </x:c>
      <x:c r="B520" t="str">
        <x:v>USR-00273</x:v>
      </x:c>
      <x:c r="C520" t="n">
        <x:v>45901</x:v>
      </x:c>
      <x:c r="D520" t="str">
        <x:v>Entidad financiera B</x:v>
      </x:c>
      <x:c r="E520" t="str">
        <x:v>Crédito educativo</x:v>
      </x:c>
      <x:c r="F520" t="n">
        <x:v>10100000</x:v>
      </x:c>
      <x:c r="G520" s="40" t="n">
        <x:v>0.1766</x:v>
      </x:c>
      <x:c r="H520" s="40" t="n">
        <x:v>0.013645</x:v>
      </x:c>
      <x:c r="I520" t="n">
        <x:v>18</x:v>
      </x:c>
      <x:c r="J520" t="n">
        <x:v>636600</x:v>
      </x:c>
      <x:c r="K520" t="str">
        <x:v>Avalancha</x:v>
      </x:c>
      <x:c r="L520" t="str">
        <x:v>Vigente</x:v>
      </x:c>
      <x:c r="M520" t="n">
        <x:v>6043278.56</x:v>
      </x:c>
      <x:c r="N520"/>
    </x:row>
    <x:row r="521">
      <x:c r="A521" t="str">
        <x:v>DEU-000520</x:v>
      </x:c>
      <x:c r="B521" t="str">
        <x:v>USR-00274</x:v>
      </x:c>
      <x:c r="C521" t="n">
        <x:v>45901</x:v>
      </x:c>
      <x:c r="D521" t="str">
        <x:v>Cooperativa C</x:v>
      </x:c>
      <x:c r="E521" t="str">
        <x:v>Crédito educativo</x:v>
      </x:c>
      <x:c r="F521" t="n">
        <x:v>17790000</x:v>
      </x:c>
      <x:c r="G521" s="40" t="n">
        <x:v>0.1731</x:v>
      </x:c>
      <x:c r="H521" s="40" t="n">
        <x:v>0.013393</x:v>
      </x:c>
      <x:c r="I521" t="n">
        <x:v>48</x:v>
      </x:c>
      <x:c r="J521" t="n">
        <x:v>504800</x:v>
      </x:c>
      <x:c r="K521" t="str">
        <x:v>Avalancha</x:v>
      </x:c>
      <x:c r="L521" t="str">
        <x:v>Vigente</x:v>
      </x:c>
      <x:c r="M521" t="n">
        <x:v>14825652.06</x:v>
      </x:c>
      <x:c r="N521"/>
    </x:row>
    <x:row r="522">
      <x:c r="A522" t="str">
        <x:v>DEU-000521</x:v>
      </x:c>
      <x:c r="B522" t="str">
        <x:v>USR-00274</x:v>
      </x:c>
      <x:c r="C522" t="n">
        <x:v>45901</x:v>
      </x:c>
      <x:c r="D522" t="str">
        <x:v>Financiera D</x:v>
      </x:c>
      <x:c r="E522" t="str">
        <x:v>Crédito de libre inversión</x:v>
      </x:c>
      <x:c r="F522" t="n">
        <x:v>9140000</x:v>
      </x:c>
      <x:c r="G522" s="40" t="n">
        <x:v>0.1119</x:v>
      </x:c>
      <x:c r="H522" s="40" t="n">
        <x:v>0.008878</x:v>
      </x:c>
      <x:c r="I522" t="n">
        <x:v>60</x:v>
      </x:c>
      <x:c r="J522" t="n">
        <x:v>197200</x:v>
      </x:c>
      <x:c r="K522" t="str">
        <x:v>Bola de nieve</x:v>
      </x:c>
      <x:c r="L522" t="str">
        <x:v>Vigente</x:v>
      </x:c>
      <x:c r="M522" t="n">
        <x:v>7903814.23</x:v>
      </x:c>
      <x:c r="N522"/>
    </x:row>
    <x:row r="523">
      <x:c r="A523" t="str">
        <x:v>DEU-000522</x:v>
      </x:c>
      <x:c r="B523" t="str">
        <x:v>USR-00275</x:v>
      </x:c>
      <x:c r="C523" t="n">
        <x:v>45901</x:v>
      </x:c>
      <x:c r="D523" t="str">
        <x:v>Entidad financiera A</x:v>
      </x:c>
      <x:c r="E523" t="str">
        <x:v>Tarjeta de crédito</x:v>
      </x:c>
      <x:c r="F523" t="n">
        <x:v>8290000</x:v>
      </x:c>
      <x:c r="G523" s="40" t="n">
        <x:v>0.1975</x:v>
      </x:c>
      <x:c r="H523" s="40" t="n">
        <x:v>0.015133</x:v>
      </x:c>
      <x:c r="I523" t="n">
        <x:v>48</x:v>
      </x:c>
      <x:c r="J523" t="n">
        <x:v>244200</x:v>
      </x:c>
      <x:c r="K523" t="str">
        <x:v>Avalancha</x:v>
      </x:c>
      <x:c r="L523" t="str">
        <x:v>Vigente</x:v>
      </x:c>
      <x:c r="M523" t="n">
        <x:v>7727464.47</x:v>
      </x:c>
      <x:c r="N523"/>
    </x:row>
    <x:row r="524">
      <x:c r="A524" t="str">
        <x:v>DEU-000523</x:v>
      </x:c>
      <x:c r="B524" t="str">
        <x:v>USR-00275</x:v>
      </x:c>
      <x:c r="C524" t="n">
        <x:v>45901</x:v>
      </x:c>
      <x:c r="D524" t="str">
        <x:v>Entidad financiera A</x:v>
      </x:c>
      <x:c r="E524" t="str">
        <x:v>Tarjeta de crédito</x:v>
      </x:c>
      <x:c r="F524" t="n">
        <x:v>6550000</x:v>
      </x:c>
      <x:c r="G524" s="40" t="n">
        <x:v>0.1264</x:v>
      </x:c>
      <x:c r="H524" s="40" t="n">
        <x:v>0.009968</x:v>
      </x:c>
      <x:c r="I524" t="n">
        <x:v>36</x:v>
      </x:c>
      <x:c r="J524" t="n">
        <x:v>217400</x:v>
      </x:c>
      <x:c r="K524" t="str">
        <x:v>Avalancha</x:v>
      </x:c>
      <x:c r="L524" t="str">
        <x:v>Vigente</x:v>
      </x:c>
      <x:c r="M524" t="n">
        <x:v>5355987.06</x:v>
      </x:c>
      <x:c r="N524"/>
    </x:row>
    <x:row r="525">
      <x:c r="A525" t="str">
        <x:v>DEU-000524</x:v>
      </x:c>
      <x:c r="B525" t="str">
        <x:v>USR-00275</x:v>
      </x:c>
      <x:c r="C525" t="n">
        <x:v>45901</x:v>
      </x:c>
      <x:c r="D525" t="str">
        <x:v>Cooperativa C</x:v>
      </x:c>
      <x:c r="E525" t="str">
        <x:v>Tarjeta de crédito</x:v>
      </x:c>
      <x:c r="F525" t="n">
        <x:v>3140000</x:v>
      </x:c>
      <x:c r="G525" s="40" t="n">
        <x:v>0.2283</x:v>
      </x:c>
      <x:c r="H525" s="40" t="n">
        <x:v>0.017284</x:v>
      </x:c>
      <x:c r="I525" t="n">
        <x:v>30</x:v>
      </x:c>
      <x:c r="J525" t="n">
        <x:v>135000</x:v>
      </x:c>
      <x:c r="K525" t="str">
        <x:v>Avalancha</x:v>
      </x:c>
      <x:c r="L525" t="str">
        <x:v>Vigente</x:v>
      </x:c>
      <x:c r="M525" t="n">
        <x:v>2266629.73</x:v>
      </x:c>
      <x:c r="N525"/>
    </x:row>
    <x:row r="526">
      <x:c r="A526" t="str">
        <x:v>DEU-000525</x:v>
      </x:c>
      <x:c r="B526" t="str">
        <x:v>USR-00276</x:v>
      </x:c>
      <x:c r="C526" t="n">
        <x:v>45901</x:v>
      </x:c>
      <x:c r="D526" t="str">
        <x:v>Entidad financiera E</x:v>
      </x:c>
      <x:c r="E526" t="str">
        <x:v>Crédito de consumo</x:v>
      </x:c>
      <x:c r="F526" t="n">
        <x:v>17480000</x:v>
      </x:c>
      <x:c r="G526" s="40" t="n">
        <x:v>0.1938</x:v>
      </x:c>
      <x:c r="H526" s="40" t="n">
        <x:v>0.014871</x:v>
      </x:c>
      <x:c r="I526" t="n">
        <x:v>18</x:v>
      </x:c>
      <x:c r="J526" t="n">
        <x:v>1114000</x:v>
      </x:c>
      <x:c r="K526" t="str">
        <x:v>Avalancha</x:v>
      </x:c>
      <x:c r="L526" t="str">
        <x:v>Vigente</x:v>
      </x:c>
      <x:c r="M526" t="n">
        <x:v>11326407.55</x:v>
      </x:c>
      <x:c r="N526"/>
    </x:row>
    <x:row r="527">
      <x:c r="A527" t="str">
        <x:v>DEU-000526</x:v>
      </x:c>
      <x:c r="B527" t="str">
        <x:v>USR-00276</x:v>
      </x:c>
      <x:c r="C527" t="n">
        <x:v>45901</x:v>
      </x:c>
      <x:c r="D527" t="str">
        <x:v>Entidad financiera B</x:v>
      </x:c>
      <x:c r="E527" t="str">
        <x:v>Crédito de vehículo</x:v>
      </x:c>
      <x:c r="F527" t="n">
        <x:v>22180000</x:v>
      </x:c>
      <x:c r="G527" s="40" t="n">
        <x:v>0.2908</x:v>
      </x:c>
      <x:c r="H527" s="40" t="n">
        <x:v>0.0215</x:v>
      </x:c>
      <x:c r="I527" t="n">
        <x:v>24</x:v>
      </x:c>
      <x:c r="J527" t="n">
        <x:v>1192700</x:v>
      </x:c>
      <x:c r="K527" t="str">
        <x:v>Avalancha</x:v>
      </x:c>
      <x:c r="L527" t="str">
        <x:v>Vigente</x:v>
      </x:c>
      <x:c r="M527" t="n">
        <x:v>14771793.38</x:v>
      </x:c>
      <x:c r="N527"/>
    </x:row>
    <x:row r="528">
      <x:c r="A528" t="str">
        <x:v>DEU-000527</x:v>
      </x:c>
      <x:c r="B528" t="str">
        <x:v>USR-00277</x:v>
      </x:c>
      <x:c r="C528" t="n">
        <x:v>45901</x:v>
      </x:c>
      <x:c r="D528" t="str">
        <x:v>Entidad financiera A</x:v>
      </x:c>
      <x:c r="E528" t="str">
        <x:v>Crédito educativo</x:v>
      </x:c>
      <x:c r="F528" t="n">
        <x:v>19750000</x:v>
      </x:c>
      <x:c r="G528" s="40" t="n">
        <x:v>0.1055</x:v>
      </x:c>
      <x:c r="H528" s="40" t="n">
        <x:v>0.008393</x:v>
      </x:c>
      <x:c r="I528" t="n">
        <x:v>18</x:v>
      </x:c>
      <x:c r="J528" t="n">
        <x:v>1186800</x:v>
      </x:c>
      <x:c r="K528" t="str">
        <x:v>Avalancha</x:v>
      </x:c>
      <x:c r="L528" t="str">
        <x:v>Vigente</x:v>
      </x:c>
      <x:c r="M528" t="n">
        <x:v>11195667.47</x:v>
      </x:c>
      <x:c r="N528"/>
    </x:row>
    <x:row r="529">
      <x:c r="A529" t="str">
        <x:v>DEU-000528</x:v>
      </x:c>
      <x:c r="B529" t="str">
        <x:v>USR-00278</x:v>
      </x:c>
      <x:c r="C529" t="n">
        <x:v>45901</x:v>
      </x:c>
      <x:c r="D529" t="str">
        <x:v>Entidad financiera B</x:v>
      </x:c>
      <x:c r="E529" t="str">
        <x:v>Crédito de vehículo</x:v>
      </x:c>
      <x:c r="F529" t="n">
        <x:v>45620000</x:v>
      </x:c>
      <x:c r="G529" s="40" t="n">
        <x:v>0.1294</x:v>
      </x:c>
      <x:c r="H529" s="40" t="n">
        <x:v>0.010192</x:v>
      </x:c>
      <x:c r="I529" t="n">
        <x:v>30</x:v>
      </x:c>
      <x:c r="J529" t="n">
        <x:v>1772700</x:v>
      </x:c>
      <x:c r="K529" t="str">
        <x:v>Bola de nieve</x:v>
      </x:c>
      <x:c r="L529" t="str">
        <x:v>Vigente</x:v>
      </x:c>
      <x:c r="M529" t="n">
        <x:v>37585179.04</x:v>
      </x:c>
      <x:c r="N529"/>
    </x:row>
    <x:row r="530">
      <x:c r="A530" t="str">
        <x:v>DEU-000529</x:v>
      </x:c>
      <x:c r="B530" t="str">
        <x:v>USR-00279</x:v>
      </x:c>
      <x:c r="C530" t="n">
        <x:v>45901</x:v>
      </x:c>
      <x:c r="D530" t="str">
        <x:v>Cooperativa C</x:v>
      </x:c>
      <x:c r="E530" t="str">
        <x:v>Tarjeta de crédito</x:v>
      </x:c>
      <x:c r="F530" t="n">
        <x:v>7490000</x:v>
      </x:c>
      <x:c r="G530" s="40" t="n">
        <x:v>0.2207</x:v>
      </x:c>
      <x:c r="H530" s="40" t="n">
        <x:v>0.016758</x:v>
      </x:c>
      <x:c r="I530" t="n">
        <x:v>60</x:v>
      </x:c>
      <x:c r="J530" t="n">
        <x:v>198900</x:v>
      </x:c>
      <x:c r="K530" t="str">
        <x:v>Avalancha</x:v>
      </x:c>
      <x:c r="L530" t="str">
        <x:v>Vigente</x:v>
      </x:c>
      <x:c r="M530" t="n">
        <x:v>7110441.93</x:v>
      </x:c>
      <x:c r="N530"/>
    </x:row>
    <x:row r="531">
      <x:c r="A531" t="str">
        <x:v>DEU-000530</x:v>
      </x:c>
      <x:c r="B531" t="str">
        <x:v>USR-00279</x:v>
      </x:c>
      <x:c r="C531" t="n">
        <x:v>45901</x:v>
      </x:c>
      <x:c r="D531" t="str">
        <x:v>Entidad financiera B</x:v>
      </x:c>
      <x:c r="E531" t="str">
        <x:v>Crédito de consumo</x:v>
      </x:c>
      <x:c r="F531" t="n">
        <x:v>6650000</x:v>
      </x:c>
      <x:c r="G531" s="40" t="n">
        <x:v>0.2424</x:v>
      </x:c>
      <x:c r="H531" s="40" t="n">
        <x:v>0.018252</x:v>
      </x:c>
      <x:c r="I531" t="n">
        <x:v>18</x:v>
      </x:c>
      <x:c r="J531" t="n">
        <x:v>436800</x:v>
      </x:c>
      <x:c r="K531" t="str">
        <x:v>Avalancha</x:v>
      </x:c>
      <x:c r="L531" t="str">
        <x:v>Vigente</x:v>
      </x:c>
      <x:c r="M531" t="n">
        <x:v>4138260.41</x:v>
      </x:c>
      <x:c r="N531"/>
    </x:row>
    <x:row r="532">
      <x:c r="A532" t="str">
        <x:v>DEU-000531</x:v>
      </x:c>
      <x:c r="B532" t="str">
        <x:v>USR-00280</x:v>
      </x:c>
      <x:c r="C532" t="n">
        <x:v>45901</x:v>
      </x:c>
      <x:c r="D532" t="str">
        <x:v>Financiera D</x:v>
      </x:c>
      <x:c r="E532" t="str">
        <x:v>Crédito de libre inversión</x:v>
      </x:c>
      <x:c r="F532" t="n">
        <x:v>8220000</x:v>
      </x:c>
      <x:c r="G532" s="40" t="n">
        <x:v>0.2636</x:v>
      </x:c>
      <x:c r="H532" s="40" t="n">
        <x:v>0.019688</x:v>
      </x:c>
      <x:c r="I532" t="n">
        <x:v>24</x:v>
      </x:c>
      <x:c r="J532" t="n">
        <x:v>433100</x:v>
      </x:c>
      <x:c r="K532" t="str">
        <x:v>Bola de nieve</x:v>
      </x:c>
      <x:c r="L532" t="str">
        <x:v>Vigente</x:v>
      </x:c>
      <x:c r="M532" t="n">
        <x:v>5625042.7</x:v>
      </x:c>
      <x:c r="N532"/>
    </x:row>
    <x:row r="533">
      <x:c r="A533" t="str">
        <x:v>DEU-000532</x:v>
      </x:c>
      <x:c r="B533" t="str">
        <x:v>USR-00280</x:v>
      </x:c>
      <x:c r="C533" t="n">
        <x:v>45901</x:v>
      </x:c>
      <x:c r="D533" t="str">
        <x:v>Entidad financiera E</x:v>
      </x:c>
      <x:c r="E533" t="str">
        <x:v>Crédito de consumo</x:v>
      </x:c>
      <x:c r="F533" t="n">
        <x:v>4010000</x:v>
      </x:c>
      <x:c r="G533" s="40" t="n">
        <x:v>0.2632</x:v>
      </x:c>
      <x:c r="H533" s="40" t="n">
        <x:v>0.019661</x:v>
      </x:c>
      <x:c r="I533" t="n">
        <x:v>30</x:v>
      </x:c>
      <x:c r="J533" t="n">
        <x:v>178200</x:v>
      </x:c>
      <x:c r="K533" t="str">
        <x:v>Bola de nieve</x:v>
      </x:c>
      <x:c r="L533" t="str">
        <x:v>Vigente</x:v>
      </x:c>
      <x:c r="M533" t="n">
        <x:v>4039411.64</x:v>
      </x:c>
      <x:c r="N533"/>
    </x:row>
    <x:row r="534">
      <x:c r="A534" t="str">
        <x:v>DEU-000533</x:v>
      </x:c>
      <x:c r="B534" t="str">
        <x:v>USR-00281</x:v>
      </x:c>
      <x:c r="C534" t="n">
        <x:v>45901</x:v>
      </x:c>
      <x:c r="D534" t="str">
        <x:v>Entidad financiera E</x:v>
      </x:c>
      <x:c r="E534" t="str">
        <x:v>Tarjeta de crédito</x:v>
      </x:c>
      <x:c r="F534" t="n">
        <x:v>1640000</x:v>
      </x:c>
      <x:c r="G534" s="40" t="n">
        <x:v>0.2838</x:v>
      </x:c>
      <x:c r="H534" s="40" t="n">
        <x:v>0.021037</x:v>
      </x:c>
      <x:c r="I534" t="n">
        <x:v>18</x:v>
      </x:c>
      <x:c r="J534" t="n">
        <x:v>110400</x:v>
      </x:c>
      <x:c r="K534" t="str">
        <x:v>Avalancha</x:v>
      </x:c>
      <x:c r="L534" t="str">
        <x:v>Vigente</x:v>
      </x:c>
      <x:c r="M534" t="n">
        <x:v>1382033.37</x:v>
      </x:c>
      <x:c r="N534"/>
    </x:row>
    <x:row r="535">
      <x:c r="A535" t="str">
        <x:v>DEU-000534</x:v>
      </x:c>
      <x:c r="B535" t="str">
        <x:v>USR-00281</x:v>
      </x:c>
      <x:c r="C535" t="n">
        <x:v>45901</x:v>
      </x:c>
      <x:c r="D535" t="str">
        <x:v>Cooperativa C</x:v>
      </x:c>
      <x:c r="E535" t="str">
        <x:v>Crédito de vehículo</x:v>
      </x:c>
      <x:c r="F535" t="n">
        <x:v>31730000</x:v>
      </x:c>
      <x:c r="G535" s="40" t="n">
        <x:v>0.2578</x:v>
      </x:c>
      <x:c r="H535" s="40" t="n">
        <x:v>0.019298</x:v>
      </x:c>
      <x:c r="I535" t="n">
        <x:v>24</x:v>
      </x:c>
      <x:c r="J535" t="n">
        <x:v>1664300</x:v>
      </x:c>
      <x:c r="K535" t="str">
        <x:v>Avalancha</x:v>
      </x:c>
      <x:c r="L535" t="str">
        <x:v>Vigente</x:v>
      </x:c>
      <x:c r="M535" t="n">
        <x:v>28734337.33</x:v>
      </x:c>
      <x:c r="N535"/>
    </x:row>
    <x:row r="536">
      <x:c r="A536" t="str">
        <x:v>DEU-000535</x:v>
      </x:c>
      <x:c r="B536" t="str">
        <x:v>USR-00282</x:v>
      </x:c>
      <x:c r="C536" t="n">
        <x:v>45901</x:v>
      </x:c>
      <x:c r="D536" t="str">
        <x:v>Entidad financiera A</x:v>
      </x:c>
      <x:c r="E536" t="str">
        <x:v>Crédito de consumo</x:v>
      </x:c>
      <x:c r="F536" t="n">
        <x:v>6210000</x:v>
      </x:c>
      <x:c r="G536" s="40" t="n">
        <x:v>0.2637</x:v>
      </x:c>
      <x:c r="H536" s="40" t="n">
        <x:v>0.019695</x:v>
      </x:c>
      <x:c r="I536" t="n">
        <x:v>24</x:v>
      </x:c>
      <x:c r="J536" t="n">
        <x:v>327200</x:v>
      </x:c>
      <x:c r="K536" t="str">
        <x:v>Bola de nieve</x:v>
      </x:c>
      <x:c r="L536" t="str">
        <x:v>Vigente</x:v>
      </x:c>
      <x:c r="M536" t="n">
        <x:v>5672478.18</x:v>
      </x:c>
      <x:c r="N536"/>
    </x:row>
    <x:row r="537">
      <x:c r="A537" t="str">
        <x:v>DEU-000536</x:v>
      </x:c>
      <x:c r="B537" t="str">
        <x:v>USR-00283</x:v>
      </x:c>
      <x:c r="C537" t="n">
        <x:v>45901</x:v>
      </x:c>
      <x:c r="D537" t="str">
        <x:v>Financiera D</x:v>
      </x:c>
      <x:c r="E537" t="str">
        <x:v>Crédito de consumo</x:v>
      </x:c>
      <x:c r="F537" t="n">
        <x:v>18090000</x:v>
      </x:c>
      <x:c r="G537" s="40" t="n">
        <x:v>0.1306</x:v>
      </x:c>
      <x:c r="H537" s="40" t="n">
        <x:v>0.010282</x:v>
      </x:c>
      <x:c r="I537" t="n">
        <x:v>36</x:v>
      </x:c>
      <x:c r="J537" t="n">
        <x:v>603800</x:v>
      </x:c>
      <x:c r="K537" t="str">
        <x:v>Avalancha</x:v>
      </x:c>
      <x:c r="L537" t="str">
        <x:v>Vigente</x:v>
      </x:c>
      <x:c r="M537" t="n">
        <x:v>15276682.96</x:v>
      </x:c>
      <x:c r="N537"/>
    </x:row>
    <x:row r="538">
      <x:c r="A538" t="str">
        <x:v>DEU-000537</x:v>
      </x:c>
      <x:c r="B538" t="str">
        <x:v>USR-00283</x:v>
      </x:c>
      <x:c r="C538" t="n">
        <x:v>45901</x:v>
      </x:c>
      <x:c r="D538" t="str">
        <x:v>Entidad financiera B</x:v>
      </x:c>
      <x:c r="E538" t="str">
        <x:v>Crédito de consumo</x:v>
      </x:c>
      <x:c r="F538" t="n">
        <x:v>13070000</x:v>
      </x:c>
      <x:c r="G538" s="40" t="n">
        <x:v>0.1666</x:v>
      </x:c>
      <x:c r="H538" s="40" t="n">
        <x:v>0.012924</x:v>
      </x:c>
      <x:c r="I538" t="n">
        <x:v>24</x:v>
      </x:c>
      <x:c r="J538" t="n">
        <x:v>636900</x:v>
      </x:c>
      <x:c r="K538" t="str">
        <x:v>Bola de nieve</x:v>
      </x:c>
      <x:c r="L538" t="str">
        <x:v>Vigente</x:v>
      </x:c>
      <x:c r="M538" t="n">
        <x:v>7276320.55</x:v>
      </x:c>
      <x:c r="N538"/>
    </x:row>
    <x:row r="539">
      <x:c r="A539" t="str">
        <x:v>DEU-000538</x:v>
      </x:c>
      <x:c r="B539" t="str">
        <x:v>USR-00284</x:v>
      </x:c>
      <x:c r="C539" t="n">
        <x:v>45901</x:v>
      </x:c>
      <x:c r="D539" t="str">
        <x:v>Entidad financiera A</x:v>
      </x:c>
      <x:c r="E539" t="str">
        <x:v>Tarjeta de crédito</x:v>
      </x:c>
      <x:c r="F539" t="n">
        <x:v>5440000</x:v>
      </x:c>
      <x:c r="G539" s="40" t="n">
        <x:v>0.1629</x:v>
      </x:c>
      <x:c r="H539" s="40" t="n">
        <x:v>0.012656</x:v>
      </x:c>
      <x:c r="I539" t="n">
        <x:v>24</x:v>
      </x:c>
      <x:c r="J539" t="n">
        <x:v>264300</x:v>
      </x:c>
      <x:c r="K539" t="str">
        <x:v>Avalancha</x:v>
      </x:c>
      <x:c r="L539" t="str">
        <x:v>Vigente</x:v>
      </x:c>
      <x:c r="M539" t="n">
        <x:v>4865560.59</x:v>
      </x:c>
      <x:c r="N539"/>
    </x:row>
    <x:row r="540">
      <x:c r="A540" t="str">
        <x:v>DEU-000539</x:v>
      </x:c>
      <x:c r="B540" t="str">
        <x:v>USR-00285</x:v>
      </x:c>
      <x:c r="C540" t="n">
        <x:v>45901</x:v>
      </x:c>
      <x:c r="D540" t="str">
        <x:v>Entidad financiera E</x:v>
      </x:c>
      <x:c r="E540" t="str">
        <x:v>Crédito de libre inversión</x:v>
      </x:c>
      <x:c r="F540" t="n">
        <x:v>18070000</x:v>
      </x:c>
      <x:c r="G540" s="40" t="n">
        <x:v>0.1979</x:v>
      </x:c>
      <x:c r="H540" s="40" t="n">
        <x:v>0.015161</x:v>
      </x:c>
      <x:c r="I540" t="n">
        <x:v>48</x:v>
      </x:c>
      <x:c r="J540" t="n">
        <x:v>532600</x:v>
      </x:c>
      <x:c r="K540" t="str">
        <x:v>Bola de nieve</x:v>
      </x:c>
      <x:c r="L540" t="str">
        <x:v>Vigente</x:v>
      </x:c>
      <x:c r="M540" t="n">
        <x:v>16455312.03</x:v>
      </x:c>
      <x:c r="N540"/>
    </x:row>
    <x:row r="541">
      <x:c r="A541" t="str">
        <x:v>DEU-000540</x:v>
      </x:c>
      <x:c r="B541" t="str">
        <x:v>USR-00285</x:v>
      </x:c>
      <x:c r="C541" t="n">
        <x:v>45901</x:v>
      </x:c>
      <x:c r="D541" t="str">
        <x:v>Financiera D</x:v>
      </x:c>
      <x:c r="E541" t="str">
        <x:v>Crédito de consumo</x:v>
      </x:c>
      <x:c r="F541" t="n">
        <x:v>5820000</x:v>
      </x:c>
      <x:c r="G541" s="40" t="n">
        <x:v>0.1678</x:v>
      </x:c>
      <x:c r="H541" s="40" t="n">
        <x:v>0.013011</x:v>
      </x:c>
      <x:c r="I541" t="n">
        <x:v>48</x:v>
      </x:c>
      <x:c r="J541" t="n">
        <x:v>163800</x:v>
      </x:c>
      <x:c r="K541" t="str">
        <x:v>Bola de nieve</x:v>
      </x:c>
      <x:c r="L541" t="str">
        <x:v>Vigente</x:v>
      </x:c>
      <x:c r="M541" t="n">
        <x:v>5550240.41</x:v>
      </x:c>
      <x:c r="N541"/>
    </x:row>
    <x:row r="542">
      <x:c r="A542" t="str">
        <x:v>DEU-000541</x:v>
      </x:c>
      <x:c r="B542" t="str">
        <x:v>USR-00286</x:v>
      </x:c>
      <x:c r="C542" t="n">
        <x:v>45901</x:v>
      </x:c>
      <x:c r="D542" t="str">
        <x:v>Entidad financiera E</x:v>
      </x:c>
      <x:c r="E542" t="str">
        <x:v>Crédito de consumo</x:v>
      </x:c>
      <x:c r="F542" t="n">
        <x:v>14400000</x:v>
      </x:c>
      <x:c r="G542" s="40" t="n">
        <x:v>0.2369</x:v>
      </x:c>
      <x:c r="H542" s="40" t="n">
        <x:v>0.017875</x:v>
      </x:c>
      <x:c r="I542" t="n">
        <x:v>18</x:v>
      </x:c>
      <x:c r="J542" t="n">
        <x:v>942700</x:v>
      </x:c>
      <x:c r="K542" t="str">
        <x:v>Avalancha</x:v>
      </x:c>
      <x:c r="L542" t="str">
        <x:v>Vigente</x:v>
      </x:c>
      <x:c r="M542" t="n">
        <x:v>7876789.53</x:v>
      </x:c>
      <x:c r="N542"/>
    </x:row>
    <x:row r="543">
      <x:c r="A543" t="str">
        <x:v>DEU-000542</x:v>
      </x:c>
      <x:c r="B543" t="str">
        <x:v>USR-00286</x:v>
      </x:c>
      <x:c r="C543" t="n">
        <x:v>45901</x:v>
      </x:c>
      <x:c r="D543" t="str">
        <x:v>Entidad financiera B</x:v>
      </x:c>
      <x:c r="E543" t="str">
        <x:v>Crédito de consumo</x:v>
      </x:c>
      <x:c r="F543" t="n">
        <x:v>15480000</x:v>
      </x:c>
      <x:c r="G543" s="40" t="n">
        <x:v>0.2898</x:v>
      </x:c>
      <x:c r="H543" s="40" t="n">
        <x:v>0.021434</x:v>
      </x:c>
      <x:c r="I543" t="n">
        <x:v>30</x:v>
      </x:c>
      <x:c r="J543" t="n">
        <x:v>704900</x:v>
      </x:c>
      <x:c r="K543" t="str">
        <x:v>Avalancha</x:v>
      </x:c>
      <x:c r="L543" t="str">
        <x:v>Vigente</x:v>
      </x:c>
      <x:c r="M543" t="n">
        <x:v>13974618.22</x:v>
      </x:c>
      <x:c r="N543"/>
    </x:row>
    <x:row r="544">
      <x:c r="A544" t="str">
        <x:v>DEU-000543</x:v>
      </x:c>
      <x:c r="B544" t="str">
        <x:v>USR-00287</x:v>
      </x:c>
      <x:c r="C544" t="n">
        <x:v>45901</x:v>
      </x:c>
      <x:c r="D544" t="str">
        <x:v>Entidad financiera A</x:v>
      </x:c>
      <x:c r="E544" t="str">
        <x:v>Crédito de libre inversión</x:v>
      </x:c>
      <x:c r="F544" t="n">
        <x:v>18640000</x:v>
      </x:c>
      <x:c r="G544" s="40" t="n">
        <x:v>0.1862</x:v>
      </x:c>
      <x:c r="H544" s="40" t="n">
        <x:v>0.014331</x:v>
      </x:c>
      <x:c r="I544" t="n">
        <x:v>24</x:v>
      </x:c>
      <x:c r="J544" t="n">
        <x:v>923400</x:v>
      </x:c>
      <x:c r="K544" t="str">
        <x:v>Bola de nieve</x:v>
      </x:c>
      <x:c r="L544" t="str">
        <x:v>Vigente</x:v>
      </x:c>
      <x:c r="M544" t="n">
        <x:v>12914404.77</x:v>
      </x:c>
      <x:c r="N544"/>
    </x:row>
    <x:row r="545">
      <x:c r="A545" t="str">
        <x:v>DEU-000544</x:v>
      </x:c>
      <x:c r="B545" t="str">
        <x:v>USR-00287</x:v>
      </x:c>
      <x:c r="C545" t="n">
        <x:v>45901</x:v>
      </x:c>
      <x:c r="D545" t="str">
        <x:v>Cooperativa C</x:v>
      </x:c>
      <x:c r="E545" t="str">
        <x:v>Crédito de consumo</x:v>
      </x:c>
      <x:c r="F545" t="n">
        <x:v>16360000</x:v>
      </x:c>
      <x:c r="G545" s="40" t="n">
        <x:v>0.1604</x:v>
      </x:c>
      <x:c r="H545" s="40" t="n">
        <x:v>0.012474</x:v>
      </x:c>
      <x:c r="I545" t="n">
        <x:v>60</x:v>
      </x:c>
      <x:c r="J545" t="n">
        <x:v>388900</x:v>
      </x:c>
      <x:c r="K545" t="str">
        <x:v>Bola de nieve</x:v>
      </x:c>
      <x:c r="L545" t="str">
        <x:v>Vigente</x:v>
      </x:c>
      <x:c r="M545" t="n">
        <x:v>16153467.23</x:v>
      </x:c>
      <x:c r="N545"/>
    </x:row>
    <x:row r="546">
      <x:c r="A546" t="str">
        <x:v>DEU-000545</x:v>
      </x:c>
      <x:c r="B546" t="str">
        <x:v>USR-00288</x:v>
      </x:c>
      <x:c r="C546" t="n">
        <x:v>45901</x:v>
      </x:c>
      <x:c r="D546" t="str">
        <x:v>Entidad financiera A</x:v>
      </x:c>
      <x:c r="E546" t="str">
        <x:v>Crédito comercial</x:v>
      </x:c>
      <x:c r="F546" t="n">
        <x:v>20500000</x:v>
      </x:c>
      <x:c r="G546" s="40" t="n">
        <x:v>0.1992</x:v>
      </x:c>
      <x:c r="H546" s="40" t="n">
        <x:v>0.015253</x:v>
      </x:c>
      <x:c r="I546" t="n">
        <x:v>18</x:v>
      </x:c>
      <x:c r="J546" t="n">
        <x:v>1311000</x:v>
      </x:c>
      <x:c r="K546" t="str">
        <x:v>Bola de nieve</x:v>
      </x:c>
      <x:c r="L546" t="str">
        <x:v>Vigente</x:v>
      </x:c>
      <x:c r="M546" t="n">
        <x:v>14600916.96</x:v>
      </x:c>
      <x:c r="N546"/>
    </x:row>
    <x:row r="547">
      <x:c r="A547" t="str">
        <x:v>DEU-000546</x:v>
      </x:c>
      <x:c r="B547" t="str">
        <x:v>USR-00289</x:v>
      </x:c>
      <x:c r="C547" t="n">
        <x:v>45901</x:v>
      </x:c>
      <x:c r="D547" t="str">
        <x:v>Financiera D</x:v>
      </x:c>
      <x:c r="E547" t="str">
        <x:v>Crédito de consumo</x:v>
      </x:c>
      <x:c r="F547" t="n">
        <x:v>16870000</x:v>
      </x:c>
      <x:c r="G547" s="40" t="n">
        <x:v>0.2386</x:v>
      </x:c>
      <x:c r="H547" s="40" t="n">
        <x:v>0.017992</x:v>
      </x:c>
      <x:c r="I547" t="n">
        <x:v>24</x:v>
      </x:c>
      <x:c r="J547" t="n">
        <x:v>871800</x:v>
      </x:c>
      <x:c r="K547" t="str">
        <x:v>Bola de nieve</x:v>
      </x:c>
      <x:c r="L547" t="str">
        <x:v>Vigente</x:v>
      </x:c>
      <x:c r="M547" t="n">
        <x:v>13021122.65</x:v>
      </x:c>
      <x:c r="N547"/>
    </x:row>
    <x:row r="548">
      <x:c r="A548" t="str">
        <x:v>DEU-000547</x:v>
      </x:c>
      <x:c r="B548" t="str">
        <x:v>USR-00289</x:v>
      </x:c>
      <x:c r="C548" t="n">
        <x:v>45901</x:v>
      </x:c>
      <x:c r="D548" t="str">
        <x:v>Financiera D</x:v>
      </x:c>
      <x:c r="E548" t="str">
        <x:v>Crédito de vehículo</x:v>
      </x:c>
      <x:c r="F548" t="n">
        <x:v>30390000</x:v>
      </x:c>
      <x:c r="G548" s="40" t="n">
        <x:v>0.2782</x:v>
      </x:c>
      <x:c r="H548" s="40" t="n">
        <x:v>0.020665</x:v>
      </x:c>
      <x:c r="I548" t="n">
        <x:v>24</x:v>
      </x:c>
      <x:c r="J548" t="n">
        <x:v>1618900</x:v>
      </x:c>
      <x:c r="K548" t="str">
        <x:v>Bola de nieve</x:v>
      </x:c>
      <x:c r="L548" t="str">
        <x:v>Vigente</x:v>
      </x:c>
      <x:c r="M548" t="n">
        <x:v>21864832.04</x:v>
      </x:c>
      <x:c r="N548"/>
    </x:row>
    <x:row r="549">
      <x:c r="A549" t="str">
        <x:v>DEU-000548</x:v>
      </x:c>
      <x:c r="B549" t="str">
        <x:v>USR-00289</x:v>
      </x:c>
      <x:c r="C549" t="n">
        <x:v>45901</x:v>
      </x:c>
      <x:c r="D549" t="str">
        <x:v>Entidad financiera A</x:v>
      </x:c>
      <x:c r="E549" t="str">
        <x:v>Tarjeta de crédito</x:v>
      </x:c>
      <x:c r="F549" t="n">
        <x:v>770000</x:v>
      </x:c>
      <x:c r="G549" s="40" t="n">
        <x:v>0.2491</x:v>
      </x:c>
      <x:c r="H549" s="40" t="n">
        <x:v>0.018708</x:v>
      </x:c>
      <x:c r="I549" t="n">
        <x:v>48</x:v>
      </x:c>
      <x:c r="J549" t="n">
        <x:v>24400</x:v>
      </x:c>
      <x:c r="K549" t="str">
        <x:v>Avalancha</x:v>
      </x:c>
      <x:c r="L549" t="str">
        <x:v>Vigente</x:v>
      </x:c>
      <x:c r="M549" t="n">
        <x:v>710222.75</x:v>
      </x:c>
      <x:c r="N549"/>
    </x:row>
    <x:row r="550">
      <x:c r="A550" t="str">
        <x:v>DEU-000549</x:v>
      </x:c>
      <x:c r="B550" t="str">
        <x:v>USR-00289</x:v>
      </x:c>
      <x:c r="C550" t="n">
        <x:v>45901</x:v>
      </x:c>
      <x:c r="D550" t="str">
        <x:v>Entidad financiera E</x:v>
      </x:c>
      <x:c r="E550" t="str">
        <x:v>Tarjeta de crédito</x:v>
      </x:c>
      <x:c r="F550" t="n">
        <x:v>690000</x:v>
      </x:c>
      <x:c r="G550" s="40" t="n">
        <x:v>0.1585</x:v>
      </x:c>
      <x:c r="H550" s="40" t="n">
        <x:v>0.012336</x:v>
      </x:c>
      <x:c r="I550" t="n">
        <x:v>36</x:v>
      </x:c>
      <x:c r="J550" t="n">
        <x:v>23900</x:v>
      </x:c>
      <x:c r="K550" t="str">
        <x:v>Avalancha</x:v>
      </x:c>
      <x:c r="L550" t="str">
        <x:v>Vigente</x:v>
      </x:c>
      <x:c r="M550" t="n">
        <x:v>583965.42</x:v>
      </x:c>
      <x:c r="N550"/>
    </x:row>
    <x:row r="551">
      <x:c r="A551" t="str">
        <x:v>DEU-000550</x:v>
      </x:c>
      <x:c r="B551" t="str">
        <x:v>USR-00289</x:v>
      </x:c>
      <x:c r="C551" t="n">
        <x:v>45901</x:v>
      </x:c>
      <x:c r="D551" t="str">
        <x:v>Cooperativa C</x:v>
      </x:c>
      <x:c r="E551" t="str">
        <x:v>Crédito de consumo</x:v>
      </x:c>
      <x:c r="F551" t="n">
        <x:v>3280000</x:v>
      </x:c>
      <x:c r="G551" s="40" t="n">
        <x:v>0.129</x:v>
      </x:c>
      <x:c r="H551" s="40" t="n">
        <x:v>0.010162</x:v>
      </x:c>
      <x:c r="I551" t="n">
        <x:v>12</x:v>
      </x:c>
      <x:c r="J551" t="n">
        <x:v>291700</x:v>
      </x:c>
      <x:c r="K551" t="str">
        <x:v>Bola de nieve</x:v>
      </x:c>
      <x:c r="L551" t="str">
        <x:v>Vigente</x:v>
      </x:c>
      <x:c r="M551" t="n">
        <x:v>1183736.68</x:v>
      </x:c>
      <x:c r="N551"/>
    </x:row>
    <x:row r="552">
      <x:c r="A552" t="str">
        <x:v>DEU-000551</x:v>
      </x:c>
      <x:c r="B552" t="str">
        <x:v>USR-00290</x:v>
      </x:c>
      <x:c r="C552" t="n">
        <x:v>45901</x:v>
      </x:c>
      <x:c r="D552" t="str">
        <x:v>Entidad financiera E</x:v>
      </x:c>
      <x:c r="E552" t="str">
        <x:v>Crédito de consumo</x:v>
      </x:c>
      <x:c r="F552" t="n">
        <x:v>9650000</x:v>
      </x:c>
      <x:c r="G552" s="40" t="n">
        <x:v>0.3431</x:v>
      </x:c>
      <x:c r="H552" s="40" t="n">
        <x:v>0.024886</x:v>
      </x:c>
      <x:c r="I552" t="n">
        <x:v>18</x:v>
      </x:c>
      <x:c r="J552" t="n">
        <x:v>671700</x:v>
      </x:c>
      <x:c r="K552" t="str">
        <x:v>Avalancha</x:v>
      </x:c>
      <x:c r="L552" t="str">
        <x:v>Vigente</x:v>
      </x:c>
      <x:c r="M552" t="n">
        <x:v>6524234.42</x:v>
      </x:c>
      <x:c r="N552"/>
    </x:row>
    <x:row r="553">
      <x:c r="A553" t="str">
        <x:v>DEU-000552</x:v>
      </x:c>
      <x:c r="B553" t="str">
        <x:v>USR-00290</x:v>
      </x:c>
      <x:c r="C553" t="n">
        <x:v>45901</x:v>
      </x:c>
      <x:c r="D553" t="str">
        <x:v>Cooperativa C</x:v>
      </x:c>
      <x:c r="E553" t="str">
        <x:v>Tarjeta de crédito</x:v>
      </x:c>
      <x:c r="F553" t="n">
        <x:v>6180000</x:v>
      </x:c>
      <x:c r="G553" s="40" t="n">
        <x:v>0.3063</x:v>
      </x:c>
      <x:c r="H553" s="40" t="n">
        <x:v>0.022516</x:v>
      </x:c>
      <x:c r="I553" t="n">
        <x:v>48</x:v>
      </x:c>
      <x:c r="J553" t="n">
        <x:v>211900</x:v>
      </x:c>
      <x:c r="K553" t="str">
        <x:v>Avalancha</x:v>
      </x:c>
      <x:c r="L553" t="str">
        <x:v>Vigente</x:v>
      </x:c>
      <x:c r="M553" t="n">
        <x:v>6304219.22</x:v>
      </x:c>
      <x:c r="N553"/>
    </x:row>
    <x:row r="554">
      <x:c r="A554" t="str">
        <x:v>DEU-000553</x:v>
      </x:c>
      <x:c r="B554" t="str">
        <x:v>USR-00291</x:v>
      </x:c>
      <x:c r="C554" t="n">
        <x:v>45901</x:v>
      </x:c>
      <x:c r="D554" t="str">
        <x:v>Cooperativa C</x:v>
      </x:c>
      <x:c r="E554" t="str">
        <x:v>Tarjeta de crédito</x:v>
      </x:c>
      <x:c r="F554" t="n">
        <x:v>6610000</x:v>
      </x:c>
      <x:c r="G554" s="40" t="n">
        <x:v>0.2589</x:v>
      </x:c>
      <x:c r="H554" s="40" t="n">
        <x:v>0.019372</x:v>
      </x:c>
      <x:c r="I554" t="n">
        <x:v>12</x:v>
      </x:c>
      <x:c r="J554" t="n">
        <x:v>622600</x:v>
      </x:c>
      <x:c r="K554" t="str">
        <x:v>Avalancha</x:v>
      </x:c>
      <x:c r="L554" t="str">
        <x:v>Vigente</x:v>
      </x:c>
      <x:c r="M554" t="n">
        <x:v>1056895.27</x:v>
      </x:c>
      <x:c r="N554"/>
    </x:row>
    <x:row r="555">
      <x:c r="A555" t="str">
        <x:v>DEU-000554</x:v>
      </x:c>
      <x:c r="B555" t="str">
        <x:v>USR-00291</x:v>
      </x:c>
      <x:c r="C555" t="n">
        <x:v>45901</x:v>
      </x:c>
      <x:c r="D555" t="str">
        <x:v>Cooperativa C</x:v>
      </x:c>
      <x:c r="E555" t="str">
        <x:v>Tarjeta de crédito</x:v>
      </x:c>
      <x:c r="F555" t="n">
        <x:v>4180000</x:v>
      </x:c>
      <x:c r="G555" s="40" t="n">
        <x:v>0.1749</x:v>
      </x:c>
      <x:c r="H555" s="40" t="n">
        <x:v>0.013523</x:v>
      </x:c>
      <x:c r="I555" t="n">
        <x:v>12</x:v>
      </x:c>
      <x:c r="J555" t="n">
        <x:v>379700</x:v>
      </x:c>
      <x:c r="K555" t="str">
        <x:v>Bola de nieve</x:v>
      </x:c>
      <x:c r="L555" t="str">
        <x:v>Vigente</x:v>
      </x:c>
      <x:c r="M555" t="n">
        <x:v>115465.96</x:v>
      </x:c>
      <x:c r="N555"/>
    </x:row>
    <x:row r="556">
      <x:c r="A556" t="str">
        <x:v>DEU-000555</x:v>
      </x:c>
      <x:c r="B556" t="str">
        <x:v>USR-00292</x:v>
      </x:c>
      <x:c r="C556" t="n">
        <x:v>45901</x:v>
      </x:c>
      <x:c r="D556" t="str">
        <x:v>Entidad financiera E</x:v>
      </x:c>
      <x:c r="E556" t="str">
        <x:v>Crédito de consumo</x:v>
      </x:c>
      <x:c r="F556" t="n">
        <x:v>9690000</x:v>
      </x:c>
      <x:c r="G556" s="40" t="n">
        <x:v>0.1714</x:v>
      </x:c>
      <x:c r="H556" s="40" t="n">
        <x:v>0.013271</x:v>
      </x:c>
      <x:c r="I556" t="n">
        <x:v>60</x:v>
      </x:c>
      <x:c r="J556" t="n">
        <x:v>235300</x:v>
      </x:c>
      <x:c r="K556" t="str">
        <x:v>Avalancha</x:v>
      </x:c>
      <x:c r="L556" t="str">
        <x:v>Vigente</x:v>
      </x:c>
      <x:c r="M556" t="n">
        <x:v>8672842.26</x:v>
      </x:c>
      <x:c r="N556"/>
    </x:row>
    <x:row r="557">
      <x:c r="A557" t="str">
        <x:v>DEU-000556</x:v>
      </x:c>
      <x:c r="B557" t="str">
        <x:v>USR-00293</x:v>
      </x:c>
      <x:c r="C557" t="n">
        <x:v>45901</x:v>
      </x:c>
      <x:c r="D557" t="str">
        <x:v>Cooperativa C</x:v>
      </x:c>
      <x:c r="E557" t="str">
        <x:v>Tarjeta de crédito</x:v>
      </x:c>
      <x:c r="F557" t="n">
        <x:v>7950000</x:v>
      </x:c>
      <x:c r="G557" s="40" t="n">
        <x:v>0.1069</x:v>
      </x:c>
      <x:c r="H557" s="40" t="n">
        <x:v>0.0085</x:v>
      </x:c>
      <x:c r="I557" t="n">
        <x:v>36</x:v>
      </x:c>
      <x:c r="J557" t="n">
        <x:v>257300</x:v>
      </x:c>
      <x:c r="K557" t="str">
        <x:v>Avalancha</x:v>
      </x:c>
      <x:c r="L557" t="str">
        <x:v>Vigente</x:v>
      </x:c>
      <x:c r="M557" t="n">
        <x:v>5935954.47</x:v>
      </x:c>
      <x:c r="N557"/>
    </x:row>
    <x:row r="558">
      <x:c r="A558" t="str">
        <x:v>DEU-000557</x:v>
      </x:c>
      <x:c r="B558" t="str">
        <x:v>USR-00293</x:v>
      </x:c>
      <x:c r="C558" t="n">
        <x:v>45901</x:v>
      </x:c>
      <x:c r="D558" t="str">
        <x:v>Entidad financiera E</x:v>
      </x:c>
      <x:c r="E558" t="str">
        <x:v>Tarjeta de crédito</x:v>
      </x:c>
      <x:c r="F558" t="n">
        <x:v>6810000</x:v>
      </x:c>
      <x:c r="G558" s="40" t="n">
        <x:v>0.1241</x:v>
      </x:c>
      <x:c r="H558" s="40" t="n">
        <x:v>0.009796</x:v>
      </x:c>
      <x:c r="I558" t="n">
        <x:v>30</x:v>
      </x:c>
      <x:c r="J558" t="n">
        <x:v>263100</x:v>
      </x:c>
      <x:c r="K558" t="str">
        <x:v>Avalancha</x:v>
      </x:c>
      <x:c r="L558" t="str">
        <x:v>Vigente</x:v>
      </x:c>
      <x:c r="M558" t="n">
        <x:v>5145723.02</x:v>
      </x:c>
      <x:c r="N558"/>
    </x:row>
    <x:row r="559">
      <x:c r="A559" t="str">
        <x:v>DEU-000558</x:v>
      </x:c>
      <x:c r="B559" t="str">
        <x:v>USR-00294</x:v>
      </x:c>
      <x:c r="C559" t="n">
        <x:v>45901</x:v>
      </x:c>
      <x:c r="D559" t="str">
        <x:v>Financiera D</x:v>
      </x:c>
      <x:c r="E559" t="str">
        <x:v>Tarjeta de crédito</x:v>
      </x:c>
      <x:c r="F559" t="n">
        <x:v>1010000</x:v>
      </x:c>
      <x:c r="G559" s="40" t="n">
        <x:v>0.1876</x:v>
      </x:c>
      <x:c r="H559" s="40" t="n">
        <x:v>0.014431</x:v>
      </x:c>
      <x:c r="I559" t="n">
        <x:v>18</x:v>
      </x:c>
      <x:c r="J559" t="n">
        <x:v>64100</x:v>
      </x:c>
      <x:c r="K559" t="str">
        <x:v>Avalancha</x:v>
      </x:c>
      <x:c r="L559" t="str">
        <x:v>Vigente</x:v>
      </x:c>
      <x:c r="M559" t="n">
        <x:v>533399.02</x:v>
      </x:c>
      <x:c r="N559"/>
    </x:row>
    <x:row r="560">
      <x:c r="A560" t="str">
        <x:v>DEU-000559</x:v>
      </x:c>
      <x:c r="B560" t="str">
        <x:v>USR-00295</x:v>
      </x:c>
      <x:c r="C560" t="n">
        <x:v>45901</x:v>
      </x:c>
      <x:c r="D560" t="str">
        <x:v>Cooperativa C</x:v>
      </x:c>
      <x:c r="E560" t="str">
        <x:v>Tarjeta de crédito</x:v>
      </x:c>
      <x:c r="F560" t="n">
        <x:v>6090000</x:v>
      </x:c>
      <x:c r="G560" s="40" t="n">
        <x:v>0.3314</x:v>
      </x:c>
      <x:c r="H560" s="40" t="n">
        <x:v>0.024139</x:v>
      </x:c>
      <x:c r="I560" t="n">
        <x:v>30</x:v>
      </x:c>
      <x:c r="J560" t="n">
        <x:v>287600</x:v>
      </x:c>
      <x:c r="K560" t="str">
        <x:v>Avalancha</x:v>
      </x:c>
      <x:c r="L560" t="str">
        <x:v>Vigente</x:v>
      </x:c>
      <x:c r="M560" t="n">
        <x:v>4355719.39</x:v>
      </x:c>
      <x:c r="N560"/>
    </x:row>
    <x:row r="561">
      <x:c r="A561" t="str">
        <x:v>DEU-000560</x:v>
      </x:c>
      <x:c r="B561" t="str">
        <x:v>USR-00295</x:v>
      </x:c>
      <x:c r="C561" t="n">
        <x:v>45901</x:v>
      </x:c>
      <x:c r="D561" t="str">
        <x:v>Financiera D</x:v>
      </x:c>
      <x:c r="E561" t="str">
        <x:v>Crédito de vehículo</x:v>
      </x:c>
      <x:c r="F561" t="n">
        <x:v>54380000</x:v>
      </x:c>
      <x:c r="G561" s="40" t="n">
        <x:v>0.2842</x:v>
      </x:c>
      <x:c r="H561" s="40" t="n">
        <x:v>0.021063</x:v>
      </x:c>
      <x:c r="I561" t="n">
        <x:v>18</x:v>
      </x:c>
      <x:c r="J561" t="n">
        <x:v>3661300</x:v>
      </x:c>
      <x:c r="K561" t="str">
        <x:v>Bola de nieve</x:v>
      </x:c>
      <x:c r="L561" t="str">
        <x:v>Vigente</x:v>
      </x:c>
      <x:c r="M561" t="n">
        <x:v>24524445.53</x:v>
      </x:c>
      <x:c r="N561"/>
    </x:row>
    <x:row r="562">
      <x:c r="A562" t="str">
        <x:v>DEU-000561</x:v>
      </x:c>
      <x:c r="B562" t="str">
        <x:v>USR-00296</x:v>
      </x:c>
      <x:c r="C562" t="n">
        <x:v>45901</x:v>
      </x:c>
      <x:c r="D562" t="str">
        <x:v>Entidad financiera E</x:v>
      </x:c>
      <x:c r="E562" t="str">
        <x:v>Crédito de libre inversión</x:v>
      </x:c>
      <x:c r="F562" t="n">
        <x:v>22250000</x:v>
      </x:c>
      <x:c r="G562" s="40" t="n">
        <x:v>0.2483</x:v>
      </x:c>
      <x:c r="H562" s="40" t="n">
        <x:v>0.018654</x:v>
      </x:c>
      <x:c r="I562" t="n">
        <x:v>12</x:v>
      </x:c>
      <x:c r="J562" t="n">
        <x:v>2086600</x:v>
      </x:c>
      <x:c r="K562" t="str">
        <x:v>Avalancha</x:v>
      </x:c>
      <x:c r="L562" t="str">
        <x:v>Vigente</x:v>
      </x:c>
      <x:c r="M562" t="n">
        <x:v>1462195.58</x:v>
      </x:c>
      <x:c r="N562"/>
    </x:row>
    <x:row r="563">
      <x:c r="A563" t="str">
        <x:v>DEU-000562</x:v>
      </x:c>
      <x:c r="B563" t="str">
        <x:v>USR-00296</x:v>
      </x:c>
      <x:c r="C563" t="n">
        <x:v>45901</x:v>
      </x:c>
      <x:c r="D563" t="str">
        <x:v>Entidad financiera A</x:v>
      </x:c>
      <x:c r="E563" t="str">
        <x:v>Crédito de libre inversión</x:v>
      </x:c>
      <x:c r="F563" t="n">
        <x:v>16840000</x:v>
      </x:c>
      <x:c r="G563" s="40" t="n">
        <x:v>0.2252</x:v>
      </x:c>
      <x:c r="H563" s="40" t="n">
        <x:v>0.017069</x:v>
      </x:c>
      <x:c r="I563" t="n">
        <x:v>36</x:v>
      </x:c>
      <x:c r="J563" t="n">
        <x:v>630000</x:v>
      </x:c>
      <x:c r="K563" t="str">
        <x:v>Avalancha</x:v>
      </x:c>
      <x:c r="L563" t="str">
        <x:v>Vigente</x:v>
      </x:c>
      <x:c r="M563" t="n">
        <x:v>14517570.99</x:v>
      </x:c>
      <x:c r="N563"/>
    </x:row>
    <x:row r="564">
      <x:c r="A564" t="str">
        <x:v>DEU-000563</x:v>
      </x:c>
      <x:c r="B564" t="str">
        <x:v>USR-00297</x:v>
      </x:c>
      <x:c r="C564" t="n">
        <x:v>45901</x:v>
      </x:c>
      <x:c r="D564" t="str">
        <x:v>Entidad financiera A</x:v>
      </x:c>
      <x:c r="E564" t="str">
        <x:v>Crédito de consumo</x:v>
      </x:c>
      <x:c r="F564" t="n">
        <x:v>3850000</x:v>
      </x:c>
      <x:c r="G564" s="40" t="n">
        <x:v>0.1872</x:v>
      </x:c>
      <x:c r="H564" s="40" t="n">
        <x:v>0.014403</x:v>
      </x:c>
      <x:c r="I564" t="n">
        <x:v>36</x:v>
      </x:c>
      <x:c r="J564" t="n">
        <x:v>137800</x:v>
      </x:c>
      <x:c r="K564" t="str">
        <x:v>Bola de nieve</x:v>
      </x:c>
      <x:c r="L564" t="str">
        <x:v>Vigente</x:v>
      </x:c>
      <x:c r="M564" t="n">
        <x:v>3082003.72</x:v>
      </x:c>
      <x:c r="N564"/>
    </x:row>
    <x:row r="565">
      <x:c r="A565" t="str">
        <x:v>DEU-000564</x:v>
      </x:c>
      <x:c r="B565" t="str">
        <x:v>USR-00297</x:v>
      </x:c>
      <x:c r="C565" t="n">
        <x:v>45901</x:v>
      </x:c>
      <x:c r="D565" t="str">
        <x:v>Entidad financiera B</x:v>
      </x:c>
      <x:c r="E565" t="str">
        <x:v>Crédito de vehículo</x:v>
      </x:c>
      <x:c r="F565" t="n">
        <x:v>48630000</x:v>
      </x:c>
      <x:c r="G565" s="40" t="n">
        <x:v>0.1472</x:v>
      </x:c>
      <x:c r="H565" s="40" t="n">
        <x:v>0.011509</x:v>
      </x:c>
      <x:c r="I565" t="n">
        <x:v>48</x:v>
      </x:c>
      <x:c r="J565" t="n">
        <x:v>1324300</x:v>
      </x:c>
      <x:c r="K565" t="str">
        <x:v>Avalancha</x:v>
      </x:c>
      <x:c r="L565" t="str">
        <x:v>Vigente</x:v>
      </x:c>
      <x:c r="M565" t="n">
        <x:v>43059879.53</x:v>
      </x:c>
      <x:c r="N565"/>
    </x:row>
    <x:row r="566">
      <x:c r="A566" t="str">
        <x:v>DEU-000565</x:v>
      </x:c>
      <x:c r="B566" t="str">
        <x:v>USR-00298</x:v>
      </x:c>
      <x:c r="C566" t="n">
        <x:v>45901</x:v>
      </x:c>
      <x:c r="D566" t="str">
        <x:v>Financiera D</x:v>
      </x:c>
      <x:c r="E566" t="str">
        <x:v>Crédito educativo</x:v>
      </x:c>
      <x:c r="F566" t="n">
        <x:v>4150000</x:v>
      </x:c>
      <x:c r="G566" s="40" t="n">
        <x:v>0.3289</x:v>
      </x:c>
      <x:c r="H566" s="40" t="n">
        <x:v>0.023979</x:v>
      </x:c>
      <x:c r="I566" t="n">
        <x:v>12</x:v>
      </x:c>
      <x:c r="J566" t="n">
        <x:v>402100</x:v>
      </x:c>
      <x:c r="K566" t="str">
        <x:v>Avalancha</x:v>
      </x:c>
      <x:c r="L566" t="str">
        <x:v>Vigente</x:v>
      </x:c>
      <x:c r="M566" t="n">
        <x:v>852682.45</x:v>
      </x:c>
      <x:c r="N566"/>
    </x:row>
    <x:row r="567">
      <x:c r="A567" t="str">
        <x:v>DEU-000566</x:v>
      </x:c>
      <x:c r="B567" t="str">
        <x:v>USR-00298</x:v>
      </x:c>
      <x:c r="C567" t="n">
        <x:v>45901</x:v>
      </x:c>
      <x:c r="D567" t="str">
        <x:v>Cooperativa C</x:v>
      </x:c>
      <x:c r="E567" t="str">
        <x:v>Tarjeta de crédito</x:v>
      </x:c>
      <x:c r="F567" t="n">
        <x:v>1030000</x:v>
      </x:c>
      <x:c r="G567" s="40" t="n">
        <x:v>0.2256</x:v>
      </x:c>
      <x:c r="H567" s="40" t="n">
        <x:v>0.017097</x:v>
      </x:c>
      <x:c r="I567" t="n">
        <x:v>48</x:v>
      </x:c>
      <x:c r="J567" t="n">
        <x:v>31600</x:v>
      </x:c>
      <x:c r="K567" t="str">
        <x:v>Avalancha</x:v>
      </x:c>
      <x:c r="L567" t="str">
        <x:v>Vigente</x:v>
      </x:c>
      <x:c r="M567" t="n">
        <x:v>982300.44</x:v>
      </x:c>
      <x:c r="N567"/>
    </x:row>
    <x:row r="568">
      <x:c r="A568" t="str">
        <x:v>DEU-000567</x:v>
      </x:c>
      <x:c r="B568" t="str">
        <x:v>USR-00299</x:v>
      </x:c>
      <x:c r="C568" t="n">
        <x:v>45901</x:v>
      </x:c>
      <x:c r="D568" t="str">
        <x:v>Entidad financiera B</x:v>
      </x:c>
      <x:c r="E568" t="str">
        <x:v>Crédito de vehículo</x:v>
      </x:c>
      <x:c r="F568" t="n">
        <x:v>23480000</x:v>
      </x:c>
      <x:c r="G568" s="40" t="n">
        <x:v>0.33</x:v>
      </x:c>
      <x:c r="H568" s="40" t="n">
        <x:v>0.02405</x:v>
      </x:c>
      <x:c r="I568" t="n">
        <x:v>48</x:v>
      </x:c>
      <x:c r="J568" t="n">
        <x:v>829900</x:v>
      </x:c>
      <x:c r="K568" t="str">
        <x:v>Avalancha</x:v>
      </x:c>
      <x:c r="L568" t="str">
        <x:v>Vigente</x:v>
      </x:c>
      <x:c r="M568" t="n">
        <x:v>24353651.88</x:v>
      </x:c>
      <x:c r="N568"/>
    </x:row>
    <x:row r="569">
      <x:c r="A569" t="str">
        <x:v>DEU-000568</x:v>
      </x:c>
      <x:c r="B569" t="str">
        <x:v>USR-00300</x:v>
      </x:c>
      <x:c r="C569" t="n">
        <x:v>45901</x:v>
      </x:c>
      <x:c r="D569" t="str">
        <x:v>Financiera D</x:v>
      </x:c>
      <x:c r="E569" t="str">
        <x:v>Tarjeta de crédito</x:v>
      </x:c>
      <x:c r="F569" t="n">
        <x:v>6120000</x:v>
      </x:c>
      <x:c r="G569" s="40" t="n">
        <x:v>0.1762</x:v>
      </x:c>
      <x:c r="H569" s="40" t="n">
        <x:v>0.013616</x:v>
      </x:c>
      <x:c r="I569" t="n">
        <x:v>30</x:v>
      </x:c>
      <x:c r="J569" t="n">
        <x:v>249900</x:v>
      </x:c>
      <x:c r="K569" t="str">
        <x:v>Bola de nieve</x:v>
      </x:c>
      <x:c r="L569" t="str">
        <x:v>Vigente</x:v>
      </x:c>
      <x:c r="M569" t="n">
        <x:v>4790768.84</x:v>
      </x:c>
      <x:c r="N569"/>
    </x:row>
    <x:row r="570">
      <x:c r="A570" t="str">
        <x:v>DEU-000569</x:v>
      </x:c>
      <x:c r="B570" t="str">
        <x:v>USR-00301</x:v>
      </x:c>
      <x:c r="C570" t="n">
        <x:v>45901</x:v>
      </x:c>
      <x:c r="D570" t="str">
        <x:v>Cooperativa C</x:v>
      </x:c>
      <x:c r="E570" t="str">
        <x:v>Crédito de vehículo</x:v>
      </x:c>
      <x:c r="F570" t="n">
        <x:v>26960000</x:v>
      </x:c>
      <x:c r="G570" s="40" t="n">
        <x:v>0.2255</x:v>
      </x:c>
      <x:c r="H570" s="40" t="n">
        <x:v>0.01709</x:v>
      </x:c>
      <x:c r="I570" t="n">
        <x:v>60</x:v>
      </x:c>
      <x:c r="J570" t="n">
        <x:v>721900</x:v>
      </x:c>
      <x:c r="K570" t="str">
        <x:v>Bola de nieve</x:v>
      </x:c>
      <x:c r="L570" t="str">
        <x:v>Vigente</x:v>
      </x:c>
      <x:c r="M570" t="n">
        <x:v>27165255.69</x:v>
      </x:c>
      <x:c r="N570"/>
    </x:row>
    <x:row r="571">
      <x:c r="A571" t="str">
        <x:v>DEU-000570</x:v>
      </x:c>
      <x:c r="B571" t="str">
        <x:v>USR-00301</x:v>
      </x:c>
      <x:c r="C571" t="n">
        <x:v>45901</x:v>
      </x:c>
      <x:c r="D571" t="str">
        <x:v>Entidad financiera B</x:v>
      </x:c>
      <x:c r="E571" t="str">
        <x:v>Crédito educativo</x:v>
      </x:c>
      <x:c r="F571" t="n">
        <x:v>10890000</x:v>
      </x:c>
      <x:c r="G571" s="40" t="n">
        <x:v>0.1139</x:v>
      </x:c>
      <x:c r="H571" s="40" t="n">
        <x:v>0.009029</x:v>
      </x:c>
      <x:c r="I571" t="n">
        <x:v>36</x:v>
      </x:c>
      <x:c r="J571" t="n">
        <x:v>355700</x:v>
      </x:c>
      <x:c r="K571" t="str">
        <x:v>Avalancha</x:v>
      </x:c>
      <x:c r="L571" t="str">
        <x:v>Vigente</x:v>
      </x:c>
      <x:c r="M571" t="n">
        <x:v>8485902.51</x:v>
      </x:c>
      <x:c r="N571"/>
    </x:row>
    <x:row r="572">
      <x:c r="A572" t="str">
        <x:v>DEU-000571</x:v>
      </x:c>
      <x:c r="B572" t="str">
        <x:v>USR-00069</x:v>
      </x:c>
      <x:c r="C572" t="n">
        <x:v>45931</x:v>
      </x:c>
      <x:c r="D572" t="str">
        <x:v>Cooperativa C</x:v>
      </x:c>
      <x:c r="E572" t="str">
        <x:v>Crédito de consumo</x:v>
      </x:c>
      <x:c r="F572" t="n">
        <x:v>9150000</x:v>
      </x:c>
      <x:c r="G572" s="40" t="n">
        <x:v>0.1743</x:v>
      </x:c>
      <x:c r="H572" s="40" t="n">
        <x:v>0.013479</x:v>
      </x:c>
      <x:c r="I572" t="n">
        <x:v>36</x:v>
      </x:c>
      <x:c r="J572" t="n">
        <x:v>322500</x:v>
      </x:c>
      <x:c r="K572" t="str">
        <x:v>Avalancha</x:v>
      </x:c>
      <x:c r="L572" t="str">
        <x:v>Vigente</x:v>
      </x:c>
      <x:c r="M572" t="n">
        <x:v>7351544.21</x:v>
      </x:c>
      <x:c r="N572"/>
    </x:row>
    <x:row r="573">
      <x:c r="A573" t="str">
        <x:v>DEU-000572</x:v>
      </x:c>
      <x:c r="B573" t="str">
        <x:v>USR-00189</x:v>
      </x:c>
      <x:c r="C573" t="n">
        <x:v>45931</x:v>
      </x:c>
      <x:c r="D573" t="str">
        <x:v>Financiera D</x:v>
      </x:c>
      <x:c r="E573" t="str">
        <x:v>Tarjeta de crédito</x:v>
      </x:c>
      <x:c r="F573" t="n">
        <x:v>2000000</x:v>
      </x:c>
      <x:c r="G573" s="40" t="n">
        <x:v>0.27</x:v>
      </x:c>
      <x:c r="H573" s="40" t="n">
        <x:v>0.020118</x:v>
      </x:c>
      <x:c r="I573" t="n">
        <x:v>30</x:v>
      </x:c>
      <x:c r="J573" t="n">
        <x:v>89400</x:v>
      </x:c>
      <x:c r="K573" t="str">
        <x:v>Avalancha</x:v>
      </x:c>
      <x:c r="L573" t="str">
        <x:v>Vigente</x:v>
      </x:c>
      <x:c r="M573" t="n">
        <x:v>2038878.13</x:v>
      </x:c>
      <x:c r="N573"/>
    </x:row>
    <x:row r="574">
      <x:c r="A574" t="str">
        <x:v>DEU-000573</x:v>
      </x:c>
      <x:c r="B574" t="str">
        <x:v>USR-00266</x:v>
      </x:c>
      <x:c r="C574" t="n">
        <x:v>45931</x:v>
      </x:c>
      <x:c r="D574" t="str">
        <x:v>Entidad financiera E</x:v>
      </x:c>
      <x:c r="E574" t="str">
        <x:v>Crédito de consumo</x:v>
      </x:c>
      <x:c r="F574" t="n">
        <x:v>8510000</x:v>
      </x:c>
      <x:c r="G574" s="40" t="n">
        <x:v>0.1434</x:v>
      </x:c>
      <x:c r="H574" s="40" t="n">
        <x:v>0.01123</x:v>
      </x:c>
      <x:c r="I574" t="n">
        <x:v>18</x:v>
      </x:c>
      <x:c r="J574" t="n">
        <x:v>524800</x:v>
      </x:c>
      <x:c r="K574" t="str">
        <x:v>Avalancha</x:v>
      </x:c>
      <x:c r="L574" t="str">
        <x:v>Vigente</x:v>
      </x:c>
      <x:c r="M574" t="n">
        <x:v>8080765.39</x:v>
      </x:c>
      <x:c r="N574"/>
    </x:row>
    <x:row r="575">
      <x:c r="A575" t="str">
        <x:v>DEU-000574</x:v>
      </x:c>
      <x:c r="B575" t="str">
        <x:v>USR-00285</x:v>
      </x:c>
      <x:c r="C575" t="n">
        <x:v>45931</x:v>
      </x:c>
      <x:c r="D575" t="str">
        <x:v>Financiera D</x:v>
      </x:c>
      <x:c r="E575" t="str">
        <x:v>Crédito de libre inversión</x:v>
      </x:c>
      <x:c r="F575" t="n">
        <x:v>15480000</x:v>
      </x:c>
      <x:c r="G575" s="40" t="n">
        <x:v>0.3436</x:v>
      </x:c>
      <x:c r="H575" s="40" t="n">
        <x:v>0.024918</x:v>
      </x:c>
      <x:c r="I575" t="n">
        <x:v>30</x:v>
      </x:c>
      <x:c r="J575" t="n">
        <x:v>738800</x:v>
      </x:c>
      <x:c r="K575" t="str">
        <x:v>Avalancha</x:v>
      </x:c>
      <x:c r="L575" t="str">
        <x:v>Vigente</x:v>
      </x:c>
      <x:c r="M575" t="n">
        <x:v>10437565.98</x:v>
      </x:c>
      <x:c r="N575"/>
    </x:row>
    <x:row r="576">
      <x:c r="A576" t="str">
        <x:v>DEU-000575</x:v>
      </x:c>
      <x:c r="B576" t="str">
        <x:v>USR-00302</x:v>
      </x:c>
      <x:c r="C576" t="n">
        <x:v>45931</x:v>
      </x:c>
      <x:c r="D576" t="str">
        <x:v>Financiera D</x:v>
      </x:c>
      <x:c r="E576" t="str">
        <x:v>Crédito de consumo</x:v>
      </x:c>
      <x:c r="F576" t="n">
        <x:v>4940000</x:v>
      </x:c>
      <x:c r="G576" s="40" t="n">
        <x:v>0.3198</x:v>
      </x:c>
      <x:c r="H576" s="40" t="n">
        <x:v>0.023393</x:v>
      </x:c>
      <x:c r="I576" t="n">
        <x:v>12</x:v>
      </x:c>
      <x:c r="J576" t="n">
        <x:v>476900</x:v>
      </x:c>
      <x:c r="K576" t="str">
        <x:v>Avalancha</x:v>
      </x:c>
      <x:c r="L576" t="str">
        <x:v>Vigente</x:v>
      </x:c>
      <x:c r="M576" t="n">
        <x:v>4578660.27</x:v>
      </x:c>
      <x:c r="N576"/>
    </x:row>
    <x:row r="577">
      <x:c r="A577" t="str">
        <x:v>DEU-000576</x:v>
      </x:c>
      <x:c r="B577" t="str">
        <x:v>USR-00302</x:v>
      </x:c>
      <x:c r="C577" t="n">
        <x:v>45931</x:v>
      </x:c>
      <x:c r="D577" t="str">
        <x:v>Cooperativa C</x:v>
      </x:c>
      <x:c r="E577" t="str">
        <x:v>Crédito de consumo</x:v>
      </x:c>
      <x:c r="F577" t="n">
        <x:v>5750000</x:v>
      </x:c>
      <x:c r="G577" s="40" t="n">
        <x:v>0.141</x:v>
      </x:c>
      <x:c r="H577" s="40" t="n">
        <x:v>0.011053</x:v>
      </x:c>
      <x:c r="I577" t="n">
        <x:v>48</x:v>
      </x:c>
      <x:c r="J577" t="n">
        <x:v>155000</x:v>
      </x:c>
      <x:c r="K577" t="str">
        <x:v>Bola de nieve</x:v>
      </x:c>
      <x:c r="L577" t="str">
        <x:v>Vigente</x:v>
      </x:c>
      <x:c r="M577" t="n">
        <x:v>5635353.16</x:v>
      </x:c>
      <x:c r="N577"/>
    </x:row>
    <x:row r="578">
      <x:c r="A578" t="str">
        <x:v>DEU-000577</x:v>
      </x:c>
      <x:c r="B578" t="str">
        <x:v>USR-00303</x:v>
      </x:c>
      <x:c r="C578" t="n">
        <x:v>45931</x:v>
      </x:c>
      <x:c r="D578" t="str">
        <x:v>Entidad financiera B</x:v>
      </x:c>
      <x:c r="E578" t="str">
        <x:v>Crédito de consumo</x:v>
      </x:c>
      <x:c r="F578" t="n">
        <x:v>2300000</x:v>
      </x:c>
      <x:c r="G578" s="40" t="n">
        <x:v>0.2219</x:v>
      </x:c>
      <x:c r="H578" s="40" t="n">
        <x:v>0.016841</x:v>
      </x:c>
      <x:c r="I578" t="n">
        <x:v>48</x:v>
      </x:c>
      <x:c r="J578" t="n">
        <x:v>70200</x:v>
      </x:c>
      <x:c r="K578" t="str">
        <x:v>Avalancha</x:v>
      </x:c>
      <x:c r="L578" t="str">
        <x:v>Vigente</x:v>
      </x:c>
      <x:c r="M578" t="n">
        <x:v>2076562.3</x:v>
      </x:c>
      <x:c r="N578"/>
    </x:row>
    <x:row r="579">
      <x:c r="A579" t="str">
        <x:v>DEU-000578</x:v>
      </x:c>
      <x:c r="B579" t="str">
        <x:v>USR-00303</x:v>
      </x:c>
      <x:c r="C579" t="n">
        <x:v>45931</x:v>
      </x:c>
      <x:c r="D579" t="str">
        <x:v>Entidad financiera B</x:v>
      </x:c>
      <x:c r="E579" t="str">
        <x:v>Crédito de consumo</x:v>
      </x:c>
      <x:c r="F579" t="n">
        <x:v>10710000</x:v>
      </x:c>
      <x:c r="G579" s="40" t="n">
        <x:v>0.2115</x:v>
      </x:c>
      <x:c r="H579" s="40" t="n">
        <x:v>0.016117</x:v>
      </x:c>
      <x:c r="I579" t="n">
        <x:v>48</x:v>
      </x:c>
      <x:c r="J579" t="n">
        <x:v>322200</x:v>
      </x:c>
      <x:c r="K579" t="str">
        <x:v>Avalancha</x:v>
      </x:c>
      <x:c r="L579" t="str">
        <x:v>Vigente</x:v>
      </x:c>
      <x:c r="M579" t="n">
        <x:v>10729900.18</x:v>
      </x:c>
      <x:c r="N579"/>
    </x:row>
    <x:row r="580">
      <x:c r="A580" t="str">
        <x:v>DEU-000579</x:v>
      </x:c>
      <x:c r="B580" t="str">
        <x:v>USR-00304</x:v>
      </x:c>
      <x:c r="C580" t="n">
        <x:v>45931</x:v>
      </x:c>
      <x:c r="D580" t="str">
        <x:v>Entidad financiera A</x:v>
      </x:c>
      <x:c r="E580" t="str">
        <x:v>Crédito educativo</x:v>
      </x:c>
      <x:c r="F580" t="n">
        <x:v>16730000</x:v>
      </x:c>
      <x:c r="G580" s="40" t="n">
        <x:v>0.1679</x:v>
      </x:c>
      <x:c r="H580" s="40" t="n">
        <x:v>0.013018</x:v>
      </x:c>
      <x:c r="I580" t="n">
        <x:v>48</x:v>
      </x:c>
      <x:c r="J580" t="n">
        <x:v>470900</x:v>
      </x:c>
      <x:c r="K580" t="str">
        <x:v>Avalancha</x:v>
      </x:c>
      <x:c r="L580" t="str">
        <x:v>Vigente</x:v>
      </x:c>
      <x:c r="M580" t="n">
        <x:v>13913637.3</x:v>
      </x:c>
      <x:c r="N580"/>
    </x:row>
    <x:row r="581">
      <x:c r="A581" t="str">
        <x:v>DEU-000580</x:v>
      </x:c>
      <x:c r="B581" t="str">
        <x:v>USR-00304</x:v>
      </x:c>
      <x:c r="C581" t="n">
        <x:v>45931</x:v>
      </x:c>
      <x:c r="D581" t="str">
        <x:v>Entidad financiera A</x:v>
      </x:c>
      <x:c r="E581" t="str">
        <x:v>Tarjeta de crédito</x:v>
      </x:c>
      <x:c r="F581" t="n">
        <x:v>7310000</x:v>
      </x:c>
      <x:c r="G581" s="40" t="n">
        <x:v>0.1395</x:v>
      </x:c>
      <x:c r="H581" s="40" t="n">
        <x:v>0.010942</x:v>
      </x:c>
      <x:c r="I581" t="n">
        <x:v>24</x:v>
      </x:c>
      <x:c r="J581" t="n">
        <x:v>348000</x:v>
      </x:c>
      <x:c r="K581" t="str">
        <x:v>Avalancha</x:v>
      </x:c>
      <x:c r="L581" t="str">
        <x:v>Vigente</x:v>
      </x:c>
      <x:c r="M581" t="n">
        <x:v>4336279.67</x:v>
      </x:c>
      <x:c r="N581"/>
    </x:row>
    <x:row r="582">
      <x:c r="A582" t="str">
        <x:v>DEU-000581</x:v>
      </x:c>
      <x:c r="B582" t="str">
        <x:v>USR-00305</x:v>
      </x:c>
      <x:c r="C582" t="n">
        <x:v>45931</x:v>
      </x:c>
      <x:c r="D582" t="str">
        <x:v>Financiera D</x:v>
      </x:c>
      <x:c r="E582" t="str">
        <x:v>Crédito de consumo</x:v>
      </x:c>
      <x:c r="F582" t="n">
        <x:v>16190000</x:v>
      </x:c>
      <x:c r="G582" s="40" t="n">
        <x:v>0.168</x:v>
      </x:c>
      <x:c r="H582" s="40" t="n">
        <x:v>0.013025</x:v>
      </x:c>
      <x:c r="I582" t="n">
        <x:v>30</x:v>
      </x:c>
      <x:c r="J582" t="n">
        <x:v>655400</x:v>
      </x:c>
      <x:c r="K582" t="str">
        <x:v>Avalancha</x:v>
      </x:c>
      <x:c r="L582" t="str">
        <x:v>Vigente</x:v>
      </x:c>
      <x:c r="M582" t="n">
        <x:v>14081303.98</x:v>
      </x:c>
      <x:c r="N582"/>
    </x:row>
    <x:row r="583">
      <x:c r="A583" t="str">
        <x:v>DEU-000582</x:v>
      </x:c>
      <x:c r="B583" t="str">
        <x:v>USR-00305</x:v>
      </x:c>
      <x:c r="C583" t="n">
        <x:v>45931</x:v>
      </x:c>
      <x:c r="D583" t="str">
        <x:v>Entidad financiera B</x:v>
      </x:c>
      <x:c r="E583" t="str">
        <x:v>Crédito de consumo</x:v>
      </x:c>
      <x:c r="F583" t="n">
        <x:v>16670000</x:v>
      </x:c>
      <x:c r="G583" s="40" t="n">
        <x:v>0.274</x:v>
      </x:c>
      <x:c r="H583" s="40" t="n">
        <x:v>0.020385</x:v>
      </x:c>
      <x:c r="I583" t="n">
        <x:v>12</x:v>
      </x:c>
      <x:c r="J583" t="n">
        <x:v>1580000</x:v>
      </x:c>
      <x:c r="K583" t="str">
        <x:v>Avalancha</x:v>
      </x:c>
      <x:c r="L583" t="str">
        <x:v>Vigente</x:v>
      </x:c>
      <x:c r="M583" t="n">
        <x:v>4631925.91</x:v>
      </x:c>
      <x:c r="N583"/>
    </x:row>
    <x:row r="584">
      <x:c r="A584" t="str">
        <x:v>DEU-000583</x:v>
      </x:c>
      <x:c r="B584" t="str">
        <x:v>USR-00306</x:v>
      </x:c>
      <x:c r="C584" t="n">
        <x:v>45931</x:v>
      </x:c>
      <x:c r="D584" t="str">
        <x:v>Entidad financiera A</x:v>
      </x:c>
      <x:c r="E584" t="str">
        <x:v>Crédito de consumo</x:v>
      </x:c>
      <x:c r="F584" t="n">
        <x:v>4970000</x:v>
      </x:c>
      <x:c r="G584" s="40" t="n">
        <x:v>0.2711</x:v>
      </x:c>
      <x:c r="H584" s="40" t="n">
        <x:v>0.020191</x:v>
      </x:c>
      <x:c r="I584" t="n">
        <x:v>48</x:v>
      </x:c>
      <x:c r="J584" t="n">
        <x:v>162700</x:v>
      </x:c>
      <x:c r="K584" t="str">
        <x:v>Avalancha</x:v>
      </x:c>
      <x:c r="L584" t="str">
        <x:v>Vigente</x:v>
      </x:c>
      <x:c r="M584" t="n">
        <x:v>4792076.34</x:v>
      </x:c>
      <x:c r="N584"/>
    </x:row>
    <x:row r="585">
      <x:c r="A585" t="str">
        <x:v>DEU-000584</x:v>
      </x:c>
      <x:c r="B585" t="str">
        <x:v>USR-00307</x:v>
      </x:c>
      <x:c r="C585" t="n">
        <x:v>45931</x:v>
      </x:c>
      <x:c r="D585" t="str">
        <x:v>Cooperativa C</x:v>
      </x:c>
      <x:c r="E585" t="str">
        <x:v>Crédito comercial</x:v>
      </x:c>
      <x:c r="F585" t="n">
        <x:v>12890000</x:v>
      </x:c>
      <x:c r="G585" s="40" t="n">
        <x:v>0.2182</x:v>
      </x:c>
      <x:c r="H585" s="40" t="n">
        <x:v>0.016584</x:v>
      </x:c>
      <x:c r="I585" t="n">
        <x:v>18</x:v>
      </x:c>
      <x:c r="J585" t="n">
        <x:v>834200</x:v>
      </x:c>
      <x:c r="K585" t="str">
        <x:v>Bola de nieve</x:v>
      </x:c>
      <x:c r="L585" t="str">
        <x:v>Vigente</x:v>
      </x:c>
      <x:c r="M585" t="n">
        <x:v>7596527.06</x:v>
      </x:c>
      <x:c r="N585"/>
    </x:row>
    <x:row r="586">
      <x:c r="A586" t="str">
        <x:v>DEU-000585</x:v>
      </x:c>
      <x:c r="B586" t="str">
        <x:v>USR-00307</x:v>
      </x:c>
      <x:c r="C586" t="n">
        <x:v>45931</x:v>
      </x:c>
      <x:c r="D586" t="str">
        <x:v>Financiera D</x:v>
      </x:c>
      <x:c r="E586" t="str">
        <x:v>Crédito de consumo</x:v>
      </x:c>
      <x:c r="F586" t="n">
        <x:v>15080000</x:v>
      </x:c>
      <x:c r="G586" s="40" t="n">
        <x:v>0.3412</x:v>
      </x:c>
      <x:c r="H586" s="40" t="n">
        <x:v>0.024765</x:v>
      </x:c>
      <x:c r="I586" t="n">
        <x:v>60</x:v>
      </x:c>
      <x:c r="J586" t="n">
        <x:v>485300</x:v>
      </x:c>
      <x:c r="K586" t="str">
        <x:v>Avalancha</x:v>
      </x:c>
      <x:c r="L586" t="str">
        <x:v>Vigente</x:v>
      </x:c>
      <x:c r="M586" t="n">
        <x:v>16456782.14</x:v>
      </x:c>
      <x:c r="N586"/>
    </x:row>
    <x:row r="587">
      <x:c r="A587" t="str">
        <x:v>DEU-000586</x:v>
      </x:c>
      <x:c r="B587" t="str">
        <x:v>USR-00307</x:v>
      </x:c>
      <x:c r="C587" t="n">
        <x:v>45931</x:v>
      </x:c>
      <x:c r="D587" t="str">
        <x:v>Cooperativa C</x:v>
      </x:c>
      <x:c r="E587" t="str">
        <x:v>Crédito educativo</x:v>
      </x:c>
      <x:c r="F587" t="n">
        <x:v>18770000</x:v>
      </x:c>
      <x:c r="G587" s="40" t="n">
        <x:v>0.3221</x:v>
      </x:c>
      <x:c r="H587" s="40" t="n">
        <x:v>0.023541</x:v>
      </x:c>
      <x:c r="I587" t="n">
        <x:v>24</x:v>
      </x:c>
      <x:c r="J587" t="n">
        <x:v>1032600</x:v>
      </x:c>
      <x:c r="K587" t="str">
        <x:v>Avalancha</x:v>
      </x:c>
      <x:c r="L587" t="str">
        <x:v>Vigente</x:v>
      </x:c>
      <x:c r="M587" t="n">
        <x:v>11992738.9</x:v>
      </x:c>
      <x:c r="N587"/>
    </x:row>
    <x:row r="588">
      <x:c r="A588" t="str">
        <x:v>DEU-000587</x:v>
      </x:c>
      <x:c r="B588" t="str">
        <x:v>USR-00308</x:v>
      </x:c>
      <x:c r="C588" t="n">
        <x:v>45931</x:v>
      </x:c>
      <x:c r="D588" t="str">
        <x:v>Cooperativa C</x:v>
      </x:c>
      <x:c r="E588" t="str">
        <x:v>Crédito de consumo</x:v>
      </x:c>
      <x:c r="F588" t="n">
        <x:v>2490000</x:v>
      </x:c>
      <x:c r="G588" s="40" t="n">
        <x:v>0.3016</x:v>
      </x:c>
      <x:c r="H588" s="40" t="n">
        <x:v>0.022209</x:v>
      </x:c>
      <x:c r="I588" t="n">
        <x:v>18</x:v>
      </x:c>
      <x:c r="J588" t="n">
        <x:v>169300</x:v>
      </x:c>
      <x:c r="K588" t="str">
        <x:v>Bola de nieve</x:v>
      </x:c>
      <x:c r="L588" t="str">
        <x:v>Vigente</x:v>
      </x:c>
      <x:c r="M588" t="n">
        <x:v>1606297.26</x:v>
      </x:c>
      <x:c r="N588"/>
    </x:row>
    <x:row r="589">
      <x:c r="A589" t="str">
        <x:v>DEU-000588</x:v>
      </x:c>
      <x:c r="B589" t="str">
        <x:v>USR-00308</x:v>
      </x:c>
      <x:c r="C589" t="n">
        <x:v>45931</x:v>
      </x:c>
      <x:c r="D589" t="str">
        <x:v>Entidad financiera E</x:v>
      </x:c>
      <x:c r="E589" t="str">
        <x:v>Crédito de consumo</x:v>
      </x:c>
      <x:c r="F589" t="n">
        <x:v>11580000</x:v>
      </x:c>
      <x:c r="G589" s="40" t="n">
        <x:v>0.3413</x:v>
      </x:c>
      <x:c r="H589" s="40" t="n">
        <x:v>0.024772</x:v>
      </x:c>
      <x:c r="I589" t="n">
        <x:v>12</x:v>
      </x:c>
      <x:c r="J589" t="n">
        <x:v>1127300</x:v>
      </x:c>
      <x:c r="K589" t="str">
        <x:v>Bola de nieve</x:v>
      </x:c>
      <x:c r="L589" t="str">
        <x:v>Vigente</x:v>
      </x:c>
      <x:c r="M589" t="n">
        <x:v>6453760.4</x:v>
      </x:c>
      <x:c r="N589"/>
    </x:row>
    <x:row r="590">
      <x:c r="A590" t="str">
        <x:v>DEU-000589</x:v>
      </x:c>
      <x:c r="B590" t="str">
        <x:v>USR-00309</x:v>
      </x:c>
      <x:c r="C590" t="n">
        <x:v>45931</x:v>
      </x:c>
      <x:c r="D590" t="str">
        <x:v>Entidad financiera E</x:v>
      </x:c>
      <x:c r="E590" t="str">
        <x:v>Tarjeta de crédito</x:v>
      </x:c>
      <x:c r="F590" t="n">
        <x:v>1350000</x:v>
      </x:c>
      <x:c r="G590" s="40" t="n">
        <x:v>0.3392</x:v>
      </x:c>
      <x:c r="H590" s="40" t="n">
        <x:v>0.024638</x:v>
      </x:c>
      <x:c r="I590" t="n">
        <x:v>24</x:v>
      </x:c>
      <x:c r="J590" t="n">
        <x:v>75200</x:v>
      </x:c>
      <x:c r="K590" t="str">
        <x:v>Bola de nieve</x:v>
      </x:c>
      <x:c r="L590" t="str">
        <x:v>Vigente</x:v>
      </x:c>
      <x:c r="M590" t="n">
        <x:v>1063638.91</x:v>
      </x:c>
      <x:c r="N590"/>
    </x:row>
    <x:row r="591">
      <x:c r="A591" t="str">
        <x:v>DEU-000590</x:v>
      </x:c>
      <x:c r="B591" t="str">
        <x:v>USR-00310</x:v>
      </x:c>
      <x:c r="C591" t="n">
        <x:v>45931</x:v>
      </x:c>
      <x:c r="D591" t="str">
        <x:v>Entidad financiera B</x:v>
      </x:c>
      <x:c r="E591" t="str">
        <x:v>Crédito comercial</x:v>
      </x:c>
      <x:c r="F591" t="n">
        <x:v>24090000</x:v>
      </x:c>
      <x:c r="G591" s="40" t="n">
        <x:v>0.2889</x:v>
      </x:c>
      <x:c r="H591" s="40" t="n">
        <x:v>0.021374</x:v>
      </x:c>
      <x:c r="I591" t="n">
        <x:v>18</x:v>
      </x:c>
      <x:c r="J591" t="n">
        <x:v>1626300</x:v>
      </x:c>
      <x:c r="K591" t="str">
        <x:v>Bola de nieve</x:v>
      </x:c>
      <x:c r="L591" t="str">
        <x:v>Vigente</x:v>
      </x:c>
      <x:c r="M591" t="n">
        <x:v>22986676.36</x:v>
      </x:c>
      <x:c r="N591"/>
    </x:row>
    <x:row r="592">
      <x:c r="A592" t="str">
        <x:v>DEU-000591</x:v>
      </x:c>
      <x:c r="B592" t="str">
        <x:v>USR-00310</x:v>
      </x:c>
      <x:c r="C592" t="n">
        <x:v>45931</x:v>
      </x:c>
      <x:c r="D592" t="str">
        <x:v>Entidad financiera B</x:v>
      </x:c>
      <x:c r="E592" t="str">
        <x:v>Tarjeta de crédito</x:v>
      </x:c>
      <x:c r="F592" t="n">
        <x:v>1580000</x:v>
      </x:c>
      <x:c r="G592" s="40" t="n">
        <x:v>0.1434</x:v>
      </x:c>
      <x:c r="H592" s="40" t="n">
        <x:v>0.01123</x:v>
      </x:c>
      <x:c r="I592" t="n">
        <x:v>48</x:v>
      </x:c>
      <x:c r="J592" t="n">
        <x:v>42800</x:v>
      </x:c>
      <x:c r="K592" t="str">
        <x:v>Bola de nieve</x:v>
      </x:c>
      <x:c r="L592" t="str">
        <x:v>Vigente</x:v>
      </x:c>
      <x:c r="M592" t="n">
        <x:v>1451927.38</x:v>
      </x:c>
      <x:c r="N592"/>
    </x:row>
    <x:row r="593">
      <x:c r="A593" t="str">
        <x:v>DEU-000592</x:v>
      </x:c>
      <x:c r="B593" t="str">
        <x:v>USR-00311</x:v>
      </x:c>
      <x:c r="C593" t="n">
        <x:v>45931</x:v>
      </x:c>
      <x:c r="D593" t="str">
        <x:v>Financiera D</x:v>
      </x:c>
      <x:c r="E593" t="str">
        <x:v>Crédito educativo</x:v>
      </x:c>
      <x:c r="F593" t="n">
        <x:v>14240000</x:v>
      </x:c>
      <x:c r="G593" s="40" t="n">
        <x:v>0.1464</x:v>
      </x:c>
      <x:c r="H593" s="40" t="n">
        <x:v>0.011451</x:v>
      </x:c>
      <x:c r="I593" t="n">
        <x:v>24</x:v>
      </x:c>
      <x:c r="J593" t="n">
        <x:v>682000</x:v>
      </x:c>
      <x:c r="K593" t="str">
        <x:v>Bola de nieve</x:v>
      </x:c>
      <x:c r="L593" t="str">
        <x:v>Vigente</x:v>
      </x:c>
      <x:c r="M593" t="n">
        <x:v>9206180.44</x:v>
      </x:c>
      <x:c r="N593"/>
    </x:row>
    <x:row r="594">
      <x:c r="A594" t="str">
        <x:v>DEU-000593</x:v>
      </x:c>
      <x:c r="B594" t="str">
        <x:v>USR-00312</x:v>
      </x:c>
      <x:c r="C594" t="n">
        <x:v>45931</x:v>
      </x:c>
      <x:c r="D594" t="str">
        <x:v>Entidad financiera E</x:v>
      </x:c>
      <x:c r="E594" t="str">
        <x:v>Tarjeta de crédito</x:v>
      </x:c>
      <x:c r="F594" t="n">
        <x:v>7650000</x:v>
      </x:c>
      <x:c r="G594" s="40" t="n">
        <x:v>0.2335</x:v>
      </x:c>
      <x:c r="H594" s="40" t="n">
        <x:v>0.017642</x:v>
      </x:c>
      <x:c r="I594" t="n">
        <x:v>30</x:v>
      </x:c>
      <x:c r="J594" t="n">
        <x:v>330600</x:v>
      </x:c>
      <x:c r="K594" t="str">
        <x:v>Bola de nieve</x:v>
      </x:c>
      <x:c r="L594" t="str">
        <x:v>Vigente</x:v>
      </x:c>
      <x:c r="M594" t="n">
        <x:v>5958774.3</x:v>
      </x:c>
      <x:c r="N594"/>
    </x:row>
    <x:row r="595">
      <x:c r="A595" t="str">
        <x:v>DEU-000594</x:v>
      </x:c>
      <x:c r="B595" t="str">
        <x:v>USR-00313</x:v>
      </x:c>
      <x:c r="C595" t="n">
        <x:v>45931</x:v>
      </x:c>
      <x:c r="D595" t="str">
        <x:v>Financiera D</x:v>
      </x:c>
      <x:c r="E595" t="str">
        <x:v>Crédito de consumo</x:v>
      </x:c>
      <x:c r="F595" t="n">
        <x:v>7060000</x:v>
      </x:c>
      <x:c r="G595" s="40" t="n">
        <x:v>0.3003</x:v>
      </x:c>
      <x:c r="H595" s="40" t="n">
        <x:v>0.022124</x:v>
      </x:c>
      <x:c r="I595" t="n">
        <x:v>18</x:v>
      </x:c>
      <x:c r="J595" t="n">
        <x:v>479800</x:v>
      </x:c>
      <x:c r="K595" t="str">
        <x:v>Avalancha</x:v>
      </x:c>
      <x:c r="L595" t="str">
        <x:v>Vigente</x:v>
      </x:c>
      <x:c r="M595" t="n">
        <x:v>4121216.01</x:v>
      </x:c>
      <x:c r="N595"/>
    </x:row>
    <x:row r="596">
      <x:c r="A596" t="str">
        <x:v>DEU-000595</x:v>
      </x:c>
      <x:c r="B596" t="str">
        <x:v>USR-00313</x:v>
      </x:c>
      <x:c r="C596" t="n">
        <x:v>45931</x:v>
      </x:c>
      <x:c r="D596" t="str">
        <x:v>Entidad financiera E</x:v>
      </x:c>
      <x:c r="E596" t="str">
        <x:v>Crédito de vehículo</x:v>
      </x:c>
      <x:c r="F596" t="n">
        <x:v>48010000</x:v>
      </x:c>
      <x:c r="G596" s="40" t="n">
        <x:v>0.3009</x:v>
      </x:c>
      <x:c r="H596" s="40" t="n">
        <x:v>0.022163</x:v>
      </x:c>
      <x:c r="I596" t="n">
        <x:v>36</x:v>
      </x:c>
      <x:c r="J596" t="n">
        <x:v>1949600</x:v>
      </x:c>
      <x:c r="K596" t="str">
        <x:v>Bola de nieve</x:v>
      </x:c>
      <x:c r="L596" t="str">
        <x:v>Vigente</x:v>
      </x:c>
      <x:c r="M596" t="n">
        <x:v>41461211.66</x:v>
      </x:c>
      <x:c r="N596"/>
    </x:row>
    <x:row r="597">
      <x:c r="A597" t="str">
        <x:v>DEU-000596</x:v>
      </x:c>
      <x:c r="B597" t="str">
        <x:v>USR-00314</x:v>
      </x:c>
      <x:c r="C597" t="n">
        <x:v>45931</x:v>
      </x:c>
      <x:c r="D597" t="str">
        <x:v>Cooperativa C</x:v>
      </x:c>
      <x:c r="E597" t="str">
        <x:v>Tarjeta de crédito</x:v>
      </x:c>
      <x:c r="F597" t="n">
        <x:v>6040000</x:v>
      </x:c>
      <x:c r="G597" s="40" t="n">
        <x:v>0.1881</x:v>
      </x:c>
      <x:c r="H597" s="40" t="n">
        <x:v>0.014467</x:v>
      </x:c>
      <x:c r="I597" t="n">
        <x:v>18</x:v>
      </x:c>
      <x:c r="J597" t="n">
        <x:v>383500</x:v>
      </x:c>
      <x:c r="K597" t="str">
        <x:v>Avalancha</x:v>
      </x:c>
      <x:c r="L597" t="str">
        <x:v>Vigente</x:v>
      </x:c>
      <x:c r="M597" t="n">
        <x:v>4738794.43</x:v>
      </x:c>
      <x:c r="N597"/>
    </x:row>
    <x:row r="598">
      <x:c r="A598" t="str">
        <x:v>DEU-000597</x:v>
      </x:c>
      <x:c r="B598" t="str">
        <x:v>USR-00315</x:v>
      </x:c>
      <x:c r="C598" t="n">
        <x:v>45931</x:v>
      </x:c>
      <x:c r="D598" t="str">
        <x:v>Cooperativa C</x:v>
      </x:c>
      <x:c r="E598" t="str">
        <x:v>Tarjeta de crédito</x:v>
      </x:c>
      <x:c r="F598" t="n">
        <x:v>1810000</x:v>
      </x:c>
      <x:c r="G598" s="40" t="n">
        <x:v>0.3239</x:v>
      </x:c>
      <x:c r="H598" s="40" t="n">
        <x:v>0.023657</x:v>
      </x:c>
      <x:c r="I598" t="n">
        <x:v>60</x:v>
      </x:c>
      <x:c r="J598" t="n">
        <x:v>56800</x:v>
      </x:c>
      <x:c r="K598" t="str">
        <x:v>Bola de nieve</x:v>
      </x:c>
      <x:c r="L598" t="str">
        <x:v>Vigente</x:v>
      </x:c>
      <x:c r="M598" t="n">
        <x:v>1798122.22</x:v>
      </x:c>
      <x:c r="N598"/>
    </x:row>
    <x:row r="599">
      <x:c r="A599" t="str">
        <x:v>DEU-000598</x:v>
      </x:c>
      <x:c r="B599" t="str">
        <x:v>USR-00315</x:v>
      </x:c>
      <x:c r="C599" t="n">
        <x:v>45931</x:v>
      </x:c>
      <x:c r="D599" t="str">
        <x:v>Entidad financiera E</x:v>
      </x:c>
      <x:c r="E599" t="str">
        <x:v>Crédito de consumo</x:v>
      </x:c>
      <x:c r="F599" t="n">
        <x:v>6500000</x:v>
      </x:c>
      <x:c r="G599" s="40" t="n">
        <x:v>0.1918</x:v>
      </x:c>
      <x:c r="H599" s="40" t="n">
        <x:v>0.014729</x:v>
      </x:c>
      <x:c r="I599" t="n">
        <x:v>30</x:v>
      </x:c>
      <x:c r="J599" t="n">
        <x:v>269600</x:v>
      </x:c>
      <x:c r="K599" t="str">
        <x:v>Bola de nieve</x:v>
      </x:c>
      <x:c r="L599" t="str">
        <x:v>Vigente</x:v>
      </x:c>
      <x:c r="M599" t="n">
        <x:v>5461760.97</x:v>
      </x:c>
      <x:c r="N599"/>
    </x:row>
    <x:row r="600">
      <x:c r="A600" t="str">
        <x:v>DEU-000599</x:v>
      </x:c>
      <x:c r="B600" t="str">
        <x:v>USR-00316</x:v>
      </x:c>
      <x:c r="C600" t="n">
        <x:v>45931</x:v>
      </x:c>
      <x:c r="D600" t="str">
        <x:v>Financiera D</x:v>
      </x:c>
      <x:c r="E600" t="str">
        <x:v>Crédito educativo</x:v>
      </x:c>
      <x:c r="F600" t="n">
        <x:v>15970000</x:v>
      </x:c>
      <x:c r="G600" s="40" t="n">
        <x:v>0.327</x:v>
      </x:c>
      <x:c r="H600" s="40" t="n">
        <x:v>0.023857</x:v>
      </x:c>
      <x:c r="I600" t="n">
        <x:v>30</x:v>
      </x:c>
      <x:c r="J600" t="n">
        <x:v>751400</x:v>
      </x:c>
      <x:c r="K600" t="str">
        <x:v>Bola de nieve</x:v>
      </x:c>
      <x:c r="L600" t="str">
        <x:v>Vigente</x:v>
      </x:c>
      <x:c r="M600" t="n">
        <x:v>12469764.66</x:v>
      </x:c>
      <x:c r="N600"/>
    </x:row>
    <x:row r="601">
      <x:c r="A601" t="str">
        <x:v>DEU-000600</x:v>
      </x:c>
      <x:c r="B601" t="str">
        <x:v>USR-00317</x:v>
      </x:c>
      <x:c r="C601" t="n">
        <x:v>45931</x:v>
      </x:c>
      <x:c r="D601" t="str">
        <x:v>Entidad financiera B</x:v>
      </x:c>
      <x:c r="E601" t="str">
        <x:v>Crédito de consumo</x:v>
      </x:c>
      <x:c r="F601" t="n">
        <x:v>14500000</x:v>
      </x:c>
      <x:c r="G601" s="40" t="n">
        <x:v>0.29</x:v>
      </x:c>
      <x:c r="H601" s="40" t="n">
        <x:v>0.021447</x:v>
      </x:c>
      <x:c r="I601" t="n">
        <x:v>30</x:v>
      </x:c>
      <x:c r="J601" t="n">
        <x:v>660400</x:v>
      </x:c>
      <x:c r="K601" t="str">
        <x:v>Avalancha</x:v>
      </x:c>
      <x:c r="L601" t="str">
        <x:v>Vigente</x:v>
      </x:c>
      <x:c r="M601" t="n">
        <x:v>9788490.85</x:v>
      </x:c>
      <x:c r="N601"/>
    </x:row>
    <x:row r="602">
      <x:c r="A602" t="str">
        <x:v>DEU-000601</x:v>
      </x:c>
      <x:c r="B602" t="str">
        <x:v>USR-00317</x:v>
      </x:c>
      <x:c r="C602" t="n">
        <x:v>45931</x:v>
      </x:c>
      <x:c r="D602" t="str">
        <x:v>Cooperativa C</x:v>
      </x:c>
      <x:c r="E602" t="str">
        <x:v>Crédito de consumo</x:v>
      </x:c>
      <x:c r="F602" t="n">
        <x:v>13180000</x:v>
      </x:c>
      <x:c r="G602" s="40" t="n">
        <x:v>0.2809</x:v>
      </x:c>
      <x:c r="H602" s="40" t="n">
        <x:v>0.020845</x:v>
      </x:c>
      <x:c r="I602" t="n">
        <x:v>48</x:v>
      </x:c>
      <x:c r="J602" t="n">
        <x:v>437100</x:v>
      </x:c>
      <x:c r="K602" t="str">
        <x:v>Avalancha</x:v>
      </x:c>
      <x:c r="L602" t="str">
        <x:v>Vigente</x:v>
      </x:c>
      <x:c r="M602" t="n">
        <x:v>11224354.89</x:v>
      </x:c>
      <x:c r="N602"/>
    </x:row>
    <x:row r="603">
      <x:c r="A603" t="str">
        <x:v>DEU-000602</x:v>
      </x:c>
      <x:c r="B603" t="str">
        <x:v>USR-00318</x:v>
      </x:c>
      <x:c r="C603" t="n">
        <x:v>45931</x:v>
      </x:c>
      <x:c r="D603" t="str">
        <x:v>Cooperativa C</x:v>
      </x:c>
      <x:c r="E603" t="str">
        <x:v>Tarjeta de crédito</x:v>
      </x:c>
      <x:c r="F603" t="n">
        <x:v>5010000</x:v>
      </x:c>
      <x:c r="G603" s="40" t="n">
        <x:v>0.3052</x:v>
      </x:c>
      <x:c r="H603" s="40" t="n">
        <x:v>0.022445</x:v>
      </x:c>
      <x:c r="I603" t="n">
        <x:v>30</x:v>
      </x:c>
      <x:c r="J603" t="n">
        <x:v>231300</x:v>
      </x:c>
      <x:c r="K603" t="str">
        <x:v>Bola de nieve</x:v>
      </x:c>
      <x:c r="L603" t="str">
        <x:v>Vigente</x:v>
      </x:c>
      <x:c r="M603" t="n">
        <x:v>4035325.25</x:v>
      </x:c>
      <x:c r="N603"/>
    </x:row>
    <x:row r="604">
      <x:c r="A604" t="str">
        <x:v>DEU-000603</x:v>
      </x:c>
      <x:c r="B604" t="str">
        <x:v>USR-00318</x:v>
      </x:c>
      <x:c r="C604" t="n">
        <x:v>45931</x:v>
      </x:c>
      <x:c r="D604" t="str">
        <x:v>Entidad financiera A</x:v>
      </x:c>
      <x:c r="E604" t="str">
        <x:v>Crédito de consumo</x:v>
      </x:c>
      <x:c r="F604" t="n">
        <x:v>10480000</x:v>
      </x:c>
      <x:c r="G604" s="40" t="n">
        <x:v>0.2767</x:v>
      </x:c>
      <x:c r="H604" s="40" t="n">
        <x:v>0.020565</x:v>
      </x:c>
      <x:c r="I604" t="n">
        <x:v>30</x:v>
      </x:c>
      <x:c r="J604" t="n">
        <x:v>471600</x:v>
      </x:c>
      <x:c r="K604" t="str">
        <x:v>Avalancha</x:v>
      </x:c>
      <x:c r="L604" t="str">
        <x:v>Vigente</x:v>
      </x:c>
      <x:c r="M604" t="n">
        <x:v>7632494.96</x:v>
      </x:c>
      <x:c r="N604"/>
    </x:row>
    <x:row r="605">
      <x:c r="A605" t="str">
        <x:v>DEU-000604</x:v>
      </x:c>
      <x:c r="B605" t="str">
        <x:v>USR-00319</x:v>
      </x:c>
      <x:c r="C605" t="n">
        <x:v>45931</x:v>
      </x:c>
      <x:c r="D605" t="str">
        <x:v>Entidad financiera B</x:v>
      </x:c>
      <x:c r="E605" t="str">
        <x:v>Tarjeta de crédito</x:v>
      </x:c>
      <x:c r="F605" t="n">
        <x:v>5720000</x:v>
      </x:c>
      <x:c r="G605" s="40" t="n">
        <x:v>0.2766</x:v>
      </x:c>
      <x:c r="H605" s="40" t="n">
        <x:v>0.020558</x:v>
      </x:c>
      <x:c r="I605" t="n">
        <x:v>24</x:v>
      </x:c>
      <x:c r="J605" t="n">
        <x:v>304300</x:v>
      </x:c>
      <x:c r="K605" t="str">
        <x:v>Avalancha</x:v>
      </x:c>
      <x:c r="L605" t="str">
        <x:v>Vigente</x:v>
      </x:c>
      <x:c r="M605" t="n">
        <x:v>5441689.91</x:v>
      </x:c>
      <x:c r="N605"/>
    </x:row>
    <x:row r="606">
      <x:c r="A606" t="str">
        <x:v>DEU-000605</x:v>
      </x:c>
      <x:c r="B606" t="str">
        <x:v>USR-00319</x:v>
      </x:c>
      <x:c r="C606" t="n">
        <x:v>45931</x:v>
      </x:c>
      <x:c r="D606" t="str">
        <x:v>Entidad financiera A</x:v>
      </x:c>
      <x:c r="E606" t="str">
        <x:v>Crédito educativo</x:v>
      </x:c>
      <x:c r="F606" t="n">
        <x:v>18180000</x:v>
      </x:c>
      <x:c r="G606" s="40" t="n">
        <x:v>0.115</x:v>
      </x:c>
      <x:c r="H606" s="40" t="n">
        <x:v>0.009112</x:v>
      </x:c>
      <x:c r="I606" t="n">
        <x:v>48</x:v>
      </x:c>
      <x:c r="J606" t="n">
        <x:v>469300</x:v>
      </x:c>
      <x:c r="K606" t="str">
        <x:v>Avalancha</x:v>
      </x:c>
      <x:c r="L606" t="str">
        <x:v>Vigente</x:v>
      </x:c>
      <x:c r="M606" t="n">
        <x:v>17444504.44</x:v>
      </x:c>
      <x:c r="N606"/>
    </x:row>
    <x:row r="607">
      <x:c r="A607" t="str">
        <x:v>DEU-000606</x:v>
      </x:c>
      <x:c r="B607" t="str">
        <x:v>USR-00320</x:v>
      </x:c>
      <x:c r="C607" t="n">
        <x:v>45931</x:v>
      </x:c>
      <x:c r="D607" t="str">
        <x:v>Entidad financiera B</x:v>
      </x:c>
      <x:c r="E607" t="str">
        <x:v>Tarjeta de crédito</x:v>
      </x:c>
      <x:c r="F607" t="n">
        <x:v>3200000</x:v>
      </x:c>
      <x:c r="G607" s="40" t="n">
        <x:v>0.1208</x:v>
      </x:c>
      <x:c r="H607" s="40" t="n">
        <x:v>0.009549</x:v>
      </x:c>
      <x:c r="I607" t="n">
        <x:v>30</x:v>
      </x:c>
      <x:c r="J607" t="n">
        <x:v>123200</x:v>
      </x:c>
      <x:c r="K607" t="str">
        <x:v>Bola de nieve</x:v>
      </x:c>
      <x:c r="L607" t="str">
        <x:v>Vigente</x:v>
      </x:c>
      <x:c r="M607" t="n">
        <x:v>2335933.78</x:v>
      </x:c>
      <x:c r="N607"/>
    </x:row>
    <x:row r="608">
      <x:c r="A608" t="str">
        <x:v>DEU-000607</x:v>
      </x:c>
      <x:c r="B608" t="str">
        <x:v>USR-00320</x:v>
      </x:c>
      <x:c r="C608" t="n">
        <x:v>45931</x:v>
      </x:c>
      <x:c r="D608" t="str">
        <x:v>Entidad financiera B</x:v>
      </x:c>
      <x:c r="E608" t="str">
        <x:v>Tarjeta de crédito</x:v>
      </x:c>
      <x:c r="F608" t="n">
        <x:v>1470000</x:v>
      </x:c>
      <x:c r="G608" s="40" t="n">
        <x:v>0.2842</x:v>
      </x:c>
      <x:c r="H608" s="40" t="n">
        <x:v>0.021063</x:v>
      </x:c>
      <x:c r="I608" t="n">
        <x:v>12</x:v>
      </x:c>
      <x:c r="J608" t="n">
        <x:v>139900</x:v>
      </x:c>
      <x:c r="K608" t="str">
        <x:v>Avalancha</x:v>
      </x:c>
      <x:c r="L608" t="str">
        <x:v>Vigente</x:v>
      </x:c>
      <x:c r="M608" t="n">
        <x:v>293388.93</x:v>
      </x:c>
      <x:c r="N608"/>
    </x:row>
    <x:row r="609">
      <x:c r="A609" t="str">
        <x:v>DEU-000608</x:v>
      </x:c>
      <x:c r="B609" t="str">
        <x:v>USR-00320</x:v>
      </x:c>
      <x:c r="C609" t="n">
        <x:v>45931</x:v>
      </x:c>
      <x:c r="D609" t="str">
        <x:v>Entidad financiera E</x:v>
      </x:c>
      <x:c r="E609" t="str">
        <x:v>Crédito de vehículo</x:v>
      </x:c>
      <x:c r="F609" t="n">
        <x:v>36250000</x:v>
      </x:c>
      <x:c r="G609" s="40" t="n">
        <x:v>0.3055</x:v>
      </x:c>
      <x:c r="H609" s="40" t="n">
        <x:v>0.022464</x:v>
      </x:c>
      <x:c r="I609" t="n">
        <x:v>12</x:v>
      </x:c>
      <x:c r="J609" t="n">
        <x:v>3479900</x:v>
      </x:c>
      <x:c r="K609" t="str">
        <x:v>Bola de nieve</x:v>
      </x:c>
      <x:c r="L609" t="str">
        <x:v>Vigente</x:v>
      </x:c>
      <x:c r="M609" t="n">
        <x:v>5846724.02</x:v>
      </x:c>
      <x:c r="N609"/>
    </x:row>
    <x:row r="610">
      <x:c r="A610" t="str">
        <x:v>DEU-000609</x:v>
      </x:c>
      <x:c r="B610" t="str">
        <x:v>USR-00320</x:v>
      </x:c>
      <x:c r="C610" t="n">
        <x:v>45931</x:v>
      </x:c>
      <x:c r="D610" t="str">
        <x:v>Cooperativa C</x:v>
      </x:c>
      <x:c r="E610" t="str">
        <x:v>Tarjeta de crédito</x:v>
      </x:c>
      <x:c r="F610" t="n">
        <x:v>7390000</x:v>
      </x:c>
      <x:c r="G610" s="40" t="n">
        <x:v>0.3</x:v>
      </x:c>
      <x:c r="H610" s="40" t="n">
        <x:v>0.022104</x:v>
      </x:c>
      <x:c r="I610" t="n">
        <x:v>60</x:v>
      </x:c>
      <x:c r="J610" t="n">
        <x:v>223600</x:v>
      </x:c>
      <x:c r="K610" t="str">
        <x:v>Avalancha</x:v>
      </x:c>
      <x:c r="L610" t="str">
        <x:v>Vigente</x:v>
      </x:c>
      <x:c r="M610" t="n">
        <x:v>6417659.96</x:v>
      </x:c>
      <x:c r="N610"/>
    </x:row>
    <x:row r="611">
      <x:c r="A611" t="str">
        <x:v>DEU-000610</x:v>
      </x:c>
      <x:c r="B611" t="str">
        <x:v>USR-00320</x:v>
      </x:c>
      <x:c r="C611" t="n">
        <x:v>45931</x:v>
      </x:c>
      <x:c r="D611" t="str">
        <x:v>Financiera D</x:v>
      </x:c>
      <x:c r="E611" t="str">
        <x:v>Crédito de consumo</x:v>
      </x:c>
      <x:c r="F611" t="n">
        <x:v>9910000</x:v>
      </x:c>
      <x:c r="G611" s="40" t="n">
        <x:v>0.2432</x:v>
      </x:c>
      <x:c r="H611" s="40" t="n">
        <x:v>0.018306</x:v>
      </x:c>
      <x:c r="I611" t="n">
        <x:v>36</x:v>
      </x:c>
      <x:c r="J611" t="n">
        <x:v>378300</x:v>
      </x:c>
      <x:c r="K611" t="str">
        <x:v>Avalancha</x:v>
      </x:c>
      <x:c r="L611" t="str">
        <x:v>Vigente</x:v>
      </x:c>
      <x:c r="M611" t="n">
        <x:v>9197723.83</x:v>
      </x:c>
      <x:c r="N611"/>
    </x:row>
    <x:row r="612">
      <x:c r="A612" t="str">
        <x:v>DEU-000611</x:v>
      </x:c>
      <x:c r="B612" t="str">
        <x:v>USR-00321</x:v>
      </x:c>
      <x:c r="C612" t="n">
        <x:v>45931</x:v>
      </x:c>
      <x:c r="D612" t="str">
        <x:v>Entidad financiera B</x:v>
      </x:c>
      <x:c r="E612" t="str">
        <x:v>Tarjeta de crédito</x:v>
      </x:c>
      <x:c r="F612" t="n">
        <x:v>4680000</x:v>
      </x:c>
      <x:c r="G612" s="40" t="n">
        <x:v>0.1093</x:v>
      </x:c>
      <x:c r="H612" s="40" t="n">
        <x:v>0.008682</x:v>
      </x:c>
      <x:c r="I612" t="n">
        <x:v>12</x:v>
      </x:c>
      <x:c r="J612" t="n">
        <x:v>412400</x:v>
      </x:c>
      <x:c r="K612" t="str">
        <x:v>Avalancha</x:v>
      </x:c>
      <x:c r="L612" t="str">
        <x:v>Vigente</x:v>
      </x:c>
      <x:c r="M612" t="n">
        <x:v>757536.61</x:v>
      </x:c>
      <x:c r="N612"/>
    </x:row>
    <x:row r="613">
      <x:c r="A613" t="str">
        <x:v>DEU-000612</x:v>
      </x:c>
      <x:c r="B613" t="str">
        <x:v>USR-00321</x:v>
      </x:c>
      <x:c r="C613" t="n">
        <x:v>45931</x:v>
      </x:c>
      <x:c r="D613" t="str">
        <x:v>Entidad financiera B</x:v>
      </x:c>
      <x:c r="E613" t="str">
        <x:v>Crédito de consumo</x:v>
      </x:c>
      <x:c r="F613" t="n">
        <x:v>1940000</x:v>
      </x:c>
      <x:c r="G613" s="40" t="n">
        <x:v>0.3341</x:v>
      </x:c>
      <x:c r="H613" s="40" t="n">
        <x:v>0.024312</x:v>
      </x:c>
      <x:c r="I613" t="n">
        <x:v>30</x:v>
      </x:c>
      <x:c r="J613" t="n">
        <x:v>91800</x:v>
      </x:c>
      <x:c r="K613" t="str">
        <x:v>Bola de nieve</x:v>
      </x:c>
      <x:c r="L613" t="str">
        <x:v>Vigente</x:v>
      </x:c>
      <x:c r="M613" t="n">
        <x:v>1515849.23</x:v>
      </x:c>
      <x:c r="N613"/>
    </x:row>
    <x:row r="614">
      <x:c r="A614" t="str">
        <x:v>DEU-000613</x:v>
      </x:c>
      <x:c r="B614" t="str">
        <x:v>USR-00322</x:v>
      </x:c>
      <x:c r="C614" t="n">
        <x:v>45931</x:v>
      </x:c>
      <x:c r="D614" t="str">
        <x:v>Financiera D</x:v>
      </x:c>
      <x:c r="E614" t="str">
        <x:v>Tarjeta de crédito</x:v>
      </x:c>
      <x:c r="F614" t="n">
        <x:v>6520000</x:v>
      </x:c>
      <x:c r="G614" s="40" t="n">
        <x:v>0.2909</x:v>
      </x:c>
      <x:c r="H614" s="40" t="n">
        <x:v>0.021506</x:v>
      </x:c>
      <x:c r="I614" t="n">
        <x:v>12</x:v>
      </x:c>
      <x:c r="J614" t="n">
        <x:v>622200</x:v>
      </x:c>
      <x:c r="K614" t="str">
        <x:v>Avalancha</x:v>
      </x:c>
      <x:c r="L614" t="str">
        <x:v>Pagada</x:v>
      </x:c>
      <x:c r="M614" t="n">
        <x:v>0</x:v>
      </x:c>
      <x:c r="N614" t="n">
        <x:v>46235</x:v>
      </x:c>
    </x:row>
    <x:row r="615">
      <x:c r="A615" t="str">
        <x:v>DEU-000614</x:v>
      </x:c>
      <x:c r="B615" t="str">
        <x:v>USR-00323</x:v>
      </x:c>
      <x:c r="C615" t="n">
        <x:v>45931</x:v>
      </x:c>
      <x:c r="D615" t="str">
        <x:v>Cooperativa C</x:v>
      </x:c>
      <x:c r="E615" t="str">
        <x:v>Crédito de libre inversión</x:v>
      </x:c>
      <x:c r="F615" t="n">
        <x:v>14640000</x:v>
      </x:c>
      <x:c r="G615" s="40" t="n">
        <x:v>0.2254</x:v>
      </x:c>
      <x:c r="H615" s="40" t="n">
        <x:v>0.017083</x:v>
      </x:c>
      <x:c r="I615" t="n">
        <x:v>18</x:v>
      </x:c>
      <x:c r="J615" t="n">
        <x:v>951700</x:v>
      </x:c>
      <x:c r="K615" t="str">
        <x:v>Bola de nieve</x:v>
      </x:c>
      <x:c r="L615" t="str">
        <x:v>Vigente</x:v>
      </x:c>
      <x:c r="M615" t="n">
        <x:v>8478835.61</x:v>
      </x:c>
      <x:c r="N615"/>
    </x:row>
    <x:row r="616">
      <x:c r="A616" t="str">
        <x:v>DEU-000615</x:v>
      </x:c>
      <x:c r="B616" t="str">
        <x:v>USR-00324</x:v>
      </x:c>
      <x:c r="C616" t="n">
        <x:v>45931</x:v>
      </x:c>
      <x:c r="D616" t="str">
        <x:v>Cooperativa C</x:v>
      </x:c>
      <x:c r="E616" t="str">
        <x:v>Crédito de libre inversión</x:v>
      </x:c>
      <x:c r="F616" t="n">
        <x:v>19130000</x:v>
      </x:c>
      <x:c r="G616" s="40" t="n">
        <x:v>0.2791</x:v>
      </x:c>
      <x:c r="H616" s="40" t="n">
        <x:v>0.020725</x:v>
      </x:c>
      <x:c r="I616" t="n">
        <x:v>30</x:v>
      </x:c>
      <x:c r="J616" t="n">
        <x:v>862700</x:v>
      </x:c>
      <x:c r="K616" t="str">
        <x:v>Bola de nieve</x:v>
      </x:c>
      <x:c r="L616" t="str">
        <x:v>Vigente</x:v>
      </x:c>
      <x:c r="M616" t="n">
        <x:v>18454151.92</x:v>
      </x:c>
      <x:c r="N616"/>
    </x:row>
    <x:row r="617">
      <x:c r="A617" t="str">
        <x:v>DEU-000616</x:v>
      </x:c>
      <x:c r="B617" t="str">
        <x:v>USR-00324</x:v>
      </x:c>
      <x:c r="C617" t="n">
        <x:v>45931</x:v>
      </x:c>
      <x:c r="D617" t="str">
        <x:v>Entidad financiera B</x:v>
      </x:c>
      <x:c r="E617" t="str">
        <x:v>Crédito de libre inversión</x:v>
      </x:c>
      <x:c r="F617" t="n">
        <x:v>15560000</x:v>
      </x:c>
      <x:c r="G617" s="40" t="n">
        <x:v>0.2782</x:v>
      </x:c>
      <x:c r="H617" s="40" t="n">
        <x:v>0.020665</x:v>
      </x:c>
      <x:c r="I617" t="n">
        <x:v>60</x:v>
      </x:c>
      <x:c r="J617" t="n">
        <x:v>454900</x:v>
      </x:c>
      <x:c r="K617" t="str">
        <x:v>Avalancha</x:v>
      </x:c>
      <x:c r="L617" t="str">
        <x:v>Vigente</x:v>
      </x:c>
      <x:c r="M617" t="n">
        <x:v>15313489.84</x:v>
      </x:c>
      <x:c r="N617"/>
    </x:row>
    <x:row r="618">
      <x:c r="A618" t="str">
        <x:v>DEU-000617</x:v>
      </x:c>
      <x:c r="B618" t="str">
        <x:v>USR-00325</x:v>
      </x:c>
      <x:c r="C618" t="n">
        <x:v>45931</x:v>
      </x:c>
      <x:c r="D618" t="str">
        <x:v>Cooperativa C</x:v>
      </x:c>
      <x:c r="E618" t="str">
        <x:v>Crédito de consumo</x:v>
      </x:c>
      <x:c r="F618" t="n">
        <x:v>13600000</x:v>
      </x:c>
      <x:c r="G618" s="40" t="n">
        <x:v>0.3096</x:v>
      </x:c>
      <x:c r="H618" s="40" t="n">
        <x:v>0.022731</x:v>
      </x:c>
      <x:c r="I618" t="n">
        <x:v>48</x:v>
      </x:c>
      <x:c r="J618" t="n">
        <x:v>468400</x:v>
      </x:c>
      <x:c r="K618" t="str">
        <x:v>Bola de nieve</x:v>
      </x:c>
      <x:c r="L618" t="str">
        <x:v>Vigente</x:v>
      </x:c>
      <x:c r="M618" t="n">
        <x:v>14070851.82</x:v>
      </x:c>
      <x:c r="N618"/>
    </x:row>
    <x:row r="619">
      <x:c r="A619" t="str">
        <x:v>DEU-000618</x:v>
      </x:c>
      <x:c r="B619" t="str">
        <x:v>USR-00325</x:v>
      </x:c>
      <x:c r="C619" t="n">
        <x:v>45931</x:v>
      </x:c>
      <x:c r="D619" t="str">
        <x:v>Financiera D</x:v>
      </x:c>
      <x:c r="E619" t="str">
        <x:v>Crédito de consumo</x:v>
      </x:c>
      <x:c r="F619" t="n">
        <x:v>12310000</x:v>
      </x:c>
      <x:c r="G619" s="40" t="n">
        <x:v>0.2796</x:v>
      </x:c>
      <x:c r="H619" s="40" t="n">
        <x:v>0.020758</x:v>
      </x:c>
      <x:c r="I619" t="n">
        <x:v>48</x:v>
      </x:c>
      <x:c r="J619" t="n">
        <x:v>407500</x:v>
      </x:c>
      <x:c r="K619" t="str">
        <x:v>Bola de nieve</x:v>
      </x:c>
      <x:c r="L619" t="str">
        <x:v>Vigente</x:v>
      </x:c>
      <x:c r="M619" t="n">
        <x:v>10040945.51</x:v>
      </x:c>
      <x:c r="N619"/>
    </x:row>
    <x:row r="620">
      <x:c r="A620" t="str">
        <x:v>DEU-000619</x:v>
      </x:c>
      <x:c r="B620" t="str">
        <x:v>USR-00325</x:v>
      </x:c>
      <x:c r="C620" t="n">
        <x:v>45931</x:v>
      </x:c>
      <x:c r="D620" t="str">
        <x:v>Financiera D</x:v>
      </x:c>
      <x:c r="E620" t="str">
        <x:v>Crédito educativo</x:v>
      </x:c>
      <x:c r="F620" t="n">
        <x:v>14680000</x:v>
      </x:c>
      <x:c r="G620" s="40" t="n">
        <x:v>0.2616</x:v>
      </x:c>
      <x:c r="H620" s="40" t="n">
        <x:v>0.019554</x:v>
      </x:c>
      <x:c r="I620" t="n">
        <x:v>48</x:v>
      </x:c>
      <x:c r="J620" t="n">
        <x:v>474300</x:v>
      </x:c>
      <x:c r="K620" t="str">
        <x:v>Avalancha</x:v>
      </x:c>
      <x:c r="L620" t="str">
        <x:v>Vigente</x:v>
      </x:c>
      <x:c r="M620" t="n">
        <x:v>12524132.43</x:v>
      </x:c>
      <x:c r="N620"/>
    </x:row>
    <x:row r="621">
      <x:c r="A621" t="str">
        <x:v>DEU-000620</x:v>
      </x:c>
      <x:c r="B621" t="str">
        <x:v>USR-00325</x:v>
      </x:c>
      <x:c r="C621" t="n">
        <x:v>45931</x:v>
      </x:c>
      <x:c r="D621" t="str">
        <x:v>Financiera D</x:v>
      </x:c>
      <x:c r="E621" t="str">
        <x:v>Crédito educativo</x:v>
      </x:c>
      <x:c r="F621" t="n">
        <x:v>23010000</x:v>
      </x:c>
      <x:c r="G621" s="40" t="n">
        <x:v>0.1148</x:v>
      </x:c>
      <x:c r="H621" s="40" t="n">
        <x:v>0.009097</x:v>
      </x:c>
      <x:c r="I621" t="n">
        <x:v>48</x:v>
      </x:c>
      <x:c r="J621" t="n">
        <x:v>593800</x:v>
      </x:c>
      <x:c r="K621" t="str">
        <x:v>Bola de nieve</x:v>
      </x:c>
      <x:c r="L621" t="str">
        <x:v>Vigente</x:v>
      </x:c>
      <x:c r="M621" t="n">
        <x:v>20847778.98</x:v>
      </x:c>
      <x:c r="N621"/>
    </x:row>
    <x:row r="622">
      <x:c r="A622" t="str">
        <x:v>DEU-000621</x:v>
      </x:c>
      <x:c r="B622" t="str">
        <x:v>USR-00325</x:v>
      </x:c>
      <x:c r="C622" t="n">
        <x:v>45931</x:v>
      </x:c>
      <x:c r="D622" t="str">
        <x:v>Cooperativa C</x:v>
      </x:c>
      <x:c r="E622" t="str">
        <x:v>Tarjeta de crédito</x:v>
      </x:c>
      <x:c r="F622" t="n">
        <x:v>2550000</x:v>
      </x:c>
      <x:c r="G622" s="40" t="n">
        <x:v>0.3304</x:v>
      </x:c>
      <x:c r="H622" s="40" t="n">
        <x:v>0.024075</x:v>
      </x:c>
      <x:c r="I622" t="n">
        <x:v>60</x:v>
      </x:c>
      <x:c r="J622" t="n">
        <x:v>80800</x:v>
      </x:c>
      <x:c r="K622" t="str">
        <x:v>Bola de nieve</x:v>
      </x:c>
      <x:c r="L622" t="str">
        <x:v>Vigente</x:v>
      </x:c>
      <x:c r="M622" t="n">
        <x:v>2079906.64</x:v>
      </x:c>
      <x:c r="N622"/>
    </x:row>
    <x:row r="623">
      <x:c r="A623" t="str">
        <x:v>DEU-000622</x:v>
      </x:c>
      <x:c r="B623" t="str">
        <x:v>USR-00326</x:v>
      </x:c>
      <x:c r="C623" t="n">
        <x:v>45931</x:v>
      </x:c>
      <x:c r="D623" t="str">
        <x:v>Entidad financiera E</x:v>
      </x:c>
      <x:c r="E623" t="str">
        <x:v>Crédito de vehículo</x:v>
      </x:c>
      <x:c r="F623" t="n">
        <x:v>27700000</x:v>
      </x:c>
      <x:c r="G623" s="40" t="n">
        <x:v>0.2431</x:v>
      </x:c>
      <x:c r="H623" s="40" t="n">
        <x:v>0.018299</x:v>
      </x:c>
      <x:c r="I623" t="n">
        <x:v>30</x:v>
      </x:c>
      <x:c r="J623" t="n">
        <x:v>1208100</x:v>
      </x:c>
      <x:c r="K623" t="str">
        <x:v>Avalancha</x:v>
      </x:c>
      <x:c r="L623" t="str">
        <x:v>Vigente</x:v>
      </x:c>
      <x:c r="M623" t="n">
        <x:v>21269459.16</x:v>
      </x:c>
      <x:c r="N623"/>
    </x:row>
    <x:row r="624">
      <x:c r="A624" t="str">
        <x:v>DEU-000623</x:v>
      </x:c>
      <x:c r="B624" t="str">
        <x:v>USR-00326</x:v>
      </x:c>
      <x:c r="C624" t="n">
        <x:v>45931</x:v>
      </x:c>
      <x:c r="D624" t="str">
        <x:v>Entidad financiera A</x:v>
      </x:c>
      <x:c r="E624" t="str">
        <x:v>Crédito de consumo</x:v>
      </x:c>
      <x:c r="F624" t="n">
        <x:v>13680000</x:v>
      </x:c>
      <x:c r="G624" s="40" t="n">
        <x:v>0.1618</x:v>
      </x:c>
      <x:c r="H624" s="40" t="n">
        <x:v>0.012576</x:v>
      </x:c>
      <x:c r="I624" t="n">
        <x:v>48</x:v>
      </x:c>
      <x:c r="J624" t="n">
        <x:v>381400</x:v>
      </x:c>
      <x:c r="K624" t="str">
        <x:v>Avalancha</x:v>
      </x:c>
      <x:c r="L624" t="str">
        <x:v>Vigente</x:v>
      </x:c>
      <x:c r="M624" t="n">
        <x:v>11520477.47</x:v>
      </x:c>
      <x:c r="N624"/>
    </x:row>
    <x:row r="625">
      <x:c r="A625" t="str">
        <x:v>DEU-000624</x:v>
      </x:c>
      <x:c r="B625" t="str">
        <x:v>USR-00327</x:v>
      </x:c>
      <x:c r="C625" t="n">
        <x:v>45931</x:v>
      </x:c>
      <x:c r="D625" t="str">
        <x:v>Financiera D</x:v>
      </x:c>
      <x:c r="E625" t="str">
        <x:v>Tarjeta de crédito</x:v>
      </x:c>
      <x:c r="F625" t="n">
        <x:v>6920000</x:v>
      </x:c>
      <x:c r="G625" s="40" t="n">
        <x:v>0.2409</x:v>
      </x:c>
      <x:c r="H625" s="40" t="n">
        <x:v>0.018149</x:v>
      </x:c>
      <x:c r="I625" t="n">
        <x:v>48</x:v>
      </x:c>
      <x:c r="J625" t="n">
        <x:v>217200</x:v>
      </x:c>
      <x:c r="K625" t="str">
        <x:v>Avalancha</x:v>
      </x:c>
      <x:c r="L625" t="str">
        <x:v>Vigente</x:v>
      </x:c>
      <x:c r="M625" t="n">
        <x:v>6558302.2</x:v>
      </x:c>
      <x:c r="N625"/>
    </x:row>
    <x:row r="626">
      <x:c r="A626" t="str">
        <x:v>DEU-000625</x:v>
      </x:c>
      <x:c r="B626" t="str">
        <x:v>USR-00327</x:v>
      </x:c>
      <x:c r="C626" t="n">
        <x:v>45931</x:v>
      </x:c>
      <x:c r="D626" t="str">
        <x:v>Entidad financiera A</x:v>
      </x:c>
      <x:c r="E626" t="str">
        <x:v>Crédito de consumo</x:v>
      </x:c>
      <x:c r="F626" t="n">
        <x:v>13790000</x:v>
      </x:c>
      <x:c r="G626" s="40" t="n">
        <x:v>0.1854</x:v>
      </x:c>
      <x:c r="H626" s="40" t="n">
        <x:v>0.014274</x:v>
      </x:c>
      <x:c r="I626" t="n">
        <x:v>48</x:v>
      </x:c>
      <x:c r="J626" t="n">
        <x:v>398800</x:v>
      </x:c>
      <x:c r="K626" t="str">
        <x:v>Avalancha</x:v>
      </x:c>
      <x:c r="L626" t="str">
        <x:v>Vigente</x:v>
      </x:c>
      <x:c r="M626" t="n">
        <x:v>12587284.07</x:v>
      </x:c>
      <x:c r="N626"/>
    </x:row>
    <x:row r="627">
      <x:c r="A627" t="str">
        <x:v>DEU-000626</x:v>
      </x:c>
      <x:c r="B627" t="str">
        <x:v>USR-00328</x:v>
      </x:c>
      <x:c r="C627" t="n">
        <x:v>45931</x:v>
      </x:c>
      <x:c r="D627" t="str">
        <x:v>Entidad financiera B</x:v>
      </x:c>
      <x:c r="E627" t="str">
        <x:v>Crédito de consumo</x:v>
      </x:c>
      <x:c r="F627" t="n">
        <x:v>6780000</x:v>
      </x:c>
      <x:c r="G627" s="40" t="n">
        <x:v>0.2952</x:v>
      </x:c>
      <x:c r="H627" s="40" t="n">
        <x:v>0.021789</x:v>
      </x:c>
      <x:c r="I627" t="n">
        <x:v>36</x:v>
      </x:c>
      <x:c r="J627" t="n">
        <x:v>273700</x:v>
      </x:c>
      <x:c r="K627" t="str">
        <x:v>Bola de nieve</x:v>
      </x:c>
      <x:c r="L627" t="str">
        <x:v>Vigente</x:v>
      </x:c>
      <x:c r="M627" t="n">
        <x:v>5721250.89</x:v>
      </x:c>
      <x:c r="N627"/>
    </x:row>
    <x:row r="628">
      <x:c r="A628" t="str">
        <x:v>DEU-000627</x:v>
      </x:c>
      <x:c r="B628" t="str">
        <x:v>USR-00329</x:v>
      </x:c>
      <x:c r="C628" t="n">
        <x:v>45931</x:v>
      </x:c>
      <x:c r="D628" t="str">
        <x:v>Cooperativa C</x:v>
      </x:c>
      <x:c r="E628" t="str">
        <x:v>Tarjeta de crédito</x:v>
      </x:c>
      <x:c r="F628" t="n">
        <x:v>850000</x:v>
      </x:c>
      <x:c r="G628" s="40" t="n">
        <x:v>0.2418</x:v>
      </x:c>
      <x:c r="H628" s="40" t="n">
        <x:v>0.018211</x:v>
      </x:c>
      <x:c r="I628" t="n">
        <x:v>24</x:v>
      </x:c>
      <x:c r="J628" t="n">
        <x:v>44000</x:v>
      </x:c>
      <x:c r="K628" t="str">
        <x:v>Avalancha</x:v>
      </x:c>
      <x:c r="L628" t="str">
        <x:v>Vigente</x:v>
      </x:c>
      <x:c r="M628" t="n">
        <x:v>482970.81</x:v>
      </x:c>
      <x:c r="N628"/>
    </x:row>
    <x:row r="629">
      <x:c r="A629" t="str">
        <x:v>DEU-000628</x:v>
      </x:c>
      <x:c r="B629" t="str">
        <x:v>USR-00329</x:v>
      </x:c>
      <x:c r="C629" t="n">
        <x:v>45931</x:v>
      </x:c>
      <x:c r="D629" t="str">
        <x:v>Entidad financiera B</x:v>
      </x:c>
      <x:c r="E629" t="str">
        <x:v>Tarjeta de crédito</x:v>
      </x:c>
      <x:c r="F629" t="n">
        <x:v>8070000</x:v>
      </x:c>
      <x:c r="G629" s="40" t="n">
        <x:v>0.2411</x:v>
      </x:c>
      <x:c r="H629" s="40" t="n">
        <x:v>0.018163</x:v>
      </x:c>
      <x:c r="I629" t="n">
        <x:v>18</x:v>
      </x:c>
      <x:c r="J629" t="n">
        <x:v>529600</x:v>
      </x:c>
      <x:c r="K629" t="str">
        <x:v>Bola de nieve</x:v>
      </x:c>
      <x:c r="L629" t="str">
        <x:v>Vigente</x:v>
      </x:c>
      <x:c r="M629" t="n">
        <x:v>4752946.58</x:v>
      </x:c>
      <x:c r="N629"/>
    </x:row>
    <x:row r="630">
      <x:c r="A630" t="str">
        <x:v>DEU-000629</x:v>
      </x:c>
      <x:c r="B630" t="str">
        <x:v>USR-00330</x:v>
      </x:c>
      <x:c r="C630" t="n">
        <x:v>45931</x:v>
      </x:c>
      <x:c r="D630" t="str">
        <x:v>Entidad financiera A</x:v>
      </x:c>
      <x:c r="E630" t="str">
        <x:v>Crédito comercial</x:v>
      </x:c>
      <x:c r="F630" t="n">
        <x:v>32100000</x:v>
      </x:c>
      <x:c r="G630" s="40" t="n">
        <x:v>0.3058</x:v>
      </x:c>
      <x:c r="H630" s="40" t="n">
        <x:v>0.022484</x:v>
      </x:c>
      <x:c r="I630" t="n">
        <x:v>30</x:v>
      </x:c>
      <x:c r="J630" t="n">
        <x:v>1482700</x:v>
      </x:c>
      <x:c r="K630" t="str">
        <x:v>Bola de nieve</x:v>
      </x:c>
      <x:c r="L630" t="str">
        <x:v>Vigente</x:v>
      </x:c>
      <x:c r="M630" t="n">
        <x:v>26880272.57</x:v>
      </x:c>
      <x:c r="N630"/>
    </x:row>
    <x:row r="631">
      <x:c r="A631" t="str">
        <x:v>DEU-000630</x:v>
      </x:c>
      <x:c r="B631" t="str">
        <x:v>USR-00330</x:v>
      </x:c>
      <x:c r="C631" t="n">
        <x:v>45931</x:v>
      </x:c>
      <x:c r="D631" t="str">
        <x:v>Entidad financiera E</x:v>
      </x:c>
      <x:c r="E631" t="str">
        <x:v>Tarjeta de crédito</x:v>
      </x:c>
      <x:c r="F631" t="n">
        <x:v>7840000</x:v>
      </x:c>
      <x:c r="G631" s="40" t="n">
        <x:v>0.1456</x:v>
      </x:c>
      <x:c r="H631" s="40" t="n">
        <x:v>0.011392</x:v>
      </x:c>
      <x:c r="I631" t="n">
        <x:v>48</x:v>
      </x:c>
      <x:c r="J631" t="n">
        <x:v>212900</x:v>
      </x:c>
      <x:c r="K631" t="str">
        <x:v>Avalancha</x:v>
      </x:c>
      <x:c r="L631" t="str">
        <x:v>Vigente</x:v>
      </x:c>
      <x:c r="M631" t="n">
        <x:v>7432132.28</x:v>
      </x:c>
      <x:c r="N631"/>
    </x:row>
    <x:row r="632">
      <x:c r="A632" t="str">
        <x:v>DEU-000631</x:v>
      </x:c>
      <x:c r="B632" t="str">
        <x:v>USR-00331</x:v>
      </x:c>
      <x:c r="C632" t="n">
        <x:v>45931</x:v>
      </x:c>
      <x:c r="D632" t="str">
        <x:v>Entidad financiera E</x:v>
      </x:c>
      <x:c r="E632" t="str">
        <x:v>Crédito de libre inversión</x:v>
      </x:c>
      <x:c r="F632" t="n">
        <x:v>20470000</x:v>
      </x:c>
      <x:c r="G632" s="40" t="n">
        <x:v>0.3267</x:v>
      </x:c>
      <x:c r="H632" s="40" t="n">
        <x:v>0.023838</x:v>
      </x:c>
      <x:c r="I632" t="n">
        <x:v>60</x:v>
      </x:c>
      <x:c r="J632" t="n">
        <x:v>644800</x:v>
      </x:c>
      <x:c r="K632" t="str">
        <x:v>Bola de nieve</x:v>
      </x:c>
      <x:c r="L632" t="str">
        <x:v>Vigente</x:v>
      </x:c>
      <x:c r="M632" t="n">
        <x:v>19217769.66</x:v>
      </x:c>
      <x:c r="N632"/>
    </x:row>
    <x:row r="633">
      <x:c r="A633" t="str">
        <x:v>DEU-000632</x:v>
      </x:c>
      <x:c r="B633" t="str">
        <x:v>USR-00331</x:v>
      </x:c>
      <x:c r="C633" t="n">
        <x:v>45931</x:v>
      </x:c>
      <x:c r="D633" t="str">
        <x:v>Entidad financiera E</x:v>
      </x:c>
      <x:c r="E633" t="str">
        <x:v>Crédito de consumo</x:v>
      </x:c>
      <x:c r="F633" t="n">
        <x:v>11600000</x:v>
      </x:c>
      <x:c r="G633" s="40" t="n">
        <x:v>0.2816</x:v>
      </x:c>
      <x:c r="H633" s="40" t="n">
        <x:v>0.020891</x:v>
      </x:c>
      <x:c r="I633" t="n">
        <x:v>18</x:v>
      </x:c>
      <x:c r="J633" t="n">
        <x:v>779800</x:v>
      </x:c>
      <x:c r="K633" t="str">
        <x:v>Bola de nieve</x:v>
      </x:c>
      <x:c r="L633" t="str">
        <x:v>Vigente</x:v>
      </x:c>
      <x:c r="M633" t="n">
        <x:v>6041494.01</x:v>
      </x:c>
      <x:c r="N633"/>
    </x:row>
    <x:row r="634">
      <x:c r="A634" t="str">
        <x:v>DEU-000633</x:v>
      </x:c>
      <x:c r="B634" t="str">
        <x:v>USR-00332</x:v>
      </x:c>
      <x:c r="C634" t="n">
        <x:v>45931</x:v>
      </x:c>
      <x:c r="D634" t="str">
        <x:v>Cooperativa C</x:v>
      </x:c>
      <x:c r="E634" t="str">
        <x:v>Tarjeta de crédito</x:v>
      </x:c>
      <x:c r="F634" t="n">
        <x:v>8300000</x:v>
      </x:c>
      <x:c r="G634" s="40" t="n">
        <x:v>0.2995</x:v>
      </x:c>
      <x:c r="H634" s="40" t="n">
        <x:v>0.022072</x:v>
      </x:c>
      <x:c r="I634" t="n">
        <x:v>60</x:v>
      </x:c>
      <x:c r="J634" t="n">
        <x:v>250900</x:v>
      </x:c>
      <x:c r="K634" t="str">
        <x:v>Avalancha</x:v>
      </x:c>
      <x:c r="L634" t="str">
        <x:v>Vigente</x:v>
      </x:c>
      <x:c r="M634" t="n">
        <x:v>7932193.86</x:v>
      </x:c>
      <x:c r="N634"/>
    </x:row>
    <x:row r="635">
      <x:c r="A635" t="str">
        <x:v>DEU-000634</x:v>
      </x:c>
      <x:c r="B635" t="str">
        <x:v>USR-00333</x:v>
      </x:c>
      <x:c r="C635" t="n">
        <x:v>45931</x:v>
      </x:c>
      <x:c r="D635" t="str">
        <x:v>Financiera D</x:v>
      </x:c>
      <x:c r="E635" t="str">
        <x:v>Tarjeta de crédito</x:v>
      </x:c>
      <x:c r="F635" t="n">
        <x:v>4860000</x:v>
      </x:c>
      <x:c r="G635" s="40" t="n">
        <x:v>0.2711</x:v>
      </x:c>
      <x:c r="H635" s="40" t="n">
        <x:v>0.020191</x:v>
      </x:c>
      <x:c r="I635" t="n">
        <x:v>18</x:v>
      </x:c>
      <x:c r="J635" t="n">
        <x:v>324700</x:v>
      </x:c>
      <x:c r="K635" t="str">
        <x:v>Bola de nieve</x:v>
      </x:c>
      <x:c r="L635" t="str">
        <x:v>Vigente</x:v>
      </x:c>
      <x:c r="M635" t="n">
        <x:v>3276206.39</x:v>
      </x:c>
      <x:c r="N635"/>
    </x:row>
    <x:row r="636">
      <x:c r="A636" t="str">
        <x:v>DEU-000635</x:v>
      </x:c>
      <x:c r="B636" t="str">
        <x:v>USR-00333</x:v>
      </x:c>
      <x:c r="C636" t="n">
        <x:v>45931</x:v>
      </x:c>
      <x:c r="D636" t="str">
        <x:v>Financiera D</x:v>
      </x:c>
      <x:c r="E636" t="str">
        <x:v>Crédito de libre inversión</x:v>
      </x:c>
      <x:c r="F636" t="n">
        <x:v>9470000</x:v>
      </x:c>
      <x:c r="G636" s="40" t="n">
        <x:v>0.3065</x:v>
      </x:c>
      <x:c r="H636" s="40" t="n">
        <x:v>0.022529</x:v>
      </x:c>
      <x:c r="I636" t="n">
        <x:v>48</x:v>
      </x:c>
      <x:c r="J636" t="n">
        <x:v>324800</x:v>
      </x:c>
      <x:c r="K636" t="str">
        <x:v>Bola de nieve</x:v>
      </x:c>
      <x:c r="L636" t="str">
        <x:v>Vigente</x:v>
      </x:c>
      <x:c r="M636" t="n">
        <x:v>9004018.04</x:v>
      </x:c>
      <x:c r="N636"/>
    </x:row>
    <x:row r="637">
      <x:c r="A637" t="str">
        <x:v>DEU-000636</x:v>
      </x:c>
      <x:c r="B637" t="str">
        <x:v>USR-00334</x:v>
      </x:c>
      <x:c r="C637" t="n">
        <x:v>45931</x:v>
      </x:c>
      <x:c r="D637" t="str">
        <x:v>Entidad financiera E</x:v>
      </x:c>
      <x:c r="E637" t="str">
        <x:v>Crédito de consumo</x:v>
      </x:c>
      <x:c r="F637" t="n">
        <x:v>5740000</x:v>
      </x:c>
      <x:c r="G637" s="40" t="n">
        <x:v>0.3102</x:v>
      </x:c>
      <x:c r="H637" s="40" t="n">
        <x:v>0.02277</x:v>
      </x:c>
      <x:c r="I637" t="n">
        <x:v>30</x:v>
      </x:c>
      <x:c r="J637" t="n">
        <x:v>266200</x:v>
      </x:c>
      <x:c r="K637" t="str">
        <x:v>Avalancha</x:v>
      </x:c>
      <x:c r="L637" t="str">
        <x:v>Vigente</x:v>
      </x:c>
      <x:c r="M637" t="n">
        <x:v>4849284.74</x:v>
      </x:c>
      <x:c r="N637"/>
    </x:row>
    <x:row r="638">
      <x:c r="A638" t="str">
        <x:v>DEU-000637</x:v>
      </x:c>
      <x:c r="B638" t="str">
        <x:v>USR-00335</x:v>
      </x:c>
      <x:c r="C638" t="n">
        <x:v>45931</x:v>
      </x:c>
      <x:c r="D638" t="str">
        <x:v>Cooperativa C</x:v>
      </x:c>
      <x:c r="E638" t="str">
        <x:v>Crédito educativo</x:v>
      </x:c>
      <x:c r="F638" t="n">
        <x:v>20390000</x:v>
      </x:c>
      <x:c r="G638" s="40" t="n">
        <x:v>0.3273</x:v>
      </x:c>
      <x:c r="H638" s="40" t="n">
        <x:v>0.023876</x:v>
      </x:c>
      <x:c r="I638" t="n">
        <x:v>18</x:v>
      </x:c>
      <x:c r="J638" t="n">
        <x:v>1406800</x:v>
      </x:c>
      <x:c r="K638" t="str">
        <x:v>Avalancha</x:v>
      </x:c>
      <x:c r="L638" t="str">
        <x:v>Vigente</x:v>
      </x:c>
      <x:c r="M638" t="n">
        <x:v>9715978.47</x:v>
      </x:c>
      <x:c r="N638"/>
    </x:row>
    <x:row r="639">
      <x:c r="A639" t="str">
        <x:v>DEU-000638</x:v>
      </x:c>
      <x:c r="B639" t="str">
        <x:v>USR-00335</x:v>
      </x:c>
      <x:c r="C639" t="n">
        <x:v>45931</x:v>
      </x:c>
      <x:c r="D639" t="str">
        <x:v>Financiera D</x:v>
      </x:c>
      <x:c r="E639" t="str">
        <x:v>Tarjeta de crédito</x:v>
      </x:c>
      <x:c r="F639" t="n">
        <x:v>1840000</x:v>
      </x:c>
      <x:c r="G639" s="40" t="n">
        <x:v>0.2983</x:v>
      </x:c>
      <x:c r="H639" s="40" t="n">
        <x:v>0.021993</x:v>
      </x:c>
      <x:c r="I639" t="n">
        <x:v>60</x:v>
      </x:c>
      <x:c r="J639" t="n">
        <x:v>55500</x:v>
      </x:c>
      <x:c r="K639" t="str">
        <x:v>Avalancha</x:v>
      </x:c>
      <x:c r="L639" t="str">
        <x:v>Vigente</x:v>
      </x:c>
      <x:c r="M639" t="n">
        <x:v>1794150.36</x:v>
      </x:c>
      <x:c r="N639"/>
    </x:row>
    <x:row r="640">
      <x:c r="A640" t="str">
        <x:v>DEU-000639</x:v>
      </x:c>
      <x:c r="B640" t="str">
        <x:v>USR-00336</x:v>
      </x:c>
      <x:c r="C640" t="n">
        <x:v>45931</x:v>
      </x:c>
      <x:c r="D640" t="str">
        <x:v>Entidad financiera B</x:v>
      </x:c>
      <x:c r="E640" t="str">
        <x:v>Tarjeta de crédito</x:v>
      </x:c>
      <x:c r="F640" t="n">
        <x:v>6060000</x:v>
      </x:c>
      <x:c r="G640" s="40" t="n">
        <x:v>0.2978</x:v>
      </x:c>
      <x:c r="H640" s="40" t="n">
        <x:v>0.02196</x:v>
      </x:c>
      <x:c r="I640" t="n">
        <x:v>48</x:v>
      </x:c>
      <x:c r="J640" t="n">
        <x:v>205500</x:v>
      </x:c>
      <x:c r="K640" t="str">
        <x:v>Avalancha</x:v>
      </x:c>
      <x:c r="L640" t="str">
        <x:v>Vigente</x:v>
      </x:c>
      <x:c r="M640" t="n">
        <x:v>5820121.25</x:v>
      </x:c>
      <x:c r="N640"/>
    </x:row>
    <x:row r="641">
      <x:c r="A641" t="str">
        <x:v>DEU-000640</x:v>
      </x:c>
      <x:c r="B641" t="str">
        <x:v>USR-00336</x:v>
      </x:c>
      <x:c r="C641" t="n">
        <x:v>45931</x:v>
      </x:c>
      <x:c r="D641" t="str">
        <x:v>Cooperativa C</x:v>
      </x:c>
      <x:c r="E641" t="str">
        <x:v>Crédito de libre inversión</x:v>
      </x:c>
      <x:c r="F641" t="n">
        <x:v>1700000</x:v>
      </x:c>
      <x:c r="G641" s="40" t="n">
        <x:v>0.1952</x:v>
      </x:c>
      <x:c r="H641" s="40" t="n">
        <x:v>0.01497</x:v>
      </x:c>
      <x:c r="I641" t="n">
        <x:v>12</x:v>
      </x:c>
      <x:c r="J641" t="n">
        <x:v>155800</x:v>
      </x:c>
      <x:c r="K641" t="str">
        <x:v>Bola de nieve</x:v>
      </x:c>
      <x:c r="L641" t="str">
        <x:v>Pagada</x:v>
      </x:c>
      <x:c r="M641" t="n">
        <x:v>0</x:v>
      </x:c>
      <x:c r="N641" t="n">
        <x:v>46266</x:v>
      </x:c>
    </x:row>
    <x:row r="642">
      <x:c r="A642" t="str">
        <x:v>DEU-000641</x:v>
      </x:c>
      <x:c r="B642" t="str">
        <x:v>USR-00336</x:v>
      </x:c>
      <x:c r="C642" t="n">
        <x:v>45931</x:v>
      </x:c>
      <x:c r="D642" t="str">
        <x:v>Entidad financiera B</x:v>
      </x:c>
      <x:c r="E642" t="str">
        <x:v>Crédito de libre inversión</x:v>
      </x:c>
      <x:c r="F642" t="n">
        <x:v>2730000</x:v>
      </x:c>
      <x:c r="G642" s="40" t="n">
        <x:v>0.1796</x:v>
      </x:c>
      <x:c r="H642" s="40" t="n">
        <x:v>0.01386</x:v>
      </x:c>
      <x:c r="I642" t="n">
        <x:v>12</x:v>
      </x:c>
      <x:c r="J642" t="n">
        <x:v>248500</x:v>
      </x:c>
      <x:c r="K642" t="str">
        <x:v>Avalancha</x:v>
      </x:c>
      <x:c r="L642" t="str">
        <x:v>Vigente</x:v>
      </x:c>
      <x:c r="M642" t="n">
        <x:v>714046.92</x:v>
      </x:c>
      <x:c r="N642"/>
    </x:row>
    <x:row r="643">
      <x:c r="A643" t="str">
        <x:v>DEU-000642</x:v>
      </x:c>
      <x:c r="B643" t="str">
        <x:v>USR-00336</x:v>
      </x:c>
      <x:c r="C643" t="n">
        <x:v>45931</x:v>
      </x:c>
      <x:c r="D643" t="str">
        <x:v>Cooperativa C</x:v>
      </x:c>
      <x:c r="E643" t="str">
        <x:v>Tarjeta de crédito</x:v>
      </x:c>
      <x:c r="F643" t="n">
        <x:v>2860000</x:v>
      </x:c>
      <x:c r="G643" s="40" t="n">
        <x:v>0.2383</x:v>
      </x:c>
      <x:c r="H643" s="40" t="n">
        <x:v>0.017971</x:v>
      </x:c>
      <x:c r="I643" t="n">
        <x:v>36</x:v>
      </x:c>
      <x:c r="J643" t="n">
        <x:v>108600</x:v>
      </x:c>
      <x:c r="K643" t="str">
        <x:v>Avalancha</x:v>
      </x:c>
      <x:c r="L643" t="str">
        <x:v>Vigente</x:v>
      </x:c>
      <x:c r="M643" t="n">
        <x:v>2230276.43</x:v>
      </x:c>
      <x:c r="N643"/>
    </x:row>
    <x:row r="644">
      <x:c r="A644" t="str">
        <x:v>DEU-000643</x:v>
      </x:c>
      <x:c r="B644" t="str">
        <x:v>USR-00336</x:v>
      </x:c>
      <x:c r="C644" t="n">
        <x:v>45931</x:v>
      </x:c>
      <x:c r="D644" t="str">
        <x:v>Financiera D</x:v>
      </x:c>
      <x:c r="E644" t="str">
        <x:v>Crédito de consumo</x:v>
      </x:c>
      <x:c r="F644" t="n">
        <x:v>10680000</x:v>
      </x:c>
      <x:c r="G644" s="40" t="n">
        <x:v>0.2498</x:v>
      </x:c>
      <x:c r="H644" s="40" t="n">
        <x:v>0.018756</x:v>
      </x:c>
      <x:c r="I644" t="n">
        <x:v>24</x:v>
      </x:c>
      <x:c r="J644" t="n">
        <x:v>556700</x:v>
      </x:c>
      <x:c r="K644" t="str">
        <x:v>Avalancha</x:v>
      </x:c>
      <x:c r="L644" t="str">
        <x:v>Vigente</x:v>
      </x:c>
      <x:c r="M644" t="n">
        <x:v>7262978.99</x:v>
      </x:c>
      <x:c r="N644"/>
    </x:row>
    <x:row r="645">
      <x:c r="A645" t="str">
        <x:v>DEU-000644</x:v>
      </x:c>
      <x:c r="B645" t="str">
        <x:v>USR-00337</x:v>
      </x:c>
      <x:c r="C645" t="n">
        <x:v>45931</x:v>
      </x:c>
      <x:c r="D645" t="str">
        <x:v>Financiera D</x:v>
      </x:c>
      <x:c r="E645" t="str">
        <x:v>Tarjeta de crédito</x:v>
      </x:c>
      <x:c r="F645" t="n">
        <x:v>4060000</x:v>
      </x:c>
      <x:c r="G645" s="40" t="n">
        <x:v>0.2933</x:v>
      </x:c>
      <x:c r="H645" s="40" t="n">
        <x:v>0.021664</x:v>
      </x:c>
      <x:c r="I645" t="n">
        <x:v>12</x:v>
      </x:c>
      <x:c r="J645" t="n">
        <x:v>387800</x:v>
      </x:c>
      <x:c r="K645" t="str">
        <x:v>Avalancha</x:v>
      </x:c>
      <x:c r="L645" t="str">
        <x:v>Vigente</x:v>
      </x:c>
      <x:c r="M645" t="n">
        <x:v>1987974.01</x:v>
      </x:c>
      <x:c r="N645"/>
    </x:row>
    <x:row r="646">
      <x:c r="A646" t="str">
        <x:v>DEU-000645</x:v>
      </x:c>
      <x:c r="B646" t="str">
        <x:v>USR-00337</x:v>
      </x:c>
      <x:c r="C646" t="n">
        <x:v>45931</x:v>
      </x:c>
      <x:c r="D646" t="str">
        <x:v>Cooperativa C</x:v>
      </x:c>
      <x:c r="E646" t="str">
        <x:v>Crédito de consumo</x:v>
      </x:c>
      <x:c r="F646" t="n">
        <x:v>11150000</x:v>
      </x:c>
      <x:c r="G646" s="40" t="n">
        <x:v>0.2888</x:v>
      </x:c>
      <x:c r="H646" s="40" t="n">
        <x:v>0.021368</x:v>
      </x:c>
      <x:c r="I646" t="n">
        <x:v>30</x:v>
      </x:c>
      <x:c r="J646" t="n">
        <x:v>507300</x:v>
      </x:c>
      <x:c r="K646" t="str">
        <x:v>Avalancha</x:v>
      </x:c>
      <x:c r="L646" t="str">
        <x:v>Vigente</x:v>
      </x:c>
      <x:c r="M646" t="n">
        <x:v>10053812.92</x:v>
      </x:c>
      <x:c r="N646"/>
    </x:row>
    <x:row r="647">
      <x:c r="A647" t="str">
        <x:v>DEU-000646</x:v>
      </x:c>
      <x:c r="B647" t="str">
        <x:v>USR-00338</x:v>
      </x:c>
      <x:c r="C647" t="n">
        <x:v>45931</x:v>
      </x:c>
      <x:c r="D647" t="str">
        <x:v>Entidad financiera B</x:v>
      </x:c>
      <x:c r="E647" t="str">
        <x:v>Tarjeta de crédito</x:v>
      </x:c>
      <x:c r="F647" t="n">
        <x:v>8400000</x:v>
      </x:c>
      <x:c r="G647" s="40" t="n">
        <x:v>0.1443</x:v>
      </x:c>
      <x:c r="H647" s="40" t="n">
        <x:v>0.011296</x:v>
      </x:c>
      <x:c r="I647" t="n">
        <x:v>36</x:v>
      </x:c>
      <x:c r="J647" t="n">
        <x:v>285300</x:v>
      </x:c>
      <x:c r="K647" t="str">
        <x:v>Avalancha</x:v>
      </x:c>
      <x:c r="L647" t="str">
        <x:v>Vigente</x:v>
      </x:c>
      <x:c r="M647" t="n">
        <x:v>5997549.97</x:v>
      </x:c>
      <x:c r="N647"/>
    </x:row>
    <x:row r="648">
      <x:c r="A648" t="str">
        <x:v>DEU-000647</x:v>
      </x:c>
      <x:c r="B648" t="str">
        <x:v>USR-00338</x:v>
      </x:c>
      <x:c r="C648" t="n">
        <x:v>45931</x:v>
      </x:c>
      <x:c r="D648" t="str">
        <x:v>Entidad financiera A</x:v>
      </x:c>
      <x:c r="E648" t="str">
        <x:v>Tarjeta de crédito</x:v>
      </x:c>
      <x:c r="F648" t="n">
        <x:v>5070000</x:v>
      </x:c>
      <x:c r="G648" s="40" t="n">
        <x:v>0.2424</x:v>
      </x:c>
      <x:c r="H648" s="40" t="n">
        <x:v>0.018252</x:v>
      </x:c>
      <x:c r="I648" t="n">
        <x:v>18</x:v>
      </x:c>
      <x:c r="J648" t="n">
        <x:v>333000</x:v>
      </x:c>
      <x:c r="K648" t="str">
        <x:v>Bola de nieve</x:v>
      </x:c>
      <x:c r="L648" t="str">
        <x:v>Vigente</x:v>
      </x:c>
      <x:c r="M648" t="n">
        <x:v>3392413.06</x:v>
      </x:c>
      <x:c r="N648"/>
    </x:row>
    <x:row r="649">
      <x:c r="A649" t="str">
        <x:v>DEU-000648</x:v>
      </x:c>
      <x:c r="B649" t="str">
        <x:v>USR-00339</x:v>
      </x:c>
      <x:c r="C649" t="n">
        <x:v>45931</x:v>
      </x:c>
      <x:c r="D649" t="str">
        <x:v>Entidad financiera B</x:v>
      </x:c>
      <x:c r="E649" t="str">
        <x:v>Tarjeta de crédito</x:v>
      </x:c>
      <x:c r="F649" t="n">
        <x:v>3610000</x:v>
      </x:c>
      <x:c r="G649" s="40" t="n">
        <x:v>0.1429</x:v>
      </x:c>
      <x:c r="H649" s="40" t="n">
        <x:v>0.011193</x:v>
      </x:c>
      <x:c r="I649" t="n">
        <x:v>30</x:v>
      </x:c>
      <x:c r="J649" t="n">
        <x:v>142300</x:v>
      </x:c>
      <x:c r="K649" t="str">
        <x:v>Bola de nieve</x:v>
      </x:c>
      <x:c r="L649" t="str">
        <x:v>Vigente</x:v>
      </x:c>
      <x:c r="M649" t="n">
        <x:v>2554951.33</x:v>
      </x:c>
      <x:c r="N649"/>
    </x:row>
    <x:row r="650">
      <x:c r="A650" t="str">
        <x:v>DEU-000649</x:v>
      </x:c>
      <x:c r="B650" t="str">
        <x:v>USR-00339</x:v>
      </x:c>
      <x:c r="C650" t="n">
        <x:v>45931</x:v>
      </x:c>
      <x:c r="D650" t="str">
        <x:v>Entidad financiera E</x:v>
      </x:c>
      <x:c r="E650" t="str">
        <x:v>Tarjeta de crédito</x:v>
      </x:c>
      <x:c r="F650" t="n">
        <x:v>6580000</x:v>
      </x:c>
      <x:c r="G650" s="40" t="n">
        <x:v>0.139</x:v>
      </x:c>
      <x:c r="H650" s="40" t="n">
        <x:v>0.010905</x:v>
      </x:c>
      <x:c r="I650" t="n">
        <x:v>24</x:v>
      </x:c>
      <x:c r="J650" t="n">
        <x:v>313100</x:v>
      </x:c>
      <x:c r="K650" t="str">
        <x:v>Bola de nieve</x:v>
      </x:c>
      <x:c r="L650" t="str">
        <x:v>Vigente</x:v>
      </x:c>
      <x:c r="M650" t="n">
        <x:v>4636031.96</x:v>
      </x:c>
      <x:c r="N650"/>
    </x:row>
    <x:row r="651">
      <x:c r="A651" t="str">
        <x:v>DEU-000650</x:v>
      </x:c>
      <x:c r="B651" t="str">
        <x:v>USR-00340</x:v>
      </x:c>
      <x:c r="C651" t="n">
        <x:v>45931</x:v>
      </x:c>
      <x:c r="D651" t="str">
        <x:v>Entidad financiera E</x:v>
      </x:c>
      <x:c r="E651" t="str">
        <x:v>Crédito de libre inversión</x:v>
      </x:c>
      <x:c r="F651" t="n">
        <x:v>4520000</x:v>
      </x:c>
      <x:c r="G651" s="40" t="n">
        <x:v>0.3208</x:v>
      </x:c>
      <x:c r="H651" s="40" t="n">
        <x:v>0.023457</x:v>
      </x:c>
      <x:c r="I651" t="n">
        <x:v>30</x:v>
      </x:c>
      <x:c r="J651" t="n">
        <x:v>211500</x:v>
      </x:c>
      <x:c r="K651" t="str">
        <x:v>Avalancha</x:v>
      </x:c>
      <x:c r="L651" t="str">
        <x:v>Vigente</x:v>
      </x:c>
      <x:c r="M651" t="n">
        <x:v>4237764.43</x:v>
      </x:c>
      <x:c r="N651"/>
    </x:row>
    <x:row r="652">
      <x:c r="A652" t="str">
        <x:v>DEU-000651</x:v>
      </x:c>
      <x:c r="B652" t="str">
        <x:v>USR-00341</x:v>
      </x:c>
      <x:c r="C652" t="n">
        <x:v>45931</x:v>
      </x:c>
      <x:c r="D652" t="str">
        <x:v>Financiera D</x:v>
      </x:c>
      <x:c r="E652" t="str">
        <x:v>Crédito de vehículo</x:v>
      </x:c>
      <x:c r="F652" t="n">
        <x:v>50710000</x:v>
      </x:c>
      <x:c r="G652" s="40" t="n">
        <x:v>0.1126</x:v>
      </x:c>
      <x:c r="H652" s="40" t="n">
        <x:v>0.008931</x:v>
      </x:c>
      <x:c r="I652" t="n">
        <x:v>18</x:v>
      </x:c>
      <x:c r="J652" t="n">
        <x:v>3062300</x:v>
      </x:c>
      <x:c r="K652" t="str">
        <x:v>Avalancha</x:v>
      </x:c>
      <x:c r="L652" t="str">
        <x:v>Vigente</x:v>
      </x:c>
      <x:c r="M652" t="n">
        <x:v>28445473.1</x:v>
      </x:c>
      <x:c r="N652"/>
    </x:row>
    <x:row r="653">
      <x:c r="A653" t="str">
        <x:v>DEU-000652</x:v>
      </x:c>
      <x:c r="B653" t="str">
        <x:v>USR-00341</x:v>
      </x:c>
      <x:c r="C653" t="n">
        <x:v>45931</x:v>
      </x:c>
      <x:c r="D653" t="str">
        <x:v>Financiera D</x:v>
      </x:c>
      <x:c r="E653" t="str">
        <x:v>Crédito de consumo</x:v>
      </x:c>
      <x:c r="F653" t="n">
        <x:v>2430000</x:v>
      </x:c>
      <x:c r="G653" s="40" t="n">
        <x:v>0.1319</x:v>
      </x:c>
      <x:c r="H653" s="40" t="n">
        <x:v>0.010378</x:v>
      </x:c>
      <x:c r="I653" t="n">
        <x:v>18</x:v>
      </x:c>
      <x:c r="J653" t="n">
        <x:v>148700</x:v>
      </x:c>
      <x:c r="K653" t="str">
        <x:v>Bola de nieve</x:v>
      </x:c>
      <x:c r="L653" t="str">
        <x:v>Vigente</x:v>
      </x:c>
      <x:c r="M653" t="n">
        <x:v>588767.56</x:v>
      </x:c>
      <x:c r="N653"/>
    </x:row>
    <x:row r="654">
      <x:c r="A654" t="str">
        <x:v>DEU-000653</x:v>
      </x:c>
      <x:c r="B654" t="str">
        <x:v>USR-00342</x:v>
      </x:c>
      <x:c r="C654" t="n">
        <x:v>45931</x:v>
      </x:c>
      <x:c r="D654" t="str">
        <x:v>Entidad financiera B</x:v>
      </x:c>
      <x:c r="E654" t="str">
        <x:v>Crédito de consumo</x:v>
      </x:c>
      <x:c r="F654" t="n">
        <x:v>18630000</x:v>
      </x:c>
      <x:c r="G654" s="40" t="n">
        <x:v>0.1173</x:v>
      </x:c>
      <x:c r="H654" s="40" t="n">
        <x:v>0.009286</x:v>
      </x:c>
      <x:c r="I654" t="n">
        <x:v>24</x:v>
      </x:c>
      <x:c r="J654" t="n">
        <x:v>869500</x:v>
      </x:c>
      <x:c r="K654" t="str">
        <x:v>Bola de nieve</x:v>
      </x:c>
      <x:c r="L654" t="str">
        <x:v>Vigente</x:v>
      </x:c>
      <x:c r="M654" t="n">
        <x:v>16882763.85</x:v>
      </x:c>
      <x:c r="N654"/>
    </x:row>
    <x:row r="655">
      <x:c r="A655" t="str">
        <x:v>DEU-000654</x:v>
      </x:c>
      <x:c r="B655" t="str">
        <x:v>USR-00342</x:v>
      </x:c>
      <x:c r="C655" t="n">
        <x:v>45931</x:v>
      </x:c>
      <x:c r="D655" t="str">
        <x:v>Cooperativa C</x:v>
      </x:c>
      <x:c r="E655" t="str">
        <x:v>Crédito de vehículo</x:v>
      </x:c>
      <x:c r="F655" t="n">
        <x:v>11520000</x:v>
      </x:c>
      <x:c r="G655" s="40" t="n">
        <x:v>0.3318</x:v>
      </x:c>
      <x:c r="H655" s="40" t="n">
        <x:v>0.024165</x:v>
      </x:c>
      <x:c r="I655" t="n">
        <x:v>48</x:v>
      </x:c>
      <x:c r="J655" t="n">
        <x:v>408100</x:v>
      </x:c>
      <x:c r="K655" t="str">
        <x:v>Bola de nieve</x:v>
      </x:c>
      <x:c r="L655" t="str">
        <x:v>Vigente</x:v>
      </x:c>
      <x:c r="M655" t="n">
        <x:v>11503351.38</x:v>
      </x:c>
      <x:c r="N655"/>
    </x:row>
    <x:row r="656">
      <x:c r="A656" t="str">
        <x:v>DEU-000655</x:v>
      </x:c>
      <x:c r="B656" t="str">
        <x:v>USR-00343</x:v>
      </x:c>
      <x:c r="C656" t="n">
        <x:v>45931</x:v>
      </x:c>
      <x:c r="D656" t="str">
        <x:v>Entidad financiera E</x:v>
      </x:c>
      <x:c r="E656" t="str">
        <x:v>Tarjeta de crédito</x:v>
      </x:c>
      <x:c r="F656" t="n">
        <x:v>8020000</x:v>
      </x:c>
      <x:c r="G656" s="40" t="n">
        <x:v>0.3225</x:v>
      </x:c>
      <x:c r="H656" s="40" t="n">
        <x:v>0.023567</x:v>
      </x:c>
      <x:c r="I656" t="n">
        <x:v>12</x:v>
      </x:c>
      <x:c r="J656" t="n">
        <x:v>775100</x:v>
      </x:c>
      <x:c r="K656" t="str">
        <x:v>Avalancha</x:v>
      </x:c>
      <x:c r="L656" t="str">
        <x:v>Vigente</x:v>
      </x:c>
      <x:c r="M656" t="n">
        <x:v>3861053.73</x:v>
      </x:c>
      <x:c r="N656"/>
    </x:row>
    <x:row r="657">
      <x:c r="A657" t="str">
        <x:v>DEU-000656</x:v>
      </x:c>
      <x:c r="B657" t="str">
        <x:v>USR-00343</x:v>
      </x:c>
      <x:c r="C657" t="n">
        <x:v>45931</x:v>
      </x:c>
      <x:c r="D657" t="str">
        <x:v>Entidad financiera E</x:v>
      </x:c>
      <x:c r="E657" t="str">
        <x:v>Crédito de consumo</x:v>
      </x:c>
      <x:c r="F657" t="n">
        <x:v>15970000</x:v>
      </x:c>
      <x:c r="G657" s="40" t="n">
        <x:v>0.1139</x:v>
      </x:c>
      <x:c r="H657" s="40" t="n">
        <x:v>0.009029</x:v>
      </x:c>
      <x:c r="I657" t="n">
        <x:v>24</x:v>
      </x:c>
      <x:c r="J657" t="n">
        <x:v>743100</x:v>
      </x:c>
      <x:c r="K657" t="str">
        <x:v>Avalancha</x:v>
      </x:c>
      <x:c r="L657" t="str">
        <x:v>Vigente</x:v>
      </x:c>
      <x:c r="M657" t="n">
        <x:v>9282281.19</x:v>
      </x:c>
      <x:c r="N657"/>
    </x:row>
    <x:row r="658">
      <x:c r="A658" t="str">
        <x:v>DEU-000657</x:v>
      </x:c>
      <x:c r="B658" t="str">
        <x:v>USR-00344</x:v>
      </x:c>
      <x:c r="C658" t="n">
        <x:v>45931</x:v>
      </x:c>
      <x:c r="D658" t="str">
        <x:v>Entidad financiera A</x:v>
      </x:c>
      <x:c r="E658" t="str">
        <x:v>Crédito de consumo</x:v>
      </x:c>
      <x:c r="F658" t="n">
        <x:v>8590000</x:v>
      </x:c>
      <x:c r="G658" s="40" t="n">
        <x:v>0.3376</x:v>
      </x:c>
      <x:c r="H658" s="40" t="n">
        <x:v>0.024536</x:v>
      </x:c>
      <x:c r="I658" t="n">
        <x:v>30</x:v>
      </x:c>
      <x:c r="J658" t="n">
        <x:v>407900</x:v>
      </x:c>
      <x:c r="K658" t="str">
        <x:v>Avalancha</x:v>
      </x:c>
      <x:c r="L658" t="str">
        <x:v>Vigente</x:v>
      </x:c>
      <x:c r="M658" t="n">
        <x:v>6131318.48</x:v>
      </x:c>
      <x:c r="N658"/>
    </x:row>
    <x:row r="659">
      <x:c r="A659" t="str">
        <x:v>DEU-000658</x:v>
      </x:c>
      <x:c r="B659" t="str">
        <x:v>USR-00344</x:v>
      </x:c>
      <x:c r="C659" t="n">
        <x:v>45931</x:v>
      </x:c>
      <x:c r="D659" t="str">
        <x:v>Entidad financiera A</x:v>
      </x:c>
      <x:c r="E659" t="str">
        <x:v>Tarjeta de crédito</x:v>
      </x:c>
      <x:c r="F659" t="n">
        <x:v>4600000</x:v>
      </x:c>
      <x:c r="G659" s="40" t="n">
        <x:v>0.2238</x:v>
      </x:c>
      <x:c r="H659" s="40" t="n">
        <x:v>0.016972</x:v>
      </x:c>
      <x:c r="I659" t="n">
        <x:v>60</x:v>
      </x:c>
      <x:c r="J659" t="n">
        <x:v>122800</x:v>
      </x:c>
      <x:c r="K659" t="str">
        <x:v>Avalancha</x:v>
      </x:c>
      <x:c r="L659" t="str">
        <x:v>Vigente</x:v>
      </x:c>
      <x:c r="M659" t="n">
        <x:v>4467158.59</x:v>
      </x:c>
      <x:c r="N659"/>
    </x:row>
    <x:row r="660">
      <x:c r="A660" t="str">
        <x:v>DEU-000659</x:v>
      </x:c>
      <x:c r="B660" t="str">
        <x:v>USR-00344</x:v>
      </x:c>
      <x:c r="C660" t="n">
        <x:v>45931</x:v>
      </x:c>
      <x:c r="D660" t="str">
        <x:v>Cooperativa C</x:v>
      </x:c>
      <x:c r="E660" t="str">
        <x:v>Tarjeta de crédito</x:v>
      </x:c>
      <x:c r="F660" t="n">
        <x:v>2710000</x:v>
      </x:c>
      <x:c r="G660" s="40" t="n">
        <x:v>0.2888</x:v>
      </x:c>
      <x:c r="H660" s="40" t="n">
        <x:v>0.021368</x:v>
      </x:c>
      <x:c r="I660" t="n">
        <x:v>36</x:v>
      </x:c>
      <x:c r="J660" t="n">
        <x:v>108700</x:v>
      </x:c>
      <x:c r="K660" t="str">
        <x:v>Avalancha</x:v>
      </x:c>
      <x:c r="L660" t="str">
        <x:v>Vigente</x:v>
      </x:c>
      <x:c r="M660" t="n">
        <x:v>2483373.72</x:v>
      </x:c>
      <x:c r="N660"/>
    </x:row>
    <x:row r="661">
      <x:c r="A661" t="str">
        <x:v>DEU-000660</x:v>
      </x:c>
      <x:c r="B661" t="str">
        <x:v>USR-00344</x:v>
      </x:c>
      <x:c r="C661" t="n">
        <x:v>45931</x:v>
      </x:c>
      <x:c r="D661" t="str">
        <x:v>Financiera D</x:v>
      </x:c>
      <x:c r="E661" t="str">
        <x:v>Crédito educativo</x:v>
      </x:c>
      <x:c r="F661" t="n">
        <x:v>3770000</x:v>
      </x:c>
      <x:c r="G661" s="40" t="n">
        <x:v>0.139</x:v>
      </x:c>
      <x:c r="H661" s="40" t="n">
        <x:v>0.010905</x:v>
      </x:c>
      <x:c r="I661" t="n">
        <x:v>30</x:v>
      </x:c>
      <x:c r="J661" t="n">
        <x:v>148000</x:v>
      </x:c>
      <x:c r="K661" t="str">
        <x:v>Bola de nieve</x:v>
      </x:c>
      <x:c r="L661" t="str">
        <x:v>Vigente</x:v>
      </x:c>
      <x:c r="M661" t="n">
        <x:v>3156759.41</x:v>
      </x:c>
      <x:c r="N661"/>
    </x:row>
    <x:row r="662">
      <x:c r="A662" t="str">
        <x:v>DEU-000661</x:v>
      </x:c>
      <x:c r="B662" t="str">
        <x:v>USR-00344</x:v>
      </x:c>
      <x:c r="C662" t="n">
        <x:v>45931</x:v>
      </x:c>
      <x:c r="D662" t="str">
        <x:v>Entidad financiera A</x:v>
      </x:c>
      <x:c r="E662" t="str">
        <x:v>Crédito de consumo</x:v>
      </x:c>
      <x:c r="F662" t="n">
        <x:v>18630000</x:v>
      </x:c>
      <x:c r="G662" s="40" t="n">
        <x:v>0.1605</x:v>
      </x:c>
      <x:c r="H662" s="40" t="n">
        <x:v>0.012481</x:v>
      </x:c>
      <x:c r="I662" t="n">
        <x:v>18</x:v>
      </x:c>
      <x:c r="J662" t="n">
        <x:v>1162000</x:v>
      </x:c>
      <x:c r="K662" t="str">
        <x:v>Avalancha</x:v>
      </x:c>
      <x:c r="L662" t="str">
        <x:v>Vigente</x:v>
      </x:c>
      <x:c r="M662" t="n">
        <x:v>13649987.88</x:v>
      </x:c>
      <x:c r="N662"/>
    </x:row>
    <x:row r="663">
      <x:c r="A663" t="str">
        <x:v>DEU-000662</x:v>
      </x:c>
      <x:c r="B663" t="str">
        <x:v>USR-00345</x:v>
      </x:c>
      <x:c r="C663" t="n">
        <x:v>45931</x:v>
      </x:c>
      <x:c r="D663" t="str">
        <x:v>Entidad financiera B</x:v>
      </x:c>
      <x:c r="E663" t="str">
        <x:v>Crédito de libre inversión</x:v>
      </x:c>
      <x:c r="F663" t="n">
        <x:v>3070000</x:v>
      </x:c>
      <x:c r="G663" s="40" t="n">
        <x:v>0.1358</x:v>
      </x:c>
      <x:c r="H663" s="40" t="n">
        <x:v>0.010668</x:v>
      </x:c>
      <x:c r="I663" t="n">
        <x:v>60</x:v>
      </x:c>
      <x:c r="J663" t="n">
        <x:v>69500</x:v>
      </x:c>
      <x:c r="K663" t="str">
        <x:v>Avalancha</x:v>
      </x:c>
      <x:c r="L663" t="str">
        <x:v>Vigente</x:v>
      </x:c>
      <x:c r="M663" t="n">
        <x:v>2916345.52</x:v>
      </x:c>
      <x:c r="N663"/>
    </x:row>
    <x:row r="664">
      <x:c r="A664" t="str">
        <x:v>DEU-000663</x:v>
      </x:c>
      <x:c r="B664" t="str">
        <x:v>USR-00346</x:v>
      </x:c>
      <x:c r="C664" t="n">
        <x:v>45931</x:v>
      </x:c>
      <x:c r="D664" t="str">
        <x:v>Entidad financiera E</x:v>
      </x:c>
      <x:c r="E664" t="str">
        <x:v>Crédito de libre inversión</x:v>
      </x:c>
      <x:c r="F664" t="n">
        <x:v>5560000</x:v>
      </x:c>
      <x:c r="G664" s="40" t="n">
        <x:v>0.1064</x:v>
      </x:c>
      <x:c r="H664" s="40" t="n">
        <x:v>0.008462</x:v>
      </x:c>
      <x:c r="I664" t="n">
        <x:v>36</x:v>
      </x:c>
      <x:c r="J664" t="n">
        <x:v>179800</x:v>
      </x:c>
      <x:c r="K664" t="str">
        <x:v>Bola de nieve</x:v>
      </x:c>
      <x:c r="L664" t="str">
        <x:v>Vigente</x:v>
      </x:c>
      <x:c r="M664" t="n">
        <x:v>3967678.36</x:v>
      </x:c>
      <x:c r="N664"/>
    </x:row>
    <x:row r="665">
      <x:c r="A665" t="str">
        <x:v>DEU-000664</x:v>
      </x:c>
      <x:c r="B665" t="str">
        <x:v>USR-00347</x:v>
      </x:c>
      <x:c r="C665" t="n">
        <x:v>45931</x:v>
      </x:c>
      <x:c r="D665" t="str">
        <x:v>Financiera D</x:v>
      </x:c>
      <x:c r="E665" t="str">
        <x:v>Crédito de consumo</x:v>
      </x:c>
      <x:c r="F665" t="n">
        <x:v>9480000</x:v>
      </x:c>
      <x:c r="G665" s="40" t="n">
        <x:v>0.2524</x:v>
      </x:c>
      <x:c r="H665" s="40" t="n">
        <x:v>0.018932</x:v>
      </x:c>
      <x:c r="I665" t="n">
        <x:v>36</x:v>
      </x:c>
      <x:c r="J665" t="n">
        <x:v>365600</x:v>
      </x:c>
      <x:c r="K665" t="str">
        <x:v>Avalancha</x:v>
      </x:c>
      <x:c r="L665" t="str">
        <x:v>Vigente</x:v>
      </x:c>
      <x:c r="M665" t="n">
        <x:v>8971800.76</x:v>
      </x:c>
      <x:c r="N665"/>
    </x:row>
    <x:row r="666">
      <x:c r="A666" t="str">
        <x:v>DEU-000665</x:v>
      </x:c>
      <x:c r="B666" t="str">
        <x:v>USR-00348</x:v>
      </x:c>
      <x:c r="C666" t="n">
        <x:v>45931</x:v>
      </x:c>
      <x:c r="D666" t="str">
        <x:v>Entidad financiera A</x:v>
      </x:c>
      <x:c r="E666" t="str">
        <x:v>Crédito de consumo</x:v>
      </x:c>
      <x:c r="F666" t="n">
        <x:v>10870000</x:v>
      </x:c>
      <x:c r="G666" s="40" t="n">
        <x:v>0.2338</x:v>
      </x:c>
      <x:c r="H666" s="40" t="n">
        <x:v>0.017662</x:v>
      </x:c>
      <x:c r="I666" t="n">
        <x:v>60</x:v>
      </x:c>
      <x:c r="J666" t="n">
        <x:v>295300</x:v>
      </x:c>
      <x:c r="K666" t="str">
        <x:v>Bola de nieve</x:v>
      </x:c>
      <x:c r="L666" t="str">
        <x:v>Vigente</x:v>
      </x:c>
      <x:c r="M666" t="n">
        <x:v>11253409.08</x:v>
      </x:c>
      <x:c r="N666"/>
    </x:row>
    <x:row r="667">
      <x:c r="A667" t="str">
        <x:v>DEU-000666</x:v>
      </x:c>
      <x:c r="B667" t="str">
        <x:v>USR-00349</x:v>
      </x:c>
      <x:c r="C667" t="n">
        <x:v>45931</x:v>
      </x:c>
      <x:c r="D667" t="str">
        <x:v>Entidad financiera A</x:v>
      </x:c>
      <x:c r="E667" t="str">
        <x:v>Tarjeta de crédito</x:v>
      </x:c>
      <x:c r="F667" t="n">
        <x:v>6910000</x:v>
      </x:c>
      <x:c r="G667" s="40" t="n">
        <x:v>0.2427</x:v>
      </x:c>
      <x:c r="H667" s="40" t="n">
        <x:v>0.018272</x:v>
      </x:c>
      <x:c r="I667" t="n">
        <x:v>24</x:v>
      </x:c>
      <x:c r="J667" t="n">
        <x:v>358200</x:v>
      </x:c>
      <x:c r="K667" t="str">
        <x:v>Avalancha</x:v>
      </x:c>
      <x:c r="L667" t="str">
        <x:v>Vigente</x:v>
      </x:c>
      <x:c r="M667" t="n">
        <x:v>5355957.02</x:v>
      </x:c>
      <x:c r="N667"/>
    </x:row>
    <x:row r="668">
      <x:c r="A668" t="str">
        <x:v>DEU-000667</x:v>
      </x:c>
      <x:c r="B668" t="str">
        <x:v>USR-00350</x:v>
      </x:c>
      <x:c r="C668" t="n">
        <x:v>45931</x:v>
      </x:c>
      <x:c r="D668" t="str">
        <x:v>Entidad financiera B</x:v>
      </x:c>
      <x:c r="E668" t="str">
        <x:v>Tarjeta de crédito</x:v>
      </x:c>
      <x:c r="F668" t="n">
        <x:v>4020000</x:v>
      </x:c>
      <x:c r="G668" s="40" t="n">
        <x:v>0.1145</x:v>
      </x:c>
      <x:c r="H668" s="40" t="n">
        <x:v>0.009075</x:v>
      </x:c>
      <x:c r="I668" t="n">
        <x:v>18</x:v>
      </x:c>
      <x:c r="J668" t="n">
        <x:v>243100</x:v>
      </x:c>
      <x:c r="K668" t="str">
        <x:v>Avalancha</x:v>
      </x:c>
      <x:c r="L668" t="str">
        <x:v>Vigente</x:v>
      </x:c>
      <x:c r="M668" t="n">
        <x:v>3898792.05</x:v>
      </x:c>
      <x:c r="N668"/>
    </x:row>
    <x:row r="669">
      <x:c r="A669" t="str">
        <x:v>DEU-000668</x:v>
      </x:c>
      <x:c r="B669" t="str">
        <x:v>USR-00350</x:v>
      </x:c>
      <x:c r="C669" t="n">
        <x:v>45931</x:v>
      </x:c>
      <x:c r="D669" t="str">
        <x:v>Entidad financiera B</x:v>
      </x:c>
      <x:c r="E669" t="str">
        <x:v>Crédito de consumo</x:v>
      </x:c>
      <x:c r="F669" t="n">
        <x:v>4940000</x:v>
      </x:c>
      <x:c r="G669" s="40" t="n">
        <x:v>0.2391</x:v>
      </x:c>
      <x:c r="H669" s="40" t="n">
        <x:v>0.018026</x:v>
      </x:c>
      <x:c r="I669" t="n">
        <x:v>30</x:v>
      </x:c>
      <x:c r="J669" t="n">
        <x:v>214600</x:v>
      </x:c>
      <x:c r="K669" t="str">
        <x:v>Avalancha</x:v>
      </x:c>
      <x:c r="L669" t="str">
        <x:v>Vigente</x:v>
      </x:c>
      <x:c r="M669" t="n">
        <x:v>4868453.09</x:v>
      </x:c>
      <x:c r="N669"/>
    </x:row>
    <x:row r="670">
      <x:c r="A670" t="str">
        <x:v>DEU-000669</x:v>
      </x:c>
      <x:c r="B670" t="str">
        <x:v>USR-00350</x:v>
      </x:c>
      <x:c r="C670" t="n">
        <x:v>45931</x:v>
      </x:c>
      <x:c r="D670" t="str">
        <x:v>Entidad financiera E</x:v>
      </x:c>
      <x:c r="E670" t="str">
        <x:v>Tarjeta de crédito</x:v>
      </x:c>
      <x:c r="F670" t="n">
        <x:v>6410000</x:v>
      </x:c>
      <x:c r="G670" s="40" t="n">
        <x:v>0.3204</x:v>
      </x:c>
      <x:c r="H670" s="40" t="n">
        <x:v>0.023432</x:v>
      </x:c>
      <x:c r="I670" t="n">
        <x:v>36</x:v>
      </x:c>
      <x:c r="J670" t="n">
        <x:v>265500</x:v>
      </x:c>
      <x:c r="K670" t="str">
        <x:v>Avalancha</x:v>
      </x:c>
      <x:c r="L670" t="str">
        <x:v>Vigente</x:v>
      </x:c>
      <x:c r="M670" t="n">
        <x:v>6176690.48</x:v>
      </x:c>
      <x:c r="N670"/>
    </x:row>
    <x:row r="671">
      <x:c r="A671" t="str">
        <x:v>DEU-000670</x:v>
      </x:c>
      <x:c r="B671" t="str">
        <x:v>USR-00350</x:v>
      </x:c>
      <x:c r="C671" t="n">
        <x:v>45931</x:v>
      </x:c>
      <x:c r="D671" t="str">
        <x:v>Financiera D</x:v>
      </x:c>
      <x:c r="E671" t="str">
        <x:v>Crédito educativo</x:v>
      </x:c>
      <x:c r="F671" t="n">
        <x:v>23620000</x:v>
      </x:c>
      <x:c r="G671" s="40" t="n">
        <x:v>0.2383</x:v>
      </x:c>
      <x:c r="H671" s="40" t="n">
        <x:v>0.017971</x:v>
      </x:c>
      <x:c r="I671" t="n">
        <x:v>24</x:v>
      </x:c>
      <x:c r="J671" t="n">
        <x:v>1220300</x:v>
      </x:c>
      <x:c r="K671" t="str">
        <x:v>Avalancha</x:v>
      </x:c>
      <x:c r="L671" t="str">
        <x:v>Vigente</x:v>
      </x:c>
      <x:c r="M671" t="n">
        <x:v>22071868.71</x:v>
      </x:c>
      <x:c r="N671"/>
    </x:row>
    <x:row r="672">
      <x:c r="A672" t="str">
        <x:v>DEU-000671</x:v>
      </x:c>
      <x:c r="B672" t="str">
        <x:v>USR-00350</x:v>
      </x:c>
      <x:c r="C672" t="n">
        <x:v>45931</x:v>
      </x:c>
      <x:c r="D672" t="str">
        <x:v>Cooperativa C</x:v>
      </x:c>
      <x:c r="E672" t="str">
        <x:v>Crédito de libre inversión</x:v>
      </x:c>
      <x:c r="F672" t="n">
        <x:v>18320000</x:v>
      </x:c>
      <x:c r="G672" s="40" t="n">
        <x:v>0.1786</x:v>
      </x:c>
      <x:c r="H672" s="40" t="n">
        <x:v>0.013788</x:v>
      </x:c>
      <x:c r="I672" t="n">
        <x:v>24</x:v>
      </x:c>
      <x:c r="J672" t="n">
        <x:v>901800</x:v>
      </x:c>
      <x:c r="K672" t="str">
        <x:v>Bola de nieve</x:v>
      </x:c>
      <x:c r="L672" t="str">
        <x:v>Vigente</x:v>
      </x:c>
      <x:c r="M672" t="n">
        <x:v>16744633.28</x:v>
      </x:c>
      <x:c r="N672"/>
    </x:row>
    <x:row r="673">
      <x:c r="A673" t="str">
        <x:v>DEU-000672</x:v>
      </x:c>
      <x:c r="B673" t="str">
        <x:v>USR-00351</x:v>
      </x:c>
      <x:c r="C673" t="n">
        <x:v>45931</x:v>
      </x:c>
      <x:c r="D673" t="str">
        <x:v>Entidad financiera B</x:v>
      </x:c>
      <x:c r="E673" t="str">
        <x:v>Crédito de consumo</x:v>
      </x:c>
      <x:c r="F673" t="n">
        <x:v>3250000</x:v>
      </x:c>
      <x:c r="G673" s="40" t="n">
        <x:v>0.1532</x:v>
      </x:c>
      <x:c r="H673" s="40" t="n">
        <x:v>0.011949</x:v>
      </x:c>
      <x:c r="I673" t="n">
        <x:v>12</x:v>
      </x:c>
      <x:c r="J673" t="n">
        <x:v>292300</x:v>
      </x:c>
      <x:c r="K673" t="str">
        <x:v>Bola de nieve</x:v>
      </x:c>
      <x:c r="L673" t="str">
        <x:v>Vigente</x:v>
      </x:c>
      <x:c r="M673" t="n">
        <x:v>1473371.03</x:v>
      </x:c>
      <x:c r="N673"/>
    </x:row>
    <x:row r="674">
      <x:c r="A674" t="str">
        <x:v>DEU-000673</x:v>
      </x:c>
      <x:c r="B674" t="str">
        <x:v>USR-00351</x:v>
      </x:c>
      <x:c r="C674" t="n">
        <x:v>45931</x:v>
      </x:c>
      <x:c r="D674" t="str">
        <x:v>Entidad financiera B</x:v>
      </x:c>
      <x:c r="E674" t="str">
        <x:v>Tarjeta de crédito</x:v>
      </x:c>
      <x:c r="F674" t="n">
        <x:v>4780000</x:v>
      </x:c>
      <x:c r="G674" s="40" t="n">
        <x:v>0.2655</x:v>
      </x:c>
      <x:c r="H674" s="40" t="n">
        <x:v>0.019816</x:v>
      </x:c>
      <x:c r="I674" t="n">
        <x:v>18</x:v>
      </x:c>
      <x:c r="J674" t="n">
        <x:v>318300</x:v>
      </x:c>
      <x:c r="K674" t="str">
        <x:v>Bola de nieve</x:v>
      </x:c>
      <x:c r="L674" t="str">
        <x:v>Vigente</x:v>
      </x:c>
      <x:c r="M674" t="n">
        <x:v>1831773.2</x:v>
      </x:c>
      <x:c r="N674"/>
    </x:row>
    <x:row r="675">
      <x:c r="A675" t="str">
        <x:v>DEU-000674</x:v>
      </x:c>
      <x:c r="B675" t="str">
        <x:v>USR-00352</x:v>
      </x:c>
      <x:c r="C675" t="n">
        <x:v>45931</x:v>
      </x:c>
      <x:c r="D675" t="str">
        <x:v>Entidad financiera E</x:v>
      </x:c>
      <x:c r="E675" t="str">
        <x:v>Tarjeta de crédito</x:v>
      </x:c>
      <x:c r="F675" t="n">
        <x:v>5750000</x:v>
      </x:c>
      <x:c r="G675" s="40" t="n">
        <x:v>0.2009</x:v>
      </x:c>
      <x:c r="H675" s="40" t="n">
        <x:v>0.015373</x:v>
      </x:c>
      <x:c r="I675" t="n">
        <x:v>12</x:v>
      </x:c>
      <x:c r="J675" t="n">
        <x:v>528400</x:v>
      </x:c>
      <x:c r="K675" t="str">
        <x:v>Bola de nieve</x:v>
      </x:c>
      <x:c r="L675" t="str">
        <x:v>Vigente</x:v>
      </x:c>
      <x:c r="M675" t="n">
        <x:v>2199948.95</x:v>
      </x:c>
      <x:c r="N675"/>
    </x:row>
    <x:row r="676">
      <x:c r="A676" t="str">
        <x:v>DEU-000675</x:v>
      </x:c>
      <x:c r="B676" t="str">
        <x:v>USR-00353</x:v>
      </x:c>
      <x:c r="C676" t="n">
        <x:v>45931</x:v>
      </x:c>
      <x:c r="D676" t="str">
        <x:v>Entidad financiera A</x:v>
      </x:c>
      <x:c r="E676" t="str">
        <x:v>Tarjeta de crédito</x:v>
      </x:c>
      <x:c r="F676" t="n">
        <x:v>3660000</x:v>
      </x:c>
      <x:c r="G676" s="40" t="n">
        <x:v>0.1385</x:v>
      </x:c>
      <x:c r="H676" s="40" t="n">
        <x:v>0.010868</x:v>
      </x:c>
      <x:c r="I676" t="n">
        <x:v>12</x:v>
      </x:c>
      <x:c r="J676" t="n">
        <x:v>327000</x:v>
      </x:c>
      <x:c r="K676" t="str">
        <x:v>Avalancha</x:v>
      </x:c>
      <x:c r="L676" t="str">
        <x:v>Vigente</x:v>
      </x:c>
      <x:c r="M676" t="n">
        <x:v>1235035.83</x:v>
      </x:c>
      <x:c r="N676"/>
    </x:row>
    <x:row r="677">
      <x:c r="A677" t="str">
        <x:v>DEU-000676</x:v>
      </x:c>
      <x:c r="B677" t="str">
        <x:v>USR-00354</x:v>
      </x:c>
      <x:c r="C677" t="n">
        <x:v>45931</x:v>
      </x:c>
      <x:c r="D677" t="str">
        <x:v>Financiera D</x:v>
      </x:c>
      <x:c r="E677" t="str">
        <x:v>Crédito educativo</x:v>
      </x:c>
      <x:c r="F677" t="n">
        <x:v>22490000</x:v>
      </x:c>
      <x:c r="G677" s="40" t="n">
        <x:v>0.3425</x:v>
      </x:c>
      <x:c r="H677" s="40" t="n">
        <x:v>0.024848</x:v>
      </x:c>
      <x:c r="I677" t="n">
        <x:v>48</x:v>
      </x:c>
      <x:c r="J677" t="n">
        <x:v>807400</x:v>
      </x:c>
      <x:c r="K677" t="str">
        <x:v>Avalancha</x:v>
      </x:c>
      <x:c r="L677" t="str">
        <x:v>Vigente</x:v>
      </x:c>
      <x:c r="M677" t="n">
        <x:v>21152702.7</x:v>
      </x:c>
      <x:c r="N677"/>
    </x:row>
    <x:row r="678">
      <x:c r="A678" t="str">
        <x:v>DEU-000677</x:v>
      </x:c>
      <x:c r="B678" t="str">
        <x:v>USR-00354</x:v>
      </x:c>
      <x:c r="C678" t="n">
        <x:v>45931</x:v>
      </x:c>
      <x:c r="D678" t="str">
        <x:v>Financiera D</x:v>
      </x:c>
      <x:c r="E678" t="str">
        <x:v>Crédito educativo</x:v>
      </x:c>
      <x:c r="F678" t="n">
        <x:v>4460000</x:v>
      </x:c>
      <x:c r="G678" s="40" t="n">
        <x:v>0.2304</x:v>
      </x:c>
      <x:c r="H678" s="40" t="n">
        <x:v>0.017428</x:v>
      </x:c>
      <x:c r="I678" t="n">
        <x:v>36</x:v>
      </x:c>
      <x:c r="J678" t="n">
        <x:v>167800</x:v>
      </x:c>
      <x:c r="K678" t="str">
        <x:v>Bola de nieve</x:v>
      </x:c>
      <x:c r="L678" t="str">
        <x:v>Vigente</x:v>
      </x:c>
      <x:c r="M678" t="n">
        <x:v>3705455.74</x:v>
      </x:c>
      <x:c r="N678"/>
    </x:row>
    <x:row r="679">
      <x:c r="A679" t="str">
        <x:v>DEU-000678</x:v>
      </x:c>
      <x:c r="B679" t="str">
        <x:v>USR-00354</x:v>
      </x:c>
      <x:c r="C679" t="n">
        <x:v>45931</x:v>
      </x:c>
      <x:c r="D679" t="str">
        <x:v>Entidad financiera B</x:v>
      </x:c>
      <x:c r="E679" t="str">
        <x:v>Crédito de vehículo</x:v>
      </x:c>
      <x:c r="F679" t="n">
        <x:v>33580000</x:v>
      </x:c>
      <x:c r="G679" s="40" t="n">
        <x:v>0.3096</x:v>
      </x:c>
      <x:c r="H679" s="40" t="n">
        <x:v>0.022731</x:v>
      </x:c>
      <x:c r="I679" t="n">
        <x:v>18</x:v>
      </x:c>
      <x:c r="J679" t="n">
        <x:v>2294000</x:v>
      </x:c>
      <x:c r="K679" t="str">
        <x:v>Bola de nieve</x:v>
      </x:c>
      <x:c r="L679" t="str">
        <x:v>Vigente</x:v>
      </x:c>
      <x:c r="M679" t="n">
        <x:v>13172548.61</x:v>
      </x:c>
      <x:c r="N679"/>
    </x:row>
    <x:row r="680">
      <x:c r="A680" t="str">
        <x:v>DEU-000679</x:v>
      </x:c>
      <x:c r="B680" t="str">
        <x:v>USR-00355</x:v>
      </x:c>
      <x:c r="C680" t="n">
        <x:v>45931</x:v>
      </x:c>
      <x:c r="D680" t="str">
        <x:v>Entidad financiera E</x:v>
      </x:c>
      <x:c r="E680" t="str">
        <x:v>Tarjeta de crédito</x:v>
      </x:c>
      <x:c r="F680" t="n">
        <x:v>5340000</x:v>
      </x:c>
      <x:c r="G680" s="40" t="n">
        <x:v>0.3368</x:v>
      </x:c>
      <x:c r="H680" s="40" t="n">
        <x:v>0.024485</x:v>
      </x:c>
      <x:c r="I680" t="n">
        <x:v>12</x:v>
      </x:c>
      <x:c r="J680" t="n">
        <x:v>519000</x:v>
      </x:c>
      <x:c r="K680" t="str">
        <x:v>Bola de nieve</x:v>
      </x:c>
      <x:c r="L680" t="str">
        <x:v>Vigente</x:v>
      </x:c>
      <x:c r="M680" t="n">
        <x:v>1521693.46</x:v>
      </x:c>
      <x:c r="N680"/>
    </x:row>
    <x:row r="681">
      <x:c r="A681" t="str">
        <x:v>DEU-000680</x:v>
      </x:c>
      <x:c r="B681" t="str">
        <x:v>USR-00355</x:v>
      </x:c>
      <x:c r="C681" t="n">
        <x:v>45931</x:v>
      </x:c>
      <x:c r="D681" t="str">
        <x:v>Entidad financiera A</x:v>
      </x:c>
      <x:c r="E681" t="str">
        <x:v>Tarjeta de crédito</x:v>
      </x:c>
      <x:c r="F681" t="n">
        <x:v>3620000</x:v>
      </x:c>
      <x:c r="G681" s="40" t="n">
        <x:v>0.3364</x:v>
      </x:c>
      <x:c r="H681" s="40" t="n">
        <x:v>0.024459</x:v>
      </x:c>
      <x:c r="I681" t="n">
        <x:v>24</x:v>
      </x:c>
      <x:c r="J681" t="n">
        <x:v>201200</x:v>
      </x:c>
      <x:c r="K681" t="str">
        <x:v>Bola de nieve</x:v>
      </x:c>
      <x:c r="L681" t="str">
        <x:v>Vigente</x:v>
      </x:c>
      <x:c r="M681" t="n">
        <x:v>2657780.92</x:v>
      </x:c>
      <x:c r="N681"/>
    </x:row>
    <x:row r="682">
      <x:c r="A682" t="str">
        <x:v>DEU-000681</x:v>
      </x:c>
      <x:c r="B682" t="str">
        <x:v>USR-00356</x:v>
      </x:c>
      <x:c r="C682" t="n">
        <x:v>45931</x:v>
      </x:c>
      <x:c r="D682" t="str">
        <x:v>Financiera D</x:v>
      </x:c>
      <x:c r="E682" t="str">
        <x:v>Crédito de libre inversión</x:v>
      </x:c>
      <x:c r="F682" t="n">
        <x:v>12820000</x:v>
      </x:c>
      <x:c r="G682" s="40" t="n">
        <x:v>0.1991</x:v>
      </x:c>
      <x:c r="H682" s="40" t="n">
        <x:v>0.015246</x:v>
      </x:c>
      <x:c r="I682" t="n">
        <x:v>18</x:v>
      </x:c>
      <x:c r="J682" t="n">
        <x:v>819800</x:v>
      </x:c>
      <x:c r="K682" t="str">
        <x:v>Bola de nieve</x:v>
      </x:c>
      <x:c r="L682" t="str">
        <x:v>Vigente</x:v>
      </x:c>
      <x:c r="M682" t="n">
        <x:v>10058919.29</x:v>
      </x:c>
      <x:c r="N682"/>
    </x:row>
    <x:row r="683">
      <x:c r="A683" t="str">
        <x:v>DEU-000682</x:v>
      </x:c>
      <x:c r="B683" t="str">
        <x:v>USR-00356</x:v>
      </x:c>
      <x:c r="C683" t="n">
        <x:v>45931</x:v>
      </x:c>
      <x:c r="D683" t="str">
        <x:v>Entidad financiera A</x:v>
      </x:c>
      <x:c r="E683" t="str">
        <x:v>Crédito de consumo</x:v>
      </x:c>
      <x:c r="F683" t="n">
        <x:v>9490000</x:v>
      </x:c>
      <x:c r="G683" s="40" t="n">
        <x:v>0.2172</x:v>
      </x:c>
      <x:c r="H683" s="40" t="n">
        <x:v>0.016514</x:v>
      </x:c>
      <x:c r="I683" t="n">
        <x:v>18</x:v>
      </x:c>
      <x:c r="J683" t="n">
        <x:v>613800</x:v>
      </x:c>
      <x:c r="K683" t="str">
        <x:v>Avalancha</x:v>
      </x:c>
      <x:c r="L683" t="str">
        <x:v>Vigente</x:v>
      </x:c>
      <x:c r="M683" t="n">
        <x:v>6598134.17</x:v>
      </x:c>
      <x:c r="N683"/>
    </x:row>
    <x:row r="684">
      <x:c r="A684" t="str">
        <x:v>DEU-000683</x:v>
      </x:c>
      <x:c r="B684" t="str">
        <x:v>USR-00013</x:v>
      </x:c>
      <x:c r="C684" t="n">
        <x:v>45962</x:v>
      </x:c>
      <x:c r="D684" t="str">
        <x:v>Entidad financiera E</x:v>
      </x:c>
      <x:c r="E684" t="str">
        <x:v>Tarjeta de crédito</x:v>
      </x:c>
      <x:c r="F684" t="n">
        <x:v>4470000</x:v>
      </x:c>
      <x:c r="G684" s="40" t="n">
        <x:v>0.1299</x:v>
      </x:c>
      <x:c r="H684" s="40" t="n">
        <x:v>0.010229</x:v>
      </x:c>
      <x:c r="I684" t="n">
        <x:v>24</x:v>
      </x:c>
      <x:c r="J684" t="n">
        <x:v>211000</x:v>
      </x:c>
      <x:c r="K684" t="str">
        <x:v>Avalancha</x:v>
      </x:c>
      <x:c r="L684" t="str">
        <x:v>Vigente</x:v>
      </x:c>
      <x:c r="M684" t="n">
        <x:v>2908682.74</x:v>
      </x:c>
      <x:c r="N684"/>
    </x:row>
    <x:row r="685">
      <x:c r="A685" t="str">
        <x:v>DEU-000684</x:v>
      </x:c>
      <x:c r="B685" t="str">
        <x:v>USR-00067</x:v>
      </x:c>
      <x:c r="C685" t="n">
        <x:v>45962</x:v>
      </x:c>
      <x:c r="D685" t="str">
        <x:v>Entidad financiera B</x:v>
      </x:c>
      <x:c r="E685" t="str">
        <x:v>Crédito de libre inversión</x:v>
      </x:c>
      <x:c r="F685" t="n">
        <x:v>10760000</x:v>
      </x:c>
      <x:c r="G685" s="40" t="n">
        <x:v>0.1552</x:v>
      </x:c>
      <x:c r="H685" s="40" t="n">
        <x:v>0.012095</x:v>
      </x:c>
      <x:c r="I685" t="n">
        <x:v>24</x:v>
      </x:c>
      <x:c r="J685" t="n">
        <x:v>519200</x:v>
      </x:c>
      <x:c r="K685" t="str">
        <x:v>Bola de nieve</x:v>
      </x:c>
      <x:c r="L685" t="str">
        <x:v>Vigente</x:v>
      </x:c>
      <x:c r="M685" t="n">
        <x:v>6826377.85</x:v>
      </x:c>
      <x:c r="N685"/>
    </x:row>
    <x:row r="686">
      <x:c r="A686" t="str">
        <x:v>DEU-000685</x:v>
      </x:c>
      <x:c r="B686" t="str">
        <x:v>USR-00155</x:v>
      </x:c>
      <x:c r="C686" t="n">
        <x:v>45962</x:v>
      </x:c>
      <x:c r="D686" t="str">
        <x:v>Cooperativa C</x:v>
      </x:c>
      <x:c r="E686" t="str">
        <x:v>Crédito de consumo</x:v>
      </x:c>
      <x:c r="F686" t="n">
        <x:v>2580000</x:v>
      </x:c>
      <x:c r="G686" s="40" t="n">
        <x:v>0.236</x:v>
      </x:c>
      <x:c r="H686" s="40" t="n">
        <x:v>0.017813</x:v>
      </x:c>
      <x:c r="I686" t="n">
        <x:v>48</x:v>
      </x:c>
      <x:c r="J686" t="n">
        <x:v>80400</x:v>
      </x:c>
      <x:c r="K686" t="str">
        <x:v>Avalancha</x:v>
      </x:c>
      <x:c r="L686" t="str">
        <x:v>Vigente</x:v>
      </x:c>
      <x:c r="M686" t="n">
        <x:v>2277176.45</x:v>
      </x:c>
      <x:c r="N686"/>
    </x:row>
    <x:row r="687">
      <x:c r="A687" t="str">
        <x:v>DEU-000686</x:v>
      </x:c>
      <x:c r="B687" t="str">
        <x:v>USR-00265</x:v>
      </x:c>
      <x:c r="C687" t="n">
        <x:v>45962</x:v>
      </x:c>
      <x:c r="D687" t="str">
        <x:v>Entidad financiera E</x:v>
      </x:c>
      <x:c r="E687" t="str">
        <x:v>Crédito de consumo</x:v>
      </x:c>
      <x:c r="F687" t="n">
        <x:v>5250000</x:v>
      </x:c>
      <x:c r="G687" s="40" t="n">
        <x:v>0.3309</x:v>
      </x:c>
      <x:c r="H687" s="40" t="n">
        <x:v>0.024107</x:v>
      </x:c>
      <x:c r="I687" t="n">
        <x:v>60</x:v>
      </x:c>
      <x:c r="J687" t="n">
        <x:v>166400</x:v>
      </x:c>
      <x:c r="K687" t="str">
        <x:v>Avalancha</x:v>
      </x:c>
      <x:c r="L687" t="str">
        <x:v>Vigente</x:v>
      </x:c>
      <x:c r="M687" t="n">
        <x:v>5272864.16</x:v>
      </x:c>
      <x:c r="N687"/>
    </x:row>
    <x:row r="688">
      <x:c r="A688" t="str">
        <x:v>DEU-000687</x:v>
      </x:c>
      <x:c r="B688" t="str">
        <x:v>USR-00357</x:v>
      </x:c>
      <x:c r="C688" t="n">
        <x:v>45962</x:v>
      </x:c>
      <x:c r="D688" t="str">
        <x:v>Cooperativa C</x:v>
      </x:c>
      <x:c r="E688" t="str">
        <x:v>Crédito de libre inversión</x:v>
      </x:c>
      <x:c r="F688" t="n">
        <x:v>3220000</x:v>
      </x:c>
      <x:c r="G688" s="40" t="n">
        <x:v>0.2176</x:v>
      </x:c>
      <x:c r="H688" s="40" t="n">
        <x:v>0.016542</x:v>
      </x:c>
      <x:c r="I688" t="n">
        <x:v>30</x:v>
      </x:c>
      <x:c r="J688" t="n">
        <x:v>137000</x:v>
      </x:c>
      <x:c r="K688" t="str">
        <x:v>Bola de nieve</x:v>
      </x:c>
      <x:c r="L688" t="str">
        <x:v>Vigente</x:v>
      </x:c>
      <x:c r="M688" t="n">
        <x:v>2577781.4</x:v>
      </x:c>
      <x:c r="N688"/>
    </x:row>
    <x:row r="689">
      <x:c r="A689" t="str">
        <x:v>DEU-000688</x:v>
      </x:c>
      <x:c r="B689" t="str">
        <x:v>USR-00357</x:v>
      </x:c>
      <x:c r="C689" t="n">
        <x:v>45962</x:v>
      </x:c>
      <x:c r="D689" t="str">
        <x:v>Financiera D</x:v>
      </x:c>
      <x:c r="E689" t="str">
        <x:v>Crédito educativo</x:v>
      </x:c>
      <x:c r="F689" t="n">
        <x:v>20070000</x:v>
      </x:c>
      <x:c r="G689" s="40" t="n">
        <x:v>0.246</x:v>
      </x:c>
      <x:c r="H689" s="40" t="n">
        <x:v>0.018497</x:v>
      </x:c>
      <x:c r="I689" t="n">
        <x:v>60</x:v>
      </x:c>
      <x:c r="J689" t="n">
        <x:v>556600</x:v>
      </x:c>
      <x:c r="K689" t="str">
        <x:v>Avalancha</x:v>
      </x:c>
      <x:c r="L689" t="str">
        <x:v>Vigente</x:v>
      </x:c>
      <x:c r="M689" t="n">
        <x:v>19170518.46</x:v>
      </x:c>
      <x:c r="N689"/>
    </x:row>
    <x:row r="690">
      <x:c r="A690" t="str">
        <x:v>DEU-000689</x:v>
      </x:c>
      <x:c r="B690" t="str">
        <x:v>USR-00358</x:v>
      </x:c>
      <x:c r="C690" t="n">
        <x:v>45962</x:v>
      </x:c>
      <x:c r="D690" t="str">
        <x:v>Cooperativa C</x:v>
      </x:c>
      <x:c r="E690" t="str">
        <x:v>Tarjeta de crédito</x:v>
      </x:c>
      <x:c r="F690" t="n">
        <x:v>6790000</x:v>
      </x:c>
      <x:c r="G690" s="40" t="n">
        <x:v>0.2267</x:v>
      </x:c>
      <x:c r="H690" s="40" t="n">
        <x:v>0.017173</x:v>
      </x:c>
      <x:c r="I690" t="n">
        <x:v>60</x:v>
      </x:c>
      <x:c r="J690" t="n">
        <x:v>182200</x:v>
      </x:c>
      <x:c r="K690" t="str">
        <x:v>Bola de nieve</x:v>
      </x:c>
      <x:c r="L690" t="str">
        <x:v>Vigente</x:v>
      </x:c>
      <x:c r="M690" t="n">
        <x:v>6667625.04</x:v>
      </x:c>
      <x:c r="N690"/>
    </x:row>
    <x:row r="691">
      <x:c r="A691" t="str">
        <x:v>DEU-000690</x:v>
      </x:c>
      <x:c r="B691" t="str">
        <x:v>USR-00359</x:v>
      </x:c>
      <x:c r="C691" t="n">
        <x:v>45962</x:v>
      </x:c>
      <x:c r="D691" t="str">
        <x:v>Cooperativa C</x:v>
      </x:c>
      <x:c r="E691" t="str">
        <x:v>Crédito de consumo</x:v>
      </x:c>
      <x:c r="F691" t="n">
        <x:v>6000000</x:v>
      </x:c>
      <x:c r="G691" s="40" t="n">
        <x:v>0.2698</x:v>
      </x:c>
      <x:c r="H691" s="40" t="n">
        <x:v>0.020104</x:v>
      </x:c>
      <x:c r="I691" t="n">
        <x:v>36</x:v>
      </x:c>
      <x:c r="J691" t="n">
        <x:v>235800</x:v>
      </x:c>
      <x:c r="K691" t="str">
        <x:v>Bola de nieve</x:v>
      </x:c>
      <x:c r="L691" t="str">
        <x:v>Vigente</x:v>
      </x:c>
      <x:c r="M691" t="n">
        <x:v>4757823.74</x:v>
      </x:c>
      <x:c r="N691"/>
    </x:row>
    <x:row r="692">
      <x:c r="A692" t="str">
        <x:v>DEU-000691</x:v>
      </x:c>
      <x:c r="B692" t="str">
        <x:v>USR-00360</x:v>
      </x:c>
      <x:c r="C692" t="n">
        <x:v>45962</x:v>
      </x:c>
      <x:c r="D692" t="str">
        <x:v>Entidad financiera E</x:v>
      </x:c>
      <x:c r="E692" t="str">
        <x:v>Crédito educativo</x:v>
      </x:c>
      <x:c r="F692" t="n">
        <x:v>8490000</x:v>
      </x:c>
      <x:c r="G692" s="40" t="n">
        <x:v>0.2602</x:v>
      </x:c>
      <x:c r="H692" s="40" t="n">
        <x:v>0.019459</x:v>
      </x:c>
      <x:c r="I692" t="n">
        <x:v>30</x:v>
      </x:c>
      <x:c r="J692" t="n">
        <x:v>376300</x:v>
      </x:c>
      <x:c r="K692" t="str">
        <x:v>Avalancha</x:v>
      </x:c>
      <x:c r="L692" t="str">
        <x:v>Vigente</x:v>
      </x:c>
      <x:c r="M692" t="n">
        <x:v>7548425.4</x:v>
      </x:c>
      <x:c r="N692"/>
    </x:row>
    <x:row r="693">
      <x:c r="A693" t="str">
        <x:v>DEU-000692</x:v>
      </x:c>
      <x:c r="B693" t="str">
        <x:v>USR-00360</x:v>
      </x:c>
      <x:c r="C693" t="n">
        <x:v>45962</x:v>
      </x:c>
      <x:c r="D693" t="str">
        <x:v>Cooperativa C</x:v>
      </x:c>
      <x:c r="E693" t="str">
        <x:v>Crédito de consumo</x:v>
      </x:c>
      <x:c r="F693" t="n">
        <x:v>13320000</x:v>
      </x:c>
      <x:c r="G693" s="40" t="n">
        <x:v>0.3132</x:v>
      </x:c>
      <x:c r="H693" s="40" t="n">
        <x:v>0.022965</x:v>
      </x:c>
      <x:c r="I693" t="n">
        <x:v>18</x:v>
      </x:c>
      <x:c r="J693" t="n">
        <x:v>911800</x:v>
      </x:c>
      <x:c r="K693" t="str">
        <x:v>Avalancha</x:v>
      </x:c>
      <x:c r="L693" t="str">
        <x:v>Vigente</x:v>
      </x:c>
      <x:c r="M693" t="n">
        <x:v>7687219.6</x:v>
      </x:c>
      <x:c r="N693"/>
    </x:row>
    <x:row r="694">
      <x:c r="A694" t="str">
        <x:v>DEU-000693</x:v>
      </x:c>
      <x:c r="B694" t="str">
        <x:v>USR-00361</x:v>
      </x:c>
      <x:c r="C694" t="n">
        <x:v>45962</x:v>
      </x:c>
      <x:c r="D694" t="str">
        <x:v>Entidad financiera E</x:v>
      </x:c>
      <x:c r="E694" t="str">
        <x:v>Tarjeta de crédito</x:v>
      </x:c>
      <x:c r="F694" t="n">
        <x:v>4780000</x:v>
      </x:c>
      <x:c r="G694" s="40" t="n">
        <x:v>0.1316</x:v>
      </x:c>
      <x:c r="H694" s="40" t="n">
        <x:v>0.010356</x:v>
      </x:c>
      <x:c r="I694" t="n">
        <x:v>36</x:v>
      </x:c>
      <x:c r="J694" t="n">
        <x:v>159700</x:v>
      </x:c>
      <x:c r="K694" t="str">
        <x:v>Bola de nieve</x:v>
      </x:c>
      <x:c r="L694" t="str">
        <x:v>Vigente</x:v>
      </x:c>
      <x:c r="M694" t="n">
        <x:v>3941904.1</x:v>
      </x:c>
      <x:c r="N694"/>
    </x:row>
    <x:row r="695">
      <x:c r="A695" t="str">
        <x:v>DEU-000694</x:v>
      </x:c>
      <x:c r="B695" t="str">
        <x:v>USR-00361</x:v>
      </x:c>
      <x:c r="C695" t="n">
        <x:v>45962</x:v>
      </x:c>
      <x:c r="D695" t="str">
        <x:v>Financiera D</x:v>
      </x:c>
      <x:c r="E695" t="str">
        <x:v>Crédito de consumo</x:v>
      </x:c>
      <x:c r="F695" t="n">
        <x:v>11720000</x:v>
      </x:c>
      <x:c r="G695" s="40" t="n">
        <x:v>0.2616</x:v>
      </x:c>
      <x:c r="H695" s="40" t="n">
        <x:v>0.019554</x:v>
      </x:c>
      <x:c r="I695" t="n">
        <x:v>48</x:v>
      </x:c>
      <x:c r="J695" t="n">
        <x:v>378600</x:v>
      </x:c>
      <x:c r="K695" t="str">
        <x:v>Avalancha</x:v>
      </x:c>
      <x:c r="L695" t="str">
        <x:v>Vigente</x:v>
      </x:c>
      <x:c r="M695" t="n">
        <x:v>11555075.67</x:v>
      </x:c>
      <x:c r="N695"/>
    </x:row>
    <x:row r="696">
      <x:c r="A696" t="str">
        <x:v>DEU-000695</x:v>
      </x:c>
      <x:c r="B696" t="str">
        <x:v>USR-00362</x:v>
      </x:c>
      <x:c r="C696" t="n">
        <x:v>45962</x:v>
      </x:c>
      <x:c r="D696" t="str">
        <x:v>Entidad financiera B</x:v>
      </x:c>
      <x:c r="E696" t="str">
        <x:v>Crédito comercial</x:v>
      </x:c>
      <x:c r="F696" t="n">
        <x:v>17740000</x:v>
      </x:c>
      <x:c r="G696" s="40" t="n">
        <x:v>0.2808</x:v>
      </x:c>
      <x:c r="H696" s="40" t="n">
        <x:v>0.020838</x:v>
      </x:c>
      <x:c r="I696" t="n">
        <x:v>60</x:v>
      </x:c>
      <x:c r="J696" t="n">
        <x:v>520700</x:v>
      </x:c>
      <x:c r="K696" t="str">
        <x:v>Avalancha</x:v>
      </x:c>
      <x:c r="L696" t="str">
        <x:v>Vigente</x:v>
      </x:c>
      <x:c r="M696" t="n">
        <x:v>18499554.87</x:v>
      </x:c>
      <x:c r="N696"/>
    </x:row>
    <x:row r="697">
      <x:c r="A697" t="str">
        <x:v>DEU-000696</x:v>
      </x:c>
      <x:c r="B697" t="str">
        <x:v>USR-00363</x:v>
      </x:c>
      <x:c r="C697" t="n">
        <x:v>45962</x:v>
      </x:c>
      <x:c r="D697" t="str">
        <x:v>Cooperativa C</x:v>
      </x:c>
      <x:c r="E697" t="str">
        <x:v>Tarjeta de crédito</x:v>
      </x:c>
      <x:c r="F697" t="n">
        <x:v>3840000</x:v>
      </x:c>
      <x:c r="G697" s="40" t="n">
        <x:v>0.1497</x:v>
      </x:c>
      <x:c r="H697" s="40" t="n">
        <x:v>0.011693</x:v>
      </x:c>
      <x:c r="I697" t="n">
        <x:v>60</x:v>
      </x:c>
      <x:c r="J697" t="n">
        <x:v>89400</x:v>
      </x:c>
      <x:c r="K697" t="str">
        <x:v>Bola de nieve</x:v>
      </x:c>
      <x:c r="L697" t="str">
        <x:v>Vigente</x:v>
      </x:c>
      <x:c r="M697" t="n">
        <x:v>3519659.44</x:v>
      </x:c>
      <x:c r="N697"/>
    </x:row>
    <x:row r="698">
      <x:c r="A698" t="str">
        <x:v>DEU-000697</x:v>
      </x:c>
      <x:c r="B698" t="str">
        <x:v>USR-00363</x:v>
      </x:c>
      <x:c r="C698" t="n">
        <x:v>45962</x:v>
      </x:c>
      <x:c r="D698" t="str">
        <x:v>Entidad financiera B</x:v>
      </x:c>
      <x:c r="E698" t="str">
        <x:v>Tarjeta de crédito</x:v>
      </x:c>
      <x:c r="F698" t="n">
        <x:v>7460000</x:v>
      </x:c>
      <x:c r="G698" s="40" t="n">
        <x:v>0.2534</x:v>
      </x:c>
      <x:c r="H698" s="40" t="n">
        <x:v>0.019</x:v>
      </x:c>
      <x:c r="I698" t="n">
        <x:v>24</x:v>
      </x:c>
      <x:c r="J698" t="n">
        <x:v>390000</x:v>
      </x:c>
      <x:c r="K698" t="str">
        <x:v>Avalancha</x:v>
      </x:c>
      <x:c r="L698" t="str">
        <x:v>Vigente</x:v>
      </x:c>
      <x:c r="M698" t="n">
        <x:v>5672349.75</x:v>
      </x:c>
      <x:c r="N698"/>
    </x:row>
    <x:row r="699">
      <x:c r="A699" t="str">
        <x:v>DEU-000698</x:v>
      </x:c>
      <x:c r="B699" t="str">
        <x:v>USR-00364</x:v>
      </x:c>
      <x:c r="C699" t="n">
        <x:v>45962</x:v>
      </x:c>
      <x:c r="D699" t="str">
        <x:v>Cooperativa C</x:v>
      </x:c>
      <x:c r="E699" t="str">
        <x:v>Crédito de consumo</x:v>
      </x:c>
      <x:c r="F699" t="n">
        <x:v>8780000</x:v>
      </x:c>
      <x:c r="G699" s="40" t="n">
        <x:v>0.2548</x:v>
      </x:c>
      <x:c r="H699" s="40" t="n">
        <x:v>0.019095</x:v>
      </x:c>
      <x:c r="I699" t="n">
        <x:v>48</x:v>
      </x:c>
      <x:c r="J699" t="n">
        <x:v>281000</x:v>
      </x:c>
      <x:c r="K699" t="str">
        <x:v>Bola de nieve</x:v>
      </x:c>
      <x:c r="L699" t="str">
        <x:v>Vigente</x:v>
      </x:c>
      <x:c r="M699" t="n">
        <x:v>8002659.52</x:v>
      </x:c>
      <x:c r="N699"/>
    </x:row>
    <x:row r="700">
      <x:c r="A700" t="str">
        <x:v>DEU-000699</x:v>
      </x:c>
      <x:c r="B700" t="str">
        <x:v>USR-00364</x:v>
      </x:c>
      <x:c r="C700" t="n">
        <x:v>45962</x:v>
      </x:c>
      <x:c r="D700" t="str">
        <x:v>Entidad financiera B</x:v>
      </x:c>
      <x:c r="E700" t="str">
        <x:v>Crédito de consumo</x:v>
      </x:c>
      <x:c r="F700" t="n">
        <x:v>11750000</x:v>
      </x:c>
      <x:c r="G700" s="40" t="n">
        <x:v>0.1408</x:v>
      </x:c>
      <x:c r="H700" s="40" t="n">
        <x:v>0.011038</x:v>
      </x:c>
      <x:c r="I700" t="n">
        <x:v>30</x:v>
      </x:c>
      <x:c r="J700" t="n">
        <x:v>462200</x:v>
      </x:c>
      <x:c r="K700" t="str">
        <x:v>Bola de nieve</x:v>
      </x:c>
      <x:c r="L700" t="str">
        <x:v>Vigente</x:v>
      </x:c>
      <x:c r="M700" t="n">
        <x:v>9014503.29</x:v>
      </x:c>
      <x:c r="N700"/>
    </x:row>
    <x:row r="701">
      <x:c r="A701" t="str">
        <x:v>DEU-000700</x:v>
      </x:c>
      <x:c r="B701" t="str">
        <x:v>USR-00365</x:v>
      </x:c>
      <x:c r="C701" t="n">
        <x:v>45962</x:v>
      </x:c>
      <x:c r="D701" t="str">
        <x:v>Cooperativa C</x:v>
      </x:c>
      <x:c r="E701" t="str">
        <x:v>Tarjeta de crédito</x:v>
      </x:c>
      <x:c r="F701" t="n">
        <x:v>5500000</x:v>
      </x:c>
      <x:c r="G701" s="40" t="n">
        <x:v>0.3074</x:v>
      </x:c>
      <x:c r="H701" s="40" t="n">
        <x:v>0.022588</x:v>
      </x:c>
      <x:c r="I701" t="n">
        <x:v>48</x:v>
      </x:c>
      <x:c r="J701" t="n">
        <x:v>188900</x:v>
      </x:c>
      <x:c r="K701" t="str">
        <x:v>Avalancha</x:v>
      </x:c>
      <x:c r="L701" t="str">
        <x:v>Vigente</x:v>
      </x:c>
      <x:c r="M701" t="n">
        <x:v>5820862.1</x:v>
      </x:c>
      <x:c r="N701"/>
    </x:row>
    <x:row r="702">
      <x:c r="A702" t="str">
        <x:v>DEU-000701</x:v>
      </x:c>
      <x:c r="B702" t="str">
        <x:v>USR-00366</x:v>
      </x:c>
      <x:c r="C702" t="n">
        <x:v>45962</x:v>
      </x:c>
      <x:c r="D702" t="str">
        <x:v>Entidad financiera B</x:v>
      </x:c>
      <x:c r="E702" t="str">
        <x:v>Tarjeta de crédito</x:v>
      </x:c>
      <x:c r="F702" t="n">
        <x:v>4140000</x:v>
      </x:c>
      <x:c r="G702" s="40" t="n">
        <x:v>0.3345</x:v>
      </x:c>
      <x:c r="H702" s="40" t="n">
        <x:v>0.024338</x:v>
      </x:c>
      <x:c r="I702" t="n">
        <x:v>24</x:v>
      </x:c>
      <x:c r="J702" t="n">
        <x:v>229800</x:v>
      </x:c>
      <x:c r="K702" t="str">
        <x:v>Bola de nieve</x:v>
      </x:c>
      <x:c r="L702" t="str">
        <x:v>Vigente</x:v>
      </x:c>
      <x:c r="M702" t="n">
        <x:v>3737987.01</x:v>
      </x:c>
      <x:c r="N702"/>
    </x:row>
    <x:row r="703">
      <x:c r="A703" t="str">
        <x:v>DEU-000702</x:v>
      </x:c>
      <x:c r="B703" t="str">
        <x:v>USR-00366</x:v>
      </x:c>
      <x:c r="C703" t="n">
        <x:v>45962</x:v>
      </x:c>
      <x:c r="D703" t="str">
        <x:v>Entidad financiera A</x:v>
      </x:c>
      <x:c r="E703" t="str">
        <x:v>Tarjeta de crédito</x:v>
      </x:c>
      <x:c r="F703" t="n">
        <x:v>6740000</x:v>
      </x:c>
      <x:c r="G703" s="40" t="n">
        <x:v>0.3396</x:v>
      </x:c>
      <x:c r="H703" s="40" t="n">
        <x:v>0.024663</x:v>
      </x:c>
      <x:c r="I703" t="n">
        <x:v>12</x:v>
      </x:c>
      <x:c r="J703" t="n">
        <x:v>655700</x:v>
      </x:c>
      <x:c r="K703" t="str">
        <x:v>Avalancha</x:v>
      </x:c>
      <x:c r="L703" t="str">
        <x:v>Vigente</x:v>
      </x:c>
      <x:c r="M703" t="n">
        <x:v>3541648.62</x:v>
      </x:c>
      <x:c r="N703"/>
    </x:row>
    <x:row r="704">
      <x:c r="A704" t="str">
        <x:v>DEU-000703</x:v>
      </x:c>
      <x:c r="B704" t="str">
        <x:v>USR-00367</x:v>
      </x:c>
      <x:c r="C704" t="n">
        <x:v>45962</x:v>
      </x:c>
      <x:c r="D704" t="str">
        <x:v>Entidad financiera E</x:v>
      </x:c>
      <x:c r="E704" t="str">
        <x:v>Crédito educativo</x:v>
      </x:c>
      <x:c r="F704" t="n">
        <x:v>26070000</x:v>
      </x:c>
      <x:c r="G704" s="40" t="n">
        <x:v>0.1489</x:v>
      </x:c>
      <x:c r="H704" s="40" t="n">
        <x:v>0.011634</x:v>
      </x:c>
      <x:c r="I704" t="n">
        <x:v>36</x:v>
      </x:c>
      <x:c r="J704" t="n">
        <x:v>890500</x:v>
      </x:c>
      <x:c r="K704" t="str">
        <x:v>Avalancha</x:v>
      </x:c>
      <x:c r="L704" t="str">
        <x:v>Vigente</x:v>
      </x:c>
      <x:c r="M704" t="n">
        <x:v>22414922.01</x:v>
      </x:c>
      <x:c r="N704"/>
    </x:row>
    <x:row r="705">
      <x:c r="A705" t="str">
        <x:v>DEU-000704</x:v>
      </x:c>
      <x:c r="B705" t="str">
        <x:v>USR-00368</x:v>
      </x:c>
      <x:c r="C705" t="n">
        <x:v>45962</x:v>
      </x:c>
      <x:c r="D705" t="str">
        <x:v>Entidad financiera A</x:v>
      </x:c>
      <x:c r="E705" t="str">
        <x:v>Tarjeta de crédito</x:v>
      </x:c>
      <x:c r="F705" t="n">
        <x:v>4800000</x:v>
      </x:c>
      <x:c r="G705" s="40" t="n">
        <x:v>0.316</x:v>
      </x:c>
      <x:c r="H705" s="40" t="n">
        <x:v>0.023147</x:v>
      </x:c>
      <x:c r="I705" t="n">
        <x:v>30</x:v>
      </x:c>
      <x:c r="J705" t="n">
        <x:v>223700</x:v>
      </x:c>
      <x:c r="K705" t="str">
        <x:v>Avalancha</x:v>
      </x:c>
      <x:c r="L705" t="str">
        <x:v>Vigente</x:v>
      </x:c>
      <x:c r="M705" t="n">
        <x:v>4107886.18</x:v>
      </x:c>
      <x:c r="N705"/>
    </x:row>
    <x:row r="706">
      <x:c r="A706" t="str">
        <x:v>DEU-000705</x:v>
      </x:c>
      <x:c r="B706" t="str">
        <x:v>USR-00369</x:v>
      </x:c>
      <x:c r="C706" t="n">
        <x:v>45962</x:v>
      </x:c>
      <x:c r="D706" t="str">
        <x:v>Financiera D</x:v>
      </x:c>
      <x:c r="E706" t="str">
        <x:v>Tarjeta de crédito</x:v>
      </x:c>
      <x:c r="F706" t="n">
        <x:v>650000</x:v>
      </x:c>
      <x:c r="G706" s="40" t="n">
        <x:v>0.3056</x:v>
      </x:c>
      <x:c r="H706" s="40" t="n">
        <x:v>0.022471</x:v>
      </x:c>
      <x:c r="I706" t="n">
        <x:v>48</x:v>
      </x:c>
      <x:c r="J706" t="n">
        <x:v>22300</x:v>
      </x:c>
      <x:c r="K706" t="str">
        <x:v>Avalancha</x:v>
      </x:c>
      <x:c r="L706" t="str">
        <x:v>Vigente</x:v>
      </x:c>
      <x:c r="M706" t="n">
        <x:v>650509.79</x:v>
      </x:c>
      <x:c r="N706"/>
    </x:row>
    <x:row r="707">
      <x:c r="A707" t="str">
        <x:v>DEU-000706</x:v>
      </x:c>
      <x:c r="B707" t="str">
        <x:v>USR-00370</x:v>
      </x:c>
      <x:c r="C707" t="n">
        <x:v>45962</x:v>
      </x:c>
      <x:c r="D707" t="str">
        <x:v>Entidad financiera B</x:v>
      </x:c>
      <x:c r="E707" t="str">
        <x:v>Crédito de libre inversión</x:v>
      </x:c>
      <x:c r="F707" t="n">
        <x:v>22280000</x:v>
      </x:c>
      <x:c r="G707" s="40" t="n">
        <x:v>0.1325</x:v>
      </x:c>
      <x:c r="H707" s="40" t="n">
        <x:v>0.010423</x:v>
      </x:c>
      <x:c r="I707" t="n">
        <x:v>30</x:v>
      </x:c>
      <x:c r="J707" t="n">
        <x:v>868700</x:v>
      </x:c>
      <x:c r="K707" t="str">
        <x:v>Avalancha</x:v>
      </x:c>
      <x:c r="L707" t="str">
        <x:v>Vigente</x:v>
      </x:c>
      <x:c r="M707" t="n">
        <x:v>15489264.76</x:v>
      </x:c>
      <x:c r="N707"/>
    </x:row>
    <x:row r="708">
      <x:c r="A708" t="str">
        <x:v>DEU-000707</x:v>
      </x:c>
      <x:c r="B708" t="str">
        <x:v>USR-00370</x:v>
      </x:c>
      <x:c r="C708" t="n">
        <x:v>45962</x:v>
      </x:c>
      <x:c r="D708" t="str">
        <x:v>Cooperativa C</x:v>
      </x:c>
      <x:c r="E708" t="str">
        <x:v>Crédito de consumo</x:v>
      </x:c>
      <x:c r="F708" t="n">
        <x:v>9970000</x:v>
      </x:c>
      <x:c r="G708" s="40" t="n">
        <x:v>0.1303</x:v>
      </x:c>
      <x:c r="H708" s="40" t="n">
        <x:v>0.010259</x:v>
      </x:c>
      <x:c r="I708" t="n">
        <x:v>18</x:v>
      </x:c>
      <x:c r="J708" t="n">
        <x:v>609400</x:v>
      </x:c>
      <x:c r="K708" t="str">
        <x:v>Bola de nieve</x:v>
      </x:c>
      <x:c r="L708" t="str">
        <x:v>Vigente</x:v>
      </x:c>
      <x:c r="M708" t="n">
        <x:v>4889734.14</x:v>
      </x:c>
      <x:c r="N708"/>
    </x:row>
    <x:row r="709">
      <x:c r="A709" t="str">
        <x:v>DEU-000708</x:v>
      </x:c>
      <x:c r="B709" t="str">
        <x:v>USR-00370</x:v>
      </x:c>
      <x:c r="C709" t="n">
        <x:v>45962</x:v>
      </x:c>
      <x:c r="D709" t="str">
        <x:v>Entidad financiera A</x:v>
      </x:c>
      <x:c r="E709" t="str">
        <x:v>Crédito educativo</x:v>
      </x:c>
      <x:c r="F709" t="n">
        <x:v>13870000</x:v>
      </x:c>
      <x:c r="G709" s="40" t="n">
        <x:v>0.2336</x:v>
      </x:c>
      <x:c r="H709" s="40" t="n">
        <x:v>0.017649</x:v>
      </x:c>
      <x:c r="I709" t="n">
        <x:v>30</x:v>
      </x:c>
      <x:c r="J709" t="n">
        <x:v>599500</x:v>
      </x:c>
      <x:c r="K709" t="str">
        <x:v>Bola de nieve</x:v>
      </x:c>
      <x:c r="L709" t="str">
        <x:v>Vigente</x:v>
      </x:c>
      <x:c r="M709" t="n">
        <x:v>9474942.14</x:v>
      </x:c>
      <x:c r="N709"/>
    </x:row>
    <x:row r="710">
      <x:c r="A710" t="str">
        <x:v>DEU-000709</x:v>
      </x:c>
      <x:c r="B710" t="str">
        <x:v>USR-00370</x:v>
      </x:c>
      <x:c r="C710" t="n">
        <x:v>45962</x:v>
      </x:c>
      <x:c r="D710" t="str">
        <x:v>Financiera D</x:v>
      </x:c>
      <x:c r="E710" t="str">
        <x:v>Tarjeta de crédito</x:v>
      </x:c>
      <x:c r="F710" t="n">
        <x:v>4430000</x:v>
      </x:c>
      <x:c r="G710" s="40" t="n">
        <x:v>0.1597</x:v>
      </x:c>
      <x:c r="H710" s="40" t="n">
        <x:v>0.012423</x:v>
      </x:c>
      <x:c r="I710" t="n">
        <x:v>60</x:v>
      </x:c>
      <x:c r="J710" t="n">
        <x:v>105200</x:v>
      </x:c>
      <x:c r="K710" t="str">
        <x:v>Bola de nieve</x:v>
      </x:c>
      <x:c r="L710" t="str">
        <x:v>Vigente</x:v>
      </x:c>
      <x:c r="M710" t="n">
        <x:v>4128854.56</x:v>
      </x:c>
      <x:c r="N710"/>
    </x:row>
    <x:row r="711">
      <x:c r="A711" t="str">
        <x:v>DEU-000710</x:v>
      </x:c>
      <x:c r="B711" t="str">
        <x:v>USR-00371</x:v>
      </x:c>
      <x:c r="C711" t="n">
        <x:v>45962</x:v>
      </x:c>
      <x:c r="D711" t="str">
        <x:v>Entidad financiera A</x:v>
      </x:c>
      <x:c r="E711" t="str">
        <x:v>Crédito de consumo</x:v>
      </x:c>
      <x:c r="F711" t="n">
        <x:v>13270000</x:v>
      </x:c>
      <x:c r="G711" s="40" t="n">
        <x:v>0.2344</x:v>
      </x:c>
      <x:c r="H711" s="40" t="n">
        <x:v>0.017704</x:v>
      </x:c>
      <x:c r="I711" t="n">
        <x:v>30</x:v>
      </x:c>
      <x:c r="J711" t="n">
        <x:v>574000</x:v>
      </x:c>
      <x:c r="K711" t="str">
        <x:v>Avalancha</x:v>
      </x:c>
      <x:c r="L711" t="str">
        <x:v>Vigente</x:v>
      </x:c>
      <x:c r="M711" t="n">
        <x:v>12497299.9</x:v>
      </x:c>
      <x:c r="N711"/>
    </x:row>
    <x:row r="712">
      <x:c r="A712" t="str">
        <x:v>DEU-000711</x:v>
      </x:c>
      <x:c r="B712" t="str">
        <x:v>USR-00372</x:v>
      </x:c>
      <x:c r="C712" t="n">
        <x:v>45962</x:v>
      </x:c>
      <x:c r="D712" t="str">
        <x:v>Financiera D</x:v>
      </x:c>
      <x:c r="E712" t="str">
        <x:v>Crédito de libre inversión</x:v>
      </x:c>
      <x:c r="F712" t="n">
        <x:v>13670000</x:v>
      </x:c>
      <x:c r="G712" s="40" t="n">
        <x:v>0.2497</x:v>
      </x:c>
      <x:c r="H712" s="40" t="n">
        <x:v>0.018749</x:v>
      </x:c>
      <x:c r="I712" t="n">
        <x:v>36</x:v>
      </x:c>
      <x:c r="J712" t="n">
        <x:v>525600</x:v>
      </x:c>
      <x:c r="K712" t="str">
        <x:v>Bola de nieve</x:v>
      </x:c>
      <x:c r="L712" t="str">
        <x:v>Vigente</x:v>
      </x:c>
      <x:c r="M712" t="n">
        <x:v>12009955.41</x:v>
      </x:c>
      <x:c r="N712"/>
    </x:row>
    <x:row r="713">
      <x:c r="A713" t="str">
        <x:v>DEU-000712</x:v>
      </x:c>
      <x:c r="B713" t="str">
        <x:v>USR-00372</x:v>
      </x:c>
      <x:c r="C713" t="n">
        <x:v>45962</x:v>
      </x:c>
      <x:c r="D713" t="str">
        <x:v>Cooperativa C</x:v>
      </x:c>
      <x:c r="E713" t="str">
        <x:v>Crédito de vehículo</x:v>
      </x:c>
      <x:c r="F713" t="n">
        <x:v>11680000</x:v>
      </x:c>
      <x:c r="G713" s="40" t="n">
        <x:v>0.2378</x:v>
      </x:c>
      <x:c r="H713" s="40" t="n">
        <x:v>0.017937</x:v>
      </x:c>
      <x:c r="I713" t="n">
        <x:v>48</x:v>
      </x:c>
      <x:c r="J713" t="n">
        <x:v>365000</x:v>
      </x:c>
      <x:c r="K713" t="str">
        <x:v>Avalancha</x:v>
      </x:c>
      <x:c r="L713" t="str">
        <x:v>Vigente</x:v>
      </x:c>
      <x:c r="M713" t="n">
        <x:v>11757838.16</x:v>
      </x:c>
      <x:c r="N713"/>
    </x:row>
    <x:row r="714">
      <x:c r="A714" t="str">
        <x:v>DEU-000713</x:v>
      </x:c>
      <x:c r="B714" t="str">
        <x:v>USR-00373</x:v>
      </x:c>
      <x:c r="C714" t="n">
        <x:v>45962</x:v>
      </x:c>
      <x:c r="D714" t="str">
        <x:v>Entidad financiera B</x:v>
      </x:c>
      <x:c r="E714" t="str">
        <x:v>Crédito de consumo</x:v>
      </x:c>
      <x:c r="F714" t="n">
        <x:v>18250000</x:v>
      </x:c>
      <x:c r="G714" s="40" t="n">
        <x:v>0.1397</x:v>
      </x:c>
      <x:c r="H714" s="40" t="n">
        <x:v>0.010957</x:v>
      </x:c>
      <x:c r="I714" t="n">
        <x:v>12</x:v>
      </x:c>
      <x:c r="J714" t="n">
        <x:v>1631300</x:v>
      </x:c>
      <x:c r="K714" t="str">
        <x:v>Avalancha</x:v>
      </x:c>
      <x:c r="L714" t="str">
        <x:v>Vigente</x:v>
      </x:c>
      <x:c r="M714" t="n">
        <x:v>4008133.53</x:v>
      </x:c>
      <x:c r="N714"/>
    </x:row>
    <x:row r="715">
      <x:c r="A715" t="str">
        <x:v>DEU-000714</x:v>
      </x:c>
      <x:c r="B715" t="str">
        <x:v>USR-00374</x:v>
      </x:c>
      <x:c r="C715" t="n">
        <x:v>45962</x:v>
      </x:c>
      <x:c r="D715" t="str">
        <x:v>Entidad financiera E</x:v>
      </x:c>
      <x:c r="E715" t="str">
        <x:v>Tarjeta de crédito</x:v>
      </x:c>
      <x:c r="F715" t="n">
        <x:v>5090000</x:v>
      </x:c>
      <x:c r="G715" s="40" t="n">
        <x:v>0.207</x:v>
      </x:c>
      <x:c r="H715" s="40" t="n">
        <x:v>0.015802</x:v>
      </x:c>
      <x:c r="I715" t="n">
        <x:v>60</x:v>
      </x:c>
      <x:c r="J715" t="n">
        <x:v>131900</x:v>
      </x:c>
      <x:c r="K715" t="str">
        <x:v>Bola de nieve</x:v>
      </x:c>
      <x:c r="L715" t="str">
        <x:v>Vigente</x:v>
      </x:c>
      <x:c r="M715" t="n">
        <x:v>5011161.01</x:v>
      </x:c>
      <x:c r="N715"/>
    </x:row>
    <x:row r="716">
      <x:c r="A716" t="str">
        <x:v>DEU-000715</x:v>
      </x:c>
      <x:c r="B716" t="str">
        <x:v>USR-00374</x:v>
      </x:c>
      <x:c r="C716" t="n">
        <x:v>45962</x:v>
      </x:c>
      <x:c r="D716" t="str">
        <x:v>Financiera D</x:v>
      </x:c>
      <x:c r="E716" t="str">
        <x:v>Crédito de consumo</x:v>
      </x:c>
      <x:c r="F716" t="n">
        <x:v>14000000</x:v>
      </x:c>
      <x:c r="G716" s="40" t="n">
        <x:v>0.2264</x:v>
      </x:c>
      <x:c r="H716" s="40" t="n">
        <x:v>0.017152</x:v>
      </x:c>
      <x:c r="I716" t="n">
        <x:v>60</x:v>
      </x:c>
      <x:c r="J716" t="n">
        <x:v>375500</x:v>
      </x:c>
      <x:c r="K716" t="str">
        <x:v>Avalancha</x:v>
      </x:c>
      <x:c r="L716" t="str">
        <x:v>Vigente</x:v>
      </x:c>
      <x:c r="M716" t="n">
        <x:v>14087091.97</x:v>
      </x:c>
      <x:c r="N716"/>
    </x:row>
    <x:row r="717">
      <x:c r="A717" t="str">
        <x:v>DEU-000716</x:v>
      </x:c>
      <x:c r="B717" t="str">
        <x:v>USR-00375</x:v>
      </x:c>
      <x:c r="C717" t="n">
        <x:v>45962</x:v>
      </x:c>
      <x:c r="D717" t="str">
        <x:v>Entidad financiera A</x:v>
      </x:c>
      <x:c r="E717" t="str">
        <x:v>Crédito comercial</x:v>
      </x:c>
      <x:c r="F717" t="n">
        <x:v>6900000</x:v>
      </x:c>
      <x:c r="G717" s="40" t="n">
        <x:v>0.2914</x:v>
      </x:c>
      <x:c r="H717" s="40" t="n">
        <x:v>0.021539</x:v>
      </x:c>
      <x:c r="I717" t="n">
        <x:v>48</x:v>
      </x:c>
      <x:c r="J717" t="n">
        <x:v>232100</x:v>
      </x:c>
      <x:c r="K717" t="str">
        <x:v>Bola de nieve</x:v>
      </x:c>
      <x:c r="L717" t="str">
        <x:v>Vigente</x:v>
      </x:c>
      <x:c r="M717" t="n">
        <x:v>6540327.28</x:v>
      </x:c>
      <x:c r="N717"/>
    </x:row>
    <x:row r="718">
      <x:c r="A718" t="str">
        <x:v>DEU-000717</x:v>
      </x:c>
      <x:c r="B718" t="str">
        <x:v>USR-00376</x:v>
      </x:c>
      <x:c r="C718" t="n">
        <x:v>45962</x:v>
      </x:c>
      <x:c r="D718" t="str">
        <x:v>Cooperativa C</x:v>
      </x:c>
      <x:c r="E718" t="str">
        <x:v>Crédito de consumo</x:v>
      </x:c>
      <x:c r="F718" t="n">
        <x:v>17360000</x:v>
      </x:c>
      <x:c r="G718" s="40" t="n">
        <x:v>0.1905</x:v>
      </x:c>
      <x:c r="H718" s="40" t="n">
        <x:v>0.014637</x:v>
      </x:c>
      <x:c r="I718" t="n">
        <x:v>36</x:v>
      </x:c>
      <x:c r="J718" t="n">
        <x:v>623800</x:v>
      </x:c>
      <x:c r="K718" t="str">
        <x:v>Bola de nieve</x:v>
      </x:c>
      <x:c r="L718" t="str">
        <x:v>Vigente</x:v>
      </x:c>
      <x:c r="M718" t="n">
        <x:v>14296350.21</x:v>
      </x:c>
      <x:c r="N718"/>
    </x:row>
    <x:row r="719">
      <x:c r="A719" t="str">
        <x:v>DEU-000718</x:v>
      </x:c>
      <x:c r="B719" t="str">
        <x:v>USR-00376</x:v>
      </x:c>
      <x:c r="C719" t="n">
        <x:v>45962</x:v>
      </x:c>
      <x:c r="D719" t="str">
        <x:v>Entidad financiera E</x:v>
      </x:c>
      <x:c r="E719" t="str">
        <x:v>Tarjeta de crédito</x:v>
      </x:c>
      <x:c r="F719" t="n">
        <x:v>7330000</x:v>
      </x:c>
      <x:c r="G719" s="40" t="n">
        <x:v>0.2525</x:v>
      </x:c>
      <x:c r="H719" s="40" t="n">
        <x:v>0.018939</x:v>
      </x:c>
      <x:c r="I719" t="n">
        <x:v>12</x:v>
      </x:c>
      <x:c r="J719" t="n">
        <x:v>688600</x:v>
      </x:c>
      <x:c r="K719" t="str">
        <x:v>Avalancha</x:v>
      </x:c>
      <x:c r="L719" t="str">
        <x:v>Vigente</x:v>
      </x:c>
      <x:c r="M719" t="n">
        <x:v>5054036.18</x:v>
      </x:c>
      <x:c r="N719"/>
    </x:row>
    <x:row r="720">
      <x:c r="A720" t="str">
        <x:v>DEU-000719</x:v>
      </x:c>
      <x:c r="B720" t="str">
        <x:v>USR-00377</x:v>
      </x:c>
      <x:c r="C720" t="n">
        <x:v>45962</x:v>
      </x:c>
      <x:c r="D720" t="str">
        <x:v>Entidad financiera B</x:v>
      </x:c>
      <x:c r="E720" t="str">
        <x:v>Tarjeta de crédito</x:v>
      </x:c>
      <x:c r="F720" t="n">
        <x:v>8380000</x:v>
      </x:c>
      <x:c r="G720" s="40" t="n">
        <x:v>0.2891</x:v>
      </x:c>
      <x:c r="H720" s="40" t="n">
        <x:v>0.021388</x:v>
      </x:c>
      <x:c r="I720" t="n">
        <x:v>36</x:v>
      </x:c>
      <x:c r="J720" t="n">
        <x:v>336100</x:v>
      </x:c>
      <x:c r="K720" t="str">
        <x:v>Avalancha</x:v>
      </x:c>
      <x:c r="L720" t="str">
        <x:v>Vigente</x:v>
      </x:c>
      <x:c r="M720" t="n">
        <x:v>6542185.9</x:v>
      </x:c>
      <x:c r="N720"/>
    </x:row>
    <x:row r="721">
      <x:c r="A721" t="str">
        <x:v>DEU-000720</x:v>
      </x:c>
      <x:c r="B721" t="str">
        <x:v>USR-00377</x:v>
      </x:c>
      <x:c r="C721" t="n">
        <x:v>45962</x:v>
      </x:c>
      <x:c r="D721" t="str">
        <x:v>Entidad financiera E</x:v>
      </x:c>
      <x:c r="E721" t="str">
        <x:v>Tarjeta de crédito</x:v>
      </x:c>
      <x:c r="F721" t="n">
        <x:v>6100000</x:v>
      </x:c>
      <x:c r="G721" s="40" t="n">
        <x:v>0.1579</x:v>
      </x:c>
      <x:c r="H721" s="40" t="n">
        <x:v>0.012292</x:v>
      </x:c>
      <x:c r="I721" t="n">
        <x:v>30</x:v>
      </x:c>
      <x:c r="J721" t="n">
        <x:v>244400</x:v>
      </x:c>
      <x:c r="K721" t="str">
        <x:v>Avalancha</x:v>
      </x:c>
      <x:c r="L721" t="str">
        <x:v>Vigente</x:v>
      </x:c>
      <x:c r="M721" t="n">
        <x:v>4456139.03</x:v>
      </x:c>
      <x:c r="N721"/>
    </x:row>
    <x:row r="722">
      <x:c r="A722" t="str">
        <x:v>DEU-000721</x:v>
      </x:c>
      <x:c r="B722" t="str">
        <x:v>USR-00377</x:v>
      </x:c>
      <x:c r="C722" t="n">
        <x:v>45962</x:v>
      </x:c>
      <x:c r="D722" t="str">
        <x:v>Cooperativa C</x:v>
      </x:c>
      <x:c r="E722" t="str">
        <x:v>Crédito de vehículo</x:v>
      </x:c>
      <x:c r="F722" t="n">
        <x:v>47450000</x:v>
      </x:c>
      <x:c r="G722" s="40" t="n">
        <x:v>0.204</x:v>
      </x:c>
      <x:c r="H722" s="40" t="n">
        <x:v>0.015591</x:v>
      </x:c>
      <x:c r="I722" t="n">
        <x:v>48</x:v>
      </x:c>
      <x:c r="J722" t="n">
        <x:v>1411500</x:v>
      </x:c>
      <x:c r="K722" t="str">
        <x:v>Bola de nieve</x:v>
      </x:c>
      <x:c r="L722" t="str">
        <x:v>Vigente</x:v>
      </x:c>
      <x:c r="M722" t="n">
        <x:v>38320672.91</x:v>
      </x:c>
      <x:c r="N722"/>
    </x:row>
    <x:row r="723">
      <x:c r="A723" t="str">
        <x:v>DEU-000722</x:v>
      </x:c>
      <x:c r="B723" t="str">
        <x:v>USR-00377</x:v>
      </x:c>
      <x:c r="C723" t="n">
        <x:v>45962</x:v>
      </x:c>
      <x:c r="D723" t="str">
        <x:v>Entidad financiera B</x:v>
      </x:c>
      <x:c r="E723" t="str">
        <x:v>Tarjeta de crédito</x:v>
      </x:c>
      <x:c r="F723" t="n">
        <x:v>4350000</x:v>
      </x:c>
      <x:c r="G723" s="40" t="n">
        <x:v>0.25</x:v>
      </x:c>
      <x:c r="H723" s="40" t="n">
        <x:v>0.018769</x:v>
      </x:c>
      <x:c r="I723" t="n">
        <x:v>30</x:v>
      </x:c>
      <x:c r="J723" t="n">
        <x:v>191000</x:v>
      </x:c>
      <x:c r="K723" t="str">
        <x:v>Bola de nieve</x:v>
      </x:c>
      <x:c r="L723" t="str">
        <x:v>Vigente</x:v>
      </x:c>
      <x:c r="M723" t="n">
        <x:v>3195887.11</x:v>
      </x:c>
      <x:c r="N723"/>
    </x:row>
    <x:row r="724">
      <x:c r="A724" t="str">
        <x:v>DEU-000723</x:v>
      </x:c>
      <x:c r="B724" t="str">
        <x:v>USR-00377</x:v>
      </x:c>
      <x:c r="C724" t="n">
        <x:v>45962</x:v>
      </x:c>
      <x:c r="D724" t="str">
        <x:v>Cooperativa C</x:v>
      </x:c>
      <x:c r="E724" t="str">
        <x:v>Crédito de libre inversión</x:v>
      </x:c>
      <x:c r="F724" t="n">
        <x:v>14930000</x:v>
      </x:c>
      <x:c r="G724" s="40" t="n">
        <x:v>0.2289</x:v>
      </x:c>
      <x:c r="H724" s="40" t="n">
        <x:v>0.017325</x:v>
      </x:c>
      <x:c r="I724" t="n">
        <x:v>30</x:v>
      </x:c>
      <x:c r="J724" t="n">
        <x:v>642400</x:v>
      </x:c>
      <x:c r="K724" t="str">
        <x:v>Bola de nieve</x:v>
      </x:c>
      <x:c r="L724" t="str">
        <x:v>Vigente</x:v>
      </x:c>
      <x:c r="M724" t="n">
        <x:v>12028257.48</x:v>
      </x:c>
      <x:c r="N724"/>
    </x:row>
    <x:row r="725">
      <x:c r="A725" t="str">
        <x:v>DEU-000724</x:v>
      </x:c>
      <x:c r="B725" t="str">
        <x:v>USR-00378</x:v>
      </x:c>
      <x:c r="C725" t="n">
        <x:v>45962</x:v>
      </x:c>
      <x:c r="D725" t="str">
        <x:v>Financiera D</x:v>
      </x:c>
      <x:c r="E725" t="str">
        <x:v>Crédito de consumo</x:v>
      </x:c>
      <x:c r="F725" t="n">
        <x:v>13420000</x:v>
      </x:c>
      <x:c r="G725" s="40" t="n">
        <x:v>0.3084</x:v>
      </x:c>
      <x:c r="H725" s="40" t="n">
        <x:v>0.022653</x:v>
      </x:c>
      <x:c r="I725" t="n">
        <x:v>12</x:v>
      </x:c>
      <x:c r="J725" t="n">
        <x:v>1289800</x:v>
      </x:c>
      <x:c r="K725" t="str">
        <x:v>Avalancha</x:v>
      </x:c>
      <x:c r="L725" t="str">
        <x:v>Vigente</x:v>
      </x:c>
      <x:c r="M725" t="n">
        <x:v>4898783.79</x:v>
      </x:c>
      <x:c r="N725"/>
    </x:row>
    <x:row r="726">
      <x:c r="A726" t="str">
        <x:v>DEU-000725</x:v>
      </x:c>
      <x:c r="B726" t="str">
        <x:v>USR-00378</x:v>
      </x:c>
      <x:c r="C726" t="n">
        <x:v>45962</x:v>
      </x:c>
      <x:c r="D726" t="str">
        <x:v>Entidad financiera A</x:v>
      </x:c>
      <x:c r="E726" t="str">
        <x:v>Crédito de vehículo</x:v>
      </x:c>
      <x:c r="F726" t="n">
        <x:v>12600000</x:v>
      </x:c>
      <x:c r="G726" s="40" t="n">
        <x:v>0.1961</x:v>
      </x:c>
      <x:c r="H726" s="40" t="n">
        <x:v>0.015034</x:v>
      </x:c>
      <x:c r="I726" t="n">
        <x:v>48</x:v>
      </x:c>
      <x:c r="J726" t="n">
        <x:v>370400</x:v>
      </x:c>
      <x:c r="K726" t="str">
        <x:v>Avalancha</x:v>
      </x:c>
      <x:c r="L726" t="str">
        <x:v>Vigente</x:v>
      </x:c>
      <x:c r="M726" t="n">
        <x:v>12593093.69</x:v>
      </x:c>
      <x:c r="N726"/>
    </x:row>
    <x:row r="727">
      <x:c r="A727" t="str">
        <x:v>DEU-000726</x:v>
      </x:c>
      <x:c r="B727" t="str">
        <x:v>USR-00379</x:v>
      </x:c>
      <x:c r="C727" t="n">
        <x:v>45962</x:v>
      </x:c>
      <x:c r="D727" t="str">
        <x:v>Entidad financiera E</x:v>
      </x:c>
      <x:c r="E727" t="str">
        <x:v>Crédito de vehículo</x:v>
      </x:c>
      <x:c r="F727" t="n">
        <x:v>35730000</x:v>
      </x:c>
      <x:c r="G727" s="40" t="n">
        <x:v>0.2347</x:v>
      </x:c>
      <x:c r="H727" s="40" t="n">
        <x:v>0.017724</x:v>
      </x:c>
      <x:c r="I727" t="n">
        <x:v>12</x:v>
      </x:c>
      <x:c r="J727" t="n">
        <x:v>3331600</x:v>
      </x:c>
      <x:c r="K727" t="str">
        <x:v>Avalancha</x:v>
      </x:c>
      <x:c r="L727" t="str">
        <x:v>Vigente</x:v>
      </x:c>
      <x:c r="M727" t="n">
        <x:v>16298311.9</x:v>
      </x:c>
      <x:c r="N727"/>
    </x:row>
    <x:row r="728">
      <x:c r="A728" t="str">
        <x:v>DEU-000727</x:v>
      </x:c>
      <x:c r="B728" t="str">
        <x:v>USR-00380</x:v>
      </x:c>
      <x:c r="C728" t="n">
        <x:v>45962</x:v>
      </x:c>
      <x:c r="D728" t="str">
        <x:v>Entidad financiera A</x:v>
      </x:c>
      <x:c r="E728" t="str">
        <x:v>Crédito de vehículo</x:v>
      </x:c>
      <x:c r="F728" t="n">
        <x:v>46160000</x:v>
      </x:c>
      <x:c r="G728" s="40" t="n">
        <x:v>0.1177</x:v>
      </x:c>
      <x:c r="H728" s="40" t="n">
        <x:v>0.009316</x:v>
      </x:c>
      <x:c r="I728" t="n">
        <x:v>60</x:v>
      </x:c>
      <x:c r="J728" t="n">
        <x:v>1007800</x:v>
      </x:c>
      <x:c r="K728" t="str">
        <x:v>Avalancha</x:v>
      </x:c>
      <x:c r="L728" t="str">
        <x:v>Vigente</x:v>
      </x:c>
      <x:c r="M728" t="n">
        <x:v>41283131.15</x:v>
      </x:c>
      <x:c r="N728"/>
    </x:row>
    <x:row r="729">
      <x:c r="A729" t="str">
        <x:v>DEU-000728</x:v>
      </x:c>
      <x:c r="B729" t="str">
        <x:v>USR-00380</x:v>
      </x:c>
      <x:c r="C729" t="n">
        <x:v>45962</x:v>
      </x:c>
      <x:c r="D729" t="str">
        <x:v>Cooperativa C</x:v>
      </x:c>
      <x:c r="E729" t="str">
        <x:v>Crédito educativo</x:v>
      </x:c>
      <x:c r="F729" t="n">
        <x:v>26610000</x:v>
      </x:c>
      <x:c r="G729" s="40" t="n">
        <x:v>0.3218</x:v>
      </x:c>
      <x:c r="H729" s="40" t="n">
        <x:v>0.023522</x:v>
      </x:c>
      <x:c r="I729" t="n">
        <x:v>18</x:v>
      </x:c>
      <x:c r="J729" t="n">
        <x:v>1830400</x:v>
      </x:c>
      <x:c r="K729" t="str">
        <x:v>Avalancha</x:v>
      </x:c>
      <x:c r="L729" t="str">
        <x:v>Vigente</x:v>
      </x:c>
      <x:c r="M729" t="n">
        <x:v>13762385.93</x:v>
      </x:c>
      <x:c r="N729"/>
    </x:row>
    <x:row r="730">
      <x:c r="A730" t="str">
        <x:v>DEU-000729</x:v>
      </x:c>
      <x:c r="B730" t="str">
        <x:v>USR-00381</x:v>
      </x:c>
      <x:c r="C730" t="n">
        <x:v>45962</x:v>
      </x:c>
      <x:c r="D730" t="str">
        <x:v>Entidad financiera E</x:v>
      </x:c>
      <x:c r="E730" t="str">
        <x:v>Crédito de vehículo</x:v>
      </x:c>
      <x:c r="F730" t="n">
        <x:v>48990000</x:v>
      </x:c>
      <x:c r="G730" s="40" t="n">
        <x:v>0.1805</x:v>
      </x:c>
      <x:c r="H730" s="40" t="n">
        <x:v>0.013924</x:v>
      </x:c>
      <x:c r="I730" t="n">
        <x:v>60</x:v>
      </x:c>
      <x:c r="J730" t="n">
        <x:v>1209900</x:v>
      </x:c>
      <x:c r="K730" t="str">
        <x:v>Avalancha</x:v>
      </x:c>
      <x:c r="L730" t="str">
        <x:v>Vigente</x:v>
      </x:c>
      <x:c r="M730" t="n">
        <x:v>47061729.44</x:v>
      </x:c>
      <x:c r="N730"/>
    </x:row>
    <x:row r="731">
      <x:c r="A731" t="str">
        <x:v>DEU-000730</x:v>
      </x:c>
      <x:c r="B731" t="str">
        <x:v>USR-00382</x:v>
      </x:c>
      <x:c r="C731" t="n">
        <x:v>45962</x:v>
      </x:c>
      <x:c r="D731" t="str">
        <x:v>Entidad financiera A</x:v>
      </x:c>
      <x:c r="E731" t="str">
        <x:v>Crédito de consumo</x:v>
      </x:c>
      <x:c r="F731" t="n">
        <x:v>10330000</x:v>
      </x:c>
      <x:c r="G731" s="40" t="n">
        <x:v>0.1704</x:v>
      </x:c>
      <x:c r="H731" s="40" t="n">
        <x:v>0.013198</x:v>
      </x:c>
      <x:c r="I731" t="n">
        <x:v>30</x:v>
      </x:c>
      <x:c r="J731" t="n">
        <x:v>419200</x:v>
      </x:c>
      <x:c r="K731" t="str">
        <x:v>Bola de nieve</x:v>
      </x:c>
      <x:c r="L731" t="str">
        <x:v>Vigente</x:v>
      </x:c>
      <x:c r="M731" t="n">
        <x:v>8578465.58</x:v>
      </x:c>
      <x:c r="N731"/>
    </x:row>
    <x:row r="732">
      <x:c r="A732" t="str">
        <x:v>DEU-000731</x:v>
      </x:c>
      <x:c r="B732" t="str">
        <x:v>USR-00383</x:v>
      </x:c>
      <x:c r="C732" t="n">
        <x:v>45962</x:v>
      </x:c>
      <x:c r="D732" t="str">
        <x:v>Entidad financiera E</x:v>
      </x:c>
      <x:c r="E732" t="str">
        <x:v>Crédito de libre inversión</x:v>
      </x:c>
      <x:c r="F732" t="n">
        <x:v>4580000</x:v>
      </x:c>
      <x:c r="G732" s="40" t="n">
        <x:v>0.2196</x:v>
      </x:c>
      <x:c r="H732" s="40" t="n">
        <x:v>0.016681</x:v>
      </x:c>
      <x:c r="I732" t="n">
        <x:v>60</x:v>
      </x:c>
      <x:c r="J732" t="n">
        <x:v>121400</x:v>
      </x:c>
      <x:c r="K732" t="str">
        <x:v>Avalancha</x:v>
      </x:c>
      <x:c r="L732" t="str">
        <x:v>Vigente</x:v>
      </x:c>
      <x:c r="M732" t="n">
        <x:v>3942353.45</x:v>
      </x:c>
      <x:c r="N732"/>
    </x:row>
    <x:row r="733">
      <x:c r="A733" t="str">
        <x:v>DEU-000732</x:v>
      </x:c>
      <x:c r="B733" t="str">
        <x:v>USR-00384</x:v>
      </x:c>
      <x:c r="C733" t="n">
        <x:v>45962</x:v>
      </x:c>
      <x:c r="D733" t="str">
        <x:v>Entidad financiera B</x:v>
      </x:c>
      <x:c r="E733" t="str">
        <x:v>Crédito de consumo</x:v>
      </x:c>
      <x:c r="F733" t="n">
        <x:v>6950000</x:v>
      </x:c>
      <x:c r="G733" s="40" t="n">
        <x:v>0.3091</x:v>
      </x:c>
      <x:c r="H733" s="40" t="n">
        <x:v>0.022699</x:v>
      </x:c>
      <x:c r="I733" t="n">
        <x:v>48</x:v>
      </x:c>
      <x:c r="J733" t="n">
        <x:v>239200</x:v>
      </x:c>
      <x:c r="K733" t="str">
        <x:v>Bola de nieve</x:v>
      </x:c>
      <x:c r="L733" t="str">
        <x:v>Vigente</x:v>
      </x:c>
      <x:c r="M733" t="n">
        <x:v>6371420.71</x:v>
      </x:c>
      <x:c r="N733"/>
    </x:row>
    <x:row r="734">
      <x:c r="A734" t="str">
        <x:v>DEU-000733</x:v>
      </x:c>
      <x:c r="B734" t="str">
        <x:v>USR-00385</x:v>
      </x:c>
      <x:c r="C734" t="n">
        <x:v>45962</x:v>
      </x:c>
      <x:c r="D734" t="str">
        <x:v>Entidad financiera B</x:v>
      </x:c>
      <x:c r="E734" t="str">
        <x:v>Tarjeta de crédito</x:v>
      </x:c>
      <x:c r="F734" t="n">
        <x:v>2630000</x:v>
      </x:c>
      <x:c r="G734" s="40" t="n">
        <x:v>0.1479</x:v>
      </x:c>
      <x:c r="H734" s="40" t="n">
        <x:v>0.011561</x:v>
      </x:c>
      <x:c r="I734" t="n">
        <x:v>30</x:v>
      </x:c>
      <x:c r="J734" t="n">
        <x:v>104200</x:v>
      </x:c>
      <x:c r="K734" t="str">
        <x:v>Avalancha</x:v>
      </x:c>
      <x:c r="L734" t="str">
        <x:v>Vigente</x:v>
      </x:c>
      <x:c r="M734" t="n">
        <x:v>1899083.55</x:v>
      </x:c>
      <x:c r="N734"/>
    </x:row>
    <x:row r="735">
      <x:c r="A735" t="str">
        <x:v>DEU-000734</x:v>
      </x:c>
      <x:c r="B735" t="str">
        <x:v>USR-00386</x:v>
      </x:c>
      <x:c r="C735" t="n">
        <x:v>45962</x:v>
      </x:c>
      <x:c r="D735" t="str">
        <x:v>Entidad financiera B</x:v>
      </x:c>
      <x:c r="E735" t="str">
        <x:v>Crédito educativo</x:v>
      </x:c>
      <x:c r="F735" t="n">
        <x:v>15850000</x:v>
      </x:c>
      <x:c r="G735" s="40" t="n">
        <x:v>0.312</x:v>
      </x:c>
      <x:c r="H735" s="40" t="n">
        <x:v>0.022887</x:v>
      </x:c>
      <x:c r="I735" t="n">
        <x:v>12</x:v>
      </x:c>
      <x:c r="J735" t="n">
        <x:v>1525500</x:v>
      </x:c>
      <x:c r="K735" t="str">
        <x:v>Bola de nieve</x:v>
      </x:c>
      <x:c r="L735" t="str">
        <x:v>Vigente</x:v>
      </x:c>
      <x:c r="M735" t="n">
        <x:v>2453784.08</x:v>
      </x:c>
      <x:c r="N735"/>
    </x:row>
    <x:row r="736">
      <x:c r="A736" t="str">
        <x:v>DEU-000735</x:v>
      </x:c>
      <x:c r="B736" t="str">
        <x:v>USR-00387</x:v>
      </x:c>
      <x:c r="C736" t="n">
        <x:v>45962</x:v>
      </x:c>
      <x:c r="D736" t="str">
        <x:v>Cooperativa C</x:v>
      </x:c>
      <x:c r="E736" t="str">
        <x:v>Crédito de consumo</x:v>
      </x:c>
      <x:c r="F736" t="n">
        <x:v>17810000</x:v>
      </x:c>
      <x:c r="G736" s="40" t="n">
        <x:v>0.2917</x:v>
      </x:c>
      <x:c r="H736" s="40" t="n">
        <x:v>0.021559</x:v>
      </x:c>
      <x:c r="I736" t="n">
        <x:v>12</x:v>
      </x:c>
      <x:c r="J736" t="n">
        <x:v>1700300</x:v>
      </x:c>
      <x:c r="K736" t="str">
        <x:v>Avalancha</x:v>
      </x:c>
      <x:c r="L736" t="str">
        <x:v>Vigente</x:v>
      </x:c>
      <x:c r="M736" t="n">
        <x:v>4868097.13</x:v>
      </x:c>
      <x:c r="N736"/>
    </x:row>
    <x:row r="737">
      <x:c r="A737" t="str">
        <x:v>DEU-000736</x:v>
      </x:c>
      <x:c r="B737" t="str">
        <x:v>USR-00387</x:v>
      </x:c>
      <x:c r="C737" t="n">
        <x:v>45962</x:v>
      </x:c>
      <x:c r="D737" t="str">
        <x:v>Cooperativa C</x:v>
      </x:c>
      <x:c r="E737" t="str">
        <x:v>Tarjeta de crédito</x:v>
      </x:c>
      <x:c r="F737" t="n">
        <x:v>3070000</x:v>
      </x:c>
      <x:c r="G737" s="40" t="n">
        <x:v>0.1422</x:v>
      </x:c>
      <x:c r="H737" s="40" t="n">
        <x:v>0.011141</x:v>
      </x:c>
      <x:c r="I737" t="n">
        <x:v>60</x:v>
      </x:c>
      <x:c r="J737" t="n">
        <x:v>70400</x:v>
      </x:c>
      <x:c r="K737" t="str">
        <x:v>Avalancha</x:v>
      </x:c>
      <x:c r="L737" t="str">
        <x:v>Vigente</x:v>
      </x:c>
      <x:c r="M737" t="n">
        <x:v>2752185.86</x:v>
      </x:c>
      <x:c r="N737"/>
    </x:row>
    <x:row r="738">
      <x:c r="A738" t="str">
        <x:v>DEU-000737</x:v>
      </x:c>
      <x:c r="B738" t="str">
        <x:v>USR-00388</x:v>
      </x:c>
      <x:c r="C738" t="n">
        <x:v>45962</x:v>
      </x:c>
      <x:c r="D738" t="str">
        <x:v>Entidad financiera B</x:v>
      </x:c>
      <x:c r="E738" t="str">
        <x:v>Crédito de vehículo</x:v>
      </x:c>
      <x:c r="F738" t="n">
        <x:v>11480000</x:v>
      </x:c>
      <x:c r="G738" s="40" t="n">
        <x:v>0.1452</x:v>
      </x:c>
      <x:c r="H738" s="40" t="n">
        <x:v>0.011362</x:v>
      </x:c>
      <x:c r="I738" t="n">
        <x:v>36</x:v>
      </x:c>
      <x:c r="J738" t="n">
        <x:v>390300</x:v>
      </x:c>
      <x:c r="K738" t="str">
        <x:v>Avalancha</x:v>
      </x:c>
      <x:c r="L738" t="str">
        <x:v>Vigente</x:v>
      </x:c>
      <x:c r="M738" t="n">
        <x:v>8685872.68</x:v>
      </x:c>
      <x:c r="N738"/>
    </x:row>
    <x:row r="739">
      <x:c r="A739" t="str">
        <x:v>DEU-000738</x:v>
      </x:c>
      <x:c r="B739" t="str">
        <x:v>USR-00389</x:v>
      </x:c>
      <x:c r="C739" t="n">
        <x:v>45962</x:v>
      </x:c>
      <x:c r="D739" t="str">
        <x:v>Entidad financiera E</x:v>
      </x:c>
      <x:c r="E739" t="str">
        <x:v>Crédito de consumo</x:v>
      </x:c>
      <x:c r="F739" t="n">
        <x:v>4280000</x:v>
      </x:c>
      <x:c r="G739" s="40" t="n">
        <x:v>0.2622</x:v>
      </x:c>
      <x:c r="H739" s="40" t="n">
        <x:v>0.019594</x:v>
      </x:c>
      <x:c r="I739" t="n">
        <x:v>24</x:v>
      </x:c>
      <x:c r="J739" t="n">
        <x:v>225200</x:v>
      </x:c>
      <x:c r="K739" t="str">
        <x:v>Avalancha</x:v>
      </x:c>
      <x:c r="L739" t="str">
        <x:v>Vigente</x:v>
      </x:c>
      <x:c r="M739" t="n">
        <x:v>3208223.94</x:v>
      </x:c>
      <x:c r="N739"/>
    </x:row>
    <x:row r="740">
      <x:c r="A740" t="str">
        <x:v>DEU-000739</x:v>
      </x:c>
      <x:c r="B740" t="str">
        <x:v>USR-00390</x:v>
      </x:c>
      <x:c r="C740" t="n">
        <x:v>45962</x:v>
      </x:c>
      <x:c r="D740" t="str">
        <x:v>Entidad financiera E</x:v>
      </x:c>
      <x:c r="E740" t="str">
        <x:v>Tarjeta de crédito</x:v>
      </x:c>
      <x:c r="F740" t="n">
        <x:v>4060000</x:v>
      </x:c>
      <x:c r="G740" s="40" t="n">
        <x:v>0.312</x:v>
      </x:c>
      <x:c r="H740" s="40" t="n">
        <x:v>0.022887</x:v>
      </x:c>
      <x:c r="I740" t="n">
        <x:v>60</x:v>
      </x:c>
      <x:c r="J740" t="n">
        <x:v>125100</x:v>
      </x:c>
      <x:c r="K740" t="str">
        <x:v>Bola de nieve</x:v>
      </x:c>
      <x:c r="L740" t="str">
        <x:v>Vigente</x:v>
      </x:c>
      <x:c r="M740" t="n">
        <x:v>4028779.97</x:v>
      </x:c>
      <x:c r="N740"/>
    </x:row>
    <x:row r="741">
      <x:c r="A741" t="str">
        <x:v>DEU-000740</x:v>
      </x:c>
      <x:c r="B741" t="str">
        <x:v>USR-00391</x:v>
      </x:c>
      <x:c r="C741" t="n">
        <x:v>45962</x:v>
      </x:c>
      <x:c r="D741" t="str">
        <x:v>Cooperativa C</x:v>
      </x:c>
      <x:c r="E741" t="str">
        <x:v>Tarjeta de crédito</x:v>
      </x:c>
      <x:c r="F741" t="n">
        <x:v>2570000</x:v>
      </x:c>
      <x:c r="G741" s="40" t="n">
        <x:v>0.1681</x:v>
      </x:c>
      <x:c r="H741" s="40" t="n">
        <x:v>0.013032</x:v>
      </x:c>
      <x:c r="I741" t="n">
        <x:v>18</x:v>
      </x:c>
      <x:c r="J741" t="n">
        <x:v>161100</x:v>
      </x:c>
      <x:c r="K741" t="str">
        <x:v>Bola de nieve</x:v>
      </x:c>
      <x:c r="L741" t="str">
        <x:v>Vigente</x:v>
      </x:c>
      <x:c r="M741" t="n">
        <x:v>1157854.99</x:v>
      </x:c>
      <x:c r="N741"/>
    </x:row>
    <x:row r="742">
      <x:c r="A742" t="str">
        <x:v>DEU-000741</x:v>
      </x:c>
      <x:c r="B742" t="str">
        <x:v>USR-00391</x:v>
      </x:c>
      <x:c r="C742" t="n">
        <x:v>45962</x:v>
      </x:c>
      <x:c r="D742" t="str">
        <x:v>Entidad financiera E</x:v>
      </x:c>
      <x:c r="E742" t="str">
        <x:v>Tarjeta de crédito</x:v>
      </x:c>
      <x:c r="F742" t="n">
        <x:v>7970000</x:v>
      </x:c>
      <x:c r="G742" s="40" t="n">
        <x:v>0.1316</x:v>
      </x:c>
      <x:c r="H742" s="40" t="n">
        <x:v>0.010356</x:v>
      </x:c>
      <x:c r="I742" t="n">
        <x:v>18</x:v>
      </x:c>
      <x:c r="J742" t="n">
        <x:v>487600</x:v>
      </x:c>
      <x:c r="K742" t="str">
        <x:v>Avalancha</x:v>
      </x:c>
      <x:c r="L742" t="str">
        <x:v>Vigente</x:v>
      </x:c>
      <x:c r="M742" t="n">
        <x:v>4277531.59</x:v>
      </x:c>
      <x:c r="N742"/>
    </x:row>
    <x:row r="743">
      <x:c r="A743" t="str">
        <x:v>DEU-000742</x:v>
      </x:c>
      <x:c r="B743" t="str">
        <x:v>USR-00391</x:v>
      </x:c>
      <x:c r="C743" t="n">
        <x:v>45962</x:v>
      </x:c>
      <x:c r="D743" t="str">
        <x:v>Entidad financiera A</x:v>
      </x:c>
      <x:c r="E743" t="str">
        <x:v>Tarjeta de crédito</x:v>
      </x:c>
      <x:c r="F743" t="n">
        <x:v>3390000</x:v>
      </x:c>
      <x:c r="G743" s="40" t="n">
        <x:v>0.2952</x:v>
      </x:c>
      <x:c r="H743" s="40" t="n">
        <x:v>0.021789</x:v>
      </x:c>
      <x:c r="I743" t="n">
        <x:v>24</x:v>
      </x:c>
      <x:c r="J743" t="n">
        <x:v>182900</x:v>
      </x:c>
      <x:c r="K743" t="str">
        <x:v>Bola de nieve</x:v>
      </x:c>
      <x:c r="L743" t="str">
        <x:v>Vigente</x:v>
      </x:c>
      <x:c r="M743" t="n">
        <x:v>2747897.9</x:v>
      </x:c>
      <x:c r="N743"/>
    </x:row>
    <x:row r="744">
      <x:c r="A744" t="str">
        <x:v>DEU-000743</x:v>
      </x:c>
      <x:c r="B744" t="str">
        <x:v>USR-00391</x:v>
      </x:c>
      <x:c r="C744" t="n">
        <x:v>45962</x:v>
      </x:c>
      <x:c r="D744" t="str">
        <x:v>Financiera D</x:v>
      </x:c>
      <x:c r="E744" t="str">
        <x:v>Crédito de consumo</x:v>
      </x:c>
      <x:c r="F744" t="n">
        <x:v>9000000</x:v>
      </x:c>
      <x:c r="G744" s="40" t="n">
        <x:v>0.2998</x:v>
      </x:c>
      <x:c r="H744" s="40" t="n">
        <x:v>0.022091</x:v>
      </x:c>
      <x:c r="I744" t="n">
        <x:v>30</x:v>
      </x:c>
      <x:c r="J744" t="n">
        <x:v>413500</x:v>
      </x:c>
      <x:c r="K744" t="str">
        <x:v>Bola de nieve</x:v>
      </x:c>
      <x:c r="L744" t="str">
        <x:v>Vigente</x:v>
      </x:c>
      <x:c r="M744" t="n">
        <x:v>7458538.79</x:v>
      </x:c>
      <x:c r="N744"/>
    </x:row>
    <x:row r="745">
      <x:c r="A745" t="str">
        <x:v>DEU-000744</x:v>
      </x:c>
      <x:c r="B745" t="str">
        <x:v>USR-00391</x:v>
      </x:c>
      <x:c r="C745" t="n">
        <x:v>45962</x:v>
      </x:c>
      <x:c r="D745" t="str">
        <x:v>Financiera D</x:v>
      </x:c>
      <x:c r="E745" t="str">
        <x:v>Tarjeta de crédito</x:v>
      </x:c>
      <x:c r="F745" t="n">
        <x:v>4480000</x:v>
      </x:c>
      <x:c r="G745" s="40" t="n">
        <x:v>0.1215</x:v>
      </x:c>
      <x:c r="H745" s="40" t="n">
        <x:v>0.009601</x:v>
      </x:c>
      <x:c r="I745" t="n">
        <x:v>24</x:v>
      </x:c>
      <x:c r="J745" t="n">
        <x:v>209900</x:v>
      </x:c>
      <x:c r="K745" t="str">
        <x:v>Avalancha</x:v>
      </x:c>
      <x:c r="L745" t="str">
        <x:v>Vigente</x:v>
      </x:c>
      <x:c r="M745" t="n">
        <x:v>3462779.93</x:v>
      </x:c>
      <x:c r="N745"/>
    </x:row>
    <x:row r="746">
      <x:c r="A746" t="str">
        <x:v>DEU-000745</x:v>
      </x:c>
      <x:c r="B746" t="str">
        <x:v>USR-00392</x:v>
      </x:c>
      <x:c r="C746" t="n">
        <x:v>45962</x:v>
      </x:c>
      <x:c r="D746" t="str">
        <x:v>Entidad financiera E</x:v>
      </x:c>
      <x:c r="E746" t="str">
        <x:v>Crédito de consumo</x:v>
      </x:c>
      <x:c r="F746" t="n">
        <x:v>13310000</x:v>
      </x:c>
      <x:c r="G746" s="40" t="n">
        <x:v>0.2714</x:v>
      </x:c>
      <x:c r="H746" s="40" t="n">
        <x:v>0.020211</x:v>
      </x:c>
      <x:c r="I746" t="n">
        <x:v>12</x:v>
      </x:c>
      <x:c r="J746" t="n">
        <x:v>1260200</x:v>
      </x:c>
      <x:c r="K746" t="str">
        <x:v>Avalancha</x:v>
      </x:c>
      <x:c r="L746" t="str">
        <x:v>Vigente</x:v>
      </x:c>
      <x:c r="M746" t="n">
        <x:v>2702113.95</x:v>
      </x:c>
      <x:c r="N746"/>
    </x:row>
    <x:row r="747">
      <x:c r="A747" t="str">
        <x:v>DEU-000746</x:v>
      </x:c>
      <x:c r="B747" t="str">
        <x:v>USR-00392</x:v>
      </x:c>
      <x:c r="C747" t="n">
        <x:v>45962</x:v>
      </x:c>
      <x:c r="D747" t="str">
        <x:v>Entidad financiera E</x:v>
      </x:c>
      <x:c r="E747" t="str">
        <x:v>Tarjeta de crédito</x:v>
      </x:c>
      <x:c r="F747" t="n">
        <x:v>3080000</x:v>
      </x:c>
      <x:c r="G747" s="40" t="n">
        <x:v>0.1551</x:v>
      </x:c>
      <x:c r="H747" s="40" t="n">
        <x:v>0.012088</x:v>
      </x:c>
      <x:c r="I747" t="n">
        <x:v>60</x:v>
      </x:c>
      <x:c r="J747" t="n">
        <x:v>72500</x:v>
      </x:c>
      <x:c r="K747" t="str">
        <x:v>Avalancha</x:v>
      </x:c>
      <x:c r="L747" t="str">
        <x:v>Vigente</x:v>
      </x:c>
      <x:c r="M747" t="n">
        <x:v>3008515.78</x:v>
      </x:c>
      <x:c r="N747"/>
    </x:row>
    <x:row r="748">
      <x:c r="A748" t="str">
        <x:v>DEU-000747</x:v>
      </x:c>
      <x:c r="B748" t="str">
        <x:v>USR-00393</x:v>
      </x:c>
      <x:c r="C748" t="n">
        <x:v>45962</x:v>
      </x:c>
      <x:c r="D748" t="str">
        <x:v>Financiera D</x:v>
      </x:c>
      <x:c r="E748" t="str">
        <x:v>Crédito educativo</x:v>
      </x:c>
      <x:c r="F748" t="n">
        <x:v>7620000</x:v>
      </x:c>
      <x:c r="G748" s="40" t="n">
        <x:v>0.28</x:v>
      </x:c>
      <x:c r="H748" s="40" t="n">
        <x:v>0.020785</x:v>
      </x:c>
      <x:c r="I748" t="n">
        <x:v>12</x:v>
      </x:c>
      <x:c r="J748" t="n">
        <x:v>724000</x:v>
      </x:c>
      <x:c r="K748" t="str">
        <x:v>Avalancha</x:v>
      </x:c>
      <x:c r="L748" t="str">
        <x:v>Vigente</x:v>
      </x:c>
      <x:c r="M748" t="n">
        <x:v>4108857.88</x:v>
      </x:c>
      <x:c r="N748"/>
    </x:row>
    <x:row r="749">
      <x:c r="A749" t="str">
        <x:v>DEU-000748</x:v>
      </x:c>
      <x:c r="B749" t="str">
        <x:v>USR-00393</x:v>
      </x:c>
      <x:c r="C749" t="n">
        <x:v>45962</x:v>
      </x:c>
      <x:c r="D749" t="str">
        <x:v>Entidad financiera B</x:v>
      </x:c>
      <x:c r="E749" t="str">
        <x:v>Crédito de consumo</x:v>
      </x:c>
      <x:c r="F749" t="n">
        <x:v>7230000</x:v>
      </x:c>
      <x:c r="G749" s="40" t="n">
        <x:v>0.1263</x:v>
      </x:c>
      <x:c r="H749" s="40" t="n">
        <x:v>0.009961</x:v>
      </x:c>
      <x:c r="I749" t="n">
        <x:v>60</x:v>
      </x:c>
      <x:c r="J749" t="n">
        <x:v>160700</x:v>
      </x:c>
      <x:c r="K749" t="str">
        <x:v>Bola de nieve</x:v>
      </x:c>
      <x:c r="L749" t="str">
        <x:v>Vigente</x:v>
      </x:c>
      <x:c r="M749" t="n">
        <x:v>6901629.98</x:v>
      </x:c>
      <x:c r="N749"/>
    </x:row>
    <x:row r="750">
      <x:c r="A750" t="str">
        <x:v>DEU-000749</x:v>
      </x:c>
      <x:c r="B750" t="str">
        <x:v>USR-00394</x:v>
      </x:c>
      <x:c r="C750" t="n">
        <x:v>45962</x:v>
      </x:c>
      <x:c r="D750" t="str">
        <x:v>Financiera D</x:v>
      </x:c>
      <x:c r="E750" t="str">
        <x:v>Tarjeta de crédito</x:v>
      </x:c>
      <x:c r="F750" t="n">
        <x:v>3990000</x:v>
      </x:c>
      <x:c r="G750" s="40" t="n">
        <x:v>0.161</x:v>
      </x:c>
      <x:c r="H750" s="40" t="n">
        <x:v>0.012518</x:v>
      </x:c>
      <x:c r="I750" t="n">
        <x:v>12</x:v>
      </x:c>
      <x:c r="J750" t="n">
        <x:v>360200</x:v>
      </x:c>
      <x:c r="K750" t="str">
        <x:v>Avalancha</x:v>
      </x:c>
      <x:c r="L750" t="str">
        <x:v>Vigente</x:v>
      </x:c>
      <x:c r="M750" t="n">
        <x:v>2922220.62</x:v>
      </x:c>
      <x:c r="N750"/>
    </x:row>
    <x:row r="751">
      <x:c r="A751" t="str">
        <x:v>DEU-000750</x:v>
      </x:c>
      <x:c r="B751" t="str">
        <x:v>USR-00395</x:v>
      </x:c>
      <x:c r="C751" t="n">
        <x:v>45962</x:v>
      </x:c>
      <x:c r="D751" t="str">
        <x:v>Entidad financiera E</x:v>
      </x:c>
      <x:c r="E751" t="str">
        <x:v>Crédito educativo</x:v>
      </x:c>
      <x:c r="F751" t="n">
        <x:v>23940000</x:v>
      </x:c>
      <x:c r="G751" s="40" t="n">
        <x:v>0.2839</x:v>
      </x:c>
      <x:c r="H751" s="40" t="n">
        <x:v>0.021044</x:v>
      </x:c>
      <x:c r="I751" t="n">
        <x:v>12</x:v>
      </x:c>
      <x:c r="J751" t="n">
        <x:v>2278300</x:v>
      </x:c>
      <x:c r="K751" t="str">
        <x:v>Avalancha</x:v>
      </x:c>
      <x:c r="L751" t="str">
        <x:v>Vigente</x:v>
      </x:c>
      <x:c r="M751" t="n">
        <x:v>3614856.71</x:v>
      </x:c>
      <x:c r="N751"/>
    </x:row>
    <x:row r="752">
      <x:c r="A752" t="str">
        <x:v>DEU-000751</x:v>
      </x:c>
      <x:c r="B752" t="str">
        <x:v>USR-00396</x:v>
      </x:c>
      <x:c r="C752" t="n">
        <x:v>45962</x:v>
      </x:c>
      <x:c r="D752" t="str">
        <x:v>Cooperativa C</x:v>
      </x:c>
      <x:c r="E752" t="str">
        <x:v>Crédito educativo</x:v>
      </x:c>
      <x:c r="F752" t="n">
        <x:v>22930000</x:v>
      </x:c>
      <x:c r="G752" s="40" t="n">
        <x:v>0.2754</x:v>
      </x:c>
      <x:c r="H752" s="40" t="n">
        <x:v>0.020479</x:v>
      </x:c>
      <x:c r="I752" t="n">
        <x:v>12</x:v>
      </x:c>
      <x:c r="J752" t="n">
        <x:v>2174600</x:v>
      </x:c>
      <x:c r="K752" t="str">
        <x:v>Avalancha</x:v>
      </x:c>
      <x:c r="L752" t="str">
        <x:v>Vigente</x:v>
      </x:c>
      <x:c r="M752" t="n">
        <x:v>4442087.4</x:v>
      </x:c>
      <x:c r="N752"/>
    </x:row>
    <x:row r="753">
      <x:c r="A753" t="str">
        <x:v>DEU-000752</x:v>
      </x:c>
      <x:c r="B753" t="str">
        <x:v>USR-00396</x:v>
      </x:c>
      <x:c r="C753" t="n">
        <x:v>45962</x:v>
      </x:c>
      <x:c r="D753" t="str">
        <x:v>Entidad financiera B</x:v>
      </x:c>
      <x:c r="E753" t="str">
        <x:v>Crédito educativo</x:v>
      </x:c>
      <x:c r="F753" t="n">
        <x:v>3580000</x:v>
      </x:c>
      <x:c r="G753" s="40" t="n">
        <x:v>0.1764</x:v>
      </x:c>
      <x:c r="H753" s="40" t="n">
        <x:v>0.01363</x:v>
      </x:c>
      <x:c r="I753" t="n">
        <x:v>24</x:v>
      </x:c>
      <x:c r="J753" t="n">
        <x:v>175900</x:v>
      </x:c>
      <x:c r="K753" t="str">
        <x:v>Bola de nieve</x:v>
      </x:c>
      <x:c r="L753" t="str">
        <x:v>Vigente</x:v>
      </x:c>
      <x:c r="M753" t="n">
        <x:v>2585706.69</x:v>
      </x:c>
      <x:c r="N753"/>
    </x:row>
    <x:row r="754">
      <x:c r="A754" t="str">
        <x:v>DEU-000753</x:v>
      </x:c>
      <x:c r="B754" t="str">
        <x:v>USR-00396</x:v>
      </x:c>
      <x:c r="C754" t="n">
        <x:v>45962</x:v>
      </x:c>
      <x:c r="D754" t="str">
        <x:v>Cooperativa C</x:v>
      </x:c>
      <x:c r="E754" t="str">
        <x:v>Crédito educativo</x:v>
      </x:c>
      <x:c r="F754" t="n">
        <x:v>26200000</x:v>
      </x:c>
      <x:c r="G754" s="40" t="n">
        <x:v>0.1962</x:v>
      </x:c>
      <x:c r="H754" s="40" t="n">
        <x:v>0.015041</x:v>
      </x:c>
      <x:c r="I754" t="n">
        <x:v>18</x:v>
      </x:c>
      <x:c r="J754" t="n">
        <x:v>1672300</x:v>
      </x:c>
      <x:c r="K754" t="str">
        <x:v>Bola de nieve</x:v>
      </x:c>
      <x:c r="L754" t="str">
        <x:v>Vigente</x:v>
      </x:c>
      <x:c r="M754" t="n">
        <x:v>17514366.12</x:v>
      </x:c>
      <x:c r="N754"/>
    </x:row>
    <x:row r="755">
      <x:c r="A755" t="str">
        <x:v>DEU-000754</x:v>
      </x:c>
      <x:c r="B755" t="str">
        <x:v>USR-00397</x:v>
      </x:c>
      <x:c r="C755" t="n">
        <x:v>45962</x:v>
      </x:c>
      <x:c r="D755" t="str">
        <x:v>Financiera D</x:v>
      </x:c>
      <x:c r="E755" t="str">
        <x:v>Crédito de consumo</x:v>
      </x:c>
      <x:c r="F755" t="n">
        <x:v>9600000</x:v>
      </x:c>
      <x:c r="G755" s="40" t="n">
        <x:v>0.213</x:v>
      </x:c>
      <x:c r="H755" s="40" t="n">
        <x:v>0.016222</x:v>
      </x:c>
      <x:c r="I755" t="n">
        <x:v>36</x:v>
      </x:c>
      <x:c r="J755" t="n">
        <x:v>354200</x:v>
      </x:c>
      <x:c r="K755" t="str">
        <x:v>Avalancha</x:v>
      </x:c>
      <x:c r="L755" t="str">
        <x:v>Vigente</x:v>
      </x:c>
      <x:c r="M755" t="n">
        <x:v>8780646.77</x:v>
      </x:c>
      <x:c r="N755"/>
    </x:row>
    <x:row r="756">
      <x:c r="A756" t="str">
        <x:v>DEU-000755</x:v>
      </x:c>
      <x:c r="B756" t="str">
        <x:v>USR-00398</x:v>
      </x:c>
      <x:c r="C756" t="n">
        <x:v>45962</x:v>
      </x:c>
      <x:c r="D756" t="str">
        <x:v>Cooperativa C</x:v>
      </x:c>
      <x:c r="E756" t="str">
        <x:v>Tarjeta de crédito</x:v>
      </x:c>
      <x:c r="F756" t="n">
        <x:v>4230000</x:v>
      </x:c>
      <x:c r="G756" s="40" t="n">
        <x:v>0.3338</x:v>
      </x:c>
      <x:c r="H756" s="40" t="n">
        <x:v>0.024293</x:v>
      </x:c>
      <x:c r="I756" t="n">
        <x:v>48</x:v>
      </x:c>
      <x:c r="J756" t="n">
        <x:v>150200</x:v>
      </x:c>
      <x:c r="K756" t="str">
        <x:v>Avalancha</x:v>
      </x:c>
      <x:c r="L756" t="str">
        <x:v>Vigente</x:v>
      </x:c>
      <x:c r="M756" t="n">
        <x:v>3956250.96</x:v>
      </x:c>
      <x:c r="N756"/>
    </x:row>
    <x:row r="757">
      <x:c r="A757" t="str">
        <x:v>DEU-000756</x:v>
      </x:c>
      <x:c r="B757" t="str">
        <x:v>USR-00398</x:v>
      </x:c>
      <x:c r="C757" t="n">
        <x:v>45962</x:v>
      </x:c>
      <x:c r="D757" t="str">
        <x:v>Cooperativa C</x:v>
      </x:c>
      <x:c r="E757" t="str">
        <x:v>Crédito de vehículo</x:v>
      </x:c>
      <x:c r="F757" t="n">
        <x:v>29340000</x:v>
      </x:c>
      <x:c r="G757" s="40" t="n">
        <x:v>0.2012</x:v>
      </x:c>
      <x:c r="H757" s="40" t="n">
        <x:v>0.015394</x:v>
      </x:c>
      <x:c r="I757" t="n">
        <x:v>12</x:v>
      </x:c>
      <x:c r="J757" t="n">
        <x:v>2696500</x:v>
      </x:c>
      <x:c r="K757" t="str">
        <x:v>Bola de nieve</x:v>
      </x:c>
      <x:c r="L757" t="str">
        <x:v>Vigente</x:v>
      </x:c>
      <x:c r="M757" t="n">
        <x:v>14184613.35</x:v>
      </x:c>
      <x:c r="N757"/>
    </x:row>
    <x:row r="758">
      <x:c r="A758" t="str">
        <x:v>DEU-000757</x:v>
      </x:c>
      <x:c r="B758" t="str">
        <x:v>USR-00399</x:v>
      </x:c>
      <x:c r="C758" t="n">
        <x:v>45962</x:v>
      </x:c>
      <x:c r="D758" t="str">
        <x:v>Cooperativa C</x:v>
      </x:c>
      <x:c r="E758" t="str">
        <x:v>Tarjeta de crédito</x:v>
      </x:c>
      <x:c r="F758" t="n">
        <x:v>1320000</x:v>
      </x:c>
      <x:c r="G758" s="40" t="n">
        <x:v>0.3018</x:v>
      </x:c>
      <x:c r="H758" s="40" t="n">
        <x:v>0.022222</x:v>
      </x:c>
      <x:c r="I758" t="n">
        <x:v>18</x:v>
      </x:c>
      <x:c r="J758" t="n">
        <x:v>89800</x:v>
      </x:c>
      <x:c r="K758" t="str">
        <x:v>Avalancha</x:v>
      </x:c>
      <x:c r="L758" t="str">
        <x:v>Vigente</x:v>
      </x:c>
      <x:c r="M758" t="n">
        <x:v>754442.14</x:v>
      </x:c>
      <x:c r="N758"/>
    </x:row>
    <x:row r="759">
      <x:c r="A759" t="str">
        <x:v>DEU-000758</x:v>
      </x:c>
      <x:c r="B759" t="str">
        <x:v>USR-00399</x:v>
      </x:c>
      <x:c r="C759" t="n">
        <x:v>45962</x:v>
      </x:c>
      <x:c r="D759" t="str">
        <x:v>Financiera D</x:v>
      </x:c>
      <x:c r="E759" t="str">
        <x:v>Crédito de consumo</x:v>
      </x:c>
      <x:c r="F759" t="n">
        <x:v>2740000</x:v>
      </x:c>
      <x:c r="G759" s="40" t="n">
        <x:v>0.1774</x:v>
      </x:c>
      <x:c r="H759" s="40" t="n">
        <x:v>0.013702</x:v>
      </x:c>
      <x:c r="I759" t="n">
        <x:v>30</x:v>
      </x:c>
      <x:c r="J759" t="n">
        <x:v>112000</x:v>
      </x:c>
      <x:c r="K759" t="str">
        <x:v>Avalancha</x:v>
      </x:c>
      <x:c r="L759" t="str">
        <x:v>Vigente</x:v>
      </x:c>
      <x:c r="M759" t="n">
        <x:v>2352875.17</x:v>
      </x:c>
      <x:c r="N759"/>
    </x:row>
    <x:row r="760">
      <x:c r="A760" t="str">
        <x:v>DEU-000759</x:v>
      </x:c>
      <x:c r="B760" t="str">
        <x:v>USR-00400</x:v>
      </x:c>
      <x:c r="C760" t="n">
        <x:v>45962</x:v>
      </x:c>
      <x:c r="D760" t="str">
        <x:v>Entidad financiera A</x:v>
      </x:c>
      <x:c r="E760" t="str">
        <x:v>Crédito de vehículo</x:v>
      </x:c>
      <x:c r="F760" t="n">
        <x:v>55120000</x:v>
      </x:c>
      <x:c r="G760" s="40" t="n">
        <x:v>0.1268</x:v>
      </x:c>
      <x:c r="H760" s="40" t="n">
        <x:v>0.009998</x:v>
      </x:c>
      <x:c r="I760" t="n">
        <x:v>36</x:v>
      </x:c>
      <x:c r="J760" t="n">
        <x:v>1830700</x:v>
      </x:c>
      <x:c r="K760" t="str">
        <x:v>Avalancha</x:v>
      </x:c>
      <x:c r="L760" t="str">
        <x:v>Vigente</x:v>
      </x:c>
      <x:c r="M760" t="n">
        <x:v>53466870.04</x:v>
      </x:c>
      <x:c r="N760"/>
    </x:row>
    <x:row r="761">
      <x:c r="A761" t="str">
        <x:v>DEU-000760</x:v>
      </x:c>
      <x:c r="B761" t="str">
        <x:v>USR-00401</x:v>
      </x:c>
      <x:c r="C761" t="n">
        <x:v>45962</x:v>
      </x:c>
      <x:c r="D761" t="str">
        <x:v>Entidad financiera B</x:v>
      </x:c>
      <x:c r="E761" t="str">
        <x:v>Crédito de libre inversión</x:v>
      </x:c>
      <x:c r="F761" t="n">
        <x:v>18910000</x:v>
      </x:c>
      <x:c r="G761" s="40" t="n">
        <x:v>0.124</x:v>
      </x:c>
      <x:c r="H761" s="40" t="n">
        <x:v>0.009789</x:v>
      </x:c>
      <x:c r="I761" t="n">
        <x:v>12</x:v>
      </x:c>
      <x:c r="J761" t="n">
        <x:v>1677900</x:v>
      </x:c>
      <x:c r="K761" t="str">
        <x:v>Avalancha</x:v>
      </x:c>
      <x:c r="L761" t="str">
        <x:v>Vigente</x:v>
      </x:c>
      <x:c r="M761" t="n">
        <x:v>7957728.77</x:v>
      </x:c>
      <x:c r="N761"/>
    </x:row>
    <x:row r="762">
      <x:c r="A762" t="str">
        <x:v>DEU-000761</x:v>
      </x:c>
      <x:c r="B762" t="str">
        <x:v>USR-00402</x:v>
      </x:c>
      <x:c r="C762" t="n">
        <x:v>45962</x:v>
      </x:c>
      <x:c r="D762" t="str">
        <x:v>Entidad financiera A</x:v>
      </x:c>
      <x:c r="E762" t="str">
        <x:v>Tarjeta de crédito</x:v>
      </x:c>
      <x:c r="F762" t="n">
        <x:v>920000</x:v>
      </x:c>
      <x:c r="G762" s="40" t="n">
        <x:v>0.1492</x:v>
      </x:c>
      <x:c r="H762" s="40" t="n">
        <x:v>0.011656</x:v>
      </x:c>
      <x:c r="I762" t="n">
        <x:v>18</x:v>
      </x:c>
      <x:c r="J762" t="n">
        <x:v>57000</x:v>
      </x:c>
      <x:c r="K762" t="str">
        <x:v>Avalancha</x:v>
      </x:c>
      <x:c r="L762" t="str">
        <x:v>Vigente</x:v>
      </x:c>
      <x:c r="M762" t="n">
        <x:v>531689.89</x:v>
      </x:c>
      <x:c r="N762"/>
    </x:row>
    <x:row r="763">
      <x:c r="A763" t="str">
        <x:v>DEU-000762</x:v>
      </x:c>
      <x:c r="B763" t="str">
        <x:v>USR-00402</x:v>
      </x:c>
      <x:c r="C763" t="n">
        <x:v>45962</x:v>
      </x:c>
      <x:c r="D763" t="str">
        <x:v>Entidad financiera A</x:v>
      </x:c>
      <x:c r="E763" t="str">
        <x:v>Crédito de consumo</x:v>
      </x:c>
      <x:c r="F763" t="n">
        <x:v>4260000</x:v>
      </x:c>
      <x:c r="G763" s="40" t="n">
        <x:v>0.276</x:v>
      </x:c>
      <x:c r="H763" s="40" t="n">
        <x:v>0.020519</x:v>
      </x:c>
      <x:c r="I763" t="n">
        <x:v>36</x:v>
      </x:c>
      <x:c r="J763" t="n">
        <x:v>168500</x:v>
      </x:c>
      <x:c r="K763" t="str">
        <x:v>Bola de nieve</x:v>
      </x:c>
      <x:c r="L763" t="str">
        <x:v>Vigente</x:v>
      </x:c>
      <x:c r="M763" t="n">
        <x:v>3651825.96</x:v>
      </x:c>
      <x:c r="N763"/>
    </x:row>
    <x:row r="764">
      <x:c r="A764" t="str">
        <x:v>DEU-000763</x:v>
      </x:c>
      <x:c r="B764" t="str">
        <x:v>USR-00403</x:v>
      </x:c>
      <x:c r="C764" t="n">
        <x:v>45962</x:v>
      </x:c>
      <x:c r="D764" t="str">
        <x:v>Financiera D</x:v>
      </x:c>
      <x:c r="E764" t="str">
        <x:v>Crédito de consumo</x:v>
      </x:c>
      <x:c r="F764" t="n">
        <x:v>4610000</x:v>
      </x:c>
      <x:c r="G764" s="40" t="n">
        <x:v>0.2493</x:v>
      </x:c>
      <x:c r="H764" s="40" t="n">
        <x:v>0.018722</x:v>
      </x:c>
      <x:c r="I764" t="n">
        <x:v>30</x:v>
      </x:c>
      <x:c r="J764" t="n">
        <x:v>202200</x:v>
      </x:c>
      <x:c r="K764" t="str">
        <x:v>Avalancha</x:v>
      </x:c>
      <x:c r="L764" t="str">
        <x:v>Vigente</x:v>
      </x:c>
      <x:c r="M764" t="n">
        <x:v>3429985.17</x:v>
      </x:c>
      <x:c r="N764"/>
    </x:row>
    <x:row r="765">
      <x:c r="A765" t="str">
        <x:v>DEU-000764</x:v>
      </x:c>
      <x:c r="B765" t="str">
        <x:v>USR-00404</x:v>
      </x:c>
      <x:c r="C765" t="n">
        <x:v>45962</x:v>
      </x:c>
      <x:c r="D765" t="str">
        <x:v>Entidad financiera E</x:v>
      </x:c>
      <x:c r="E765" t="str">
        <x:v>Tarjeta de crédito</x:v>
      </x:c>
      <x:c r="F765" t="n">
        <x:v>3970000</x:v>
      </x:c>
      <x:c r="G765" s="40" t="n">
        <x:v>0.2858</x:v>
      </x:c>
      <x:c r="H765" s="40" t="n">
        <x:v>0.021169</x:v>
      </x:c>
      <x:c r="I765" t="n">
        <x:v>12</x:v>
      </x:c>
      <x:c r="J765" t="n">
        <x:v>378100</x:v>
      </x:c>
      <x:c r="K765" t="str">
        <x:v>Avalancha</x:v>
      </x:c>
      <x:c r="L765" t="str">
        <x:v>Vigente</x:v>
      </x:c>
      <x:c r="M765" t="n">
        <x:v>2114370.91</x:v>
      </x:c>
      <x:c r="N765"/>
    </x:row>
    <x:row r="766">
      <x:c r="A766" t="str">
        <x:v>DEU-000765</x:v>
      </x:c>
      <x:c r="B766" t="str">
        <x:v>USR-00405</x:v>
      </x:c>
      <x:c r="C766" t="n">
        <x:v>45962</x:v>
      </x:c>
      <x:c r="D766" t="str">
        <x:v>Cooperativa C</x:v>
      </x:c>
      <x:c r="E766" t="str">
        <x:v>Crédito de vehículo</x:v>
      </x:c>
      <x:c r="F766" t="n">
        <x:v>27150000</x:v>
      </x:c>
      <x:c r="G766" s="40" t="n">
        <x:v>0.281</x:v>
      </x:c>
      <x:c r="H766" s="40" t="n">
        <x:v>0.020851</x:v>
      </x:c>
      <x:c r="I766" t="n">
        <x:v>24</x:v>
      </x:c>
      <x:c r="J766" t="n">
        <x:v>1449300</x:v>
      </x:c>
      <x:c r="K766" t="str">
        <x:v>Bola de nieve</x:v>
      </x:c>
      <x:c r="L766" t="str">
        <x:v>Vigente</x:v>
      </x:c>
      <x:c r="M766" t="n">
        <x:v>23790299.88</x:v>
      </x:c>
      <x:c r="N766"/>
    </x:row>
    <x:row r="767">
      <x:c r="A767" t="str">
        <x:v>DEU-000766</x:v>
      </x:c>
      <x:c r="B767" t="str">
        <x:v>USR-00405</x:v>
      </x:c>
      <x:c r="C767" t="n">
        <x:v>45962</x:v>
      </x:c>
      <x:c r="D767" t="str">
        <x:v>Entidad financiera A</x:v>
      </x:c>
      <x:c r="E767" t="str">
        <x:v>Crédito de vehículo</x:v>
      </x:c>
      <x:c r="F767" t="n">
        <x:v>16640000</x:v>
      </x:c>
      <x:c r="G767" s="40" t="n">
        <x:v>0.2829</x:v>
      </x:c>
      <x:c r="H767" s="40" t="n">
        <x:v>0.020977</x:v>
      </x:c>
      <x:c r="I767" t="n">
        <x:v>18</x:v>
      </x:c>
      <x:c r="J767" t="n">
        <x:v>1119500</x:v>
      </x:c>
      <x:c r="K767" t="str">
        <x:v>Avalancha</x:v>
      </x:c>
      <x:c r="L767" t="str">
        <x:v>Vigente</x:v>
      </x:c>
      <x:c r="M767" t="n">
        <x:v>8164874.88</x:v>
      </x:c>
      <x:c r="N767"/>
    </x:row>
    <x:row r="768">
      <x:c r="A768" t="str">
        <x:v>DEU-000767</x:v>
      </x:c>
      <x:c r="B768" t="str">
        <x:v>USR-00406</x:v>
      </x:c>
      <x:c r="C768" t="n">
        <x:v>45962</x:v>
      </x:c>
      <x:c r="D768" t="str">
        <x:v>Entidad financiera B</x:v>
      </x:c>
      <x:c r="E768" t="str">
        <x:v>Crédito de vehículo</x:v>
      </x:c>
      <x:c r="F768" t="n">
        <x:v>39100000</x:v>
      </x:c>
      <x:c r="G768" s="40" t="n">
        <x:v>0.1182</x:v>
      </x:c>
      <x:c r="H768" s="40" t="n">
        <x:v>0.009353</x:v>
      </x:c>
      <x:c r="I768" t="n">
        <x:v>48</x:v>
      </x:c>
      <x:c r="J768" t="n">
        <x:v>1014800</x:v>
      </x:c>
      <x:c r="K768" t="str">
        <x:v>Bola de nieve</x:v>
      </x:c>
      <x:c r="L768" t="str">
        <x:v>Vigente</x:v>
      </x:c>
      <x:c r="M768" t="n">
        <x:v>34403186.36</x:v>
      </x:c>
      <x:c r="N768"/>
    </x:row>
    <x:row r="769">
      <x:c r="A769" t="str">
        <x:v>DEU-000768</x:v>
      </x:c>
      <x:c r="B769" t="str">
        <x:v>USR-00406</x:v>
      </x:c>
      <x:c r="C769" t="n">
        <x:v>45962</x:v>
      </x:c>
      <x:c r="D769" t="str">
        <x:v>Cooperativa C</x:v>
      </x:c>
      <x:c r="E769" t="str">
        <x:v>Crédito educativo</x:v>
      </x:c>
      <x:c r="F769" t="n">
        <x:v>7240000</x:v>
      </x:c>
      <x:c r="G769" s="40" t="n">
        <x:v>0.1707</x:v>
      </x:c>
      <x:c r="H769" s="40" t="n">
        <x:v>0.01322</x:v>
      </x:c>
      <x:c r="I769" t="n">
        <x:v>60</x:v>
      </x:c>
      <x:c r="J769" t="n">
        <x:v>175500</x:v>
      </x:c>
      <x:c r="K769" t="str">
        <x:v>Bola de nieve</x:v>
      </x:c>
      <x:c r="L769" t="str">
        <x:v>Vigente</x:v>
      </x:c>
      <x:c r="M769" t="n">
        <x:v>6579499.85</x:v>
      </x:c>
      <x:c r="N769"/>
    </x:row>
    <x:row r="770">
      <x:c r="A770" t="str">
        <x:v>DEU-000769</x:v>
      </x:c>
      <x:c r="B770" t="str">
        <x:v>USR-00047</x:v>
      </x:c>
      <x:c r="C770" t="n">
        <x:v>45992</x:v>
      </x:c>
      <x:c r="D770" t="str">
        <x:v>Cooperativa C</x:v>
      </x:c>
      <x:c r="E770" t="str">
        <x:v>Crédito de consumo</x:v>
      </x:c>
      <x:c r="F770" t="n">
        <x:v>11210000</x:v>
      </x:c>
      <x:c r="G770" s="40" t="n">
        <x:v>0.2242</x:v>
      </x:c>
      <x:c r="H770" s="40" t="n">
        <x:v>0.017</x:v>
      </x:c>
      <x:c r="I770" t="n">
        <x:v>48</x:v>
      </x:c>
      <x:c r="J770" t="n">
        <x:v>343500</x:v>
      </x:c>
      <x:c r="K770" t="str">
        <x:v>Bola de nieve</x:v>
      </x:c>
      <x:c r="L770" t="str">
        <x:v>Vigente</x:v>
      </x:c>
      <x:c r="M770" t="n">
        <x:v>9449713.01</x:v>
      </x:c>
      <x:c r="N770"/>
    </x:row>
    <x:row r="771">
      <x:c r="A771" t="str">
        <x:v>DEU-000770</x:v>
      </x:c>
      <x:c r="B771" t="str">
        <x:v>USR-00070</x:v>
      </x:c>
      <x:c r="C771" t="n">
        <x:v>45992</x:v>
      </x:c>
      <x:c r="D771" t="str">
        <x:v>Entidad financiera E</x:v>
      </x:c>
      <x:c r="E771" t="str">
        <x:v>Crédito de consumo</x:v>
      </x:c>
      <x:c r="F771" t="n">
        <x:v>11410000</x:v>
      </x:c>
      <x:c r="G771" s="40" t="n">
        <x:v>0.2192</x:v>
      </x:c>
      <x:c r="H771" s="40" t="n">
        <x:v>0.016653</x:v>
      </x:c>
      <x:c r="I771" t="n">
        <x:v>30</x:v>
      </x:c>
      <x:c r="J771" t="n">
        <x:v>486300</x:v>
      </x:c>
      <x:c r="K771" t="str">
        <x:v>Bola de nieve</x:v>
      </x:c>
      <x:c r="L771" t="str">
        <x:v>Vigente</x:v>
      </x:c>
      <x:c r="M771" t="n">
        <x:v>9158231.3</x:v>
      </x:c>
      <x:c r="N771"/>
    </x:row>
    <x:row r="772">
      <x:c r="A772" t="str">
        <x:v>DEU-000771</x:v>
      </x:c>
      <x:c r="B772" t="str">
        <x:v>USR-00097</x:v>
      </x:c>
      <x:c r="C772" t="n">
        <x:v>45992</x:v>
      </x:c>
      <x:c r="D772" t="str">
        <x:v>Entidad financiera B</x:v>
      </x:c>
      <x:c r="E772" t="str">
        <x:v>Tarjeta de crédito</x:v>
      </x:c>
      <x:c r="F772" t="n">
        <x:v>4380000</x:v>
      </x:c>
      <x:c r="G772" s="40" t="n">
        <x:v>0.1472</x:v>
      </x:c>
      <x:c r="H772" s="40" t="n">
        <x:v>0.011509</x:v>
      </x:c>
      <x:c r="I772" t="n">
        <x:v>36</x:v>
      </x:c>
      <x:c r="J772" t="n">
        <x:v>149300</x:v>
      </x:c>
      <x:c r="K772" t="str">
        <x:v>Avalancha</x:v>
      </x:c>
      <x:c r="L772" t="str">
        <x:v>Vigente</x:v>
      </x:c>
      <x:c r="M772" t="n">
        <x:v>3501307.74</x:v>
      </x:c>
      <x:c r="N772"/>
    </x:row>
    <x:row r="773">
      <x:c r="A773" t="str">
        <x:v>DEU-000772</x:v>
      </x:c>
      <x:c r="B773" t="str">
        <x:v>USR-00231</x:v>
      </x:c>
      <x:c r="C773" t="n">
        <x:v>45992</x:v>
      </x:c>
      <x:c r="D773" t="str">
        <x:v>Cooperativa C</x:v>
      </x:c>
      <x:c r="E773" t="str">
        <x:v>Tarjeta de crédito</x:v>
      </x:c>
      <x:c r="F773" t="n">
        <x:v>5760000</x:v>
      </x:c>
      <x:c r="G773" s="40" t="n">
        <x:v>0.1225</x:v>
      </x:c>
      <x:c r="H773" s="40" t="n">
        <x:v>0.009676</x:v>
      </x:c>
      <x:c r="I773" t="n">
        <x:v>48</x:v>
      </x:c>
      <x:c r="J773" t="n">
        <x:v>150600</x:v>
      </x:c>
      <x:c r="K773" t="str">
        <x:v>Avalancha</x:v>
      </x:c>
      <x:c r="L773" t="str">
        <x:v>Vigente</x:v>
      </x:c>
      <x:c r="M773" t="n">
        <x:v>5557156.44</x:v>
      </x:c>
      <x:c r="N773"/>
    </x:row>
    <x:row r="774">
      <x:c r="A774" t="str">
        <x:v>DEU-000773</x:v>
      </x:c>
      <x:c r="B774" t="str">
        <x:v>USR-00304</x:v>
      </x:c>
      <x:c r="C774" t="n">
        <x:v>45992</x:v>
      </x:c>
      <x:c r="D774" t="str">
        <x:v>Financiera D</x:v>
      </x:c>
      <x:c r="E774" t="str">
        <x:v>Crédito de vehículo</x:v>
      </x:c>
      <x:c r="F774" t="n">
        <x:v>47660000</x:v>
      </x:c>
      <x:c r="G774" s="40" t="n">
        <x:v>0.3324</x:v>
      </x:c>
      <x:c r="H774" s="40" t="n">
        <x:v>0.024203</x:v>
      </x:c>
      <x:c r="I774" t="n">
        <x:v>30</x:v>
      </x:c>
      <x:c r="J774" t="n">
        <x:v>2253000</x:v>
      </x:c>
      <x:c r="K774" t="str">
        <x:v>Bola de nieve</x:v>
      </x:c>
      <x:c r="L774" t="str">
        <x:v>Vigente</x:v>
      </x:c>
      <x:c r="M774" t="n">
        <x:v>38124575.88</x:v>
      </x:c>
      <x:c r="N774"/>
    </x:row>
    <x:row r="775">
      <x:c r="A775" t="str">
        <x:v>DEU-000774</x:v>
      </x:c>
      <x:c r="B775" t="str">
        <x:v>USR-00406</x:v>
      </x:c>
      <x:c r="C775" t="n">
        <x:v>45992</x:v>
      </x:c>
      <x:c r="D775" t="str">
        <x:v>Entidad financiera B</x:v>
      </x:c>
      <x:c r="E775" t="str">
        <x:v>Tarjeta de crédito</x:v>
      </x:c>
      <x:c r="F775" t="n">
        <x:v>6520000</x:v>
      </x:c>
      <x:c r="G775" s="40" t="n">
        <x:v>0.2694</x:v>
      </x:c>
      <x:c r="H775" s="40" t="n">
        <x:v>0.020078</x:v>
      </x:c>
      <x:c r="I775" t="n">
        <x:v>18</x:v>
      </x:c>
      <x:c r="J775" t="n">
        <x:v>435200</x:v>
      </x:c>
      <x:c r="K775" t="str">
        <x:v>Avalancha</x:v>
      </x:c>
      <x:c r="L775" t="str">
        <x:v>Vigente</x:v>
      </x:c>
      <x:c r="M775" t="n">
        <x:v>3151654.72</x:v>
      </x:c>
      <x:c r="N775"/>
    </x:row>
    <x:row r="776">
      <x:c r="A776" t="str">
        <x:v>DEU-000775</x:v>
      </x:c>
      <x:c r="B776" t="str">
        <x:v>USR-00407</x:v>
      </x:c>
      <x:c r="C776" t="n">
        <x:v>45992</x:v>
      </x:c>
      <x:c r="D776" t="str">
        <x:v>Entidad financiera E</x:v>
      </x:c>
      <x:c r="E776" t="str">
        <x:v>Crédito de consumo</x:v>
      </x:c>
      <x:c r="F776" t="n">
        <x:v>10900000</x:v>
      </x:c>
      <x:c r="G776" s="40" t="n">
        <x:v>0.1121</x:v>
      </x:c>
      <x:c r="H776" s="40" t="n">
        <x:v>0.008893</x:v>
      </x:c>
      <x:c r="I776" t="n">
        <x:v>30</x:v>
      </x:c>
      <x:c r="J776" t="n">
        <x:v>415600</x:v>
      </x:c>
      <x:c r="K776" t="str">
        <x:v>Bola de nieve</x:v>
      </x:c>
      <x:c r="L776" t="str">
        <x:v>Vigente</x:v>
      </x:c>
      <x:c r="M776" t="n">
        <x:v>9770488.9</x:v>
      </x:c>
      <x:c r="N776"/>
    </x:row>
    <x:row r="777">
      <x:c r="A777" t="str">
        <x:v>DEU-000776</x:v>
      </x:c>
      <x:c r="B777" t="str">
        <x:v>USR-00408</x:v>
      </x:c>
      <x:c r="C777" t="n">
        <x:v>45992</x:v>
      </x:c>
      <x:c r="D777" t="str">
        <x:v>Entidad financiera B</x:v>
      </x:c>
      <x:c r="E777" t="str">
        <x:v>Crédito comercial</x:v>
      </x:c>
      <x:c r="F777" t="n">
        <x:v>23020000</x:v>
      </x:c>
      <x:c r="G777" s="40" t="n">
        <x:v>0.3415</x:v>
      </x:c>
      <x:c r="H777" s="40" t="n">
        <x:v>0.024785</x:v>
      </x:c>
      <x:c r="I777" t="n">
        <x:v>18</x:v>
      </x:c>
      <x:c r="J777" t="n">
        <x:v>1600800</x:v>
      </x:c>
      <x:c r="K777" t="str">
        <x:v>Avalancha</x:v>
      </x:c>
      <x:c r="L777" t="str">
        <x:v>Vigente</x:v>
      </x:c>
      <x:c r="M777" t="n">
        <x:v>14819024.01</x:v>
      </x:c>
      <x:c r="N777"/>
    </x:row>
    <x:row r="778">
      <x:c r="A778" t="str">
        <x:v>DEU-000777</x:v>
      </x:c>
      <x:c r="B778" t="str">
        <x:v>USR-00408</x:v>
      </x:c>
      <x:c r="C778" t="n">
        <x:v>45992</x:v>
      </x:c>
      <x:c r="D778" t="str">
        <x:v>Entidad financiera E</x:v>
      </x:c>
      <x:c r="E778" t="str">
        <x:v>Tarjeta de crédito</x:v>
      </x:c>
      <x:c r="F778" t="n">
        <x:v>7650000</x:v>
      </x:c>
      <x:c r="G778" s="40" t="n">
        <x:v>0.2297</x:v>
      </x:c>
      <x:c r="H778" s="40" t="n">
        <x:v>0.01738</x:v>
      </x:c>
      <x:c r="I778" t="n">
        <x:v>48</x:v>
      </x:c>
      <x:c r="J778" t="n">
        <x:v>236300</x:v>
      </x:c>
      <x:c r="K778" t="str">
        <x:v>Bola de nieve</x:v>
      </x:c>
      <x:c r="L778" t="str">
        <x:v>Vigente</x:v>
      </x:c>
      <x:c r="M778" t="n">
        <x:v>6961537.36</x:v>
      </x:c>
      <x:c r="N778"/>
    </x:row>
    <x:row r="779">
      <x:c r="A779" t="str">
        <x:v>DEU-000778</x:v>
      </x:c>
      <x:c r="B779" t="str">
        <x:v>USR-00409</x:v>
      </x:c>
      <x:c r="C779" t="n">
        <x:v>45992</x:v>
      </x:c>
      <x:c r="D779" t="str">
        <x:v>Financiera D</x:v>
      </x:c>
      <x:c r="E779" t="str">
        <x:v>Tarjeta de crédito</x:v>
      </x:c>
      <x:c r="F779" t="n">
        <x:v>3240000</x:v>
      </x:c>
      <x:c r="G779" s="40" t="n">
        <x:v>0.2407</x:v>
      </x:c>
      <x:c r="H779" s="40" t="n">
        <x:v>0.018135</x:v>
      </x:c>
      <x:c r="I779" t="n">
        <x:v>60</x:v>
      </x:c>
      <x:c r="J779" t="n">
        <x:v>89000</x:v>
      </x:c>
      <x:c r="K779" t="str">
        <x:v>Avalancha</x:v>
      </x:c>
      <x:c r="L779" t="str">
        <x:v>Vigente</x:v>
      </x:c>
      <x:c r="M779" t="n">
        <x:v>2986187.97</x:v>
      </x:c>
      <x:c r="N779"/>
    </x:row>
    <x:row r="780">
      <x:c r="A780" t="str">
        <x:v>DEU-000779</x:v>
      </x:c>
      <x:c r="B780" t="str">
        <x:v>USR-00409</x:v>
      </x:c>
      <x:c r="C780" t="n">
        <x:v>45992</x:v>
      </x:c>
      <x:c r="D780" t="str">
        <x:v>Financiera D</x:v>
      </x:c>
      <x:c r="E780" t="str">
        <x:v>Crédito educativo</x:v>
      </x:c>
      <x:c r="F780" t="n">
        <x:v>16590000</x:v>
      </x:c>
      <x:c r="G780" s="40" t="n">
        <x:v>0.3431</x:v>
      </x:c>
      <x:c r="H780" s="40" t="n">
        <x:v>0.024886</x:v>
      </x:c>
      <x:c r="I780" t="n">
        <x:v>30</x:v>
      </x:c>
      <x:c r="J780" t="n">
        <x:v>791400</x:v>
      </x:c>
      <x:c r="K780" t="str">
        <x:v>Bola de nieve</x:v>
      </x:c>
      <x:c r="L780" t="str">
        <x:v>Vigente</x:v>
      </x:c>
      <x:c r="M780" t="n">
        <x:v>12939725.9</x:v>
      </x:c>
      <x:c r="N780"/>
    </x:row>
    <x:row r="781">
      <x:c r="A781" t="str">
        <x:v>DEU-000780</x:v>
      </x:c>
      <x:c r="B781" t="str">
        <x:v>USR-00410</x:v>
      </x:c>
      <x:c r="C781" t="n">
        <x:v>45992</x:v>
      </x:c>
      <x:c r="D781" t="str">
        <x:v>Entidad financiera E</x:v>
      </x:c>
      <x:c r="E781" t="str">
        <x:v>Tarjeta de crédito</x:v>
      </x:c>
      <x:c r="F781" t="n">
        <x:v>5480000</x:v>
      </x:c>
      <x:c r="G781" s="40" t="n">
        <x:v>0.3061</x:v>
      </x:c>
      <x:c r="H781" s="40" t="n">
        <x:v>0.022503</x:v>
      </x:c>
      <x:c r="I781" t="n">
        <x:v>60</x:v>
      </x:c>
      <x:c r="J781" t="n">
        <x:v>167300</x:v>
      </x:c>
      <x:c r="K781" t="str">
        <x:v>Bola de nieve</x:v>
      </x:c>
      <x:c r="L781" t="str">
        <x:v>Vigente</x:v>
      </x:c>
      <x:c r="M781" t="n">
        <x:v>5282288.01</x:v>
      </x:c>
      <x:c r="N781"/>
    </x:row>
    <x:row r="782">
      <x:c r="A782" t="str">
        <x:v>DEU-000781</x:v>
      </x:c>
      <x:c r="B782" t="str">
        <x:v>USR-00410</x:v>
      </x:c>
      <x:c r="C782" t="n">
        <x:v>45992</x:v>
      </x:c>
      <x:c r="D782" t="str">
        <x:v>Financiera D</x:v>
      </x:c>
      <x:c r="E782" t="str">
        <x:v>Crédito de consumo</x:v>
      </x:c>
      <x:c r="F782" t="n">
        <x:v>15290000</x:v>
      </x:c>
      <x:c r="G782" s="40" t="n">
        <x:v>0.3325</x:v>
      </x:c>
      <x:c r="H782" s="40" t="n">
        <x:v>0.02421</x:v>
      </x:c>
      <x:c r="I782" t="n">
        <x:v>30</x:v>
      </x:c>
      <x:c r="J782" t="n">
        <x:v>722800</x:v>
      </x:c>
      <x:c r="K782" t="str">
        <x:v>Bola de nieve</x:v>
      </x:c>
      <x:c r="L782" t="str">
        <x:v>Vigente</x:v>
      </x:c>
      <x:c r="M782" t="n">
        <x:v>15333533.45</x:v>
      </x:c>
      <x:c r="N782"/>
    </x:row>
    <x:row r="783">
      <x:c r="A783" t="str">
        <x:v>DEU-000782</x:v>
      </x:c>
      <x:c r="B783" t="str">
        <x:v>USR-00411</x:v>
      </x:c>
      <x:c r="C783" t="n">
        <x:v>45992</x:v>
      </x:c>
      <x:c r="D783" t="str">
        <x:v>Cooperativa C</x:v>
      </x:c>
      <x:c r="E783" t="str">
        <x:v>Crédito educativo</x:v>
      </x:c>
      <x:c r="F783" t="n">
        <x:v>18680000</x:v>
      </x:c>
      <x:c r="G783" s="40" t="n">
        <x:v>0.261</x:v>
      </x:c>
      <x:c r="H783" s="40" t="n">
        <x:v>0.019513</x:v>
      </x:c>
      <x:c r="I783" t="n">
        <x:v>12</x:v>
      </x:c>
      <x:c r="J783" t="n">
        <x:v>1761100</x:v>
      </x:c>
      <x:c r="K783" t="str">
        <x:v>Avalancha</x:v>
      </x:c>
      <x:c r="L783" t="str">
        <x:v>Vigente</x:v>
      </x:c>
      <x:c r="M783" t="n">
        <x:v>5297323.04</x:v>
      </x:c>
      <x:c r="N783"/>
    </x:row>
    <x:row r="784">
      <x:c r="A784" t="str">
        <x:v>DEU-000783</x:v>
      </x:c>
      <x:c r="B784" t="str">
        <x:v>USR-00412</x:v>
      </x:c>
      <x:c r="C784" t="n">
        <x:v>45992</x:v>
      </x:c>
      <x:c r="D784" t="str">
        <x:v>Financiera D</x:v>
      </x:c>
      <x:c r="E784" t="str">
        <x:v>Crédito educativo</x:v>
      </x:c>
      <x:c r="F784" t="n">
        <x:v>25640000</x:v>
      </x:c>
      <x:c r="G784" s="40" t="n">
        <x:v>0.1733</x:v>
      </x:c>
      <x:c r="H784" s="40" t="n">
        <x:v>0.013407</x:v>
      </x:c>
      <x:c r="I784" t="n">
        <x:v>12</x:v>
      </x:c>
      <x:c r="J784" t="n">
        <x:v>2327400</x:v>
      </x:c>
      <x:c r="K784" t="str">
        <x:v>Avalancha</x:v>
      </x:c>
      <x:c r="L784" t="str">
        <x:v>Vigente</x:v>
      </x:c>
      <x:c r="M784" t="n">
        <x:v>17111889.95</x:v>
      </x:c>
      <x:c r="N784"/>
    </x:row>
    <x:row r="785">
      <x:c r="A785" t="str">
        <x:v>DEU-000784</x:v>
      </x:c>
      <x:c r="B785" t="str">
        <x:v>USR-00413</x:v>
      </x:c>
      <x:c r="C785" t="n">
        <x:v>45992</x:v>
      </x:c>
      <x:c r="D785" t="str">
        <x:v>Entidad financiera B</x:v>
      </x:c>
      <x:c r="E785" t="str">
        <x:v>Tarjeta de crédito</x:v>
      </x:c>
      <x:c r="F785" t="n">
        <x:v>4670000</x:v>
      </x:c>
      <x:c r="G785" s="40" t="n">
        <x:v>0.3211</x:v>
      </x:c>
      <x:c r="H785" s="40" t="n">
        <x:v>0.023477</x:v>
      </x:c>
      <x:c r="I785" t="n">
        <x:v>48</x:v>
      </x:c>
      <x:c r="J785" t="n">
        <x:v>163200</x:v>
      </x:c>
      <x:c r="K785" t="str">
        <x:v>Avalancha</x:v>
      </x:c>
      <x:c r="L785" t="str">
        <x:v>Vigente</x:v>
      </x:c>
      <x:c r="M785" t="n">
        <x:v>4544439.06</x:v>
      </x:c>
      <x:c r="N785"/>
    </x:row>
    <x:row r="786">
      <x:c r="A786" t="str">
        <x:v>DEU-000785</x:v>
      </x:c>
      <x:c r="B786" t="str">
        <x:v>USR-00413</x:v>
      </x:c>
      <x:c r="C786" t="n">
        <x:v>45992</x:v>
      </x:c>
      <x:c r="D786" t="str">
        <x:v>Cooperativa C</x:v>
      </x:c>
      <x:c r="E786" t="str">
        <x:v>Tarjeta de crédito</x:v>
      </x:c>
      <x:c r="F786" t="n">
        <x:v>2790000</x:v>
      </x:c>
      <x:c r="G786" s="40" t="n">
        <x:v>0.2343</x:v>
      </x:c>
      <x:c r="H786" s="40" t="n">
        <x:v>0.017697</x:v>
      </x:c>
      <x:c r="I786" t="n">
        <x:v>12</x:v>
      </x:c>
      <x:c r="J786" t="n">
        <x:v>260100</x:v>
      </x:c>
      <x:c r="K786" t="str">
        <x:v>Avalancha</x:v>
      </x:c>
      <x:c r="L786" t="str">
        <x:v>Vigente</x:v>
      </x:c>
      <x:c r="M786" t="n">
        <x:v>1412404.9</x:v>
      </x:c>
      <x:c r="N786"/>
    </x:row>
    <x:row r="787">
      <x:c r="A787" t="str">
        <x:v>DEU-000786</x:v>
      </x:c>
      <x:c r="B787" t="str">
        <x:v>USR-00414</x:v>
      </x:c>
      <x:c r="C787" t="n">
        <x:v>45992</x:v>
      </x:c>
      <x:c r="D787" t="str">
        <x:v>Entidad financiera A</x:v>
      </x:c>
      <x:c r="E787" t="str">
        <x:v>Crédito de libre inversión</x:v>
      </x:c>
      <x:c r="F787" t="n">
        <x:v>2710000</x:v>
      </x:c>
      <x:c r="G787" s="40" t="n">
        <x:v>0.2353</x:v>
      </x:c>
      <x:c r="H787" s="40" t="n">
        <x:v>0.017765</x:v>
      </x:c>
      <x:c r="I787" t="n">
        <x:v>30</x:v>
      </x:c>
      <x:c r="J787" t="n">
        <x:v>117300</x:v>
      </x:c>
      <x:c r="K787" t="str">
        <x:v>Bola de nieve</x:v>
      </x:c>
      <x:c r="L787" t="str">
        <x:v>Vigente</x:v>
      </x:c>
      <x:c r="M787" t="n">
        <x:v>2108885.74</x:v>
      </x:c>
      <x:c r="N787"/>
    </x:row>
    <x:row r="788">
      <x:c r="A788" t="str">
        <x:v>DEU-000787</x:v>
      </x:c>
      <x:c r="B788" t="str">
        <x:v>USR-00414</x:v>
      </x:c>
      <x:c r="C788" t="n">
        <x:v>45992</x:v>
      </x:c>
      <x:c r="D788" t="str">
        <x:v>Entidad financiera E</x:v>
      </x:c>
      <x:c r="E788" t="str">
        <x:v>Tarjeta de crédito</x:v>
      </x:c>
      <x:c r="F788" t="n">
        <x:v>7840000</x:v>
      </x:c>
      <x:c r="G788" s="40" t="n">
        <x:v>0.1962</x:v>
      </x:c>
      <x:c r="H788" s="40" t="n">
        <x:v>0.015041</x:v>
      </x:c>
      <x:c r="I788" t="n">
        <x:v>48</x:v>
      </x:c>
      <x:c r="J788" t="n">
        <x:v>230500</x:v>
      </x:c>
      <x:c r="K788" t="str">
        <x:v>Avalancha</x:v>
      </x:c>
      <x:c r="L788" t="str">
        <x:v>Vigente</x:v>
      </x:c>
      <x:c r="M788" t="n">
        <x:v>6393301.99</x:v>
      </x:c>
      <x:c r="N788"/>
    </x:row>
    <x:row r="789">
      <x:c r="A789" t="str">
        <x:v>DEU-000788</x:v>
      </x:c>
      <x:c r="B789" t="str">
        <x:v>USR-00414</x:v>
      </x:c>
      <x:c r="C789" t="n">
        <x:v>45992</x:v>
      </x:c>
      <x:c r="D789" t="str">
        <x:v>Entidad financiera A</x:v>
      </x:c>
      <x:c r="E789" t="str">
        <x:v>Crédito educativo</x:v>
      </x:c>
      <x:c r="F789" t="n">
        <x:v>22110000</x:v>
      </x:c>
      <x:c r="G789" s="40" t="n">
        <x:v>0.2054</x:v>
      </x:c>
      <x:c r="H789" s="40" t="n">
        <x:v>0.015689</x:v>
      </x:c>
      <x:c r="I789" t="n">
        <x:v>12</x:v>
      </x:c>
      <x:c r="J789" t="n">
        <x:v>2035800</x:v>
      </x:c>
      <x:c r="K789" t="str">
        <x:v>Avalancha</x:v>
      </x:c>
      <x:c r="L789" t="str">
        <x:v>Vigente</x:v>
      </x:c>
      <x:c r="M789" t="n">
        <x:v>7083726.93</x:v>
      </x:c>
      <x:c r="N789"/>
    </x:row>
    <x:row r="790">
      <x:c r="A790" t="str">
        <x:v>DEU-000789</x:v>
      </x:c>
      <x:c r="B790" t="str">
        <x:v>USR-00414</x:v>
      </x:c>
      <x:c r="C790" t="n">
        <x:v>45992</x:v>
      </x:c>
      <x:c r="D790" t="str">
        <x:v>Financiera D</x:v>
      </x:c>
      <x:c r="E790" t="str">
        <x:v>Crédito de consumo</x:v>
      </x:c>
      <x:c r="F790" t="n">
        <x:v>11380000</x:v>
      </x:c>
      <x:c r="G790" s="40" t="n">
        <x:v>0.2781</x:v>
      </x:c>
      <x:c r="H790" s="40" t="n">
        <x:v>0.020658</x:v>
      </x:c>
      <x:c r="I790" t="n">
        <x:v>24</x:v>
      </x:c>
      <x:c r="J790" t="n">
        <x:v>606200</x:v>
      </x:c>
      <x:c r="K790" t="str">
        <x:v>Bola de nieve</x:v>
      </x:c>
      <x:c r="L790" t="str">
        <x:v>Vigente</x:v>
      </x:c>
      <x:c r="M790" t="n">
        <x:v>10405349.64</x:v>
      </x:c>
      <x:c r="N790"/>
    </x:row>
    <x:row r="791">
      <x:c r="A791" t="str">
        <x:v>DEU-000790</x:v>
      </x:c>
      <x:c r="B791" t="str">
        <x:v>USR-00415</x:v>
      </x:c>
      <x:c r="C791" t="n">
        <x:v>45992</x:v>
      </x:c>
      <x:c r="D791" t="str">
        <x:v>Entidad financiera E</x:v>
      </x:c>
      <x:c r="E791" t="str">
        <x:v>Crédito de consumo</x:v>
      </x:c>
      <x:c r="F791" t="n">
        <x:v>10270000</x:v>
      </x:c>
      <x:c r="G791" s="40" t="n">
        <x:v>0.3002</x:v>
      </x:c>
      <x:c r="H791" s="40" t="n">
        <x:v>0.022118</x:v>
      </x:c>
      <x:c r="I791" t="n">
        <x:v>30</x:v>
      </x:c>
      <x:c r="J791" t="n">
        <x:v>472000</x:v>
      </x:c>
      <x:c r="K791" t="str">
        <x:v>Avalancha</x:v>
      </x:c>
      <x:c r="L791" t="str">
        <x:v>Vigente</x:v>
      </x:c>
      <x:c r="M791" t="n">
        <x:v>8855227.74</x:v>
      </x:c>
      <x:c r="N791"/>
    </x:row>
    <x:row r="792">
      <x:c r="A792" t="str">
        <x:v>DEU-000791</x:v>
      </x:c>
      <x:c r="B792" t="str">
        <x:v>USR-00416</x:v>
      </x:c>
      <x:c r="C792" t="n">
        <x:v>45992</x:v>
      </x:c>
      <x:c r="D792" t="str">
        <x:v>Entidad financiera E</x:v>
      </x:c>
      <x:c r="E792" t="str">
        <x:v>Tarjeta de crédito</x:v>
      </x:c>
      <x:c r="F792" t="n">
        <x:v>7520000</x:v>
      </x:c>
      <x:c r="G792" s="40" t="n">
        <x:v>0.1886</x:v>
      </x:c>
      <x:c r="H792" s="40" t="n">
        <x:v>0.014502</x:v>
      </x:c>
      <x:c r="I792" t="n">
        <x:v>60</x:v>
      </x:c>
      <x:c r="J792" t="n">
        <x:v>188500</x:v>
      </x:c>
      <x:c r="K792" t="str">
        <x:v>Bola de nieve</x:v>
      </x:c>
      <x:c r="L792" t="str">
        <x:v>Vigente</x:v>
      </x:c>
      <x:c r="M792" t="n">
        <x:v>7185957.48</x:v>
      </x:c>
      <x:c r="N792"/>
    </x:row>
    <x:row r="793">
      <x:c r="A793" t="str">
        <x:v>DEU-000792</x:v>
      </x:c>
      <x:c r="B793" t="str">
        <x:v>USR-00416</x:v>
      </x:c>
      <x:c r="C793" t="n">
        <x:v>45992</x:v>
      </x:c>
      <x:c r="D793" t="str">
        <x:v>Entidad financiera E</x:v>
      </x:c>
      <x:c r="E793" t="str">
        <x:v>Crédito de consumo</x:v>
      </x:c>
      <x:c r="F793" t="n">
        <x:v>13920000</x:v>
      </x:c>
      <x:c r="G793" s="40" t="n">
        <x:v>0.1124</x:v>
      </x:c>
      <x:c r="H793" s="40" t="n">
        <x:v>0.008916</x:v>
      </x:c>
      <x:c r="I793" t="n">
        <x:v>60</x:v>
      </x:c>
      <x:c r="J793" t="n">
        <x:v>300600</x:v>
      </x:c>
      <x:c r="K793" t="str">
        <x:v>Bola de nieve</x:v>
      </x:c>
      <x:c r="L793" t="str">
        <x:v>Vigente</x:v>
      </x:c>
      <x:c r="M793" t="n">
        <x:v>12422163.79</x:v>
      </x:c>
      <x:c r="N793"/>
    </x:row>
    <x:row r="794">
      <x:c r="A794" t="str">
        <x:v>DEU-000793</x:v>
      </x:c>
      <x:c r="B794" t="str">
        <x:v>USR-00417</x:v>
      </x:c>
      <x:c r="C794" t="n">
        <x:v>45992</x:v>
      </x:c>
      <x:c r="D794" t="str">
        <x:v>Entidad financiera B</x:v>
      </x:c>
      <x:c r="E794" t="str">
        <x:v>Tarjeta de crédito</x:v>
      </x:c>
      <x:c r="F794" t="n">
        <x:v>1350000</x:v>
      </x:c>
      <x:c r="G794" s="40" t="n">
        <x:v>0.3261</x:v>
      </x:c>
      <x:c r="H794" s="40" t="n">
        <x:v>0.023799</x:v>
      </x:c>
      <x:c r="I794" t="n">
        <x:v>36</x:v>
      </x:c>
      <x:c r="J794" t="n">
        <x:v>56200</x:v>
      </x:c>
      <x:c r="K794" t="str">
        <x:v>Bola de nieve</x:v>
      </x:c>
      <x:c r="L794" t="str">
        <x:v>Vigente</x:v>
      </x:c>
      <x:c r="M794" t="n">
        <x:v>1212737.29</x:v>
      </x:c>
      <x:c r="N794"/>
    </x:row>
    <x:row r="795">
      <x:c r="A795" t="str">
        <x:v>DEU-000794</x:v>
      </x:c>
      <x:c r="B795" t="str">
        <x:v>USR-00418</x:v>
      </x:c>
      <x:c r="C795" t="n">
        <x:v>45992</x:v>
      </x:c>
      <x:c r="D795" t="str">
        <x:v>Entidad financiera E</x:v>
      </x:c>
      <x:c r="E795" t="str">
        <x:v>Crédito de consumo</x:v>
      </x:c>
      <x:c r="F795" t="n">
        <x:v>3190000</x:v>
      </x:c>
      <x:c r="G795" s="40" t="n">
        <x:v>0.2868</x:v>
      </x:c>
      <x:c r="H795" s="40" t="n">
        <x:v>0.021236</x:v>
      </x:c>
      <x:c r="I795" t="n">
        <x:v>30</x:v>
      </x:c>
      <x:c r="J795" t="n">
        <x:v>144900</x:v>
      </x:c>
      <x:c r="K795" t="str">
        <x:v>Bola de nieve</x:v>
      </x:c>
      <x:c r="L795" t="str">
        <x:v>Vigente</x:v>
      </x:c>
      <x:c r="M795" t="n">
        <x:v>2999059.83</x:v>
      </x:c>
      <x:c r="N795"/>
    </x:row>
    <x:row r="796">
      <x:c r="A796" t="str">
        <x:v>DEU-000795</x:v>
      </x:c>
      <x:c r="B796" t="str">
        <x:v>USR-00418</x:v>
      </x:c>
      <x:c r="C796" t="n">
        <x:v>45992</x:v>
      </x:c>
      <x:c r="D796" t="str">
        <x:v>Entidad financiera B</x:v>
      </x:c>
      <x:c r="E796" t="str">
        <x:v>Crédito de libre inversión</x:v>
      </x:c>
      <x:c r="F796" t="n">
        <x:v>23680000</x:v>
      </x:c>
      <x:c r="G796" s="40" t="n">
        <x:v>0.1455</x:v>
      </x:c>
      <x:c r="H796" s="40" t="n">
        <x:v>0.011384</x:v>
      </x:c>
      <x:c r="I796" t="n">
        <x:v>48</x:v>
      </x:c>
      <x:c r="J796" t="n">
        <x:v>643100</x:v>
      </x:c>
      <x:c r="K796" t="str">
        <x:v>Avalancha</x:v>
      </x:c>
      <x:c r="L796" t="str">
        <x:v>Vigente</x:v>
      </x:c>
      <x:c r="M796" t="n">
        <x:v>21848014.29</x:v>
      </x:c>
      <x:c r="N796"/>
    </x:row>
    <x:row r="797">
      <x:c r="A797" t="str">
        <x:v>DEU-000796</x:v>
      </x:c>
      <x:c r="B797" t="str">
        <x:v>USR-00419</x:v>
      </x:c>
      <x:c r="C797" t="n">
        <x:v>45992</x:v>
      </x:c>
      <x:c r="D797" t="str">
        <x:v>Financiera D</x:v>
      </x:c>
      <x:c r="E797" t="str">
        <x:v>Crédito de vehículo</x:v>
      </x:c>
      <x:c r="F797" t="n">
        <x:v>30980000</x:v>
      </x:c>
      <x:c r="G797" s="40" t="n">
        <x:v>0.2218</x:v>
      </x:c>
      <x:c r="H797" s="40" t="n">
        <x:v>0.016834</x:v>
      </x:c>
      <x:c r="I797" t="n">
        <x:v>12</x:v>
      </x:c>
      <x:c r="J797" t="n">
        <x:v>2872800</x:v>
      </x:c>
      <x:c r="K797" t="str">
        <x:v>Avalancha</x:v>
      </x:c>
      <x:c r="L797" t="str">
        <x:v>Vigente</x:v>
      </x:c>
      <x:c r="M797" t="n">
        <x:v>8373932.63</x:v>
      </x:c>
      <x:c r="N797"/>
    </x:row>
    <x:row r="798">
      <x:c r="A798" t="str">
        <x:v>DEU-000797</x:v>
      </x:c>
      <x:c r="B798" t="str">
        <x:v>USR-00419</x:v>
      </x:c>
      <x:c r="C798" t="n">
        <x:v>45992</x:v>
      </x:c>
      <x:c r="D798" t="str">
        <x:v>Financiera D</x:v>
      </x:c>
      <x:c r="E798" t="str">
        <x:v>Crédito de libre inversión</x:v>
      </x:c>
      <x:c r="F798" t="n">
        <x:v>9420000</x:v>
      </x:c>
      <x:c r="G798" s="40" t="n">
        <x:v>0.2708</x:v>
      </x:c>
      <x:c r="H798" s="40" t="n">
        <x:v>0.020171</x:v>
      </x:c>
      <x:c r="I798" t="n">
        <x:v>60</x:v>
      </x:c>
      <x:c r="J798" t="n">
        <x:v>272100</x:v>
      </x:c>
      <x:c r="K798" t="str">
        <x:v>Bola de nieve</x:v>
      </x:c>
      <x:c r="L798" t="str">
        <x:v>Vigente</x:v>
      </x:c>
      <x:c r="M798" t="n">
        <x:v>9736125.71</x:v>
      </x:c>
      <x:c r="N798"/>
    </x:row>
    <x:row r="799">
      <x:c r="A799" t="str">
        <x:v>DEU-000798</x:v>
      </x:c>
      <x:c r="B799" t="str">
        <x:v>USR-00420</x:v>
      </x:c>
      <x:c r="C799" t="n">
        <x:v>45992</x:v>
      </x:c>
      <x:c r="D799" t="str">
        <x:v>Financiera D</x:v>
      </x:c>
      <x:c r="E799" t="str">
        <x:v>Crédito comercial</x:v>
      </x:c>
      <x:c r="F799" t="n">
        <x:v>29280000</x:v>
      </x:c>
      <x:c r="G799" s="40" t="n">
        <x:v>0.2142</x:v>
      </x:c>
      <x:c r="H799" s="40" t="n">
        <x:v>0.016305</x:v>
      </x:c>
      <x:c r="I799" t="n">
        <x:v>24</x:v>
      </x:c>
      <x:c r="J799" t="n">
        <x:v>1484000</x:v>
      </x:c>
      <x:c r="K799" t="str">
        <x:v>Avalancha</x:v>
      </x:c>
      <x:c r="L799" t="str">
        <x:v>Vigente</x:v>
      </x:c>
      <x:c r="M799" t="n">
        <x:v>21996536.34</x:v>
      </x:c>
      <x:c r="N799"/>
    </x:row>
    <x:row r="800">
      <x:c r="A800" t="str">
        <x:v>DEU-000799</x:v>
      </x:c>
      <x:c r="B800" t="str">
        <x:v>USR-00420</x:v>
      </x:c>
      <x:c r="C800" t="n">
        <x:v>45992</x:v>
      </x:c>
      <x:c r="D800" t="str">
        <x:v>Entidad financiera E</x:v>
      </x:c>
      <x:c r="E800" t="str">
        <x:v>Crédito de consumo</x:v>
      </x:c>
      <x:c r="F800" t="n">
        <x:v>12090000</x:v>
      </x:c>
      <x:c r="G800" s="40" t="n">
        <x:v>0.3198</x:v>
      </x:c>
      <x:c r="H800" s="40" t="n">
        <x:v>0.023393</x:v>
      </x:c>
      <x:c r="I800" t="n">
        <x:v>18</x:v>
      </x:c>
      <x:c r="J800" t="n">
        <x:v>830700</x:v>
      </x:c>
      <x:c r="K800" t="str">
        <x:v>Avalancha</x:v>
      </x:c>
      <x:c r="L800" t="str">
        <x:v>Vigente</x:v>
      </x:c>
      <x:c r="M800" t="n">
        <x:v>9689142.89</x:v>
      </x:c>
      <x:c r="N800"/>
    </x:row>
    <x:row r="801">
      <x:c r="A801" t="str">
        <x:v>DEU-000800</x:v>
      </x:c>
      <x:c r="B801" t="str">
        <x:v>USR-00420</x:v>
      </x:c>
      <x:c r="C801" t="n">
        <x:v>45992</x:v>
      </x:c>
      <x:c r="D801" t="str">
        <x:v>Entidad financiera B</x:v>
      </x:c>
      <x:c r="E801" t="str">
        <x:v>Tarjeta de crédito</x:v>
      </x:c>
      <x:c r="F801" t="n">
        <x:v>4740000</x:v>
      </x:c>
      <x:c r="G801" s="40" t="n">
        <x:v>0.1154</x:v>
      </x:c>
      <x:c r="H801" s="40" t="n">
        <x:v>0.009143</x:v>
      </x:c>
      <x:c r="I801" t="n">
        <x:v>60</x:v>
      </x:c>
      <x:c r="J801" t="n">
        <x:v>103000</x:v>
      </x:c>
      <x:c r="K801" t="str">
        <x:v>Avalancha</x:v>
      </x:c>
      <x:c r="L801" t="str">
        <x:v>Vigente</x:v>
      </x:c>
      <x:c r="M801" t="n">
        <x:v>4030869</x:v>
      </x:c>
      <x:c r="N801"/>
    </x:row>
    <x:row r="802">
      <x:c r="A802" t="str">
        <x:v>DEU-000801</x:v>
      </x:c>
      <x:c r="B802" t="str">
        <x:v>USR-00421</x:v>
      </x:c>
      <x:c r="C802" t="n">
        <x:v>45992</x:v>
      </x:c>
      <x:c r="D802" t="str">
        <x:v>Entidad financiera B</x:v>
      </x:c>
      <x:c r="E802" t="str">
        <x:v>Tarjeta de crédito</x:v>
      </x:c>
      <x:c r="F802" t="n">
        <x:v>4720000</x:v>
      </x:c>
      <x:c r="G802" s="40" t="n">
        <x:v>0.1184</x:v>
      </x:c>
      <x:c r="H802" s="40" t="n">
        <x:v>0.009369</x:v>
      </x:c>
      <x:c r="I802" t="n">
        <x:v>36</x:v>
      </x:c>
      <x:c r="J802" t="n">
        <x:v>155100</x:v>
      </x:c>
      <x:c r="K802" t="str">
        <x:v>Avalancha</x:v>
      </x:c>
      <x:c r="L802" t="str">
        <x:v>Vigente</x:v>
      </x:c>
      <x:c r="M802" t="n">
        <x:v>3845970.38</x:v>
      </x:c>
      <x:c r="N802"/>
    </x:row>
    <x:row r="803">
      <x:c r="A803" t="str">
        <x:v>DEU-000802</x:v>
      </x:c>
      <x:c r="B803" t="str">
        <x:v>USR-00421</x:v>
      </x:c>
      <x:c r="C803" t="n">
        <x:v>45992</x:v>
      </x:c>
      <x:c r="D803" t="str">
        <x:v>Entidad financiera A</x:v>
      </x:c>
      <x:c r="E803" t="str">
        <x:v>Tarjeta de crédito</x:v>
      </x:c>
      <x:c r="F803" t="n">
        <x:v>6430000</x:v>
      </x:c>
      <x:c r="G803" s="40" t="n">
        <x:v>0.126</x:v>
      </x:c>
      <x:c r="H803" s="40" t="n">
        <x:v>0.009938</x:v>
      </x:c>
      <x:c r="I803" t="n">
        <x:v>48</x:v>
      </x:c>
      <x:c r="J803" t="n">
        <x:v>169100</x:v>
      </x:c>
      <x:c r="K803" t="str">
        <x:v>Bola de nieve</x:v>
      </x:c>
      <x:c r="L803" t="str">
        <x:v>Vigente</x:v>
      </x:c>
      <x:c r="M803" t="n">
        <x:v>5680715.16</x:v>
      </x:c>
      <x:c r="N803"/>
    </x:row>
    <x:row r="804">
      <x:c r="A804" t="str">
        <x:v>DEU-000803</x:v>
      </x:c>
      <x:c r="B804" t="str">
        <x:v>USR-00422</x:v>
      </x:c>
      <x:c r="C804" t="n">
        <x:v>45992</x:v>
      </x:c>
      <x:c r="D804" t="str">
        <x:v>Entidad financiera B</x:v>
      </x:c>
      <x:c r="E804" t="str">
        <x:v>Crédito educativo</x:v>
      </x:c>
      <x:c r="F804" t="n">
        <x:v>15660000</x:v>
      </x:c>
      <x:c r="G804" s="40" t="n">
        <x:v>0.1618</x:v>
      </x:c>
      <x:c r="H804" s="40" t="n">
        <x:v>0.012576</x:v>
      </x:c>
      <x:c r="I804" t="n">
        <x:v>18</x:v>
      </x:c>
      <x:c r="J804" t="n">
        <x:v>977600</x:v>
      </x:c>
      <x:c r="K804" t="str">
        <x:v>Bola de nieve</x:v>
      </x:c>
      <x:c r="L804" t="str">
        <x:v>Vigente</x:v>
      </x:c>
      <x:c r="M804" t="n">
        <x:v>10657068.81</x:v>
      </x:c>
      <x:c r="N804"/>
    </x:row>
    <x:row r="805">
      <x:c r="A805" t="str">
        <x:v>DEU-000804</x:v>
      </x:c>
      <x:c r="B805" t="str">
        <x:v>USR-00422</x:v>
      </x:c>
      <x:c r="C805" t="n">
        <x:v>45992</x:v>
      </x:c>
      <x:c r="D805" t="str">
        <x:v>Entidad financiera E</x:v>
      </x:c>
      <x:c r="E805" t="str">
        <x:v>Crédito de libre inversión</x:v>
      </x:c>
      <x:c r="F805" t="n">
        <x:v>18120000</x:v>
      </x:c>
      <x:c r="G805" s="40" t="n">
        <x:v>0.3066</x:v>
      </x:c>
      <x:c r="H805" s="40" t="n">
        <x:v>0.022536</x:v>
      </x:c>
      <x:c r="I805" t="n">
        <x:v>48</x:v>
      </x:c>
      <x:c r="J805" t="n">
        <x:v>621600</x:v>
      </x:c>
      <x:c r="K805" t="str">
        <x:v>Avalancha</x:v>
      </x:c>
      <x:c r="L805" t="str">
        <x:v>Vigente</x:v>
      </x:c>
      <x:c r="M805" t="n">
        <x:v>15363039.85</x:v>
      </x:c>
      <x:c r="N805"/>
    </x:row>
    <x:row r="806">
      <x:c r="A806" t="str">
        <x:v>DEU-000805</x:v>
      </x:c>
      <x:c r="B806" t="str">
        <x:v>USR-00423</x:v>
      </x:c>
      <x:c r="C806" t="n">
        <x:v>45992</x:v>
      </x:c>
      <x:c r="D806" t="str">
        <x:v>Entidad financiera E</x:v>
      </x:c>
      <x:c r="E806" t="str">
        <x:v>Crédito de vehículo</x:v>
      </x:c>
      <x:c r="F806" t="n">
        <x:v>48480000</x:v>
      </x:c>
      <x:c r="G806" s="40" t="n">
        <x:v>0.3256</x:v>
      </x:c>
      <x:c r="H806" s="40" t="n">
        <x:v>0.023767</x:v>
      </x:c>
      <x:c r="I806" t="n">
        <x:v>60</x:v>
      </x:c>
      <x:c r="J806" t="n">
        <x:v>1524700</x:v>
      </x:c>
      <x:c r="K806" t="str">
        <x:v>Bola de nieve</x:v>
      </x:c>
      <x:c r="L806" t="str">
        <x:v>Vigente</x:v>
      </x:c>
      <x:c r="M806" t="n">
        <x:v>50022164.94</x:v>
      </x:c>
      <x:c r="N806"/>
    </x:row>
    <x:row r="807">
      <x:c r="A807" t="str">
        <x:v>DEU-000806</x:v>
      </x:c>
      <x:c r="B807" t="str">
        <x:v>USR-00423</x:v>
      </x:c>
      <x:c r="C807" t="n">
        <x:v>45992</x:v>
      </x:c>
      <x:c r="D807" t="str">
        <x:v>Cooperativa C</x:v>
      </x:c>
      <x:c r="E807" t="str">
        <x:v>Crédito de vehículo</x:v>
      </x:c>
      <x:c r="F807" t="n">
        <x:v>40720000</x:v>
      </x:c>
      <x:c r="G807" s="40" t="n">
        <x:v>0.15</x:v>
      </x:c>
      <x:c r="H807" s="40" t="n">
        <x:v>0.011715</x:v>
      </x:c>
      <x:c r="I807" t="n">
        <x:v>24</x:v>
      </x:c>
      <x:c r="J807" t="n">
        <x:v>1956200</x:v>
      </x:c>
      <x:c r="K807" t="str">
        <x:v>Avalancha</x:v>
      </x:c>
      <x:c r="L807" t="str">
        <x:v>Vigente</x:v>
      </x:c>
      <x:c r="M807" t="n">
        <x:v>24760901.23</x:v>
      </x:c>
      <x:c r="N807"/>
    </x:row>
    <x:row r="808">
      <x:c r="A808" t="str">
        <x:v>DEU-000807</x:v>
      </x:c>
      <x:c r="B808" t="str">
        <x:v>USR-00424</x:v>
      </x:c>
      <x:c r="C808" t="n">
        <x:v>45992</x:v>
      </x:c>
      <x:c r="D808" t="str">
        <x:v>Cooperativa C</x:v>
      </x:c>
      <x:c r="E808" t="str">
        <x:v>Crédito de consumo</x:v>
      </x:c>
      <x:c r="F808" t="n">
        <x:v>12640000</x:v>
      </x:c>
      <x:c r="G808" s="40" t="n">
        <x:v>0.244</x:v>
      </x:c>
      <x:c r="H808" s="40" t="n">
        <x:v>0.018361</x:v>
      </x:c>
      <x:c r="I808" t="n">
        <x:v>12</x:v>
      </x:c>
      <x:c r="J808" t="n">
        <x:v>1183200</x:v>
      </x:c>
      <x:c r="K808" t="str">
        <x:v>Bola de nieve</x:v>
      </x:c>
      <x:c r="L808" t="str">
        <x:v>Vigente</x:v>
      </x:c>
      <x:c r="M808" t="n">
        <x:v>4708142.96</x:v>
      </x:c>
      <x:c r="N808"/>
    </x:row>
    <x:row r="809">
      <x:c r="A809" t="str">
        <x:v>DEU-000808</x:v>
      </x:c>
      <x:c r="B809" t="str">
        <x:v>USR-00424</x:v>
      </x:c>
      <x:c r="C809" t="n">
        <x:v>45992</x:v>
      </x:c>
      <x:c r="D809" t="str">
        <x:v>Entidad financiera B</x:v>
      </x:c>
      <x:c r="E809" t="str">
        <x:v>Tarjeta de crédito</x:v>
      </x:c>
      <x:c r="F809" t="n">
        <x:v>1170000</x:v>
      </x:c>
      <x:c r="G809" s="40" t="n">
        <x:v>0.2578</x:v>
      </x:c>
      <x:c r="H809" s="40" t="n">
        <x:v>0.019298</x:v>
      </x:c>
      <x:c r="I809" t="n">
        <x:v>60</x:v>
      </x:c>
      <x:c r="J809" t="n">
        <x:v>33100</x:v>
      </x:c>
      <x:c r="K809" t="str">
        <x:v>Bola de nieve</x:v>
      </x:c>
      <x:c r="L809" t="str">
        <x:v>Vigente</x:v>
      </x:c>
      <x:c r="M809" t="n">
        <x:v>1106758.88</x:v>
      </x:c>
      <x:c r="N809"/>
    </x:row>
    <x:row r="810">
      <x:c r="A810" t="str">
        <x:v>DEU-000809</x:v>
      </x:c>
      <x:c r="B810" t="str">
        <x:v>USR-00425</x:v>
      </x:c>
      <x:c r="C810" t="n">
        <x:v>45992</x:v>
      </x:c>
      <x:c r="D810" t="str">
        <x:v>Entidad financiera B</x:v>
      </x:c>
      <x:c r="E810" t="str">
        <x:v>Crédito de vehículo</x:v>
      </x:c>
      <x:c r="F810" t="n">
        <x:v>46970000</x:v>
      </x:c>
      <x:c r="G810" s="40" t="n">
        <x:v>0.1274</x:v>
      </x:c>
      <x:c r="H810" s="40" t="n">
        <x:v>0.010043</x:v>
      </x:c>
      <x:c r="I810" t="n">
        <x:v>36</x:v>
      </x:c>
      <x:c r="J810" t="n">
        <x:v>1561200</x:v>
      </x:c>
      <x:c r="K810" t="str">
        <x:v>Bola de nieve</x:v>
      </x:c>
      <x:c r="L810" t="str">
        <x:v>Vigente</x:v>
      </x:c>
      <x:c r="M810" t="n">
        <x:v>38850497.98</x:v>
      </x:c>
      <x:c r="N810"/>
    </x:row>
    <x:row r="811">
      <x:c r="A811" t="str">
        <x:v>DEU-000810</x:v>
      </x:c>
      <x:c r="B811" t="str">
        <x:v>USR-00426</x:v>
      </x:c>
      <x:c r="C811" t="n">
        <x:v>45992</x:v>
      </x:c>
      <x:c r="D811" t="str">
        <x:v>Entidad financiera E</x:v>
      </x:c>
      <x:c r="E811" t="str">
        <x:v>Tarjeta de crédito</x:v>
      </x:c>
      <x:c r="F811" t="n">
        <x:v>2170000</x:v>
      </x:c>
      <x:c r="G811" s="40" t="n">
        <x:v>0.1582</x:v>
      </x:c>
      <x:c r="H811" s="40" t="n">
        <x:v>0.012314</x:v>
      </x:c>
      <x:c r="I811" t="n">
        <x:v>36</x:v>
      </x:c>
      <x:c r="J811" t="n">
        <x:v>75000</x:v>
      </x:c>
      <x:c r="K811" t="str">
        <x:v>Avalancha</x:v>
      </x:c>
      <x:c r="L811" t="str">
        <x:v>Vigente</x:v>
      </x:c>
      <x:c r="M811" t="n">
        <x:v>1690046.62</x:v>
      </x:c>
      <x:c r="N811"/>
    </x:row>
    <x:row r="812">
      <x:c r="A812" t="str">
        <x:v>DEU-000811</x:v>
      </x:c>
      <x:c r="B812" t="str">
        <x:v>USR-00426</x:v>
      </x:c>
      <x:c r="C812" t="n">
        <x:v>45992</x:v>
      </x:c>
      <x:c r="D812" t="str">
        <x:v>Entidad financiera A</x:v>
      </x:c>
      <x:c r="E812" t="str">
        <x:v>Crédito de consumo</x:v>
      </x:c>
      <x:c r="F812" t="n">
        <x:v>4200000</x:v>
      </x:c>
      <x:c r="G812" s="40" t="n">
        <x:v>0.2471</x:v>
      </x:c>
      <x:c r="H812" s="40" t="n">
        <x:v>0.018572</x:v>
      </x:c>
      <x:c r="I812" t="n">
        <x:v>12</x:v>
      </x:c>
      <x:c r="J812" t="n">
        <x:v>393700</x:v>
      </x:c>
      <x:c r="K812" t="str">
        <x:v>Bola de nieve</x:v>
      </x:c>
      <x:c r="L812" t="str">
        <x:v>Vigente</x:v>
      </x:c>
      <x:c r="M812" t="n">
        <x:v>1630514.47</x:v>
      </x:c>
      <x:c r="N812"/>
    </x:row>
    <x:row r="813">
      <x:c r="A813" t="str">
        <x:v>DEU-000812</x:v>
      </x:c>
      <x:c r="B813" t="str">
        <x:v>USR-00426</x:v>
      </x:c>
      <x:c r="C813" t="n">
        <x:v>45992</x:v>
      </x:c>
      <x:c r="D813" t="str">
        <x:v>Entidad financiera E</x:v>
      </x:c>
      <x:c r="E813" t="str">
        <x:v>Crédito de vehículo</x:v>
      </x:c>
      <x:c r="F813" t="n">
        <x:v>37880000</x:v>
      </x:c>
      <x:c r="G813" s="40" t="n">
        <x:v>0.2598</x:v>
      </x:c>
      <x:c r="H813" s="40" t="n">
        <x:v>0.019432</x:v>
      </x:c>
      <x:c r="I813" t="n">
        <x:v>60</x:v>
      </x:c>
      <x:c r="J813" t="n">
        <x:v>1074800</x:v>
      </x:c>
      <x:c r="K813" t="str">
        <x:v>Bola de nieve</x:v>
      </x:c>
      <x:c r="L813" t="str">
        <x:v>Vigente</x:v>
      </x:c>
      <x:c r="M813" t="n">
        <x:v>39806473.84</x:v>
      </x:c>
      <x:c r="N813"/>
    </x:row>
    <x:row r="814">
      <x:c r="A814" t="str">
        <x:v>DEU-000813</x:v>
      </x:c>
      <x:c r="B814" t="str">
        <x:v>USR-00427</x:v>
      </x:c>
      <x:c r="C814" t="n">
        <x:v>45992</x:v>
      </x:c>
      <x:c r="D814" t="str">
        <x:v>Financiera D</x:v>
      </x:c>
      <x:c r="E814" t="str">
        <x:v>Crédito comercial</x:v>
      </x:c>
      <x:c r="F814" t="n">
        <x:v>28630000</x:v>
      </x:c>
      <x:c r="G814" s="40" t="n">
        <x:v>0.3025</x:v>
      </x:c>
      <x:c r="H814" s="40" t="n">
        <x:v>0.022268</x:v>
      </x:c>
      <x:c r="I814" t="n">
        <x:v>12</x:v>
      </x:c>
      <x:c r="J814" t="n">
        <x:v>2745100</x:v>
      </x:c>
      <x:c r="K814" t="str">
        <x:v>Avalancha</x:v>
      </x:c>
      <x:c r="L814" t="str">
        <x:v>Vigente</x:v>
      </x:c>
      <x:c r="M814" t="n">
        <x:v>14914502.61</x:v>
      </x:c>
      <x:c r="N814"/>
    </x:row>
    <x:row r="815">
      <x:c r="A815" t="str">
        <x:v>DEU-000814</x:v>
      </x:c>
      <x:c r="B815" t="str">
        <x:v>USR-00427</x:v>
      </x:c>
      <x:c r="C815" t="n">
        <x:v>45992</x:v>
      </x:c>
      <x:c r="D815" t="str">
        <x:v>Entidad financiera E</x:v>
      </x:c>
      <x:c r="E815" t="str">
        <x:v>Crédito de libre inversión</x:v>
      </x:c>
      <x:c r="F815" t="n">
        <x:v>16260000</x:v>
      </x:c>
      <x:c r="G815" s="40" t="n">
        <x:v>0.1376</x:v>
      </x:c>
      <x:c r="H815" s="40" t="n">
        <x:v>0.010801</x:v>
      </x:c>
      <x:c r="I815" t="n">
        <x:v>18</x:v>
      </x:c>
      <x:c r="J815" t="n">
        <x:v>998800</x:v>
      </x:c>
      <x:c r="K815" t="str">
        <x:v>Bola de nieve</x:v>
      </x:c>
      <x:c r="L815" t="str">
        <x:v>Vigente</x:v>
      </x:c>
      <x:c r="M815" t="n">
        <x:v>10581224.89</x:v>
      </x:c>
      <x:c r="N815"/>
    </x:row>
    <x:row r="816">
      <x:c r="A816" t="str">
        <x:v>DEU-000815</x:v>
      </x:c>
      <x:c r="B816" t="str">
        <x:v>USR-00428</x:v>
      </x:c>
      <x:c r="C816" t="n">
        <x:v>45992</x:v>
      </x:c>
      <x:c r="D816" t="str">
        <x:v>Financiera D</x:v>
      </x:c>
      <x:c r="E816" t="str">
        <x:v>Tarjeta de crédito</x:v>
      </x:c>
      <x:c r="F816" t="n">
        <x:v>5190000</x:v>
      </x:c>
      <x:c r="G816" s="40" t="n">
        <x:v>0.3136</x:v>
      </x:c>
      <x:c r="H816" s="40" t="n">
        <x:v>0.022991</x:v>
      </x:c>
      <x:c r="I816" t="n">
        <x:v>18</x:v>
      </x:c>
      <x:c r="J816" t="n">
        <x:v>355400</x:v>
      </x:c>
      <x:c r="K816" t="str">
        <x:v>Avalancha</x:v>
      </x:c>
      <x:c r="L816" t="str">
        <x:v>Vigente</x:v>
      </x:c>
      <x:c r="M816" t="n">
        <x:v>4007811.7</x:v>
      </x:c>
      <x:c r="N816"/>
    </x:row>
    <x:row r="817">
      <x:c r="A817" t="str">
        <x:v>DEU-000816</x:v>
      </x:c>
      <x:c r="B817" t="str">
        <x:v>USR-00429</x:v>
      </x:c>
      <x:c r="C817" t="n">
        <x:v>45992</x:v>
      </x:c>
      <x:c r="D817" t="str">
        <x:v>Entidad financiera B</x:v>
      </x:c>
      <x:c r="E817" t="str">
        <x:v>Crédito de vehículo</x:v>
      </x:c>
      <x:c r="F817" t="n">
        <x:v>49210000</x:v>
      </x:c>
      <x:c r="G817" s="40" t="n">
        <x:v>0.2629</x:v>
      </x:c>
      <x:c r="H817" s="40" t="n">
        <x:v>0.019641</x:v>
      </x:c>
      <x:c r="I817" t="n">
        <x:v>12</x:v>
      </x:c>
      <x:c r="J817" t="n">
        <x:v>4643000</x:v>
      </x:c>
      <x:c r="K817" t="str">
        <x:v>Avalancha</x:v>
      </x:c>
      <x:c r="L817" t="str">
        <x:v>Vigente</x:v>
      </x:c>
      <x:c r="M817" t="n">
        <x:v>32983554.51</x:v>
      </x:c>
      <x:c r="N817"/>
    </x:row>
    <x:row r="818">
      <x:c r="A818" t="str">
        <x:v>DEU-000817</x:v>
      </x:c>
      <x:c r="B818" t="str">
        <x:v>USR-00430</x:v>
      </x:c>
      <x:c r="C818" t="n">
        <x:v>45992</x:v>
      </x:c>
      <x:c r="D818" t="str">
        <x:v>Entidad financiera E</x:v>
      </x:c>
      <x:c r="E818" t="str">
        <x:v>Tarjeta de crédito</x:v>
      </x:c>
      <x:c r="F818" t="n">
        <x:v>7300000</x:v>
      </x:c>
      <x:c r="G818" s="40" t="n">
        <x:v>0.1244</x:v>
      </x:c>
      <x:c r="H818" s="40" t="n">
        <x:v>0.009819</x:v>
      </x:c>
      <x:c r="I818" t="n">
        <x:v>30</x:v>
      </x:c>
      <x:c r="J818" t="n">
        <x:v>282100</x:v>
      </x:c>
      <x:c r="K818" t="str">
        <x:v>Avalancha</x:v>
      </x:c>
      <x:c r="L818" t="str">
        <x:v>Vigente</x:v>
      </x:c>
      <x:c r="M818" t="n">
        <x:v>4735374.38</x:v>
      </x:c>
      <x:c r="N818"/>
    </x:row>
    <x:row r="819">
      <x:c r="A819" t="str">
        <x:v>DEU-000818</x:v>
      </x:c>
      <x:c r="B819" t="str">
        <x:v>USR-00431</x:v>
      </x:c>
      <x:c r="C819" t="n">
        <x:v>45992</x:v>
      </x:c>
      <x:c r="D819" t="str">
        <x:v>Entidad financiera B</x:v>
      </x:c>
      <x:c r="E819" t="str">
        <x:v>Tarjeta de crédito</x:v>
      </x:c>
      <x:c r="F819" t="n">
        <x:v>700000</x:v>
      </x:c>
      <x:c r="G819" s="40" t="n">
        <x:v>0.2875</x:v>
      </x:c>
      <x:c r="H819" s="40" t="n">
        <x:v>0.021282</x:v>
      </x:c>
      <x:c r="I819" t="n">
        <x:v>48</x:v>
      </x:c>
      <x:c r="J819" t="n">
        <x:v>23400</x:v>
      </x:c>
      <x:c r="K819" t="str">
        <x:v>Bola de nieve</x:v>
      </x:c>
      <x:c r="L819" t="str">
        <x:v>Vigente</x:v>
      </x:c>
      <x:c r="M819" t="n">
        <x:v>665916.67</x:v>
      </x:c>
      <x:c r="N819"/>
    </x:row>
    <x:row r="820">
      <x:c r="A820" t="str">
        <x:v>DEU-000819</x:v>
      </x:c>
      <x:c r="B820" t="str">
        <x:v>USR-00432</x:v>
      </x:c>
      <x:c r="C820" t="n">
        <x:v>45992</x:v>
      </x:c>
      <x:c r="D820" t="str">
        <x:v>Entidad financiera A</x:v>
      </x:c>
      <x:c r="E820" t="str">
        <x:v>Tarjeta de crédito</x:v>
      </x:c>
      <x:c r="F820" t="n">
        <x:v>8440000</x:v>
      </x:c>
      <x:c r="G820" s="40" t="n">
        <x:v>0.326</x:v>
      </x:c>
      <x:c r="H820" s="40" t="n">
        <x:v>0.023793</x:v>
      </x:c>
      <x:c r="I820" t="n">
        <x:v>36</x:v>
      </x:c>
      <x:c r="J820" t="n">
        <x:v>351600</x:v>
      </x:c>
      <x:c r="K820" t="str">
        <x:v>Avalancha</x:v>
      </x:c>
      <x:c r="L820" t="str">
        <x:v>Vigente</x:v>
      </x:c>
      <x:c r="M820" t="n">
        <x:v>8537452.53</x:v>
      </x:c>
      <x:c r="N820"/>
    </x:row>
    <x:row r="821">
      <x:c r="A821" t="str">
        <x:v>DEU-000820</x:v>
      </x:c>
      <x:c r="B821" t="str">
        <x:v>USR-00432</x:v>
      </x:c>
      <x:c r="C821" t="n">
        <x:v>45992</x:v>
      </x:c>
      <x:c r="D821" t="str">
        <x:v>Entidad financiera E</x:v>
      </x:c>
      <x:c r="E821" t="str">
        <x:v>Tarjeta de crédito</x:v>
      </x:c>
      <x:c r="F821" t="n">
        <x:v>4750000</x:v>
      </x:c>
      <x:c r="G821" s="40" t="n">
        <x:v>0.1139</x:v>
      </x:c>
      <x:c r="H821" s="40" t="n">
        <x:v>0.009029</x:v>
      </x:c>
      <x:c r="I821" t="n">
        <x:v>12</x:v>
      </x:c>
      <x:c r="J821" t="n">
        <x:v>419400</x:v>
      </x:c>
      <x:c r="K821" t="str">
        <x:v>Avalancha</x:v>
      </x:c>
      <x:c r="L821" t="str">
        <x:v>Vigente</x:v>
      </x:c>
      <x:c r="M821" t="n">
        <x:v>2088894.86</x:v>
      </x:c>
      <x:c r="N821"/>
    </x:row>
    <x:row r="822">
      <x:c r="A822" t="str">
        <x:v>DEU-000821</x:v>
      </x:c>
      <x:c r="B822" t="str">
        <x:v>USR-00433</x:v>
      </x:c>
      <x:c r="C822" t="n">
        <x:v>45992</x:v>
      </x:c>
      <x:c r="D822" t="str">
        <x:v>Entidad financiera E</x:v>
      </x:c>
      <x:c r="E822" t="str">
        <x:v>Crédito de consumo</x:v>
      </x:c>
      <x:c r="F822" t="n">
        <x:v>11810000</x:v>
      </x:c>
      <x:c r="G822" s="40" t="n">
        <x:v>0.1629</x:v>
      </x:c>
      <x:c r="H822" s="40" t="n">
        <x:v>0.012656</x:v>
      </x:c>
      <x:c r="I822" t="n">
        <x:v>36</x:v>
      </x:c>
      <x:c r="J822" t="n">
        <x:v>410500</x:v>
      </x:c>
      <x:c r="K822" t="str">
        <x:v>Avalancha</x:v>
      </x:c>
      <x:c r="L822" t="str">
        <x:v>Vigente</x:v>
      </x:c>
      <x:c r="M822" t="n">
        <x:v>10575584.69</x:v>
      </x:c>
      <x:c r="N822"/>
    </x:row>
    <x:row r="823">
      <x:c r="A823" t="str">
        <x:v>DEU-000822</x:v>
      </x:c>
      <x:c r="B823" t="str">
        <x:v>USR-00434</x:v>
      </x:c>
      <x:c r="C823" t="n">
        <x:v>45992</x:v>
      </x:c>
      <x:c r="D823" t="str">
        <x:v>Cooperativa C</x:v>
      </x:c>
      <x:c r="E823" t="str">
        <x:v>Crédito de consumo</x:v>
      </x:c>
      <x:c r="F823" t="n">
        <x:v>18700000</x:v>
      </x:c>
      <x:c r="G823" s="40" t="n">
        <x:v>0.2086</x:v>
      </x:c>
      <x:c r="H823" s="40" t="n">
        <x:v>0.015914</x:v>
      </x:c>
      <x:c r="I823" t="n">
        <x:v>12</x:v>
      </x:c>
      <x:c r="J823" t="n">
        <x:v>1724200</x:v>
      </x:c>
      <x:c r="K823" t="str">
        <x:v>Bola de nieve</x:v>
      </x:c>
      <x:c r="L823" t="str">
        <x:v>Vigente</x:v>
      </x:c>
      <x:c r="M823" t="n">
        <x:v>6765413.56</x:v>
      </x:c>
      <x:c r="N823"/>
    </x:row>
    <x:row r="824">
      <x:c r="A824" t="str">
        <x:v>DEU-000823</x:v>
      </x:c>
      <x:c r="B824" t="str">
        <x:v>USR-00434</x:v>
      </x:c>
      <x:c r="C824" t="n">
        <x:v>45992</x:v>
      </x:c>
      <x:c r="D824" t="str">
        <x:v>Cooperativa C</x:v>
      </x:c>
      <x:c r="E824" t="str">
        <x:v>Crédito educativo</x:v>
      </x:c>
      <x:c r="F824" t="n">
        <x:v>12780000</x:v>
      </x:c>
      <x:c r="G824" s="40" t="n">
        <x:v>0.3303</x:v>
      </x:c>
      <x:c r="H824" s="40" t="n">
        <x:v>0.024069</x:v>
      </x:c>
      <x:c r="I824" t="n">
        <x:v>18</x:v>
      </x:c>
      <x:c r="J824" t="n">
        <x:v>883300</x:v>
      </x:c>
      <x:c r="K824" t="str">
        <x:v>Bola de nieve</x:v>
      </x:c>
      <x:c r="L824" t="str">
        <x:v>Vigente</x:v>
      </x:c>
      <x:c r="M824" t="n">
        <x:v>7540932.78</x:v>
      </x:c>
      <x:c r="N824"/>
    </x:row>
    <x:row r="825">
      <x:c r="A825" t="str">
        <x:v>DEU-000824</x:v>
      </x:c>
      <x:c r="B825" t="str">
        <x:v>USR-00434</x:v>
      </x:c>
      <x:c r="C825" t="n">
        <x:v>45992</x:v>
      </x:c>
      <x:c r="D825" t="str">
        <x:v>Cooperativa C</x:v>
      </x:c>
      <x:c r="E825" t="str">
        <x:v>Crédito educativo</x:v>
      </x:c>
      <x:c r="F825" t="n">
        <x:v>8920000</x:v>
      </x:c>
      <x:c r="G825" s="40" t="n">
        <x:v>0.1251</x:v>
      </x:c>
      <x:c r="H825" s="40" t="n">
        <x:v>0.009871</x:v>
      </x:c>
      <x:c r="I825" t="n">
        <x:v>48</x:v>
      </x:c>
      <x:c r="J825" t="n">
        <x:v>234200</x:v>
      </x:c>
      <x:c r="K825" t="str">
        <x:v>Bola de nieve</x:v>
      </x:c>
      <x:c r="L825" t="str">
        <x:v>Vigente</x:v>
      </x:c>
      <x:c r="M825" t="n">
        <x:v>8169279.96</x:v>
      </x:c>
      <x:c r="N825"/>
    </x:row>
    <x:row r="826">
      <x:c r="A826" t="str">
        <x:v>DEU-000825</x:v>
      </x:c>
      <x:c r="B826" t="str">
        <x:v>USR-00435</x:v>
      </x:c>
      <x:c r="C826" t="n">
        <x:v>45992</x:v>
      </x:c>
      <x:c r="D826" t="str">
        <x:v>Entidad financiera E</x:v>
      </x:c>
      <x:c r="E826" t="str">
        <x:v>Tarjeta de crédito</x:v>
      </x:c>
      <x:c r="F826" t="n">
        <x:v>6010000</x:v>
      </x:c>
      <x:c r="G826" s="40" t="n">
        <x:v>0.2923</x:v>
      </x:c>
      <x:c r="H826" s="40" t="n">
        <x:v>0.021599</x:v>
      </x:c>
      <x:c r="I826" t="n">
        <x:v>60</x:v>
      </x:c>
      <x:c r="J826" t="n">
        <x:v>179700</x:v>
      </x:c>
      <x:c r="K826" t="str">
        <x:v>Bola de nieve</x:v>
      </x:c>
      <x:c r="L826" t="str">
        <x:v>Vigente</x:v>
      </x:c>
      <x:c r="M826" t="n">
        <x:v>6163311.83</x:v>
      </x:c>
      <x:c r="N826"/>
    </x:row>
    <x:row r="827">
      <x:c r="A827" t="str">
        <x:v>DEU-000826</x:v>
      </x:c>
      <x:c r="B827" t="str">
        <x:v>USR-00435</x:v>
      </x:c>
      <x:c r="C827" t="n">
        <x:v>45992</x:v>
      </x:c>
      <x:c r="D827" t="str">
        <x:v>Entidad financiera B</x:v>
      </x:c>
      <x:c r="E827" t="str">
        <x:v>Crédito comercial</x:v>
      </x:c>
      <x:c r="F827" t="n">
        <x:v>31830000</x:v>
      </x:c>
      <x:c r="G827" s="40" t="n">
        <x:v>0.3439</x:v>
      </x:c>
      <x:c r="H827" s="40" t="n">
        <x:v>0.024937</x:v>
      </x:c>
      <x:c r="I827" t="n">
        <x:v>18</x:v>
      </x:c>
      <x:c r="J827" t="n">
        <x:v>2216400</x:v>
      </x:c>
      <x:c r="K827" t="str">
        <x:v>Bola de nieve</x:v>
      </x:c>
      <x:c r="L827" t="str">
        <x:v>Vigente</x:v>
      </x:c>
      <x:c r="M827" t="n">
        <x:v>17995329.42</x:v>
      </x:c>
      <x:c r="N827"/>
    </x:row>
    <x:row r="828">
      <x:c r="A828" t="str">
        <x:v>DEU-000827</x:v>
      </x:c>
      <x:c r="B828" t="str">
        <x:v>USR-00435</x:v>
      </x:c>
      <x:c r="C828" t="n">
        <x:v>45992</x:v>
      </x:c>
      <x:c r="D828" t="str">
        <x:v>Entidad financiera E</x:v>
      </x:c>
      <x:c r="E828" t="str">
        <x:v>Crédito de consumo</x:v>
      </x:c>
      <x:c r="F828" t="n">
        <x:v>10670000</x:v>
      </x:c>
      <x:c r="G828" s="40" t="n">
        <x:v>0.3317</x:v>
      </x:c>
      <x:c r="H828" s="40" t="n">
        <x:v>0.024159</x:v>
      </x:c>
      <x:c r="I828" t="n">
        <x:v>36</x:v>
      </x:c>
      <x:c r="J828" t="n">
        <x:v>447100</x:v>
      </x:c>
      <x:c r="K828" t="str">
        <x:v>Avalancha</x:v>
      </x:c>
      <x:c r="L828" t="str">
        <x:v>Vigente</x:v>
      </x:c>
      <x:c r="M828" t="n">
        <x:v>8861656.09</x:v>
      </x:c>
      <x:c r="N828"/>
    </x:row>
    <x:row r="829">
      <x:c r="A829" t="str">
        <x:v>DEU-000828</x:v>
      </x:c>
      <x:c r="B829" t="str">
        <x:v>USR-00435</x:v>
      </x:c>
      <x:c r="C829" t="n">
        <x:v>45992</x:v>
      </x:c>
      <x:c r="D829" t="str">
        <x:v>Cooperativa C</x:v>
      </x:c>
      <x:c r="E829" t="str">
        <x:v>Tarjeta de crédito</x:v>
      </x:c>
      <x:c r="F829" t="n">
        <x:v>4970000</x:v>
      </x:c>
      <x:c r="G829" s="40" t="n">
        <x:v>0.2241</x:v>
      </x:c>
      <x:c r="H829" s="40" t="n">
        <x:v>0.016993</x:v>
      </x:c>
      <x:c r="I829" t="n">
        <x:v>60</x:v>
      </x:c>
      <x:c r="J829" t="n">
        <x:v>132800</x:v>
      </x:c>
      <x:c r="K829" t="str">
        <x:v>Bola de nieve</x:v>
      </x:c>
      <x:c r="L829" t="str">
        <x:v>Vigente</x:v>
      </x:c>
      <x:c r="M829" t="n">
        <x:v>4681128.81</x:v>
      </x:c>
      <x:c r="N829"/>
    </x:row>
    <x:row r="830">
      <x:c r="A830" t="str">
        <x:v>DEU-000829</x:v>
      </x:c>
      <x:c r="B830" t="str">
        <x:v>USR-00435</x:v>
      </x:c>
      <x:c r="C830" t="n">
        <x:v>45992</x:v>
      </x:c>
      <x:c r="D830" t="str">
        <x:v>Cooperativa C</x:v>
      </x:c>
      <x:c r="E830" t="str">
        <x:v>Crédito de consumo</x:v>
      </x:c>
      <x:c r="F830" t="n">
        <x:v>2060000</x:v>
      </x:c>
      <x:c r="G830" s="40" t="n">
        <x:v>0.2026</x:v>
      </x:c>
      <x:c r="H830" s="40" t="n">
        <x:v>0.015493</x:v>
      </x:c>
      <x:c r="I830" t="n">
        <x:v>30</x:v>
      </x:c>
      <x:c r="J830" t="n">
        <x:v>86400</x:v>
      </x:c>
      <x:c r="K830" t="str">
        <x:v>Avalancha</x:v>
      </x:c>
      <x:c r="L830" t="str">
        <x:v>Vigente</x:v>
      </x:c>
      <x:c r="M830" t="n">
        <x:v>1787166.37</x:v>
      </x:c>
      <x:c r="N830"/>
    </x:row>
    <x:row r="831">
      <x:c r="A831" t="str">
        <x:v>DEU-000830</x:v>
      </x:c>
      <x:c r="B831" t="str">
        <x:v>USR-00436</x:v>
      </x:c>
      <x:c r="C831" t="n">
        <x:v>45992</x:v>
      </x:c>
      <x:c r="D831" t="str">
        <x:v>Cooperativa C</x:v>
      </x:c>
      <x:c r="E831" t="str">
        <x:v>Crédito educativo</x:v>
      </x:c>
      <x:c r="F831" t="n">
        <x:v>24260000</x:v>
      </x:c>
      <x:c r="G831" s="40" t="n">
        <x:v>0.1298</x:v>
      </x:c>
      <x:c r="H831" s="40" t="n">
        <x:v>0.010222</x:v>
      </x:c>
      <x:c r="I831" t="n">
        <x:v>12</x:v>
      </x:c>
      <x:c r="J831" t="n">
        <x:v>2158500</x:v>
      </x:c>
      <x:c r="K831" t="str">
        <x:v>Avalancha</x:v>
      </x:c>
      <x:c r="L831" t="str">
        <x:v>Vigente</x:v>
      </x:c>
      <x:c r="M831" t="n">
        <x:v>9479069.77</x:v>
      </x:c>
      <x:c r="N831"/>
    </x:row>
    <x:row r="832">
      <x:c r="A832" t="str">
        <x:v>DEU-000831</x:v>
      </x:c>
      <x:c r="B832" t="str">
        <x:v>USR-00436</x:v>
      </x:c>
      <x:c r="C832" t="n">
        <x:v>45992</x:v>
      </x:c>
      <x:c r="D832" t="str">
        <x:v>Entidad financiera A</x:v>
      </x:c>
      <x:c r="E832" t="str">
        <x:v>Tarjeta de crédito</x:v>
      </x:c>
      <x:c r="F832" t="n">
        <x:v>6010000</x:v>
      </x:c>
      <x:c r="G832" s="40" t="n">
        <x:v>0.2822</x:v>
      </x:c>
      <x:c r="H832" s="40" t="n">
        <x:v>0.020931</x:v>
      </x:c>
      <x:c r="I832" t="n">
        <x:v>60</x:v>
      </x:c>
      <x:c r="J832" t="n">
        <x:v>176800</x:v>
      </x:c>
      <x:c r="K832" t="str">
        <x:v>Bola de nieve</x:v>
      </x:c>
      <x:c r="L832" t="str">
        <x:v>Vigente</x:v>
      </x:c>
      <x:c r="M832" t="n">
        <x:v>5543081</x:v>
      </x:c>
      <x:c r="N832"/>
    </x:row>
    <x:row r="833">
      <x:c r="A833" t="str">
        <x:v>DEU-000832</x:v>
      </x:c>
      <x:c r="B833" t="str">
        <x:v>USR-00437</x:v>
      </x:c>
      <x:c r="C833" t="n">
        <x:v>45992</x:v>
      </x:c>
      <x:c r="D833" t="str">
        <x:v>Entidad financiera B</x:v>
      </x:c>
      <x:c r="E833" t="str">
        <x:v>Tarjeta de crédito</x:v>
      </x:c>
      <x:c r="F833" t="n">
        <x:v>3860000</x:v>
      </x:c>
      <x:c r="G833" s="40" t="n">
        <x:v>0.3165</x:v>
      </x:c>
      <x:c r="H833" s="40" t="n">
        <x:v>0.023179</x:v>
      </x:c>
      <x:c r="I833" t="n">
        <x:v>12</x:v>
      </x:c>
      <x:c r="J833" t="n">
        <x:v>372200</x:v>
      </x:c>
      <x:c r="K833" t="str">
        <x:v>Bola de nieve</x:v>
      </x:c>
      <x:c r="L833" t="str">
        <x:v>Vigente</x:v>
      </x:c>
      <x:c r="M833" t="n">
        <x:v>1031095.15</x:v>
      </x:c>
      <x:c r="N833"/>
    </x:row>
    <x:row r="834">
      <x:c r="A834" t="str">
        <x:v>DEU-000833</x:v>
      </x:c>
      <x:c r="B834" t="str">
        <x:v>USR-00437</x:v>
      </x:c>
      <x:c r="C834" t="n">
        <x:v>45992</x:v>
      </x:c>
      <x:c r="D834" t="str">
        <x:v>Entidad financiera A</x:v>
      </x:c>
      <x:c r="E834" t="str">
        <x:v>Crédito de vehículo</x:v>
      </x:c>
      <x:c r="F834" t="n">
        <x:v>41020000</x:v>
      </x:c>
      <x:c r="G834" s="40" t="n">
        <x:v>0.3142</x:v>
      </x:c>
      <x:c r="H834" s="40" t="n">
        <x:v>0.02303</x:v>
      </x:c>
      <x:c r="I834" t="n">
        <x:v>18</x:v>
      </x:c>
      <x:c r="J834" t="n">
        <x:v>2809600</x:v>
      </x:c>
      <x:c r="K834" t="str">
        <x:v>Bola de nieve</x:v>
      </x:c>
      <x:c r="L834" t="str">
        <x:v>Vigente</x:v>
      </x:c>
      <x:c r="M834" t="n">
        <x:v>29429344.36</x:v>
      </x:c>
      <x:c r="N834"/>
    </x:row>
    <x:row r="835">
      <x:c r="A835" t="str">
        <x:v>DEU-000834</x:v>
      </x:c>
      <x:c r="B835" t="str">
        <x:v>USR-00438</x:v>
      </x:c>
      <x:c r="C835" t="n">
        <x:v>45992</x:v>
      </x:c>
      <x:c r="D835" t="str">
        <x:v>Cooperativa C</x:v>
      </x:c>
      <x:c r="E835" t="str">
        <x:v>Crédito educativo</x:v>
      </x:c>
      <x:c r="F835" t="n">
        <x:v>16960000</x:v>
      </x:c>
      <x:c r="G835" s="40" t="n">
        <x:v>0.1728</x:v>
      </x:c>
      <x:c r="H835" s="40" t="n">
        <x:v>0.013371</x:v>
      </x:c>
      <x:c r="I835" t="n">
        <x:v>30</x:v>
      </x:c>
      <x:c r="J835" t="n">
        <x:v>690000</x:v>
      </x:c>
      <x:c r="K835" t="str">
        <x:v>Avalancha</x:v>
      </x:c>
      <x:c r="L835" t="str">
        <x:v>Vigente</x:v>
      </x:c>
      <x:c r="M835" t="n">
        <x:v>15564900.93</x:v>
      </x:c>
      <x:c r="N835"/>
    </x:row>
    <x:row r="836">
      <x:c r="A836" t="str">
        <x:v>DEU-000835</x:v>
      </x:c>
      <x:c r="B836" t="str">
        <x:v>USR-00439</x:v>
      </x:c>
      <x:c r="C836" t="n">
        <x:v>45992</x:v>
      </x:c>
      <x:c r="D836" t="str">
        <x:v>Entidad financiera B</x:v>
      </x:c>
      <x:c r="E836" t="str">
        <x:v>Crédito educativo</x:v>
      </x:c>
      <x:c r="F836" t="n">
        <x:v>26160000</x:v>
      </x:c>
      <x:c r="G836" s="40" t="n">
        <x:v>0.1541</x:v>
      </x:c>
      <x:c r="H836" s="40" t="n">
        <x:v>0.012015</x:v>
      </x:c>
      <x:c r="I836" t="n">
        <x:v>60</x:v>
      </x:c>
      <x:c r="J836" t="n">
        <x:v>614400</x:v>
      </x:c>
      <x:c r="K836" t="str">
        <x:v>Bola de nieve</x:v>
      </x:c>
      <x:c r="L836" t="str">
        <x:v>Vigente</x:v>
      </x:c>
      <x:c r="M836" t="n">
        <x:v>23985556.7</x:v>
      </x:c>
      <x:c r="N836"/>
    </x:row>
    <x:row r="837">
      <x:c r="A837" t="str">
        <x:v>DEU-000836</x:v>
      </x:c>
      <x:c r="B837" t="str">
        <x:v>USR-00440</x:v>
      </x:c>
      <x:c r="C837" t="n">
        <x:v>45992</x:v>
      </x:c>
      <x:c r="D837" t="str">
        <x:v>Cooperativa C</x:v>
      </x:c>
      <x:c r="E837" t="str">
        <x:v>Crédito de libre inversión</x:v>
      </x:c>
      <x:c r="F837" t="n">
        <x:v>3250000</x:v>
      </x:c>
      <x:c r="G837" s="40" t="n">
        <x:v>0.1088</x:v>
      </x:c>
      <x:c r="H837" s="40" t="n">
        <x:v>0.008644</x:v>
      </x:c>
      <x:c r="I837" t="n">
        <x:v>12</x:v>
      </x:c>
      <x:c r="J837" t="n">
        <x:v>286300</x:v>
      </x:c>
      <x:c r="K837" t="str">
        <x:v>Bola de nieve</x:v>
      </x:c>
      <x:c r="L837" t="str">
        <x:v>Vigente</x:v>
      </x:c>
      <x:c r="M837" t="n">
        <x:v>1064148.98</x:v>
      </x:c>
      <x:c r="N837"/>
    </x:row>
    <x:row r="838">
      <x:c r="A838" t="str">
        <x:v>DEU-000837</x:v>
      </x:c>
      <x:c r="B838" t="str">
        <x:v>USR-00440</x:v>
      </x:c>
      <x:c r="C838" t="n">
        <x:v>45992</x:v>
      </x:c>
      <x:c r="D838" t="str">
        <x:v>Cooperativa C</x:v>
      </x:c>
      <x:c r="E838" t="str">
        <x:v>Crédito comercial</x:v>
      </x:c>
      <x:c r="F838" t="n">
        <x:v>6090000</x:v>
      </x:c>
      <x:c r="G838" s="40" t="n">
        <x:v>0.2762</x:v>
      </x:c>
      <x:c r="H838" s="40" t="n">
        <x:v>0.020532</x:v>
      </x:c>
      <x:c r="I838" t="n">
        <x:v>12</x:v>
      </x:c>
      <x:c r="J838" t="n">
        <x:v>577800</x:v>
      </x:c>
      <x:c r="K838" t="str">
        <x:v>Avalancha</x:v>
      </x:c>
      <x:c r="L838" t="str">
        <x:v>Vigente</x:v>
      </x:c>
      <x:c r="M838" t="n">
        <x:v>3308088.73</x:v>
      </x:c>
      <x:c r="N838"/>
    </x:row>
    <x:row r="839">
      <x:c r="A839" t="str">
        <x:v>DEU-000838</x:v>
      </x:c>
      <x:c r="B839" t="str">
        <x:v>USR-00441</x:v>
      </x:c>
      <x:c r="C839" t="n">
        <x:v>45992</x:v>
      </x:c>
      <x:c r="D839" t="str">
        <x:v>Financiera D</x:v>
      </x:c>
      <x:c r="E839" t="str">
        <x:v>Crédito de libre inversión</x:v>
      </x:c>
      <x:c r="F839" t="n">
        <x:v>22230000</x:v>
      </x:c>
      <x:c r="G839" s="40" t="n">
        <x:v>0.2391</x:v>
      </x:c>
      <x:c r="H839" s="40" t="n">
        <x:v>0.018026</x:v>
      </x:c>
      <x:c r="I839" t="n">
        <x:v>18</x:v>
      </x:c>
      <x:c r="J839" t="n">
        <x:v>1457200</x:v>
      </x:c>
      <x:c r="K839" t="str">
        <x:v>Bola de nieve</x:v>
      </x:c>
      <x:c r="L839" t="str">
        <x:v>Vigente</x:v>
      </x:c>
      <x:c r="M839" t="n">
        <x:v>15409088.25</x:v>
      </x:c>
      <x:c r="N839"/>
    </x:row>
    <x:row r="840">
      <x:c r="A840" t="str">
        <x:v>DEU-000839</x:v>
      </x:c>
      <x:c r="B840" t="str">
        <x:v>USR-00442</x:v>
      </x:c>
      <x:c r="C840" t="n">
        <x:v>45992</x:v>
      </x:c>
      <x:c r="D840" t="str">
        <x:v>Entidad financiera E</x:v>
      </x:c>
      <x:c r="E840" t="str">
        <x:v>Tarjeta de crédito</x:v>
      </x:c>
      <x:c r="F840" t="n">
        <x:v>7670000</x:v>
      </x:c>
      <x:c r="G840" s="40" t="n">
        <x:v>0.1742</x:v>
      </x:c>
      <x:c r="H840" s="40" t="n">
        <x:v>0.013472</x:v>
      </x:c>
      <x:c r="I840" t="n">
        <x:v>36</x:v>
      </x:c>
      <x:c r="J840" t="n">
        <x:v>270300</x:v>
      </x:c>
      <x:c r="K840" t="str">
        <x:v>Avalancha</x:v>
      </x:c>
      <x:c r="L840" t="str">
        <x:v>Vigente</x:v>
      </x:c>
      <x:c r="M840" t="n">
        <x:v>6790243.7</x:v>
      </x:c>
      <x:c r="N840"/>
    </x:row>
    <x:row r="841">
      <x:c r="A841" t="str">
        <x:v>DEU-000840</x:v>
      </x:c>
      <x:c r="B841" t="str">
        <x:v>USR-00443</x:v>
      </x:c>
      <x:c r="C841" t="n">
        <x:v>45992</x:v>
      </x:c>
      <x:c r="D841" t="str">
        <x:v>Entidad financiera E</x:v>
      </x:c>
      <x:c r="E841" t="str">
        <x:v>Tarjeta de crédito</x:v>
      </x:c>
      <x:c r="F841" t="n">
        <x:v>1400000</x:v>
      </x:c>
      <x:c r="G841" s="40" t="n">
        <x:v>0.1332</x:v>
      </x:c>
      <x:c r="H841" s="40" t="n">
        <x:v>0.010475</x:v>
      </x:c>
      <x:c r="I841" t="n">
        <x:v>60</x:v>
      </x:c>
      <x:c r="J841" t="n">
        <x:v>31500</x:v>
      </x:c>
      <x:c r="K841" t="str">
        <x:v>Avalancha</x:v>
      </x:c>
      <x:c r="L841" t="str">
        <x:v>Vigente</x:v>
      </x:c>
      <x:c r="M841" t="n">
        <x:v>1350798.21</x:v>
      </x:c>
      <x:c r="N841"/>
    </x:row>
    <x:row r="842">
      <x:c r="A842" t="str">
        <x:v>DEU-000841</x:v>
      </x:c>
      <x:c r="B842" t="str">
        <x:v>USR-00444</x:v>
      </x:c>
      <x:c r="C842" t="n">
        <x:v>45992</x:v>
      </x:c>
      <x:c r="D842" t="str">
        <x:v>Entidad financiera B</x:v>
      </x:c>
      <x:c r="E842" t="str">
        <x:v>Tarjeta de crédito</x:v>
      </x:c>
      <x:c r="F842" t="n">
        <x:v>1360000</x:v>
      </x:c>
      <x:c r="G842" s="40" t="n">
        <x:v>0.2643</x:v>
      </x:c>
      <x:c r="H842" s="40" t="n">
        <x:v>0.019735</x:v>
      </x:c>
      <x:c r="I842" t="n">
        <x:v>18</x:v>
      </x:c>
      <x:c r="J842" t="n">
        <x:v>90500</x:v>
      </x:c>
      <x:c r="K842" t="str">
        <x:v>Bola de nieve</x:v>
      </x:c>
      <x:c r="L842" t="str">
        <x:v>Vigente</x:v>
      </x:c>
      <x:c r="M842" t="n">
        <x:v>1178081.86</x:v>
      </x:c>
      <x:c r="N842"/>
    </x:row>
    <x:row r="843">
      <x:c r="A843" t="str">
        <x:v>DEU-000842</x:v>
      </x:c>
      <x:c r="B843" t="str">
        <x:v>USR-00444</x:v>
      </x:c>
      <x:c r="C843" t="n">
        <x:v>45992</x:v>
      </x:c>
      <x:c r="D843" t="str">
        <x:v>Cooperativa C</x:v>
      </x:c>
      <x:c r="E843" t="str">
        <x:v>Tarjeta de crédito</x:v>
      </x:c>
      <x:c r="F843" t="n">
        <x:v>7960000</x:v>
      </x:c>
      <x:c r="G843" s="40" t="n">
        <x:v>0.2182</x:v>
      </x:c>
      <x:c r="H843" s="40" t="n">
        <x:v>0.016584</x:v>
      </x:c>
      <x:c r="I843" t="n">
        <x:v>18</x:v>
      </x:c>
      <x:c r="J843" t="n">
        <x:v>515100</x:v>
      </x:c>
      <x:c r="K843" t="str">
        <x:v>Avalancha</x:v>
      </x:c>
      <x:c r="L843" t="str">
        <x:v>Vigente</x:v>
      </x:c>
      <x:c r="M843" t="n">
        <x:v>4653264.44</x:v>
      </x:c>
      <x:c r="N843"/>
    </x:row>
    <x:row r="844">
      <x:c r="A844" t="str">
        <x:v>DEU-000843</x:v>
      </x:c>
      <x:c r="B844" t="str">
        <x:v>USR-00445</x:v>
      </x:c>
      <x:c r="C844" t="n">
        <x:v>45992</x:v>
      </x:c>
      <x:c r="D844" t="str">
        <x:v>Financiera D</x:v>
      </x:c>
      <x:c r="E844" t="str">
        <x:v>Crédito de vehículo</x:v>
      </x:c>
      <x:c r="F844" t="n">
        <x:v>50980000</x:v>
      </x:c>
      <x:c r="G844" s="40" t="n">
        <x:v>0.1475</x:v>
      </x:c>
      <x:c r="H844" s="40" t="n">
        <x:v>0.011531</x:v>
      </x:c>
      <x:c r="I844" t="n">
        <x:v>24</x:v>
      </x:c>
      <x:c r="J844" t="n">
        <x:v>2443800</x:v>
      </x:c>
      <x:c r="K844" t="str">
        <x:v>Avalancha</x:v>
      </x:c>
      <x:c r="L844" t="str">
        <x:v>Vigente</x:v>
      </x:c>
      <x:c r="M844" t="n">
        <x:v>40432213.56</x:v>
      </x:c>
      <x:c r="N844"/>
    </x:row>
    <x:row r="845">
      <x:c r="A845" t="str">
        <x:v>DEU-000844</x:v>
      </x:c>
      <x:c r="B845" t="str">
        <x:v>USR-00445</x:v>
      </x:c>
      <x:c r="C845" t="n">
        <x:v>45992</x:v>
      </x:c>
      <x:c r="D845" t="str">
        <x:v>Entidad financiera A</x:v>
      </x:c>
      <x:c r="E845" t="str">
        <x:v>Crédito comercial</x:v>
      </x:c>
      <x:c r="F845" t="n">
        <x:v>32400000</x:v>
      </x:c>
      <x:c r="G845" s="40" t="n">
        <x:v>0.1894</x:v>
      </x:c>
      <x:c r="H845" s="40" t="n">
        <x:v>0.014559</x:v>
      </x:c>
      <x:c r="I845" t="n">
        <x:v>24</x:v>
      </x:c>
      <x:c r="J845" t="n">
        <x:v>1609300</x:v>
      </x:c>
      <x:c r="K845" t="str">
        <x:v>Bola de nieve</x:v>
      </x:c>
      <x:c r="L845" t="str">
        <x:v>Vigente</x:v>
      </x:c>
      <x:c r="M845" t="n">
        <x:v>22346179.72</x:v>
      </x:c>
      <x:c r="N845"/>
    </x:row>
    <x:row r="846">
      <x:c r="A846" t="str">
        <x:v>DEU-000845</x:v>
      </x:c>
      <x:c r="B846" t="str">
        <x:v>USR-00446</x:v>
      </x:c>
      <x:c r="C846" t="n">
        <x:v>45992</x:v>
      </x:c>
      <x:c r="D846" t="str">
        <x:v>Entidad financiera E</x:v>
      </x:c>
      <x:c r="E846" t="str">
        <x:v>Crédito de vehículo</x:v>
      </x:c>
      <x:c r="F846" t="n">
        <x:v>33180000</x:v>
      </x:c>
      <x:c r="G846" s="40" t="n">
        <x:v>0.1241</x:v>
      </x:c>
      <x:c r="H846" s="40" t="n">
        <x:v>0.009796</x:v>
      </x:c>
      <x:c r="I846" t="n">
        <x:v>12</x:v>
      </x:c>
      <x:c r="J846" t="n">
        <x:v>2944200</x:v>
      </x:c>
      <x:c r="K846" t="str">
        <x:v>Bola de nieve</x:v>
      </x:c>
      <x:c r="L846" t="str">
        <x:v>Vigente</x:v>
      </x:c>
      <x:c r="M846" t="n">
        <x:v>7225738.44</x:v>
      </x:c>
      <x:c r="N846"/>
    </x:row>
    <x:row r="847">
      <x:c r="A847" t="str">
        <x:v>DEU-000846</x:v>
      </x:c>
      <x:c r="B847" t="str">
        <x:v>USR-00446</x:v>
      </x:c>
      <x:c r="C847" t="n">
        <x:v>45992</x:v>
      </x:c>
      <x:c r="D847" t="str">
        <x:v>Entidad financiera B</x:v>
      </x:c>
      <x:c r="E847" t="str">
        <x:v>Crédito de consumo</x:v>
      </x:c>
      <x:c r="F847" t="n">
        <x:v>7690000</x:v>
      </x:c>
      <x:c r="G847" s="40" t="n">
        <x:v>0.3443</x:v>
      </x:c>
      <x:c r="H847" s="40" t="n">
        <x:v>0.024963</x:v>
      </x:c>
      <x:c r="I847" t="n">
        <x:v>36</x:v>
      </x:c>
      <x:c r="J847" t="n">
        <x:v>326300</x:v>
      </x:c>
      <x:c r="K847" t="str">
        <x:v>Avalancha</x:v>
      </x:c>
      <x:c r="L847" t="str">
        <x:v>Vigente</x:v>
      </x:c>
      <x:c r="M847" t="n">
        <x:v>7205893.23</x:v>
      </x:c>
      <x:c r="N847"/>
    </x:row>
    <x:row r="848">
      <x:c r="A848" t="str">
        <x:v>DEU-000847</x:v>
      </x:c>
      <x:c r="B848" t="str">
        <x:v>USR-00446</x:v>
      </x:c>
      <x:c r="C848" t="n">
        <x:v>45992</x:v>
      </x:c>
      <x:c r="D848" t="str">
        <x:v>Financiera D</x:v>
      </x:c>
      <x:c r="E848" t="str">
        <x:v>Crédito de consumo</x:v>
      </x:c>
      <x:c r="F848" t="n">
        <x:v>11530000</x:v>
      </x:c>
      <x:c r="G848" s="40" t="n">
        <x:v>0.2144</x:v>
      </x:c>
      <x:c r="H848" s="40" t="n">
        <x:v>0.016319</x:v>
      </x:c>
      <x:c r="I848" t="n">
        <x:v>18</x:v>
      </x:c>
      <x:c r="J848" t="n">
        <x:v>744400</x:v>
      </x:c>
      <x:c r="K848" t="str">
        <x:v>Bola de nieve</x:v>
      </x:c>
      <x:c r="L848" t="str">
        <x:v>Vigente</x:v>
      </x:c>
      <x:c r="M848" t="n">
        <x:v>5194358.76</x:v>
      </x:c>
      <x:c r="N848"/>
    </x:row>
    <x:row r="849">
      <x:c r="A849" t="str">
        <x:v>DEU-000848</x:v>
      </x:c>
      <x:c r="B849" t="str">
        <x:v>USR-00447</x:v>
      </x:c>
      <x:c r="C849" t="n">
        <x:v>45992</x:v>
      </x:c>
      <x:c r="D849" t="str">
        <x:v>Entidad financiera B</x:v>
      </x:c>
      <x:c r="E849" t="str">
        <x:v>Crédito de libre inversión</x:v>
      </x:c>
      <x:c r="F849" t="n">
        <x:v>6810000</x:v>
      </x:c>
      <x:c r="G849" s="40" t="n">
        <x:v>0.1436</x:v>
      </x:c>
      <x:c r="H849" s="40" t="n">
        <x:v>0.011245</x:v>
      </x:c>
      <x:c r="I849" t="n">
        <x:v>24</x:v>
      </x:c>
      <x:c r="J849" t="n">
        <x:v>325300</x:v>
      </x:c>
      <x:c r="K849" t="str">
        <x:v>Avalancha</x:v>
      </x:c>
      <x:c r="L849" t="str">
        <x:v>Vigente</x:v>
      </x:c>
      <x:c r="M849" t="n">
        <x:v>4786207.95</x:v>
      </x:c>
      <x:c r="N849"/>
    </x:row>
    <x:row r="850">
      <x:c r="A850" t="str">
        <x:v>DEU-000849</x:v>
      </x:c>
      <x:c r="B850" t="str">
        <x:v>USR-00447</x:v>
      </x:c>
      <x:c r="C850" t="n">
        <x:v>45992</x:v>
      </x:c>
      <x:c r="D850" t="str">
        <x:v>Financiera D</x:v>
      </x:c>
      <x:c r="E850" t="str">
        <x:v>Tarjeta de crédito</x:v>
      </x:c>
      <x:c r="F850" t="n">
        <x:v>2870000</x:v>
      </x:c>
      <x:c r="G850" s="40" t="n">
        <x:v>0.2534</x:v>
      </x:c>
      <x:c r="H850" s="40" t="n">
        <x:v>0.019</x:v>
      </x:c>
      <x:c r="I850" t="n">
        <x:v>18</x:v>
      </x:c>
      <x:c r="J850" t="n">
        <x:v>189800</x:v>
      </x:c>
      <x:c r="K850" t="str">
        <x:v>Bola de nieve</x:v>
      </x:c>
      <x:c r="L850" t="str">
        <x:v>Vigente</x:v>
      </x:c>
      <x:c r="M850" t="n">
        <x:v>1906513.84</x:v>
      </x:c>
      <x:c r="N850"/>
    </x:row>
    <x:row r="851">
      <x:c r="A851" t="str">
        <x:v>DEU-000850</x:v>
      </x:c>
      <x:c r="B851" t="str">
        <x:v>USR-00447</x:v>
      </x:c>
      <x:c r="C851" t="n">
        <x:v>45992</x:v>
      </x:c>
      <x:c r="D851" t="str">
        <x:v>Entidad financiera B</x:v>
      </x:c>
      <x:c r="E851" t="str">
        <x:v>Crédito educativo</x:v>
      </x:c>
      <x:c r="F851" t="n">
        <x:v>23370000</x:v>
      </x:c>
      <x:c r="G851" s="40" t="n">
        <x:v>0.15</x:v>
      </x:c>
      <x:c r="H851" s="40" t="n">
        <x:v>0.011715</x:v>
      </x:c>
      <x:c r="I851" t="n">
        <x:v>30</x:v>
      </x:c>
      <x:c r="J851" t="n">
        <x:v>928400</x:v>
      </x:c>
      <x:c r="K851" t="str">
        <x:v>Avalancha</x:v>
      </x:c>
      <x:c r="L851" t="str">
        <x:v>Vigente</x:v>
      </x:c>
      <x:c r="M851" t="n">
        <x:v>17751946.58</x:v>
      </x:c>
      <x:c r="N851"/>
    </x:row>
    <x:row r="852">
      <x:c r="A852" t="str">
        <x:v>DEU-000851</x:v>
      </x:c>
      <x:c r="B852" t="str">
        <x:v>USR-00447</x:v>
      </x:c>
      <x:c r="C852" t="n">
        <x:v>45992</x:v>
      </x:c>
      <x:c r="D852" t="str">
        <x:v>Entidad financiera A</x:v>
      </x:c>
      <x:c r="E852" t="str">
        <x:v>Crédito de consumo</x:v>
      </x:c>
      <x:c r="F852" t="n">
        <x:v>14930000</x:v>
      </x:c>
      <x:c r="G852" s="40" t="n">
        <x:v>0.1169</x:v>
      </x:c>
      <x:c r="H852" s="40" t="n">
        <x:v>0.009256</x:v>
      </x:c>
      <x:c r="I852" t="n">
        <x:v>60</x:v>
      </x:c>
      <x:c r="J852" t="n">
        <x:v>325400</x:v>
      </x:c>
      <x:c r="K852" t="str">
        <x:v>Avalancha</x:v>
      </x:c>
      <x:c r="L852" t="str">
        <x:v>Vigente</x:v>
      </x:c>
      <x:c r="M852" t="n">
        <x:v>13869429.25</x:v>
      </x:c>
      <x:c r="N852"/>
    </x:row>
    <x:row r="853">
      <x:c r="A853" t="str">
        <x:v>DEU-000852</x:v>
      </x:c>
      <x:c r="B853" t="str">
        <x:v>USR-00448</x:v>
      </x:c>
      <x:c r="C853" t="n">
        <x:v>45992</x:v>
      </x:c>
      <x:c r="D853" t="str">
        <x:v>Cooperativa C</x:v>
      </x:c>
      <x:c r="E853" t="str">
        <x:v>Crédito de vehículo</x:v>
      </x:c>
      <x:c r="F853" t="n">
        <x:v>51300000</x:v>
      </x:c>
      <x:c r="G853" s="40" t="n">
        <x:v>0.2452</x:v>
      </x:c>
      <x:c r="H853" s="40" t="n">
        <x:v>0.018443</x:v>
      </x:c>
      <x:c r="I853" t="n">
        <x:v>48</x:v>
      </x:c>
      <x:c r="J853" t="n">
        <x:v>1619900</x:v>
      </x:c>
      <x:c r="K853" t="str">
        <x:v>Bola de nieve</x:v>
      </x:c>
      <x:c r="L853" t="str">
        <x:v>Vigente</x:v>
      </x:c>
      <x:c r="M853" t="n">
        <x:v>49347786.61</x:v>
      </x:c>
      <x:c r="N853"/>
    </x:row>
    <x:row r="854">
      <x:c r="A854" t="str">
        <x:v>DEU-000853</x:v>
      </x:c>
      <x:c r="B854" t="str">
        <x:v>USR-00449</x:v>
      </x:c>
      <x:c r="C854" t="n">
        <x:v>45992</x:v>
      </x:c>
      <x:c r="D854" t="str">
        <x:v>Entidad financiera B</x:v>
      </x:c>
      <x:c r="E854" t="str">
        <x:v>Crédito de libre inversión</x:v>
      </x:c>
      <x:c r="F854" t="n">
        <x:v>5730000</x:v>
      </x:c>
      <x:c r="G854" s="40" t="n">
        <x:v>0.1986</x:v>
      </x:c>
      <x:c r="H854" s="40" t="n">
        <x:v>0.015211</x:v>
      </x:c>
      <x:c r="I854" t="n">
        <x:v>60</x:v>
      </x:c>
      <x:c r="J854" t="n">
        <x:v>146300</x:v>
      </x:c>
      <x:c r="K854" t="str">
        <x:v>Bola de nieve</x:v>
      </x:c>
      <x:c r="L854" t="str">
        <x:v>Vigente</x:v>
      </x:c>
      <x:c r="M854" t="n">
        <x:v>5454843.86</x:v>
      </x:c>
      <x:c r="N854"/>
    </x:row>
    <x:row r="855">
      <x:c r="A855" t="str">
        <x:v>DEU-000854</x:v>
      </x:c>
      <x:c r="B855" t="str">
        <x:v>USR-00450</x:v>
      </x:c>
      <x:c r="C855" t="n">
        <x:v>45992</x:v>
      </x:c>
      <x:c r="D855" t="str">
        <x:v>Cooperativa C</x:v>
      </x:c>
      <x:c r="E855" t="str">
        <x:v>Tarjeta de crédito</x:v>
      </x:c>
      <x:c r="F855" t="n">
        <x:v>6820000</x:v>
      </x:c>
      <x:c r="G855" s="40" t="n">
        <x:v>0.1797</x:v>
      </x:c>
      <x:c r="H855" s="40" t="n">
        <x:v>0.013867</x:v>
      </x:c>
      <x:c r="I855" t="n">
        <x:v>12</x:v>
      </x:c>
      <x:c r="J855" t="n">
        <x:v>620900</x:v>
      </x:c>
      <x:c r="K855" t="str">
        <x:v>Bola de nieve</x:v>
      </x:c>
      <x:c r="L855" t="str">
        <x:v>Vigente</x:v>
      </x:c>
      <x:c r="M855" t="n">
        <x:v>3981559.53</x:v>
      </x:c>
      <x:c r="N855"/>
    </x:row>
    <x:row r="856">
      <x:c r="A856" t="str">
        <x:v>DEU-000855</x:v>
      </x:c>
      <x:c r="B856" t="str">
        <x:v>USR-00450</x:v>
      </x:c>
      <x:c r="C856" t="n">
        <x:v>45992</x:v>
      </x:c>
      <x:c r="D856" t="str">
        <x:v>Financiera D</x:v>
      </x:c>
      <x:c r="E856" t="str">
        <x:v>Crédito de consumo</x:v>
      </x:c>
      <x:c r="F856" t="n">
        <x:v>12060000</x:v>
      </x:c>
      <x:c r="G856" s="40" t="n">
        <x:v>0.2124</x:v>
      </x:c>
      <x:c r="H856" s="40" t="n">
        <x:v>0.01618</x:v>
      </x:c>
      <x:c r="I856" t="n">
        <x:v>60</x:v>
      </x:c>
      <x:c r="J856" t="n">
        <x:v>315600</x:v>
      </x:c>
      <x:c r="K856" t="str">
        <x:v>Bola de nieve</x:v>
      </x:c>
      <x:c r="L856" t="str">
        <x:v>Vigente</x:v>
      </x:c>
      <x:c r="M856" t="n">
        <x:v>11271409.53</x:v>
      </x:c>
      <x:c r="N856"/>
    </x:row>
    <x:row r="857">
      <x:c r="A857" t="str">
        <x:v>DEU-000856</x:v>
      </x:c>
      <x:c r="B857" t="str">
        <x:v>USR-00451</x:v>
      </x:c>
      <x:c r="C857" t="n">
        <x:v>45992</x:v>
      </x:c>
      <x:c r="D857" t="str">
        <x:v>Entidad financiera E</x:v>
      </x:c>
      <x:c r="E857" t="str">
        <x:v>Tarjeta de crédito</x:v>
      </x:c>
      <x:c r="F857" t="n">
        <x:v>2530000</x:v>
      </x:c>
      <x:c r="G857" s="40" t="n">
        <x:v>0.2642</x:v>
      </x:c>
      <x:c r="H857" s="40" t="n">
        <x:v>0.019729</x:v>
      </x:c>
      <x:c r="I857" t="n">
        <x:v>12</x:v>
      </x:c>
      <x:c r="J857" t="n">
        <x:v>238800</x:v>
      </x:c>
      <x:c r="K857" t="str">
        <x:v>Avalancha</x:v>
      </x:c>
      <x:c r="L857" t="str">
        <x:v>Vigente</x:v>
      </x:c>
      <x:c r="M857" t="n">
        <x:v>1461458.88</x:v>
      </x:c>
      <x:c r="N857"/>
    </x:row>
    <x:row r="858">
      <x:c r="A858" t="str">
        <x:v>DEU-000857</x:v>
      </x:c>
      <x:c r="B858" t="str">
        <x:v>USR-00452</x:v>
      </x:c>
      <x:c r="C858" t="n">
        <x:v>45992</x:v>
      </x:c>
      <x:c r="D858" t="str">
        <x:v>Entidad financiera E</x:v>
      </x:c>
      <x:c r="E858" t="str">
        <x:v>Tarjeta de crédito</x:v>
      </x:c>
      <x:c r="F858" t="n">
        <x:v>7990000</x:v>
      </x:c>
      <x:c r="G858" s="40" t="n">
        <x:v>0.1407</x:v>
      </x:c>
      <x:c r="H858" s="40" t="n">
        <x:v>0.011031</x:v>
      </x:c>
      <x:c r="I858" t="n">
        <x:v>18</x:v>
      </x:c>
      <x:c r="J858" t="n">
        <x:v>491800</x:v>
      </x:c>
      <x:c r="K858" t="str">
        <x:v>Avalancha</x:v>
      </x:c>
      <x:c r="L858" t="str">
        <x:v>Vigente</x:v>
      </x:c>
      <x:c r="M858" t="n">
        <x:v>4486625.56</x:v>
      </x:c>
      <x:c r="N858"/>
    </x:row>
    <x:row r="859">
      <x:c r="A859" t="str">
        <x:v>DEU-000858</x:v>
      </x:c>
      <x:c r="B859" t="str">
        <x:v>USR-00453</x:v>
      </x:c>
      <x:c r="C859" t="n">
        <x:v>45992</x:v>
      </x:c>
      <x:c r="D859" t="str">
        <x:v>Entidad financiera E</x:v>
      </x:c>
      <x:c r="E859" t="str">
        <x:v>Crédito de consumo</x:v>
      </x:c>
      <x:c r="F859" t="n">
        <x:v>8250000</x:v>
      </x:c>
      <x:c r="G859" s="40" t="n">
        <x:v>0.2277</x:v>
      </x:c>
      <x:c r="H859" s="40" t="n">
        <x:v>0.017242</x:v>
      </x:c>
      <x:c r="I859" t="n">
        <x:v>30</x:v>
      </x:c>
      <x:c r="J859" t="n">
        <x:v>354500</x:v>
      </x:c>
      <x:c r="K859" t="str">
        <x:v>Bola de nieve</x:v>
      </x:c>
      <x:c r="L859" t="str">
        <x:v>Vigente</x:v>
      </x:c>
      <x:c r="M859" t="n">
        <x:v>7301610.35</x:v>
      </x:c>
      <x:c r="N859"/>
    </x:row>
    <x:row r="860">
      <x:c r="A860" t="str">
        <x:v>DEU-000859</x:v>
      </x:c>
      <x:c r="B860" t="str">
        <x:v>USR-00453</x:v>
      </x:c>
      <x:c r="C860" t="n">
        <x:v>45992</x:v>
      </x:c>
      <x:c r="D860" t="str">
        <x:v>Entidad financiera B</x:v>
      </x:c>
      <x:c r="E860" t="str">
        <x:v>Crédito de libre inversión</x:v>
      </x:c>
      <x:c r="F860" t="n">
        <x:v>7840000</x:v>
      </x:c>
      <x:c r="G860" s="40" t="n">
        <x:v>0.1064</x:v>
      </x:c>
      <x:c r="H860" s="40" t="n">
        <x:v>0.008462</x:v>
      </x:c>
      <x:c r="I860" t="n">
        <x:v>36</x:v>
      </x:c>
      <x:c r="J860" t="n">
        <x:v>253500</x:v>
      </x:c>
      <x:c r="K860" t="str">
        <x:v>Avalancha</x:v>
      </x:c>
      <x:c r="L860" t="str">
        <x:v>Vigente</x:v>
      </x:c>
      <x:c r="M860" t="n">
        <x:v>6516602.16</x:v>
      </x:c>
      <x:c r="N860"/>
    </x:row>
    <x:row r="861">
      <x:c r="A861" t="str">
        <x:v>DEU-000860</x:v>
      </x:c>
      <x:c r="B861" t="str">
        <x:v>USR-00454</x:v>
      </x:c>
      <x:c r="C861" t="n">
        <x:v>45992</x:v>
      </x:c>
      <x:c r="D861" t="str">
        <x:v>Entidad financiera A</x:v>
      </x:c>
      <x:c r="E861" t="str">
        <x:v>Crédito educativo</x:v>
      </x:c>
      <x:c r="F861" t="n">
        <x:v>22080000</x:v>
      </x:c>
      <x:c r="G861" s="40" t="n">
        <x:v>0.3394</x:v>
      </x:c>
      <x:c r="H861" s="40" t="n">
        <x:v>0.024651</x:v>
      </x:c>
      <x:c r="I861" t="n">
        <x:v>60</x:v>
      </x:c>
      <x:c r="J861" t="n">
        <x:v>708700</x:v>
      </x:c>
      <x:c r="K861" t="str">
        <x:v>Avalancha</x:v>
      </x:c>
      <x:c r="L861" t="str">
        <x:v>Vigente</x:v>
      </x:c>
      <x:c r="M861" t="n">
        <x:v>21892672.74</x:v>
      </x:c>
      <x:c r="N861"/>
    </x:row>
    <x:row r="862">
      <x:c r="A862" t="str">
        <x:v>DEU-000861</x:v>
      </x:c>
      <x:c r="B862" t="str">
        <x:v>USR-00454</x:v>
      </x:c>
      <x:c r="C862" t="n">
        <x:v>45992</x:v>
      </x:c>
      <x:c r="D862" t="str">
        <x:v>Entidad financiera A</x:v>
      </x:c>
      <x:c r="E862" t="str">
        <x:v>Crédito de vehículo</x:v>
      </x:c>
      <x:c r="F862" t="n">
        <x:v>42700000</x:v>
      </x:c>
      <x:c r="G862" s="40" t="n">
        <x:v>0.3045</x:v>
      </x:c>
      <x:c r="H862" s="40" t="n">
        <x:v>0.022399</x:v>
      </x:c>
      <x:c r="I862" t="n">
        <x:v>60</x:v>
      </x:c>
      <x:c r="J862" t="n">
        <x:v>1300800</x:v>
      </x:c>
      <x:c r="K862" t="str">
        <x:v>Bola de nieve</x:v>
      </x:c>
      <x:c r="L862" t="str">
        <x:v>Vigente</x:v>
      </x:c>
      <x:c r="M862" t="n">
        <x:v>44730903.47</x:v>
      </x:c>
      <x:c r="N862"/>
    </x:row>
    <x:row r="863">
      <x:c r="A863" t="str">
        <x:v>DEU-000862</x:v>
      </x:c>
      <x:c r="B863" t="str">
        <x:v>USR-00455</x:v>
      </x:c>
      <x:c r="C863" t="n">
        <x:v>45992</x:v>
      </x:c>
      <x:c r="D863" t="str">
        <x:v>Entidad financiera B</x:v>
      </x:c>
      <x:c r="E863" t="str">
        <x:v>Tarjeta de crédito</x:v>
      </x:c>
      <x:c r="F863" t="n">
        <x:v>5440000</x:v>
      </x:c>
      <x:c r="G863" s="40" t="n">
        <x:v>0.1561</x:v>
      </x:c>
      <x:c r="H863" s="40" t="n">
        <x:v>0.012161</x:v>
      </x:c>
      <x:c r="I863" t="n">
        <x:v>24</x:v>
      </x:c>
      <x:c r="J863" t="n">
        <x:v>262700</x:v>
      </x:c>
      <x:c r="K863" t="str">
        <x:v>Avalancha</x:v>
      </x:c>
      <x:c r="L863" t="str">
        <x:v>Vigente</x:v>
      </x:c>
      <x:c r="M863" t="n">
        <x:v>4396749.19</x:v>
      </x:c>
      <x:c r="N863"/>
    </x:row>
    <x:row r="864">
      <x:c r="A864" t="str">
        <x:v>DEU-000863</x:v>
      </x:c>
      <x:c r="B864" t="str">
        <x:v>USR-00455</x:v>
      </x:c>
      <x:c r="C864" t="n">
        <x:v>45992</x:v>
      </x:c>
      <x:c r="D864" t="str">
        <x:v>Entidad financiera A</x:v>
      </x:c>
      <x:c r="E864" t="str">
        <x:v>Tarjeta de crédito</x:v>
      </x:c>
      <x:c r="F864" t="n">
        <x:v>2900000</x:v>
      </x:c>
      <x:c r="G864" s="40" t="n">
        <x:v>0.2876</x:v>
      </x:c>
      <x:c r="H864" s="40" t="n">
        <x:v>0.021288</x:v>
      </x:c>
      <x:c r="I864" t="n">
        <x:v>36</x:v>
      </x:c>
      <x:c r="J864" t="n">
        <x:v>116100</x:v>
      </x:c>
      <x:c r="K864" t="str">
        <x:v>Bola de nieve</x:v>
      </x:c>
      <x:c r="L864" t="str">
        <x:v>Vigente</x:v>
      </x:c>
      <x:c r="M864" t="n">
        <x:v>2544100.28</x:v>
      </x:c>
      <x:c r="N864"/>
    </x:row>
    <x:row r="865">
      <x:c r="A865" t="str">
        <x:v>DEU-000864</x:v>
      </x:c>
      <x:c r="B865" t="str">
        <x:v>USR-00456</x:v>
      </x:c>
      <x:c r="C865" t="n">
        <x:v>45992</x:v>
      </x:c>
      <x:c r="D865" t="str">
        <x:v>Entidad financiera E</x:v>
      </x:c>
      <x:c r="E865" t="str">
        <x:v>Crédito de vehículo</x:v>
      </x:c>
      <x:c r="F865" t="n">
        <x:v>43940000</x:v>
      </x:c>
      <x:c r="G865" s="40" t="n">
        <x:v>0.1073</x:v>
      </x:c>
      <x:c r="H865" s="40" t="n">
        <x:v>0.00853</x:v>
      </x:c>
      <x:c r="I865" t="n">
        <x:v>30</x:v>
      </x:c>
      <x:c r="J865" t="n">
        <x:v>1666300</x:v>
      </x:c>
      <x:c r="K865" t="str">
        <x:v>Bola de nieve</x:v>
      </x:c>
      <x:c r="L865" t="str">
        <x:v>Vigente</x:v>
      </x:c>
      <x:c r="M865" t="n">
        <x:v>32987379.2</x:v>
      </x:c>
      <x:c r="N865"/>
    </x:row>
    <x:row r="866">
      <x:c r="A866" t="str">
        <x:v>DEU-000865</x:v>
      </x:c>
      <x:c r="B866" t="str">
        <x:v>USR-00456</x:v>
      </x:c>
      <x:c r="C866" t="n">
        <x:v>45992</x:v>
      </x:c>
      <x:c r="D866" t="str">
        <x:v>Entidad financiera E</x:v>
      </x:c>
      <x:c r="E866" t="str">
        <x:v>Crédito de consumo</x:v>
      </x:c>
      <x:c r="F866" t="n">
        <x:v>18110000</x:v>
      </x:c>
      <x:c r="G866" s="40" t="n">
        <x:v>0.2024</x:v>
      </x:c>
      <x:c r="H866" s="40" t="n">
        <x:v>0.015479</x:v>
      </x:c>
      <x:c r="I866" t="n">
        <x:v>36</x:v>
      </x:c>
      <x:c r="J866" t="n">
        <x:v>659900</x:v>
      </x:c>
      <x:c r="K866" t="str">
        <x:v>Avalancha</x:v>
      </x:c>
      <x:c r="L866" t="str">
        <x:v>Vigente</x:v>
      </x:c>
      <x:c r="M866" t="n">
        <x:v>14160056.5</x:v>
      </x:c>
      <x:c r="N866"/>
    </x:row>
    <x:row r="867">
      <x:c r="A867" t="str">
        <x:v>DEU-000866</x:v>
      </x:c>
      <x:c r="B867" t="str">
        <x:v>USR-00456</x:v>
      </x:c>
      <x:c r="C867" t="n">
        <x:v>45992</x:v>
      </x:c>
      <x:c r="D867" t="str">
        <x:v>Entidad financiera B</x:v>
      </x:c>
      <x:c r="E867" t="str">
        <x:v>Tarjeta de crédito</x:v>
      </x:c>
      <x:c r="F867" t="n">
        <x:v>2600000</x:v>
      </x:c>
      <x:c r="G867" s="40" t="n">
        <x:v>0.2588</x:v>
      </x:c>
      <x:c r="H867" s="40" t="n">
        <x:v>0.019365</x:v>
      </x:c>
      <x:c r="I867" t="n">
        <x:v>18</x:v>
      </x:c>
      <x:c r="J867" t="n">
        <x:v>172500</x:v>
      </x:c>
      <x:c r="K867" t="str">
        <x:v>Avalancha</x:v>
      </x:c>
      <x:c r="L867" t="str">
        <x:v>Vigente</x:v>
      </x:c>
      <x:c r="M867" t="n">
        <x:v>1818844.56</x:v>
      </x:c>
      <x:c r="N867"/>
    </x:row>
    <x:row r="868">
      <x:c r="A868" t="str">
        <x:v>DEU-000867</x:v>
      </x:c>
      <x:c r="B868" t="str">
        <x:v>USR-00456</x:v>
      </x:c>
      <x:c r="C868" t="n">
        <x:v>45992</x:v>
      </x:c>
      <x:c r="D868" t="str">
        <x:v>Entidad financiera E</x:v>
      </x:c>
      <x:c r="E868" t="str">
        <x:v>Crédito de consumo</x:v>
      </x:c>
      <x:c r="F868" t="n">
        <x:v>8620000</x:v>
      </x:c>
      <x:c r="G868" s="40" t="n">
        <x:v>0.172</x:v>
      </x:c>
      <x:c r="H868" s="40" t="n">
        <x:v>0.013314</x:v>
      </x:c>
      <x:c r="I868" t="n">
        <x:v>18</x:v>
      </x:c>
      <x:c r="J868" t="n">
        <x:v>541700</x:v>
      </x:c>
      <x:c r="K868" t="str">
        <x:v>Avalancha</x:v>
      </x:c>
      <x:c r="L868" t="str">
        <x:v>Vigente</x:v>
      </x:c>
      <x:c r="M868" t="n">
        <x:v>5929563.26</x:v>
      </x:c>
      <x:c r="N868"/>
    </x:row>
    <x:row r="869">
      <x:c r="A869" t="str">
        <x:v>DEU-000868</x:v>
      </x:c>
      <x:c r="B869" t="str">
        <x:v>USR-00456</x:v>
      </x:c>
      <x:c r="C869" t="n">
        <x:v>45992</x:v>
      </x:c>
      <x:c r="D869" t="str">
        <x:v>Entidad financiera A</x:v>
      </x:c>
      <x:c r="E869" t="str">
        <x:v>Tarjeta de crédito</x:v>
      </x:c>
      <x:c r="F869" t="n">
        <x:v>4600000</x:v>
      </x:c>
      <x:c r="G869" s="40" t="n">
        <x:v>0.2258</x:v>
      </x:c>
      <x:c r="H869" s="40" t="n">
        <x:v>0.017111</x:v>
      </x:c>
      <x:c r="I869" t="n">
        <x:v>24</x:v>
      </x:c>
      <x:c r="J869" t="n">
        <x:v>235300</x:v>
      </x:c>
      <x:c r="K869" t="str">
        <x:v>Avalancha</x:v>
      </x:c>
      <x:c r="L869" t="str">
        <x:v>Vigente</x:v>
      </x:c>
      <x:c r="M869" t="n">
        <x:v>3233967.43</x:v>
      </x:c>
      <x:c r="N869"/>
    </x:row>
    <x:row r="870">
      <x:c r="A870" t="str">
        <x:v>DEU-000869</x:v>
      </x:c>
      <x:c r="B870" t="str">
        <x:v>USR-00457</x:v>
      </x:c>
      <x:c r="C870" t="n">
        <x:v>45992</x:v>
      </x:c>
      <x:c r="D870" t="str">
        <x:v>Cooperativa C</x:v>
      </x:c>
      <x:c r="E870" t="str">
        <x:v>Crédito educativo</x:v>
      </x:c>
      <x:c r="F870" t="n">
        <x:v>9360000</x:v>
      </x:c>
      <x:c r="G870" s="40" t="n">
        <x:v>0.138</x:v>
      </x:c>
      <x:c r="H870" s="40" t="n">
        <x:v>0.010831</x:v>
      </x:c>
      <x:c r="I870" t="n">
        <x:v>48</x:v>
      </x:c>
      <x:c r="J870" t="n">
        <x:v>251100</x:v>
      </x:c>
      <x:c r="K870" t="str">
        <x:v>Bola de nieve</x:v>
      </x:c>
      <x:c r="L870" t="str">
        <x:v>Vigente</x:v>
      </x:c>
      <x:c r="M870" t="n">
        <x:v>8288260.74</x:v>
      </x:c>
      <x:c r="N870"/>
    </x:row>
    <x:row r="871">
      <x:c r="A871" t="str">
        <x:v>DEU-000870</x:v>
      </x:c>
      <x:c r="B871" t="str">
        <x:v>USR-00457</x:v>
      </x:c>
      <x:c r="C871" t="n">
        <x:v>45992</x:v>
      </x:c>
      <x:c r="D871" t="str">
        <x:v>Entidad financiera E</x:v>
      </x:c>
      <x:c r="E871" t="str">
        <x:v>Crédito educativo</x:v>
      </x:c>
      <x:c r="F871" t="n">
        <x:v>19460000</x:v>
      </x:c>
      <x:c r="G871" s="40" t="n">
        <x:v>0.1911</x:v>
      </x:c>
      <x:c r="H871" s="40" t="n">
        <x:v>0.01468</x:v>
      </x:c>
      <x:c r="I871" t="n">
        <x:v>30</x:v>
      </x:c>
      <x:c r="J871" t="n">
        <x:v>806600</x:v>
      </x:c>
      <x:c r="K871" t="str">
        <x:v>Avalancha</x:v>
      </x:c>
      <x:c r="L871" t="str">
        <x:v>Vigente</x:v>
      </x:c>
      <x:c r="M871" t="n">
        <x:v>14562797.36</x:v>
      </x:c>
      <x:c r="N871"/>
    </x:row>
    <x:row r="872">
      <x:c r="A872" t="str">
        <x:v>DEU-000871</x:v>
      </x:c>
      <x:c r="B872" t="str">
        <x:v>USR-00458</x:v>
      </x:c>
      <x:c r="C872" t="n">
        <x:v>45992</x:v>
      </x:c>
      <x:c r="D872" t="str">
        <x:v>Financiera D</x:v>
      </x:c>
      <x:c r="E872" t="str">
        <x:v>Crédito educativo</x:v>
      </x:c>
      <x:c r="F872" t="n">
        <x:v>22360000</x:v>
      </x:c>
      <x:c r="G872" s="40" t="n">
        <x:v>0.3369</x:v>
      </x:c>
      <x:c r="H872" s="40" t="n">
        <x:v>0.024491</x:v>
      </x:c>
      <x:c r="I872" t="n">
        <x:v>36</x:v>
      </x:c>
      <x:c r="J872" t="n">
        <x:v>941800</x:v>
      </x:c>
      <x:c r="K872" t="str">
        <x:v>Avalancha</x:v>
      </x:c>
      <x:c r="L872" t="str">
        <x:v>Vigente</x:v>
      </x:c>
      <x:c r="M872" t="n">
        <x:v>20071752.59</x:v>
      </x:c>
      <x:c r="N872"/>
    </x:row>
    <x:row r="873">
      <x:c r="A873" t="str">
        <x:v>DEU-000872</x:v>
      </x:c>
      <x:c r="B873" t="str">
        <x:v>USR-00458</x:v>
      </x:c>
      <x:c r="C873" t="n">
        <x:v>45992</x:v>
      </x:c>
      <x:c r="D873" t="str">
        <x:v>Financiera D</x:v>
      </x:c>
      <x:c r="E873" t="str">
        <x:v>Tarjeta de crédito</x:v>
      </x:c>
      <x:c r="F873" t="n">
        <x:v>3220000</x:v>
      </x:c>
      <x:c r="G873" s="40" t="n">
        <x:v>0.1513</x:v>
      </x:c>
      <x:c r="H873" s="40" t="n">
        <x:v>0.01181</x:v>
      </x:c>
      <x:c r="I873" t="n">
        <x:v>48</x:v>
      </x:c>
      <x:c r="J873" t="n">
        <x:v>88300</x:v>
      </x:c>
      <x:c r="K873" t="str">
        <x:v>Bola de nieve</x:v>
      </x:c>
      <x:c r="L873" t="str">
        <x:v>Vigente</x:v>
      </x:c>
      <x:c r="M873" t="n">
        <x:v>2705938.91</x:v>
      </x:c>
      <x:c r="N873"/>
    </x:row>
    <x:row r="874">
      <x:c r="A874" t="str">
        <x:v>DEU-000873</x:v>
      </x:c>
      <x:c r="B874" t="str">
        <x:v>USR-00458</x:v>
      </x:c>
      <x:c r="C874" t="n">
        <x:v>45992</x:v>
      </x:c>
      <x:c r="D874" t="str">
        <x:v>Financiera D</x:v>
      </x:c>
      <x:c r="E874" t="str">
        <x:v>Tarjeta de crédito</x:v>
      </x:c>
      <x:c r="F874" t="n">
        <x:v>5690000</x:v>
      </x:c>
      <x:c r="G874" s="40" t="n">
        <x:v>0.2091</x:v>
      </x:c>
      <x:c r="H874" s="40" t="n">
        <x:v>0.015949</x:v>
      </x:c>
      <x:c r="I874" t="n">
        <x:v>24</x:v>
      </x:c>
      <x:c r="J874" t="n">
        <x:v>287200</x:v>
      </x:c>
      <x:c r="K874" t="str">
        <x:v>Bola de nieve</x:v>
      </x:c>
      <x:c r="L874" t="str">
        <x:v>Vigente</x:v>
      </x:c>
      <x:c r="M874" t="n">
        <x:v>4400058.47</x:v>
      </x:c>
      <x:c r="N874"/>
    </x:row>
    <x:row r="875">
      <x:c r="A875" t="str">
        <x:v>DEU-000874</x:v>
      </x:c>
      <x:c r="B875" t="str">
        <x:v>USR-00458</x:v>
      </x:c>
      <x:c r="C875" t="n">
        <x:v>45992</x:v>
      </x:c>
      <x:c r="D875" t="str">
        <x:v>Financiera D</x:v>
      </x:c>
      <x:c r="E875" t="str">
        <x:v>Tarjeta de crédito</x:v>
      </x:c>
      <x:c r="F875" t="n">
        <x:v>8180000</x:v>
      </x:c>
      <x:c r="G875" s="40" t="n">
        <x:v>0.2091</x:v>
      </x:c>
      <x:c r="H875" s="40" t="n">
        <x:v>0.015949</x:v>
      </x:c>
      <x:c r="I875" t="n">
        <x:v>60</x:v>
      </x:c>
      <x:c r="J875" t="n">
        <x:v>212800</x:v>
      </x:c>
      <x:c r="K875" t="str">
        <x:v>Bola de nieve</x:v>
      </x:c>
      <x:c r="L875" t="str">
        <x:v>Vigente</x:v>
      </x:c>
      <x:c r="M875" t="n">
        <x:v>7235056.22</x:v>
      </x:c>
      <x:c r="N875"/>
    </x:row>
    <x:row r="876">
      <x:c r="A876" t="str">
        <x:v>DEU-000875</x:v>
      </x:c>
      <x:c r="B876" t="str">
        <x:v>USR-00459</x:v>
      </x:c>
      <x:c r="C876" t="n">
        <x:v>45992</x:v>
      </x:c>
      <x:c r="D876" t="str">
        <x:v>Entidad financiera A</x:v>
      </x:c>
      <x:c r="E876" t="str">
        <x:v>Tarjeta de crédito</x:v>
      </x:c>
      <x:c r="F876" t="n">
        <x:v>1620000</x:v>
      </x:c>
      <x:c r="G876" s="40" t="n">
        <x:v>0.1245</x:v>
      </x:c>
      <x:c r="H876" s="40" t="n">
        <x:v>0.009826</x:v>
      </x:c>
      <x:c r="I876" t="n">
        <x:v>30</x:v>
      </x:c>
      <x:c r="J876" t="n">
        <x:v>62600</x:v>
      </x:c>
      <x:c r="K876" t="str">
        <x:v>Bola de nieve</x:v>
      </x:c>
      <x:c r="L876" t="str">
        <x:v>Vigente</x:v>
      </x:c>
      <x:c r="M876" t="n">
        <x:v>1250729.16</x:v>
      </x:c>
      <x:c r="N876"/>
    </x:row>
    <x:row r="877">
      <x:c r="A877" t="str">
        <x:v>DEU-000876</x:v>
      </x:c>
      <x:c r="B877" t="str">
        <x:v>USR-00459</x:v>
      </x:c>
      <x:c r="C877" t="n">
        <x:v>45992</x:v>
      </x:c>
      <x:c r="D877" t="str">
        <x:v>Cooperativa C</x:v>
      </x:c>
      <x:c r="E877" t="str">
        <x:v>Tarjeta de crédito</x:v>
      </x:c>
      <x:c r="F877" t="n">
        <x:v>3390000</x:v>
      </x:c>
      <x:c r="G877" s="40" t="n">
        <x:v>0.3154</x:v>
      </x:c>
      <x:c r="H877" s="40" t="n">
        <x:v>0.023108</x:v>
      </x:c>
      <x:c r="I877" t="n">
        <x:v>60</x:v>
      </x:c>
      <x:c r="J877" t="n">
        <x:v>105000</x:v>
      </x:c>
      <x:c r="K877" t="str">
        <x:v>Bola de nieve</x:v>
      </x:c>
      <x:c r="L877" t="str">
        <x:v>Vigente</x:v>
      </x:c>
      <x:c r="M877" t="n">
        <x:v>3358273.77</x:v>
      </x:c>
      <x:c r="N877"/>
    </x:row>
    <x:row r="878">
      <x:c r="A878" t="str">
        <x:v>DEU-000877</x:v>
      </x:c>
      <x:c r="B878" t="str">
        <x:v>USR-00460</x:v>
      </x:c>
      <x:c r="C878" t="n">
        <x:v>45992</x:v>
      </x:c>
      <x:c r="D878" t="str">
        <x:v>Entidad financiera E</x:v>
      </x:c>
      <x:c r="E878" t="str">
        <x:v>Tarjeta de crédito</x:v>
      </x:c>
      <x:c r="F878" t="n">
        <x:v>2970000</x:v>
      </x:c>
      <x:c r="G878" s="40" t="n">
        <x:v>0.3233</x:v>
      </x:c>
      <x:c r="H878" s="40" t="n">
        <x:v>0.023619</x:v>
      </x:c>
      <x:c r="I878" t="n">
        <x:v>18</x:v>
      </x:c>
      <x:c r="J878" t="n">
        <x:v>204500</x:v>
      </x:c>
      <x:c r="K878" t="str">
        <x:v>Bola de nieve</x:v>
      </x:c>
      <x:c r="L878" t="str">
        <x:v>Vigente</x:v>
      </x:c>
      <x:c r="M878" t="n">
        <x:v>1855372.44</x:v>
      </x:c>
      <x:c r="N878"/>
    </x:row>
    <x:row r="879">
      <x:c r="A879" t="str">
        <x:v>DEU-000878</x:v>
      </x:c>
      <x:c r="B879" t="str">
        <x:v>USR-00460</x:v>
      </x:c>
      <x:c r="C879" t="n">
        <x:v>45992</x:v>
      </x:c>
      <x:c r="D879" t="str">
        <x:v>Cooperativa C</x:v>
      </x:c>
      <x:c r="E879" t="str">
        <x:v>Crédito comercial</x:v>
      </x:c>
      <x:c r="F879" t="n">
        <x:v>27940000</x:v>
      </x:c>
      <x:c r="G879" s="40" t="n">
        <x:v>0.307</x:v>
      </x:c>
      <x:c r="H879" s="40" t="n">
        <x:v>0.022562</x:v>
      </x:c>
      <x:c r="I879" t="n">
        <x:v>30</x:v>
      </x:c>
      <x:c r="J879" t="n">
        <x:v>1291900</x:v>
      </x:c>
      <x:c r="K879" t="str">
        <x:v>Bola de nieve</x:v>
      </x:c>
      <x:c r="L879" t="str">
        <x:v>Vigente</x:v>
      </x:c>
      <x:c r="M879" t="n">
        <x:v>27932031.41</x:v>
      </x:c>
      <x:c r="N879"/>
    </x:row>
    <x:row r="880">
      <x:c r="A880" t="str">
        <x:v>DEU-000879</x:v>
      </x:c>
      <x:c r="B880" t="str">
        <x:v>USR-00461</x:v>
      </x:c>
      <x:c r="C880" t="n">
        <x:v>45992</x:v>
      </x:c>
      <x:c r="D880" t="str">
        <x:v>Entidad financiera A</x:v>
      </x:c>
      <x:c r="E880" t="str">
        <x:v>Crédito de vehículo</x:v>
      </x:c>
      <x:c r="F880" t="n">
        <x:v>39860000</x:v>
      </x:c>
      <x:c r="G880" s="40" t="n">
        <x:v>0.1897</x:v>
      </x:c>
      <x:c r="H880" s="40" t="n">
        <x:v>0.01458</x:v>
      </x:c>
      <x:c r="I880" t="n">
        <x:v>12</x:v>
      </x:c>
      <x:c r="J880" t="n">
        <x:v>3644800</x:v>
      </x:c>
      <x:c r="K880" t="str">
        <x:v>Avalancha</x:v>
      </x:c>
      <x:c r="L880" t="str">
        <x:v>Vigente</x:v>
      </x:c>
      <x:c r="M880" t="n">
        <x:v>26714401.78</x:v>
      </x:c>
      <x:c r="N880"/>
    </x:row>
    <x:row r="881">
      <x:c r="A881" t="str">
        <x:v>DEU-000880</x:v>
      </x:c>
      <x:c r="B881" t="str">
        <x:v>USR-00462</x:v>
      </x:c>
      <x:c r="C881" t="n">
        <x:v>45992</x:v>
      </x:c>
      <x:c r="D881" t="str">
        <x:v>Entidad financiera A</x:v>
      </x:c>
      <x:c r="E881" t="str">
        <x:v>Tarjeta de crédito</x:v>
      </x:c>
      <x:c r="F881" t="n">
        <x:v>6670000</x:v>
      </x:c>
      <x:c r="G881" s="40" t="n">
        <x:v>0.2624</x:v>
      </x:c>
      <x:c r="H881" s="40" t="n">
        <x:v>0.019608</x:v>
      </x:c>
      <x:c r="I881" t="n">
        <x:v>48</x:v>
      </x:c>
      <x:c r="J881" t="n">
        <x:v>215700</x:v>
      </x:c>
      <x:c r="K881" t="str">
        <x:v>Avalancha</x:v>
      </x:c>
      <x:c r="L881" t="str">
        <x:v>Vigente</x:v>
      </x:c>
      <x:c r="M881" t="n">
        <x:v>6805298.32</x:v>
      </x:c>
      <x:c r="N881"/>
    </x:row>
    <x:row r="882">
      <x:c r="A882" t="str">
        <x:v>DEU-000881</x:v>
      </x:c>
      <x:c r="B882" t="str">
        <x:v>USR-00462</x:v>
      </x:c>
      <x:c r="C882" t="n">
        <x:v>45992</x:v>
      </x:c>
      <x:c r="D882" t="str">
        <x:v>Entidad financiera E</x:v>
      </x:c>
      <x:c r="E882" t="str">
        <x:v>Crédito educativo</x:v>
      </x:c>
      <x:c r="F882" t="n">
        <x:v>20570000</x:v>
      </x:c>
      <x:c r="G882" s="40" t="n">
        <x:v>0.2473</x:v>
      </x:c>
      <x:c r="H882" s="40" t="n">
        <x:v>0.018586</x:v>
      </x:c>
      <x:c r="I882" t="n">
        <x:v>60</x:v>
      </x:c>
      <x:c r="J882" t="n">
        <x:v>571700</x:v>
      </x:c>
      <x:c r="K882" t="str">
        <x:v>Bola de nieve</x:v>
      </x:c>
      <x:c r="L882" t="str">
        <x:v>Vigente</x:v>
      </x:c>
      <x:c r="M882" t="n">
        <x:v>20462721.48</x:v>
      </x:c>
      <x:c r="N882"/>
    </x:row>
    <x:row r="883">
      <x:c r="A883" t="str">
        <x:v>DEU-000882</x:v>
      </x:c>
      <x:c r="B883" t="str">
        <x:v>USR-00463</x:v>
      </x:c>
      <x:c r="C883" t="n">
        <x:v>45992</x:v>
      </x:c>
      <x:c r="D883" t="str">
        <x:v>Entidad financiera A</x:v>
      </x:c>
      <x:c r="E883" t="str">
        <x:v>Tarjeta de crédito</x:v>
      </x:c>
      <x:c r="F883" t="n">
        <x:v>5880000</x:v>
      </x:c>
      <x:c r="G883" s="40" t="n">
        <x:v>0.2943</x:v>
      </x:c>
      <x:c r="H883" s="40" t="n">
        <x:v>0.02173</x:v>
      </x:c>
      <x:c r="I883" t="n">
        <x:v>36</x:v>
      </x:c>
      <x:c r="J883" t="n">
        <x:v>237100</x:v>
      </x:c>
      <x:c r="K883" t="str">
        <x:v>Bola de nieve</x:v>
      </x:c>
      <x:c r="L883" t="str">
        <x:v>Vigente</x:v>
      </x:c>
      <x:c r="M883" t="n">
        <x:v>4974737.57</x:v>
      </x:c>
      <x:c r="N883"/>
    </x:row>
    <x:row r="884">
      <x:c r="A884" t="str">
        <x:v>DEU-000883</x:v>
      </x:c>
      <x:c r="B884" t="str">
        <x:v>USR-00464</x:v>
      </x:c>
      <x:c r="C884" t="n">
        <x:v>45992</x:v>
      </x:c>
      <x:c r="D884" t="str">
        <x:v>Entidad financiera A</x:v>
      </x:c>
      <x:c r="E884" t="str">
        <x:v>Crédito de vehículo</x:v>
      </x:c>
      <x:c r="F884" t="n">
        <x:v>50900000</x:v>
      </x:c>
      <x:c r="G884" s="40" t="n">
        <x:v>0.1556</x:v>
      </x:c>
      <x:c r="H884" s="40" t="n">
        <x:v>0.012125</x:v>
      </x:c>
      <x:c r="I884" t="n">
        <x:v>18</x:v>
      </x:c>
      <x:c r="J884" t="n">
        <x:v>3164600</x:v>
      </x:c>
      <x:c r="K884" t="str">
        <x:v>Bola de nieve</x:v>
      </x:c>
      <x:c r="L884" t="str">
        <x:v>Vigente</x:v>
      </x:c>
      <x:c r="M884" t="n">
        <x:v>38601019.97</x:v>
      </x:c>
      <x:c r="N884"/>
    </x:row>
    <x:row r="885">
      <x:c r="A885" t="str">
        <x:v>DEU-000884</x:v>
      </x:c>
      <x:c r="B885" t="str">
        <x:v>USR-00464</x:v>
      </x:c>
      <x:c r="C885" t="n">
        <x:v>45992</x:v>
      </x:c>
      <x:c r="D885" t="str">
        <x:v>Cooperativa C</x:v>
      </x:c>
      <x:c r="E885" t="str">
        <x:v>Tarjeta de crédito</x:v>
      </x:c>
      <x:c r="F885" t="n">
        <x:v>5940000</x:v>
      </x:c>
      <x:c r="G885" s="40" t="n">
        <x:v>0.2054</x:v>
      </x:c>
      <x:c r="H885" s="40" t="n">
        <x:v>0.015689</x:v>
      </x:c>
      <x:c r="I885" t="n">
        <x:v>18</x:v>
      </x:c>
      <x:c r="J885" t="n">
        <x:v>381400</x:v>
      </x:c>
      <x:c r="K885" t="str">
        <x:v>Avalancha</x:v>
      </x:c>
      <x:c r="L885" t="str">
        <x:v>Vigente</x:v>
      </x:c>
      <x:c r="M885" t="n">
        <x:v>4020570.85</x:v>
      </x:c>
      <x:c r="N885"/>
    </x:row>
    <x:row r="886">
      <x:c r="A886" t="str">
        <x:v>DEU-000885</x:v>
      </x:c>
      <x:c r="B886" t="str">
        <x:v>USR-00465</x:v>
      </x:c>
      <x:c r="C886" t="n">
        <x:v>45992</x:v>
      </x:c>
      <x:c r="D886" t="str">
        <x:v>Entidad financiera E</x:v>
      </x:c>
      <x:c r="E886" t="str">
        <x:v>Tarjeta de crédito</x:v>
      </x:c>
      <x:c r="F886" t="n">
        <x:v>3310000</x:v>
      </x:c>
      <x:c r="G886" s="40" t="n">
        <x:v>0.2892</x:v>
      </x:c>
      <x:c r="H886" s="40" t="n">
        <x:v>0.021394</x:v>
      </x:c>
      <x:c r="I886" t="n">
        <x:v>12</x:v>
      </x:c>
      <x:c r="J886" t="n">
        <x:v>315700</x:v>
      </x:c>
      <x:c r="K886" t="str">
        <x:v>Bola de nieve</x:v>
      </x:c>
      <x:c r="L886" t="str">
        <x:v>Vigente</x:v>
      </x:c>
      <x:c r="M886" t="n">
        <x:v>1601514.54</x:v>
      </x:c>
      <x:c r="N886"/>
    </x:row>
    <x:row r="887">
      <x:c r="A887" t="str">
        <x:v>DEU-000886</x:v>
      </x:c>
      <x:c r="B887" t="str">
        <x:v>USR-00465</x:v>
      </x:c>
      <x:c r="C887" t="n">
        <x:v>45992</x:v>
      </x:c>
      <x:c r="D887" t="str">
        <x:v>Entidad financiera A</x:v>
      </x:c>
      <x:c r="E887" t="str">
        <x:v>Crédito de consumo</x:v>
      </x:c>
      <x:c r="F887" t="n">
        <x:v>6110000</x:v>
      </x:c>
      <x:c r="G887" s="40" t="n">
        <x:v>0.171</x:v>
      </x:c>
      <x:c r="H887" s="40" t="n">
        <x:v>0.013242</x:v>
      </x:c>
      <x:c r="I887" t="n">
        <x:v>30</x:v>
      </x:c>
      <x:c r="J887" t="n">
        <x:v>248100</x:v>
      </x:c>
      <x:c r="K887" t="str">
        <x:v>Bola de nieve</x:v>
      </x:c>
      <x:c r="L887" t="str">
        <x:v>Vigente</x:v>
      </x:c>
      <x:c r="M887" t="n">
        <x:v>4459112.24</x:v>
      </x:c>
      <x:c r="N887"/>
    </x:row>
    <x:row r="888">
      <x:c r="A888" t="str">
        <x:v>DEU-000887</x:v>
      </x:c>
      <x:c r="B888" t="str">
        <x:v>USR-00465</x:v>
      </x:c>
      <x:c r="C888" t="n">
        <x:v>45992</x:v>
      </x:c>
      <x:c r="D888" t="str">
        <x:v>Entidad financiera B</x:v>
      </x:c>
      <x:c r="E888" t="str">
        <x:v>Crédito de consumo</x:v>
      </x:c>
      <x:c r="F888" t="n">
        <x:v>2570000</x:v>
      </x:c>
      <x:c r="G888" s="40" t="n">
        <x:v>0.2811</x:v>
      </x:c>
      <x:c r="H888" s="40" t="n">
        <x:v>0.020858</x:v>
      </x:c>
      <x:c r="I888" t="n">
        <x:v>24</x:v>
      </x:c>
      <x:c r="J888" t="n">
        <x:v>137200</x:v>
      </x:c>
      <x:c r="K888" t="str">
        <x:v>Avalancha</x:v>
      </x:c>
      <x:c r="L888" t="str">
        <x:v>Vigente</x:v>
      </x:c>
      <x:c r="M888" t="n">
        <x:v>2189198.72</x:v>
      </x:c>
      <x:c r="N888"/>
    </x:row>
    <x:row r="889">
      <x:c r="A889" t="str">
        <x:v>DEU-000888</x:v>
      </x:c>
      <x:c r="B889" t="str">
        <x:v>USR-00465</x:v>
      </x:c>
      <x:c r="C889" t="n">
        <x:v>45992</x:v>
      </x:c>
      <x:c r="D889" t="str">
        <x:v>Entidad financiera B</x:v>
      </x:c>
      <x:c r="E889" t="str">
        <x:v>Crédito de vehículo</x:v>
      </x:c>
      <x:c r="F889" t="n">
        <x:v>41860000</x:v>
      </x:c>
      <x:c r="G889" s="40" t="n">
        <x:v>0.2102</x:v>
      </x:c>
      <x:c r="H889" s="40" t="n">
        <x:v>0.016026</x:v>
      </x:c>
      <x:c r="I889" t="n">
        <x:v>18</x:v>
      </x:c>
      <x:c r="J889" t="n">
        <x:v>2695500</x:v>
      </x:c>
      <x:c r="K889" t="str">
        <x:v>Avalancha</x:v>
      </x:c>
      <x:c r="L889" t="str">
        <x:v>Vigente</x:v>
      </x:c>
      <x:c r="M889" t="n">
        <x:v>20992848.8</x:v>
      </x:c>
      <x:c r="N889"/>
    </x:row>
    <x:row r="890">
      <x:c r="A890" t="str">
        <x:v>DEU-000889</x:v>
      </x:c>
      <x:c r="B890" t="str">
        <x:v>USR-00466</x:v>
      </x:c>
      <x:c r="C890" t="n">
        <x:v>45992</x:v>
      </x:c>
      <x:c r="D890" t="str">
        <x:v>Financiera D</x:v>
      </x:c>
      <x:c r="E890" t="str">
        <x:v>Crédito de consumo</x:v>
      </x:c>
      <x:c r="F890" t="n">
        <x:v>6070000</x:v>
      </x:c>
      <x:c r="G890" s="40" t="n">
        <x:v>0.2891</x:v>
      </x:c>
      <x:c r="H890" s="40" t="n">
        <x:v>0.021388</x:v>
      </x:c>
      <x:c r="I890" t="n">
        <x:v>30</x:v>
      </x:c>
      <x:c r="J890" t="n">
        <x:v>276200</x:v>
      </x:c>
      <x:c r="K890" t="str">
        <x:v>Bola de nieve</x:v>
      </x:c>
      <x:c r="L890" t="str">
        <x:v>Vigente</x:v>
      </x:c>
      <x:c r="M890" t="n">
        <x:v>5270745.19</x:v>
      </x:c>
      <x:c r="N890"/>
    </x:row>
    <x:row r="891">
      <x:c r="A891" t="str">
        <x:v>DEU-000890</x:v>
      </x:c>
      <x:c r="B891" t="str">
        <x:v>USR-00466</x:v>
      </x:c>
      <x:c r="C891" t="n">
        <x:v>45992</x:v>
      </x:c>
      <x:c r="D891" t="str">
        <x:v>Entidad financiera A</x:v>
      </x:c>
      <x:c r="E891" t="str">
        <x:v>Tarjeta de crédito</x:v>
      </x:c>
      <x:c r="F891" t="n">
        <x:v>4110000</x:v>
      </x:c>
      <x:c r="G891" s="40" t="n">
        <x:v>0.2784</x:v>
      </x:c>
      <x:c r="H891" s="40" t="n">
        <x:v>0.020678</x:v>
      </x:c>
      <x:c r="I891" t="n">
        <x:v>24</x:v>
      </x:c>
      <x:c r="J891" t="n">
        <x:v>219000</x:v>
      </x:c>
      <x:c r="K891" t="str">
        <x:v>Bola de nieve</x:v>
      </x:c>
      <x:c r="L891" t="str">
        <x:v>Vigente</x:v>
      </x:c>
      <x:c r="M891" t="n">
        <x:v>3357794.02</x:v>
      </x:c>
      <x:c r="N891"/>
    </x:row>
    <x:row r="892">
      <x:c r="A892" t="str">
        <x:v>DEU-000891</x:v>
      </x:c>
      <x:c r="B892" t="str">
        <x:v>USR-00467</x:v>
      </x:c>
      <x:c r="C892" t="n">
        <x:v>45992</x:v>
      </x:c>
      <x:c r="D892" t="str">
        <x:v>Entidad financiera B</x:v>
      </x:c>
      <x:c r="E892" t="str">
        <x:v>Crédito educativo</x:v>
      </x:c>
      <x:c r="F892" t="n">
        <x:v>25530000</x:v>
      </x:c>
      <x:c r="G892" s="40" t="n">
        <x:v>0.2974</x:v>
      </x:c>
      <x:c r="H892" s="40" t="n">
        <x:v>0.021934</x:v>
      </x:c>
      <x:c r="I892" t="n">
        <x:v>48</x:v>
      </x:c>
      <x:c r="J892" t="n">
        <x:v>865400</x:v>
      </x:c>
      <x:c r="K892" t="str">
        <x:v>Avalancha</x:v>
      </x:c>
      <x:c r="L892" t="str">
        <x:v>Vigente</x:v>
      </x:c>
      <x:c r="M892" t="n">
        <x:v>22913357.09</x:v>
      </x:c>
      <x:c r="N892"/>
    </x:row>
    <x:row r="893">
      <x:c r="A893" t="str">
        <x:v>DEU-000892</x:v>
      </x:c>
      <x:c r="B893" t="str">
        <x:v>USR-00468</x:v>
      </x:c>
      <x:c r="C893" t="n">
        <x:v>45992</x:v>
      </x:c>
      <x:c r="D893" t="str">
        <x:v>Cooperativa C</x:v>
      </x:c>
      <x:c r="E893" t="str">
        <x:v>Crédito de consumo</x:v>
      </x:c>
      <x:c r="F893" t="n">
        <x:v>6660000</x:v>
      </x:c>
      <x:c r="G893" s="40" t="n">
        <x:v>0.1274</x:v>
      </x:c>
      <x:c r="H893" s="40" t="n">
        <x:v>0.010043</x:v>
      </x:c>
      <x:c r="I893" t="n">
        <x:v>36</x:v>
      </x:c>
      <x:c r="J893" t="n">
        <x:v>221400</x:v>
      </x:c>
      <x:c r="K893" t="str">
        <x:v>Bola de nieve</x:v>
      </x:c>
      <x:c r="L893" t="str">
        <x:v>Vigente</x:v>
      </x:c>
      <x:c r="M893" t="n">
        <x:v>6270134.4</x:v>
      </x:c>
      <x:c r="N893"/>
    </x:row>
    <x:row r="894">
      <x:c r="A894" t="str">
        <x:v>DEU-000893</x:v>
      </x:c>
      <x:c r="B894" t="str">
        <x:v>USR-00468</x:v>
      </x:c>
      <x:c r="C894" t="n">
        <x:v>45992</x:v>
      </x:c>
      <x:c r="D894" t="str">
        <x:v>Entidad financiera B</x:v>
      </x:c>
      <x:c r="E894" t="str">
        <x:v>Crédito de libre inversión</x:v>
      </x:c>
      <x:c r="F894" t="n">
        <x:v>12090000</x:v>
      </x:c>
      <x:c r="G894" s="40" t="n">
        <x:v>0.288</x:v>
      </x:c>
      <x:c r="H894" s="40" t="n">
        <x:v>0.021315</x:v>
      </x:c>
      <x:c r="I894" t="n">
        <x:v>18</x:v>
      </x:c>
      <x:c r="J894" t="n">
        <x:v>815800</x:v>
      </x:c>
      <x:c r="K894" t="str">
        <x:v>Bola de nieve</x:v>
      </x:c>
      <x:c r="L894" t="str">
        <x:v>Vigente</x:v>
      </x:c>
      <x:c r="M894" t="n">
        <x:v>9122480.01</x:v>
      </x:c>
      <x:c r="N894"/>
    </x:row>
    <x:row r="895">
      <x:c r="A895" t="str">
        <x:v>DEU-000894</x:v>
      </x:c>
      <x:c r="B895" t="str">
        <x:v>USR-00469</x:v>
      </x:c>
      <x:c r="C895" t="n">
        <x:v>45992</x:v>
      </x:c>
      <x:c r="D895" t="str">
        <x:v>Financiera D</x:v>
      </x:c>
      <x:c r="E895" t="str">
        <x:v>Crédito de consumo</x:v>
      </x:c>
      <x:c r="F895" t="n">
        <x:v>8700000</x:v>
      </x:c>
      <x:c r="G895" s="40" t="n">
        <x:v>0.1706</x:v>
      </x:c>
      <x:c r="H895" s="40" t="n">
        <x:v>0.013213</x:v>
      </x:c>
      <x:c r="I895" t="n">
        <x:v>12</x:v>
      </x:c>
      <x:c r="J895" t="n">
        <x:v>788800</x:v>
      </x:c>
      <x:c r="K895" t="str">
        <x:v>Avalancha</x:v>
      </x:c>
      <x:c r="L895" t="str">
        <x:v>Vigente</x:v>
      </x:c>
      <x:c r="M895" t="n">
        <x:v>3499578.49</x:v>
      </x:c>
      <x:c r="N895"/>
    </x:row>
    <x:row r="896">
      <x:c r="A896" t="str">
        <x:v>DEU-000895</x:v>
      </x:c>
      <x:c r="B896" t="str">
        <x:v>USR-00469</x:v>
      </x:c>
      <x:c r="C896" t="n">
        <x:v>45992</x:v>
      </x:c>
      <x:c r="D896" t="str">
        <x:v>Financiera D</x:v>
      </x:c>
      <x:c r="E896" t="str">
        <x:v>Crédito educativo</x:v>
      </x:c>
      <x:c r="F896" t="n">
        <x:v>12420000</x:v>
      </x:c>
      <x:c r="G896" s="40" t="n">
        <x:v>0.1585</x:v>
      </x:c>
      <x:c r="H896" s="40" t="n">
        <x:v>0.012336</x:v>
      </x:c>
      <x:c r="I896" t="n">
        <x:v>24</x:v>
      </x:c>
      <x:c r="J896" t="n">
        <x:v>601000</x:v>
      </x:c>
      <x:c r="K896" t="str">
        <x:v>Bola de nieve</x:v>
      </x:c>
      <x:c r="L896" t="str">
        <x:v>Vigente</x:v>
      </x:c>
      <x:c r="M896" t="n">
        <x:v>9257356.93</x:v>
      </x:c>
      <x:c r="N896"/>
    </x:row>
    <x:row r="897">
      <x:c r="A897" t="str">
        <x:v>DEU-000896</x:v>
      </x:c>
      <x:c r="B897" t="str">
        <x:v>USR-00470</x:v>
      </x:c>
      <x:c r="C897" t="n">
        <x:v>45992</x:v>
      </x:c>
      <x:c r="D897" t="str">
        <x:v>Financiera D</x:v>
      </x:c>
      <x:c r="E897" t="str">
        <x:v>Crédito de libre inversión</x:v>
      </x:c>
      <x:c r="F897" t="n">
        <x:v>7040000</x:v>
      </x:c>
      <x:c r="G897" s="40" t="n">
        <x:v>0.1206</x:v>
      </x:c>
      <x:c r="H897" s="40" t="n">
        <x:v>0.009534</x:v>
      </x:c>
      <x:c r="I897" t="n">
        <x:v>12</x:v>
      </x:c>
      <x:c r="J897" t="n">
        <x:v>623700</x:v>
      </x:c>
      <x:c r="K897" t="str">
        <x:v>Bola de nieve</x:v>
      </x:c>
      <x:c r="L897" t="str">
        <x:v>Vigente</x:v>
      </x:c>
      <x:c r="M897" t="n">
        <x:v>1769242.3</x:v>
      </x:c>
      <x:c r="N897"/>
    </x:row>
    <x:row r="898">
      <x:c r="A898" t="str">
        <x:v>DEU-000897</x:v>
      </x:c>
      <x:c r="B898" t="str">
        <x:v>USR-00470</x:v>
      </x:c>
      <x:c r="C898" t="n">
        <x:v>45992</x:v>
      </x:c>
      <x:c r="D898" t="str">
        <x:v>Financiera D</x:v>
      </x:c>
      <x:c r="E898" t="str">
        <x:v>Tarjeta de crédito</x:v>
      </x:c>
      <x:c r="F898" t="n">
        <x:v>5020000</x:v>
      </x:c>
      <x:c r="G898" s="40" t="n">
        <x:v>0.1238</x:v>
      </x:c>
      <x:c r="H898" s="40" t="n">
        <x:v>0.009774</x:v>
      </x:c>
      <x:c r="I898" t="n">
        <x:v>30</x:v>
      </x:c>
      <x:c r="J898" t="n">
        <x:v>193900</x:v>
      </x:c>
      <x:c r="K898" t="str">
        <x:v>Bola de nieve</x:v>
      </x:c>
      <x:c r="L898" t="str">
        <x:v>Vigente</x:v>
      </x:c>
      <x:c r="M898" t="n">
        <x:v>4320442.17</x:v>
      </x:c>
      <x:c r="N898"/>
    </x:row>
    <x:row r="899">
      <x:c r="A899" t="str">
        <x:v>DEU-000898</x:v>
      </x:c>
      <x:c r="B899" t="str">
        <x:v>USR-00131</x:v>
      </x:c>
      <x:c r="C899" t="n">
        <x:v>46023</x:v>
      </x:c>
      <x:c r="D899" t="str">
        <x:v>Entidad financiera A</x:v>
      </x:c>
      <x:c r="E899" t="str">
        <x:v>Crédito comercial</x:v>
      </x:c>
      <x:c r="F899" t="n">
        <x:v>27190000</x:v>
      </x:c>
      <x:c r="G899" s="40" t="n">
        <x:v>0.1835</x:v>
      </x:c>
      <x:c r="H899" s="40" t="n">
        <x:v>0.014139</x:v>
      </x:c>
      <x:c r="I899" t="n">
        <x:v>36</x:v>
      </x:c>
      <x:c r="J899" t="n">
        <x:v>968900</x:v>
      </x:c>
      <x:c r="K899" t="str">
        <x:v>Bola de nieve</x:v>
      </x:c>
      <x:c r="L899" t="str">
        <x:v>Vigente</x:v>
      </x:c>
      <x:c r="M899" t="n">
        <x:v>25865444.44</x:v>
      </x:c>
      <x:c r="N899"/>
    </x:row>
    <x:row r="900">
      <x:c r="A900" t="str">
        <x:v>DEU-000899</x:v>
      </x:c>
      <x:c r="B900" t="str">
        <x:v>USR-00195</x:v>
      </x:c>
      <x:c r="C900" t="n">
        <x:v>46023</x:v>
      </x:c>
      <x:c r="D900" t="str">
        <x:v>Entidad financiera E</x:v>
      </x:c>
      <x:c r="E900" t="str">
        <x:v>Crédito de consumo</x:v>
      </x:c>
      <x:c r="F900" t="n">
        <x:v>12550000</x:v>
      </x:c>
      <x:c r="G900" s="40" t="n">
        <x:v>0.2818</x:v>
      </x:c>
      <x:c r="H900" s="40" t="n">
        <x:v>0.020904</x:v>
      </x:c>
      <x:c r="I900" t="n">
        <x:v>48</x:v>
      </x:c>
      <x:c r="J900" t="n">
        <x:v>416700</x:v>
      </x:c>
      <x:c r="K900" t="str">
        <x:v>Avalancha</x:v>
      </x:c>
      <x:c r="L900" t="str">
        <x:v>Vigente</x:v>
      </x:c>
      <x:c r="M900" t="n">
        <x:v>12322547.5</x:v>
      </x:c>
      <x:c r="N900"/>
    </x:row>
    <x:row r="901">
      <x:c r="A901" t="str">
        <x:v>DEU-000900</x:v>
      </x:c>
      <x:c r="B901" t="str">
        <x:v>USR-00268</x:v>
      </x:c>
      <x:c r="C901" t="n">
        <x:v>46023</x:v>
      </x:c>
      <x:c r="D901" t="str">
        <x:v>Financiera D</x:v>
      </x:c>
      <x:c r="E901" t="str">
        <x:v>Tarjeta de crédito</x:v>
      </x:c>
      <x:c r="F901" t="n">
        <x:v>1870000</x:v>
      </x:c>
      <x:c r="G901" s="40" t="n">
        <x:v>0.1811</x:v>
      </x:c>
      <x:c r="H901" s="40" t="n">
        <x:v>0.013967</x:v>
      </x:c>
      <x:c r="I901" t="n">
        <x:v>24</x:v>
      </x:c>
      <x:c r="J901" t="n">
        <x:v>92200</x:v>
      </x:c>
      <x:c r="K901" t="str">
        <x:v>Avalancha</x:v>
      </x:c>
      <x:c r="L901" t="str">
        <x:v>Vigente</x:v>
      </x:c>
      <x:c r="M901" t="n">
        <x:v>1353798.17</x:v>
      </x:c>
      <x:c r="N901"/>
    </x:row>
    <x:row r="902">
      <x:c r="A902" t="str">
        <x:v>DEU-000901</x:v>
      </x:c>
      <x:c r="B902" t="str">
        <x:v>USR-00296</x:v>
      </x:c>
      <x:c r="C902" t="n">
        <x:v>46023</x:v>
      </x:c>
      <x:c r="D902" t="str">
        <x:v>Financiera D</x:v>
      </x:c>
      <x:c r="E902" t="str">
        <x:v>Crédito de libre inversión</x:v>
      </x:c>
      <x:c r="F902" t="n">
        <x:v>8560000</x:v>
      </x:c>
      <x:c r="G902" s="40" t="n">
        <x:v>0.1667</x:v>
      </x:c>
      <x:c r="H902" s="40" t="n">
        <x:v>0.012931</x:v>
      </x:c>
      <x:c r="I902" t="n">
        <x:v>12</x:v>
      </x:c>
      <x:c r="J902" t="n">
        <x:v>774700</x:v>
      </x:c>
      <x:c r="K902" t="str">
        <x:v>Avalancha</x:v>
      </x:c>
      <x:c r="L902" t="str">
        <x:v>Vigente</x:v>
      </x:c>
      <x:c r="M902" t="n">
        <x:v>2662129.05</x:v>
      </x:c>
      <x:c r="N902"/>
    </x:row>
    <x:row r="903">
      <x:c r="A903" t="str">
        <x:v>DEU-000902</x:v>
      </x:c>
      <x:c r="B903" t="str">
        <x:v>USR-00300</x:v>
      </x:c>
      <x:c r="C903" t="n">
        <x:v>46023</x:v>
      </x:c>
      <x:c r="D903" t="str">
        <x:v>Entidad financiera A</x:v>
      </x:c>
      <x:c r="E903" t="str">
        <x:v>Tarjeta de crédito</x:v>
      </x:c>
      <x:c r="F903" t="n">
        <x:v>6750000</x:v>
      </x:c>
      <x:c r="G903" s="40" t="n">
        <x:v>0.1183</x:v>
      </x:c>
      <x:c r="H903" s="40" t="n">
        <x:v>0.009361</x:v>
      </x:c>
      <x:c r="I903" t="n">
        <x:v>30</x:v>
      </x:c>
      <x:c r="J903" t="n">
        <x:v>259100</x:v>
      </x:c>
      <x:c r="K903" t="str">
        <x:v>Bola de nieve</x:v>
      </x:c>
      <x:c r="L903" t="str">
        <x:v>Vigente</x:v>
      </x:c>
      <x:c r="M903" t="n">
        <x:v>4939737.03</x:v>
      </x:c>
      <x:c r="N903"/>
    </x:row>
    <x:row r="904">
      <x:c r="A904" t="str">
        <x:v>DEU-000903</x:v>
      </x:c>
      <x:c r="B904" t="str">
        <x:v>USR-00313</x:v>
      </x:c>
      <x:c r="C904" t="n">
        <x:v>46023</x:v>
      </x:c>
      <x:c r="D904" t="str">
        <x:v>Entidad financiera B</x:v>
      </x:c>
      <x:c r="E904" t="str">
        <x:v>Crédito educativo</x:v>
      </x:c>
      <x:c r="F904" t="n">
        <x:v>23380000</x:v>
      </x:c>
      <x:c r="G904" s="40" t="n">
        <x:v>0.1209</x:v>
      </x:c>
      <x:c r="H904" s="40" t="n">
        <x:v>0.009556</x:v>
      </x:c>
      <x:c r="I904" t="n">
        <x:v>36</x:v>
      </x:c>
      <x:c r="J904" t="n">
        <x:v>770600</x:v>
      </x:c>
      <x:c r="K904" t="str">
        <x:v>Avalancha</x:v>
      </x:c>
      <x:c r="L904" t="str">
        <x:v>Vigente</x:v>
      </x:c>
      <x:c r="M904" t="n">
        <x:v>19100582.24</x:v>
      </x:c>
      <x:c r="N904"/>
    </x:row>
    <x:row r="905">
      <x:c r="A905" t="str">
        <x:v>DEU-000904</x:v>
      </x:c>
      <x:c r="B905" t="str">
        <x:v>USR-00321</x:v>
      </x:c>
      <x:c r="C905" t="n">
        <x:v>46023</x:v>
      </x:c>
      <x:c r="D905" t="str">
        <x:v>Cooperativa C</x:v>
      </x:c>
      <x:c r="E905" t="str">
        <x:v>Crédito de libre inversión</x:v>
      </x:c>
      <x:c r="F905" t="n">
        <x:v>17200000</x:v>
      </x:c>
      <x:c r="G905" s="40" t="n">
        <x:v>0.1299</x:v>
      </x:c>
      <x:c r="H905" s="40" t="n">
        <x:v>0.010229</x:v>
      </x:c>
      <x:c r="I905" t="n">
        <x:v>60</x:v>
      </x:c>
      <x:c r="J905" t="n">
        <x:v>385000</x:v>
      </x:c>
      <x:c r="K905" t="str">
        <x:v>Bola de nieve</x:v>
      </x:c>
      <x:c r="L905" t="str">
        <x:v>Vigente</x:v>
      </x:c>
      <x:c r="M905" t="n">
        <x:v>16140545.93</x:v>
      </x:c>
      <x:c r="N905"/>
    </x:row>
    <x:row r="906">
      <x:c r="A906" t="str">
        <x:v>DEU-000905</x:v>
      </x:c>
      <x:c r="B906" t="str">
        <x:v>USR-00395</x:v>
      </x:c>
      <x:c r="C906" t="n">
        <x:v>46023</x:v>
      </x:c>
      <x:c r="D906" t="str">
        <x:v>Financiera D</x:v>
      </x:c>
      <x:c r="E906" t="str">
        <x:v>Crédito de vehículo</x:v>
      </x:c>
      <x:c r="F906" t="n">
        <x:v>17280000</x:v>
      </x:c>
      <x:c r="G906" s="40" t="n">
        <x:v>0.209</x:v>
      </x:c>
      <x:c r="H906" s="40" t="n">
        <x:v>0.015942</x:v>
      </x:c>
      <x:c r="I906" t="n">
        <x:v>12</x:v>
      </x:c>
      <x:c r="J906" t="n">
        <x:v>1593500</x:v>
      </x:c>
      <x:c r="K906" t="str">
        <x:v>Avalancha</x:v>
      </x:c>
      <x:c r="L906" t="str">
        <x:v>Vigente</x:v>
      </x:c>
      <x:c r="M906" t="n">
        <x:v>8778312.53</x:v>
      </x:c>
      <x:c r="N906"/>
    </x:row>
    <x:row r="907">
      <x:c r="A907" t="str">
        <x:v>DEU-000906</x:v>
      </x:c>
      <x:c r="B907" t="str">
        <x:v>USR-00430</x:v>
      </x:c>
      <x:c r="C907" t="n">
        <x:v>46023</x:v>
      </x:c>
      <x:c r="D907" t="str">
        <x:v>Entidad financiera A</x:v>
      </x:c>
      <x:c r="E907" t="str">
        <x:v>Crédito de libre inversión</x:v>
      </x:c>
      <x:c r="F907" t="n">
        <x:v>14480000</x:v>
      </x:c>
      <x:c r="G907" s="40" t="n">
        <x:v>0.3221</x:v>
      </x:c>
      <x:c r="H907" s="40" t="n">
        <x:v>0.023541</x:v>
      </x:c>
      <x:c r="I907" t="n">
        <x:v>18</x:v>
      </x:c>
      <x:c r="J907" t="n">
        <x:v>996200</x:v>
      </x:c>
      <x:c r="K907" t="str">
        <x:v>Avalancha</x:v>
      </x:c>
      <x:c r="L907" t="str">
        <x:v>Vigente</x:v>
      </x:c>
      <x:c r="M907" t="n">
        <x:v>11112725.48</x:v>
      </x:c>
      <x:c r="N907"/>
    </x:row>
    <x:row r="908">
      <x:c r="A908" t="str">
        <x:v>DEU-000907</x:v>
      </x:c>
      <x:c r="B908" t="str">
        <x:v>USR-00469</x:v>
      </x:c>
      <x:c r="C908" t="n">
        <x:v>46023</x:v>
      </x:c>
      <x:c r="D908" t="str">
        <x:v>Entidad financiera A</x:v>
      </x:c>
      <x:c r="E908" t="str">
        <x:v>Crédito de libre inversión</x:v>
      </x:c>
      <x:c r="F908" t="n">
        <x:v>2190000</x:v>
      </x:c>
      <x:c r="G908" s="40" t="n">
        <x:v>0.1109</x:v>
      </x:c>
      <x:c r="H908" s="40" t="n">
        <x:v>0.008803</x:v>
      </x:c>
      <x:c r="I908" t="n">
        <x:v>60</x:v>
      </x:c>
      <x:c r="J908" t="n">
        <x:v>47100</x:v>
      </x:c>
      <x:c r="K908" t="str">
        <x:v>Avalancha</x:v>
      </x:c>
      <x:c r="L908" t="str">
        <x:v>Vigente</x:v>
      </x:c>
      <x:c r="M908" t="n">
        <x:v>2025748.93</x:v>
      </x:c>
      <x:c r="N908"/>
    </x:row>
    <x:row r="909">
      <x:c r="A909" t="str">
        <x:v>DEU-000908</x:v>
      </x:c>
      <x:c r="B909" t="str">
        <x:v>USR-00471</x:v>
      </x:c>
      <x:c r="C909" t="n">
        <x:v>46023</x:v>
      </x:c>
      <x:c r="D909" t="str">
        <x:v>Financiera D</x:v>
      </x:c>
      <x:c r="E909" t="str">
        <x:v>Tarjeta de crédito</x:v>
      </x:c>
      <x:c r="F909" t="n">
        <x:v>8380000</x:v>
      </x:c>
      <x:c r="G909" s="40" t="n">
        <x:v>0.3375</x:v>
      </x:c>
      <x:c r="H909" s="40" t="n">
        <x:v>0.02453</x:v>
      </x:c>
      <x:c r="I909" t="n">
        <x:v>30</x:v>
      </x:c>
      <x:c r="J909" t="n">
        <x:v>397900</x:v>
      </x:c>
      <x:c r="K909" t="str">
        <x:v>Bola de nieve</x:v>
      </x:c>
      <x:c r="L909" t="str">
        <x:v>Vigente</x:v>
      </x:c>
      <x:c r="M909" t="n">
        <x:v>7872413.38</x:v>
      </x:c>
      <x:c r="N909"/>
    </x:row>
    <x:row r="910">
      <x:c r="A910" t="str">
        <x:v>DEU-000909</x:v>
      </x:c>
      <x:c r="B910" t="str">
        <x:v>USR-00472</x:v>
      </x:c>
      <x:c r="C910" t="n">
        <x:v>46023</x:v>
      </x:c>
      <x:c r="D910" t="str">
        <x:v>Entidad financiera E</x:v>
      </x:c>
      <x:c r="E910" t="str">
        <x:v>Crédito comercial</x:v>
      </x:c>
      <x:c r="F910" t="n">
        <x:v>34400000</x:v>
      </x:c>
      <x:c r="G910" s="40" t="n">
        <x:v>0.2216</x:v>
      </x:c>
      <x:c r="H910" s="40" t="n">
        <x:v>0.01682</x:v>
      </x:c>
      <x:c r="I910" t="n">
        <x:v>18</x:v>
      </x:c>
      <x:c r="J910" t="n">
        <x:v>2230900</x:v>
      </x:c>
      <x:c r="K910" t="str">
        <x:v>Bola de nieve</x:v>
      </x:c>
      <x:c r="L910" t="str">
        <x:v>Vigente</x:v>
      </x:c>
      <x:c r="M910" t="n">
        <x:v>20207699.09</x:v>
      </x:c>
      <x:c r="N910"/>
    </x:row>
    <x:row r="911">
      <x:c r="A911" t="str">
        <x:v>DEU-000910</x:v>
      </x:c>
      <x:c r="B911" t="str">
        <x:v>USR-00472</x:v>
      </x:c>
      <x:c r="C911" t="n">
        <x:v>46023</x:v>
      </x:c>
      <x:c r="D911" t="str">
        <x:v>Entidad financiera A</x:v>
      </x:c>
      <x:c r="E911" t="str">
        <x:v>Tarjeta de crédito</x:v>
      </x:c>
      <x:c r="F911" t="n">
        <x:v>6190000</x:v>
      </x:c>
      <x:c r="G911" s="40" t="n">
        <x:v>0.1544</x:v>
      </x:c>
      <x:c r="H911" s="40" t="n">
        <x:v>0.012037</x:v>
      </x:c>
      <x:c r="I911" t="n">
        <x:v>60</x:v>
      </x:c>
      <x:c r="J911" t="n">
        <x:v>145500</x:v>
      </x:c>
      <x:c r="K911" t="str">
        <x:v>Avalancha</x:v>
      </x:c>
      <x:c r="L911" t="str">
        <x:v>Vigente</x:v>
      </x:c>
      <x:c r="M911" t="n">
        <x:v>5973746.48</x:v>
      </x:c>
      <x:c r="N911"/>
    </x:row>
    <x:row r="912">
      <x:c r="A912" t="str">
        <x:v>DEU-000911</x:v>
      </x:c>
      <x:c r="B912" t="str">
        <x:v>USR-00473</x:v>
      </x:c>
      <x:c r="C912" t="n">
        <x:v>46023</x:v>
      </x:c>
      <x:c r="D912" t="str">
        <x:v>Financiera D</x:v>
      </x:c>
      <x:c r="E912" t="str">
        <x:v>Tarjeta de crédito</x:v>
      </x:c>
      <x:c r="F912" t="n">
        <x:v>6670000</x:v>
      </x:c>
      <x:c r="G912" s="40" t="n">
        <x:v>0.1934</x:v>
      </x:c>
      <x:c r="H912" s="40" t="n">
        <x:v>0.014843</x:v>
      </x:c>
      <x:c r="I912" t="n">
        <x:v>12</x:v>
      </x:c>
      <x:c r="J912" t="n">
        <x:v>610900</x:v>
      </x:c>
      <x:c r="K912" t="str">
        <x:v>Bola de nieve</x:v>
      </x:c>
      <x:c r="L912" t="str">
        <x:v>Vigente</x:v>
      </x:c>
      <x:c r="M912" t="n">
        <x:v>3353705.69</x:v>
      </x:c>
      <x:c r="N912"/>
    </x:row>
    <x:row r="913">
      <x:c r="A913" t="str">
        <x:v>DEU-000912</x:v>
      </x:c>
      <x:c r="B913" t="str">
        <x:v>USR-00473</x:v>
      </x:c>
      <x:c r="C913" t="n">
        <x:v>46023</x:v>
      </x:c>
      <x:c r="D913" t="str">
        <x:v>Entidad financiera A</x:v>
      </x:c>
      <x:c r="E913" t="str">
        <x:v>Crédito educativo</x:v>
      </x:c>
      <x:c r="F913" t="n">
        <x:v>16210000</x:v>
      </x:c>
      <x:c r="G913" s="40" t="n">
        <x:v>0.3388</x:v>
      </x:c>
      <x:c r="H913" s="40" t="n">
        <x:v>0.024612</x:v>
      </x:c>
      <x:c r="I913" t="n">
        <x:v>36</x:v>
      </x:c>
      <x:c r="J913" t="n">
        <x:v>684000</x:v>
      </x:c>
      <x:c r="K913" t="str">
        <x:v>Avalancha</x:v>
      </x:c>
      <x:c r="L913" t="str">
        <x:v>Vigente</x:v>
      </x:c>
      <x:c r="M913" t="n">
        <x:v>14208169.47</x:v>
      </x:c>
      <x:c r="N913"/>
    </x:row>
    <x:row r="914">
      <x:c r="A914" t="str">
        <x:v>DEU-000913</x:v>
      </x:c>
      <x:c r="B914" t="str">
        <x:v>USR-00473</x:v>
      </x:c>
      <x:c r="C914" t="n">
        <x:v>46023</x:v>
      </x:c>
      <x:c r="D914" t="str">
        <x:v>Entidad financiera E</x:v>
      </x:c>
      <x:c r="E914" t="str">
        <x:v>Tarjeta de crédito</x:v>
      </x:c>
      <x:c r="F914" t="n">
        <x:v>4340000</x:v>
      </x:c>
      <x:c r="G914" s="40" t="n">
        <x:v>0.1498</x:v>
      </x:c>
      <x:c r="H914" s="40" t="n">
        <x:v>0.0117</x:v>
      </x:c>
      <x:c r="I914" t="n">
        <x:v>24</x:v>
      </x:c>
      <x:c r="J914" t="n">
        <x:v>208500</x:v>
      </x:c>
      <x:c r="K914" t="str">
        <x:v>Bola de nieve</x:v>
      </x:c>
      <x:c r="L914" t="str">
        <x:v>Vigente</x:v>
      </x:c>
      <x:c r="M914" t="n">
        <x:v>3210520.24</x:v>
      </x:c>
      <x:c r="N914"/>
    </x:row>
    <x:row r="915">
      <x:c r="A915" t="str">
        <x:v>DEU-000914</x:v>
      </x:c>
      <x:c r="B915" t="str">
        <x:v>USR-00473</x:v>
      </x:c>
      <x:c r="C915" t="n">
        <x:v>46023</x:v>
      </x:c>
      <x:c r="D915" t="str">
        <x:v>Financiera D</x:v>
      </x:c>
      <x:c r="E915" t="str">
        <x:v>Tarjeta de crédito</x:v>
      </x:c>
      <x:c r="F915" t="n">
        <x:v>5980000</x:v>
      </x:c>
      <x:c r="G915" s="40" t="n">
        <x:v>0.303</x:v>
      </x:c>
      <x:c r="H915" s="40" t="n">
        <x:v>0.022301</x:v>
      </x:c>
      <x:c r="I915" t="n">
        <x:v>36</x:v>
      </x:c>
      <x:c r="J915" t="n">
        <x:v>243400</x:v>
      </x:c>
      <x:c r="K915" t="str">
        <x:v>Avalancha</x:v>
      </x:c>
      <x:c r="L915" t="str">
        <x:v>Vigente</x:v>
      </x:c>
      <x:c r="M915" t="n">
        <x:v>6056539.5</x:v>
      </x:c>
      <x:c r="N915"/>
    </x:row>
    <x:row r="916">
      <x:c r="A916" t="str">
        <x:v>DEU-000915</x:v>
      </x:c>
      <x:c r="B916" t="str">
        <x:v>USR-00473</x:v>
      </x:c>
      <x:c r="C916" t="n">
        <x:v>46023</x:v>
      </x:c>
      <x:c r="D916" t="str">
        <x:v>Entidad financiera E</x:v>
      </x:c>
      <x:c r="E916" t="str">
        <x:v>Tarjeta de crédito</x:v>
      </x:c>
      <x:c r="F916" t="n">
        <x:v>6290000</x:v>
      </x:c>
      <x:c r="G916" s="40" t="n">
        <x:v>0.3002</x:v>
      </x:c>
      <x:c r="H916" s="40" t="n">
        <x:v>0.022118</x:v>
      </x:c>
      <x:c r="I916" t="n">
        <x:v>30</x:v>
      </x:c>
      <x:c r="J916" t="n">
        <x:v>289100</x:v>
      </x:c>
      <x:c r="K916" t="str">
        <x:v>Avalancha</x:v>
      </x:c>
      <x:c r="L916" t="str">
        <x:v>Vigente</x:v>
      </x:c>
      <x:c r="M916" t="n">
        <x:v>5911410.22</x:v>
      </x:c>
      <x:c r="N916"/>
    </x:row>
    <x:row r="917">
      <x:c r="A917" t="str">
        <x:v>DEU-000916</x:v>
      </x:c>
      <x:c r="B917" t="str">
        <x:v>USR-00474</x:v>
      </x:c>
      <x:c r="C917" t="n">
        <x:v>46023</x:v>
      </x:c>
      <x:c r="D917" t="str">
        <x:v>Entidad financiera E</x:v>
      </x:c>
      <x:c r="E917" t="str">
        <x:v>Crédito de libre inversión</x:v>
      </x:c>
      <x:c r="F917" t="n">
        <x:v>21490000</x:v>
      </x:c>
      <x:c r="G917" s="40" t="n">
        <x:v>0.233</x:v>
      </x:c>
      <x:c r="H917" s="40" t="n">
        <x:v>0.017607</x:v>
      </x:c>
      <x:c r="I917" t="n">
        <x:v>18</x:v>
      </x:c>
      <x:c r="J917" t="n">
        <x:v>1403500</x:v>
      </x:c>
      <x:c r="K917" t="str">
        <x:v>Bola de nieve</x:v>
      </x:c>
      <x:c r="L917" t="str">
        <x:v>Vigente</x:v>
      </x:c>
      <x:c r="M917" t="n">
        <x:v>15271463.96</x:v>
      </x:c>
      <x:c r="N917"/>
    </x:row>
    <x:row r="918">
      <x:c r="A918" t="str">
        <x:v>DEU-000917</x:v>
      </x:c>
      <x:c r="B918" t="str">
        <x:v>USR-00474</x:v>
      </x:c>
      <x:c r="C918" t="n">
        <x:v>46023</x:v>
      </x:c>
      <x:c r="D918" t="str">
        <x:v>Entidad financiera A</x:v>
      </x:c>
      <x:c r="E918" t="str">
        <x:v>Crédito educativo</x:v>
      </x:c>
      <x:c r="F918" t="n">
        <x:v>7610000</x:v>
      </x:c>
      <x:c r="G918" s="40" t="n">
        <x:v>0.3049</x:v>
      </x:c>
      <x:c r="H918" s="40" t="n">
        <x:v>0.022425</x:v>
      </x:c>
      <x:c r="I918" t="n">
        <x:v>12</x:v>
      </x:c>
      <x:c r="J918" t="n">
        <x:v>730400</x:v>
      </x:c>
      <x:c r="K918" t="str">
        <x:v>Avalancha</x:v>
      </x:c>
      <x:c r="L918" t="str">
        <x:v>Vigente</x:v>
      </x:c>
      <x:c r="M918" t="n">
        <x:v>6419109.22</x:v>
      </x:c>
      <x:c r="N918"/>
    </x:row>
    <x:row r="919">
      <x:c r="A919" t="str">
        <x:v>DEU-000918</x:v>
      </x:c>
      <x:c r="B919" t="str">
        <x:v>USR-00474</x:v>
      </x:c>
      <x:c r="C919" t="n">
        <x:v>46023</x:v>
      </x:c>
      <x:c r="D919" t="str">
        <x:v>Entidad financiera B</x:v>
      </x:c>
      <x:c r="E919" t="str">
        <x:v>Tarjeta de crédito</x:v>
      </x:c>
      <x:c r="F919" t="n">
        <x:v>920000</x:v>
      </x:c>
      <x:c r="G919" s="40" t="n">
        <x:v>0.1999</x:v>
      </x:c>
      <x:c r="H919" s="40" t="n">
        <x:v>0.015302</x:v>
      </x:c>
      <x:c r="I919" t="n">
        <x:v>30</x:v>
      </x:c>
      <x:c r="J919" t="n">
        <x:v>38500</x:v>
      </x:c>
      <x:c r="K919" t="str">
        <x:v>Avalancha</x:v>
      </x:c>
      <x:c r="L919" t="str">
        <x:v>Vigente</x:v>
      </x:c>
      <x:c r="M919" t="n">
        <x:v>807947.06</x:v>
      </x:c>
      <x:c r="N919"/>
    </x:row>
    <x:row r="920">
      <x:c r="A920" t="str">
        <x:v>DEU-000919</x:v>
      </x:c>
      <x:c r="B920" t="str">
        <x:v>USR-00474</x:v>
      </x:c>
      <x:c r="C920" t="n">
        <x:v>46023</x:v>
      </x:c>
      <x:c r="D920" t="str">
        <x:v>Cooperativa C</x:v>
      </x:c>
      <x:c r="E920" t="str">
        <x:v>Crédito educativo</x:v>
      </x:c>
      <x:c r="F920" t="n">
        <x:v>11040000</x:v>
      </x:c>
      <x:c r="G920" s="40" t="n">
        <x:v>0.1293</x:v>
      </x:c>
      <x:c r="H920" s="40" t="n">
        <x:v>0.010185</x:v>
      </x:c>
      <x:c r="I920" t="n">
        <x:v>30</x:v>
      </x:c>
      <x:c r="J920" t="n">
        <x:v>428900</x:v>
      </x:c>
      <x:c r="K920" t="str">
        <x:v>Avalancha</x:v>
      </x:c>
      <x:c r="L920" t="str">
        <x:v>Vigente</x:v>
      </x:c>
      <x:c r="M920" t="n">
        <x:v>9878875.83</x:v>
      </x:c>
      <x:c r="N920"/>
    </x:row>
    <x:row r="921">
      <x:c r="A921" t="str">
        <x:v>DEU-000920</x:v>
      </x:c>
      <x:c r="B921" t="str">
        <x:v>USR-00474</x:v>
      </x:c>
      <x:c r="C921" t="n">
        <x:v>46023</x:v>
      </x:c>
      <x:c r="D921" t="str">
        <x:v>Financiera D</x:v>
      </x:c>
      <x:c r="E921" t="str">
        <x:v>Crédito de consumo</x:v>
      </x:c>
      <x:c r="F921" t="n">
        <x:v>18670000</x:v>
      </x:c>
      <x:c r="G921" s="40" t="n">
        <x:v>0.2979</x:v>
      </x:c>
      <x:c r="H921" s="40" t="n">
        <x:v>0.021967</x:v>
      </x:c>
      <x:c r="I921" t="n">
        <x:v>24</x:v>
      </x:c>
      <x:c r="J921" t="n">
        <x:v>1009200</x:v>
      </x:c>
      <x:c r="K921" t="str">
        <x:v>Avalancha</x:v>
      </x:c>
      <x:c r="L921" t="str">
        <x:v>Vigente</x:v>
      </x:c>
      <x:c r="M921" t="n">
        <x:v>12843524.29</x:v>
      </x:c>
      <x:c r="N921"/>
    </x:row>
    <x:row r="922">
      <x:c r="A922" t="str">
        <x:v>DEU-000921</x:v>
      </x:c>
      <x:c r="B922" t="str">
        <x:v>USR-00475</x:v>
      </x:c>
      <x:c r="C922" t="n">
        <x:v>46023</x:v>
      </x:c>
      <x:c r="D922" t="str">
        <x:v>Financiera D</x:v>
      </x:c>
      <x:c r="E922" t="str">
        <x:v>Crédito educativo</x:v>
      </x:c>
      <x:c r="F922" t="n">
        <x:v>21490000</x:v>
      </x:c>
      <x:c r="G922" s="40" t="n">
        <x:v>0.2921</x:v>
      </x:c>
      <x:c r="H922" s="40" t="n">
        <x:v>0.021585</x:v>
      </x:c>
      <x:c r="I922" t="n">
        <x:v>48</x:v>
      </x:c>
      <x:c r="J922" t="n">
        <x:v>723400</x:v>
      </x:c>
      <x:c r="K922" t="str">
        <x:v>Avalancha</x:v>
      </x:c>
      <x:c r="L922" t="str">
        <x:v>Vigente</x:v>
      </x:c>
      <x:c r="M922" t="n">
        <x:v>20171066.81</x:v>
      </x:c>
      <x:c r="N922"/>
    </x:row>
    <x:row r="923">
      <x:c r="A923" t="str">
        <x:v>DEU-000922</x:v>
      </x:c>
      <x:c r="B923" t="str">
        <x:v>USR-00475</x:v>
      </x:c>
      <x:c r="C923" t="n">
        <x:v>46023</x:v>
      </x:c>
      <x:c r="D923" t="str">
        <x:v>Entidad financiera A</x:v>
      </x:c>
      <x:c r="E923" t="str">
        <x:v>Crédito educativo</x:v>
      </x:c>
      <x:c r="F923" t="n">
        <x:v>9550000</x:v>
      </x:c>
      <x:c r="G923" s="40" t="n">
        <x:v>0.1867</x:v>
      </x:c>
      <x:c r="H923" s="40" t="n">
        <x:v>0.014367</x:v>
      </x:c>
      <x:c r="I923" t="n">
        <x:v>30</x:v>
      </x:c>
      <x:c r="J923" t="n">
        <x:v>394100</x:v>
      </x:c>
      <x:c r="K923" t="str">
        <x:v>Bola de nieve</x:v>
      </x:c>
      <x:c r="L923" t="str">
        <x:v>Vigente</x:v>
      </x:c>
      <x:c r="M923" t="n">
        <x:v>7675795.96</x:v>
      </x:c>
      <x:c r="N923"/>
    </x:row>
    <x:row r="924">
      <x:c r="A924" t="str">
        <x:v>DEU-000923</x:v>
      </x:c>
      <x:c r="B924" t="str">
        <x:v>USR-00476</x:v>
      </x:c>
      <x:c r="C924" t="n">
        <x:v>46023</x:v>
      </x:c>
      <x:c r="D924" t="str">
        <x:v>Cooperativa C</x:v>
      </x:c>
      <x:c r="E924" t="str">
        <x:v>Crédito de libre inversión</x:v>
      </x:c>
      <x:c r="F924" t="n">
        <x:v>22320000</x:v>
      </x:c>
      <x:c r="G924" s="40" t="n">
        <x:v>0.2805</x:v>
      </x:c>
      <x:c r="H924" s="40" t="n">
        <x:v>0.020818</x:v>
      </x:c>
      <x:c r="I924" t="n">
        <x:v>24</x:v>
      </x:c>
      <x:c r="J924" t="n">
        <x:v>1191000</x:v>
      </x:c>
      <x:c r="K924" t="str">
        <x:v>Bola de nieve</x:v>
      </x:c>
      <x:c r="L924" t="str">
        <x:v>Vigente</x:v>
      </x:c>
      <x:c r="M924" t="n">
        <x:v>17944008.58</x:v>
      </x:c>
      <x:c r="N924"/>
    </x:row>
    <x:row r="925">
      <x:c r="A925" t="str">
        <x:v>DEU-000924</x:v>
      </x:c>
      <x:c r="B925" t="str">
        <x:v>USR-00476</x:v>
      </x:c>
      <x:c r="C925" t="n">
        <x:v>46023</x:v>
      </x:c>
      <x:c r="D925" t="str">
        <x:v>Financiera D</x:v>
      </x:c>
      <x:c r="E925" t="str">
        <x:v>Crédito de consumo</x:v>
      </x:c>
      <x:c r="F925" t="n">
        <x:v>18800000</x:v>
      </x:c>
      <x:c r="G925" s="40" t="n">
        <x:v>0.2786</x:v>
      </x:c>
      <x:c r="H925" s="40" t="n">
        <x:v>0.020692</x:v>
      </x:c>
      <x:c r="I925" t="n">
        <x:v>60</x:v>
      </x:c>
      <x:c r="J925" t="n">
        <x:v>549900</x:v>
      </x:c>
      <x:c r="K925" t="str">
        <x:v>Bola de nieve</x:v>
      </x:c>
      <x:c r="L925" t="str">
        <x:v>Vigente</x:v>
      </x:c>
      <x:c r="M925" t="n">
        <x:v>18458295.66</x:v>
      </x:c>
      <x:c r="N925"/>
    </x:row>
    <x:row r="926">
      <x:c r="A926" t="str">
        <x:v>DEU-000925</x:v>
      </x:c>
      <x:c r="B926" t="str">
        <x:v>USR-00477</x:v>
      </x:c>
      <x:c r="C926" t="n">
        <x:v>46023</x:v>
      </x:c>
      <x:c r="D926" t="str">
        <x:v>Entidad financiera B</x:v>
      </x:c>
      <x:c r="E926" t="str">
        <x:v>Tarjeta de crédito</x:v>
      </x:c>
      <x:c r="F926" t="n">
        <x:v>5420000</x:v>
      </x:c>
      <x:c r="G926" s="40" t="n">
        <x:v>0.2427</x:v>
      </x:c>
      <x:c r="H926" s="40" t="n">
        <x:v>0.018272</x:v>
      </x:c>
      <x:c r="I926" t="n">
        <x:v>12</x:v>
      </x:c>
      <x:c r="J926" t="n">
        <x:v>507100</x:v>
      </x:c>
      <x:c r="K926" t="str">
        <x:v>Avalancha</x:v>
      </x:c>
      <x:c r="L926" t="str">
        <x:v>Vigente</x:v>
      </x:c>
      <x:c r="M926" t="n">
        <x:v>2541635.62</x:v>
      </x:c>
      <x:c r="N926"/>
    </x:row>
    <x:row r="927">
      <x:c r="A927" t="str">
        <x:v>DEU-000926</x:v>
      </x:c>
      <x:c r="B927" t="str">
        <x:v>USR-00477</x:v>
      </x:c>
      <x:c r="C927" t="n">
        <x:v>46023</x:v>
      </x:c>
      <x:c r="D927" t="str">
        <x:v>Entidad financiera A</x:v>
      </x:c>
      <x:c r="E927" t="str">
        <x:v>Crédito de vehículo</x:v>
      </x:c>
      <x:c r="F927" t="n">
        <x:v>56120000</x:v>
      </x:c>
      <x:c r="G927" s="40" t="n">
        <x:v>0.1625</x:v>
      </x:c>
      <x:c r="H927" s="40" t="n">
        <x:v>0.012627</x:v>
      </x:c>
      <x:c r="I927" t="n">
        <x:v>24</x:v>
      </x:c>
      <x:c r="J927" t="n">
        <x:v>2725100</x:v>
      </x:c>
      <x:c r="K927" t="str">
        <x:v>Bola de nieve</x:v>
      </x:c>
      <x:c r="L927" t="str">
        <x:v>Vigente</x:v>
      </x:c>
      <x:c r="M927" t="n">
        <x:v>50689820.08</x:v>
      </x:c>
      <x:c r="N927"/>
    </x:row>
    <x:row r="928">
      <x:c r="A928" t="str">
        <x:v>DEU-000927</x:v>
      </x:c>
      <x:c r="B928" t="str">
        <x:v>USR-00478</x:v>
      </x:c>
      <x:c r="C928" t="n">
        <x:v>46023</x:v>
      </x:c>
      <x:c r="D928" t="str">
        <x:v>Entidad financiera E</x:v>
      </x:c>
      <x:c r="E928" t="str">
        <x:v>Tarjeta de crédito</x:v>
      </x:c>
      <x:c r="F928" t="n">
        <x:v>8230000</x:v>
      </x:c>
      <x:c r="G928" s="40" t="n">
        <x:v>0.3184</x:v>
      </x:c>
      <x:c r="H928" s="40" t="n">
        <x:v>0.023302</x:v>
      </x:c>
      <x:c r="I928" t="n">
        <x:v>36</x:v>
      </x:c>
      <x:c r="J928" t="n">
        <x:v>340300</x:v>
      </x:c>
      <x:c r="K928" t="str">
        <x:v>Bola de nieve</x:v>
      </x:c>
      <x:c r="L928" t="str">
        <x:v>Vigente</x:v>
      </x:c>
      <x:c r="M928" t="n">
        <x:v>8172050.81</x:v>
      </x:c>
      <x:c r="N928"/>
    </x:row>
    <x:row r="929">
      <x:c r="A929" t="str">
        <x:v>DEU-000928</x:v>
      </x:c>
      <x:c r="B929" t="str">
        <x:v>USR-00479</x:v>
      </x:c>
      <x:c r="C929" t="n">
        <x:v>46023</x:v>
      </x:c>
      <x:c r="D929" t="str">
        <x:v>Financiera D</x:v>
      </x:c>
      <x:c r="E929" t="str">
        <x:v>Crédito educativo</x:v>
      </x:c>
      <x:c r="F929" t="n">
        <x:v>7390000</x:v>
      </x:c>
      <x:c r="G929" s="40" t="n">
        <x:v>0.1809</x:v>
      </x:c>
      <x:c r="H929" s="40" t="n">
        <x:v>0.013953</x:v>
      </x:c>
      <x:c r="I929" t="n">
        <x:v>18</x:v>
      </x:c>
      <x:c r="J929" t="n">
        <x:v>467100</x:v>
      </x:c>
      <x:c r="K929" t="str">
        <x:v>Avalancha</x:v>
      </x:c>
      <x:c r="L929" t="str">
        <x:v>Vigente</x:v>
      </x:c>
      <x:c r="M929" t="n">
        <x:v>4290555.21</x:v>
      </x:c>
      <x:c r="N929"/>
    </x:row>
    <x:row r="930">
      <x:c r="A930" t="str">
        <x:v>DEU-000929</x:v>
      </x:c>
      <x:c r="B930" t="str">
        <x:v>USR-00479</x:v>
      </x:c>
      <x:c r="C930" t="n">
        <x:v>46023</x:v>
      </x:c>
      <x:c r="D930" t="str">
        <x:v>Entidad financiera B</x:v>
      </x:c>
      <x:c r="E930" t="str">
        <x:v>Crédito de vehículo</x:v>
      </x:c>
      <x:c r="F930" t="n">
        <x:v>16720000</x:v>
      </x:c>
      <x:c r="G930" s="40" t="n">
        <x:v>0.1229</x:v>
      </x:c>
      <x:c r="H930" s="40" t="n">
        <x:v>0.009706</x:v>
      </x:c>
      <x:c r="I930" t="n">
        <x:v>30</x:v>
      </x:c>
      <x:c r="J930" t="n">
        <x:v>645100</x:v>
      </x:c>
      <x:c r="K930" t="str">
        <x:v>Avalancha</x:v>
      </x:c>
      <x:c r="L930" t="str">
        <x:v>Vigente</x:v>
      </x:c>
      <x:c r="M930" t="n">
        <x:v>13120069.89</x:v>
      </x:c>
      <x:c r="N930"/>
    </x:row>
    <x:row r="931">
      <x:c r="A931" t="str">
        <x:v>DEU-000930</x:v>
      </x:c>
      <x:c r="B931" t="str">
        <x:v>USR-00480</x:v>
      </x:c>
      <x:c r="C931" t="n">
        <x:v>46023</x:v>
      </x:c>
      <x:c r="D931" t="str">
        <x:v>Entidad financiera E</x:v>
      </x:c>
      <x:c r="E931" t="str">
        <x:v>Tarjeta de crédito</x:v>
      </x:c>
      <x:c r="F931" t="n">
        <x:v>5210000</x:v>
      </x:c>
      <x:c r="G931" s="40" t="n">
        <x:v>0.2685</x:v>
      </x:c>
      <x:c r="H931" s="40" t="n">
        <x:v>0.020017</x:v>
      </x:c>
      <x:c r="I931" t="n">
        <x:v>48</x:v>
      </x:c>
      <x:c r="J931" t="n">
        <x:v>169900</x:v>
      </x:c>
      <x:c r="K931" t="str">
        <x:v>Avalancha</x:v>
      </x:c>
      <x:c r="L931" t="str">
        <x:v>Vigente</x:v>
      </x:c>
      <x:c r="M931" t="n">
        <x:v>4937653.84</x:v>
      </x:c>
      <x:c r="N931"/>
    </x:row>
    <x:row r="932">
      <x:c r="A932" t="str">
        <x:v>DEU-000931</x:v>
      </x:c>
      <x:c r="B932" t="str">
        <x:v>USR-00480</x:v>
      </x:c>
      <x:c r="C932" t="n">
        <x:v>46023</x:v>
      </x:c>
      <x:c r="D932" t="str">
        <x:v>Entidad financiera B</x:v>
      </x:c>
      <x:c r="E932" t="str">
        <x:v>Crédito de libre inversión</x:v>
      </x:c>
      <x:c r="F932" t="n">
        <x:v>23370000</x:v>
      </x:c>
      <x:c r="G932" s="40" t="n">
        <x:v>0.2701</x:v>
      </x:c>
      <x:c r="H932" s="40" t="n">
        <x:v>0.020124</x:v>
      </x:c>
      <x:c r="I932" t="n">
        <x:v>48</x:v>
      </x:c>
      <x:c r="J932" t="n">
        <x:v>763800</x:v>
      </x:c>
      <x:c r="K932" t="str">
        <x:v>Avalancha</x:v>
      </x:c>
      <x:c r="L932" t="str">
        <x:v>Vigente</x:v>
      </x:c>
      <x:c r="M932" t="n">
        <x:v>23649002.75</x:v>
      </x:c>
      <x:c r="N932"/>
    </x:row>
    <x:row r="933">
      <x:c r="A933" t="str">
        <x:v>DEU-000932</x:v>
      </x:c>
      <x:c r="B933" t="str">
        <x:v>USR-00481</x:v>
      </x:c>
      <x:c r="C933" t="n">
        <x:v>46023</x:v>
      </x:c>
      <x:c r="D933" t="str">
        <x:v>Entidad financiera A</x:v>
      </x:c>
      <x:c r="E933" t="str">
        <x:v>Crédito de consumo</x:v>
      </x:c>
      <x:c r="F933" t="n">
        <x:v>6140000</x:v>
      </x:c>
      <x:c r="G933" s="40" t="n">
        <x:v>0.1675</x:v>
      </x:c>
      <x:c r="H933" s="40" t="n">
        <x:v>0.012989</x:v>
      </x:c>
      <x:c r="I933" t="n">
        <x:v>48</x:v>
      </x:c>
      <x:c r="J933" t="n">
        <x:v>172700</x:v>
      </x:c>
      <x:c r="K933" t="str">
        <x:v>Bola de nieve</x:v>
      </x:c>
      <x:c r="L933" t="str">
        <x:v>Vigente</x:v>
      </x:c>
      <x:c r="M933" t="n">
        <x:v>6117494.62</x:v>
      </x:c>
      <x:c r="N933"/>
    </x:row>
    <x:row r="934">
      <x:c r="A934" t="str">
        <x:v>DEU-000933</x:v>
      </x:c>
      <x:c r="B934" t="str">
        <x:v>USR-00481</x:v>
      </x:c>
      <x:c r="C934" t="n">
        <x:v>46023</x:v>
      </x:c>
      <x:c r="D934" t="str">
        <x:v>Financiera D</x:v>
      </x:c>
      <x:c r="E934" t="str">
        <x:v>Tarjeta de crédito</x:v>
      </x:c>
      <x:c r="F934" t="n">
        <x:v>6330000</x:v>
      </x:c>
      <x:c r="G934" s="40" t="n">
        <x:v>0.1868</x:v>
      </x:c>
      <x:c r="H934" s="40" t="n">
        <x:v>0.014374</x:v>
      </x:c>
      <x:c r="I934" t="n">
        <x:v>18</x:v>
      </x:c>
      <x:c r="J934" t="n">
        <x:v>401600</x:v>
      </x:c>
      <x:c r="K934" t="str">
        <x:v>Avalancha</x:v>
      </x:c>
      <x:c r="L934" t="str">
        <x:v>Vigente</x:v>
      </x:c>
      <x:c r="M934" t="n">
        <x:v>4828521.78</x:v>
      </x:c>
      <x:c r="N934"/>
    </x:row>
    <x:row r="935">
      <x:c r="A935" t="str">
        <x:v>DEU-000934</x:v>
      </x:c>
      <x:c r="B935" t="str">
        <x:v>USR-00482</x:v>
      </x:c>
      <x:c r="C935" t="n">
        <x:v>46023</x:v>
      </x:c>
      <x:c r="D935" t="str">
        <x:v>Entidad financiera B</x:v>
      </x:c>
      <x:c r="E935" t="str">
        <x:v>Tarjeta de crédito</x:v>
      </x:c>
      <x:c r="F935" t="n">
        <x:v>2200000</x:v>
      </x:c>
      <x:c r="G935" s="40" t="n">
        <x:v>0.3054</x:v>
      </x:c>
      <x:c r="H935" s="40" t="n">
        <x:v>0.022458</x:v>
      </x:c>
      <x:c r="I935" t="n">
        <x:v>30</x:v>
      </x:c>
      <x:c r="J935" t="n">
        <x:v>101600</x:v>
      </x:c>
      <x:c r="K935" t="str">
        <x:v>Bola de nieve</x:v>
      </x:c>
      <x:c r="L935" t="str">
        <x:v>Vigente</x:v>
      </x:c>
      <x:c r="M935" t="n">
        <x:v>2290252.32</x:v>
      </x:c>
      <x:c r="N935"/>
    </x:row>
    <x:row r="936">
      <x:c r="A936" t="str">
        <x:v>DEU-000935</x:v>
      </x:c>
      <x:c r="B936" t="str">
        <x:v>USR-00482</x:v>
      </x:c>
      <x:c r="C936" t="n">
        <x:v>46023</x:v>
      </x:c>
      <x:c r="D936" t="str">
        <x:v>Cooperativa C</x:v>
      </x:c>
      <x:c r="E936" t="str">
        <x:v>Tarjeta de crédito</x:v>
      </x:c>
      <x:c r="F936" t="n">
        <x:v>1220000</x:v>
      </x:c>
      <x:c r="G936" s="40" t="n">
        <x:v>0.2507</x:v>
      </x:c>
      <x:c r="H936" s="40" t="n">
        <x:v>0.018817</x:v>
      </x:c>
      <x:c r="I936" t="n">
        <x:v>18</x:v>
      </x:c>
      <x:c r="J936" t="n">
        <x:v>80500</x:v>
      </x:c>
      <x:c r="K936" t="str">
        <x:v>Avalancha</x:v>
      </x:c>
      <x:c r="L936" t="str">
        <x:v>Vigente</x:v>
      </x:c>
      <x:c r="M936" t="n">
        <x:v>845437.85</x:v>
      </x:c>
      <x:c r="N936"/>
    </x:row>
    <x:row r="937">
      <x:c r="A937" t="str">
        <x:v>DEU-000936</x:v>
      </x:c>
      <x:c r="B937" t="str">
        <x:v>USR-00483</x:v>
      </x:c>
      <x:c r="C937" t="n">
        <x:v>46023</x:v>
      </x:c>
      <x:c r="D937" t="str">
        <x:v>Financiera D</x:v>
      </x:c>
      <x:c r="E937" t="str">
        <x:v>Tarjeta de crédito</x:v>
      </x:c>
      <x:c r="F937" t="n">
        <x:v>8210000</x:v>
      </x:c>
      <x:c r="G937" s="40" t="n">
        <x:v>0.2425</x:v>
      </x:c>
      <x:c r="H937" s="40" t="n">
        <x:v>0.018258</x:v>
      </x:c>
      <x:c r="I937" t="n">
        <x:v>48</x:v>
      </x:c>
      <x:c r="J937" t="n">
        <x:v>258300</x:v>
      </x:c>
      <x:c r="K937" t="str">
        <x:v>Avalancha</x:v>
      </x:c>
      <x:c r="L937" t="str">
        <x:v>Vigente</x:v>
      </x:c>
      <x:c r="M937" t="n">
        <x:v>7394498.29</x:v>
      </x:c>
      <x:c r="N937"/>
    </x:row>
    <x:row r="938">
      <x:c r="A938" t="str">
        <x:v>DEU-000937</x:v>
      </x:c>
      <x:c r="B938" t="str">
        <x:v>USR-00483</x:v>
      </x:c>
      <x:c r="C938" t="n">
        <x:v>46023</x:v>
      </x:c>
      <x:c r="D938" t="str">
        <x:v>Entidad financiera A</x:v>
      </x:c>
      <x:c r="E938" t="str">
        <x:v>Crédito de consumo</x:v>
      </x:c>
      <x:c r="F938" t="n">
        <x:v>18330000</x:v>
      </x:c>
      <x:c r="G938" s="40" t="n">
        <x:v>0.1596</x:v>
      </x:c>
      <x:c r="H938" s="40" t="n">
        <x:v>0.012416</x:v>
      </x:c>
      <x:c r="I938" t="n">
        <x:v>30</x:v>
      </x:c>
      <x:c r="J938" t="n">
        <x:v>735600</x:v>
      </x:c>
      <x:c r="K938" t="str">
        <x:v>Bola de nieve</x:v>
      </x:c>
      <x:c r="L938" t="str">
        <x:v>Vigente</x:v>
      </x:c>
      <x:c r="M938" t="n">
        <x:v>15466544.6</x:v>
      </x:c>
      <x:c r="N938"/>
    </x:row>
    <x:row r="939">
      <x:c r="A939" t="str">
        <x:v>DEU-000938</x:v>
      </x:c>
      <x:c r="B939" t="str">
        <x:v>USR-00483</x:v>
      </x:c>
      <x:c r="C939" t="n">
        <x:v>46023</x:v>
      </x:c>
      <x:c r="D939" t="str">
        <x:v>Cooperativa C</x:v>
      </x:c>
      <x:c r="E939" t="str">
        <x:v>Tarjeta de crédito</x:v>
      </x:c>
      <x:c r="F939" t="n">
        <x:v>1370000</x:v>
      </x:c>
      <x:c r="G939" s="40" t="n">
        <x:v>0.2308</x:v>
      </x:c>
      <x:c r="H939" s="40" t="n">
        <x:v>0.017456</x:v>
      </x:c>
      <x:c r="I939" t="n">
        <x:v>60</x:v>
      </x:c>
      <x:c r="J939" t="n">
        <x:v>37000</x:v>
      </x:c>
      <x:c r="K939" t="str">
        <x:v>Bola de nieve</x:v>
      </x:c>
      <x:c r="L939" t="str">
        <x:v>Vigente</x:v>
      </x:c>
      <x:c r="M939" t="n">
        <x:v>1288479.28</x:v>
      </x:c>
      <x:c r="N939"/>
    </x:row>
    <x:row r="940">
      <x:c r="A940" t="str">
        <x:v>DEU-000939</x:v>
      </x:c>
      <x:c r="B940" t="str">
        <x:v>USR-00484</x:v>
      </x:c>
      <x:c r="C940" t="n">
        <x:v>46023</x:v>
      </x:c>
      <x:c r="D940" t="str">
        <x:v>Entidad financiera B</x:v>
      </x:c>
      <x:c r="E940" t="str">
        <x:v>Tarjeta de crédito</x:v>
      </x:c>
      <x:c r="F940" t="n">
        <x:v>4050000</x:v>
      </x:c>
      <x:c r="G940" s="40" t="n">
        <x:v>0.2996</x:v>
      </x:c>
      <x:c r="H940" s="40" t="n">
        <x:v>0.022078</x:v>
      </x:c>
      <x:c r="I940" t="n">
        <x:v>24</x:v>
      </x:c>
      <x:c r="J940" t="n">
        <x:v>219200</x:v>
      </x:c>
      <x:c r="K940" t="str">
        <x:v>Bola de nieve</x:v>
      </x:c>
      <x:c r="L940" t="str">
        <x:v>Vigente</x:v>
      </x:c>
      <x:c r="M940" t="n">
        <x:v>2987905.64</x:v>
      </x:c>
      <x:c r="N940"/>
    </x:row>
    <x:row r="941">
      <x:c r="A941" t="str">
        <x:v>DEU-000940</x:v>
      </x:c>
      <x:c r="B941" t="str">
        <x:v>USR-00484</x:v>
      </x:c>
      <x:c r="C941" t="n">
        <x:v>46023</x:v>
      </x:c>
      <x:c r="D941" t="str">
        <x:v>Entidad financiera B</x:v>
      </x:c>
      <x:c r="E941" t="str">
        <x:v>Tarjeta de crédito</x:v>
      </x:c>
      <x:c r="F941" t="n">
        <x:v>6030000</x:v>
      </x:c>
      <x:c r="G941" s="40" t="n">
        <x:v>0.146</x:v>
      </x:c>
      <x:c r="H941" s="40" t="n">
        <x:v>0.011421</x:v>
      </x:c>
      <x:c r="I941" t="n">
        <x:v>36</x:v>
      </x:c>
      <x:c r="J941" t="n">
        <x:v>205200</x:v>
      </x:c>
      <x:c r="K941" t="str">
        <x:v>Bola de nieve</x:v>
      </x:c>
      <x:c r="L941" t="str">
        <x:v>Vigente</x:v>
      </x:c>
      <x:c r="M941" t="n">
        <x:v>4938991.96</x:v>
      </x:c>
      <x:c r="N941"/>
    </x:row>
    <x:row r="942">
      <x:c r="A942" t="str">
        <x:v>DEU-000941</x:v>
      </x:c>
      <x:c r="B942" t="str">
        <x:v>USR-00484</x:v>
      </x:c>
      <x:c r="C942" t="n">
        <x:v>46023</x:v>
      </x:c>
      <x:c r="D942" t="str">
        <x:v>Cooperativa C</x:v>
      </x:c>
      <x:c r="E942" t="str">
        <x:v>Tarjeta de crédito</x:v>
      </x:c>
      <x:c r="F942" t="n">
        <x:v>1830000</x:v>
      </x:c>
      <x:c r="G942" s="40" t="n">
        <x:v>0.1211</x:v>
      </x:c>
      <x:c r="H942" s="40" t="n">
        <x:v>0.009571</x:v>
      </x:c>
      <x:c r="I942" t="n">
        <x:v>18</x:v>
      </x:c>
      <x:c r="J942" t="n">
        <x:v>111200</x:v>
      </x:c>
      <x:c r="K942" t="str">
        <x:v>Avalancha</x:v>
      </x:c>
      <x:c r="L942" t="str">
        <x:v>Vigente</x:v>
      </x:c>
      <x:c r="M942" t="n">
        <x:v>1304913.55</x:v>
      </x:c>
      <x:c r="N942"/>
    </x:row>
    <x:row r="943">
      <x:c r="A943" t="str">
        <x:v>DEU-000942</x:v>
      </x:c>
      <x:c r="B943" t="str">
        <x:v>USR-00485</x:v>
      </x:c>
      <x:c r="C943" t="n">
        <x:v>46023</x:v>
      </x:c>
      <x:c r="D943" t="str">
        <x:v>Entidad financiera B</x:v>
      </x:c>
      <x:c r="E943" t="str">
        <x:v>Crédito educativo</x:v>
      </x:c>
      <x:c r="F943" t="n">
        <x:v>23460000</x:v>
      </x:c>
      <x:c r="G943" s="40" t="n">
        <x:v>0.2646</x:v>
      </x:c>
      <x:c r="H943" s="40" t="n">
        <x:v>0.019756</x:v>
      </x:c>
      <x:c r="I943" t="n">
        <x:v>48</x:v>
      </x:c>
      <x:c r="J943" t="n">
        <x:v>761000</x:v>
      </x:c>
      <x:c r="K943" t="str">
        <x:v>Bola de nieve</x:v>
      </x:c>
      <x:c r="L943" t="str">
        <x:v>Vigente</x:v>
      </x:c>
      <x:c r="M943" t="n">
        <x:v>22745404</x:v>
      </x:c>
      <x:c r="N943"/>
    </x:row>
    <x:row r="944">
      <x:c r="A944" t="str">
        <x:v>DEU-000943</x:v>
      </x:c>
      <x:c r="B944" t="str">
        <x:v>USR-00485</x:v>
      </x:c>
      <x:c r="C944" t="n">
        <x:v>46023</x:v>
      </x:c>
      <x:c r="D944" t="str">
        <x:v>Financiera D</x:v>
      </x:c>
      <x:c r="E944" t="str">
        <x:v>Tarjeta de crédito</x:v>
      </x:c>
      <x:c r="F944" t="n">
        <x:v>5100000</x:v>
      </x:c>
      <x:c r="G944" s="40" t="n">
        <x:v>0.1705</x:v>
      </x:c>
      <x:c r="H944" s="40" t="n">
        <x:v>0.013206</x:v>
      </x:c>
      <x:c r="I944" t="n">
        <x:v>18</x:v>
      </x:c>
      <x:c r="J944" t="n">
        <x:v>320200</x:v>
      </x:c>
      <x:c r="K944" t="str">
        <x:v>Bola de nieve</x:v>
      </x:c>
      <x:c r="L944" t="str">
        <x:v>Vigente</x:v>
      </x:c>
      <x:c r="M944" t="n">
        <x:v>3449849.03</x:v>
      </x:c>
      <x:c r="N944"/>
    </x:row>
    <x:row r="945">
      <x:c r="A945" t="str">
        <x:v>DEU-000944</x:v>
      </x:c>
      <x:c r="B945" t="str">
        <x:v>USR-00486</x:v>
      </x:c>
      <x:c r="C945" t="n">
        <x:v>46023</x:v>
      </x:c>
      <x:c r="D945" t="str">
        <x:v>Cooperativa C</x:v>
      </x:c>
      <x:c r="E945" t="str">
        <x:v>Crédito de consumo</x:v>
      </x:c>
      <x:c r="F945" t="n">
        <x:v>4300000</x:v>
      </x:c>
      <x:c r="G945" s="40" t="n">
        <x:v>0.3115</x:v>
      </x:c>
      <x:c r="H945" s="40" t="n">
        <x:v>0.022855</x:v>
      </x:c>
      <x:c r="I945" t="n">
        <x:v>30</x:v>
      </x:c>
      <x:c r="J945" t="n">
        <x:v>199600</x:v>
      </x:c>
      <x:c r="K945" t="str">
        <x:v>Avalancha</x:v>
      </x:c>
      <x:c r="L945" t="str">
        <x:v>Vigente</x:v>
      </x:c>
      <x:c r="M945" t="n">
        <x:v>3862154.66</x:v>
      </x:c>
      <x:c r="N945"/>
    </x:row>
    <x:row r="946">
      <x:c r="A946" t="str">
        <x:v>DEU-000945</x:v>
      </x:c>
      <x:c r="B946" t="str">
        <x:v>USR-00487</x:v>
      </x:c>
      <x:c r="C946" t="n">
        <x:v>46023</x:v>
      </x:c>
      <x:c r="D946" t="str">
        <x:v>Entidad financiera B</x:v>
      </x:c>
      <x:c r="E946" t="str">
        <x:v>Crédito de consumo</x:v>
      </x:c>
      <x:c r="F946" t="n">
        <x:v>13280000</x:v>
      </x:c>
      <x:c r="G946" s="40" t="n">
        <x:v>0.2236</x:v>
      </x:c>
      <x:c r="H946" s="40" t="n">
        <x:v>0.016959</x:v>
      </x:c>
      <x:c r="I946" t="n">
        <x:v>60</x:v>
      </x:c>
      <x:c r="J946" t="n">
        <x:v>354400</x:v>
      </x:c>
      <x:c r="K946" t="str">
        <x:v>Bola de nieve</x:v>
      </x:c>
      <x:c r="L946" t="str">
        <x:v>Vigente</x:v>
      </x:c>
      <x:c r="M946" t="n">
        <x:v>12131809.67</x:v>
      </x:c>
      <x:c r="N946"/>
    </x:row>
    <x:row r="947">
      <x:c r="A947" t="str">
        <x:v>DEU-000946</x:v>
      </x:c>
      <x:c r="B947" t="str">
        <x:v>USR-00487</x:v>
      </x:c>
      <x:c r="C947" t="n">
        <x:v>46023</x:v>
      </x:c>
      <x:c r="D947" t="str">
        <x:v>Cooperativa C</x:v>
      </x:c>
      <x:c r="E947" t="str">
        <x:v>Crédito de vehículo</x:v>
      </x:c>
      <x:c r="F947" t="n">
        <x:v>26160000</x:v>
      </x:c>
      <x:c r="G947" s="40" t="n">
        <x:v>0.2392</x:v>
      </x:c>
      <x:c r="H947" s="40" t="n">
        <x:v>0.018033</x:v>
      </x:c>
      <x:c r="I947" t="n">
        <x:v>60</x:v>
      </x:c>
      <x:c r="J947" t="n">
        <x:v>717200</x:v>
      </x:c>
      <x:c r="K947" t="str">
        <x:v>Bola de nieve</x:v>
      </x:c>
      <x:c r="L947" t="str">
        <x:v>Vigente</x:v>
      </x:c>
      <x:c r="M947" t="n">
        <x:v>25050366.65</x:v>
      </x:c>
      <x:c r="N947"/>
    </x:row>
    <x:row r="948">
      <x:c r="A948" t="str">
        <x:v>DEU-000947</x:v>
      </x:c>
      <x:c r="B948" t="str">
        <x:v>USR-00488</x:v>
      </x:c>
      <x:c r="C948" t="n">
        <x:v>46023</x:v>
      </x:c>
      <x:c r="D948" t="str">
        <x:v>Financiera D</x:v>
      </x:c>
      <x:c r="E948" t="str">
        <x:v>Tarjeta de crédito</x:v>
      </x:c>
      <x:c r="F948" t="n">
        <x:v>2010000</x:v>
      </x:c>
      <x:c r="G948" s="40" t="n">
        <x:v>0.3112</x:v>
      </x:c>
      <x:c r="H948" s="40" t="n">
        <x:v>0.022835</x:v>
      </x:c>
      <x:c r="I948" t="n">
        <x:v>18</x:v>
      </x:c>
      <x:c r="J948" t="n">
        <x:v>137400</x:v>
      </x:c>
      <x:c r="K948" t="str">
        <x:v>Bola de nieve</x:v>
      </x:c>
      <x:c r="L948" t="str">
        <x:v>Vigente</x:v>
      </x:c>
      <x:c r="M948" t="n">
        <x:v>1296634.17</x:v>
      </x:c>
      <x:c r="N948"/>
    </x:row>
    <x:row r="949">
      <x:c r="A949" t="str">
        <x:v>DEU-000948</x:v>
      </x:c>
      <x:c r="B949" t="str">
        <x:v>USR-00488</x:v>
      </x:c>
      <x:c r="C949" t="n">
        <x:v>46023</x:v>
      </x:c>
      <x:c r="D949" t="str">
        <x:v>Entidad financiera E</x:v>
      </x:c>
      <x:c r="E949" t="str">
        <x:v>Tarjeta de crédito</x:v>
      </x:c>
      <x:c r="F949" t="n">
        <x:v>5290000</x:v>
      </x:c>
      <x:c r="G949" s="40" t="n">
        <x:v>0.1628</x:v>
      </x:c>
      <x:c r="H949" s="40" t="n">
        <x:v>0.012649</x:v>
      </x:c>
      <x:c r="I949" t="n">
        <x:v>48</x:v>
      </x:c>
      <x:c r="J949" t="n">
        <x:v>147700</x:v>
      </x:c>
      <x:c r="K949" t="str">
        <x:v>Avalancha</x:v>
      </x:c>
      <x:c r="L949" t="str">
        <x:v>Vigente</x:v>
      </x:c>
      <x:c r="M949" t="n">
        <x:v>4897880.06</x:v>
      </x:c>
      <x:c r="N949"/>
    </x:row>
    <x:row r="950">
      <x:c r="A950" t="str">
        <x:v>DEU-000949</x:v>
      </x:c>
      <x:c r="B950" t="str">
        <x:v>USR-00489</x:v>
      </x:c>
      <x:c r="C950" t="n">
        <x:v>46023</x:v>
      </x:c>
      <x:c r="D950" t="str">
        <x:v>Entidad financiera E</x:v>
      </x:c>
      <x:c r="E950" t="str">
        <x:v>Tarjeta de crédito</x:v>
      </x:c>
      <x:c r="F950" t="n">
        <x:v>3830000</x:v>
      </x:c>
      <x:c r="G950" s="40" t="n">
        <x:v>0.2151</x:v>
      </x:c>
      <x:c r="H950" s="40" t="n">
        <x:v>0.016368</x:v>
      </x:c>
      <x:c r="I950" t="n">
        <x:v>12</x:v>
      </x:c>
      <x:c r="J950" t="n">
        <x:v>354100</x:v>
      </x:c>
      <x:c r="K950" t="str">
        <x:v>Avalancha</x:v>
      </x:c>
      <x:c r="L950" t="str">
        <x:v>Vigente</x:v>
      </x:c>
      <x:c r="M950" t="n">
        <x:v>2104934.84</x:v>
      </x:c>
      <x:c r="N950"/>
    </x:row>
    <x:row r="951">
      <x:c r="A951" t="str">
        <x:v>DEU-000950</x:v>
      </x:c>
      <x:c r="B951" t="str">
        <x:v>USR-00490</x:v>
      </x:c>
      <x:c r="C951" t="n">
        <x:v>46023</x:v>
      </x:c>
      <x:c r="D951" t="str">
        <x:v>Entidad financiera A</x:v>
      </x:c>
      <x:c r="E951" t="str">
        <x:v>Tarjeta de crédito</x:v>
      </x:c>
      <x:c r="F951" t="n">
        <x:v>7690000</x:v>
      </x:c>
      <x:c r="G951" s="40" t="n">
        <x:v>0.2966</x:v>
      </x:c>
      <x:c r="H951" s="40" t="n">
        <x:v>0.021881</x:v>
      </x:c>
      <x:c r="I951" t="n">
        <x:v>60</x:v>
      </x:c>
      <x:c r="J951" t="n">
        <x:v>231400</x:v>
      </x:c>
      <x:c r="K951" t="str">
        <x:v>Avalancha</x:v>
      </x:c>
      <x:c r="L951" t="str">
        <x:v>Vigente</x:v>
      </x:c>
      <x:c r="M951" t="n">
        <x:v>7131486.05</x:v>
      </x:c>
      <x:c r="N951"/>
    </x:row>
    <x:row r="952">
      <x:c r="A952" t="str">
        <x:v>DEU-000951</x:v>
      </x:c>
      <x:c r="B952" t="str">
        <x:v>USR-00491</x:v>
      </x:c>
      <x:c r="C952" t="n">
        <x:v>46023</x:v>
      </x:c>
      <x:c r="D952" t="str">
        <x:v>Financiera D</x:v>
      </x:c>
      <x:c r="E952" t="str">
        <x:v>Tarjeta de crédito</x:v>
      </x:c>
      <x:c r="F952" t="n">
        <x:v>8240000</x:v>
      </x:c>
      <x:c r="G952" s="40" t="n">
        <x:v>0.1347</x:v>
      </x:c>
      <x:c r="H952" s="40" t="n">
        <x:v>0.010586</x:v>
      </x:c>
      <x:c r="I952" t="n">
        <x:v>18</x:v>
      </x:c>
      <x:c r="J952" t="n">
        <x:v>505200</x:v>
      </x:c>
      <x:c r="K952" t="str">
        <x:v>Avalancha</x:v>
      </x:c>
      <x:c r="L952" t="str">
        <x:v>Vigente</x:v>
      </x:c>
      <x:c r="M952" t="n">
        <x:v>4891291.53</x:v>
      </x:c>
      <x:c r="N952"/>
    </x:row>
    <x:row r="953">
      <x:c r="A953" t="str">
        <x:v>DEU-000952</x:v>
      </x:c>
      <x:c r="B953" t="str">
        <x:v>USR-00492</x:v>
      </x:c>
      <x:c r="C953" t="n">
        <x:v>46023</x:v>
      </x:c>
      <x:c r="D953" t="str">
        <x:v>Entidad financiera A</x:v>
      </x:c>
      <x:c r="E953" t="str">
        <x:v>Crédito de consumo</x:v>
      </x:c>
      <x:c r="F953" t="n">
        <x:v>6830000</x:v>
      </x:c>
      <x:c r="G953" s="40" t="n">
        <x:v>0.3199</x:v>
      </x:c>
      <x:c r="H953" s="40" t="n">
        <x:v>0.023399</x:v>
      </x:c>
      <x:c r="I953" t="n">
        <x:v>24</x:v>
      </x:c>
      <x:c r="J953" t="n">
        <x:v>375200</x:v>
      </x:c>
      <x:c r="K953" t="str">
        <x:v>Bola de nieve</x:v>
      </x:c>
      <x:c r="L953" t="str">
        <x:v>Vigente</x:v>
      </x:c>
      <x:c r="M953" t="n">
        <x:v>4491071.94</x:v>
      </x:c>
      <x:c r="N953"/>
    </x:row>
    <x:row r="954">
      <x:c r="A954" t="str">
        <x:v>DEU-000953</x:v>
      </x:c>
      <x:c r="B954" t="str">
        <x:v>USR-00492</x:v>
      </x:c>
      <x:c r="C954" t="n">
        <x:v>46023</x:v>
      </x:c>
      <x:c r="D954" t="str">
        <x:v>Financiera D</x:v>
      </x:c>
      <x:c r="E954" t="str">
        <x:v>Crédito de consumo</x:v>
      </x:c>
      <x:c r="F954" t="n">
        <x:v>3480000</x:v>
      </x:c>
      <x:c r="G954" s="40" t="n">
        <x:v>0.2305</x:v>
      </x:c>
      <x:c r="H954" s="40" t="n">
        <x:v>0.017435</x:v>
      </x:c>
      <x:c r="I954" t="n">
        <x:v>48</x:v>
      </x:c>
      <x:c r="J954" t="n">
        <x:v>107600</x:v>
      </x:c>
      <x:c r="K954" t="str">
        <x:v>Avalancha</x:v>
      </x:c>
      <x:c r="L954" t="str">
        <x:v>Vigente</x:v>
      </x:c>
      <x:c r="M954" t="n">
        <x:v>3197855.03</x:v>
      </x:c>
      <x:c r="N954"/>
    </x:row>
    <x:row r="955">
      <x:c r="A955" t="str">
        <x:v>DEU-000954</x:v>
      </x:c>
      <x:c r="B955" t="str">
        <x:v>USR-00493</x:v>
      </x:c>
      <x:c r="C955" t="n">
        <x:v>46023</x:v>
      </x:c>
      <x:c r="D955" t="str">
        <x:v>Cooperativa C</x:v>
      </x:c>
      <x:c r="E955" t="str">
        <x:v>Crédito de vehículo</x:v>
      </x:c>
      <x:c r="F955" t="n">
        <x:v>32470000</x:v>
      </x:c>
      <x:c r="G955" s="40" t="n">
        <x:v>0.3432</x:v>
      </x:c>
      <x:c r="H955" s="40" t="n">
        <x:v>0.024893</x:v>
      </x:c>
      <x:c r="I955" t="n">
        <x:v>48</x:v>
      </x:c>
      <x:c r="J955" t="n">
        <x:v>1166700</x:v>
      </x:c>
      <x:c r="K955" t="str">
        <x:v>Bola de nieve</x:v>
      </x:c>
      <x:c r="L955" t="str">
        <x:v>Vigente</x:v>
      </x:c>
      <x:c r="M955" t="n">
        <x:v>32174929.55</x:v>
      </x:c>
      <x:c r="N955"/>
    </x:row>
    <x:row r="956">
      <x:c r="A956" t="str">
        <x:v>DEU-000955</x:v>
      </x:c>
      <x:c r="B956" t="str">
        <x:v>USR-00493</x:v>
      </x:c>
      <x:c r="C956" t="n">
        <x:v>46023</x:v>
      </x:c>
      <x:c r="D956" t="str">
        <x:v>Entidad financiera B</x:v>
      </x:c>
      <x:c r="E956" t="str">
        <x:v>Crédito comercial</x:v>
      </x:c>
      <x:c r="F956" t="n">
        <x:v>9790000</x:v>
      </x:c>
      <x:c r="G956" s="40" t="n">
        <x:v>0.1721</x:v>
      </x:c>
      <x:c r="H956" s="40" t="n">
        <x:v>0.013321</x:v>
      </x:c>
      <x:c r="I956" t="n">
        <x:v>36</x:v>
      </x:c>
      <x:c r="J956" t="n">
        <x:v>344100</x:v>
      </x:c>
      <x:c r="K956" t="str">
        <x:v>Bola de nieve</x:v>
      </x:c>
      <x:c r="L956" t="str">
        <x:v>Vigente</x:v>
      </x:c>
      <x:c r="M956" t="n">
        <x:v>8882412.32</x:v>
      </x:c>
      <x:c r="N956"/>
    </x:row>
    <x:row r="957">
      <x:c r="A957" t="str">
        <x:v>DEU-000956</x:v>
      </x:c>
      <x:c r="B957" t="str">
        <x:v>USR-00494</x:v>
      </x:c>
      <x:c r="C957" t="n">
        <x:v>46023</x:v>
      </x:c>
      <x:c r="D957" t="str">
        <x:v>Entidad financiera E</x:v>
      </x:c>
      <x:c r="E957" t="str">
        <x:v>Crédito de consumo</x:v>
      </x:c>
      <x:c r="F957" t="n">
        <x:v>17620000</x:v>
      </x:c>
      <x:c r="G957" s="40" t="n">
        <x:v>0.1243</x:v>
      </x:c>
      <x:c r="H957" s="40" t="n">
        <x:v>0.009811</x:v>
      </x:c>
      <x:c r="I957" t="n">
        <x:v>12</x:v>
      </x:c>
      <x:c r="J957" t="n">
        <x:v>1563600</x:v>
      </x:c>
      <x:c r="K957" t="str">
        <x:v>Avalancha</x:v>
      </x:c>
      <x:c r="L957" t="str">
        <x:v>Vigente</x:v>
      </x:c>
      <x:c r="M957" t="n">
        <x:v>11692067.73</x:v>
      </x:c>
      <x:c r="N957"/>
    </x:row>
    <x:row r="958">
      <x:c r="A958" t="str">
        <x:v>DEU-000957</x:v>
      </x:c>
      <x:c r="B958" t="str">
        <x:v>USR-00495</x:v>
      </x:c>
      <x:c r="C958" t="n">
        <x:v>46023</x:v>
      </x:c>
      <x:c r="D958" t="str">
        <x:v>Financiera D</x:v>
      </x:c>
      <x:c r="E958" t="str">
        <x:v>Tarjeta de crédito</x:v>
      </x:c>
      <x:c r="F958" t="n">
        <x:v>1200000</x:v>
      </x:c>
      <x:c r="G958" s="40" t="n">
        <x:v>0.1563</x:v>
      </x:c>
      <x:c r="H958" s="40" t="n">
        <x:v>0.012176</x:v>
      </x:c>
      <x:c r="I958" t="n">
        <x:v>12</x:v>
      </x:c>
      <x:c r="J958" t="n">
        <x:v>108100</x:v>
      </x:c>
      <x:c r="K958" t="str">
        <x:v>Bola de nieve</x:v>
      </x:c>
      <x:c r="L958" t="str">
        <x:v>Vigente</x:v>
      </x:c>
      <x:c r="M958" t="n">
        <x:v>374772.47</x:v>
      </x:c>
      <x:c r="N958"/>
    </x:row>
    <x:row r="959">
      <x:c r="A959" t="str">
        <x:v>DEU-000958</x:v>
      </x:c>
      <x:c r="B959" t="str">
        <x:v>USR-00495</x:v>
      </x:c>
      <x:c r="C959" t="n">
        <x:v>46023</x:v>
      </x:c>
      <x:c r="D959" t="str">
        <x:v>Entidad financiera A</x:v>
      </x:c>
      <x:c r="E959" t="str">
        <x:v>Tarjeta de crédito</x:v>
      </x:c>
      <x:c r="F959" t="n">
        <x:v>7270000</x:v>
      </x:c>
      <x:c r="G959" s="40" t="n">
        <x:v>0.2517</x:v>
      </x:c>
      <x:c r="H959" s="40" t="n">
        <x:v>0.018885</x:v>
      </x:c>
      <x:c r="I959" t="n">
        <x:v>24</x:v>
      </x:c>
      <x:c r="J959" t="n">
        <x:v>379500</x:v>
      </x:c>
      <x:c r="K959" t="str">
        <x:v>Avalancha</x:v>
      </x:c>
      <x:c r="L959" t="str">
        <x:v>Vigente</x:v>
      </x:c>
      <x:c r="M959" t="n">
        <x:v>5329628.78</x:v>
      </x:c>
      <x:c r="N959"/>
    </x:row>
    <x:row r="960">
      <x:c r="A960" t="str">
        <x:v>DEU-000959</x:v>
      </x:c>
      <x:c r="B960" t="str">
        <x:v>USR-00495</x:v>
      </x:c>
      <x:c r="C960" t="n">
        <x:v>46023</x:v>
      </x:c>
      <x:c r="D960" t="str">
        <x:v>Cooperativa C</x:v>
      </x:c>
      <x:c r="E960" t="str">
        <x:v>Crédito de vehículo</x:v>
      </x:c>
      <x:c r="F960" t="n">
        <x:v>56450000</x:v>
      </x:c>
      <x:c r="G960" s="40" t="n">
        <x:v>0.2367</x:v>
      </x:c>
      <x:c r="H960" s="40" t="n">
        <x:v>0.017862</x:v>
      </x:c>
      <x:c r="I960" t="n">
        <x:v>48</x:v>
      </x:c>
      <x:c r="J960" t="n">
        <x:v>1761200</x:v>
      </x:c>
      <x:c r="K960" t="str">
        <x:v>Bola de nieve</x:v>
      </x:c>
      <x:c r="L960" t="str">
        <x:v>Vigente</x:v>
      </x:c>
      <x:c r="M960" t="n">
        <x:v>51467023.63</x:v>
      </x:c>
      <x:c r="N960"/>
    </x:row>
    <x:row r="961">
      <x:c r="A961" t="str">
        <x:v>DEU-000960</x:v>
      </x:c>
      <x:c r="B961" t="str">
        <x:v>USR-00496</x:v>
      </x:c>
      <x:c r="C961" t="n">
        <x:v>46023</x:v>
      </x:c>
      <x:c r="D961" t="str">
        <x:v>Cooperativa C</x:v>
      </x:c>
      <x:c r="E961" t="str">
        <x:v>Crédito de libre inversión</x:v>
      </x:c>
      <x:c r="F961" t="n">
        <x:v>15550000</x:v>
      </x:c>
      <x:c r="G961" s="40" t="n">
        <x:v>0.1192</x:v>
      </x:c>
      <x:c r="H961" s="40" t="n">
        <x:v>0.009429</x:v>
      </x:c>
      <x:c r="I961" t="n">
        <x:v>48</x:v>
      </x:c>
      <x:c r="J961" t="n">
        <x:v>404300</x:v>
      </x:c>
      <x:c r="K961" t="str">
        <x:v>Bola de nieve</x:v>
      </x:c>
      <x:c r="L961" t="str">
        <x:v>Vigente</x:v>
      </x:c>
      <x:c r="M961" t="n">
        <x:v>15026283.27</x:v>
      </x:c>
      <x:c r="N961"/>
    </x:row>
    <x:row r="962">
      <x:c r="A962" t="str">
        <x:v>DEU-000961</x:v>
      </x:c>
      <x:c r="B962" t="str">
        <x:v>USR-00497</x:v>
      </x:c>
      <x:c r="C962" t="n">
        <x:v>46023</x:v>
      </x:c>
      <x:c r="D962" t="str">
        <x:v>Entidad financiera E</x:v>
      </x:c>
      <x:c r="E962" t="str">
        <x:v>Tarjeta de crédito</x:v>
      </x:c>
      <x:c r="F962" t="n">
        <x:v>4150000</x:v>
      </x:c>
      <x:c r="G962" s="40" t="n">
        <x:v>0.1153</x:v>
      </x:c>
      <x:c r="H962" s="40" t="n">
        <x:v>0.009135</x:v>
      </x:c>
      <x:c r="I962" t="n">
        <x:v>12</x:v>
      </x:c>
      <x:c r="J962" t="n">
        <x:v>366700</x:v>
      </x:c>
      <x:c r="K962" t="str">
        <x:v>Avalancha</x:v>
      </x:c>
      <x:c r="L962" t="str">
        <x:v>Vigente</x:v>
      </x:c>
      <x:c r="M962" t="n">
        <x:v>1889560.05</x:v>
      </x:c>
      <x:c r="N962"/>
    </x:row>
    <x:row r="963">
      <x:c r="A963" t="str">
        <x:v>DEU-000962</x:v>
      </x:c>
      <x:c r="B963" t="str">
        <x:v>USR-00497</x:v>
      </x:c>
      <x:c r="C963" t="n">
        <x:v>46023</x:v>
      </x:c>
      <x:c r="D963" t="str">
        <x:v>Financiera D</x:v>
      </x:c>
      <x:c r="E963" t="str">
        <x:v>Tarjeta de crédito</x:v>
      </x:c>
      <x:c r="F963" t="n">
        <x:v>4360000</x:v>
      </x:c>
      <x:c r="G963" s="40" t="n">
        <x:v>0.1755</x:v>
      </x:c>
      <x:c r="H963" s="40" t="n">
        <x:v>0.013566</x:v>
      </x:c>
      <x:c r="I963" t="n">
        <x:v>12</x:v>
      </x:c>
      <x:c r="J963" t="n">
        <x:v>396200</x:v>
      </x:c>
      <x:c r="K963" t="str">
        <x:v>Bola de nieve</x:v>
      </x:c>
      <x:c r="L963" t="str">
        <x:v>Vigente</x:v>
      </x:c>
      <x:c r="M963" t="n">
        <x:v>2436089.79</x:v>
      </x:c>
      <x:c r="N963"/>
    </x:row>
    <x:row r="964">
      <x:c r="A964" t="str">
        <x:v>DEU-000963</x:v>
      </x:c>
      <x:c r="B964" t="str">
        <x:v>USR-00498</x:v>
      </x:c>
      <x:c r="C964" t="n">
        <x:v>46023</x:v>
      </x:c>
      <x:c r="D964" t="str">
        <x:v>Entidad financiera E</x:v>
      </x:c>
      <x:c r="E964" t="str">
        <x:v>Crédito de consumo</x:v>
      </x:c>
      <x:c r="F964" t="n">
        <x:v>8120000</x:v>
      </x:c>
      <x:c r="G964" s="40" t="n">
        <x:v>0.2388</x:v>
      </x:c>
      <x:c r="H964" s="40" t="n">
        <x:v>0.018005</x:v>
      </x:c>
      <x:c r="I964" t="n">
        <x:v>60</x:v>
      </x:c>
      <x:c r="J964" t="n">
        <x:v>222500</x:v>
      </x:c>
      <x:c r="K964" t="str">
        <x:v>Avalancha</x:v>
      </x:c>
      <x:c r="L964" t="str">
        <x:v>Vigente</x:v>
      </x:c>
      <x:c r="M964" t="n">
        <x:v>7940374.27</x:v>
      </x:c>
      <x:c r="N964"/>
    </x:row>
    <x:row r="965">
      <x:c r="A965" t="str">
        <x:v>DEU-000964</x:v>
      </x:c>
      <x:c r="B965" t="str">
        <x:v>USR-00499</x:v>
      </x:c>
      <x:c r="C965" t="n">
        <x:v>46023</x:v>
      </x:c>
      <x:c r="D965" t="str">
        <x:v>Entidad financiera E</x:v>
      </x:c>
      <x:c r="E965" t="str">
        <x:v>Crédito de consumo</x:v>
      </x:c>
      <x:c r="F965" t="n">
        <x:v>10710000</x:v>
      </x:c>
      <x:c r="G965" s="40" t="n">
        <x:v>0.3208</x:v>
      </x:c>
      <x:c r="H965" s="40" t="n">
        <x:v>0.023457</x:v>
      </x:c>
      <x:c r="I965" t="n">
        <x:v>48</x:v>
      </x:c>
      <x:c r="J965" t="n">
        <x:v>374200</x:v>
      </x:c>
      <x:c r="K965" t="str">
        <x:v>Avalancha</x:v>
      </x:c>
      <x:c r="L965" t="str">
        <x:v>Vigente</x:v>
      </x:c>
      <x:c r="M965" t="n">
        <x:v>11100979.82</x:v>
      </x:c>
      <x:c r="N965"/>
    </x:row>
    <x:row r="966">
      <x:c r="A966" t="str">
        <x:v>DEU-000965</x:v>
      </x:c>
      <x:c r="B966" t="str">
        <x:v>USR-00499</x:v>
      </x:c>
      <x:c r="C966" t="n">
        <x:v>46023</x:v>
      </x:c>
      <x:c r="D966" t="str">
        <x:v>Financiera D</x:v>
      </x:c>
      <x:c r="E966" t="str">
        <x:v>Crédito de vehículo</x:v>
      </x:c>
      <x:c r="F966" t="n">
        <x:v>54960000</x:v>
      </x:c>
      <x:c r="G966" s="40" t="n">
        <x:v>0.3412</x:v>
      </x:c>
      <x:c r="H966" s="40" t="n">
        <x:v>0.024765</x:v>
      </x:c>
      <x:c r="I966" t="n">
        <x:v>36</x:v>
      </x:c>
      <x:c r="J966" t="n">
        <x:v>2324700</x:v>
      </x:c>
      <x:c r="K966" t="str">
        <x:v>Bola de nieve</x:v>
      </x:c>
      <x:c r="L966" t="str">
        <x:v>Vigente</x:v>
      </x:c>
      <x:c r="M966" t="n">
        <x:v>45640350.7</x:v>
      </x:c>
      <x:c r="N966"/>
    </x:row>
    <x:row r="967">
      <x:c r="A967" t="str">
        <x:v>DEU-000966</x:v>
      </x:c>
      <x:c r="B967" t="str">
        <x:v>USR-00500</x:v>
      </x:c>
      <x:c r="C967" t="n">
        <x:v>46023</x:v>
      </x:c>
      <x:c r="D967" t="str">
        <x:v>Financiera D</x:v>
      </x:c>
      <x:c r="E967" t="str">
        <x:v>Tarjeta de crédito</x:v>
      </x:c>
      <x:c r="F967" t="n">
        <x:v>7950000</x:v>
      </x:c>
      <x:c r="G967" s="40" t="n">
        <x:v>0.2199</x:v>
      </x:c>
      <x:c r="H967" s="40" t="n">
        <x:v>0.016702</x:v>
      </x:c>
      <x:c r="I967" t="n">
        <x:v>12</x:v>
      </x:c>
      <x:c r="J967" t="n">
        <x:v>736600</x:v>
      </x:c>
      <x:c r="K967" t="str">
        <x:v>Bola de nieve</x:v>
      </x:c>
      <x:c r="L967" t="str">
        <x:v>Vigente</x:v>
      </x:c>
      <x:c r="M967" t="n">
        <x:v>4074375.03</x:v>
      </x:c>
      <x:c r="N967"/>
    </x:row>
    <x:row r="968">
      <x:c r="A968" t="str">
        <x:v>DEU-000967</x:v>
      </x:c>
      <x:c r="B968" t="str">
        <x:v>USR-00501</x:v>
      </x:c>
      <x:c r="C968" t="n">
        <x:v>46023</x:v>
      </x:c>
      <x:c r="D968" t="str">
        <x:v>Cooperativa C</x:v>
      </x:c>
      <x:c r="E968" t="str">
        <x:v>Crédito de consumo</x:v>
      </x:c>
      <x:c r="F968" t="n">
        <x:v>12820000</x:v>
      </x:c>
      <x:c r="G968" s="40" t="n">
        <x:v>0.1452</x:v>
      </x:c>
      <x:c r="H968" s="40" t="n">
        <x:v>0.011362</x:v>
      </x:c>
      <x:c r="I968" t="n">
        <x:v>12</x:v>
      </x:c>
      <x:c r="J968" t="n">
        <x:v>1148900</x:v>
      </x:c>
      <x:c r="K968" t="str">
        <x:v>Bola de nieve</x:v>
      </x:c>
      <x:c r="L968" t="str">
        <x:v>Vigente</x:v>
      </x:c>
      <x:c r="M968" t="n">
        <x:v>7382510.68</x:v>
      </x:c>
      <x:c r="N968"/>
    </x:row>
    <x:row r="969">
      <x:c r="A969" t="str">
        <x:v>DEU-000968</x:v>
      </x:c>
      <x:c r="B969" t="str">
        <x:v>USR-00502</x:v>
      </x:c>
      <x:c r="C969" t="n">
        <x:v>46023</x:v>
      </x:c>
      <x:c r="D969" t="str">
        <x:v>Entidad financiera E</x:v>
      </x:c>
      <x:c r="E969" t="str">
        <x:v>Crédito de consumo</x:v>
      </x:c>
      <x:c r="F969" t="n">
        <x:v>11500000</x:v>
      </x:c>
      <x:c r="G969" s="40" t="n">
        <x:v>0.2212</x:v>
      </x:c>
      <x:c r="H969" s="40" t="n">
        <x:v>0.016792</x:v>
      </x:c>
      <x:c r="I969" t="n">
        <x:v>36</x:v>
      </x:c>
      <x:c r="J969" t="n">
        <x:v>428300</x:v>
      </x:c>
      <x:c r="K969" t="str">
        <x:v>Bola de nieve</x:v>
      </x:c>
      <x:c r="L969" t="str">
        <x:v>Vigente</x:v>
      </x:c>
      <x:c r="M969" t="n">
        <x:v>9303421.17</x:v>
      </x:c>
      <x:c r="N969"/>
    </x:row>
    <x:row r="970">
      <x:c r="A970" t="str">
        <x:v>DEU-000969</x:v>
      </x:c>
      <x:c r="B970" t="str">
        <x:v>USR-00502</x:v>
      </x:c>
      <x:c r="C970" t="n">
        <x:v>46023</x:v>
      </x:c>
      <x:c r="D970" t="str">
        <x:v>Entidad financiera B</x:v>
      </x:c>
      <x:c r="E970" t="str">
        <x:v>Tarjeta de crédito</x:v>
      </x:c>
      <x:c r="F970" t="n">
        <x:v>4070000</x:v>
      </x:c>
      <x:c r="G970" s="40" t="n">
        <x:v>0.2725</x:v>
      </x:c>
      <x:c r="H970" s="40" t="n">
        <x:v>0.020285</x:v>
      </x:c>
      <x:c r="I970" t="n">
        <x:v>18</x:v>
      </x:c>
      <x:c r="J970" t="n">
        <x:v>272200</x:v>
      </x:c>
      <x:c r="K970" t="str">
        <x:v>Bola de nieve</x:v>
      </x:c>
      <x:c r="L970" t="str">
        <x:v>Vigente</x:v>
      </x:c>
      <x:c r="M970" t="n">
        <x:v>2644351.17</x:v>
      </x:c>
      <x:c r="N970"/>
    </x:row>
    <x:row r="971">
      <x:c r="A971" t="str">
        <x:v>DEU-000970</x:v>
      </x:c>
      <x:c r="B971" t="str">
        <x:v>USR-00503</x:v>
      </x:c>
      <x:c r="C971" t="n">
        <x:v>46023</x:v>
      </x:c>
      <x:c r="D971" t="str">
        <x:v>Financiera D</x:v>
      </x:c>
      <x:c r="E971" t="str">
        <x:v>Tarjeta de crédito</x:v>
      </x:c>
      <x:c r="F971" t="n">
        <x:v>1230000</x:v>
      </x:c>
      <x:c r="G971" s="40" t="n">
        <x:v>0.3311</x:v>
      </x:c>
      <x:c r="H971" s="40" t="n">
        <x:v>0.02412</x:v>
      </x:c>
      <x:c r="I971" t="n">
        <x:v>36</x:v>
      </x:c>
      <x:c r="J971" t="n">
        <x:v>51500</x:v>
      </x:c>
      <x:c r="K971" t="str">
        <x:v>Avalancha</x:v>
      </x:c>
      <x:c r="L971" t="str">
        <x:v>Vigente</x:v>
      </x:c>
      <x:c r="M971" t="n">
        <x:v>1141086.76</x:v>
      </x:c>
      <x:c r="N971"/>
    </x:row>
    <x:row r="972">
      <x:c r="A972" t="str">
        <x:v>DEU-000971</x:v>
      </x:c>
      <x:c r="B972" t="str">
        <x:v>USR-00503</x:v>
      </x:c>
      <x:c r="C972" t="n">
        <x:v>46023</x:v>
      </x:c>
      <x:c r="D972" t="str">
        <x:v>Entidad financiera B</x:v>
      </x:c>
      <x:c r="E972" t="str">
        <x:v>Crédito de vehículo</x:v>
      </x:c>
      <x:c r="F972" t="n">
        <x:v>22490000</x:v>
      </x:c>
      <x:c r="G972" s="40" t="n">
        <x:v>0.1564</x:v>
      </x:c>
      <x:c r="H972" s="40" t="n">
        <x:v>0.012183</x:v>
      </x:c>
      <x:c r="I972" t="n">
        <x:v>24</x:v>
      </x:c>
      <x:c r="J972" t="n">
        <x:v>1086400</x:v>
      </x:c>
      <x:c r="K972" t="str">
        <x:v>Avalancha</x:v>
      </x:c>
      <x:c r="L972" t="str">
        <x:v>Vigente</x:v>
      </x:c>
      <x:c r="M972" t="n">
        <x:v>20794386.36</x:v>
      </x:c>
      <x:c r="N972"/>
    </x:row>
    <x:row r="973">
      <x:c r="A973" t="str">
        <x:v>DEU-000972</x:v>
      </x:c>
      <x:c r="B973" t="str">
        <x:v>USR-00504</x:v>
      </x:c>
      <x:c r="C973" t="n">
        <x:v>46023</x:v>
      </x:c>
      <x:c r="D973" t="str">
        <x:v>Entidad financiera B</x:v>
      </x:c>
      <x:c r="E973" t="str">
        <x:v>Crédito de consumo</x:v>
      </x:c>
      <x:c r="F973" t="n">
        <x:v>5190000</x:v>
      </x:c>
      <x:c r="G973" s="40" t="n">
        <x:v>0.2675</x:v>
      </x:c>
      <x:c r="H973" s="40" t="n">
        <x:v>0.01995</x:v>
      </x:c>
      <x:c r="I973" t="n">
        <x:v>12</x:v>
      </x:c>
      <x:c r="J973" t="n">
        <x:v>490600</x:v>
      </x:c>
      <x:c r="K973" t="str">
        <x:v>Avalancha</x:v>
      </x:c>
      <x:c r="L973" t="str">
        <x:v>Vigente</x:v>
      </x:c>
      <x:c r="M973" t="n">
        <x:v>3486587.05</x:v>
      </x:c>
      <x:c r="N973"/>
    </x:row>
    <x:row r="974">
      <x:c r="A974" t="str">
        <x:v>DEU-000973</x:v>
      </x:c>
      <x:c r="B974" t="str">
        <x:v>USR-00505</x:v>
      </x:c>
      <x:c r="C974" t="n">
        <x:v>46023</x:v>
      </x:c>
      <x:c r="D974" t="str">
        <x:v>Entidad financiera B</x:v>
      </x:c>
      <x:c r="E974" t="str">
        <x:v>Tarjeta de crédito</x:v>
      </x:c>
      <x:c r="F974" t="n">
        <x:v>4680000</x:v>
      </x:c>
      <x:c r="G974" s="40" t="n">
        <x:v>0.1065</x:v>
      </x:c>
      <x:c r="H974" s="40" t="n">
        <x:v>0.008469</x:v>
      </x:c>
      <x:c r="I974" t="n">
        <x:v>30</x:v>
      </x:c>
      <x:c r="J974" t="n">
        <x:v>177300</x:v>
      </x:c>
      <x:c r="K974" t="str">
        <x:v>Avalancha</x:v>
      </x:c>
      <x:c r="L974" t="str">
        <x:v>Vigente</x:v>
      </x:c>
      <x:c r="M974" t="n">
        <x:v>3930755.49</x:v>
      </x:c>
      <x:c r="N974"/>
    </x:row>
    <x:row r="975">
      <x:c r="A975" t="str">
        <x:v>DEU-000974</x:v>
      </x:c>
      <x:c r="B975" t="str">
        <x:v>USR-00506</x:v>
      </x:c>
      <x:c r="C975" t="n">
        <x:v>46023</x:v>
      </x:c>
      <x:c r="D975" t="str">
        <x:v>Entidad financiera B</x:v>
      </x:c>
      <x:c r="E975" t="str">
        <x:v>Tarjeta de crédito</x:v>
      </x:c>
      <x:c r="F975" t="n">
        <x:v>7520000</x:v>
      </x:c>
      <x:c r="G975" s="40" t="n">
        <x:v>0.2916</x:v>
      </x:c>
      <x:c r="H975" s="40" t="n">
        <x:v>0.021552</x:v>
      </x:c>
      <x:c r="I975" t="n">
        <x:v>36</x:v>
      </x:c>
      <x:c r="J975" t="n">
        <x:v>302400</x:v>
      </x:c>
      <x:c r="K975" t="str">
        <x:v>Bola de nieve</x:v>
      </x:c>
      <x:c r="L975" t="str">
        <x:v>Vigente</x:v>
      </x:c>
      <x:c r="M975" t="n">
        <x:v>7285153.63</x:v>
      </x:c>
      <x:c r="N975"/>
    </x:row>
    <x:row r="976">
      <x:c r="A976" t="str">
        <x:v>DEU-000975</x:v>
      </x:c>
      <x:c r="B976" t="str">
        <x:v>USR-00507</x:v>
      </x:c>
      <x:c r="C976" t="n">
        <x:v>46023</x:v>
      </x:c>
      <x:c r="D976" t="str">
        <x:v>Entidad financiera E</x:v>
      </x:c>
      <x:c r="E976" t="str">
        <x:v>Crédito de consumo</x:v>
      </x:c>
      <x:c r="F976" t="n">
        <x:v>2320000</x:v>
      </x:c>
      <x:c r="G976" s="40" t="n">
        <x:v>0.2813</x:v>
      </x:c>
      <x:c r="H976" s="40" t="n">
        <x:v>0.020871</x:v>
      </x:c>
      <x:c r="I976" t="n">
        <x:v>30</x:v>
      </x:c>
      <x:c r="J976" t="n">
        <x:v>104800</x:v>
      </x:c>
      <x:c r="K976" t="str">
        <x:v>Avalancha</x:v>
      </x:c>
      <x:c r="L976" t="str">
        <x:v>Vigente</x:v>
      </x:c>
      <x:c r="M976" t="n">
        <x:v>1905121.54</x:v>
      </x:c>
      <x:c r="N976"/>
    </x:row>
    <x:row r="977">
      <x:c r="A977" t="str">
        <x:v>DEU-000976</x:v>
      </x:c>
      <x:c r="B977" t="str">
        <x:v>USR-00508</x:v>
      </x:c>
      <x:c r="C977" t="n">
        <x:v>46023</x:v>
      </x:c>
      <x:c r="D977" t="str">
        <x:v>Cooperativa C</x:v>
      </x:c>
      <x:c r="E977" t="str">
        <x:v>Tarjeta de crédito</x:v>
      </x:c>
      <x:c r="F977" t="n">
        <x:v>5020000</x:v>
      </x:c>
      <x:c r="G977" s="40" t="n">
        <x:v>0.1668</x:v>
      </x:c>
      <x:c r="H977" s="40" t="n">
        <x:v>0.012938</x:v>
      </x:c>
      <x:c r="I977" t="n">
        <x:v>24</x:v>
      </x:c>
      <x:c r="J977" t="n">
        <x:v>244700</x:v>
      </x:c>
      <x:c r="K977" t="str">
        <x:v>Avalancha</x:v>
      </x:c>
      <x:c r="L977" t="str">
        <x:v>Vigente</x:v>
      </x:c>
      <x:c r="M977" t="n">
        <x:v>3355449.07</x:v>
      </x:c>
      <x:c r="N977"/>
    </x:row>
    <x:row r="978">
      <x:c r="A978" t="str">
        <x:v>DEU-000977</x:v>
      </x:c>
      <x:c r="B978" t="str">
        <x:v>USR-00509</x:v>
      </x:c>
      <x:c r="C978" t="n">
        <x:v>46023</x:v>
      </x:c>
      <x:c r="D978" t="str">
        <x:v>Entidad financiera E</x:v>
      </x:c>
      <x:c r="E978" t="str">
        <x:v>Crédito de vehículo</x:v>
      </x:c>
      <x:c r="F978" t="n">
        <x:v>57310000</x:v>
      </x:c>
      <x:c r="G978" s="40" t="n">
        <x:v>0.2087</x:v>
      </x:c>
      <x:c r="H978" s="40" t="n">
        <x:v>0.015921</x:v>
      </x:c>
      <x:c r="I978" t="n">
        <x:v>24</x:v>
      </x:c>
      <x:c r="J978" t="n">
        <x:v>2891800</x:v>
      </x:c>
      <x:c r="K978" t="str">
        <x:v>Bola de nieve</x:v>
      </x:c>
      <x:c r="L978" t="str">
        <x:v>Vigente</x:v>
      </x:c>
      <x:c r="M978" t="n">
        <x:v>41393536.52</x:v>
      </x:c>
      <x:c r="N978"/>
    </x:row>
    <x:row r="979">
      <x:c r="A979" t="str">
        <x:v>DEU-000978</x:v>
      </x:c>
      <x:c r="B979" t="str">
        <x:v>USR-00510</x:v>
      </x:c>
      <x:c r="C979" t="n">
        <x:v>46023</x:v>
      </x:c>
      <x:c r="D979" t="str">
        <x:v>Entidad financiera A</x:v>
      </x:c>
      <x:c r="E979" t="str">
        <x:v>Crédito de consumo</x:v>
      </x:c>
      <x:c r="F979" t="n">
        <x:v>10510000</x:v>
      </x:c>
      <x:c r="G979" s="40" t="n">
        <x:v>0.2274</x:v>
      </x:c>
      <x:c r="H979" s="40" t="n">
        <x:v>0.017221</x:v>
      </x:c>
      <x:c r="I979" t="n">
        <x:v>48</x:v>
      </x:c>
      <x:c r="J979" t="n">
        <x:v>323600</x:v>
      </x:c>
      <x:c r="K979" t="str">
        <x:v>Avalancha</x:v>
      </x:c>
      <x:c r="L979" t="str">
        <x:v>Vigente</x:v>
      </x:c>
      <x:c r="M979" t="n">
        <x:v>9911506.85</x:v>
      </x:c>
      <x:c r="N979"/>
    </x:row>
    <x:row r="980">
      <x:c r="A980" t="str">
        <x:v>DEU-000979</x:v>
      </x:c>
      <x:c r="B980" t="str">
        <x:v>USR-00510</x:v>
      </x:c>
      <x:c r="C980" t="n">
        <x:v>46023</x:v>
      </x:c>
      <x:c r="D980" t="str">
        <x:v>Entidad financiera B</x:v>
      </x:c>
      <x:c r="E980" t="str">
        <x:v>Tarjeta de crédito</x:v>
      </x:c>
      <x:c r="F980" t="n">
        <x:v>800000</x:v>
      </x:c>
      <x:c r="G980" s="40" t="n">
        <x:v>0.2083</x:v>
      </x:c>
      <x:c r="H980" s="40" t="n">
        <x:v>0.015893</x:v>
      </x:c>
      <x:c r="I980" t="n">
        <x:v>48</x:v>
      </x:c>
      <x:c r="J980" t="n">
        <x:v>24000</x:v>
      </x:c>
      <x:c r="K980" t="str">
        <x:v>Bola de nieve</x:v>
      </x:c>
      <x:c r="L980" t="str">
        <x:v>Vigente</x:v>
      </x:c>
      <x:c r="M980" t="n">
        <x:v>744169.79</x:v>
      </x:c>
      <x:c r="N980"/>
    </x:row>
    <x:row r="981">
      <x:c r="A981" t="str">
        <x:v>DEU-000980</x:v>
      </x:c>
      <x:c r="B981" t="str">
        <x:v>USR-00511</x:v>
      </x:c>
      <x:c r="C981" t="n">
        <x:v>46023</x:v>
      </x:c>
      <x:c r="D981" t="str">
        <x:v>Entidad financiera A</x:v>
      </x:c>
      <x:c r="E981" t="str">
        <x:v>Tarjeta de crédito</x:v>
      </x:c>
      <x:c r="F981" t="n">
        <x:v>2080000</x:v>
      </x:c>
      <x:c r="G981" s="40" t="n">
        <x:v>0.2208</x:v>
      </x:c>
      <x:c r="H981" s="40" t="n">
        <x:v>0.016765</x:v>
      </x:c>
      <x:c r="I981" t="n">
        <x:v>30</x:v>
      </x:c>
      <x:c r="J981" t="n">
        <x:v>88800</x:v>
      </x:c>
      <x:c r="K981" t="str">
        <x:v>Avalancha</x:v>
      </x:c>
      <x:c r="L981" t="str">
        <x:v>Vigente</x:v>
      </x:c>
      <x:c r="M981" t="n">
        <x:v>1734613.21</x:v>
      </x:c>
      <x:c r="N981"/>
    </x:row>
    <x:row r="982">
      <x:c r="A982" t="str">
        <x:v>DEU-000981</x:v>
      </x:c>
      <x:c r="B982" t="str">
        <x:v>USR-00511</x:v>
      </x:c>
      <x:c r="C982" t="n">
        <x:v>46023</x:v>
      </x:c>
      <x:c r="D982" t="str">
        <x:v>Entidad financiera E</x:v>
      </x:c>
      <x:c r="E982" t="str">
        <x:v>Crédito educativo</x:v>
      </x:c>
      <x:c r="F982" t="n">
        <x:v>10650000</x:v>
      </x:c>
      <x:c r="G982" s="40" t="n">
        <x:v>0.3275</x:v>
      </x:c>
      <x:c r="H982" s="40" t="n">
        <x:v>0.023889</x:v>
      </x:c>
      <x:c r="I982" t="n">
        <x:v>12</x:v>
      </x:c>
      <x:c r="J982" t="n">
        <x:v>1031300</x:v>
      </x:c>
      <x:c r="K982" t="str">
        <x:v>Avalancha</x:v>
      </x:c>
      <x:c r="L982" t="str">
        <x:v>Vigente</x:v>
      </x:c>
      <x:c r="M982" t="n">
        <x:v>5031473.15</x:v>
      </x:c>
      <x:c r="N982"/>
    </x:row>
    <x:row r="983">
      <x:c r="A983" t="str">
        <x:v>DEU-000982</x:v>
      </x:c>
      <x:c r="B983" t="str">
        <x:v>USR-00512</x:v>
      </x:c>
      <x:c r="C983" t="n">
        <x:v>46023</x:v>
      </x:c>
      <x:c r="D983" t="str">
        <x:v>Entidad financiera E</x:v>
      </x:c>
      <x:c r="E983" t="str">
        <x:v>Crédito de consumo</x:v>
      </x:c>
      <x:c r="F983" t="n">
        <x:v>7040000</x:v>
      </x:c>
      <x:c r="G983" s="40" t="n">
        <x:v>0.1217</x:v>
      </x:c>
      <x:c r="H983" s="40" t="n">
        <x:v>0.009616</x:v>
      </x:c>
      <x:c r="I983" t="n">
        <x:v>18</x:v>
      </x:c>
      <x:c r="J983" t="n">
        <x:v>427800</x:v>
      </x:c>
      <x:c r="K983" t="str">
        <x:v>Bola de nieve</x:v>
      </x:c>
      <x:c r="L983" t="str">
        <x:v>Vigente</x:v>
      </x:c>
      <x:c r="M983" t="n">
        <x:v>5132205.23</x:v>
      </x:c>
      <x:c r="N983"/>
    </x:row>
    <x:row r="984">
      <x:c r="A984" t="str">
        <x:v>DEU-000983</x:v>
      </x:c>
      <x:c r="B984" t="str">
        <x:v>USR-00513</x:v>
      </x:c>
      <x:c r="C984" t="n">
        <x:v>46023</x:v>
      </x:c>
      <x:c r="D984" t="str">
        <x:v>Entidad financiera A</x:v>
      </x:c>
      <x:c r="E984" t="str">
        <x:v>Tarjeta de crédito</x:v>
      </x:c>
      <x:c r="F984" t="n">
        <x:v>4850000</x:v>
      </x:c>
      <x:c r="G984" s="40" t="n">
        <x:v>0.2183</x:v>
      </x:c>
      <x:c r="H984" s="40" t="n">
        <x:v>0.016591</x:v>
      </x:c>
      <x:c r="I984" t="n">
        <x:v>12</x:v>
      </x:c>
      <x:c r="J984" t="n">
        <x:v>449100</x:v>
      </x:c>
      <x:c r="K984" t="str">
        <x:v>Bola de nieve</x:v>
      </x:c>
      <x:c r="L984" t="str">
        <x:v>Vigente</x:v>
      </x:c>
      <x:c r="M984" t="n">
        <x:v>1702786.71</x:v>
      </x:c>
      <x:c r="N984"/>
    </x:row>
    <x:row r="985">
      <x:c r="A985" t="str">
        <x:v>DEU-000984</x:v>
      </x:c>
      <x:c r="B985" t="str">
        <x:v>USR-00513</x:v>
      </x:c>
      <x:c r="C985" t="n">
        <x:v>46023</x:v>
      </x:c>
      <x:c r="D985" t="str">
        <x:v>Entidad financiera E</x:v>
      </x:c>
      <x:c r="E985" t="str">
        <x:v>Tarjeta de crédito</x:v>
      </x:c>
      <x:c r="F985" t="n">
        <x:v>4340000</x:v>
      </x:c>
      <x:c r="G985" s="40" t="n">
        <x:v>0.2915</x:v>
      </x:c>
      <x:c r="H985" s="40" t="n">
        <x:v>0.021546</x:v>
      </x:c>
      <x:c r="I985" t="n">
        <x:v>60</x:v>
      </x:c>
      <x:c r="J985" t="n">
        <x:v>129600</x:v>
      </x:c>
      <x:c r="K985" t="str">
        <x:v>Bola de nieve</x:v>
      </x:c>
      <x:c r="L985" t="str">
        <x:v>Vigente</x:v>
      </x:c>
      <x:c r="M985" t="n">
        <x:v>4351093.71</x:v>
      </x:c>
      <x:c r="N985"/>
    </x:row>
    <x:row r="986">
      <x:c r="A986" t="str">
        <x:v>DEU-000985</x:v>
      </x:c>
      <x:c r="B986" t="str">
        <x:v>USR-00514</x:v>
      </x:c>
      <x:c r="C986" t="n">
        <x:v>46023</x:v>
      </x:c>
      <x:c r="D986" t="str">
        <x:v>Entidad financiera A</x:v>
      </x:c>
      <x:c r="E986" t="str">
        <x:v>Crédito de vehículo</x:v>
      </x:c>
      <x:c r="F986" t="n">
        <x:v>35770000</x:v>
      </x:c>
      <x:c r="G986" s="40" t="n">
        <x:v>0.2407</x:v>
      </x:c>
      <x:c r="H986" s="40" t="n">
        <x:v>0.018135</x:v>
      </x:c>
      <x:c r="I986" t="n">
        <x:v>18</x:v>
      </x:c>
      <x:c r="J986" t="n">
        <x:v>2347000</x:v>
      </x:c>
      <x:c r="K986" t="str">
        <x:v>Avalancha</x:v>
      </x:c>
      <x:c r="L986" t="str">
        <x:v>Vigente</x:v>
      </x:c>
      <x:c r="M986" t="n">
        <x:v>16852928.52</x:v>
      </x:c>
      <x:c r="N986"/>
    </x:row>
    <x:row r="987">
      <x:c r="A987" t="str">
        <x:v>DEU-000986</x:v>
      </x:c>
      <x:c r="B987" t="str">
        <x:v>USR-00514</x:v>
      </x:c>
      <x:c r="C987" t="n">
        <x:v>46023</x:v>
      </x:c>
      <x:c r="D987" t="str">
        <x:v>Entidad financiera E</x:v>
      </x:c>
      <x:c r="E987" t="str">
        <x:v>Crédito educativo</x:v>
      </x:c>
      <x:c r="F987" t="n">
        <x:v>11980000</x:v>
      </x:c>
      <x:c r="G987" s="40" t="n">
        <x:v>0.2506</x:v>
      </x:c>
      <x:c r="H987" s="40" t="n">
        <x:v>0.01881</x:v>
      </x:c>
      <x:c r="I987" t="n">
        <x:v>18</x:v>
      </x:c>
      <x:c r="J987" t="n">
        <x:v>790800</x:v>
      </x:c>
      <x:c r="K987" t="str">
        <x:v>Avalancha</x:v>
      </x:c>
      <x:c r="L987" t="str">
        <x:v>Vigente</x:v>
      </x:c>
      <x:c r="M987" t="n">
        <x:v>9096575.99</x:v>
      </x:c>
      <x:c r="N987"/>
    </x:row>
    <x:row r="988">
      <x:c r="A988" t="str">
        <x:v>DEU-000987</x:v>
      </x:c>
      <x:c r="B988" t="str">
        <x:v>USR-00515</x:v>
      </x:c>
      <x:c r="C988" t="n">
        <x:v>46023</x:v>
      </x:c>
      <x:c r="D988" t="str">
        <x:v>Cooperativa C</x:v>
      </x:c>
      <x:c r="E988" t="str">
        <x:v>Crédito de consumo</x:v>
      </x:c>
      <x:c r="F988" t="n">
        <x:v>11110000</x:v>
      </x:c>
      <x:c r="G988" s="40" t="n">
        <x:v>0.115</x:v>
      </x:c>
      <x:c r="H988" s="40" t="n">
        <x:v>0.009112</x:v>
      </x:c>
      <x:c r="I988" t="n">
        <x:v>12</x:v>
      </x:c>
      <x:c r="J988" t="n">
        <x:v>981600</x:v>
      </x:c>
      <x:c r="K988" t="str">
        <x:v>Avalancha</x:v>
      </x:c>
      <x:c r="L988" t="str">
        <x:v>Vigente</x:v>
      </x:c>
      <x:c r="M988" t="n">
        <x:v>6153875.83</x:v>
      </x:c>
      <x:c r="N988"/>
    </x:row>
    <x:row r="989">
      <x:c r="A989" t="str">
        <x:v>DEU-000988</x:v>
      </x:c>
      <x:c r="B989" t="str">
        <x:v>USR-00515</x:v>
      </x:c>
      <x:c r="C989" t="n">
        <x:v>46023</x:v>
      </x:c>
      <x:c r="D989" t="str">
        <x:v>Entidad financiera E</x:v>
      </x:c>
      <x:c r="E989" t="str">
        <x:v>Tarjeta de crédito</x:v>
      </x:c>
      <x:c r="F989" t="n">
        <x:v>2240000</x:v>
      </x:c>
      <x:c r="G989" s="40" t="n">
        <x:v>0.3256</x:v>
      </x:c>
      <x:c r="H989" s="40" t="n">
        <x:v>0.023767</x:v>
      </x:c>
      <x:c r="I989" t="n">
        <x:v>30</x:v>
      </x:c>
      <x:c r="J989" t="n">
        <x:v>105300</x:v>
      </x:c>
      <x:c r="K989" t="str">
        <x:v>Bola de nieve</x:v>
      </x:c>
      <x:c r="L989" t="str">
        <x:v>Vigente</x:v>
      </x:c>
      <x:c r="M989" t="n">
        <x:v>2081906.68</x:v>
      </x:c>
      <x:c r="N989"/>
    </x:row>
    <x:row r="990">
      <x:c r="A990" t="str">
        <x:v>DEU-000989</x:v>
      </x:c>
      <x:c r="B990" t="str">
        <x:v>USR-00516</x:v>
      </x:c>
      <x:c r="C990" t="n">
        <x:v>46023</x:v>
      </x:c>
      <x:c r="D990" t="str">
        <x:v>Financiera D</x:v>
      </x:c>
      <x:c r="E990" t="str">
        <x:v>Tarjeta de crédito</x:v>
      </x:c>
      <x:c r="F990" t="n">
        <x:v>4830000</x:v>
      </x:c>
      <x:c r="G990" s="40" t="n">
        <x:v>0.3412</x:v>
      </x:c>
      <x:c r="H990" s="40" t="n">
        <x:v>0.024765</x:v>
      </x:c>
      <x:c r="I990" t="n">
        <x:v>18</x:v>
      </x:c>
      <x:c r="J990" t="n">
        <x:v>335800</x:v>
      </x:c>
      <x:c r="K990" t="str">
        <x:v>Bola de nieve</x:v>
      </x:c>
      <x:c r="L990" t="str">
        <x:v>Vigente</x:v>
      </x:c>
      <x:c r="M990" t="n">
        <x:v>4453846.66</x:v>
      </x:c>
      <x:c r="N990"/>
    </x:row>
    <x:row r="991">
      <x:c r="A991" t="str">
        <x:v>DEU-000990</x:v>
      </x:c>
      <x:c r="B991" t="str">
        <x:v>USR-00516</x:v>
      </x:c>
      <x:c r="C991" t="n">
        <x:v>46023</x:v>
      </x:c>
      <x:c r="D991" t="str">
        <x:v>Entidad financiera A</x:v>
      </x:c>
      <x:c r="E991" t="str">
        <x:v>Tarjeta de crédito</x:v>
      </x:c>
      <x:c r="F991" t="n">
        <x:v>5560000</x:v>
      </x:c>
      <x:c r="G991" s="40" t="n">
        <x:v>0.2216</x:v>
      </x:c>
      <x:c r="H991" s="40" t="n">
        <x:v>0.01682</x:v>
      </x:c>
      <x:c r="I991" t="n">
        <x:v>24</x:v>
      </x:c>
      <x:c r="J991" t="n">
        <x:v>283500</x:v>
      </x:c>
      <x:c r="K991" t="str">
        <x:v>Avalancha</x:v>
      </x:c>
      <x:c r="L991" t="str">
        <x:v>Vigente</x:v>
      </x:c>
      <x:c r="M991" t="n">
        <x:v>5366576.75</x:v>
      </x:c>
      <x:c r="N991"/>
    </x:row>
    <x:row r="992">
      <x:c r="A992" t="str">
        <x:v>DEU-000991</x:v>
      </x:c>
      <x:c r="B992" t="str">
        <x:v>USR-00517</x:v>
      </x:c>
      <x:c r="C992" t="n">
        <x:v>46023</x:v>
      </x:c>
      <x:c r="D992" t="str">
        <x:v>Cooperativa C</x:v>
      </x:c>
      <x:c r="E992" t="str">
        <x:v>Crédito de libre inversión</x:v>
      </x:c>
      <x:c r="F992" t="n">
        <x:v>17880000</x:v>
      </x:c>
      <x:c r="G992" s="40" t="n">
        <x:v>0.1764</x:v>
      </x:c>
      <x:c r="H992" s="40" t="n">
        <x:v>0.01363</x:v>
      </x:c>
      <x:c r="I992" t="n">
        <x:v>18</x:v>
      </x:c>
      <x:c r="J992" t="n">
        <x:v>1126900</x:v>
      </x:c>
      <x:c r="K992" t="str">
        <x:v>Avalancha</x:v>
      </x:c>
      <x:c r="L992" t="str">
        <x:v>Vigente</x:v>
      </x:c>
      <x:c r="M992" t="n">
        <x:v>10457716.95</x:v>
      </x:c>
      <x:c r="N992"/>
    </x:row>
    <x:row r="993">
      <x:c r="A993" t="str">
        <x:v>DEU-000992</x:v>
      </x:c>
      <x:c r="B993" t="str">
        <x:v>USR-00518</x:v>
      </x:c>
      <x:c r="C993" t="n">
        <x:v>46023</x:v>
      </x:c>
      <x:c r="D993" t="str">
        <x:v>Entidad financiera A</x:v>
      </x:c>
      <x:c r="E993" t="str">
        <x:v>Tarjeta de crédito</x:v>
      </x:c>
      <x:c r="F993" t="n">
        <x:v>7270000</x:v>
      </x:c>
      <x:c r="G993" s="40" t="n">
        <x:v>0.1812</x:v>
      </x:c>
      <x:c r="H993" s="40" t="n">
        <x:v>0.013974</x:v>
      </x:c>
      <x:c r="I993" t="n">
        <x:v>24</x:v>
      </x:c>
      <x:c r="J993" t="n">
        <x:v>358600</x:v>
      </x:c>
      <x:c r="K993" t="str">
        <x:v>Bola de nieve</x:v>
      </x:c>
      <x:c r="L993" t="str">
        <x:v>Vigente</x:v>
      </x:c>
      <x:c r="M993" t="n">
        <x:v>5724133.08</x:v>
      </x:c>
      <x:c r="N993"/>
    </x:row>
    <x:row r="994">
      <x:c r="A994" t="str">
        <x:v>DEU-000993</x:v>
      </x:c>
      <x:c r="B994" t="str">
        <x:v>USR-00518</x:v>
      </x:c>
      <x:c r="C994" t="n">
        <x:v>46023</x:v>
      </x:c>
      <x:c r="D994" t="str">
        <x:v>Entidad financiera E</x:v>
      </x:c>
      <x:c r="E994" t="str">
        <x:v>Crédito educativo</x:v>
      </x:c>
      <x:c r="F994" t="n">
        <x:v>8490000</x:v>
      </x:c>
      <x:c r="G994" s="40" t="n">
        <x:v>0.1344</x:v>
      </x:c>
      <x:c r="H994" s="40" t="n">
        <x:v>0.010564</x:v>
      </x:c>
      <x:c r="I994" t="n">
        <x:v>60</x:v>
      </x:c>
      <x:c r="J994" t="n">
        <x:v>191800</x:v>
      </x:c>
      <x:c r="K994" t="str">
        <x:v>Avalancha</x:v>
      </x:c>
      <x:c r="L994" t="str">
        <x:v>Vigente</x:v>
      </x:c>
      <x:c r="M994" t="n">
        <x:v>7788405.57</x:v>
      </x:c>
      <x:c r="N994"/>
    </x:row>
    <x:row r="995">
      <x:c r="A995" t="str">
        <x:v>DEU-000994</x:v>
      </x:c>
      <x:c r="B995" t="str">
        <x:v>USR-00518</x:v>
      </x:c>
      <x:c r="C995" t="n">
        <x:v>46023</x:v>
      </x:c>
      <x:c r="D995" t="str">
        <x:v>Cooperativa C</x:v>
      </x:c>
      <x:c r="E995" t="str">
        <x:v>Tarjeta de crédito</x:v>
      </x:c>
      <x:c r="F995" t="n">
        <x:v>6090000</x:v>
      </x:c>
      <x:c r="G995" s="40" t="n">
        <x:v>0.1486</x:v>
      </x:c>
      <x:c r="H995" s="40" t="n">
        <x:v>0.011612</x:v>
      </x:c>
      <x:c r="I995" t="n">
        <x:v>24</x:v>
      </x:c>
      <x:c r="J995" t="n">
        <x:v>292200</x:v>
      </x:c>
      <x:c r="K995" t="str">
        <x:v>Avalancha</x:v>
      </x:c>
      <x:c r="L995" t="str">
        <x:v>Vigente</x:v>
      </x:c>
      <x:c r="M995" t="n">
        <x:v>5203962.14</x:v>
      </x:c>
      <x:c r="N995"/>
    </x:row>
    <x:row r="996">
      <x:c r="A996" t="str">
        <x:v>DEU-000995</x:v>
      </x:c>
      <x:c r="B996" t="str">
        <x:v>USR-00518</x:v>
      </x:c>
      <x:c r="C996" t="n">
        <x:v>46023</x:v>
      </x:c>
      <x:c r="D996" t="str">
        <x:v>Entidad financiera B</x:v>
      </x:c>
      <x:c r="E996" t="str">
        <x:v>Crédito de consumo</x:v>
      </x:c>
      <x:c r="F996" t="n">
        <x:v>10980000</x:v>
      </x:c>
      <x:c r="G996" s="40" t="n">
        <x:v>0.2553</x:v>
      </x:c>
      <x:c r="H996" s="40" t="n">
        <x:v>0.019129</x:v>
      </x:c>
      <x:c r="I996" t="n">
        <x:v>60</x:v>
      </x:c>
      <x:c r="J996" t="n">
        <x:v>309200</x:v>
      </x:c>
      <x:c r="K996" t="str">
        <x:v>Avalancha</x:v>
      </x:c>
      <x:c r="L996" t="str">
        <x:v>Vigente</x:v>
      </x:c>
      <x:c r="M996" t="n">
        <x:v>10700274.79</x:v>
      </x:c>
      <x:c r="N996"/>
    </x:row>
    <x:row r="997">
      <x:c r="A997" t="str">
        <x:v>DEU-000996</x:v>
      </x:c>
      <x:c r="B997" t="str">
        <x:v>USR-00518</x:v>
      </x:c>
      <x:c r="C997" t="n">
        <x:v>46023</x:v>
      </x:c>
      <x:c r="D997" t="str">
        <x:v>Cooperativa C</x:v>
      </x:c>
      <x:c r="E997" t="str">
        <x:v>Tarjeta de crédito</x:v>
      </x:c>
      <x:c r="F997" t="n">
        <x:v>4070000</x:v>
      </x:c>
      <x:c r="G997" s="40" t="n">
        <x:v>0.1431</x:v>
      </x:c>
      <x:c r="H997" s="40" t="n">
        <x:v>0.011208</x:v>
      </x:c>
      <x:c r="I997" t="n">
        <x:v>12</x:v>
      </x:c>
      <x:c r="J997" t="n">
        <x:v>364400</x:v>
      </x:c>
      <x:c r="K997" t="str">
        <x:v>Bola de nieve</x:v>
      </x:c>
      <x:c r="L997" t="str">
        <x:v>Vigente</x:v>
      </x:c>
      <x:c r="M997" t="n">
        <x:v>1523750.65</x:v>
      </x:c>
      <x:c r="N997"/>
    </x:row>
    <x:row r="998">
      <x:c r="A998" t="str">
        <x:v>DEU-000997</x:v>
      </x:c>
      <x:c r="B998" t="str">
        <x:v>USR-00519</x:v>
      </x:c>
      <x:c r="C998" t="n">
        <x:v>46023</x:v>
      </x:c>
      <x:c r="D998" t="str">
        <x:v>Entidad financiera B</x:v>
      </x:c>
      <x:c r="E998" t="str">
        <x:v>Tarjeta de crédito</x:v>
      </x:c>
      <x:c r="F998" t="n">
        <x:v>5210000</x:v>
      </x:c>
      <x:c r="G998" s="40" t="n">
        <x:v>0.2779</x:v>
      </x:c>
      <x:c r="H998" s="40" t="n">
        <x:v>0.020645</x:v>
      </x:c>
      <x:c r="I998" t="n">
        <x:v>60</x:v>
      </x:c>
      <x:c r="J998" t="n">
        <x:v>152200</x:v>
      </x:c>
      <x:c r="K998" t="str">
        <x:v>Bola de nieve</x:v>
      </x:c>
      <x:c r="L998" t="str">
        <x:v>Vigente</x:v>
      </x:c>
      <x:c r="M998" t="n">
        <x:v>5074717.18</x:v>
      </x:c>
      <x:c r="N998"/>
    </x:row>
    <x:row r="999">
      <x:c r="A999" t="str">
        <x:v>DEU-000998</x:v>
      </x:c>
      <x:c r="B999" t="str">
        <x:v>USR-00519</x:v>
      </x:c>
      <x:c r="C999" t="n">
        <x:v>46023</x:v>
      </x:c>
      <x:c r="D999" t="str">
        <x:v>Cooperativa C</x:v>
      </x:c>
      <x:c r="E999" t="str">
        <x:v>Crédito de consumo</x:v>
      </x:c>
      <x:c r="F999" t="n">
        <x:v>14490000</x:v>
      </x:c>
      <x:c r="G999" s="40" t="n">
        <x:v>0.1981</x:v>
      </x:c>
      <x:c r="H999" s="40" t="n">
        <x:v>0.015175</x:v>
      </x:c>
      <x:c r="I999" t="n">
        <x:v>36</x:v>
      </x:c>
      <x:c r="J999" t="n">
        <x:v>525400</x:v>
      </x:c>
      <x:c r="K999" t="str">
        <x:v>Avalancha</x:v>
      </x:c>
      <x:c r="L999" t="str">
        <x:v>Vigente</x:v>
      </x:c>
      <x:c r="M999" t="n">
        <x:v>12410316.07</x:v>
      </x:c>
      <x:c r="N999"/>
    </x:row>
    <x:row r="1000">
      <x:c r="A1000" t="str">
        <x:v>DEU-000999</x:v>
      </x:c>
      <x:c r="B1000" t="str">
        <x:v>USR-00519</x:v>
      </x:c>
      <x:c r="C1000" t="n">
        <x:v>46023</x:v>
      </x:c>
      <x:c r="D1000" t="str">
        <x:v>Entidad financiera A</x:v>
      </x:c>
      <x:c r="E1000" t="str">
        <x:v>Tarjeta de crédito</x:v>
      </x:c>
      <x:c r="F1000" t="n">
        <x:v>880000</x:v>
      </x:c>
      <x:c r="G1000" s="40" t="n">
        <x:v>0.2022</x:v>
      </x:c>
      <x:c r="H1000" s="40" t="n">
        <x:v>0.015464</x:v>
      </x:c>
      <x:c r="I1000" t="n">
        <x:v>48</x:v>
      </x:c>
      <x:c r="J1000" t="n">
        <x:v>26100</x:v>
      </x:c>
      <x:c r="K1000" t="str">
        <x:v>Bola de nieve</x:v>
      </x:c>
      <x:c r="L1000" t="str">
        <x:v>Vigente</x:v>
      </x:c>
      <x:c r="M1000" t="n">
        <x:v>814772.63</x:v>
      </x:c>
      <x:c r="N1000"/>
    </x:row>
    <x:row r="1001">
      <x:c r="A1001" t="str">
        <x:v>DEU-001000</x:v>
      </x:c>
      <x:c r="B1001" t="str">
        <x:v>USR-00519</x:v>
      </x:c>
      <x:c r="C1001" t="n">
        <x:v>46023</x:v>
      </x:c>
      <x:c r="D1001" t="str">
        <x:v>Entidad financiera B</x:v>
      </x:c>
      <x:c r="E1001" t="str">
        <x:v>Crédito educativo</x:v>
      </x:c>
      <x:c r="F1001" t="n">
        <x:v>26470000</x:v>
      </x:c>
      <x:c r="G1001" s="40" t="n">
        <x:v>0.2798</x:v>
      </x:c>
      <x:c r="H1001" s="40" t="n">
        <x:v>0.020771</x:v>
      </x:c>
      <x:c r="I1001" t="n">
        <x:v>60</x:v>
      </x:c>
      <x:c r="J1001" t="n">
        <x:v>775800</x:v>
      </x:c>
      <x:c r="K1001" t="str">
        <x:v>Avalancha</x:v>
      </x:c>
      <x:c r="L1001" t="str">
        <x:v>Vigente</x:v>
      </x:c>
      <x:c r="M1001" t="n">
        <x:v>27564302.58</x:v>
      </x:c>
      <x:c r="N1001"/>
    </x:row>
    <x:row r="1002">
      <x:c r="A1002" t="str">
        <x:v>DEU-001001</x:v>
      </x:c>
      <x:c r="B1002" t="str">
        <x:v>USR-00520</x:v>
      </x:c>
      <x:c r="C1002" t="n">
        <x:v>46023</x:v>
      </x:c>
      <x:c r="D1002" t="str">
        <x:v>Entidad financiera E</x:v>
      </x:c>
      <x:c r="E1002" t="str">
        <x:v>Tarjeta de crédito</x:v>
      </x:c>
      <x:c r="F1002" t="n">
        <x:v>3230000</x:v>
      </x:c>
      <x:c r="G1002" s="40" t="n">
        <x:v>0.2974</x:v>
      </x:c>
      <x:c r="H1002" s="40" t="n">
        <x:v>0.021934</x:v>
      </x:c>
      <x:c r="I1002" t="n">
        <x:v>24</x:v>
      </x:c>
      <x:c r="J1002" t="n">
        <x:v>174500</x:v>
      </x:c>
      <x:c r="K1002" t="str">
        <x:v>Bola de nieve</x:v>
      </x:c>
      <x:c r="L1002" t="str">
        <x:v>Vigente</x:v>
      </x:c>
      <x:c r="M1002" t="n">
        <x:v>3327791.45</x:v>
      </x:c>
      <x:c r="N1002"/>
    </x:row>
    <x:row r="1003">
      <x:c r="A1003" t="str">
        <x:v>DEU-001002</x:v>
      </x:c>
      <x:c r="B1003" t="str">
        <x:v>USR-00521</x:v>
      </x:c>
      <x:c r="C1003" t="n">
        <x:v>46023</x:v>
      </x:c>
      <x:c r="D1003" t="str">
        <x:v>Entidad financiera A</x:v>
      </x:c>
      <x:c r="E1003" t="str">
        <x:v>Crédito de consumo</x:v>
      </x:c>
      <x:c r="F1003" t="n">
        <x:v>13400000</x:v>
      </x:c>
      <x:c r="G1003" s="40" t="n">
        <x:v>0.1174</x:v>
      </x:c>
      <x:c r="H1003" s="40" t="n">
        <x:v>0.009293</x:v>
      </x:c>
      <x:c r="I1003" t="n">
        <x:v>12</x:v>
      </x:c>
      <x:c r="J1003" t="n">
        <x:v>1185300</x:v>
      </x:c>
      <x:c r="K1003" t="str">
        <x:v>Bola de nieve</x:v>
      </x:c>
      <x:c r="L1003" t="str">
        <x:v>Vigente</x:v>
      </x:c>
      <x:c r="M1003" t="n">
        <x:v>6055903.09</x:v>
      </x:c>
      <x:c r="N1003"/>
    </x:row>
    <x:row r="1004">
      <x:c r="A1004" t="str">
        <x:v>DEU-001003</x:v>
      </x:c>
      <x:c r="B1004" t="str">
        <x:v>USR-00521</x:v>
      </x:c>
      <x:c r="C1004" t="n">
        <x:v>46023</x:v>
      </x:c>
      <x:c r="D1004" t="str">
        <x:v>Cooperativa C</x:v>
      </x:c>
      <x:c r="E1004" t="str">
        <x:v>Tarjeta de crédito</x:v>
      </x:c>
      <x:c r="F1004" t="n">
        <x:v>4480000</x:v>
      </x:c>
      <x:c r="G1004" s="40" t="n">
        <x:v>0.2103</x:v>
      </x:c>
      <x:c r="H1004" s="40" t="n">
        <x:v>0.016033</x:v>
      </x:c>
      <x:c r="I1004" t="n">
        <x:v>48</x:v>
      </x:c>
      <x:c r="J1004" t="n">
        <x:v>134500</x:v>
      </x:c>
      <x:c r="K1004" t="str">
        <x:v>Avalancha</x:v>
      </x:c>
      <x:c r="L1004" t="str">
        <x:v>Vigente</x:v>
      </x:c>
      <x:c r="M1004" t="n">
        <x:v>4444553.05</x:v>
      </x:c>
      <x:c r="N1004"/>
    </x:row>
    <x:row r="1005">
      <x:c r="A1005" t="str">
        <x:v>DEU-001004</x:v>
      </x:c>
      <x:c r="B1005" t="str">
        <x:v>USR-00522</x:v>
      </x:c>
      <x:c r="C1005" t="n">
        <x:v>46023</x:v>
      </x:c>
      <x:c r="D1005" t="str">
        <x:v>Entidad financiera B</x:v>
      </x:c>
      <x:c r="E1005" t="str">
        <x:v>Crédito de vehículo</x:v>
      </x:c>
      <x:c r="F1005" t="n">
        <x:v>23560000</x:v>
      </x:c>
      <x:c r="G1005" s="40" t="n">
        <x:v>0.1402</x:v>
      </x:c>
      <x:c r="H1005" s="40" t="n">
        <x:v>0.010994</x:v>
      </x:c>
      <x:c r="I1005" t="n">
        <x:v>36</x:v>
      </x:c>
      <x:c r="J1005" t="n">
        <x:v>796000</x:v>
      </x:c>
      <x:c r="K1005" t="str">
        <x:v>Bola de nieve</x:v>
      </x:c>
      <x:c r="L1005" t="str">
        <x:v>Vigente</x:v>
      </x:c>
      <x:c r="M1005" t="n">
        <x:v>19432081.59</x:v>
      </x:c>
      <x:c r="N1005"/>
    </x:row>
    <x:row r="1006">
      <x:c r="A1006" t="str">
        <x:v>DEU-001005</x:v>
      </x:c>
      <x:c r="B1006" t="str">
        <x:v>USR-00523</x:v>
      </x:c>
      <x:c r="C1006" t="n">
        <x:v>46023</x:v>
      </x:c>
      <x:c r="D1006" t="str">
        <x:v>Entidad financiera A</x:v>
      </x:c>
      <x:c r="E1006" t="str">
        <x:v>Tarjeta de crédito</x:v>
      </x:c>
      <x:c r="F1006" t="n">
        <x:v>4210000</x:v>
      </x:c>
      <x:c r="G1006" s="40" t="n">
        <x:v>0.1318</x:v>
      </x:c>
      <x:c r="H1006" s="40" t="n">
        <x:v>0.010371</x:v>
      </x:c>
      <x:c r="I1006" t="n">
        <x:v>18</x:v>
      </x:c>
      <x:c r="J1006" t="n">
        <x:v>257600</x:v>
      </x:c>
      <x:c r="K1006" t="str">
        <x:v>Bola de nieve</x:v>
      </x:c>
      <x:c r="L1006" t="str">
        <x:v>Vigente</x:v>
      </x:c>
      <x:c r="M1006" t="n">
        <x:v>2729378.66</x:v>
      </x:c>
      <x:c r="N1006"/>
    </x:row>
    <x:row r="1007">
      <x:c r="A1007" t="str">
        <x:v>DEU-001006</x:v>
      </x:c>
      <x:c r="B1007" t="str">
        <x:v>USR-00523</x:v>
      </x:c>
      <x:c r="C1007" t="n">
        <x:v>46023</x:v>
      </x:c>
      <x:c r="D1007" t="str">
        <x:v>Cooperativa C</x:v>
      </x:c>
      <x:c r="E1007" t="str">
        <x:v>Tarjeta de crédito</x:v>
      </x:c>
      <x:c r="F1007" t="n">
        <x:v>1900000</x:v>
      </x:c>
      <x:c r="G1007" s="40" t="n">
        <x:v>0.1231</x:v>
      </x:c>
      <x:c r="H1007" s="40" t="n">
        <x:v>0.009721</x:v>
      </x:c>
      <x:c r="I1007" t="n">
        <x:v>12</x:v>
      </x:c>
      <x:c r="J1007" t="n">
        <x:v>168500</x:v>
      </x:c>
      <x:c r="K1007" t="str">
        <x:v>Bola de nieve</x:v>
      </x:c>
      <x:c r="L1007" t="str">
        <x:v>Vigente</x:v>
      </x:c>
      <x:c r="M1007" t="n">
        <x:v>1056657.18</x:v>
      </x:c>
      <x:c r="N1007"/>
    </x:row>
    <x:row r="1008">
      <x:c r="A1008" t="str">
        <x:v>DEU-001007</x:v>
      </x:c>
      <x:c r="B1008" t="str">
        <x:v>USR-00524</x:v>
      </x:c>
      <x:c r="C1008" t="n">
        <x:v>46023</x:v>
      </x:c>
      <x:c r="D1008" t="str">
        <x:v>Entidad financiera E</x:v>
      </x:c>
      <x:c r="E1008" t="str">
        <x:v>Crédito de libre inversión</x:v>
      </x:c>
      <x:c r="F1008" t="n">
        <x:v>15030000</x:v>
      </x:c>
      <x:c r="G1008" s="40" t="n">
        <x:v>0.1778</x:v>
      </x:c>
      <x:c r="H1008" s="40" t="n">
        <x:v>0.013731</x:v>
      </x:c>
      <x:c r="I1008" t="n">
        <x:v>60</x:v>
      </x:c>
      <x:c r="J1008" t="n">
        <x:v>369300</x:v>
      </x:c>
      <x:c r="K1008" t="str">
        <x:v>Bola de nieve</x:v>
      </x:c>
      <x:c r="L1008" t="str">
        <x:v>Vigente</x:v>
      </x:c>
      <x:c r="M1008" t="n">
        <x:v>14411949.87</x:v>
      </x:c>
      <x:c r="N1008"/>
    </x:row>
    <x:row r="1009">
      <x:c r="A1009" t="str">
        <x:v>DEU-001008</x:v>
      </x:c>
      <x:c r="B1009" t="str">
        <x:v>USR-00525</x:v>
      </x:c>
      <x:c r="C1009" t="n">
        <x:v>46023</x:v>
      </x:c>
      <x:c r="D1009" t="str">
        <x:v>Cooperativa C</x:v>
      </x:c>
      <x:c r="E1009" t="str">
        <x:v>Tarjeta de crédito</x:v>
      </x:c>
      <x:c r="F1009" t="n">
        <x:v>7750000</x:v>
      </x:c>
      <x:c r="G1009" s="40" t="n">
        <x:v>0.1526</x:v>
      </x:c>
      <x:c r="H1009" s="40" t="n">
        <x:v>0.011905</x:v>
      </x:c>
      <x:c r="I1009" t="n">
        <x:v>18</x:v>
      </x:c>
      <x:c r="J1009" t="n">
        <x:v>480900</x:v>
      </x:c>
      <x:c r="K1009" t="str">
        <x:v>Avalancha</x:v>
      </x:c>
      <x:c r="L1009" t="str">
        <x:v>Vigente</x:v>
      </x:c>
      <x:c r="M1009" t="n">
        <x:v>4248190.69</x:v>
      </x:c>
      <x:c r="N1009"/>
    </x:row>
    <x:row r="1010">
      <x:c r="A1010" t="str">
        <x:v>DEU-001009</x:v>
      </x:c>
      <x:c r="B1010" t="str">
        <x:v>USR-00525</x:v>
      </x:c>
      <x:c r="C1010" t="n">
        <x:v>46023</x:v>
      </x:c>
      <x:c r="D1010" t="str">
        <x:v>Cooperativa C</x:v>
      </x:c>
      <x:c r="E1010" t="str">
        <x:v>Tarjeta de crédito</x:v>
      </x:c>
      <x:c r="F1010" t="n">
        <x:v>5210000</x:v>
      </x:c>
      <x:c r="G1010" s="40" t="n">
        <x:v>0.3238</x:v>
      </x:c>
      <x:c r="H1010" s="40" t="n">
        <x:v>0.023651</x:v>
      </x:c>
      <x:c r="I1010" t="n">
        <x:v>24</x:v>
      </x:c>
      <x:c r="J1010" t="n">
        <x:v>287000</x:v>
      </x:c>
      <x:c r="K1010" t="str">
        <x:v>Bola de nieve</x:v>
      </x:c>
      <x:c r="L1010" t="str">
        <x:v>Vigente</x:v>
      </x:c>
      <x:c r="M1010" t="n">
        <x:v>4548945.18</x:v>
      </x:c>
      <x:c r="N1010"/>
    </x:row>
    <x:row r="1011">
      <x:c r="A1011" t="str">
        <x:v>DEU-001010</x:v>
      </x:c>
      <x:c r="B1011" t="str">
        <x:v>USR-00526</x:v>
      </x:c>
      <x:c r="C1011" t="n">
        <x:v>46023</x:v>
      </x:c>
      <x:c r="D1011" t="str">
        <x:v>Entidad financiera B</x:v>
      </x:c>
      <x:c r="E1011" t="str">
        <x:v>Crédito de consumo</x:v>
      </x:c>
      <x:c r="F1011" t="n">
        <x:v>14830000</x:v>
      </x:c>
      <x:c r="G1011" s="40" t="n">
        <x:v>0.1488</x:v>
      </x:c>
      <x:c r="H1011" s="40" t="n">
        <x:v>0.011627</x:v>
      </x:c>
      <x:c r="I1011" t="n">
        <x:v>18</x:v>
      </x:c>
      <x:c r="J1011" t="n">
        <x:v>917900</x:v>
      </x:c>
      <x:c r="K1011" t="str">
        <x:v>Avalancha</x:v>
      </x:c>
      <x:c r="L1011" t="str">
        <x:v>Vigente</x:v>
      </x:c>
      <x:c r="M1011" t="n">
        <x:v>13638685.24</x:v>
      </x:c>
      <x:c r="N1011"/>
    </x:row>
    <x:row r="1012">
      <x:c r="A1012" t="str">
        <x:v>DEU-001011</x:v>
      </x:c>
      <x:c r="B1012" t="str">
        <x:v>USR-00526</x:v>
      </x:c>
      <x:c r="C1012" t="n">
        <x:v>46023</x:v>
      </x:c>
      <x:c r="D1012" t="str">
        <x:v>Financiera D</x:v>
      </x:c>
      <x:c r="E1012" t="str">
        <x:v>Crédito de libre inversión</x:v>
      </x:c>
      <x:c r="F1012" t="n">
        <x:v>17100000</x:v>
      </x:c>
      <x:c r="G1012" s="40" t="n">
        <x:v>0.1103</x:v>
      </x:c>
      <x:c r="H1012" s="40" t="n">
        <x:v>0.008757</x:v>
      </x:c>
      <x:c r="I1012" t="n">
        <x:v>18</x:v>
      </x:c>
      <x:c r="J1012" t="n">
        <x:v>1031000</x:v>
      </x:c>
      <x:c r="K1012" t="str">
        <x:v>Bola de nieve</x:v>
      </x:c>
      <x:c r="L1012" t="str">
        <x:v>Vigente</x:v>
      </x:c>
      <x:c r="M1012" t="n">
        <x:v>11798757.52</x:v>
      </x:c>
      <x:c r="N1012"/>
    </x:row>
    <x:row r="1013">
      <x:c r="A1013" t="str">
        <x:v>DEU-001012</x:v>
      </x:c>
      <x:c r="B1013" t="str">
        <x:v>USR-00527</x:v>
      </x:c>
      <x:c r="C1013" t="n">
        <x:v>46023</x:v>
      </x:c>
      <x:c r="D1013" t="str">
        <x:v>Entidad financiera A</x:v>
      </x:c>
      <x:c r="E1013" t="str">
        <x:v>Crédito de libre inversión</x:v>
      </x:c>
      <x:c r="F1013" t="n">
        <x:v>3310000</x:v>
      </x:c>
      <x:c r="G1013" s="40" t="n">
        <x:v>0.2563</x:v>
      </x:c>
      <x:c r="H1013" s="40" t="n">
        <x:v>0.019196</x:v>
      </x:c>
      <x:c r="I1013" t="n">
        <x:v>30</x:v>
      </x:c>
      <x:c r="J1013" t="n">
        <x:v>146200</x:v>
      </x:c>
      <x:c r="K1013" t="str">
        <x:v>Bola de nieve</x:v>
      </x:c>
      <x:c r="L1013" t="str">
        <x:v>Vigente</x:v>
      </x:c>
      <x:c r="M1013" t="n">
        <x:v>2940606.46</x:v>
      </x:c>
      <x:c r="N1013"/>
    </x:row>
    <x:row r="1014">
      <x:c r="A1014" t="str">
        <x:v>DEU-001013</x:v>
      </x:c>
      <x:c r="B1014" t="str">
        <x:v>USR-00527</x:v>
      </x:c>
      <x:c r="C1014" t="n">
        <x:v>46023</x:v>
      </x:c>
      <x:c r="D1014" t="str">
        <x:v>Financiera D</x:v>
      </x:c>
      <x:c r="E1014" t="str">
        <x:v>Tarjeta de crédito</x:v>
      </x:c>
      <x:c r="F1014" t="n">
        <x:v>3440000</x:v>
      </x:c>
      <x:c r="G1014" s="40" t="n">
        <x:v>0.2516</x:v>
      </x:c>
      <x:c r="H1014" s="40" t="n">
        <x:v>0.018878</x:v>
      </x:c>
      <x:c r="I1014" t="n">
        <x:v>36</x:v>
      </x:c>
      <x:c r="J1014" t="n">
        <x:v>132500</x:v>
      </x:c>
      <x:c r="K1014" t="str">
        <x:v>Avalancha</x:v>
      </x:c>
      <x:c r="L1014" t="str">
        <x:v>Vigente</x:v>
      </x:c>
      <x:c r="M1014" t="n">
        <x:v>3007607.41</x:v>
      </x:c>
      <x:c r="N1014"/>
    </x:row>
    <x:row r="1015">
      <x:c r="A1015" t="str">
        <x:v>DEU-001014</x:v>
      </x:c>
      <x:c r="B1015" t="str">
        <x:v>USR-00528</x:v>
      </x:c>
      <x:c r="C1015" t="n">
        <x:v>46023</x:v>
      </x:c>
      <x:c r="D1015" t="str">
        <x:v>Entidad financiera A</x:v>
      </x:c>
      <x:c r="E1015" t="str">
        <x:v>Crédito de consumo</x:v>
      </x:c>
      <x:c r="F1015" t="n">
        <x:v>3900000</x:v>
      </x:c>
      <x:c r="G1015" s="40" t="n">
        <x:v>0.3298</x:v>
      </x:c>
      <x:c r="H1015" s="40" t="n">
        <x:v>0.024037</x:v>
      </x:c>
      <x:c r="I1015" t="n">
        <x:v>60</x:v>
      </x:c>
      <x:c r="J1015" t="n">
        <x:v>123400</x:v>
      </x:c>
      <x:c r="K1015" t="str">
        <x:v>Avalancha</x:v>
      </x:c>
      <x:c r="L1015" t="str">
        <x:v>Vigente</x:v>
      </x:c>
      <x:c r="M1015" t="n">
        <x:v>3713342.34</x:v>
      </x:c>
      <x:c r="N1015"/>
    </x:row>
    <x:row r="1016">
      <x:c r="A1016" t="str">
        <x:v>DEU-001015</x:v>
      </x:c>
      <x:c r="B1016" t="str">
        <x:v>USR-00529</x:v>
      </x:c>
      <x:c r="C1016" t="n">
        <x:v>46023</x:v>
      </x:c>
      <x:c r="D1016" t="str">
        <x:v>Financiera D</x:v>
      </x:c>
      <x:c r="E1016" t="str">
        <x:v>Crédito de consumo</x:v>
      </x:c>
      <x:c r="F1016" t="n">
        <x:v>14450000</x:v>
      </x:c>
      <x:c r="G1016" s="40" t="n">
        <x:v>0.1372</x:v>
      </x:c>
      <x:c r="H1016" s="40" t="n">
        <x:v>0.010772</x:v>
      </x:c>
      <x:c r="I1016" t="n">
        <x:v>18</x:v>
      </x:c>
      <x:c r="J1016" t="n">
        <x:v>887400</x:v>
      </x:c>
      <x:c r="K1016" t="str">
        <x:v>Avalancha</x:v>
      </x:c>
      <x:c r="L1016" t="str">
        <x:v>Vigente</x:v>
      </x:c>
      <x:c r="M1016" t="n">
        <x:v>10900577.94</x:v>
      </x:c>
      <x:c r="N1016"/>
    </x:row>
    <x:row r="1017">
      <x:c r="A1017" t="str">
        <x:v>DEU-001016</x:v>
      </x:c>
      <x:c r="B1017" t="str">
        <x:v>USR-00530</x:v>
      </x:c>
      <x:c r="C1017" t="n">
        <x:v>46023</x:v>
      </x:c>
      <x:c r="D1017" t="str">
        <x:v>Cooperativa C</x:v>
      </x:c>
      <x:c r="E1017" t="str">
        <x:v>Crédito de vehículo</x:v>
      </x:c>
      <x:c r="F1017" t="n">
        <x:v>44880000</x:v>
      </x:c>
      <x:c r="G1017" s="40" t="n">
        <x:v>0.2454</x:v>
      </x:c>
      <x:c r="H1017" s="40" t="n">
        <x:v>0.018456</x:v>
      </x:c>
      <x:c r="I1017" t="n">
        <x:v>12</x:v>
      </x:c>
      <x:c r="J1017" t="n">
        <x:v>4203700</x:v>
      </x:c>
      <x:c r="K1017" t="str">
        <x:v>Avalancha</x:v>
      </x:c>
      <x:c r="L1017" t="str">
        <x:v>Vigente</x:v>
      </x:c>
      <x:c r="M1017" t="n">
        <x:v>18688163.82</x:v>
      </x:c>
      <x:c r="N1017"/>
    </x:row>
    <x:row r="1018">
      <x:c r="A1018" t="str">
        <x:v>DEU-001017</x:v>
      </x:c>
      <x:c r="B1018" t="str">
        <x:v>USR-00531</x:v>
      </x:c>
      <x:c r="C1018" t="n">
        <x:v>46023</x:v>
      </x:c>
      <x:c r="D1018" t="str">
        <x:v>Entidad financiera E</x:v>
      </x:c>
      <x:c r="E1018" t="str">
        <x:v>Crédito de consumo</x:v>
      </x:c>
      <x:c r="F1018" t="n">
        <x:v>8140000</x:v>
      </x:c>
      <x:c r="G1018" s="40" t="n">
        <x:v>0.3127</x:v>
      </x:c>
      <x:c r="H1018" s="40" t="n">
        <x:v>0.022933</x:v>
      </x:c>
      <x:c r="I1018" t="n">
        <x:v>36</x:v>
      </x:c>
      <x:c r="J1018" t="n">
        <x:v>334600</x:v>
      </x:c>
      <x:c r="K1018" t="str">
        <x:v>Bola de nieve</x:v>
      </x:c>
      <x:c r="L1018" t="str">
        <x:v>Vigente</x:v>
      </x:c>
      <x:c r="M1018" t="n">
        <x:v>7144508.21</x:v>
      </x:c>
      <x:c r="N1018"/>
    </x:row>
    <x:row r="1019">
      <x:c r="A1019" t="str">
        <x:v>DEU-001018</x:v>
      </x:c>
      <x:c r="B1019" t="str">
        <x:v>USR-00531</x:v>
      </x:c>
      <x:c r="C1019" t="n">
        <x:v>46023</x:v>
      </x:c>
      <x:c r="D1019" t="str">
        <x:v>Cooperativa C</x:v>
      </x:c>
      <x:c r="E1019" t="str">
        <x:v>Crédito de vehículo</x:v>
      </x:c>
      <x:c r="F1019" t="n">
        <x:v>29420000</x:v>
      </x:c>
      <x:c r="G1019" s="40" t="n">
        <x:v>0.113</x:v>
      </x:c>
      <x:c r="H1019" s="40" t="n">
        <x:v>0.008962</x:v>
      </x:c>
      <x:c r="I1019" t="n">
        <x:v>24</x:v>
      </x:c>
      <x:c r="J1019" t="n">
        <x:v>1367800</x:v>
      </x:c>
      <x:c r="K1019" t="str">
        <x:v>Bola de nieve</x:v>
      </x:c>
      <x:c r="L1019" t="str">
        <x:v>Vigente</x:v>
      </x:c>
      <x:c r="M1019" t="n">
        <x:v>25196744.58</x:v>
      </x:c>
      <x:c r="N1019"/>
    </x:row>
    <x:row r="1020">
      <x:c r="A1020" t="str">
        <x:v>DEU-001019</x:v>
      </x:c>
      <x:c r="B1020" t="str">
        <x:v>USR-00532</x:v>
      </x:c>
      <x:c r="C1020" t="n">
        <x:v>46023</x:v>
      </x:c>
      <x:c r="D1020" t="str">
        <x:v>Entidad financiera A</x:v>
      </x:c>
      <x:c r="E1020" t="str">
        <x:v>Crédito educativo</x:v>
      </x:c>
      <x:c r="F1020" t="n">
        <x:v>12350000</x:v>
      </x:c>
      <x:c r="G1020" s="40" t="n">
        <x:v>0.1312</x:v>
      </x:c>
      <x:c r="H1020" s="40" t="n">
        <x:v>0.010326</x:v>
      </x:c>
      <x:c r="I1020" t="n">
        <x:v>60</x:v>
      </x:c>
      <x:c r="J1020" t="n">
        <x:v>277200</x:v>
      </x:c>
      <x:c r="K1020" t="str">
        <x:v>Avalancha</x:v>
      </x:c>
      <x:c r="L1020" t="str">
        <x:v>Vigente</x:v>
      </x:c>
      <x:c r="M1020" t="n">
        <x:v>11562272.5</x:v>
      </x:c>
      <x:c r="N1020"/>
    </x:row>
    <x:row r="1021">
      <x:c r="A1021" t="str">
        <x:v>DEU-001020</x:v>
      </x:c>
      <x:c r="B1021" t="str">
        <x:v>USR-00533</x:v>
      </x:c>
      <x:c r="C1021" t="n">
        <x:v>46023</x:v>
      </x:c>
      <x:c r="D1021" t="str">
        <x:v>Entidad financiera A</x:v>
      </x:c>
      <x:c r="E1021" t="str">
        <x:v>Crédito de libre inversión</x:v>
      </x:c>
      <x:c r="F1021" t="n">
        <x:v>17260000</x:v>
      </x:c>
      <x:c r="G1021" s="40" t="n">
        <x:v>0.323</x:v>
      </x:c>
      <x:c r="H1021" s="40" t="n">
        <x:v>0.023599</x:v>
      </x:c>
      <x:c r="I1021" t="n">
        <x:v>60</x:v>
      </x:c>
      <x:c r="J1021" t="n">
        <x:v>540700</x:v>
      </x:c>
      <x:c r="K1021" t="str">
        <x:v>Avalancha</x:v>
      </x:c>
      <x:c r="L1021" t="str">
        <x:v>Vigente</x:v>
      </x:c>
      <x:c r="M1021" t="n">
        <x:v>18678632.05</x:v>
      </x:c>
      <x:c r="N1021"/>
    </x:row>
    <x:row r="1022">
      <x:c r="A1022" t="str">
        <x:v>DEU-001021</x:v>
      </x:c>
      <x:c r="B1022" t="str">
        <x:v>USR-00534</x:v>
      </x:c>
      <x:c r="C1022" t="n">
        <x:v>46023</x:v>
      </x:c>
      <x:c r="D1022" t="str">
        <x:v>Entidad financiera B</x:v>
      </x:c>
      <x:c r="E1022" t="str">
        <x:v>Crédito de libre inversión</x:v>
      </x:c>
      <x:c r="F1022" t="n">
        <x:v>7350000</x:v>
      </x:c>
      <x:c r="G1022" s="40" t="n">
        <x:v>0.2105</x:v>
      </x:c>
      <x:c r="H1022" s="40" t="n">
        <x:v>0.016047</x:v>
      </x:c>
      <x:c r="I1022" t="n">
        <x:v>48</x:v>
      </x:c>
      <x:c r="J1022" t="n">
        <x:v>220800</x:v>
      </x:c>
      <x:c r="K1022" t="str">
        <x:v>Avalancha</x:v>
      </x:c>
      <x:c r="L1022" t="str">
        <x:v>Vigente</x:v>
      </x:c>
      <x:c r="M1022" t="n">
        <x:v>6407449.72</x:v>
      </x:c>
      <x:c r="N1022"/>
    </x:row>
    <x:row r="1023">
      <x:c r="A1023" t="str">
        <x:v>DEU-001022</x:v>
      </x:c>
      <x:c r="B1023" t="str">
        <x:v>USR-00534</x:v>
      </x:c>
      <x:c r="C1023" t="n">
        <x:v>46023</x:v>
      </x:c>
      <x:c r="D1023" t="str">
        <x:v>Entidad financiera B</x:v>
      </x:c>
      <x:c r="E1023" t="str">
        <x:v>Tarjeta de crédito</x:v>
      </x:c>
      <x:c r="F1023" t="n">
        <x:v>1610000</x:v>
      </x:c>
      <x:c r="G1023" s="40" t="n">
        <x:v>0.1688</x:v>
      </x:c>
      <x:c r="H1023" s="40" t="n">
        <x:v>0.013083</x:v>
      </x:c>
      <x:c r="I1023" t="n">
        <x:v>36</x:v>
      </x:c>
      <x:c r="J1023" t="n">
        <x:v>56400</x:v>
      </x:c>
      <x:c r="K1023" t="str">
        <x:v>Bola de nieve</x:v>
      </x:c>
      <x:c r="L1023" t="str">
        <x:v>Vigente</x:v>
      </x:c>
      <x:c r="M1023" t="n">
        <x:v>1507807.77</x:v>
      </x:c>
      <x:c r="N1023"/>
    </x:row>
    <x:row r="1024">
      <x:c r="A1024" t="str">
        <x:v>DEU-001023</x:v>
      </x:c>
      <x:c r="B1024" t="str">
        <x:v>USR-00535</x:v>
      </x:c>
      <x:c r="C1024" t="n">
        <x:v>46023</x:v>
      </x:c>
      <x:c r="D1024" t="str">
        <x:v>Cooperativa C</x:v>
      </x:c>
      <x:c r="E1024" t="str">
        <x:v>Tarjeta de crédito</x:v>
      </x:c>
      <x:c r="F1024" t="n">
        <x:v>6240000</x:v>
      </x:c>
      <x:c r="G1024" s="40" t="n">
        <x:v>0.3032</x:v>
      </x:c>
      <x:c r="H1024" s="40" t="n">
        <x:v>0.022314</x:v>
      </x:c>
      <x:c r="I1024" t="n">
        <x:v>30</x:v>
      </x:c>
      <x:c r="J1024" t="n">
        <x:v>287600</x:v>
      </x:c>
      <x:c r="K1024" t="str">
        <x:v>Bola de nieve</x:v>
      </x:c>
      <x:c r="L1024" t="str">
        <x:v>Vigente</x:v>
      </x:c>
      <x:c r="M1024" t="n">
        <x:v>4983012.96</x:v>
      </x:c>
      <x:c r="N1024"/>
    </x:row>
    <x:row r="1025">
      <x:c r="A1025" t="str">
        <x:v>DEU-001024</x:v>
      </x:c>
      <x:c r="B1025" t="str">
        <x:v>USR-00535</x:v>
      </x:c>
      <x:c r="C1025" t="n">
        <x:v>46023</x:v>
      </x:c>
      <x:c r="D1025" t="str">
        <x:v>Financiera D</x:v>
      </x:c>
      <x:c r="E1025" t="str">
        <x:v>Crédito de consumo</x:v>
      </x:c>
      <x:c r="F1025" t="n">
        <x:v>4340000</x:v>
      </x:c>
      <x:c r="G1025" s="40" t="n">
        <x:v>0.1439</x:v>
      </x:c>
      <x:c r="H1025" s="40" t="n">
        <x:v>0.011267</x:v>
      </x:c>
      <x:c r="I1025" t="n">
        <x:v>24</x:v>
      </x:c>
      <x:c r="J1025" t="n">
        <x:v>207400</x:v>
      </x:c>
      <x:c r="K1025" t="str">
        <x:v>Bola de nieve</x:v>
      </x:c>
      <x:c r="L1025" t="str">
        <x:v>Vigente</x:v>
      </x:c>
      <x:c r="M1025" t="n">
        <x:v>2942980.62</x:v>
      </x:c>
      <x:c r="N1025"/>
    </x:row>
    <x:row r="1026">
      <x:c r="A1026" t="str">
        <x:v>DEU-001025</x:v>
      </x:c>
      <x:c r="B1026" t="str">
        <x:v>USR-00535</x:v>
      </x:c>
      <x:c r="C1026" t="n">
        <x:v>46023</x:v>
      </x:c>
      <x:c r="D1026" t="str">
        <x:v>Financiera D</x:v>
      </x:c>
      <x:c r="E1026" t="str">
        <x:v>Crédito educativo</x:v>
      </x:c>
      <x:c r="F1026" t="n">
        <x:v>11070000</x:v>
      </x:c>
      <x:c r="G1026" s="40" t="n">
        <x:v>0.1845</x:v>
      </x:c>
      <x:c r="H1026" s="40" t="n">
        <x:v>0.01421</x:v>
      </x:c>
      <x:c r="I1026" t="n">
        <x:v>30</x:v>
      </x:c>
      <x:c r="J1026" t="n">
        <x:v>455800</x:v>
      </x:c>
      <x:c r="K1026" t="str">
        <x:v>Bola de nieve</x:v>
      </x:c>
      <x:c r="L1026" t="str">
        <x:v>Vigente</x:v>
      </x:c>
      <x:c r="M1026" t="n">
        <x:v>9913840.1</x:v>
      </x:c>
      <x:c r="N1026"/>
    </x:row>
    <x:row r="1027">
      <x:c r="A1027" t="str">
        <x:v>DEU-001026</x:v>
      </x:c>
      <x:c r="B1027" t="str">
        <x:v>USR-00535</x:v>
      </x:c>
      <x:c r="C1027" t="n">
        <x:v>46023</x:v>
      </x:c>
      <x:c r="D1027" t="str">
        <x:v>Cooperativa C</x:v>
      </x:c>
      <x:c r="E1027" t="str">
        <x:v>Crédito de libre inversión</x:v>
      </x:c>
      <x:c r="F1027" t="n">
        <x:v>3220000</x:v>
      </x:c>
      <x:c r="G1027" s="40" t="n">
        <x:v>0.2849</x:v>
      </x:c>
      <x:c r="H1027" s="40" t="n">
        <x:v>0.02111</x:v>
      </x:c>
      <x:c r="I1027" t="n">
        <x:v>48</x:v>
      </x:c>
      <x:c r="J1027" t="n">
        <x:v>107400</x:v>
      </x:c>
      <x:c r="K1027" t="str">
        <x:v>Bola de nieve</x:v>
      </x:c>
      <x:c r="L1027" t="str">
        <x:v>Vigente</x:v>
      </x:c>
      <x:c r="M1027" t="n">
        <x:v>2868541.94</x:v>
      </x:c>
      <x:c r="N1027"/>
    </x:row>
    <x:row r="1028">
      <x:c r="A1028" t="str">
        <x:v>DEU-001027</x:v>
      </x:c>
      <x:c r="B1028" t="str">
        <x:v>USR-00535</x:v>
      </x:c>
      <x:c r="C1028" t="n">
        <x:v>46023</x:v>
      </x:c>
      <x:c r="D1028" t="str">
        <x:v>Entidad financiera A</x:v>
      </x:c>
      <x:c r="E1028" t="str">
        <x:v>Crédito de vehículo</x:v>
      </x:c>
      <x:c r="F1028" t="n">
        <x:v>47640000</x:v>
      </x:c>
      <x:c r="G1028" s="40" t="n">
        <x:v>0.2041</x:v>
      </x:c>
      <x:c r="H1028" s="40" t="n">
        <x:v>0.015598</x:v>
      </x:c>
      <x:c r="I1028" t="n">
        <x:v>18</x:v>
      </x:c>
      <x:c r="J1028" t="n">
        <x:v>3056000</x:v>
      </x:c>
      <x:c r="K1028" t="str">
        <x:v>Avalancha</x:v>
      </x:c>
      <x:c r="L1028" t="str">
        <x:v>Vigente</x:v>
      </x:c>
      <x:c r="M1028" t="n">
        <x:v>23524303.09</x:v>
      </x:c>
      <x:c r="N1028"/>
    </x:row>
    <x:row r="1029">
      <x:c r="A1029" t="str">
        <x:v>DEU-001028</x:v>
      </x:c>
      <x:c r="B1029" t="str">
        <x:v>USR-00536</x:v>
      </x:c>
      <x:c r="C1029" t="n">
        <x:v>46023</x:v>
      </x:c>
      <x:c r="D1029" t="str">
        <x:v>Entidad financiera A</x:v>
      </x:c>
      <x:c r="E1029" t="str">
        <x:v>Tarjeta de crédito</x:v>
      </x:c>
      <x:c r="F1029" t="n">
        <x:v>5490000</x:v>
      </x:c>
      <x:c r="G1029" s="40" t="n">
        <x:v>0.2108</x:v>
      </x:c>
      <x:c r="H1029" s="40" t="n">
        <x:v>0.016068</x:v>
      </x:c>
      <x:c r="I1029" t="n">
        <x:v>30</x:v>
      </x:c>
      <x:c r="J1029" t="n">
        <x:v>232100</x:v>
      </x:c>
      <x:c r="K1029" t="str">
        <x:v>Bola de nieve</x:v>
      </x:c>
      <x:c r="L1029" t="str">
        <x:v>Vigente</x:v>
      </x:c>
      <x:c r="M1029" t="n">
        <x:v>5167977.38</x:v>
      </x:c>
      <x:c r="N1029"/>
    </x:row>
    <x:row r="1030">
      <x:c r="A1030" t="str">
        <x:v>DEU-001029</x:v>
      </x:c>
      <x:c r="B1030" t="str">
        <x:v>USR-00537</x:v>
      </x:c>
      <x:c r="C1030" t="n">
        <x:v>46023</x:v>
      </x:c>
      <x:c r="D1030" t="str">
        <x:v>Financiera D</x:v>
      </x:c>
      <x:c r="E1030" t="str">
        <x:v>Crédito de vehículo</x:v>
      </x:c>
      <x:c r="F1030" t="n">
        <x:v>27560000</x:v>
      </x:c>
      <x:c r="G1030" s="40" t="n">
        <x:v>0.2812</x:v>
      </x:c>
      <x:c r="H1030" s="40" t="n">
        <x:v>0.020864</x:v>
      </x:c>
      <x:c r="I1030" t="n">
        <x:v>18</x:v>
      </x:c>
      <x:c r="J1030" t="n">
        <x:v>1852300</x:v>
      </x:c>
      <x:c r="K1030" t="str">
        <x:v>Bola de nieve</x:v>
      </x:c>
      <x:c r="L1030" t="str">
        <x:v>Vigente</x:v>
      </x:c>
      <x:c r="M1030" t="n">
        <x:v>19586953.52</x:v>
      </x:c>
      <x:c r="N1030"/>
    </x:row>
    <x:row r="1031">
      <x:c r="A1031" t="str">
        <x:v>DEU-001030</x:v>
      </x:c>
      <x:c r="B1031" t="str">
        <x:v>USR-00538</x:v>
      </x:c>
      <x:c r="C1031" t="n">
        <x:v>46023</x:v>
      </x:c>
      <x:c r="D1031" t="str">
        <x:v>Entidad financiera B</x:v>
      </x:c>
      <x:c r="E1031" t="str">
        <x:v>Crédito educativo</x:v>
      </x:c>
      <x:c r="F1031" t="n">
        <x:v>6330000</x:v>
      </x:c>
      <x:c r="G1031" s="40" t="n">
        <x:v>0.3345</x:v>
      </x:c>
      <x:c r="H1031" s="40" t="n">
        <x:v>0.024338</x:v>
      </x:c>
      <x:c r="I1031" t="n">
        <x:v>48</x:v>
      </x:c>
      <x:c r="J1031" t="n">
        <x:v>225000</x:v>
      </x:c>
      <x:c r="K1031" t="str">
        <x:v>Avalancha</x:v>
      </x:c>
      <x:c r="L1031" t="str">
        <x:v>Vigente</x:v>
      </x:c>
      <x:c r="M1031" t="n">
        <x:v>5561536.81</x:v>
      </x:c>
      <x:c r="N1031"/>
    </x:row>
    <x:row r="1032">
      <x:c r="A1032" t="str">
        <x:v>DEU-001031</x:v>
      </x:c>
      <x:c r="B1032" t="str">
        <x:v>USR-00538</x:v>
      </x:c>
      <x:c r="C1032" t="n">
        <x:v>46023</x:v>
      </x:c>
      <x:c r="D1032" t="str">
        <x:v>Cooperativa C</x:v>
      </x:c>
      <x:c r="E1032" t="str">
        <x:v>Tarjeta de crédito</x:v>
      </x:c>
      <x:c r="F1032" t="n">
        <x:v>8180000</x:v>
      </x:c>
      <x:c r="G1032" s="40" t="n">
        <x:v>0.1939</x:v>
      </x:c>
      <x:c r="H1032" s="40" t="n">
        <x:v>0.014878</x:v>
      </x:c>
      <x:c r="I1032" t="n">
        <x:v>36</x:v>
      </x:c>
      <x:c r="J1032" t="n">
        <x:v>295100</x:v>
      </x:c>
      <x:c r="K1032" t="str">
        <x:v>Avalancha</x:v>
      </x:c>
      <x:c r="L1032" t="str">
        <x:v>Vigente</x:v>
      </x:c>
      <x:c r="M1032" t="n">
        <x:v>6768702.39</x:v>
      </x:c>
      <x:c r="N1032"/>
    </x:row>
    <x:row r="1033">
      <x:c r="A1033" t="str">
        <x:v>DEU-001032</x:v>
      </x:c>
      <x:c r="B1033" t="str">
        <x:v>USR-00539</x:v>
      </x:c>
      <x:c r="C1033" t="n">
        <x:v>46023</x:v>
      </x:c>
      <x:c r="D1033" t="str">
        <x:v>Entidad financiera A</x:v>
      </x:c>
      <x:c r="E1033" t="str">
        <x:v>Crédito de consumo</x:v>
      </x:c>
      <x:c r="F1033" t="n">
        <x:v>18930000</x:v>
      </x:c>
      <x:c r="G1033" s="40" t="n">
        <x:v>0.1374</x:v>
      </x:c>
      <x:c r="H1033" s="40" t="n">
        <x:v>0.010787</x:v>
      </x:c>
      <x:c r="I1033" t="n">
        <x:v>36</x:v>
      </x:c>
      <x:c r="J1033" t="n">
        <x:v>637300</x:v>
      </x:c>
      <x:c r="K1033" t="str">
        <x:v>Avalancha</x:v>
      </x:c>
      <x:c r="L1033" t="str">
        <x:v>Vigente</x:v>
      </x:c>
      <x:c r="M1033" t="n">
        <x:v>18883446.43</x:v>
      </x:c>
      <x:c r="N1033"/>
    </x:row>
    <x:row r="1034">
      <x:c r="A1034" t="str">
        <x:v>DEU-001033</x:v>
      </x:c>
      <x:c r="B1034" t="str">
        <x:v>USR-00539</x:v>
      </x:c>
      <x:c r="C1034" t="n">
        <x:v>46023</x:v>
      </x:c>
      <x:c r="D1034" t="str">
        <x:v>Entidad financiera A</x:v>
      </x:c>
      <x:c r="E1034" t="str">
        <x:v>Crédito educativo</x:v>
      </x:c>
      <x:c r="F1034" t="n">
        <x:v>16110000</x:v>
      </x:c>
      <x:c r="G1034" s="40" t="n">
        <x:v>0.1082</x:v>
      </x:c>
      <x:c r="H1034" s="40" t="n">
        <x:v>0.008598</x:v>
      </x:c>
      <x:c r="I1034" t="n">
        <x:v>18</x:v>
      </x:c>
      <x:c r="J1034" t="n">
        <x:v>969900</x:v>
      </x:c>
      <x:c r="K1034" t="str">
        <x:v>Bola de nieve</x:v>
      </x:c>
      <x:c r="L1034" t="str">
        <x:v>Vigente</x:v>
      </x:c>
      <x:c r="M1034" t="n">
        <x:v>6896878.62</x:v>
      </x:c>
      <x:c r="N1034"/>
    </x:row>
    <x:row r="1035">
      <x:c r="A1035" t="str">
        <x:v>DEU-001034</x:v>
      </x:c>
      <x:c r="B1035" t="str">
        <x:v>USR-00540</x:v>
      </x:c>
      <x:c r="C1035" t="n">
        <x:v>46023</x:v>
      </x:c>
      <x:c r="D1035" t="str">
        <x:v>Entidad financiera E</x:v>
      </x:c>
      <x:c r="E1035" t="str">
        <x:v>Crédito de consumo</x:v>
      </x:c>
      <x:c r="F1035" t="n">
        <x:v>11940000</x:v>
      </x:c>
      <x:c r="G1035" s="40" t="n">
        <x:v>0.343</x:v>
      </x:c>
      <x:c r="H1035" s="40" t="n">
        <x:v>0.02488</x:v>
      </x:c>
      <x:c r="I1035" t="n">
        <x:v>48</x:v>
      </x:c>
      <x:c r="J1035" t="n">
        <x:v>428900</x:v>
      </x:c>
      <x:c r="K1035" t="str">
        <x:v>Avalancha</x:v>
      </x:c>
      <x:c r="L1035" t="str">
        <x:v>Vigente</x:v>
      </x:c>
      <x:c r="M1035" t="n">
        <x:v>11986346.75</x:v>
      </x:c>
      <x:c r="N1035"/>
    </x:row>
    <x:row r="1036">
      <x:c r="A1036" t="str">
        <x:v>DEU-001035</x:v>
      </x:c>
      <x:c r="B1036" t="str">
        <x:v>USR-00540</x:v>
      </x:c>
      <x:c r="C1036" t="n">
        <x:v>46023</x:v>
      </x:c>
      <x:c r="D1036" t="str">
        <x:v>Entidad financiera E</x:v>
      </x:c>
      <x:c r="E1036" t="str">
        <x:v>Crédito de consumo</x:v>
      </x:c>
      <x:c r="F1036" t="n">
        <x:v>2720000</x:v>
      </x:c>
      <x:c r="G1036" s="40" t="n">
        <x:v>0.2163</x:v>
      </x:c>
      <x:c r="H1036" s="40" t="n">
        <x:v>0.016452</x:v>
      </x:c>
      <x:c r="I1036" t="n">
        <x:v>60</x:v>
      </x:c>
      <x:c r="J1036" t="n">
        <x:v>71700</x:v>
      </x:c>
      <x:c r="K1036" t="str">
        <x:v>Bola de nieve</x:v>
      </x:c>
      <x:c r="L1036" t="str">
        <x:v>Vigente</x:v>
      </x:c>
      <x:c r="M1036" t="n">
        <x:v>2750029.12</x:v>
      </x:c>
      <x:c r="N1036"/>
    </x:row>
    <x:row r="1037">
      <x:c r="A1037" t="str">
        <x:v>DEU-001036</x:v>
      </x:c>
      <x:c r="B1037" t="str">
        <x:v>USR-00541</x:v>
      </x:c>
      <x:c r="C1037" t="n">
        <x:v>46023</x:v>
      </x:c>
      <x:c r="D1037" t="str">
        <x:v>Cooperativa C</x:v>
      </x:c>
      <x:c r="E1037" t="str">
        <x:v>Tarjeta de crédito</x:v>
      </x:c>
      <x:c r="F1037" t="n">
        <x:v>1220000</x:v>
      </x:c>
      <x:c r="G1037" s="40" t="n">
        <x:v>0.2949</x:v>
      </x:c>
      <x:c r="H1037" s="40" t="n">
        <x:v>0.02177</x:v>
      </x:c>
      <x:c r="I1037" t="n">
        <x:v>60</x:v>
      </x:c>
      <x:c r="J1037" t="n">
        <x:v>36600</x:v>
      </x:c>
      <x:c r="K1037" t="str">
        <x:v>Bola de nieve</x:v>
      </x:c>
      <x:c r="L1037" t="str">
        <x:v>Vigente</x:v>
      </x:c>
      <x:c r="M1037" t="n">
        <x:v>1141747.33</x:v>
      </x:c>
      <x:c r="N1037"/>
    </x:row>
    <x:row r="1038">
      <x:c r="A1038" t="str">
        <x:v>DEU-001037</x:v>
      </x:c>
      <x:c r="B1038" t="str">
        <x:v>USR-00541</x:v>
      </x:c>
      <x:c r="C1038" t="n">
        <x:v>46023</x:v>
      </x:c>
      <x:c r="D1038" t="str">
        <x:v>Entidad financiera A</x:v>
      </x:c>
      <x:c r="E1038" t="str">
        <x:v>Crédito de vehículo</x:v>
      </x:c>
      <x:c r="F1038" t="n">
        <x:v>30400000</x:v>
      </x:c>
      <x:c r="G1038" s="40" t="n">
        <x:v>0.1703</x:v>
      </x:c>
      <x:c r="H1038" s="40" t="n">
        <x:v>0.013191</x:v>
      </x:c>
      <x:c r="I1038" t="n">
        <x:v>48</x:v>
      </x:c>
      <x:c r="J1038" t="n">
        <x:v>858900</x:v>
      </x:c>
      <x:c r="K1038" t="str">
        <x:v>Bola de nieve</x:v>
      </x:c>
      <x:c r="L1038" t="str">
        <x:v>Vigente</x:v>
      </x:c>
      <x:c r="M1038" t="n">
        <x:v>25246645.54</x:v>
      </x:c>
      <x:c r="N1038"/>
    </x:row>
    <x:row r="1039">
      <x:c r="A1039" t="str">
        <x:v>DEU-001038</x:v>
      </x:c>
      <x:c r="B1039" t="str">
        <x:v>USR-00542</x:v>
      </x:c>
      <x:c r="C1039" t="n">
        <x:v>46023</x:v>
      </x:c>
      <x:c r="D1039" t="str">
        <x:v>Entidad financiera E</x:v>
      </x:c>
      <x:c r="E1039" t="str">
        <x:v>Crédito de consumo</x:v>
      </x:c>
      <x:c r="F1039" t="n">
        <x:v>7970000</x:v>
      </x:c>
      <x:c r="G1039" s="40" t="n">
        <x:v>0.3385</x:v>
      </x:c>
      <x:c r="H1039" s="40" t="n">
        <x:v>0.024593</x:v>
      </x:c>
      <x:c r="I1039" t="n">
        <x:v>18</x:v>
      </x:c>
      <x:c r="J1039" t="n">
        <x:v>553300</x:v>
      </x:c>
      <x:c r="K1039" t="str">
        <x:v>Avalancha</x:v>
      </x:c>
      <x:c r="L1039" t="str">
        <x:v>Vigente</x:v>
      </x:c>
      <x:c r="M1039" t="n">
        <x:v>5570748.89</x:v>
      </x:c>
      <x:c r="N1039"/>
    </x:row>
    <x:row r="1040">
      <x:c r="A1040" t="str">
        <x:v>DEU-001039</x:v>
      </x:c>
      <x:c r="B1040" t="str">
        <x:v>USR-00543</x:v>
      </x:c>
      <x:c r="C1040" t="n">
        <x:v>46023</x:v>
      </x:c>
      <x:c r="D1040" t="str">
        <x:v>Entidad financiera B</x:v>
      </x:c>
      <x:c r="E1040" t="str">
        <x:v>Crédito de consumo</x:v>
      </x:c>
      <x:c r="F1040" t="n">
        <x:v>8330000</x:v>
      </x:c>
      <x:c r="G1040" s="40" t="n">
        <x:v>0.1282</x:v>
      </x:c>
      <x:c r="H1040" s="40" t="n">
        <x:v>0.010103</x:v>
      </x:c>
      <x:c r="I1040" t="n">
        <x:v>48</x:v>
      </x:c>
      <x:c r="J1040" t="n">
        <x:v>219900</x:v>
      </x:c>
      <x:c r="K1040" t="str">
        <x:v>Avalancha</x:v>
      </x:c>
      <x:c r="L1040" t="str">
        <x:v>Vigente</x:v>
      </x:c>
      <x:c r="M1040" t="n">
        <x:v>7643344.02</x:v>
      </x:c>
      <x:c r="N1040"/>
    </x:row>
    <x:row r="1041">
      <x:c r="A1041" t="str">
        <x:v>DEU-001040</x:v>
      </x:c>
      <x:c r="B1041" t="str">
        <x:v>USR-00543</x:v>
      </x:c>
      <x:c r="C1041" t="n">
        <x:v>46023</x:v>
      </x:c>
      <x:c r="D1041" t="str">
        <x:v>Entidad financiera E</x:v>
      </x:c>
      <x:c r="E1041" t="str">
        <x:v>Tarjeta de crédito</x:v>
      </x:c>
      <x:c r="F1041" t="n">
        <x:v>1530000</x:v>
      </x:c>
      <x:c r="G1041" s="40" t="n">
        <x:v>0.3033</x:v>
      </x:c>
      <x:c r="H1041" s="40" t="n">
        <x:v>0.02232</x:v>
      </x:c>
      <x:c r="I1041" t="n">
        <x:v>12</x:v>
      </x:c>
      <x:c r="J1041" t="n">
        <x:v>146700</x:v>
      </x:c>
      <x:c r="K1041" t="str">
        <x:v>Avalancha</x:v>
      </x:c>
      <x:c r="L1041" t="str">
        <x:v>Vigente</x:v>
      </x:c>
      <x:c r="M1041" t="n">
        <x:v>666029.89</x:v>
      </x:c>
      <x:c r="N1041"/>
    </x:row>
    <x:row r="1042">
      <x:c r="A1042" t="str">
        <x:v>DEU-001041</x:v>
      </x:c>
      <x:c r="B1042" t="str">
        <x:v>USR-00544</x:v>
      </x:c>
      <x:c r="C1042" t="n">
        <x:v>46023</x:v>
      </x:c>
      <x:c r="D1042" t="str">
        <x:v>Entidad financiera B</x:v>
      </x:c>
      <x:c r="E1042" t="str">
        <x:v>Crédito de consumo</x:v>
      </x:c>
      <x:c r="F1042" t="n">
        <x:v>10840000</x:v>
      </x:c>
      <x:c r="G1042" s="40" t="n">
        <x:v>0.3047</x:v>
      </x:c>
      <x:c r="H1042" s="40" t="n">
        <x:v>0.022412</x:v>
      </x:c>
      <x:c r="I1042" t="n">
        <x:v>48</x:v>
      </x:c>
      <x:c r="J1042" t="n">
        <x:v>371000</x:v>
      </x:c>
      <x:c r="K1042" t="str">
        <x:v>Bola de nieve</x:v>
      </x:c>
      <x:c r="L1042" t="str">
        <x:v>Vigente</x:v>
      </x:c>
      <x:c r="M1042" t="n">
        <x:v>9997653.79</x:v>
      </x:c>
      <x:c r="N1042"/>
    </x:row>
    <x:row r="1043">
      <x:c r="A1043" t="str">
        <x:v>DEU-001042</x:v>
      </x:c>
      <x:c r="B1043" t="str">
        <x:v>USR-00544</x:v>
      </x:c>
      <x:c r="C1043" t="n">
        <x:v>46023</x:v>
      </x:c>
      <x:c r="D1043" t="str">
        <x:v>Entidad financiera B</x:v>
      </x:c>
      <x:c r="E1043" t="str">
        <x:v>Crédito de vehículo</x:v>
      </x:c>
      <x:c r="F1043" t="n">
        <x:v>25200000</x:v>
      </x:c>
      <x:c r="G1043" s="40" t="n">
        <x:v>0.2658</x:v>
      </x:c>
      <x:c r="H1043" s="40" t="n">
        <x:v>0.019836</x:v>
      </x:c>
      <x:c r="I1043" t="n">
        <x:v>18</x:v>
      </x:c>
      <x:c r="J1043" t="n">
        <x:v>1678500</x:v>
      </x:c>
      <x:c r="K1043" t="str">
        <x:v>Bola de nieve</x:v>
      </x:c>
      <x:c r="L1043" t="str">
        <x:v>Vigente</x:v>
      </x:c>
      <x:c r="M1043" t="n">
        <x:v>19254061.19</x:v>
      </x:c>
      <x:c r="N1043"/>
    </x:row>
    <x:row r="1044">
      <x:c r="A1044" t="str">
        <x:v>DEU-001043</x:v>
      </x:c>
      <x:c r="B1044" t="str">
        <x:v>USR-00545</x:v>
      </x:c>
      <x:c r="C1044" t="n">
        <x:v>46023</x:v>
      </x:c>
      <x:c r="D1044" t="str">
        <x:v>Entidad financiera B</x:v>
      </x:c>
      <x:c r="E1044" t="str">
        <x:v>Crédito de consumo</x:v>
      </x:c>
      <x:c r="F1044" t="n">
        <x:v>15410000</x:v>
      </x:c>
      <x:c r="G1044" s="40" t="n">
        <x:v>0.261</x:v>
      </x:c>
      <x:c r="H1044" s="40" t="n">
        <x:v>0.019513</x:v>
      </x:c>
      <x:c r="I1044" t="n">
        <x:v>30</x:v>
      </x:c>
      <x:c r="J1044" t="n">
        <x:v>683500</x:v>
      </x:c>
      <x:c r="K1044" t="str">
        <x:v>Bola de nieve</x:v>
      </x:c>
      <x:c r="L1044" t="str">
        <x:v>Vigente</x:v>
      </x:c>
      <x:c r="M1044" t="n">
        <x:v>12708314.13</x:v>
      </x:c>
      <x:c r="N1044"/>
    </x:row>
    <x:row r="1045">
      <x:c r="A1045" t="str">
        <x:v>DEU-001044</x:v>
      </x:c>
      <x:c r="B1045" t="str">
        <x:v>USR-00546</x:v>
      </x:c>
      <x:c r="C1045" t="n">
        <x:v>46023</x:v>
      </x:c>
      <x:c r="D1045" t="str">
        <x:v>Entidad financiera A</x:v>
      </x:c>
      <x:c r="E1045" t="str">
        <x:v>Crédito de libre inversión</x:v>
      </x:c>
      <x:c r="F1045" t="n">
        <x:v>17410000</x:v>
      </x:c>
      <x:c r="G1045" s="40" t="n">
        <x:v>0.1314</x:v>
      </x:c>
      <x:c r="H1045" s="40" t="n">
        <x:v>0.010341</x:v>
      </x:c>
      <x:c r="I1045" t="n">
        <x:v>48</x:v>
      </x:c>
      <x:c r="J1045" t="n">
        <x:v>462000</x:v>
      </x:c>
      <x:c r="K1045" t="str">
        <x:v>Avalancha</x:v>
      </x:c>
      <x:c r="L1045" t="str">
        <x:v>Vigente</x:v>
      </x:c>
      <x:c r="M1045" t="n">
        <x:v>16699101.08</x:v>
      </x:c>
      <x:c r="N1045"/>
    </x:row>
    <x:row r="1046">
      <x:c r="A1046" t="str">
        <x:v>DEU-001045</x:v>
      </x:c>
      <x:c r="B1046" t="str">
        <x:v>USR-00547</x:v>
      </x:c>
      <x:c r="C1046" t="n">
        <x:v>46023</x:v>
      </x:c>
      <x:c r="D1046" t="str">
        <x:v>Entidad financiera B</x:v>
      </x:c>
      <x:c r="E1046" t="str">
        <x:v>Crédito de libre inversión</x:v>
      </x:c>
      <x:c r="F1046" t="n">
        <x:v>18290000</x:v>
      </x:c>
      <x:c r="G1046" s="40" t="n">
        <x:v>0.125</x:v>
      </x:c>
      <x:c r="H1046" s="40" t="n">
        <x:v>0.009864</x:v>
      </x:c>
      <x:c r="I1046" t="n">
        <x:v>48</x:v>
      </x:c>
      <x:c r="J1046" t="n">
        <x:v>480200</x:v>
      </x:c>
      <x:c r="K1046" t="str">
        <x:v>Avalancha</x:v>
      </x:c>
      <x:c r="L1046" t="str">
        <x:v>Vigente</x:v>
      </x:c>
      <x:c r="M1046" t="n">
        <x:v>17235143.5</x:v>
      </x:c>
      <x:c r="N1046"/>
    </x:row>
    <x:row r="1047">
      <x:c r="A1047" t="str">
        <x:v>DEU-001046</x:v>
      </x:c>
      <x:c r="B1047" t="str">
        <x:v>USR-00547</x:v>
      </x:c>
      <x:c r="C1047" t="n">
        <x:v>46023</x:v>
      </x:c>
      <x:c r="D1047" t="str">
        <x:v>Entidad financiera A</x:v>
      </x:c>
      <x:c r="E1047" t="str">
        <x:v>Crédito de vehículo</x:v>
      </x:c>
      <x:c r="F1047" t="n">
        <x:v>43560000</x:v>
      </x:c>
      <x:c r="G1047" s="40" t="n">
        <x:v>0.3148</x:v>
      </x:c>
      <x:c r="H1047" s="40" t="n">
        <x:v>0.023069</x:v>
      </x:c>
      <x:c r="I1047" t="n">
        <x:v>36</x:v>
      </x:c>
      <x:c r="J1047" t="n">
        <x:v>1794300</x:v>
      </x:c>
      <x:c r="K1047" t="str">
        <x:v>Bola de nieve</x:v>
      </x:c>
      <x:c r="L1047" t="str">
        <x:v>Vigente</x:v>
      </x:c>
      <x:c r="M1047" t="n">
        <x:v>37731956.96</x:v>
      </x:c>
      <x:c r="N1047"/>
    </x:row>
    <x:row r="1048">
      <x:c r="A1048" t="str">
        <x:v>DEU-001047</x:v>
      </x:c>
      <x:c r="B1048" t="str">
        <x:v>USR-00547</x:v>
      </x:c>
      <x:c r="C1048" t="n">
        <x:v>46023</x:v>
      </x:c>
      <x:c r="D1048" t="str">
        <x:v>Entidad financiera A</x:v>
      </x:c>
      <x:c r="E1048" t="str">
        <x:v>Crédito de consumo</x:v>
      </x:c>
      <x:c r="F1048" t="n">
        <x:v>14850000</x:v>
      </x:c>
      <x:c r="G1048" s="40" t="n">
        <x:v>0.2223</x:v>
      </x:c>
      <x:c r="H1048" s="40" t="n">
        <x:v>0.016869</x:v>
      </x:c>
      <x:c r="I1048" t="n">
        <x:v>30</x:v>
      </x:c>
      <x:c r="J1048" t="n">
        <x:v>634800</x:v>
      </x:c>
      <x:c r="K1048" t="str">
        <x:v>Bola de nieve</x:v>
      </x:c>
      <x:c r="L1048" t="str">
        <x:v>Vigente</x:v>
      </x:c>
      <x:c r="M1048" t="n">
        <x:v>11850785.94</x:v>
      </x:c>
      <x:c r="N1048"/>
    </x:row>
    <x:row r="1049">
      <x:c r="A1049" t="str">
        <x:v>DEU-001048</x:v>
      </x:c>
      <x:c r="B1049" t="str">
        <x:v>USR-00547</x:v>
      </x:c>
      <x:c r="C1049" t="n">
        <x:v>46023</x:v>
      </x:c>
      <x:c r="D1049" t="str">
        <x:v>Entidad financiera E</x:v>
      </x:c>
      <x:c r="E1049" t="str">
        <x:v>Tarjeta de crédito</x:v>
      </x:c>
      <x:c r="F1049" t="n">
        <x:v>2510000</x:v>
      </x:c>
      <x:c r="G1049" s="40" t="n">
        <x:v>0.1456</x:v>
      </x:c>
      <x:c r="H1049" s="40" t="n">
        <x:v>0.011392</x:v>
      </x:c>
      <x:c r="I1049" t="n">
        <x:v>18</x:v>
      </x:c>
      <x:c r="J1049" t="n">
        <x:v>155000</x:v>
      </x:c>
      <x:c r="K1049" t="str">
        <x:v>Avalancha</x:v>
      </x:c>
      <x:c r="L1049" t="str">
        <x:v>Vigente</x:v>
      </x:c>
      <x:c r="M1049" t="n">
        <x:v>1484321.11</x:v>
      </x:c>
      <x:c r="N1049"/>
    </x:row>
    <x:row r="1050">
      <x:c r="A1050" t="str">
        <x:v>DEU-001049</x:v>
      </x:c>
      <x:c r="B1050" t="str">
        <x:v>USR-00547</x:v>
      </x:c>
      <x:c r="C1050" t="n">
        <x:v>46023</x:v>
      </x:c>
      <x:c r="D1050" t="str">
        <x:v>Entidad financiera E</x:v>
      </x:c>
      <x:c r="E1050" t="str">
        <x:v>Crédito de vehículo</x:v>
      </x:c>
      <x:c r="F1050" t="n">
        <x:v>49360000</x:v>
      </x:c>
      <x:c r="G1050" s="40" t="n">
        <x:v>0.2446</x:v>
      </x:c>
      <x:c r="H1050" s="40" t="n">
        <x:v>0.018402</x:v>
      </x:c>
      <x:c r="I1050" t="n">
        <x:v>30</x:v>
      </x:c>
      <x:c r="J1050" t="n">
        <x:v>2155800</x:v>
      </x:c>
      <x:c r="K1050" t="str">
        <x:v>Bola de nieve</x:v>
      </x:c>
      <x:c r="L1050" t="str">
        <x:v>Vigente</x:v>
      </x:c>
      <x:c r="M1050" t="n">
        <x:v>45122349.77</x:v>
      </x:c>
      <x:c r="N1050"/>
    </x:row>
    <x:row r="1051">
      <x:c r="A1051" t="str">
        <x:v>DEU-001050</x:v>
      </x:c>
      <x:c r="B1051" t="str">
        <x:v>USR-00548</x:v>
      </x:c>
      <x:c r="C1051" t="n">
        <x:v>46023</x:v>
      </x:c>
      <x:c r="D1051" t="str">
        <x:v>Financiera D</x:v>
      </x:c>
      <x:c r="E1051" t="str">
        <x:v>Crédito comercial</x:v>
      </x:c>
      <x:c r="F1051" t="n">
        <x:v>21970000</x:v>
      </x:c>
      <x:c r="G1051" s="40" t="n">
        <x:v>0.1438</x:v>
      </x:c>
      <x:c r="H1051" s="40" t="n">
        <x:v>0.011259</x:v>
      </x:c>
      <x:c r="I1051" t="n">
        <x:v>24</x:v>
      </x:c>
      <x:c r="J1051" t="n">
        <x:v>1049800</x:v>
      </x:c>
      <x:c r="K1051" t="str">
        <x:v>Avalancha</x:v>
      </x:c>
      <x:c r="L1051" t="str">
        <x:v>Vigente</x:v>
      </x:c>
      <x:c r="M1051" t="n">
        <x:v>16267736.75</x:v>
      </x:c>
      <x:c r="N1051"/>
    </x:row>
    <x:row r="1052">
      <x:c r="A1052" t="str">
        <x:v>DEU-001051</x:v>
      </x:c>
      <x:c r="B1052" t="str">
        <x:v>USR-00548</x:v>
      </x:c>
      <x:c r="C1052" t="n">
        <x:v>46023</x:v>
      </x:c>
      <x:c r="D1052" t="str">
        <x:v>Entidad financiera E</x:v>
      </x:c>
      <x:c r="E1052" t="str">
        <x:v>Tarjeta de crédito</x:v>
      </x:c>
      <x:c r="F1052" t="n">
        <x:v>2160000</x:v>
      </x:c>
      <x:c r="G1052" s="40" t="n">
        <x:v>0.1133</x:v>
      </x:c>
      <x:c r="H1052" s="40" t="n">
        <x:v>0.008984</x:v>
      </x:c>
      <x:c r="I1052" t="n">
        <x:v>60</x:v>
      </x:c>
      <x:c r="J1052" t="n">
        <x:v>46700</x:v>
      </x:c>
      <x:c r="K1052" t="str">
        <x:v>Avalancha</x:v>
      </x:c>
      <x:c r="L1052" t="str">
        <x:v>Vigente</x:v>
      </x:c>
      <x:c r="M1052" t="n">
        <x:v>2115513</x:v>
      </x:c>
      <x:c r="N1052"/>
    </x:row>
    <x:row r="1053">
      <x:c r="A1053" t="str">
        <x:v>DEU-001052</x:v>
      </x:c>
      <x:c r="B1053" t="str">
        <x:v>USR-00549</x:v>
      </x:c>
      <x:c r="C1053" t="n">
        <x:v>46023</x:v>
      </x:c>
      <x:c r="D1053" t="str">
        <x:v>Entidad financiera B</x:v>
      </x:c>
      <x:c r="E1053" t="str">
        <x:v>Crédito educativo</x:v>
      </x:c>
      <x:c r="F1053" t="n">
        <x:v>25480000</x:v>
      </x:c>
      <x:c r="G1053" s="40" t="n">
        <x:v>0.2995</x:v>
      </x:c>
      <x:c r="H1053" s="40" t="n">
        <x:v>0.022072</x:v>
      </x:c>
      <x:c r="I1053" t="n">
        <x:v>48</x:v>
      </x:c>
      <x:c r="J1053" t="n">
        <x:v>866100</x:v>
      </x:c>
      <x:c r="K1053" t="str">
        <x:v>Bola de nieve</x:v>
      </x:c>
      <x:c r="L1053" t="str">
        <x:v>Vigente</x:v>
      </x:c>
      <x:c r="M1053" t="n">
        <x:v>27935344.43</x:v>
      </x:c>
      <x:c r="N1053"/>
    </x:row>
    <x:row r="1054">
      <x:c r="A1054" t="str">
        <x:v>DEU-001053</x:v>
      </x:c>
      <x:c r="B1054" t="str">
        <x:v>USR-00550</x:v>
      </x:c>
      <x:c r="C1054" t="n">
        <x:v>46023</x:v>
      </x:c>
      <x:c r="D1054" t="str">
        <x:v>Financiera D</x:v>
      </x:c>
      <x:c r="E1054" t="str">
        <x:v>Crédito de libre inversión</x:v>
      </x:c>
      <x:c r="F1054" t="n">
        <x:v>17270000</x:v>
      </x:c>
      <x:c r="G1054" s="40" t="n">
        <x:v>0.3066</x:v>
      </x:c>
      <x:c r="H1054" s="40" t="n">
        <x:v>0.022536</x:v>
      </x:c>
      <x:c r="I1054" t="n">
        <x:v>18</x:v>
      </x:c>
      <x:c r="J1054" t="n">
        <x:v>1177800</x:v>
      </x:c>
      <x:c r="K1054" t="str">
        <x:v>Avalancha</x:v>
      </x:c>
      <x:c r="L1054" t="str">
        <x:v>Vigente</x:v>
      </x:c>
      <x:c r="M1054" t="n">
        <x:v>10170262.81</x:v>
      </x:c>
      <x:c r="N1054"/>
    </x:row>
    <x:row r="1055">
      <x:c r="A1055" t="str">
        <x:v>DEU-001054</x:v>
      </x:c>
      <x:c r="B1055" t="str">
        <x:v>USR-00551</x:v>
      </x:c>
      <x:c r="C1055" t="n">
        <x:v>46023</x:v>
      </x:c>
      <x:c r="D1055" t="str">
        <x:v>Entidad financiera E</x:v>
      </x:c>
      <x:c r="E1055" t="str">
        <x:v>Crédito de consumo</x:v>
      </x:c>
      <x:c r="F1055" t="n">
        <x:v>7720000</x:v>
      </x:c>
      <x:c r="G1055" s="40" t="n">
        <x:v>0.1173</x:v>
      </x:c>
      <x:c r="H1055" s="40" t="n">
        <x:v>0.009286</x:v>
      </x:c>
      <x:c r="I1055" t="n">
        <x:v>30</x:v>
      </x:c>
      <x:c r="J1055" t="n">
        <x:v>296000</x:v>
      </x:c>
      <x:c r="K1055" t="str">
        <x:v>Avalancha</x:v>
      </x:c>
      <x:c r="L1055" t="str">
        <x:v>Vigente</x:v>
      </x:c>
      <x:c r="M1055" t="n">
        <x:v>6459502.57</x:v>
      </x:c>
      <x:c r="N1055"/>
    </x:row>
    <x:row r="1056">
      <x:c r="A1056" t="str">
        <x:v>DEU-001055</x:v>
      </x:c>
      <x:c r="B1056" t="str">
        <x:v>USR-00552</x:v>
      </x:c>
      <x:c r="C1056" t="n">
        <x:v>46023</x:v>
      </x:c>
      <x:c r="D1056" t="str">
        <x:v>Entidad financiera E</x:v>
      </x:c>
      <x:c r="E1056" t="str">
        <x:v>Crédito educativo</x:v>
      </x:c>
      <x:c r="F1056" t="n">
        <x:v>23350000</x:v>
      </x:c>
      <x:c r="G1056" s="40" t="n">
        <x:v>0.106</x:v>
      </x:c>
      <x:c r="H1056" s="40" t="n">
        <x:v>0.008431</x:v>
      </x:c>
      <x:c r="I1056" t="n">
        <x:v>12</x:v>
      </x:c>
      <x:c r="J1056" t="n">
        <x:v>2054100</x:v>
      </x:c>
      <x:c r="K1056" t="str">
        <x:v>Avalancha</x:v>
      </x:c>
      <x:c r="L1056" t="str">
        <x:v>Vigente</x:v>
      </x:c>
      <x:c r="M1056" t="n">
        <x:v>9457200.69</x:v>
      </x:c>
      <x:c r="N1056"/>
    </x:row>
    <x:row r="1057">
      <x:c r="A1057" t="str">
        <x:v>DEU-001056</x:v>
      </x:c>
      <x:c r="B1057" t="str">
        <x:v>USR-00552</x:v>
      </x:c>
      <x:c r="C1057" t="n">
        <x:v>46023</x:v>
      </x:c>
      <x:c r="D1057" t="str">
        <x:v>Cooperativa C</x:v>
      </x:c>
      <x:c r="E1057" t="str">
        <x:v>Tarjeta de crédito</x:v>
      </x:c>
      <x:c r="F1057" t="n">
        <x:v>3870000</x:v>
      </x:c>
      <x:c r="G1057" s="40" t="n">
        <x:v>0.2844</x:v>
      </x:c>
      <x:c r="H1057" s="40" t="n">
        <x:v>0.021077</x:v>
      </x:c>
      <x:c r="I1057" t="n">
        <x:v>12</x:v>
      </x:c>
      <x:c r="J1057" t="n">
        <x:v>368400</x:v>
      </x:c>
      <x:c r="K1057" t="str">
        <x:v>Avalancha</x:v>
      </x:c>
      <x:c r="L1057" t="str">
        <x:v>Vigente</x:v>
      </x:c>
      <x:c r="M1057" t="n">
        <x:v>1139216.69</x:v>
      </x:c>
      <x:c r="N1057"/>
    </x:row>
    <x:row r="1058">
      <x:c r="A1058" t="str">
        <x:v>DEU-001057</x:v>
      </x:c>
      <x:c r="B1058" t="str">
        <x:v>USR-00552</x:v>
      </x:c>
      <x:c r="C1058" t="n">
        <x:v>46023</x:v>
      </x:c>
      <x:c r="D1058" t="str">
        <x:v>Financiera D</x:v>
      </x:c>
      <x:c r="E1058" t="str">
        <x:v>Tarjeta de crédito</x:v>
      </x:c>
      <x:c r="F1058" t="n">
        <x:v>5510000</x:v>
      </x:c>
      <x:c r="G1058" s="40" t="n">
        <x:v>0.2115</x:v>
      </x:c>
      <x:c r="H1058" s="40" t="n">
        <x:v>0.016117</x:v>
      </x:c>
      <x:c r="I1058" t="n">
        <x:v>12</x:v>
      </x:c>
      <x:c r="J1058" t="n">
        <x:v>508700</x:v>
      </x:c>
      <x:c r="K1058" t="str">
        <x:v>Bola de nieve</x:v>
      </x:c>
      <x:c r="L1058" t="str">
        <x:v>Vigente</x:v>
      </x:c>
      <x:c r="M1058" t="n">
        <x:v>2614433.86</x:v>
      </x:c>
      <x:c r="N1058"/>
    </x:row>
    <x:row r="1059">
      <x:c r="A1059" t="str">
        <x:v>DEU-001058</x:v>
      </x:c>
      <x:c r="B1059" t="str">
        <x:v>USR-00553</x:v>
      </x:c>
      <x:c r="C1059" t="n">
        <x:v>46023</x:v>
      </x:c>
      <x:c r="D1059" t="str">
        <x:v>Entidad financiera B</x:v>
      </x:c>
      <x:c r="E1059" t="str">
        <x:v>Crédito de consumo</x:v>
      </x:c>
      <x:c r="F1059" t="n">
        <x:v>2220000</x:v>
      </x:c>
      <x:c r="G1059" s="40" t="n">
        <x:v>0.2981</x:v>
      </x:c>
      <x:c r="H1059" s="40" t="n">
        <x:v>0.02198</x:v>
      </x:c>
      <x:c r="I1059" t="n">
        <x:v>24</x:v>
      </x:c>
      <x:c r="J1059" t="n">
        <x:v>120000</x:v>
      </x:c>
      <x:c r="K1059" t="str">
        <x:v>Bola de nieve</x:v>
      </x:c>
      <x:c r="L1059" t="str">
        <x:v>Vigente</x:v>
      </x:c>
      <x:c r="M1059" t="n">
        <x:v>1862284.77</x:v>
      </x:c>
      <x:c r="N1059"/>
    </x:row>
    <x:row r="1060">
      <x:c r="A1060" t="str">
        <x:v>DEU-001059</x:v>
      </x:c>
      <x:c r="B1060" t="str">
        <x:v>USR-00553</x:v>
      </x:c>
      <x:c r="C1060" t="n">
        <x:v>46023</x:v>
      </x:c>
      <x:c r="D1060" t="str">
        <x:v>Financiera D</x:v>
      </x:c>
      <x:c r="E1060" t="str">
        <x:v>Crédito de consumo</x:v>
      </x:c>
      <x:c r="F1060" t="n">
        <x:v>17800000</x:v>
      </x:c>
      <x:c r="G1060" s="40" t="n">
        <x:v>0.2853</x:v>
      </x:c>
      <x:c r="H1060" s="40" t="n">
        <x:v>0.021136</x:v>
      </x:c>
      <x:c r="I1060" t="n">
        <x:v>48</x:v>
      </x:c>
      <x:c r="J1060" t="n">
        <x:v>593800</x:v>
      </x:c>
      <x:c r="K1060" t="str">
        <x:v>Avalancha</x:v>
      </x:c>
      <x:c r="L1060" t="str">
        <x:v>Vigente</x:v>
      </x:c>
      <x:c r="M1060" t="n">
        <x:v>17205999.08</x:v>
      </x:c>
      <x:c r="N1060"/>
    </x:row>
    <x:row r="1061">
      <x:c r="A1061" t="str">
        <x:v>DEU-001060</x:v>
      </x:c>
      <x:c r="B1061" t="str">
        <x:v>USR-00553</x:v>
      </x:c>
      <x:c r="C1061" t="n">
        <x:v>46023</x:v>
      </x:c>
      <x:c r="D1061" t="str">
        <x:v>Financiera D</x:v>
      </x:c>
      <x:c r="E1061" t="str">
        <x:v>Crédito de consumo</x:v>
      </x:c>
      <x:c r="F1061" t="n">
        <x:v>7250000</x:v>
      </x:c>
      <x:c r="G1061" s="40" t="n">
        <x:v>0.3004</x:v>
      </x:c>
      <x:c r="H1061" s="40" t="n">
        <x:v>0.022131</x:v>
      </x:c>
      <x:c r="I1061" t="n">
        <x:v>48</x:v>
      </x:c>
      <x:c r="J1061" t="n">
        <x:v>246700</x:v>
      </x:c>
      <x:c r="K1061" t="str">
        <x:v>Avalancha</x:v>
      </x:c>
      <x:c r="L1061" t="str">
        <x:v>Vigente</x:v>
      </x:c>
      <x:c r="M1061" t="n">
        <x:v>6860955.07</x:v>
      </x:c>
      <x:c r="N1061"/>
    </x:row>
    <x:row r="1062">
      <x:c r="A1062" t="str">
        <x:v>DEU-001061</x:v>
      </x:c>
      <x:c r="B1062" t="str">
        <x:v>USR-00553</x:v>
      </x:c>
      <x:c r="C1062" t="n">
        <x:v>46023</x:v>
      </x:c>
      <x:c r="D1062" t="str">
        <x:v>Entidad financiera A</x:v>
      </x:c>
      <x:c r="E1062" t="str">
        <x:v>Crédito de consumo</x:v>
      </x:c>
      <x:c r="F1062" t="n">
        <x:v>7670000</x:v>
      </x:c>
      <x:c r="G1062" s="40" t="n">
        <x:v>0.2659</x:v>
      </x:c>
      <x:c r="H1062" s="40" t="n">
        <x:v>0.019843</x:v>
      </x:c>
      <x:c r="I1062" t="n">
        <x:v>60</x:v>
      </x:c>
      <x:c r="J1062" t="n">
        <x:v>219800</x:v>
      </x:c>
      <x:c r="K1062" t="str">
        <x:v>Bola de nieve</x:v>
      </x:c>
      <x:c r="L1062" t="str">
        <x:v>Vigente</x:v>
      </x:c>
      <x:c r="M1062" t="n">
        <x:v>7686769.2</x:v>
      </x:c>
      <x:c r="N1062"/>
    </x:row>
    <x:row r="1063">
      <x:c r="A1063" t="str">
        <x:v>DEU-001062</x:v>
      </x:c>
      <x:c r="B1063" t="str">
        <x:v>USR-00553</x:v>
      </x:c>
      <x:c r="C1063" t="n">
        <x:v>46023</x:v>
      </x:c>
      <x:c r="D1063" t="str">
        <x:v>Financiera D</x:v>
      </x:c>
      <x:c r="E1063" t="str">
        <x:v>Crédito de vehículo</x:v>
      </x:c>
      <x:c r="F1063" t="n">
        <x:v>45910000</x:v>
      </x:c>
      <x:c r="G1063" s="40" t="n">
        <x:v>0.2597</x:v>
      </x:c>
      <x:c r="H1063" s="40" t="n">
        <x:v>0.019426</x:v>
      </x:c>
      <x:c r="I1063" t="n">
        <x:v>36</x:v>
      </x:c>
      <x:c r="J1063" t="n">
        <x:v>1784600</x:v>
      </x:c>
      <x:c r="K1063" t="str">
        <x:v>Bola de nieve</x:v>
      </x:c>
      <x:c r="L1063" t="str">
        <x:v>Vigente</x:v>
      </x:c>
      <x:c r="M1063" t="n">
        <x:v>41481043.6</x:v>
      </x:c>
      <x:c r="N1063"/>
    </x:row>
    <x:row r="1064">
      <x:c r="A1064" t="str">
        <x:v>DEU-001063</x:v>
      </x:c>
      <x:c r="B1064" t="str">
        <x:v>USR-00554</x:v>
      </x:c>
      <x:c r="C1064" t="n">
        <x:v>46023</x:v>
      </x:c>
      <x:c r="D1064" t="str">
        <x:v>Entidad financiera A</x:v>
      </x:c>
      <x:c r="E1064" t="str">
        <x:v>Crédito comercial</x:v>
      </x:c>
      <x:c r="F1064" t="n">
        <x:v>28950000</x:v>
      </x:c>
      <x:c r="G1064" s="40" t="n">
        <x:v>0.1135</x:v>
      </x:c>
      <x:c r="H1064" s="40" t="n">
        <x:v>0.008999</x:v>
      </x:c>
      <x:c r="I1064" t="n">
        <x:v>18</x:v>
      </x:c>
      <x:c r="J1064" t="n">
        <x:v>1749300</x:v>
      </x:c>
      <x:c r="K1064" t="str">
        <x:v>Bola de nieve</x:v>
      </x:c>
      <x:c r="L1064" t="str">
        <x:v>Vigente</x:v>
      </x:c>
      <x:c r="M1064" t="n">
        <x:v>16424592.53</x:v>
      </x:c>
      <x:c r="N1064"/>
    </x:row>
    <x:row r="1065">
      <x:c r="A1065" t="str">
        <x:v>DEU-001064</x:v>
      </x:c>
      <x:c r="B1065" t="str">
        <x:v>USR-00555</x:v>
      </x:c>
      <x:c r="C1065" t="n">
        <x:v>46023</x:v>
      </x:c>
      <x:c r="D1065" t="str">
        <x:v>Entidad financiera E</x:v>
      </x:c>
      <x:c r="E1065" t="str">
        <x:v>Crédito de consumo</x:v>
      </x:c>
      <x:c r="F1065" t="n">
        <x:v>12980000</x:v>
      </x:c>
      <x:c r="G1065" s="40" t="n">
        <x:v>0.2004</x:v>
      </x:c>
      <x:c r="H1065" s="40" t="n">
        <x:v>0.015338</x:v>
      </x:c>
      <x:c r="I1065" t="n">
        <x:v>12</x:v>
      </x:c>
      <x:c r="J1065" t="n">
        <x:v>1192500</x:v>
      </x:c>
      <x:c r="K1065" t="str">
        <x:v>Avalancha</x:v>
      </x:c>
      <x:c r="L1065" t="str">
        <x:v>Vigente</x:v>
      </x:c>
      <x:c r="M1065" t="n">
        <x:v>5465415.86</x:v>
      </x:c>
      <x:c r="N1065"/>
    </x:row>
    <x:row r="1066">
      <x:c r="A1066" t="str">
        <x:v>DEU-001065</x:v>
      </x:c>
      <x:c r="B1066" t="str">
        <x:v>USR-00555</x:v>
      </x:c>
      <x:c r="C1066" t="n">
        <x:v>46023</x:v>
      </x:c>
      <x:c r="D1066" t="str">
        <x:v>Cooperativa C</x:v>
      </x:c>
      <x:c r="E1066" t="str">
        <x:v>Crédito educativo</x:v>
      </x:c>
      <x:c r="F1066" t="n">
        <x:v>9130000</x:v>
      </x:c>
      <x:c r="G1066" s="40" t="n">
        <x:v>0.1183</x:v>
      </x:c>
      <x:c r="H1066" s="40" t="n">
        <x:v>0.009361</x:v>
      </x:c>
      <x:c r="I1066" t="n">
        <x:v>30</x:v>
      </x:c>
      <x:c r="J1066" t="n">
        <x:v>350500</x:v>
      </x:c>
      <x:c r="K1066" t="str">
        <x:v>Bola de nieve</x:v>
      </x:c>
      <x:c r="L1066" t="str">
        <x:v>Vigente</x:v>
      </x:c>
      <x:c r="M1066" t="n">
        <x:v>7317763.13</x:v>
      </x:c>
      <x:c r="N1066"/>
    </x:row>
    <x:row r="1067">
      <x:c r="A1067" t="str">
        <x:v>DEU-001066</x:v>
      </x:c>
      <x:c r="B1067" t="str">
        <x:v>USR-00214</x:v>
      </x:c>
      <x:c r="C1067" t="n">
        <x:v>46054</x:v>
      </x:c>
      <x:c r="D1067" t="str">
        <x:v>Cooperativa C</x:v>
      </x:c>
      <x:c r="E1067" t="str">
        <x:v>Crédito educativo</x:v>
      </x:c>
      <x:c r="F1067" t="n">
        <x:v>17730000</x:v>
      </x:c>
      <x:c r="G1067" s="40" t="n">
        <x:v>0.3295</x:v>
      </x:c>
      <x:c r="H1067" s="40" t="n">
        <x:v>0.024017</x:v>
      </x:c>
      <x:c r="I1067" t="n">
        <x:v>18</x:v>
      </x:c>
      <x:c r="J1067" t="n">
        <x:v>1224800</x:v>
      </x:c>
      <x:c r="K1067" t="str">
        <x:v>Bola de nieve</x:v>
      </x:c>
      <x:c r="L1067" t="str">
        <x:v>Vigente</x:v>
      </x:c>
      <x:c r="M1067" t="n">
        <x:v>9554932.19</x:v>
      </x:c>
      <x:c r="N1067"/>
    </x:row>
    <x:row r="1068">
      <x:c r="A1068" t="str">
        <x:v>DEU-001067</x:v>
      </x:c>
      <x:c r="B1068" t="str">
        <x:v>USR-00235</x:v>
      </x:c>
      <x:c r="C1068" t="n">
        <x:v>46054</x:v>
      </x:c>
      <x:c r="D1068" t="str">
        <x:v>Financiera D</x:v>
      </x:c>
      <x:c r="E1068" t="str">
        <x:v>Tarjeta de crédito</x:v>
      </x:c>
      <x:c r="F1068" t="n">
        <x:v>7130000</x:v>
      </x:c>
      <x:c r="G1068" s="40" t="n">
        <x:v>0.3122</x:v>
      </x:c>
      <x:c r="H1068" s="40" t="n">
        <x:v>0.0229</x:v>
      </x:c>
      <x:c r="I1068" t="n">
        <x:v>48</x:v>
      </x:c>
      <x:c r="J1068" t="n">
        <x:v>246400</x:v>
      </x:c>
      <x:c r="K1068" t="str">
        <x:v>Bola de nieve</x:v>
      </x:c>
      <x:c r="L1068" t="str">
        <x:v>Vigente</x:v>
      </x:c>
      <x:c r="M1068" t="n">
        <x:v>7387767.93</x:v>
      </x:c>
      <x:c r="N1068"/>
    </x:row>
    <x:row r="1069">
      <x:c r="A1069" t="str">
        <x:v>DEU-001068</x:v>
      </x:c>
      <x:c r="B1069" t="str">
        <x:v>USR-00267</x:v>
      </x:c>
      <x:c r="C1069" t="n">
        <x:v>46054</x:v>
      </x:c>
      <x:c r="D1069" t="str">
        <x:v>Financiera D</x:v>
      </x:c>
      <x:c r="E1069" t="str">
        <x:v>Crédito de vehículo</x:v>
      </x:c>
      <x:c r="F1069" t="n">
        <x:v>35000000</x:v>
      </x:c>
      <x:c r="G1069" s="40" t="n">
        <x:v>0.2217</x:v>
      </x:c>
      <x:c r="H1069" s="40" t="n">
        <x:v>0.016827</x:v>
      </x:c>
      <x:c r="I1069" t="n">
        <x:v>24</x:v>
      </x:c>
      <x:c r="J1069" t="n">
        <x:v>1784600</x:v>
      </x:c>
      <x:c r="K1069" t="str">
        <x:v>Bola de nieve</x:v>
      </x:c>
      <x:c r="L1069" t="str">
        <x:v>Vigente</x:v>
      </x:c>
      <x:c r="M1069" t="n">
        <x:v>29293433.17</x:v>
      </x:c>
      <x:c r="N1069"/>
    </x:row>
    <x:row r="1070">
      <x:c r="A1070" t="str">
        <x:v>DEU-001069</x:v>
      </x:c>
      <x:c r="B1070" t="str">
        <x:v>USR-00340</x:v>
      </x:c>
      <x:c r="C1070" t="n">
        <x:v>46054</x:v>
      </x:c>
      <x:c r="D1070" t="str">
        <x:v>Entidad financiera B</x:v>
      </x:c>
      <x:c r="E1070" t="str">
        <x:v>Crédito de consumo</x:v>
      </x:c>
      <x:c r="F1070" t="n">
        <x:v>12930000</x:v>
      </x:c>
      <x:c r="G1070" s="40" t="n">
        <x:v>0.2063</x:v>
      </x:c>
      <x:c r="H1070" s="40" t="n">
        <x:v>0.015753</x:v>
      </x:c>
      <x:c r="I1070" t="n">
        <x:v>36</x:v>
      </x:c>
      <x:c r="J1070" t="n">
        <x:v>473300</x:v>
      </x:c>
      <x:c r="K1070" t="str">
        <x:v>Avalancha</x:v>
      </x:c>
      <x:c r="L1070" t="str">
        <x:v>Vigente</x:v>
      </x:c>
      <x:c r="M1070" t="n">
        <x:v>11168718.4</x:v>
      </x:c>
      <x:c r="N1070"/>
    </x:row>
    <x:row r="1071">
      <x:c r="A1071" t="str">
        <x:v>DEU-001070</x:v>
      </x:c>
      <x:c r="B1071" t="str">
        <x:v>USR-00530</x:v>
      </x:c>
      <x:c r="C1071" t="n">
        <x:v>46054</x:v>
      </x:c>
      <x:c r="D1071" t="str">
        <x:v>Entidad financiera A</x:v>
      </x:c>
      <x:c r="E1071" t="str">
        <x:v>Crédito de consumo</x:v>
      </x:c>
      <x:c r="F1071" t="n">
        <x:v>18410000</x:v>
      </x:c>
      <x:c r="G1071" s="40" t="n">
        <x:v>0.1896</x:v>
      </x:c>
      <x:c r="H1071" s="40" t="n">
        <x:v>0.014573</x:v>
      </x:c>
      <x:c r="I1071" t="n">
        <x:v>36</x:v>
      </x:c>
      <x:c r="J1071" t="n">
        <x:v>660800</x:v>
      </x:c>
      <x:c r="K1071" t="str">
        <x:v>Avalancha</x:v>
      </x:c>
      <x:c r="L1071" t="str">
        <x:v>Vigente</x:v>
      </x:c>
      <x:c r="M1071" t="n">
        <x:v>16988590.74</x:v>
      </x:c>
      <x:c r="N1071"/>
    </x:row>
    <x:row r="1072">
      <x:c r="A1072" t="str">
        <x:v>DEU-001071</x:v>
      </x:c>
      <x:c r="B1072" t="str">
        <x:v>USR-00541</x:v>
      </x:c>
      <x:c r="C1072" t="n">
        <x:v>46054</x:v>
      </x:c>
      <x:c r="D1072" t="str">
        <x:v>Entidad financiera E</x:v>
      </x:c>
      <x:c r="E1072" t="str">
        <x:v>Crédito de libre inversión</x:v>
      </x:c>
      <x:c r="F1072" t="n">
        <x:v>10660000</x:v>
      </x:c>
      <x:c r="G1072" s="40" t="n">
        <x:v>0.1744</x:v>
      </x:c>
      <x:c r="H1072" s="40" t="n">
        <x:v>0.013487</x:v>
      </x:c>
      <x:c r="I1072" t="n">
        <x:v>24</x:v>
      </x:c>
      <x:c r="J1072" t="n">
        <x:v>522900</x:v>
      </x:c>
      <x:c r="K1072" t="str">
        <x:v>Avalancha</x:v>
      </x:c>
      <x:c r="L1072" t="str">
        <x:v>Vigente</x:v>
      </x:c>
      <x:c r="M1072" t="n">
        <x:v>8089067.23</x:v>
      </x:c>
      <x:c r="N1072"/>
    </x:row>
    <x:row r="1073">
      <x:c r="A1073" t="str">
        <x:v>DEU-001072</x:v>
      </x:c>
      <x:c r="B1073" t="str">
        <x:v>USR-00556</x:v>
      </x:c>
      <x:c r="C1073" t="n">
        <x:v>46054</x:v>
      </x:c>
      <x:c r="D1073" t="str">
        <x:v>Financiera D</x:v>
      </x:c>
      <x:c r="E1073" t="str">
        <x:v>Crédito de libre inversión</x:v>
      </x:c>
      <x:c r="F1073" t="n">
        <x:v>4440000</x:v>
      </x:c>
      <x:c r="G1073" s="40" t="n">
        <x:v>0.3117</x:v>
      </x:c>
      <x:c r="H1073" s="40" t="n">
        <x:v>0.022868</x:v>
      </x:c>
      <x:c r="I1073" t="n">
        <x:v>24</x:v>
      </x:c>
      <x:c r="J1073" t="n">
        <x:v>242400</x:v>
      </x:c>
      <x:c r="K1073" t="str">
        <x:v>Avalancha</x:v>
      </x:c>
      <x:c r="L1073" t="str">
        <x:v>Vigente</x:v>
      </x:c>
      <x:c r="M1073" t="n">
        <x:v>4425834.19</x:v>
      </x:c>
      <x:c r="N1073"/>
    </x:row>
    <x:row r="1074">
      <x:c r="A1074" t="str">
        <x:v>DEU-001073</x:v>
      </x:c>
      <x:c r="B1074" t="str">
        <x:v>USR-00556</x:v>
      </x:c>
      <x:c r="C1074" t="n">
        <x:v>46054</x:v>
      </x:c>
      <x:c r="D1074" t="str">
        <x:v>Financiera D</x:v>
      </x:c>
      <x:c r="E1074" t="str">
        <x:v>Tarjeta de crédito</x:v>
      </x:c>
      <x:c r="F1074" t="n">
        <x:v>5300000</x:v>
      </x:c>
      <x:c r="G1074" s="40" t="n">
        <x:v>0.2479</x:v>
      </x:c>
      <x:c r="H1074" s="40" t="n">
        <x:v>0.018627</x:v>
      </x:c>
      <x:c r="I1074" t="n">
        <x:v>48</x:v>
      </x:c>
      <x:c r="J1074" t="n">
        <x:v>168000</x:v>
      </x:c>
      <x:c r="K1074" t="str">
        <x:v>Avalancha</x:v>
      </x:c>
      <x:c r="L1074" t="str">
        <x:v>Vigente</x:v>
      </x:c>
      <x:c r="M1074" t="n">
        <x:v>5234484.34</x:v>
      </x:c>
      <x:c r="N1074"/>
    </x:row>
    <x:row r="1075">
      <x:c r="A1075" t="str">
        <x:v>DEU-001074</x:v>
      </x:c>
      <x:c r="B1075" t="str">
        <x:v>USR-00557</x:v>
      </x:c>
      <x:c r="C1075" t="n">
        <x:v>46054</x:v>
      </x:c>
      <x:c r="D1075" t="str">
        <x:v>Cooperativa C</x:v>
      </x:c>
      <x:c r="E1075" t="str">
        <x:v>Crédito de consumo</x:v>
      </x:c>
      <x:c r="F1075" t="n">
        <x:v>9450000</x:v>
      </x:c>
      <x:c r="G1075" s="40" t="n">
        <x:v>0.2791</x:v>
      </x:c>
      <x:c r="H1075" s="40" t="n">
        <x:v>0.020725</x:v>
      </x:c>
      <x:c r="I1075" t="n">
        <x:v>24</x:v>
      </x:c>
      <x:c r="J1075" t="n">
        <x:v>503700</x:v>
      </x:c>
      <x:c r="K1075" t="str">
        <x:v>Avalancha</x:v>
      </x:c>
      <x:c r="L1075" t="str">
        <x:v>Vigente</x:v>
      </x:c>
      <x:c r="M1075" t="n">
        <x:v>9995706.59</x:v>
      </x:c>
      <x:c r="N1075"/>
    </x:row>
    <x:row r="1076">
      <x:c r="A1076" t="str">
        <x:v>DEU-001075</x:v>
      </x:c>
      <x:c r="B1076" t="str">
        <x:v>USR-00558</x:v>
      </x:c>
      <x:c r="C1076" t="n">
        <x:v>46054</x:v>
      </x:c>
      <x:c r="D1076" t="str">
        <x:v>Entidad financiera B</x:v>
      </x:c>
      <x:c r="E1076" t="str">
        <x:v>Tarjeta de crédito</x:v>
      </x:c>
      <x:c r="F1076" t="n">
        <x:v>6060000</x:v>
      </x:c>
      <x:c r="G1076" s="40" t="n">
        <x:v>0.1283</x:v>
      </x:c>
      <x:c r="H1076" s="40" t="n">
        <x:v>0.01011</x:v>
      </x:c>
      <x:c r="I1076" t="n">
        <x:v>60</x:v>
      </x:c>
      <x:c r="J1076" t="n">
        <x:v>135200</x:v>
      </x:c>
      <x:c r="K1076" t="str">
        <x:v>Bola de nieve</x:v>
      </x:c>
      <x:c r="L1076" t="str">
        <x:v>Vigente</x:v>
      </x:c>
      <x:c r="M1076" t="n">
        <x:v>5697854.85</x:v>
      </x:c>
      <x:c r="N1076"/>
    </x:row>
    <x:row r="1077">
      <x:c r="A1077" t="str">
        <x:v>DEU-001076</x:v>
      </x:c>
      <x:c r="B1077" t="str">
        <x:v>USR-00559</x:v>
      </x:c>
      <x:c r="C1077" t="n">
        <x:v>46054</x:v>
      </x:c>
      <x:c r="D1077" t="str">
        <x:v>Entidad financiera E</x:v>
      </x:c>
      <x:c r="E1077" t="str">
        <x:v>Tarjeta de crédito</x:v>
      </x:c>
      <x:c r="F1077" t="n">
        <x:v>4710000</x:v>
      </x:c>
      <x:c r="G1077" s="40" t="n">
        <x:v>0.2254</x:v>
      </x:c>
      <x:c r="H1077" s="40" t="n">
        <x:v>0.017083</x:v>
      </x:c>
      <x:c r="I1077" t="n">
        <x:v>18</x:v>
      </x:c>
      <x:c r="J1077" t="n">
        <x:v>306200</x:v>
      </x:c>
      <x:c r="K1077" t="str">
        <x:v>Bola de nieve</x:v>
      </x:c>
      <x:c r="L1077" t="str">
        <x:v>Vigente</x:v>
      </x:c>
      <x:c r="M1077" t="n">
        <x:v>3937617.72</x:v>
      </x:c>
      <x:c r="N1077"/>
    </x:row>
    <x:row r="1078">
      <x:c r="A1078" t="str">
        <x:v>DEU-001077</x:v>
      </x:c>
      <x:c r="B1078" t="str">
        <x:v>USR-00559</x:v>
      </x:c>
      <x:c r="C1078" t="n">
        <x:v>46054</x:v>
      </x:c>
      <x:c r="D1078" t="str">
        <x:v>Financiera D</x:v>
      </x:c>
      <x:c r="E1078" t="str">
        <x:v>Crédito de consumo</x:v>
      </x:c>
      <x:c r="F1078" t="n">
        <x:v>14250000</x:v>
      </x:c>
      <x:c r="G1078" s="40" t="n">
        <x:v>0.1693</x:v>
      </x:c>
      <x:c r="H1078" s="40" t="n">
        <x:v>0.013119</x:v>
      </x:c>
      <x:c r="I1078" t="n">
        <x:v>60</x:v>
      </x:c>
      <x:c r="J1078" t="n">
        <x:v>344600</x:v>
      </x:c>
      <x:c r="K1078" t="str">
        <x:v>Bola de nieve</x:v>
      </x:c>
      <x:c r="L1078" t="str">
        <x:v>Vigente</x:v>
      </x:c>
      <x:c r="M1078" t="n">
        <x:v>15025939.61</x:v>
      </x:c>
      <x:c r="N1078"/>
    </x:row>
    <x:row r="1079">
      <x:c r="A1079" t="str">
        <x:v>DEU-001078</x:v>
      </x:c>
      <x:c r="B1079" t="str">
        <x:v>USR-00560</x:v>
      </x:c>
      <x:c r="C1079" t="n">
        <x:v>46054</x:v>
      </x:c>
      <x:c r="D1079" t="str">
        <x:v>Cooperativa C</x:v>
      </x:c>
      <x:c r="E1079" t="str">
        <x:v>Crédito de libre inversión</x:v>
      </x:c>
      <x:c r="F1079" t="n">
        <x:v>19020000</x:v>
      </x:c>
      <x:c r="G1079" s="40" t="n">
        <x:v>0.1114</x:v>
      </x:c>
      <x:c r="H1079" s="40" t="n">
        <x:v>0.008841</x:v>
      </x:c>
      <x:c r="I1079" t="n">
        <x:v>30</x:v>
      </x:c>
      <x:c r="J1079" t="n">
        <x:v>724600</x:v>
      </x:c>
      <x:c r="K1079" t="str">
        <x:v>Avalancha</x:v>
      </x:c>
      <x:c r="L1079" t="str">
        <x:v>Vigente</x:v>
      </x:c>
      <x:c r="M1079" t="n">
        <x:v>15576918.61</x:v>
      </x:c>
      <x:c r="N1079"/>
    </x:row>
    <x:row r="1080">
      <x:c r="A1080" t="str">
        <x:v>DEU-001079</x:v>
      </x:c>
      <x:c r="B1080" t="str">
        <x:v>USR-00561</x:v>
      </x:c>
      <x:c r="C1080" t="n">
        <x:v>46054</x:v>
      </x:c>
      <x:c r="D1080" t="str">
        <x:v>Entidad financiera A</x:v>
      </x:c>
      <x:c r="E1080" t="str">
        <x:v>Crédito de vehículo</x:v>
      </x:c>
      <x:c r="F1080" t="n">
        <x:v>53670000</x:v>
      </x:c>
      <x:c r="G1080" s="40" t="n">
        <x:v>0.159</x:v>
      </x:c>
      <x:c r="H1080" s="40" t="n">
        <x:v>0.012372</x:v>
      </x:c>
      <x:c r="I1080" t="n">
        <x:v>36</x:v>
      </x:c>
      <x:c r="J1080" t="n">
        <x:v>1856500</x:v>
      </x:c>
      <x:c r="K1080" t="str">
        <x:v>Bola de nieve</x:v>
      </x:c>
      <x:c r="L1080" t="str">
        <x:v>Vigente</x:v>
      </x:c>
      <x:c r="M1080" t="n">
        <x:v>51159794.94</x:v>
      </x:c>
      <x:c r="N1080"/>
    </x:row>
    <x:row r="1081">
      <x:c r="A1081" t="str">
        <x:v>DEU-001080</x:v>
      </x:c>
      <x:c r="B1081" t="str">
        <x:v>USR-00562</x:v>
      </x:c>
      <x:c r="C1081" t="n">
        <x:v>46054</x:v>
      </x:c>
      <x:c r="D1081" t="str">
        <x:v>Financiera D</x:v>
      </x:c>
      <x:c r="E1081" t="str">
        <x:v>Crédito de consumo</x:v>
      </x:c>
      <x:c r="F1081" t="n">
        <x:v>15040000</x:v>
      </x:c>
      <x:c r="G1081" s="40" t="n">
        <x:v>0.3326</x:v>
      </x:c>
      <x:c r="H1081" s="40" t="n">
        <x:v>0.024216</x:v>
      </x:c>
      <x:c r="I1081" t="n">
        <x:v>48</x:v>
      </x:c>
      <x:c r="J1081" t="n">
        <x:v>533300</x:v>
      </x:c>
      <x:c r="K1081" t="str">
        <x:v>Avalancha</x:v>
      </x:c>
      <x:c r="L1081" t="str">
        <x:v>Vigente</x:v>
      </x:c>
      <x:c r="M1081" t="n">
        <x:v>13878553.64</x:v>
      </x:c>
      <x:c r="N1081"/>
    </x:row>
    <x:row r="1082">
      <x:c r="A1082" t="str">
        <x:v>DEU-001081</x:v>
      </x:c>
      <x:c r="B1082" t="str">
        <x:v>USR-00563</x:v>
      </x:c>
      <x:c r="C1082" t="n">
        <x:v>46054</x:v>
      </x:c>
      <x:c r="D1082" t="str">
        <x:v>Cooperativa C</x:v>
      </x:c>
      <x:c r="E1082" t="str">
        <x:v>Crédito educativo</x:v>
      </x:c>
      <x:c r="F1082" t="n">
        <x:v>3580000</x:v>
      </x:c>
      <x:c r="G1082" s="40" t="n">
        <x:v>0.2467</x:v>
      </x:c>
      <x:c r="H1082" s="40" t="n">
        <x:v>0.018545</x:v>
      </x:c>
      <x:c r="I1082" t="n">
        <x:v>48</x:v>
      </x:c>
      <x:c r="J1082" t="n">
        <x:v>113300</x:v>
      </x:c>
      <x:c r="K1082" t="str">
        <x:v>Avalancha</x:v>
      </x:c>
      <x:c r="L1082" t="str">
        <x:v>Vigente</x:v>
      </x:c>
      <x:c r="M1082" t="n">
        <x:v>3321034.53</x:v>
      </x:c>
      <x:c r="N1082"/>
    </x:row>
    <x:row r="1083">
      <x:c r="A1083" t="str">
        <x:v>DEU-001082</x:v>
      </x:c>
      <x:c r="B1083" t="str">
        <x:v>USR-00563</x:v>
      </x:c>
      <x:c r="C1083" t="n">
        <x:v>46054</x:v>
      </x:c>
      <x:c r="D1083" t="str">
        <x:v>Entidad financiera B</x:v>
      </x:c>
      <x:c r="E1083" t="str">
        <x:v>Tarjeta de crédito</x:v>
      </x:c>
      <x:c r="F1083" t="n">
        <x:v>5740000</x:v>
      </x:c>
      <x:c r="G1083" s="40" t="n">
        <x:v>0.1693</x:v>
      </x:c>
      <x:c r="H1083" s="40" t="n">
        <x:v>0.013119</x:v>
      </x:c>
      <x:c r="I1083" t="n">
        <x:v>18</x:v>
      </x:c>
      <x:c r="J1083" t="n">
        <x:v>360100</x:v>
      </x:c>
      <x:c r="K1083" t="str">
        <x:v>Avalancha</x:v>
      </x:c>
      <x:c r="L1083" t="str">
        <x:v>Vigente</x:v>
      </x:c>
      <x:c r="M1083" t="n">
        <x:v>4011801.62</x:v>
      </x:c>
      <x:c r="N1083"/>
    </x:row>
    <x:row r="1084">
      <x:c r="A1084" t="str">
        <x:v>DEU-001083</x:v>
      </x:c>
      <x:c r="B1084" t="str">
        <x:v>USR-00564</x:v>
      </x:c>
      <x:c r="C1084" t="n">
        <x:v>46054</x:v>
      </x:c>
      <x:c r="D1084" t="str">
        <x:v>Financiera D</x:v>
      </x:c>
      <x:c r="E1084" t="str">
        <x:v>Tarjeta de crédito</x:v>
      </x:c>
      <x:c r="F1084" t="n">
        <x:v>1170000</x:v>
      </x:c>
      <x:c r="G1084" s="40" t="n">
        <x:v>0.1599</x:v>
      </x:c>
      <x:c r="H1084" s="40" t="n">
        <x:v>0.012438</x:v>
      </x:c>
      <x:c r="I1084" t="n">
        <x:v>18</x:v>
      </x:c>
      <x:c r="J1084" t="n">
        <x:v>72900</x:v>
      </x:c>
      <x:c r="K1084" t="str">
        <x:v>Avalancha</x:v>
      </x:c>
      <x:c r="L1084" t="str">
        <x:v>Vigente</x:v>
      </x:c>
      <x:c r="M1084" t="n">
        <x:v>903878.53</x:v>
      </x:c>
      <x:c r="N1084"/>
    </x:row>
    <x:row r="1085">
      <x:c r="A1085" t="str">
        <x:v>DEU-001084</x:v>
      </x:c>
      <x:c r="B1085" t="str">
        <x:v>USR-00564</x:v>
      </x:c>
      <x:c r="C1085" t="n">
        <x:v>46054</x:v>
      </x:c>
      <x:c r="D1085" t="str">
        <x:v>Entidad financiera B</x:v>
      </x:c>
      <x:c r="E1085" t="str">
        <x:v>Crédito educativo</x:v>
      </x:c>
      <x:c r="F1085" t="n">
        <x:v>7470000</x:v>
      </x:c>
      <x:c r="G1085" s="40" t="n">
        <x:v>0.2086</x:v>
      </x:c>
      <x:c r="H1085" s="40" t="n">
        <x:v>0.015914</x:v>
      </x:c>
      <x:c r="I1085" t="n">
        <x:v>24</x:v>
      </x:c>
      <x:c r="J1085" t="n">
        <x:v>376900</x:v>
      </x:c>
      <x:c r="K1085" t="str">
        <x:v>Bola de nieve</x:v>
      </x:c>
      <x:c r="L1085" t="str">
        <x:v>Vigente</x:v>
      </x:c>
      <x:c r="M1085" t="n">
        <x:v>5507155.55</x:v>
      </x:c>
      <x:c r="N1085"/>
    </x:row>
    <x:row r="1086">
      <x:c r="A1086" t="str">
        <x:v>DEU-001085</x:v>
      </x:c>
      <x:c r="B1086" t="str">
        <x:v>USR-00565</x:v>
      </x:c>
      <x:c r="C1086" t="n">
        <x:v>46054</x:v>
      </x:c>
      <x:c r="D1086" t="str">
        <x:v>Financiera D</x:v>
      </x:c>
      <x:c r="E1086" t="str">
        <x:v>Crédito de vehículo</x:v>
      </x:c>
      <x:c r="F1086" t="n">
        <x:v>45680000</x:v>
      </x:c>
      <x:c r="G1086" s="40" t="n">
        <x:v>0.3125</x:v>
      </x:c>
      <x:c r="H1086" s="40" t="n">
        <x:v>0.02292</x:v>
      </x:c>
      <x:c r="I1086" t="n">
        <x:v>36</x:v>
      </x:c>
      <x:c r="J1086" t="n">
        <x:v>1877300</x:v>
      </x:c>
      <x:c r="K1086" t="str">
        <x:v>Bola de nieve</x:v>
      </x:c>
      <x:c r="L1086" t="str">
        <x:v>Vigente</x:v>
      </x:c>
      <x:c r="M1086" t="n">
        <x:v>44384533.5</x:v>
      </x:c>
      <x:c r="N1086"/>
    </x:row>
    <x:row r="1087">
      <x:c r="A1087" t="str">
        <x:v>DEU-001086</x:v>
      </x:c>
      <x:c r="B1087" t="str">
        <x:v>USR-00566</x:v>
      </x:c>
      <x:c r="C1087" t="n">
        <x:v>46054</x:v>
      </x:c>
      <x:c r="D1087" t="str">
        <x:v>Financiera D</x:v>
      </x:c>
      <x:c r="E1087" t="str">
        <x:v>Tarjeta de crédito</x:v>
      </x:c>
      <x:c r="F1087" t="n">
        <x:v>6430000</x:v>
      </x:c>
      <x:c r="G1087" s="40" t="n">
        <x:v>0.2619</x:v>
      </x:c>
      <x:c r="H1087" s="40" t="n">
        <x:v>0.019574</x:v>
      </x:c>
      <x:c r="I1087" t="n">
        <x:v>60</x:v>
      </x:c>
      <x:c r="J1087" t="n">
        <x:v>183100</x:v>
      </x:c>
      <x:c r="K1087" t="str">
        <x:v>Bola de nieve</x:v>
      </x:c>
      <x:c r="L1087" t="str">
        <x:v>Vigente</x:v>
      </x:c>
      <x:c r="M1087" t="n">
        <x:v>6853758.69</x:v>
      </x:c>
      <x:c r="N1087"/>
    </x:row>
    <x:row r="1088">
      <x:c r="A1088" t="str">
        <x:v>DEU-001087</x:v>
      </x:c>
      <x:c r="B1088" t="str">
        <x:v>USR-00566</x:v>
      </x:c>
      <x:c r="C1088" t="n">
        <x:v>46054</x:v>
      </x:c>
      <x:c r="D1088" t="str">
        <x:v>Financiera D</x:v>
      </x:c>
      <x:c r="E1088" t="str">
        <x:v>Crédito de consumo</x:v>
      </x:c>
      <x:c r="F1088" t="n">
        <x:v>15700000</x:v>
      </x:c>
      <x:c r="G1088" s="40" t="n">
        <x:v>0.2222</x:v>
      </x:c>
      <x:c r="H1088" s="40" t="n">
        <x:v>0.016862</x:v>
      </x:c>
      <x:c r="I1088" t="n">
        <x:v>48</x:v>
      </x:c>
      <x:c r="J1088" t="n">
        <x:v>479700</x:v>
      </x:c>
      <x:c r="K1088" t="str">
        <x:v>Bola de nieve</x:v>
      </x:c>
      <x:c r="L1088" t="str">
        <x:v>Vigente</x:v>
      </x:c>
      <x:c r="M1088" t="n">
        <x:v>14878046.84</x:v>
      </x:c>
      <x:c r="N1088"/>
    </x:row>
    <x:row r="1089">
      <x:c r="A1089" t="str">
        <x:v>DEU-001088</x:v>
      </x:c>
      <x:c r="B1089" t="str">
        <x:v>USR-00567</x:v>
      </x:c>
      <x:c r="C1089" t="n">
        <x:v>46054</x:v>
      </x:c>
      <x:c r="D1089" t="str">
        <x:v>Entidad financiera B</x:v>
      </x:c>
      <x:c r="E1089" t="str">
        <x:v>Crédito comercial</x:v>
      </x:c>
      <x:c r="F1089" t="n">
        <x:v>16230000</x:v>
      </x:c>
      <x:c r="G1089" s="40" t="n">
        <x:v>0.1873</x:v>
      </x:c>
      <x:c r="H1089" s="40" t="n">
        <x:v>0.01441</x:v>
      </x:c>
      <x:c r="I1089" t="n">
        <x:v>48</x:v>
      </x:c>
      <x:c r="J1089" t="n">
        <x:v>470800</x:v>
      </x:c>
      <x:c r="K1089" t="str">
        <x:v>Bola de nieve</x:v>
      </x:c>
      <x:c r="L1089" t="str">
        <x:v>Vigente</x:v>
      </x:c>
      <x:c r="M1089" t="n">
        <x:v>14045981.83</x:v>
      </x:c>
      <x:c r="N1089"/>
    </x:row>
    <x:row r="1090">
      <x:c r="A1090" t="str">
        <x:v>DEU-001089</x:v>
      </x:c>
      <x:c r="B1090" t="str">
        <x:v>USR-00567</x:v>
      </x:c>
      <x:c r="C1090" t="n">
        <x:v>46054</x:v>
      </x:c>
      <x:c r="D1090" t="str">
        <x:v>Cooperativa C</x:v>
      </x:c>
      <x:c r="E1090" t="str">
        <x:v>Tarjeta de crédito</x:v>
      </x:c>
      <x:c r="F1090" t="n">
        <x:v>3130000</x:v>
      </x:c>
      <x:c r="G1090" s="40" t="n">
        <x:v>0.1936</x:v>
      </x:c>
      <x:c r="H1090" s="40" t="n">
        <x:v>0.014857</x:v>
      </x:c>
      <x:c r="I1090" t="n">
        <x:v>36</x:v>
      </x:c>
      <x:c r="J1090" t="n">
        <x:v>112900</x:v>
      </x:c>
      <x:c r="K1090" t="str">
        <x:v>Avalancha</x:v>
      </x:c>
      <x:c r="L1090" t="str">
        <x:v>Vigente</x:v>
      </x:c>
      <x:c r="M1090" t="n">
        <x:v>2598683.73</x:v>
      </x:c>
      <x:c r="N1090"/>
    </x:row>
    <x:row r="1091">
      <x:c r="A1091" t="str">
        <x:v>DEU-001090</x:v>
      </x:c>
      <x:c r="B1091" t="str">
        <x:v>USR-00568</x:v>
      </x:c>
      <x:c r="C1091" t="n">
        <x:v>46054</x:v>
      </x:c>
      <x:c r="D1091" t="str">
        <x:v>Entidad financiera A</x:v>
      </x:c>
      <x:c r="E1091" t="str">
        <x:v>Crédito de consumo</x:v>
      </x:c>
      <x:c r="F1091" t="n">
        <x:v>17400000</x:v>
      </x:c>
      <x:c r="G1091" s="40" t="n">
        <x:v>0.267</x:v>
      </x:c>
      <x:c r="H1091" s="40" t="n">
        <x:v>0.019917</x:v>
      </x:c>
      <x:c r="I1091" t="n">
        <x:v>30</x:v>
      </x:c>
      <x:c r="J1091" t="n">
        <x:v>776000</x:v>
      </x:c>
      <x:c r="K1091" t="str">
        <x:v>Bola de nieve</x:v>
      </x:c>
      <x:c r="L1091" t="str">
        <x:v>Vigente</x:v>
      </x:c>
      <x:c r="M1091" t="n">
        <x:v>16762501.42</x:v>
      </x:c>
      <x:c r="N1091"/>
    </x:row>
    <x:row r="1092">
      <x:c r="A1092" t="str">
        <x:v>DEU-001091</x:v>
      </x:c>
      <x:c r="B1092" t="str">
        <x:v>USR-00568</x:v>
      </x:c>
      <x:c r="C1092" t="n">
        <x:v>46054</x:v>
      </x:c>
      <x:c r="D1092" t="str">
        <x:v>Entidad financiera A</x:v>
      </x:c>
      <x:c r="E1092" t="str">
        <x:v>Crédito de consumo</x:v>
      </x:c>
      <x:c r="F1092" t="n">
        <x:v>14460000</x:v>
      </x:c>
      <x:c r="G1092" s="40" t="n">
        <x:v>0.2268</x:v>
      </x:c>
      <x:c r="H1092" s="40" t="n">
        <x:v>0.01718</x:v>
      </x:c>
      <x:c r="I1092" t="n">
        <x:v>18</x:v>
      </x:c>
      <x:c r="J1092" t="n">
        <x:v>940800</x:v>
      </x:c>
      <x:c r="K1092" t="str">
        <x:v>Avalancha</x:v>
      </x:c>
      <x:c r="L1092" t="str">
        <x:v>Vigente</x:v>
      </x:c>
      <x:c r="M1092" t="n">
        <x:v>9684311.59</x:v>
      </x:c>
      <x:c r="N1092"/>
    </x:row>
    <x:row r="1093">
      <x:c r="A1093" t="str">
        <x:v>DEU-001092</x:v>
      </x:c>
      <x:c r="B1093" t="str">
        <x:v>USR-00569</x:v>
      </x:c>
      <x:c r="C1093" t="n">
        <x:v>46054</x:v>
      </x:c>
      <x:c r="D1093" t="str">
        <x:v>Financiera D</x:v>
      </x:c>
      <x:c r="E1093" t="str">
        <x:v>Tarjeta de crédito</x:v>
      </x:c>
      <x:c r="F1093" t="n">
        <x:v>3460000</x:v>
      </x:c>
      <x:c r="G1093" s="40" t="n">
        <x:v>0.1733</x:v>
      </x:c>
      <x:c r="H1093" s="40" t="n">
        <x:v>0.013407</x:v>
      </x:c>
      <x:c r="I1093" t="n">
        <x:v>48</x:v>
      </x:c>
      <x:c r="J1093" t="n">
        <x:v>98200</x:v>
      </x:c>
      <x:c r="K1093" t="str">
        <x:v>Bola de nieve</x:v>
      </x:c>
      <x:c r="L1093" t="str">
        <x:v>Vigente</x:v>
      </x:c>
      <x:c r="M1093" t="n">
        <x:v>3325665.84</x:v>
      </x:c>
      <x:c r="N1093"/>
    </x:row>
    <x:row r="1094">
      <x:c r="A1094" t="str">
        <x:v>DEU-001093</x:v>
      </x:c>
      <x:c r="B1094" t="str">
        <x:v>USR-00570</x:v>
      </x:c>
      <x:c r="C1094" t="n">
        <x:v>46054</x:v>
      </x:c>
      <x:c r="D1094" t="str">
        <x:v>Financiera D</x:v>
      </x:c>
      <x:c r="E1094" t="str">
        <x:v>Crédito de consumo</x:v>
      </x:c>
      <x:c r="F1094" t="n">
        <x:v>15390000</x:v>
      </x:c>
      <x:c r="G1094" s="40" t="n">
        <x:v>0.3247</x:v>
      </x:c>
      <x:c r="H1094" s="40" t="n">
        <x:v>0.023709</x:v>
      </x:c>
      <x:c r="I1094" t="n">
        <x:v>36</x:v>
      </x:c>
      <x:c r="J1094" t="n">
        <x:v>640300</x:v>
      </x:c>
      <x:c r="K1094" t="str">
        <x:v>Bola de nieve</x:v>
      </x:c>
      <x:c r="L1094" t="str">
        <x:v>Vigente</x:v>
      </x:c>
      <x:c r="M1094" t="n">
        <x:v>14719545.71</x:v>
      </x:c>
      <x:c r="N1094"/>
    </x:row>
    <x:row r="1095">
      <x:c r="A1095" t="str">
        <x:v>DEU-001094</x:v>
      </x:c>
      <x:c r="B1095" t="str">
        <x:v>USR-00570</x:v>
      </x:c>
      <x:c r="C1095" t="n">
        <x:v>46054</x:v>
      </x:c>
      <x:c r="D1095" t="str">
        <x:v>Entidad financiera A</x:v>
      </x:c>
      <x:c r="E1095" t="str">
        <x:v>Crédito de consumo</x:v>
      </x:c>
      <x:c r="F1095" t="n">
        <x:v>7710000</x:v>
      </x:c>
      <x:c r="G1095" s="40" t="n">
        <x:v>0.2023</x:v>
      </x:c>
      <x:c r="H1095" s="40" t="n">
        <x:v>0.015471</x:v>
      </x:c>
      <x:c r="I1095" t="n">
        <x:v>30</x:v>
      </x:c>
      <x:c r="J1095" t="n">
        <x:v>323200</x:v>
      </x:c>
      <x:c r="K1095" t="str">
        <x:v>Bola de nieve</x:v>
      </x:c>
      <x:c r="L1095" t="str">
        <x:v>Vigente</x:v>
      </x:c>
      <x:c r="M1095" t="n">
        <x:v>7503133.96</x:v>
      </x:c>
      <x:c r="N1095"/>
    </x:row>
    <x:row r="1096">
      <x:c r="A1096" t="str">
        <x:v>DEU-001095</x:v>
      </x:c>
      <x:c r="B1096" t="str">
        <x:v>USR-00571</x:v>
      </x:c>
      <x:c r="C1096" t="n">
        <x:v>46054</x:v>
      </x:c>
      <x:c r="D1096" t="str">
        <x:v>Cooperativa C</x:v>
      </x:c>
      <x:c r="E1096" t="str">
        <x:v>Crédito de consumo</x:v>
      </x:c>
      <x:c r="F1096" t="n">
        <x:v>2210000</x:v>
      </x:c>
      <x:c r="G1096" s="40" t="n">
        <x:v>0.1246</x:v>
      </x:c>
      <x:c r="H1096" s="40" t="n">
        <x:v>0.009834</x:v>
      </x:c>
      <x:c r="I1096" t="n">
        <x:v>30</x:v>
      </x:c>
      <x:c r="J1096" t="n">
        <x:v>85400</x:v>
      </x:c>
      <x:c r="K1096" t="str">
        <x:v>Avalancha</x:v>
      </x:c>
      <x:c r="L1096" t="str">
        <x:v>Vigente</x:v>
      </x:c>
      <x:c r="M1096" t="n">
        <x:v>1868726.22</x:v>
      </x:c>
      <x:c r="N1096"/>
    </x:row>
    <x:row r="1097">
      <x:c r="A1097" t="str">
        <x:v>DEU-001096</x:v>
      </x:c>
      <x:c r="B1097" t="str">
        <x:v>USR-00571</x:v>
      </x:c>
      <x:c r="C1097" t="n">
        <x:v>46054</x:v>
      </x:c>
      <x:c r="D1097" t="str">
        <x:v>Entidad financiera B</x:v>
      </x:c>
      <x:c r="E1097" t="str">
        <x:v>Crédito de libre inversión</x:v>
      </x:c>
      <x:c r="F1097" t="n">
        <x:v>7030000</x:v>
      </x:c>
      <x:c r="G1097" s="40" t="n">
        <x:v>0.1051</x:v>
      </x:c>
      <x:c r="H1097" s="40" t="n">
        <x:v>0.008363</x:v>
      </x:c>
      <x:c r="I1097" t="n">
        <x:v>24</x:v>
      </x:c>
      <x:c r="J1097" t="n">
        <x:v>324500</x:v>
      </x:c>
      <x:c r="K1097" t="str">
        <x:v>Bola de nieve</x:v>
      </x:c>
      <x:c r="L1097" t="str">
        <x:v>Vigente</x:v>
      </x:c>
      <x:c r="M1097" t="n">
        <x:v>5938416.27</x:v>
      </x:c>
      <x:c r="N1097"/>
    </x:row>
    <x:row r="1098">
      <x:c r="A1098" t="str">
        <x:v>DEU-001097</x:v>
      </x:c>
      <x:c r="B1098" t="str">
        <x:v>USR-00572</x:v>
      </x:c>
      <x:c r="C1098" t="n">
        <x:v>46054</x:v>
      </x:c>
      <x:c r="D1098" t="str">
        <x:v>Entidad financiera A</x:v>
      </x:c>
      <x:c r="E1098" t="str">
        <x:v>Crédito de libre inversión</x:v>
      </x:c>
      <x:c r="F1098" t="n">
        <x:v>2390000</x:v>
      </x:c>
      <x:c r="G1098" s="40" t="n">
        <x:v>0.344</x:v>
      </x:c>
      <x:c r="H1098" s="40" t="n">
        <x:v>0.024944</x:v>
      </x:c>
      <x:c r="I1098" t="n">
        <x:v>24</x:v>
      </x:c>
      <x:c r="J1098" t="n">
        <x:v>133500</x:v>
      </x:c>
      <x:c r="K1098" t="str">
        <x:v>Bola de nieve</x:v>
      </x:c>
      <x:c r="L1098" t="str">
        <x:v>Vigente</x:v>
      </x:c>
      <x:c r="M1098" t="n">
        <x:v>2081991.62</x:v>
      </x:c>
      <x:c r="N1098"/>
    </x:row>
    <x:row r="1099">
      <x:c r="A1099" t="str">
        <x:v>DEU-001098</x:v>
      </x:c>
      <x:c r="B1099" t="str">
        <x:v>USR-00572</x:v>
      </x:c>
      <x:c r="C1099" t="n">
        <x:v>46054</x:v>
      </x:c>
      <x:c r="D1099" t="str">
        <x:v>Financiera D</x:v>
      </x:c>
      <x:c r="E1099" t="str">
        <x:v>Tarjeta de crédito</x:v>
      </x:c>
      <x:c r="F1099" t="n">
        <x:v>4280000</x:v>
      </x:c>
      <x:c r="G1099" s="40" t="n">
        <x:v>0.2507</x:v>
      </x:c>
      <x:c r="H1099" s="40" t="n">
        <x:v>0.018817</x:v>
      </x:c>
      <x:c r="I1099" t="n">
        <x:v>12</x:v>
      </x:c>
      <x:c r="J1099" t="n">
        <x:v>401800</x:v>
      </x:c>
      <x:c r="K1099" t="str">
        <x:v>Avalancha</x:v>
      </x:c>
      <x:c r="L1099" t="str">
        <x:v>Vigente</x:v>
      </x:c>
      <x:c r="M1099" t="n">
        <x:v>3112438.43</x:v>
      </x:c>
      <x:c r="N1099"/>
    </x:row>
    <x:row r="1100">
      <x:c r="A1100" t="str">
        <x:v>DEU-001099</x:v>
      </x:c>
      <x:c r="B1100" t="str">
        <x:v>USR-00573</x:v>
      </x:c>
      <x:c r="C1100" t="n">
        <x:v>46054</x:v>
      </x:c>
      <x:c r="D1100" t="str">
        <x:v>Entidad financiera E</x:v>
      </x:c>
      <x:c r="E1100" t="str">
        <x:v>Crédito de consumo</x:v>
      </x:c>
      <x:c r="F1100" t="n">
        <x:v>11450000</x:v>
      </x:c>
      <x:c r="G1100" s="40" t="n">
        <x:v>0.1554</x:v>
      </x:c>
      <x:c r="H1100" s="40" t="n">
        <x:v>0.01211</x:v>
      </x:c>
      <x:c r="I1100" t="n">
        <x:v>24</x:v>
      </x:c>
      <x:c r="J1100" t="n">
        <x:v>552600</x:v>
      </x:c>
      <x:c r="K1100" t="str">
        <x:v>Avalancha</x:v>
      </x:c>
      <x:c r="L1100" t="str">
        <x:v>Vigente</x:v>
      </x:c>
      <x:c r="M1100" t="n">
        <x:v>8329738.11</x:v>
      </x:c>
      <x:c r="N1100"/>
    </x:row>
    <x:row r="1101">
      <x:c r="A1101" t="str">
        <x:v>DEU-001100</x:v>
      </x:c>
      <x:c r="B1101" t="str">
        <x:v>USR-00573</x:v>
      </x:c>
      <x:c r="C1101" t="n">
        <x:v>46054</x:v>
      </x:c>
      <x:c r="D1101" t="str">
        <x:v>Financiera D</x:v>
      </x:c>
      <x:c r="E1101" t="str">
        <x:v>Crédito educativo</x:v>
      </x:c>
      <x:c r="F1101" t="n">
        <x:v>11370000</x:v>
      </x:c>
      <x:c r="G1101" s="40" t="n">
        <x:v>0.1596</x:v>
      </x:c>
      <x:c r="H1101" s="40" t="n">
        <x:v>0.012416</x:v>
      </x:c>
      <x:c r="I1101" t="n">
        <x:v>18</x:v>
      </x:c>
      <x:c r="J1101" t="n">
        <x:v>708800</x:v>
      </x:c>
      <x:c r="K1101" t="str">
        <x:v>Bola de nieve</x:v>
      </x:c>
      <x:c r="L1101" t="str">
        <x:v>Vigente</x:v>
      </x:c>
      <x:c r="M1101" t="n">
        <x:v>7890068.78</x:v>
      </x:c>
      <x:c r="N1101"/>
    </x:row>
    <x:row r="1102">
      <x:c r="A1102" t="str">
        <x:v>DEU-001101</x:v>
      </x:c>
      <x:c r="B1102" t="str">
        <x:v>USR-00573</x:v>
      </x:c>
      <x:c r="C1102" t="n">
        <x:v>46054</x:v>
      </x:c>
      <x:c r="D1102" t="str">
        <x:v>Cooperativa C</x:v>
      </x:c>
      <x:c r="E1102" t="str">
        <x:v>Tarjeta de crédito</x:v>
      </x:c>
      <x:c r="F1102" t="n">
        <x:v>1730000</x:v>
      </x:c>
      <x:c r="G1102" s="40" t="n">
        <x:v>0.3329</x:v>
      </x:c>
      <x:c r="H1102" s="40" t="n">
        <x:v>0.024235</x:v>
      </x:c>
      <x:c r="I1102" t="n">
        <x:v>18</x:v>
      </x:c>
      <x:c r="J1102" t="n">
        <x:v>119700</x:v>
      </x:c>
      <x:c r="K1102" t="str">
        <x:v>Bola de nieve</x:v>
      </x:c>
      <x:c r="L1102" t="str">
        <x:v>Vigente</x:v>
      </x:c>
      <x:c r="M1102" t="n">
        <x:v>1322565.35</x:v>
      </x:c>
      <x:c r="N1102"/>
    </x:row>
    <x:row r="1103">
      <x:c r="A1103" t="str">
        <x:v>DEU-001102</x:v>
      </x:c>
      <x:c r="B1103" t="str">
        <x:v>USR-00573</x:v>
      </x:c>
      <x:c r="C1103" t="n">
        <x:v>46054</x:v>
      </x:c>
      <x:c r="D1103" t="str">
        <x:v>Entidad financiera B</x:v>
      </x:c>
      <x:c r="E1103" t="str">
        <x:v>Tarjeta de crédito</x:v>
      </x:c>
      <x:c r="F1103" t="n">
        <x:v>7890000</x:v>
      </x:c>
      <x:c r="G1103" s="40" t="n">
        <x:v>0.2226</x:v>
      </x:c>
      <x:c r="H1103" s="40" t="n">
        <x:v>0.016889</x:v>
      </x:c>
      <x:c r="I1103" t="n">
        <x:v>60</x:v>
      </x:c>
      <x:c r="J1103" t="n">
        <x:v>210200</x:v>
      </x:c>
      <x:c r="K1103" t="str">
        <x:v>Bola de nieve</x:v>
      </x:c>
      <x:c r="L1103" t="str">
        <x:v>Vigente</x:v>
      </x:c>
      <x:c r="M1103" t="n">
        <x:v>7188128.7</x:v>
      </x:c>
      <x:c r="N1103"/>
    </x:row>
    <x:row r="1104">
      <x:c r="A1104" t="str">
        <x:v>DEU-001103</x:v>
      </x:c>
      <x:c r="B1104" t="str">
        <x:v>USR-00573</x:v>
      </x:c>
      <x:c r="C1104" t="n">
        <x:v>46054</x:v>
      </x:c>
      <x:c r="D1104" t="str">
        <x:v>Entidad financiera E</x:v>
      </x:c>
      <x:c r="E1104" t="str">
        <x:v>Crédito de consumo</x:v>
      </x:c>
      <x:c r="F1104" t="n">
        <x:v>16240000</x:v>
      </x:c>
      <x:c r="G1104" s="40" t="n">
        <x:v>0.1752</x:v>
      </x:c>
      <x:c r="H1104" s="40" t="n">
        <x:v>0.013544</x:v>
      </x:c>
      <x:c r="I1104" t="n">
        <x:v>60</x:v>
      </x:c>
      <x:c r="J1104" t="n">
        <x:v>397100</x:v>
      </x:c>
      <x:c r="K1104" t="str">
        <x:v>Bola de nieve</x:v>
      </x:c>
      <x:c r="L1104" t="str">
        <x:v>Vigente</x:v>
      </x:c>
      <x:c r="M1104" t="n">
        <x:v>15238133.05</x:v>
      </x:c>
      <x:c r="N1104"/>
    </x:row>
    <x:row r="1105">
      <x:c r="A1105" t="str">
        <x:v>DEU-001104</x:v>
      </x:c>
      <x:c r="B1105" t="str">
        <x:v>USR-00574</x:v>
      </x:c>
      <x:c r="C1105" t="n">
        <x:v>46054</x:v>
      </x:c>
      <x:c r="D1105" t="str">
        <x:v>Cooperativa C</x:v>
      </x:c>
      <x:c r="E1105" t="str">
        <x:v>Crédito de consumo</x:v>
      </x:c>
      <x:c r="F1105" t="n">
        <x:v>5240000</x:v>
      </x:c>
      <x:c r="G1105" s="40" t="n">
        <x:v>0.1627</x:v>
      </x:c>
      <x:c r="H1105" s="40" t="n">
        <x:v>0.012641</x:v>
      </x:c>
      <x:c r="I1105" t="n">
        <x:v>18</x:v>
      </x:c>
      <x:c r="J1105" t="n">
        <x:v>327300</x:v>
      </x:c>
      <x:c r="K1105" t="str">
        <x:v>Bola de nieve</x:v>
      </x:c>
      <x:c r="L1105" t="str">
        <x:v>Vigente</x:v>
      </x:c>
      <x:c r="M1105" t="n">
        <x:v>4117887.9</x:v>
      </x:c>
      <x:c r="N1105"/>
    </x:row>
    <x:row r="1106">
      <x:c r="A1106" t="str">
        <x:v>DEU-001105</x:v>
      </x:c>
      <x:c r="B1106" t="str">
        <x:v>USR-00575</x:v>
      </x:c>
      <x:c r="C1106" t="n">
        <x:v>46054</x:v>
      </x:c>
      <x:c r="D1106" t="str">
        <x:v>Financiera D</x:v>
      </x:c>
      <x:c r="E1106" t="str">
        <x:v>Crédito de libre inversión</x:v>
      </x:c>
      <x:c r="F1106" t="n">
        <x:v>16680000</x:v>
      </x:c>
      <x:c r="G1106" s="40" t="n">
        <x:v>0.1073</x:v>
      </x:c>
      <x:c r="H1106" s="40" t="n">
        <x:v>0.00853</x:v>
      </x:c>
      <x:c r="I1106" t="n">
        <x:v>36</x:v>
      </x:c>
      <x:c r="J1106" t="n">
        <x:v>540100</x:v>
      </x:c>
      <x:c r="K1106" t="str">
        <x:v>Bola de nieve</x:v>
      </x:c>
      <x:c r="L1106" t="str">
        <x:v>Vigente</x:v>
      </x:c>
      <x:c r="M1106" t="n">
        <x:v>13934300.42</x:v>
      </x:c>
      <x:c r="N1106"/>
    </x:row>
    <x:row r="1107">
      <x:c r="A1107" t="str">
        <x:v>DEU-001106</x:v>
      </x:c>
      <x:c r="B1107" t="str">
        <x:v>USR-00575</x:v>
      </x:c>
      <x:c r="C1107" t="n">
        <x:v>46054</x:v>
      </x:c>
      <x:c r="D1107" t="str">
        <x:v>Entidad financiera B</x:v>
      </x:c>
      <x:c r="E1107" t="str">
        <x:v>Crédito de consumo</x:v>
      </x:c>
      <x:c r="F1107" t="n">
        <x:v>14110000</x:v>
      </x:c>
      <x:c r="G1107" s="40" t="n">
        <x:v>0.1386</x:v>
      </x:c>
      <x:c r="H1107" s="40" t="n">
        <x:v>0.010875</x:v>
      </x:c>
      <x:c r="I1107" t="n">
        <x:v>24</x:v>
      </x:c>
      <x:c r="J1107" t="n">
        <x:v>671100</x:v>
      </x:c>
      <x:c r="K1107" t="str">
        <x:v>Bola de nieve</x:v>
      </x:c>
      <x:c r="L1107" t="str">
        <x:v>Vigente</x:v>
      </x:c>
      <x:c r="M1107" t="n">
        <x:v>12482942.82</x:v>
      </x:c>
      <x:c r="N1107"/>
    </x:row>
    <x:row r="1108">
      <x:c r="A1108" t="str">
        <x:v>DEU-001107</x:v>
      </x:c>
      <x:c r="B1108" t="str">
        <x:v>USR-00576</x:v>
      </x:c>
      <x:c r="C1108" t="n">
        <x:v>46054</x:v>
      </x:c>
      <x:c r="D1108" t="str">
        <x:v>Entidad financiera B</x:v>
      </x:c>
      <x:c r="E1108" t="str">
        <x:v>Crédito de libre inversión</x:v>
      </x:c>
      <x:c r="F1108" t="n">
        <x:v>11140000</x:v>
      </x:c>
      <x:c r="G1108" s="40" t="n">
        <x:v>0.2651</x:v>
      </x:c>
      <x:c r="H1108" s="40" t="n">
        <x:v>0.019789</x:v>
      </x:c>
      <x:c r="I1108" t="n">
        <x:v>60</x:v>
      </x:c>
      <x:c r="J1108" t="n">
        <x:v>318800</x:v>
      </x:c>
      <x:c r="K1108" t="str">
        <x:v>Avalancha</x:v>
      </x:c>
      <x:c r="L1108" t="str">
        <x:v>Vigente</x:v>
      </x:c>
      <x:c r="M1108" t="n">
        <x:v>11491223.31</x:v>
      </x:c>
      <x:c r="N1108"/>
    </x:row>
    <x:row r="1109">
      <x:c r="A1109" t="str">
        <x:v>DEU-001108</x:v>
      </x:c>
      <x:c r="B1109" t="str">
        <x:v>USR-00577</x:v>
      </x:c>
      <x:c r="C1109" t="n">
        <x:v>46054</x:v>
      </x:c>
      <x:c r="D1109" t="str">
        <x:v>Entidad financiera A</x:v>
      </x:c>
      <x:c r="E1109" t="str">
        <x:v>Crédito de consumo</x:v>
      </x:c>
      <x:c r="F1109" t="n">
        <x:v>9880000</x:v>
      </x:c>
      <x:c r="G1109" s="40" t="n">
        <x:v>0.3179</x:v>
      </x:c>
      <x:c r="H1109" s="40" t="n">
        <x:v>0.02327</x:v>
      </x:c>
      <x:c r="I1109" t="n">
        <x:v>18</x:v>
      </x:c>
      <x:c r="J1109" t="n">
        <x:v>678100</x:v>
      </x:c>
      <x:c r="K1109" t="str">
        <x:v>Avalancha</x:v>
      </x:c>
      <x:c r="L1109" t="str">
        <x:v>Vigente</x:v>
      </x:c>
      <x:c r="M1109" t="n">
        <x:v>6436991.09</x:v>
      </x:c>
      <x:c r="N1109"/>
    </x:row>
    <x:row r="1110">
      <x:c r="A1110" t="str">
        <x:v>DEU-001109</x:v>
      </x:c>
      <x:c r="B1110" t="str">
        <x:v>USR-00578</x:v>
      </x:c>
      <x:c r="C1110" t="n">
        <x:v>46054</x:v>
      </x:c>
      <x:c r="D1110" t="str">
        <x:v>Financiera D</x:v>
      </x:c>
      <x:c r="E1110" t="str">
        <x:v>Crédito de consumo</x:v>
      </x:c>
      <x:c r="F1110" t="n">
        <x:v>6600000</x:v>
      </x:c>
      <x:c r="G1110" s="40" t="n">
        <x:v>0.3217</x:v>
      </x:c>
      <x:c r="H1110" s="40" t="n">
        <x:v>0.023515</x:v>
      </x:c>
      <x:c r="I1110" t="n">
        <x:v>36</x:v>
      </x:c>
      <x:c r="J1110" t="n">
        <x:v>273800</x:v>
      </x:c>
      <x:c r="K1110" t="str">
        <x:v>Bola de nieve</x:v>
      </x:c>
      <x:c r="L1110" t="str">
        <x:v>Vigente</x:v>
      </x:c>
      <x:c r="M1110" t="n">
        <x:v>6548473.11</x:v>
      </x:c>
      <x:c r="N1110"/>
    </x:row>
    <x:row r="1111">
      <x:c r="A1111" t="str">
        <x:v>DEU-001110</x:v>
      </x:c>
      <x:c r="B1111" t="str">
        <x:v>USR-00579</x:v>
      </x:c>
      <x:c r="C1111" t="n">
        <x:v>46054</x:v>
      </x:c>
      <x:c r="D1111" t="str">
        <x:v>Entidad financiera B</x:v>
      </x:c>
      <x:c r="E1111" t="str">
        <x:v>Crédito comercial</x:v>
      </x:c>
      <x:c r="F1111" t="n">
        <x:v>34710000</x:v>
      </x:c>
      <x:c r="G1111" s="40" t="n">
        <x:v>0.3012</x:v>
      </x:c>
      <x:c r="H1111" s="40" t="n">
        <x:v>0.022183</x:v>
      </x:c>
      <x:c r="I1111" t="n">
        <x:v>30</x:v>
      </x:c>
      <x:c r="J1111" t="n">
        <x:v>1596700</x:v>
      </x:c>
      <x:c r="K1111" t="str">
        <x:v>Avalancha</x:v>
      </x:c>
      <x:c r="L1111" t="str">
        <x:v>Vigente</x:v>
      </x:c>
      <x:c r="M1111" t="n">
        <x:v>29440200.32</x:v>
      </x:c>
      <x:c r="N1111"/>
    </x:row>
    <x:row r="1112">
      <x:c r="A1112" t="str">
        <x:v>DEU-001111</x:v>
      </x:c>
      <x:c r="B1112" t="str">
        <x:v>USR-00580</x:v>
      </x:c>
      <x:c r="C1112" t="n">
        <x:v>46054</x:v>
      </x:c>
      <x:c r="D1112" t="str">
        <x:v>Entidad financiera A</x:v>
      </x:c>
      <x:c r="E1112" t="str">
        <x:v>Crédito de consumo</x:v>
      </x:c>
      <x:c r="F1112" t="n">
        <x:v>2690000</x:v>
      </x:c>
      <x:c r="G1112" s="40" t="n">
        <x:v>0.1636</x:v>
      </x:c>
      <x:c r="H1112" s="40" t="n">
        <x:v>0.012707</x:v>
      </x:c>
      <x:c r="I1112" t="n">
        <x:v>30</x:v>
      </x:c>
      <x:c r="J1112" t="n">
        <x:v>108400</x:v>
      </x:c>
      <x:c r="K1112" t="str">
        <x:v>Avalancha</x:v>
      </x:c>
      <x:c r="L1112" t="str">
        <x:v>Vigente</x:v>
      </x:c>
      <x:c r="M1112" t="n">
        <x:v>2420234.72</x:v>
      </x:c>
      <x:c r="N1112"/>
    </x:row>
    <x:row r="1113">
      <x:c r="A1113" t="str">
        <x:v>DEU-001112</x:v>
      </x:c>
      <x:c r="B1113" t="str">
        <x:v>USR-00580</x:v>
      </x:c>
      <x:c r="C1113" t="n">
        <x:v>46054</x:v>
      </x:c>
      <x:c r="D1113" t="str">
        <x:v>Entidad financiera E</x:v>
      </x:c>
      <x:c r="E1113" t="str">
        <x:v>Crédito de vehículo</x:v>
      </x:c>
      <x:c r="F1113" t="n">
        <x:v>27590000</x:v>
      </x:c>
      <x:c r="G1113" s="40" t="n">
        <x:v>0.1367</x:v>
      </x:c>
      <x:c r="H1113" s="40" t="n">
        <x:v>0.010735</x:v>
      </x:c>
      <x:c r="I1113" t="n">
        <x:v>30</x:v>
      </x:c>
      <x:c r="J1113" t="n">
        <x:v>1080600</x:v>
      </x:c>
      <x:c r="K1113" t="str">
        <x:v>Avalancha</x:v>
      </x:c>
      <x:c r="L1113" t="str">
        <x:v>Vigente</x:v>
      </x:c>
      <x:c r="M1113" t="n">
        <x:v>24055346.84</x:v>
      </x:c>
      <x:c r="N1113"/>
    </x:row>
    <x:row r="1114">
      <x:c r="A1114" t="str">
        <x:v>DEU-001113</x:v>
      </x:c>
      <x:c r="B1114" t="str">
        <x:v>USR-00581</x:v>
      </x:c>
      <x:c r="C1114" t="n">
        <x:v>46054</x:v>
      </x:c>
      <x:c r="D1114" t="str">
        <x:v>Cooperativa C</x:v>
      </x:c>
      <x:c r="E1114" t="str">
        <x:v>Crédito educativo</x:v>
      </x:c>
      <x:c r="F1114" t="n">
        <x:v>25710000</x:v>
      </x:c>
      <x:c r="G1114" s="40" t="n">
        <x:v>0.2733</x:v>
      </x:c>
      <x:c r="H1114" s="40" t="n">
        <x:v>0.020338</x:v>
      </x:c>
      <x:c r="I1114" t="n">
        <x:v>36</x:v>
      </x:c>
      <x:c r="J1114" t="n">
        <x:v>1014200</x:v>
      </x:c>
      <x:c r="K1114" t="str">
        <x:v>Avalancha</x:v>
      </x:c>
      <x:c r="L1114" t="str">
        <x:v>Vigente</x:v>
      </x:c>
      <x:c r="M1114" t="n">
        <x:v>26205952.4</x:v>
      </x:c>
      <x:c r="N1114"/>
    </x:row>
    <x:row r="1115">
      <x:c r="A1115" t="str">
        <x:v>DEU-001114</x:v>
      </x:c>
      <x:c r="B1115" t="str">
        <x:v>USR-00582</x:v>
      </x:c>
      <x:c r="C1115" t="n">
        <x:v>46054</x:v>
      </x:c>
      <x:c r="D1115" t="str">
        <x:v>Entidad financiera E</x:v>
      </x:c>
      <x:c r="E1115" t="str">
        <x:v>Crédito de consumo</x:v>
      </x:c>
      <x:c r="F1115" t="n">
        <x:v>17900000</x:v>
      </x:c>
      <x:c r="G1115" s="40" t="n">
        <x:v>0.315</x:v>
      </x:c>
      <x:c r="H1115" s="40" t="n">
        <x:v>0.023082</x:v>
      </x:c>
      <x:c r="I1115" t="n">
        <x:v>36</x:v>
      </x:c>
      <x:c r="J1115" t="n">
        <x:v>737500</x:v>
      </x:c>
      <x:c r="K1115" t="str">
        <x:v>Bola de nieve</x:v>
      </x:c>
      <x:c r="L1115" t="str">
        <x:v>Vigente</x:v>
      </x:c>
      <x:c r="M1115" t="n">
        <x:v>16611739.39</x:v>
      </x:c>
      <x:c r="N1115"/>
    </x:row>
    <x:row r="1116">
      <x:c r="A1116" t="str">
        <x:v>DEU-001115</x:v>
      </x:c>
      <x:c r="B1116" t="str">
        <x:v>USR-00582</x:v>
      </x:c>
      <x:c r="C1116" t="n">
        <x:v>46054</x:v>
      </x:c>
      <x:c r="D1116" t="str">
        <x:v>Cooperativa C</x:v>
      </x:c>
      <x:c r="E1116" t="str">
        <x:v>Crédito educativo</x:v>
      </x:c>
      <x:c r="F1116" t="n">
        <x:v>23860000</x:v>
      </x:c>
      <x:c r="G1116" s="40" t="n">
        <x:v>0.209</x:v>
      </x:c>
      <x:c r="H1116" s="40" t="n">
        <x:v>0.015942</x:v>
      </x:c>
      <x:c r="I1116" t="n">
        <x:v>36</x:v>
      </x:c>
      <x:c r="J1116" t="n">
        <x:v>876200</x:v>
      </x:c>
      <x:c r="K1116" t="str">
        <x:v>Avalancha</x:v>
      </x:c>
      <x:c r="L1116" t="str">
        <x:v>Vigente</x:v>
      </x:c>
      <x:c r="M1116" t="n">
        <x:v>24725300.61</x:v>
      </x:c>
      <x:c r="N1116"/>
    </x:row>
    <x:row r="1117">
      <x:c r="A1117" t="str">
        <x:v>DEU-001116</x:v>
      </x:c>
      <x:c r="B1117" t="str">
        <x:v>USR-00583</x:v>
      </x:c>
      <x:c r="C1117" t="n">
        <x:v>46054</x:v>
      </x:c>
      <x:c r="D1117" t="str">
        <x:v>Entidad financiera A</x:v>
      </x:c>
      <x:c r="E1117" t="str">
        <x:v>Crédito de consumo</x:v>
      </x:c>
      <x:c r="F1117" t="n">
        <x:v>5360000</x:v>
      </x:c>
      <x:c r="G1117" s="40" t="n">
        <x:v>0.2753</x:v>
      </x:c>
      <x:c r="H1117" s="40" t="n">
        <x:v>0.020472</x:v>
      </x:c>
      <x:c r="I1117" t="n">
        <x:v>12</x:v>
      </x:c>
      <x:c r="J1117" t="n">
        <x:v>508300</x:v>
      </x:c>
      <x:c r="K1117" t="str">
        <x:v>Bola de nieve</x:v>
      </x:c>
      <x:c r="L1117" t="str">
        <x:v>Vigente</x:v>
      </x:c>
      <x:c r="M1117" t="n">
        <x:v>2590715.28</x:v>
      </x:c>
      <x:c r="N1117"/>
    </x:row>
    <x:row r="1118">
      <x:c r="A1118" t="str">
        <x:v>DEU-001117</x:v>
      </x:c>
      <x:c r="B1118" t="str">
        <x:v>USR-00584</x:v>
      </x:c>
      <x:c r="C1118" t="n">
        <x:v>46054</x:v>
      </x:c>
      <x:c r="D1118" t="str">
        <x:v>Entidad financiera E</x:v>
      </x:c>
      <x:c r="E1118" t="str">
        <x:v>Crédito de vehículo</x:v>
      </x:c>
      <x:c r="F1118" t="n">
        <x:v>34570000</x:v>
      </x:c>
      <x:c r="G1118" s="40" t="n">
        <x:v>0.1135</x:v>
      </x:c>
      <x:c r="H1118" s="40" t="n">
        <x:v>0.008999</x:v>
      </x:c>
      <x:c r="I1118" t="n">
        <x:v>18</x:v>
      </x:c>
      <x:c r="J1118" t="n">
        <x:v>2088900</x:v>
      </x:c>
      <x:c r="K1118" t="str">
        <x:v>Bola de nieve</x:v>
      </x:c>
      <x:c r="L1118" t="str">
        <x:v>Vigente</x:v>
      </x:c>
      <x:c r="M1118" t="n">
        <x:v>19665885.71</x:v>
      </x:c>
      <x:c r="N1118"/>
    </x:row>
    <x:row r="1119">
      <x:c r="A1119" t="str">
        <x:v>DEU-001118</x:v>
      </x:c>
      <x:c r="B1119" t="str">
        <x:v>USR-00585</x:v>
      </x:c>
      <x:c r="C1119" t="n">
        <x:v>46054</x:v>
      </x:c>
      <x:c r="D1119" t="str">
        <x:v>Entidad financiera A</x:v>
      </x:c>
      <x:c r="E1119" t="str">
        <x:v>Crédito de consumo</x:v>
      </x:c>
      <x:c r="F1119" t="n">
        <x:v>7410000</x:v>
      </x:c>
      <x:c r="G1119" s="40" t="n">
        <x:v>0.2933</x:v>
      </x:c>
      <x:c r="H1119" s="40" t="n">
        <x:v>0.021664</x:v>
      </x:c>
      <x:c r="I1119" t="n">
        <x:v>60</x:v>
      </x:c>
      <x:c r="J1119" t="n">
        <x:v>221800</x:v>
      </x:c>
      <x:c r="K1119" t="str">
        <x:v>Bola de nieve</x:v>
      </x:c>
      <x:c r="L1119" t="str">
        <x:v>Vigente</x:v>
      </x:c>
      <x:c r="M1119" t="n">
        <x:v>7418211.19</x:v>
      </x:c>
      <x:c r="N1119"/>
    </x:row>
    <x:row r="1120">
      <x:c r="A1120" t="str">
        <x:v>DEU-001119</x:v>
      </x:c>
      <x:c r="B1120" t="str">
        <x:v>USR-00586</x:v>
      </x:c>
      <x:c r="C1120" t="n">
        <x:v>46054</x:v>
      </x:c>
      <x:c r="D1120" t="str">
        <x:v>Cooperativa C</x:v>
      </x:c>
      <x:c r="E1120" t="str">
        <x:v>Tarjeta de crédito</x:v>
      </x:c>
      <x:c r="F1120" t="n">
        <x:v>4870000</x:v>
      </x:c>
      <x:c r="G1120" s="40" t="n">
        <x:v>0.1629</x:v>
      </x:c>
      <x:c r="H1120" s="40" t="n">
        <x:v>0.012656</x:v>
      </x:c>
      <x:c r="I1120" t="n">
        <x:v>36</x:v>
      </x:c>
      <x:c r="J1120" t="n">
        <x:v>169300</x:v>
      </x:c>
      <x:c r="K1120" t="str">
        <x:v>Bola de nieve</x:v>
      </x:c>
      <x:c r="L1120" t="str">
        <x:v>Vigente</x:v>
      </x:c>
      <x:c r="M1120" t="n">
        <x:v>3906756.63</x:v>
      </x:c>
      <x:c r="N1120"/>
    </x:row>
    <x:row r="1121">
      <x:c r="A1121" t="str">
        <x:v>DEU-001120</x:v>
      </x:c>
      <x:c r="B1121" t="str">
        <x:v>USR-00586</x:v>
      </x:c>
      <x:c r="C1121" t="n">
        <x:v>46054</x:v>
      </x:c>
      <x:c r="D1121" t="str">
        <x:v>Financiera D</x:v>
      </x:c>
      <x:c r="E1121" t="str">
        <x:v>Crédito de consumo</x:v>
      </x:c>
      <x:c r="F1121" t="n">
        <x:v>8850000</x:v>
      </x:c>
      <x:c r="G1121" s="40" t="n">
        <x:v>0.2816</x:v>
      </x:c>
      <x:c r="H1121" s="40" t="n">
        <x:v>0.020891</x:v>
      </x:c>
      <x:c r="I1121" t="n">
        <x:v>60</x:v>
      </x:c>
      <x:c r="J1121" t="n">
        <x:v>260100</x:v>
      </x:c>
      <x:c r="K1121" t="str">
        <x:v>Bola de nieve</x:v>
      </x:c>
      <x:c r="L1121" t="str">
        <x:v>Vigente</x:v>
      </x:c>
      <x:c r="M1121" t="n">
        <x:v>8298826.32</x:v>
      </x:c>
      <x:c r="N1121"/>
    </x:row>
    <x:row r="1122">
      <x:c r="A1122" t="str">
        <x:v>DEU-001121</x:v>
      </x:c>
      <x:c r="B1122" t="str">
        <x:v>USR-00586</x:v>
      </x:c>
      <x:c r="C1122" t="n">
        <x:v>46054</x:v>
      </x:c>
      <x:c r="D1122" t="str">
        <x:v>Entidad financiera E</x:v>
      </x:c>
      <x:c r="E1122" t="str">
        <x:v>Crédito de consumo</x:v>
      </x:c>
      <x:c r="F1122" t="n">
        <x:v>4540000</x:v>
      </x:c>
      <x:c r="G1122" s="40" t="n">
        <x:v>0.2928</x:v>
      </x:c>
      <x:c r="H1122" s="40" t="n">
        <x:v>0.021632</x:v>
      </x:c>
      <x:c r="I1122" t="n">
        <x:v>48</x:v>
      </x:c>
      <x:c r="J1122" t="n">
        <x:v>153000</x:v>
      </x:c>
      <x:c r="K1122" t="str">
        <x:v>Avalancha</x:v>
      </x:c>
      <x:c r="L1122" t="str">
        <x:v>Vigente</x:v>
      </x:c>
      <x:c r="M1122" t="n">
        <x:v>4308997.05</x:v>
      </x:c>
      <x:c r="N1122"/>
    </x:row>
    <x:row r="1123">
      <x:c r="A1123" t="str">
        <x:v>DEU-001122</x:v>
      </x:c>
      <x:c r="B1123" t="str">
        <x:v>USR-00586</x:v>
      </x:c>
      <x:c r="C1123" t="n">
        <x:v>46054</x:v>
      </x:c>
      <x:c r="D1123" t="str">
        <x:v>Entidad financiera A</x:v>
      </x:c>
      <x:c r="E1123" t="str">
        <x:v>Crédito de vehículo</x:v>
      </x:c>
      <x:c r="F1123" t="n">
        <x:v>46660000</x:v>
      </x:c>
      <x:c r="G1123" s="40" t="n">
        <x:v>0.3077</x:v>
      </x:c>
      <x:c r="H1123" s="40" t="n">
        <x:v>0.022608</x:v>
      </x:c>
      <x:c r="I1123" t="n">
        <x:v>24</x:v>
      </x:c>
      <x:c r="J1123" t="n">
        <x:v>2540400</x:v>
      </x:c>
      <x:c r="K1123" t="str">
        <x:v>Avalancha</x:v>
      </x:c>
      <x:c r="L1123" t="str">
        <x:v>Vigente</x:v>
      </x:c>
      <x:c r="M1123" t="n">
        <x:v>33449268.88</x:v>
      </x:c>
      <x:c r="N1123"/>
    </x:row>
    <x:row r="1124">
      <x:c r="A1124" t="str">
        <x:v>DEU-001123</x:v>
      </x:c>
      <x:c r="B1124" t="str">
        <x:v>USR-00586</x:v>
      </x:c>
      <x:c r="C1124" t="n">
        <x:v>46054</x:v>
      </x:c>
      <x:c r="D1124" t="str">
        <x:v>Entidad financiera E</x:v>
      </x:c>
      <x:c r="E1124" t="str">
        <x:v>Crédito comercial</x:v>
      </x:c>
      <x:c r="F1124" t="n">
        <x:v>12870000</x:v>
      </x:c>
      <x:c r="G1124" s="40" t="n">
        <x:v>0.2785</x:v>
      </x:c>
      <x:c r="H1124" s="40" t="n">
        <x:v>0.020685</x:v>
      </x:c>
      <x:c r="I1124" t="n">
        <x:v>48</x:v>
      </x:c>
      <x:c r="J1124" t="n">
        <x:v>425500</x:v>
      </x:c>
      <x:c r="K1124" t="str">
        <x:v>Avalancha</x:v>
      </x:c>
      <x:c r="L1124" t="str">
        <x:v>Vigente</x:v>
      </x:c>
      <x:c r="M1124" t="n">
        <x:v>12324882.3</x:v>
      </x:c>
      <x:c r="N1124"/>
    </x:row>
    <x:row r="1125">
      <x:c r="A1125" t="str">
        <x:v>DEU-001124</x:v>
      </x:c>
      <x:c r="B1125" t="str">
        <x:v>USR-00587</x:v>
      </x:c>
      <x:c r="C1125" t="n">
        <x:v>46054</x:v>
      </x:c>
      <x:c r="D1125" t="str">
        <x:v>Entidad financiera A</x:v>
      </x:c>
      <x:c r="E1125" t="str">
        <x:v>Crédito de consumo</x:v>
      </x:c>
      <x:c r="F1125" t="n">
        <x:v>18800000</x:v>
      </x:c>
      <x:c r="G1125" s="40" t="n">
        <x:v>0.2731</x:v>
      </x:c>
      <x:c r="H1125" s="40" t="n">
        <x:v>0.020325</x:v>
      </x:c>
      <x:c r="I1125" t="n">
        <x:v>12</x:v>
      </x:c>
      <x:c r="J1125" t="n">
        <x:v>1781300</x:v>
      </x:c>
      <x:c r="K1125" t="str">
        <x:v>Bola de nieve</x:v>
      </x:c>
      <x:c r="L1125" t="str">
        <x:v>Vigente</x:v>
      </x:c>
      <x:c r="M1125" t="n">
        <x:v>9284571.06</x:v>
      </x:c>
      <x:c r="N1125"/>
    </x:row>
    <x:row r="1126">
      <x:c r="A1126" t="str">
        <x:v>DEU-001125</x:v>
      </x:c>
      <x:c r="B1126" t="str">
        <x:v>USR-00587</x:v>
      </x:c>
      <x:c r="C1126" t="n">
        <x:v>46054</x:v>
      </x:c>
      <x:c r="D1126" t="str">
        <x:v>Entidad financiera B</x:v>
      </x:c>
      <x:c r="E1126" t="str">
        <x:v>Tarjeta de crédito</x:v>
      </x:c>
      <x:c r="F1126" t="n">
        <x:v>4060000</x:v>
      </x:c>
      <x:c r="G1126" s="40" t="n">
        <x:v>0.2769</x:v>
      </x:c>
      <x:c r="H1126" s="40" t="n">
        <x:v>0.020578</x:v>
      </x:c>
      <x:c r="I1126" t="n">
        <x:v>60</x:v>
      </x:c>
      <x:c r="J1126" t="n">
        <x:v>118400</x:v>
      </x:c>
      <x:c r="K1126" t="str">
        <x:v>Avalancha</x:v>
      </x:c>
      <x:c r="L1126" t="str">
        <x:v>Vigente</x:v>
      </x:c>
      <x:c r="M1126" t="n">
        <x:v>3847992.91</x:v>
      </x:c>
      <x:c r="N1126"/>
    </x:row>
    <x:row r="1127">
      <x:c r="A1127" t="str">
        <x:v>DEU-001126</x:v>
      </x:c>
      <x:c r="B1127" t="str">
        <x:v>USR-00588</x:v>
      </x:c>
      <x:c r="C1127" t="n">
        <x:v>46054</x:v>
      </x:c>
      <x:c r="D1127" t="str">
        <x:v>Financiera D</x:v>
      </x:c>
      <x:c r="E1127" t="str">
        <x:v>Crédito de libre inversión</x:v>
      </x:c>
      <x:c r="F1127" t="n">
        <x:v>3730000</x:v>
      </x:c>
      <x:c r="G1127" s="40" t="n">
        <x:v>0.1879</x:v>
      </x:c>
      <x:c r="H1127" s="40" t="n">
        <x:v>0.014452</x:v>
      </x:c>
      <x:c r="I1127" t="n">
        <x:v>48</x:v>
      </x:c>
      <x:c r="J1127" t="n">
        <x:v>108300</x:v>
      </x:c>
      <x:c r="K1127" t="str">
        <x:v>Avalancha</x:v>
      </x:c>
      <x:c r="L1127" t="str">
        <x:v>Vigente</x:v>
      </x:c>
      <x:c r="M1127" t="n">
        <x:v>3695761.39</x:v>
      </x:c>
      <x:c r="N1127"/>
    </x:row>
    <x:row r="1128">
      <x:c r="A1128" t="str">
        <x:v>DEU-001127</x:v>
      </x:c>
      <x:c r="B1128" t="str">
        <x:v>USR-00588</x:v>
      </x:c>
      <x:c r="C1128" t="n">
        <x:v>46054</x:v>
      </x:c>
      <x:c r="D1128" t="str">
        <x:v>Entidad financiera B</x:v>
      </x:c>
      <x:c r="E1128" t="str">
        <x:v>Tarjeta de crédito</x:v>
      </x:c>
      <x:c r="F1128" t="n">
        <x:v>7460000</x:v>
      </x:c>
      <x:c r="G1128" s="40" t="n">
        <x:v>0.1657</x:v>
      </x:c>
      <x:c r="H1128" s="40" t="n">
        <x:v>0.012859</x:v>
      </x:c>
      <x:c r="I1128" t="n">
        <x:v>12</x:v>
      </x:c>
      <x:c r="J1128" t="n">
        <x:v>674800</x:v>
      </x:c>
      <x:c r="K1128" t="str">
        <x:v>Avalancha</x:v>
      </x:c>
      <x:c r="L1128" t="str">
        <x:v>Vigente</x:v>
      </x:c>
      <x:c r="M1128" t="n">
        <x:v>3921571.34</x:v>
      </x:c>
      <x:c r="N1128"/>
    </x:row>
    <x:row r="1129">
      <x:c r="A1129" t="str">
        <x:v>DEU-001128</x:v>
      </x:c>
      <x:c r="B1129" t="str">
        <x:v>USR-00589</x:v>
      </x:c>
      <x:c r="C1129" t="n">
        <x:v>46054</x:v>
      </x:c>
      <x:c r="D1129" t="str">
        <x:v>Financiera D</x:v>
      </x:c>
      <x:c r="E1129" t="str">
        <x:v>Crédito de vehículo</x:v>
      </x:c>
      <x:c r="F1129" t="n">
        <x:v>18770000</x:v>
      </x:c>
      <x:c r="G1129" s="40" t="n">
        <x:v>0.106</x:v>
      </x:c>
      <x:c r="H1129" s="40" t="n">
        <x:v>0.008431</x:v>
      </x:c>
      <x:c r="I1129" t="n">
        <x:v>24</x:v>
      </x:c>
      <x:c r="J1129" t="n">
        <x:v>867200</x:v>
      </x:c>
      <x:c r="K1129" t="str">
        <x:v>Bola de nieve</x:v>
      </x:c>
      <x:c r="L1129" t="str">
        <x:v>Vigente</x:v>
      </x:c>
      <x:c r="M1129" t="n">
        <x:v>13996577.68</x:v>
      </x:c>
      <x:c r="N1129"/>
    </x:row>
    <x:row r="1130">
      <x:c r="A1130" t="str">
        <x:v>DEU-001129</x:v>
      </x:c>
      <x:c r="B1130" t="str">
        <x:v>USR-00589</x:v>
      </x:c>
      <x:c r="C1130" t="n">
        <x:v>46054</x:v>
      </x:c>
      <x:c r="D1130" t="str">
        <x:v>Financiera D</x:v>
      </x:c>
      <x:c r="E1130" t="str">
        <x:v>Crédito comercial</x:v>
      </x:c>
      <x:c r="F1130" t="n">
        <x:v>5230000</x:v>
      </x:c>
      <x:c r="G1130" s="40" t="n">
        <x:v>0.2152</x:v>
      </x:c>
      <x:c r="H1130" s="40" t="n">
        <x:v>0.016375</x:v>
      </x:c>
      <x:c r="I1130" t="n">
        <x:v>12</x:v>
      </x:c>
      <x:c r="J1130" t="n">
        <x:v>483600</x:v>
      </x:c>
      <x:c r="K1130" t="str">
        <x:v>Bola de nieve</x:v>
      </x:c>
      <x:c r="L1130" t="str">
        <x:v>Vigente</x:v>
      </x:c>
      <x:c r="M1130" t="n">
        <x:v>2676502.45</x:v>
      </x:c>
      <x:c r="N1130"/>
    </x:row>
    <x:row r="1131">
      <x:c r="A1131" t="str">
        <x:v>DEU-001130</x:v>
      </x:c>
      <x:c r="B1131" t="str">
        <x:v>USR-00590</x:v>
      </x:c>
      <x:c r="C1131" t="n">
        <x:v>46054</x:v>
      </x:c>
      <x:c r="D1131" t="str">
        <x:v>Entidad financiera E</x:v>
      </x:c>
      <x:c r="E1131" t="str">
        <x:v>Tarjeta de crédito</x:v>
      </x:c>
      <x:c r="F1131" t="n">
        <x:v>5670000</x:v>
      </x:c>
      <x:c r="G1131" s="40" t="n">
        <x:v>0.2516</x:v>
      </x:c>
      <x:c r="H1131" s="40" t="n">
        <x:v>0.018878</x:v>
      </x:c>
      <x:c r="I1131" t="n">
        <x:v>18</x:v>
      </x:c>
      <x:c r="J1131" t="n">
        <x:v>374500</x:v>
      </x:c>
      <x:c r="K1131" t="str">
        <x:v>Bola de nieve</x:v>
      </x:c>
      <x:c r="L1131" t="str">
        <x:v>Vigente</x:v>
      </x:c>
      <x:c r="M1131" t="n">
        <x:v>4384711.55</x:v>
      </x:c>
      <x:c r="N1131"/>
    </x:row>
    <x:row r="1132">
      <x:c r="A1132" t="str">
        <x:v>DEU-001131</x:v>
      </x:c>
      <x:c r="B1132" t="str">
        <x:v>USR-00590</x:v>
      </x:c>
      <x:c r="C1132" t="n">
        <x:v>46054</x:v>
      </x:c>
      <x:c r="D1132" t="str">
        <x:v>Entidad financiera A</x:v>
      </x:c>
      <x:c r="E1132" t="str">
        <x:v>Crédito de consumo</x:v>
      </x:c>
      <x:c r="F1132" t="n">
        <x:v>15400000</x:v>
      </x:c>
      <x:c r="G1132" s="40" t="n">
        <x:v>0.302</x:v>
      </x:c>
      <x:c r="H1132" s="40" t="n">
        <x:v>0.022235</x:v>
      </x:c>
      <x:c r="I1132" t="n">
        <x:v>36</x:v>
      </x:c>
      <x:c r="J1132" t="n">
        <x:v>626100</x:v>
      </x:c>
      <x:c r="K1132" t="str">
        <x:v>Bola de nieve</x:v>
      </x:c>
      <x:c r="L1132" t="str">
        <x:v>Vigente</x:v>
      </x:c>
      <x:c r="M1132" t="n">
        <x:v>14434251.68</x:v>
      </x:c>
      <x:c r="N1132"/>
    </x:row>
    <x:row r="1133">
      <x:c r="A1133" t="str">
        <x:v>DEU-001132</x:v>
      </x:c>
      <x:c r="B1133" t="str">
        <x:v>USR-00591</x:v>
      </x:c>
      <x:c r="C1133" t="n">
        <x:v>46054</x:v>
      </x:c>
      <x:c r="D1133" t="str">
        <x:v>Entidad financiera B</x:v>
      </x:c>
      <x:c r="E1133" t="str">
        <x:v>Crédito de consumo</x:v>
      </x:c>
      <x:c r="F1133" t="n">
        <x:v>18590000</x:v>
      </x:c>
      <x:c r="G1133" s="40" t="n">
        <x:v>0.3135</x:v>
      </x:c>
      <x:c r="H1133" s="40" t="n">
        <x:v>0.022985</x:v>
      </x:c>
      <x:c r="I1133" t="n">
        <x:v>24</x:v>
      </x:c>
      <x:c r="J1133" t="n">
        <x:v>1016400</x:v>
      </x:c>
      <x:c r="K1133" t="str">
        <x:v>Avalancha</x:v>
      </x:c>
      <x:c r="L1133" t="str">
        <x:v>Vigente</x:v>
      </x:c>
      <x:c r="M1133" t="n">
        <x:v>16069509.67</x:v>
      </x:c>
      <x:c r="N1133"/>
    </x:row>
    <x:row r="1134">
      <x:c r="A1134" t="str">
        <x:v>DEU-001133</x:v>
      </x:c>
      <x:c r="B1134" t="str">
        <x:v>USR-00592</x:v>
      </x:c>
      <x:c r="C1134" t="n">
        <x:v>46054</x:v>
      </x:c>
      <x:c r="D1134" t="str">
        <x:v>Entidad financiera B</x:v>
      </x:c>
      <x:c r="E1134" t="str">
        <x:v>Tarjeta de crédito</x:v>
      </x:c>
      <x:c r="F1134" t="n">
        <x:v>1660000</x:v>
      </x:c>
      <x:c r="G1134" s="40" t="n">
        <x:v>0.2088</x:v>
      </x:c>
      <x:c r="H1134" s="40" t="n">
        <x:v>0.015928</x:v>
      </x:c>
      <x:c r="I1134" t="n">
        <x:v>30</x:v>
      </x:c>
      <x:c r="J1134" t="n">
        <x:v>70000</x:v>
      </x:c>
      <x:c r="K1134" t="str">
        <x:v>Bola de nieve</x:v>
      </x:c>
      <x:c r="L1134" t="str">
        <x:v>Vigente</x:v>
      </x:c>
      <x:c r="M1134" t="n">
        <x:v>1415021.77</x:v>
      </x:c>
      <x:c r="N1134"/>
    </x:row>
    <x:row r="1135">
      <x:c r="A1135" t="str">
        <x:v>DEU-001134</x:v>
      </x:c>
      <x:c r="B1135" t="str">
        <x:v>USR-00592</x:v>
      </x:c>
      <x:c r="C1135" t="n">
        <x:v>46054</x:v>
      </x:c>
      <x:c r="D1135" t="str">
        <x:v>Entidad financiera B</x:v>
      </x:c>
      <x:c r="E1135" t="str">
        <x:v>Crédito de vehículo</x:v>
      </x:c>
      <x:c r="F1135" t="n">
        <x:v>18330000</x:v>
      </x:c>
      <x:c r="G1135" s="40" t="n">
        <x:v>0.3321</x:v>
      </x:c>
      <x:c r="H1135" s="40" t="n">
        <x:v>0.024184</x:v>
      </x:c>
      <x:c r="I1135" t="n">
        <x:v>36</x:v>
      </x:c>
      <x:c r="J1135" t="n">
        <x:v>768300</x:v>
      </x:c>
      <x:c r="K1135" t="str">
        <x:v>Avalancha</x:v>
      </x:c>
      <x:c r="L1135" t="str">
        <x:v>Vigente</x:v>
      </x:c>
      <x:c r="M1135" t="n">
        <x:v>16391856.29</x:v>
      </x:c>
      <x:c r="N1135"/>
    </x:row>
    <x:row r="1136">
      <x:c r="A1136" t="str">
        <x:v>DEU-001135</x:v>
      </x:c>
      <x:c r="B1136" t="str">
        <x:v>USR-00593</x:v>
      </x:c>
      <x:c r="C1136" t="n">
        <x:v>46054</x:v>
      </x:c>
      <x:c r="D1136" t="str">
        <x:v>Financiera D</x:v>
      </x:c>
      <x:c r="E1136" t="str">
        <x:v>Tarjeta de crédito</x:v>
      </x:c>
      <x:c r="F1136" t="n">
        <x:v>3860000</x:v>
      </x:c>
      <x:c r="G1136" s="40" t="n">
        <x:v>0.2025</x:v>
      </x:c>
      <x:c r="H1136" s="40" t="n">
        <x:v>0.015486</x:v>
      </x:c>
      <x:c r="I1136" t="n">
        <x:v>30</x:v>
      </x:c>
      <x:c r="J1136" t="n">
        <x:v>161800</x:v>
      </x:c>
      <x:c r="K1136" t="str">
        <x:v>Bola de nieve</x:v>
      </x:c>
      <x:c r="L1136" t="str">
        <x:v>Vigente</x:v>
      </x:c>
      <x:c r="M1136" t="n">
        <x:v>3592669.16</x:v>
      </x:c>
      <x:c r="N1136"/>
    </x:row>
    <x:row r="1137">
      <x:c r="A1137" t="str">
        <x:v>DEU-001136</x:v>
      </x:c>
      <x:c r="B1137" t="str">
        <x:v>USR-00593</x:v>
      </x:c>
      <x:c r="C1137" t="n">
        <x:v>46054</x:v>
      </x:c>
      <x:c r="D1137" t="str">
        <x:v>Entidad financiera E</x:v>
      </x:c>
      <x:c r="E1137" t="str">
        <x:v>Crédito de consumo</x:v>
      </x:c>
      <x:c r="F1137" t="n">
        <x:v>6130000</x:v>
      </x:c>
      <x:c r="G1137" s="40" t="n">
        <x:v>0.2319</x:v>
      </x:c>
      <x:c r="H1137" s="40" t="n">
        <x:v>0.017532</x:v>
      </x:c>
      <x:c r="I1137" t="n">
        <x:v>12</x:v>
      </x:c>
      <x:c r="J1137" t="n">
        <x:v>570900</x:v>
      </x:c>
      <x:c r="K1137" t="str">
        <x:v>Avalancha</x:v>
      </x:c>
      <x:c r="L1137" t="str">
        <x:v>Vigente</x:v>
      </x:c>
      <x:c r="M1137" t="n">
        <x:v>5128297.02</x:v>
      </x:c>
      <x:c r="N1137"/>
    </x:row>
    <x:row r="1138">
      <x:c r="A1138" t="str">
        <x:v>DEU-001137</x:v>
      </x:c>
      <x:c r="B1138" t="str">
        <x:v>USR-00594</x:v>
      </x:c>
      <x:c r="C1138" t="n">
        <x:v>46054</x:v>
      </x:c>
      <x:c r="D1138" t="str">
        <x:v>Entidad financiera B</x:v>
      </x:c>
      <x:c r="E1138" t="str">
        <x:v>Crédito de consumo</x:v>
      </x:c>
      <x:c r="F1138" t="n">
        <x:v>6260000</x:v>
      </x:c>
      <x:c r="G1138" s="40" t="n">
        <x:v>0.2364</x:v>
      </x:c>
      <x:c r="H1138" s="40" t="n">
        <x:v>0.017841</x:v>
      </x:c>
      <x:c r="I1138" t="n">
        <x:v>60</x:v>
      </x:c>
      <x:c r="J1138" t="n">
        <x:v>170800</x:v>
      </x:c>
      <x:c r="K1138" t="str">
        <x:v>Avalancha</x:v>
      </x:c>
      <x:c r="L1138" t="str">
        <x:v>Vigente</x:v>
      </x:c>
      <x:c r="M1138" t="n">
        <x:v>6268708.89</x:v>
      </x:c>
      <x:c r="N1138"/>
    </x:row>
    <x:row r="1139">
      <x:c r="A1139" t="str">
        <x:v>DEU-001138</x:v>
      </x:c>
      <x:c r="B1139" t="str">
        <x:v>USR-00595</x:v>
      </x:c>
      <x:c r="C1139" t="n">
        <x:v>46054</x:v>
      </x:c>
      <x:c r="D1139" t="str">
        <x:v>Cooperativa C</x:v>
      </x:c>
      <x:c r="E1139" t="str">
        <x:v>Crédito de vehículo</x:v>
      </x:c>
      <x:c r="F1139" t="n">
        <x:v>40080000</x:v>
      </x:c>
      <x:c r="G1139" s="40" t="n">
        <x:v>0.175</x:v>
      </x:c>
      <x:c r="H1139" s="40" t="n">
        <x:v>0.01353</x:v>
      </x:c>
      <x:c r="I1139" t="n">
        <x:v>24</x:v>
      </x:c>
      <x:c r="J1139" t="n">
        <x:v>1967000</x:v>
      </x:c>
      <x:c r="K1139" t="str">
        <x:v>Bola de nieve</x:v>
      </x:c>
      <x:c r="L1139" t="str">
        <x:v>Vigente</x:v>
      </x:c>
      <x:c r="M1139" t="n">
        <x:v>30829627.46</x:v>
      </x:c>
      <x:c r="N1139"/>
    </x:row>
    <x:row r="1140">
      <x:c r="A1140" t="str">
        <x:v>DEU-001139</x:v>
      </x:c>
      <x:c r="B1140" t="str">
        <x:v>USR-00595</x:v>
      </x:c>
      <x:c r="C1140" t="n">
        <x:v>46054</x:v>
      </x:c>
      <x:c r="D1140" t="str">
        <x:v>Financiera D</x:v>
      </x:c>
      <x:c r="E1140" t="str">
        <x:v>Crédito educativo</x:v>
      </x:c>
      <x:c r="F1140" t="n">
        <x:v>13150000</x:v>
      </x:c>
      <x:c r="G1140" s="40" t="n">
        <x:v>0.3191</x:v>
      </x:c>
      <x:c r="H1140" s="40" t="n">
        <x:v>0.023348</x:v>
      </x:c>
      <x:c r="I1140" t="n">
        <x:v>12</x:v>
      </x:c>
      <x:c r="J1140" t="n">
        <x:v>1269200</x:v>
      </x:c>
      <x:c r="K1140" t="str">
        <x:v>Avalancha</x:v>
      </x:c>
      <x:c r="L1140" t="str">
        <x:v>Vigente</x:v>
      </x:c>
      <x:c r="M1140" t="n">
        <x:v>9906129.32</x:v>
      </x:c>
      <x:c r="N1140"/>
    </x:row>
    <x:row r="1141">
      <x:c r="A1141" t="str">
        <x:v>DEU-001140</x:v>
      </x:c>
      <x:c r="B1141" t="str">
        <x:v>USR-00596</x:v>
      </x:c>
      <x:c r="C1141" t="n">
        <x:v>46054</x:v>
      </x:c>
      <x:c r="D1141" t="str">
        <x:v>Entidad financiera B</x:v>
      </x:c>
      <x:c r="E1141" t="str">
        <x:v>Crédito de consumo</x:v>
      </x:c>
      <x:c r="F1141" t="n">
        <x:v>16630000</x:v>
      </x:c>
      <x:c r="G1141" s="40" t="n">
        <x:v>0.2074</x:v>
      </x:c>
      <x:c r="H1141" s="40" t="n">
        <x:v>0.01583</x:v>
      </x:c>
      <x:c r="I1141" t="n">
        <x:v>18</x:v>
      </x:c>
      <x:c r="J1141" t="n">
        <x:v>1069000</x:v>
      </x:c>
      <x:c r="K1141" t="str">
        <x:v>Avalancha</x:v>
      </x:c>
      <x:c r="L1141" t="str">
        <x:v>Vigente</x:v>
      </x:c>
      <x:c r="M1141" t="n">
        <x:v>12990386.42</x:v>
      </x:c>
      <x:c r="N1141"/>
    </x:row>
    <x:row r="1142">
      <x:c r="A1142" t="str">
        <x:v>DEU-001141</x:v>
      </x:c>
      <x:c r="B1142" t="str">
        <x:v>USR-00596</x:v>
      </x:c>
      <x:c r="C1142" t="n">
        <x:v>46054</x:v>
      </x:c>
      <x:c r="D1142" t="str">
        <x:v>Entidad financiera E</x:v>
      </x:c>
      <x:c r="E1142" t="str">
        <x:v>Crédito de consumo</x:v>
      </x:c>
      <x:c r="F1142" t="n">
        <x:v>16500000</x:v>
      </x:c>
      <x:c r="G1142" s="40" t="n">
        <x:v>0.1713</x:v>
      </x:c>
      <x:c r="H1142" s="40" t="n">
        <x:v>0.013263</x:v>
      </x:c>
      <x:c r="I1142" t="n">
        <x:v>24</x:v>
      </x:c>
      <x:c r="J1142" t="n">
        <x:v>807200</x:v>
      </x:c>
      <x:c r="K1142" t="str">
        <x:v>Avalancha</x:v>
      </x:c>
      <x:c r="L1142" t="str">
        <x:v>Vigente</x:v>
      </x:c>
      <x:c r="M1142" t="n">
        <x:v>13063795.11</x:v>
      </x:c>
      <x:c r="N1142"/>
    </x:row>
    <x:row r="1143">
      <x:c r="A1143" t="str">
        <x:v>DEU-001142</x:v>
      </x:c>
      <x:c r="B1143" t="str">
        <x:v>USR-00597</x:v>
      </x:c>
      <x:c r="C1143" t="n">
        <x:v>46054</x:v>
      </x:c>
      <x:c r="D1143" t="str">
        <x:v>Entidad financiera A</x:v>
      </x:c>
      <x:c r="E1143" t="str">
        <x:v>Tarjeta de crédito</x:v>
      </x:c>
      <x:c r="F1143" t="n">
        <x:v>4130000</x:v>
      </x:c>
      <x:c r="G1143" s="40" t="n">
        <x:v>0.3268</x:v>
      </x:c>
      <x:c r="H1143" s="40" t="n">
        <x:v>0.023844</x:v>
      </x:c>
      <x:c r="I1143" t="n">
        <x:v>24</x:v>
      </x:c>
      <x:c r="J1143" t="n">
        <x:v>228000</x:v>
      </x:c>
      <x:c r="K1143" t="str">
        <x:v>Bola de nieve</x:v>
      </x:c>
      <x:c r="L1143" t="str">
        <x:v>Vigente</x:v>
      </x:c>
      <x:c r="M1143" t="n">
        <x:v>4157643.14</x:v>
      </x:c>
      <x:c r="N1143"/>
    </x:row>
    <x:row r="1144">
      <x:c r="A1144" t="str">
        <x:v>DEU-001143</x:v>
      </x:c>
      <x:c r="B1144" t="str">
        <x:v>USR-00598</x:v>
      </x:c>
      <x:c r="C1144" t="n">
        <x:v>46054</x:v>
      </x:c>
      <x:c r="D1144" t="str">
        <x:v>Entidad financiera E</x:v>
      </x:c>
      <x:c r="E1144" t="str">
        <x:v>Crédito de consumo</x:v>
      </x:c>
      <x:c r="F1144" t="n">
        <x:v>2930000</x:v>
      </x:c>
      <x:c r="G1144" s="40" t="n">
        <x:v>0.1745</x:v>
      </x:c>
      <x:c r="H1144" s="40" t="n">
        <x:v>0.013494</x:v>
      </x:c>
      <x:c r="I1144" t="n">
        <x:v>36</x:v>
      </x:c>
      <x:c r="J1144" t="n">
        <x:v>103300</x:v>
      </x:c>
      <x:c r="K1144" t="str">
        <x:v>Bola de nieve</x:v>
      </x:c>
      <x:c r="L1144" t="str">
        <x:v>Vigente</x:v>
      </x:c>
      <x:c r="M1144" t="n">
        <x:v>2543421.35</x:v>
      </x:c>
      <x:c r="N1144"/>
    </x:row>
    <x:row r="1145">
      <x:c r="A1145" t="str">
        <x:v>DEU-001144</x:v>
      </x:c>
      <x:c r="B1145" t="str">
        <x:v>USR-00598</x:v>
      </x:c>
      <x:c r="C1145" t="n">
        <x:v>46054</x:v>
      </x:c>
      <x:c r="D1145" t="str">
        <x:v>Entidad financiera A</x:v>
      </x:c>
      <x:c r="E1145" t="str">
        <x:v>Crédito educativo</x:v>
      </x:c>
      <x:c r="F1145" t="n">
        <x:v>3570000</x:v>
      </x:c>
      <x:c r="G1145" s="40" t="n">
        <x:v>0.2291</x:v>
      </x:c>
      <x:c r="H1145" s="40" t="n">
        <x:v>0.017339</x:v>
      </x:c>
      <x:c r="I1145" t="n">
        <x:v>24</x:v>
      </x:c>
      <x:c r="J1145" t="n">
        <x:v>183100</x:v>
      </x:c>
      <x:c r="K1145" t="str">
        <x:v>Avalancha</x:v>
      </x:c>
      <x:c r="L1145" t="str">
        <x:v>Vigente</x:v>
      </x:c>
      <x:c r="M1145" t="n">
        <x:v>3038575.39</x:v>
      </x:c>
      <x:c r="N1145"/>
    </x:row>
    <x:row r="1146">
      <x:c r="A1146" t="str">
        <x:v>DEU-001145</x:v>
      </x:c>
      <x:c r="B1146" t="str">
        <x:v>USR-00598</x:v>
      </x:c>
      <x:c r="C1146" t="n">
        <x:v>46054</x:v>
      </x:c>
      <x:c r="D1146" t="str">
        <x:v>Entidad financiera A</x:v>
      </x:c>
      <x:c r="E1146" t="str">
        <x:v>Crédito de consumo</x:v>
      </x:c>
      <x:c r="F1146" t="n">
        <x:v>14420000</x:v>
      </x:c>
      <x:c r="G1146" s="40" t="n">
        <x:v>0.1892</x:v>
      </x:c>
      <x:c r="H1146" s="40" t="n">
        <x:v>0.014545</x:v>
      </x:c>
      <x:c r="I1146" t="n">
        <x:v>24</x:v>
      </x:c>
      <x:c r="J1146" t="n">
        <x:v>716100</x:v>
      </x:c>
      <x:c r="K1146" t="str">
        <x:v>Bola de nieve</x:v>
      </x:c>
      <x:c r="L1146" t="str">
        <x:v>Vigente</x:v>
      </x:c>
      <x:c r="M1146" t="n">
        <x:v>10346665.55</x:v>
      </x:c>
      <x:c r="N1146"/>
    </x:row>
    <x:row r="1147">
      <x:c r="A1147" t="str">
        <x:v>DEU-001146</x:v>
      </x:c>
      <x:c r="B1147" t="str">
        <x:v>USR-00598</x:v>
      </x:c>
      <x:c r="C1147" t="n">
        <x:v>46054</x:v>
      </x:c>
      <x:c r="D1147" t="str">
        <x:v>Financiera D</x:v>
      </x:c>
      <x:c r="E1147" t="str">
        <x:v>Crédito de consumo</x:v>
      </x:c>
      <x:c r="F1147" t="n">
        <x:v>5790000</x:v>
      </x:c>
      <x:c r="G1147" s="40" t="n">
        <x:v>0.181</x:v>
      </x:c>
      <x:c r="H1147" s="40" t="n">
        <x:v>0.01396</x:v>
      </x:c>
      <x:c r="I1147" t="n">
        <x:v>60</x:v>
      </x:c>
      <x:c r="J1147" t="n">
        <x:v>143100</x:v>
      </x:c>
      <x:c r="K1147" t="str">
        <x:v>Avalancha</x:v>
      </x:c>
      <x:c r="L1147" t="str">
        <x:v>Vigente</x:v>
      </x:c>
      <x:c r="M1147" t="n">
        <x:v>5384128.46</x:v>
      </x:c>
      <x:c r="N1147"/>
    </x:row>
    <x:row r="1148">
      <x:c r="A1148" t="str">
        <x:v>DEU-001147</x:v>
      </x:c>
      <x:c r="B1148" t="str">
        <x:v>USR-00599</x:v>
      </x:c>
      <x:c r="C1148" t="n">
        <x:v>46054</x:v>
      </x:c>
      <x:c r="D1148" t="str">
        <x:v>Entidad financiera B</x:v>
      </x:c>
      <x:c r="E1148" t="str">
        <x:v>Crédito de vehículo</x:v>
      </x:c>
      <x:c r="F1148" t="n">
        <x:v>41630000</x:v>
      </x:c>
      <x:c r="G1148" s="40" t="n">
        <x:v>0.1876</x:v>
      </x:c>
      <x:c r="H1148" s="40" t="n">
        <x:v>0.014431</x:v>
      </x:c>
      <x:c r="I1148" t="n">
        <x:v>48</x:v>
      </x:c>
      <x:c r="J1148" t="n">
        <x:v>1208100</x:v>
      </x:c>
      <x:c r="K1148" t="str">
        <x:v>Avalancha</x:v>
      </x:c>
      <x:c r="L1148" t="str">
        <x:v>Vigente</x:v>
      </x:c>
      <x:c r="M1148" t="n">
        <x:v>41074526.14</x:v>
      </x:c>
      <x:c r="N1148"/>
    </x:row>
    <x:row r="1149">
      <x:c r="A1149" t="str">
        <x:v>DEU-001148</x:v>
      </x:c>
      <x:c r="B1149" t="str">
        <x:v>USR-00599</x:v>
      </x:c>
      <x:c r="C1149" t="n">
        <x:v>46054</x:v>
      </x:c>
      <x:c r="D1149" t="str">
        <x:v>Financiera D</x:v>
      </x:c>
      <x:c r="E1149" t="str">
        <x:v>Crédito de consumo</x:v>
      </x:c>
      <x:c r="F1149" t="n">
        <x:v>12670000</x:v>
      </x:c>
      <x:c r="G1149" s="40" t="n">
        <x:v>0.2185</x:v>
      </x:c>
      <x:c r="H1149" s="40" t="n">
        <x:v>0.016605</x:v>
      </x:c>
      <x:c r="I1149" t="n">
        <x:v>36</x:v>
      </x:c>
      <x:c r="J1149" t="n">
        <x:v>470400</x:v>
      </x:c>
      <x:c r="K1149" t="str">
        <x:v>Avalancha</x:v>
      </x:c>
      <x:c r="L1149" t="str">
        <x:v>Vigente</x:v>
      </x:c>
      <x:c r="M1149" t="n">
        <x:v>11947300.02</x:v>
      </x:c>
      <x:c r="N1149"/>
    </x:row>
    <x:row r="1150">
      <x:c r="A1150" t="str">
        <x:v>DEU-001149</x:v>
      </x:c>
      <x:c r="B1150" t="str">
        <x:v>USR-00600</x:v>
      </x:c>
      <x:c r="C1150" t="n">
        <x:v>46054</x:v>
      </x:c>
      <x:c r="D1150" t="str">
        <x:v>Entidad financiera B</x:v>
      </x:c>
      <x:c r="E1150" t="str">
        <x:v>Crédito de libre inversión</x:v>
      </x:c>
      <x:c r="F1150" t="n">
        <x:v>12980000</x:v>
      </x:c>
      <x:c r="G1150" s="40" t="n">
        <x:v>0.1218</x:v>
      </x:c>
      <x:c r="H1150" s="40" t="n">
        <x:v>0.009624</x:v>
      </x:c>
      <x:c r="I1150" t="n">
        <x:v>24</x:v>
      </x:c>
      <x:c r="J1150" t="n">
        <x:v>608300</x:v>
      </x:c>
      <x:c r="K1150" t="str">
        <x:v>Bola de nieve</x:v>
      </x:c>
      <x:c r="L1150" t="str">
        <x:v>Vigente</x:v>
      </x:c>
      <x:c r="M1150" t="n">
        <x:v>9406881.32</x:v>
      </x:c>
      <x:c r="N1150"/>
    </x:row>
    <x:row r="1151">
      <x:c r="A1151" t="str">
        <x:v>DEU-001150</x:v>
      </x:c>
      <x:c r="B1151" t="str">
        <x:v>USR-00600</x:v>
      </x:c>
      <x:c r="C1151" t="n">
        <x:v>46054</x:v>
      </x:c>
      <x:c r="D1151" t="str">
        <x:v>Entidad financiera A</x:v>
      </x:c>
      <x:c r="E1151" t="str">
        <x:v>Crédito de vehículo</x:v>
      </x:c>
      <x:c r="F1151" t="n">
        <x:v>23200000</x:v>
      </x:c>
      <x:c r="G1151" s="40" t="n">
        <x:v>0.1679</x:v>
      </x:c>
      <x:c r="H1151" s="40" t="n">
        <x:v>0.013018</x:v>
      </x:c>
      <x:c r="I1151" t="n">
        <x:v>24</x:v>
      </x:c>
      <x:c r="J1151" t="n">
        <x:v>1131800</x:v>
      </x:c>
      <x:c r="K1151" t="str">
        <x:v>Avalancha</x:v>
      </x:c>
      <x:c r="L1151" t="str">
        <x:v>Vigente</x:v>
      </x:c>
      <x:c r="M1151" t="n">
        <x:v>19981969.45</x:v>
      </x:c>
      <x:c r="N1151"/>
    </x:row>
    <x:row r="1152">
      <x:c r="A1152" t="str">
        <x:v>DEU-001151</x:v>
      </x:c>
      <x:c r="B1152" t="str">
        <x:v>USR-00601</x:v>
      </x:c>
      <x:c r="C1152" t="n">
        <x:v>46054</x:v>
      </x:c>
      <x:c r="D1152" t="str">
        <x:v>Entidad financiera B</x:v>
      </x:c>
      <x:c r="E1152" t="str">
        <x:v>Tarjeta de crédito</x:v>
      </x:c>
      <x:c r="F1152" t="n">
        <x:v>3070000</x:v>
      </x:c>
      <x:c r="G1152" s="40" t="n">
        <x:v>0.273</x:v>
      </x:c>
      <x:c r="H1152" s="40" t="n">
        <x:v>0.020318</x:v>
      </x:c>
      <x:c r="I1152" t="n">
        <x:v>30</x:v>
      </x:c>
      <x:c r="J1152" t="n">
        <x:v>137700</x:v>
      </x:c>
      <x:c r="K1152" t="str">
        <x:v>Avalancha</x:v>
      </x:c>
      <x:c r="L1152" t="str">
        <x:v>Vigente</x:v>
      </x:c>
      <x:c r="M1152" t="n">
        <x:v>2598735.78</x:v>
      </x:c>
      <x:c r="N1152"/>
    </x:row>
    <x:row r="1153">
      <x:c r="A1153" t="str">
        <x:v>DEU-001152</x:v>
      </x:c>
      <x:c r="B1153" t="str">
        <x:v>USR-00601</x:v>
      </x:c>
      <x:c r="C1153" t="n">
        <x:v>46054</x:v>
      </x:c>
      <x:c r="D1153" t="str">
        <x:v>Cooperativa C</x:v>
      </x:c>
      <x:c r="E1153" t="str">
        <x:v>Crédito de consumo</x:v>
      </x:c>
      <x:c r="F1153" t="n">
        <x:v>4190000</x:v>
      </x:c>
      <x:c r="G1153" s="40" t="n">
        <x:v>0.2616</x:v>
      </x:c>
      <x:c r="H1153" s="40" t="n">
        <x:v>0.019554</x:v>
      </x:c>
      <x:c r="I1153" t="n">
        <x:v>36</x:v>
      </x:c>
      <x:c r="J1153" t="n">
        <x:v>163200</x:v>
      </x:c>
      <x:c r="K1153" t="str">
        <x:v>Bola de nieve</x:v>
      </x:c>
      <x:c r="L1153" t="str">
        <x:v>Vigente</x:v>
      </x:c>
      <x:c r="M1153" t="n">
        <x:v>3925377.13</x:v>
      </x:c>
      <x:c r="N1153"/>
    </x:row>
    <x:row r="1154">
      <x:c r="A1154" t="str">
        <x:v>DEU-001153</x:v>
      </x:c>
      <x:c r="B1154" t="str">
        <x:v>USR-00601</x:v>
      </x:c>
      <x:c r="C1154" t="n">
        <x:v>46054</x:v>
      </x:c>
      <x:c r="D1154" t="str">
        <x:v>Cooperativa C</x:v>
      </x:c>
      <x:c r="E1154" t="str">
        <x:v>Tarjeta de crédito</x:v>
      </x:c>
      <x:c r="F1154" t="n">
        <x:v>3960000</x:v>
      </x:c>
      <x:c r="G1154" s="40" t="n">
        <x:v>0.2303</x:v>
      </x:c>
      <x:c r="H1154" s="40" t="n">
        <x:v>0.017422</x:v>
      </x:c>
      <x:c r="I1154" t="n">
        <x:v>48</x:v>
      </x:c>
      <x:c r="J1154" t="n">
        <x:v>122400</x:v>
      </x:c>
      <x:c r="K1154" t="str">
        <x:v>Bola de nieve</x:v>
      </x:c>
      <x:c r="L1154" t="str">
        <x:v>Vigente</x:v>
      </x:c>
      <x:c r="M1154" t="n">
        <x:v>3699416.08</x:v>
      </x:c>
      <x:c r="N1154"/>
    </x:row>
    <x:row r="1155">
      <x:c r="A1155" t="str">
        <x:v>DEU-001154</x:v>
      </x:c>
      <x:c r="B1155" t="str">
        <x:v>USR-00601</x:v>
      </x:c>
      <x:c r="C1155" t="n">
        <x:v>46054</x:v>
      </x:c>
      <x:c r="D1155" t="str">
        <x:v>Entidad financiera B</x:v>
      </x:c>
      <x:c r="E1155" t="str">
        <x:v>Crédito de vehículo</x:v>
      </x:c>
      <x:c r="F1155" t="n">
        <x:v>23410000</x:v>
      </x:c>
      <x:c r="G1155" s="40" t="n">
        <x:v>0.2277</x:v>
      </x:c>
      <x:c r="H1155" s="40" t="n">
        <x:v>0.017242</x:v>
      </x:c>
      <x:c r="I1155" t="n">
        <x:v>30</x:v>
      </x:c>
      <x:c r="J1155" t="n">
        <x:v>1006000</x:v>
      </x:c>
      <x:c r="K1155" t="str">
        <x:v>Bola de nieve</x:v>
      </x:c>
      <x:c r="L1155" t="str">
        <x:v>Vigente</x:v>
      </x:c>
      <x:c r="M1155" t="n">
        <x:v>20176553.47</x:v>
      </x:c>
      <x:c r="N1155"/>
    </x:row>
    <x:row r="1156">
      <x:c r="A1156" t="str">
        <x:v>DEU-001155</x:v>
      </x:c>
      <x:c r="B1156" t="str">
        <x:v>USR-00602</x:v>
      </x:c>
      <x:c r="C1156" t="n">
        <x:v>46054</x:v>
      </x:c>
      <x:c r="D1156" t="str">
        <x:v>Entidad financiera B</x:v>
      </x:c>
      <x:c r="E1156" t="str">
        <x:v>Tarjeta de crédito</x:v>
      </x:c>
      <x:c r="F1156" t="n">
        <x:v>3170000</x:v>
      </x:c>
      <x:c r="G1156" s="40" t="n">
        <x:v>0.3164</x:v>
      </x:c>
      <x:c r="H1156" s="40" t="n">
        <x:v>0.023173</x:v>
      </x:c>
      <x:c r="I1156" t="n">
        <x:v>30</x:v>
      </x:c>
      <x:c r="J1156" t="n">
        <x:v>147800</x:v>
      </x:c>
      <x:c r="K1156" t="str">
        <x:v>Avalancha</x:v>
      </x:c>
      <x:c r="L1156" t="str">
        <x:v>Vigente</x:v>
      </x:c>
      <x:c r="M1156" t="n">
        <x:v>2479368.31</x:v>
      </x:c>
      <x:c r="N1156"/>
    </x:row>
    <x:row r="1157">
      <x:c r="A1157" t="str">
        <x:v>DEU-001156</x:v>
      </x:c>
      <x:c r="B1157" t="str">
        <x:v>USR-00602</x:v>
      </x:c>
      <x:c r="C1157" t="n">
        <x:v>46054</x:v>
      </x:c>
      <x:c r="D1157" t="str">
        <x:v>Cooperativa C</x:v>
      </x:c>
      <x:c r="E1157" t="str">
        <x:v>Crédito de consumo</x:v>
      </x:c>
      <x:c r="F1157" t="n">
        <x:v>7650000</x:v>
      </x:c>
      <x:c r="G1157" s="40" t="n">
        <x:v>0.2042</x:v>
      </x:c>
      <x:c r="H1157" s="40" t="n">
        <x:v>0.015605</x:v>
      </x:c>
      <x:c r="I1157" t="n">
        <x:v>36</x:v>
      </x:c>
      <x:c r="J1157" t="n">
        <x:v>279400</x:v>
      </x:c>
      <x:c r="K1157" t="str">
        <x:v>Bola de nieve</x:v>
      </x:c>
      <x:c r="L1157" t="str">
        <x:v>Vigente</x:v>
      </x:c>
      <x:c r="M1157" t="n">
        <x:v>7075663.39</x:v>
      </x:c>
      <x:c r="N1157"/>
    </x:row>
    <x:row r="1158">
      <x:c r="A1158" t="str">
        <x:v>DEU-001157</x:v>
      </x:c>
      <x:c r="B1158" t="str">
        <x:v>USR-00603</x:v>
      </x:c>
      <x:c r="C1158" t="n">
        <x:v>46054</x:v>
      </x:c>
      <x:c r="D1158" t="str">
        <x:v>Cooperativa C</x:v>
      </x:c>
      <x:c r="E1158" t="str">
        <x:v>Tarjeta de crédito</x:v>
      </x:c>
      <x:c r="F1158" t="n">
        <x:v>8190000</x:v>
      </x:c>
      <x:c r="G1158" s="40" t="n">
        <x:v>0.2108</x:v>
      </x:c>
      <x:c r="H1158" s="40" t="n">
        <x:v>0.016068</x:v>
      </x:c>
      <x:c r="I1158" t="n">
        <x:v>60</x:v>
      </x:c>
      <x:c r="J1158" t="n">
        <x:v>213700</x:v>
      </x:c>
      <x:c r="K1158" t="str">
        <x:v>Avalancha</x:v>
      </x:c>
      <x:c r="L1158" t="str">
        <x:v>Vigente</x:v>
      </x:c>
      <x:c r="M1158" t="n">
        <x:v>7806247.48</x:v>
      </x:c>
      <x:c r="N1158"/>
    </x:row>
    <x:row r="1159">
      <x:c r="A1159" t="str">
        <x:v>DEU-001158</x:v>
      </x:c>
      <x:c r="B1159" t="str">
        <x:v>USR-00604</x:v>
      </x:c>
      <x:c r="C1159" t="n">
        <x:v>46054</x:v>
      </x:c>
      <x:c r="D1159" t="str">
        <x:v>Cooperativa C</x:v>
      </x:c>
      <x:c r="E1159" t="str">
        <x:v>Tarjeta de crédito</x:v>
      </x:c>
      <x:c r="F1159" t="n">
        <x:v>870000</x:v>
      </x:c>
      <x:c r="G1159" s="40" t="n">
        <x:v>0.2199</x:v>
      </x:c>
      <x:c r="H1159" s="40" t="n">
        <x:v>0.016702</x:v>
      </x:c>
      <x:c r="I1159" t="n">
        <x:v>36</x:v>
      </x:c>
      <x:c r="J1159" t="n">
        <x:v>32400</x:v>
      </x:c>
      <x:c r="K1159" t="str">
        <x:v>Avalancha</x:v>
      </x:c>
      <x:c r="L1159" t="str">
        <x:v>Vigente</x:v>
      </x:c>
      <x:c r="M1159" t="n">
        <x:v>750162.7</x:v>
      </x:c>
      <x:c r="N1159"/>
    </x:row>
    <x:row r="1160">
      <x:c r="A1160" t="str">
        <x:v>DEU-001159</x:v>
      </x:c>
      <x:c r="B1160" t="str">
        <x:v>USR-00605</x:v>
      </x:c>
      <x:c r="C1160" t="n">
        <x:v>46054</x:v>
      </x:c>
      <x:c r="D1160" t="str">
        <x:v>Entidad financiera E</x:v>
      </x:c>
      <x:c r="E1160" t="str">
        <x:v>Tarjeta de crédito</x:v>
      </x:c>
      <x:c r="F1160" t="n">
        <x:v>3630000</x:v>
      </x:c>
      <x:c r="G1160" s="40" t="n">
        <x:v>0.3296</x:v>
      </x:c>
      <x:c r="H1160" s="40" t="n">
        <x:v>0.024024</x:v>
      </x:c>
      <x:c r="I1160" t="n">
        <x:v>12</x:v>
      </x:c>
      <x:c r="J1160" t="n">
        <x:v>351800</x:v>
      </x:c>
      <x:c r="K1160" t="str">
        <x:v>Bola de nieve</x:v>
      </x:c>
      <x:c r="L1160" t="str">
        <x:v>Vigente</x:v>
      </x:c>
      <x:c r="M1160" t="n">
        <x:v>1361619.46</x:v>
      </x:c>
      <x:c r="N1160"/>
    </x:row>
    <x:row r="1161">
      <x:c r="A1161" t="str">
        <x:v>DEU-001160</x:v>
      </x:c>
      <x:c r="B1161" t="str">
        <x:v>USR-00605</x:v>
      </x:c>
      <x:c r="C1161" t="n">
        <x:v>46054</x:v>
      </x:c>
      <x:c r="D1161" t="str">
        <x:v>Entidad financiera A</x:v>
      </x:c>
      <x:c r="E1161" t="str">
        <x:v>Crédito de consumo</x:v>
      </x:c>
      <x:c r="F1161" t="n">
        <x:v>8730000</x:v>
      </x:c>
      <x:c r="G1161" s="40" t="n">
        <x:v>0.2604</x:v>
      </x:c>
      <x:c r="H1161" s="40" t="n">
        <x:v>0.019473</x:v>
      </x:c>
      <x:c r="I1161" t="n">
        <x:v>12</x:v>
      </x:c>
      <x:c r="J1161" t="n">
        <x:v>822800</x:v>
      </x:c>
      <x:c r="K1161" t="str">
        <x:v>Avalancha</x:v>
      </x:c>
      <x:c r="L1161" t="str">
        <x:v>Vigente</x:v>
      </x:c>
      <x:c r="M1161" t="n">
        <x:v>3852872.28</x:v>
      </x:c>
      <x:c r="N1161"/>
    </x:row>
    <x:row r="1162">
      <x:c r="A1162" t="str">
        <x:v>DEU-001161</x:v>
      </x:c>
      <x:c r="B1162" t="str">
        <x:v>USR-00605</x:v>
      </x:c>
      <x:c r="C1162" t="n">
        <x:v>46054</x:v>
      </x:c>
      <x:c r="D1162" t="str">
        <x:v>Entidad financiera B</x:v>
      </x:c>
      <x:c r="E1162" t="str">
        <x:v>Crédito de consumo</x:v>
      </x:c>
      <x:c r="F1162" t="n">
        <x:v>13220000</x:v>
      </x:c>
      <x:c r="G1162" s="40" t="n">
        <x:v>0.271</x:v>
      </x:c>
      <x:c r="H1162" s="40" t="n">
        <x:v>0.020185</x:v>
      </x:c>
      <x:c r="I1162" t="n">
        <x:v>30</x:v>
      </x:c>
      <x:c r="J1162" t="n">
        <x:v>591800</x:v>
      </x:c>
      <x:c r="K1162" t="str">
        <x:v>Bola de nieve</x:v>
      </x:c>
      <x:c r="L1162" t="str">
        <x:v>Vigente</x:v>
      </x:c>
      <x:c r="M1162" t="n">
        <x:v>10772430.78</x:v>
      </x:c>
      <x:c r="N1162"/>
    </x:row>
    <x:row r="1163">
      <x:c r="A1163" t="str">
        <x:v>DEU-001162</x:v>
      </x:c>
      <x:c r="B1163" t="str">
        <x:v>USR-00605</x:v>
      </x:c>
      <x:c r="C1163" t="n">
        <x:v>46054</x:v>
      </x:c>
      <x:c r="D1163" t="str">
        <x:v>Cooperativa C</x:v>
      </x:c>
      <x:c r="E1163" t="str">
        <x:v>Crédito educativo</x:v>
      </x:c>
      <x:c r="F1163" t="n">
        <x:v>20930000</x:v>
      </x:c>
      <x:c r="G1163" s="40" t="n">
        <x:v>0.2449</x:v>
      </x:c>
      <x:c r="H1163" s="40" t="n">
        <x:v>0.018422</x:v>
      </x:c>
      <x:c r="I1163" t="n">
        <x:v>30</x:v>
      </x:c>
      <x:c r="J1163" t="n">
        <x:v>914400</x:v>
      </x:c>
      <x:c r="K1163" t="str">
        <x:v>Bola de nieve</x:v>
      </x:c>
      <x:c r="L1163" t="str">
        <x:v>Vigente</x:v>
      </x:c>
      <x:c r="M1163" t="n">
        <x:v>18811288.51</x:v>
      </x:c>
      <x:c r="N1163"/>
    </x:row>
    <x:row r="1164">
      <x:c r="A1164" t="str">
        <x:v>DEU-001163</x:v>
      </x:c>
      <x:c r="B1164" t="str">
        <x:v>USR-00605</x:v>
      </x:c>
      <x:c r="C1164" t="n">
        <x:v>46054</x:v>
      </x:c>
      <x:c r="D1164" t="str">
        <x:v>Cooperativa C</x:v>
      </x:c>
      <x:c r="E1164" t="str">
        <x:v>Tarjeta de crédito</x:v>
      </x:c>
      <x:c r="F1164" t="n">
        <x:v>2360000</x:v>
      </x:c>
      <x:c r="G1164" s="40" t="n">
        <x:v>0.2822</x:v>
      </x:c>
      <x:c r="H1164" s="40" t="n">
        <x:v>0.020931</x:v>
      </x:c>
      <x:c r="I1164" t="n">
        <x:v>60</x:v>
      </x:c>
      <x:c r="J1164" t="n">
        <x:v>69400</x:v>
      </x:c>
      <x:c r="K1164" t="str">
        <x:v>Avalancha</x:v>
      </x:c>
      <x:c r="L1164" t="str">
        <x:v>Vigente</x:v>
      </x:c>
      <x:c r="M1164" t="n">
        <x:v>2322354.01</x:v>
      </x:c>
      <x:c r="N1164"/>
    </x:row>
    <x:row r="1165">
      <x:c r="A1165" t="str">
        <x:v>DEU-001164</x:v>
      </x:c>
      <x:c r="B1165" t="str">
        <x:v>USR-00606</x:v>
      </x:c>
      <x:c r="C1165" t="n">
        <x:v>46054</x:v>
      </x:c>
      <x:c r="D1165" t="str">
        <x:v>Financiera D</x:v>
      </x:c>
      <x:c r="E1165" t="str">
        <x:v>Crédito educativo</x:v>
      </x:c>
      <x:c r="F1165" t="n">
        <x:v>20920000</x:v>
      </x:c>
      <x:c r="G1165" s="40" t="n">
        <x:v>0.1731</x:v>
      </x:c>
      <x:c r="H1165" s="40" t="n">
        <x:v>0.013393</x:v>
      </x:c>
      <x:c r="I1165" t="n">
        <x:v>36</x:v>
      </x:c>
      <x:c r="J1165" t="n">
        <x:v>736200</x:v>
      </x:c>
      <x:c r="K1165" t="str">
        <x:v>Avalancha</x:v>
      </x:c>
      <x:c r="L1165" t="str">
        <x:v>Vigente</x:v>
      </x:c>
      <x:c r="M1165" t="n">
        <x:v>16588399.36</x:v>
      </x:c>
      <x:c r="N1165"/>
    </x:row>
    <x:row r="1166">
      <x:c r="A1166" t="str">
        <x:v>DEU-001165</x:v>
      </x:c>
      <x:c r="B1166" t="str">
        <x:v>USR-00607</x:v>
      </x:c>
      <x:c r="C1166" t="n">
        <x:v>46054</x:v>
      </x:c>
      <x:c r="D1166" t="str">
        <x:v>Entidad financiera E</x:v>
      </x:c>
      <x:c r="E1166" t="str">
        <x:v>Crédito de libre inversión</x:v>
      </x:c>
      <x:c r="F1166" t="n">
        <x:v>10520000</x:v>
      </x:c>
      <x:c r="G1166" s="40" t="n">
        <x:v>0.221</x:v>
      </x:c>
      <x:c r="H1166" s="40" t="n">
        <x:v>0.016778</x:v>
      </x:c>
      <x:c r="I1166" t="n">
        <x:v>30</x:v>
      </x:c>
      <x:c r="J1166" t="n">
        <x:v>449200</x:v>
      </x:c>
      <x:c r="K1166" t="str">
        <x:v>Avalancha</x:v>
      </x:c>
      <x:c r="L1166" t="str">
        <x:v>Vigente</x:v>
      </x:c>
      <x:c r="M1166" t="n">
        <x:v>10247308.61</x:v>
      </x:c>
      <x:c r="N1166"/>
    </x:row>
    <x:row r="1167">
      <x:c r="A1167" t="str">
        <x:v>DEU-001166</x:v>
      </x:c>
      <x:c r="B1167" t="str">
        <x:v>USR-00607</x:v>
      </x:c>
      <x:c r="C1167" t="n">
        <x:v>46054</x:v>
      </x:c>
      <x:c r="D1167" t="str">
        <x:v>Financiera D</x:v>
      </x:c>
      <x:c r="E1167" t="str">
        <x:v>Tarjeta de crédito</x:v>
      </x:c>
      <x:c r="F1167" t="n">
        <x:v>6170000</x:v>
      </x:c>
      <x:c r="G1167" s="40" t="n">
        <x:v>0.2729</x:v>
      </x:c>
      <x:c r="H1167" s="40" t="n">
        <x:v>0.020312</x:v>
      </x:c>
      <x:c r="I1167" t="n">
        <x:v>30</x:v>
      </x:c>
      <x:c r="J1167" t="n">
        <x:v>276700</x:v>
      </x:c>
      <x:c r="K1167" t="str">
        <x:v>Bola de nieve</x:v>
      </x:c>
      <x:c r="L1167" t="str">
        <x:v>Vigente</x:v>
      </x:c>
      <x:c r="M1167" t="n">
        <x:v>6073923.05</x:v>
      </x:c>
      <x:c r="N1167"/>
    </x:row>
    <x:row r="1168">
      <x:c r="A1168" t="str">
        <x:v>DEU-001167</x:v>
      </x:c>
      <x:c r="B1168" t="str">
        <x:v>USR-00607</x:v>
      </x:c>
      <x:c r="C1168" t="n">
        <x:v>46054</x:v>
      </x:c>
      <x:c r="D1168" t="str">
        <x:v>Entidad financiera A</x:v>
      </x:c>
      <x:c r="E1168" t="str">
        <x:v>Crédito de consumo</x:v>
      </x:c>
      <x:c r="F1168" t="n">
        <x:v>11410000</x:v>
      </x:c>
      <x:c r="G1168" s="40" t="n">
        <x:v>0.2593</x:v>
      </x:c>
      <x:c r="H1168" s="40" t="n">
        <x:v>0.019399</x:v>
      </x:c>
      <x:c r="I1168" t="n">
        <x:v>18</x:v>
      </x:c>
      <x:c r="J1168" t="n">
        <x:v>757100</x:v>
      </x:c>
      <x:c r="K1168" t="str">
        <x:v>Avalancha</x:v>
      </x:c>
      <x:c r="L1168" t="str">
        <x:v>Vigente</x:v>
      </x:c>
      <x:c r="M1168" t="n">
        <x:v>11631339.83</x:v>
      </x:c>
      <x:c r="N1168"/>
    </x:row>
    <x:row r="1169">
      <x:c r="A1169" t="str">
        <x:v>DEU-001168</x:v>
      </x:c>
      <x:c r="B1169" t="str">
        <x:v>USR-00608</x:v>
      </x:c>
      <x:c r="C1169" t="n">
        <x:v>46054</x:v>
      </x:c>
      <x:c r="D1169" t="str">
        <x:v>Entidad financiera A</x:v>
      </x:c>
      <x:c r="E1169" t="str">
        <x:v>Crédito de libre inversión</x:v>
      </x:c>
      <x:c r="F1169" t="n">
        <x:v>7860000</x:v>
      </x:c>
      <x:c r="G1169" s="40" t="n">
        <x:v>0.3373</x:v>
      </x:c>
      <x:c r="H1169" s="40" t="n">
        <x:v>0.024517</x:v>
      </x:c>
      <x:c r="I1169" t="n">
        <x:v>48</x:v>
      </x:c>
      <x:c r="J1169" t="n">
        <x:v>280400</x:v>
      </x:c>
      <x:c r="K1169" t="str">
        <x:v>Bola de nieve</x:v>
      </x:c>
      <x:c r="L1169" t="str">
        <x:v>Vigente</x:v>
      </x:c>
      <x:c r="M1169" t="n">
        <x:v>7678562.44</x:v>
      </x:c>
      <x:c r="N1169"/>
    </x:row>
    <x:row r="1170">
      <x:c r="A1170" t="str">
        <x:v>DEU-001169</x:v>
      </x:c>
      <x:c r="B1170" t="str">
        <x:v>USR-00609</x:v>
      </x:c>
      <x:c r="C1170" t="n">
        <x:v>46054</x:v>
      </x:c>
      <x:c r="D1170" t="str">
        <x:v>Financiera D</x:v>
      </x:c>
      <x:c r="E1170" t="str">
        <x:v>Crédito de vehículo</x:v>
      </x:c>
      <x:c r="F1170" t="n">
        <x:v>30090000</x:v>
      </x:c>
      <x:c r="G1170" s="40" t="n">
        <x:v>0.2211</x:v>
      </x:c>
      <x:c r="H1170" s="40" t="n">
        <x:v>0.016785</x:v>
      </x:c>
      <x:c r="I1170" t="n">
        <x:v>18</x:v>
      </x:c>
      <x:c r="J1170" t="n">
        <x:v>1950800</x:v>
      </x:c>
      <x:c r="K1170" t="str">
        <x:v>Avalancha</x:v>
      </x:c>
      <x:c r="L1170" t="str">
        <x:v>Vigente</x:v>
      </x:c>
      <x:c r="M1170" t="n">
        <x:v>26349681.83</x:v>
      </x:c>
      <x:c r="N1170"/>
    </x:row>
    <x:row r="1171">
      <x:c r="A1171" t="str">
        <x:v>DEU-001170</x:v>
      </x:c>
      <x:c r="B1171" t="str">
        <x:v>USR-00610</x:v>
      </x:c>
      <x:c r="C1171" t="n">
        <x:v>46054</x:v>
      </x:c>
      <x:c r="D1171" t="str">
        <x:v>Financiera D</x:v>
      </x:c>
      <x:c r="E1171" t="str">
        <x:v>Tarjeta de crédito</x:v>
      </x:c>
      <x:c r="F1171" t="n">
        <x:v>4900000</x:v>
      </x:c>
      <x:c r="G1171" s="40" t="n">
        <x:v>0.2166</x:v>
      </x:c>
      <x:c r="H1171" s="40" t="n">
        <x:v>0.016473</x:v>
      </x:c>
      <x:c r="I1171" t="n">
        <x:v>12</x:v>
      </x:c>
      <x:c r="J1171" t="n">
        <x:v>453400</x:v>
      </x:c>
      <x:c r="K1171" t="str">
        <x:v>Bola de nieve</x:v>
      </x:c>
      <x:c r="L1171" t="str">
        <x:v>Vigente</x:v>
      </x:c>
      <x:c r="M1171" t="n">
        <x:v>3899147</x:v>
      </x:c>
      <x:c r="N1171"/>
    </x:row>
    <x:row r="1172">
      <x:c r="A1172" t="str">
        <x:v>DEU-001171</x:v>
      </x:c>
      <x:c r="B1172" t="str">
        <x:v>USR-00610</x:v>
      </x:c>
      <x:c r="C1172" t="n">
        <x:v>46054</x:v>
      </x:c>
      <x:c r="D1172" t="str">
        <x:v>Cooperativa C</x:v>
      </x:c>
      <x:c r="E1172" t="str">
        <x:v>Crédito de libre inversión</x:v>
      </x:c>
      <x:c r="F1172" t="n">
        <x:v>21080000</x:v>
      </x:c>
      <x:c r="G1172" s="40" t="n">
        <x:v>0.1869</x:v>
      </x:c>
      <x:c r="H1172" s="40" t="n">
        <x:v>0.014381</x:v>
      </x:c>
      <x:c r="I1172" t="n">
        <x:v>48</x:v>
      </x:c>
      <x:c r="J1172" t="n">
        <x:v>611100</x:v>
      </x:c>
      <x:c r="K1172" t="str">
        <x:v>Bola de nieve</x:v>
      </x:c>
      <x:c r="L1172" t="str">
        <x:v>Vigente</x:v>
      </x:c>
      <x:c r="M1172" t="n">
        <x:v>20002484.99</x:v>
      </x:c>
      <x:c r="N1172"/>
    </x:row>
    <x:row r="1173">
      <x:c r="A1173" t="str">
        <x:v>DEU-001172</x:v>
      </x:c>
      <x:c r="B1173" t="str">
        <x:v>USR-00611</x:v>
      </x:c>
      <x:c r="C1173" t="n">
        <x:v>46054</x:v>
      </x:c>
      <x:c r="D1173" t="str">
        <x:v>Cooperativa C</x:v>
      </x:c>
      <x:c r="E1173" t="str">
        <x:v>Tarjeta de crédito</x:v>
      </x:c>
      <x:c r="F1173" t="n">
        <x:v>2310000</x:v>
      </x:c>
      <x:c r="G1173" s="40" t="n">
        <x:v>0.1741</x:v>
      </x:c>
      <x:c r="H1173" s="40" t="n">
        <x:v>0.013465</x:v>
      </x:c>
      <x:c r="I1173" t="n">
        <x:v>60</x:v>
      </x:c>
      <x:c r="J1173" t="n">
        <x:v>56400</x:v>
      </x:c>
      <x:c r="K1173" t="str">
        <x:v>Bola de nieve</x:v>
      </x:c>
      <x:c r="L1173" t="str">
        <x:v>Vigente</x:v>
      </x:c>
      <x:c r="M1173" t="n">
        <x:v>2248661.84</x:v>
      </x:c>
      <x:c r="N1173"/>
    </x:row>
    <x:row r="1174">
      <x:c r="A1174" t="str">
        <x:v>DEU-001173</x:v>
      </x:c>
      <x:c r="B1174" t="str">
        <x:v>USR-00612</x:v>
      </x:c>
      <x:c r="C1174" t="n">
        <x:v>46054</x:v>
      </x:c>
      <x:c r="D1174" t="str">
        <x:v>Entidad financiera E</x:v>
      </x:c>
      <x:c r="E1174" t="str">
        <x:v>Crédito de vehículo</x:v>
      </x:c>
      <x:c r="F1174" t="n">
        <x:v>16390000</x:v>
      </x:c>
      <x:c r="G1174" s="40" t="n">
        <x:v>0.1859</x:v>
      </x:c>
      <x:c r="H1174" s="40" t="n">
        <x:v>0.01431</x:v>
      </x:c>
      <x:c r="I1174" t="n">
        <x:v>24</x:v>
      </x:c>
      <x:c r="J1174" t="n">
        <x:v>811700</x:v>
      </x:c>
      <x:c r="K1174" t="str">
        <x:v>Avalancha</x:v>
      </x:c>
      <x:c r="L1174" t="str">
        <x:v>Vigente</x:v>
      </x:c>
      <x:c r="M1174" t="n">
        <x:v>14072120.14</x:v>
      </x:c>
      <x:c r="N1174"/>
    </x:row>
    <x:row r="1175">
      <x:c r="A1175" t="str">
        <x:v>DEU-001174</x:v>
      </x:c>
      <x:c r="B1175" t="str">
        <x:v>USR-00612</x:v>
      </x:c>
      <x:c r="C1175" t="n">
        <x:v>46054</x:v>
      </x:c>
      <x:c r="D1175" t="str">
        <x:v>Financiera D</x:v>
      </x:c>
      <x:c r="E1175" t="str">
        <x:v>Crédito de vehículo</x:v>
      </x:c>
      <x:c r="F1175" t="n">
        <x:v>21810000</x:v>
      </x:c>
      <x:c r="G1175" s="40" t="n">
        <x:v>0.2823</x:v>
      </x:c>
      <x:c r="H1175" s="40" t="n">
        <x:v>0.020937</x:v>
      </x:c>
      <x:c r="I1175" t="n">
        <x:v>18</x:v>
      </x:c>
      <x:c r="J1175" t="n">
        <x:v>1466800</x:v>
      </x:c>
      <x:c r="K1175" t="str">
        <x:v>Bola de nieve</x:v>
      </x:c>
      <x:c r="L1175" t="str">
        <x:v>Vigente</x:v>
      </x:c>
      <x:c r="M1175" t="n">
        <x:v>16296030.5</x:v>
      </x:c>
      <x:c r="N1175"/>
    </x:row>
    <x:row r="1176">
      <x:c r="A1176" t="str">
        <x:v>DEU-001175</x:v>
      </x:c>
      <x:c r="B1176" t="str">
        <x:v>USR-00613</x:v>
      </x:c>
      <x:c r="C1176" t="n">
        <x:v>46054</x:v>
      </x:c>
      <x:c r="D1176" t="str">
        <x:v>Financiera D</x:v>
      </x:c>
      <x:c r="E1176" t="str">
        <x:v>Tarjeta de crédito</x:v>
      </x:c>
      <x:c r="F1176" t="n">
        <x:v>5790000</x:v>
      </x:c>
      <x:c r="G1176" s="40" t="n">
        <x:v>0.339</x:v>
      </x:c>
      <x:c r="H1176" s="40" t="n">
        <x:v>0.024625</x:v>
      </x:c>
      <x:c r="I1176" t="n">
        <x:v>36</x:v>
      </x:c>
      <x:c r="J1176" t="n">
        <x:v>244400</x:v>
      </x:c>
      <x:c r="K1176" t="str">
        <x:v>Bola de nieve</x:v>
      </x:c>
      <x:c r="L1176" t="str">
        <x:v>Vigente</x:v>
      </x:c>
      <x:c r="M1176" t="n">
        <x:v>5290871.6</x:v>
      </x:c>
      <x:c r="N1176"/>
    </x:row>
    <x:row r="1177">
      <x:c r="A1177" t="str">
        <x:v>DEU-001176</x:v>
      </x:c>
      <x:c r="B1177" t="str">
        <x:v>USR-00614</x:v>
      </x:c>
      <x:c r="C1177" t="n">
        <x:v>46054</x:v>
      </x:c>
      <x:c r="D1177" t="str">
        <x:v>Entidad financiera A</x:v>
      </x:c>
      <x:c r="E1177" t="str">
        <x:v>Tarjeta de crédito</x:v>
      </x:c>
      <x:c r="F1177" t="n">
        <x:v>4280000</x:v>
      </x:c>
      <x:c r="G1177" s="40" t="n">
        <x:v>0.196</x:v>
      </x:c>
      <x:c r="H1177" s="40" t="n">
        <x:v>0.015027</x:v>
      </x:c>
      <x:c r="I1177" t="n">
        <x:v>36</x:v>
      </x:c>
      <x:c r="J1177" t="n">
        <x:v>154800</x:v>
      </x:c>
      <x:c r="K1177" t="str">
        <x:v>Avalancha</x:v>
      </x:c>
      <x:c r="L1177" t="str">
        <x:v>Vigente</x:v>
      </x:c>
      <x:c r="M1177" t="n">
        <x:v>3583025.78</x:v>
      </x:c>
      <x:c r="N1177"/>
    </x:row>
    <x:row r="1178">
      <x:c r="A1178" t="str">
        <x:v>DEU-001177</x:v>
      </x:c>
      <x:c r="B1178" t="str">
        <x:v>USR-00615</x:v>
      </x:c>
      <x:c r="C1178" t="n">
        <x:v>46054</x:v>
      </x:c>
      <x:c r="D1178" t="str">
        <x:v>Cooperativa C</x:v>
      </x:c>
      <x:c r="E1178" t="str">
        <x:v>Tarjeta de crédito</x:v>
      </x:c>
      <x:c r="F1178" t="n">
        <x:v>7150000</x:v>
      </x:c>
      <x:c r="G1178" s="40" t="n">
        <x:v>0.3434</x:v>
      </x:c>
      <x:c r="H1178" s="40" t="n">
        <x:v>0.024905</x:v>
      </x:c>
      <x:c r="I1178" t="n">
        <x:v>24</x:v>
      </x:c>
      <x:c r="J1178" t="n">
        <x:v>399400</x:v>
      </x:c>
      <x:c r="K1178" t="str">
        <x:v>Bola de nieve</x:v>
      </x:c>
      <x:c r="L1178" t="str">
        <x:v>Vigente</x:v>
      </x:c>
      <x:c r="M1178" t="n">
        <x:v>6031415.3</x:v>
      </x:c>
      <x:c r="N1178"/>
    </x:row>
    <x:row r="1179">
      <x:c r="A1179" t="str">
        <x:v>DEU-001178</x:v>
      </x:c>
      <x:c r="B1179" t="str">
        <x:v>USR-00616</x:v>
      </x:c>
      <x:c r="C1179" t="n">
        <x:v>46054</x:v>
      </x:c>
      <x:c r="D1179" t="str">
        <x:v>Financiera D</x:v>
      </x:c>
      <x:c r="E1179" t="str">
        <x:v>Tarjeta de crédito</x:v>
      </x:c>
      <x:c r="F1179" t="n">
        <x:v>2340000</x:v>
      </x:c>
      <x:c r="G1179" s="40" t="n">
        <x:v>0.1605</x:v>
      </x:c>
      <x:c r="H1179" s="40" t="n">
        <x:v>0.012481</x:v>
      </x:c>
      <x:c r="I1179" t="n">
        <x:v>18</x:v>
      </x:c>
      <x:c r="J1179" t="n">
        <x:v>146000</x:v>
      </x:c>
      <x:c r="K1179" t="str">
        <x:v>Bola de nieve</x:v>
      </x:c>
      <x:c r="L1179" t="str">
        <x:v>Vigente</x:v>
      </x:c>
      <x:c r="M1179" t="n">
        <x:v>1887327.83</x:v>
      </x:c>
      <x:c r="N1179"/>
    </x:row>
    <x:row r="1180">
      <x:c r="A1180" t="str">
        <x:v>DEU-001179</x:v>
      </x:c>
      <x:c r="B1180" t="str">
        <x:v>USR-00616</x:v>
      </x:c>
      <x:c r="C1180" t="n">
        <x:v>46054</x:v>
      </x:c>
      <x:c r="D1180" t="str">
        <x:v>Cooperativa C</x:v>
      </x:c>
      <x:c r="E1180" t="str">
        <x:v>Crédito de consumo</x:v>
      </x:c>
      <x:c r="F1180" t="n">
        <x:v>10430000</x:v>
      </x:c>
      <x:c r="G1180" s="40" t="n">
        <x:v>0.1372</x:v>
      </x:c>
      <x:c r="H1180" s="40" t="n">
        <x:v>0.010772</x:v>
      </x:c>
      <x:c r="I1180" t="n">
        <x:v>60</x:v>
      </x:c>
      <x:c r="J1180" t="n">
        <x:v>236900</x:v>
      </x:c>
      <x:c r="K1180" t="str">
        <x:v>Avalancha</x:v>
      </x:c>
      <x:c r="L1180" t="str">
        <x:v>Vigente</x:v>
      </x:c>
      <x:c r="M1180" t="n">
        <x:v>9851017.35</x:v>
      </x:c>
      <x:c r="N1180"/>
    </x:row>
    <x:row r="1181">
      <x:c r="A1181" t="str">
        <x:v>DEU-001180</x:v>
      </x:c>
      <x:c r="B1181" t="str">
        <x:v>USR-00617</x:v>
      </x:c>
      <x:c r="C1181" t="n">
        <x:v>46054</x:v>
      </x:c>
      <x:c r="D1181" t="str">
        <x:v>Financiera D</x:v>
      </x:c>
      <x:c r="E1181" t="str">
        <x:v>Crédito educativo</x:v>
      </x:c>
      <x:c r="F1181" t="n">
        <x:v>25500000</x:v>
      </x:c>
      <x:c r="G1181" s="40" t="n">
        <x:v>0.2863</x:v>
      </x:c>
      <x:c r="H1181" s="40" t="n">
        <x:v>0.021202</x:v>
      </x:c>
      <x:c r="I1181" t="n">
        <x:v>30</x:v>
      </x:c>
      <x:c r="J1181" t="n">
        <x:v>1157500</x:v>
      </x:c>
      <x:c r="K1181" t="str">
        <x:v>Avalancha</x:v>
      </x:c>
      <x:c r="L1181" t="str">
        <x:v>Vigente</x:v>
      </x:c>
      <x:c r="M1181" t="n">
        <x:v>22439460.81</x:v>
      </x:c>
      <x:c r="N1181"/>
    </x:row>
    <x:row r="1182">
      <x:c r="A1182" t="str">
        <x:v>DEU-001181</x:v>
      </x:c>
      <x:c r="B1182" t="str">
        <x:v>USR-00618</x:v>
      </x:c>
      <x:c r="C1182" t="n">
        <x:v>46054</x:v>
      </x:c>
      <x:c r="D1182" t="str">
        <x:v>Entidad financiera B</x:v>
      </x:c>
      <x:c r="E1182" t="str">
        <x:v>Crédito de libre inversión</x:v>
      </x:c>
      <x:c r="F1182" t="n">
        <x:v>23950000</x:v>
      </x:c>
      <x:c r="G1182" s="40" t="n">
        <x:v>0.2572</x:v>
      </x:c>
      <x:c r="H1182" s="40" t="n">
        <x:v>0.019257</x:v>
      </x:c>
      <x:c r="I1182" t="n">
        <x:v>24</x:v>
      </x:c>
      <x:c r="J1182" t="n">
        <x:v>1255600</x:v>
      </x:c>
      <x:c r="K1182" t="str">
        <x:v>Bola de nieve</x:v>
      </x:c>
      <x:c r="L1182" t="str">
        <x:v>Vigente</x:v>
      </x:c>
      <x:c r="M1182" t="n">
        <x:v>18272558.39</x:v>
      </x:c>
      <x:c r="N1182"/>
    </x:row>
    <x:row r="1183">
      <x:c r="A1183" t="str">
        <x:v>DEU-001182</x:v>
      </x:c>
      <x:c r="B1183" t="str">
        <x:v>USR-00618</x:v>
      </x:c>
      <x:c r="C1183" t="n">
        <x:v>46054</x:v>
      </x:c>
      <x:c r="D1183" t="str">
        <x:v>Financiera D</x:v>
      </x:c>
      <x:c r="E1183" t="str">
        <x:v>Tarjeta de crédito</x:v>
      </x:c>
      <x:c r="F1183" t="n">
        <x:v>5900000</x:v>
      </x:c>
      <x:c r="G1183" s="40" t="n">
        <x:v>0.3133</x:v>
      </x:c>
      <x:c r="H1183" s="40" t="n">
        <x:v>0.022972</x:v>
      </x:c>
      <x:c r="I1183" t="n">
        <x:v>30</x:v>
      </x:c>
      <x:c r="J1183" t="n">
        <x:v>274300</x:v>
      </x:c>
      <x:c r="K1183" t="str">
        <x:v>Avalancha</x:v>
      </x:c>
      <x:c r="L1183" t="str">
        <x:v>Vigente</x:v>
      </x:c>
      <x:c r="M1183" t="n">
        <x:v>5160594.59</x:v>
      </x:c>
      <x:c r="N1183"/>
    </x:row>
    <x:row r="1184">
      <x:c r="A1184" t="str">
        <x:v>DEU-001183</x:v>
      </x:c>
      <x:c r="B1184" t="str">
        <x:v>USR-00618</x:v>
      </x:c>
      <x:c r="C1184" t="n">
        <x:v>46054</x:v>
      </x:c>
      <x:c r="D1184" t="str">
        <x:v>Entidad financiera A</x:v>
      </x:c>
      <x:c r="E1184" t="str">
        <x:v>Tarjeta de crédito</x:v>
      </x:c>
      <x:c r="F1184" t="n">
        <x:v>1040000</x:v>
      </x:c>
      <x:c r="G1184" s="40" t="n">
        <x:v>0.2532</x:v>
      </x:c>
      <x:c r="H1184" s="40" t="n">
        <x:v>0.018986</x:v>
      </x:c>
      <x:c r="I1184" t="n">
        <x:v>36</x:v>
      </x:c>
      <x:c r="J1184" t="n">
        <x:v>40100</x:v>
      </x:c>
      <x:c r="K1184" t="str">
        <x:v>Avalancha</x:v>
      </x:c>
      <x:c r="L1184" t="str">
        <x:v>Vigente</x:v>
      </x:c>
      <x:c r="M1184" t="n">
        <x:v>966709.69</x:v>
      </x:c>
      <x:c r="N1184"/>
    </x:row>
    <x:row r="1185">
      <x:c r="A1185" t="str">
        <x:v>DEU-001184</x:v>
      </x:c>
      <x:c r="B1185" t="str">
        <x:v>USR-00619</x:v>
      </x:c>
      <x:c r="C1185" t="n">
        <x:v>46054</x:v>
      </x:c>
      <x:c r="D1185" t="str">
        <x:v>Entidad financiera B</x:v>
      </x:c>
      <x:c r="E1185" t="str">
        <x:v>Crédito de consumo</x:v>
      </x:c>
      <x:c r="F1185" t="n">
        <x:v>8270000</x:v>
      </x:c>
      <x:c r="G1185" s="40" t="n">
        <x:v>0.1247</x:v>
      </x:c>
      <x:c r="H1185" s="40" t="n">
        <x:v>0.009841</x:v>
      </x:c>
      <x:c r="I1185" t="n">
        <x:v>24</x:v>
      </x:c>
      <x:c r="J1185" t="n">
        <x:v>388600</x:v>
      </x:c>
      <x:c r="K1185" t="str">
        <x:v>Bola de nieve</x:v>
      </x:c>
      <x:c r="L1185" t="str">
        <x:v>Vigente</x:v>
      </x:c>
      <x:c r="M1185" t="n">
        <x:v>7762752.24</x:v>
      </x:c>
      <x:c r="N1185"/>
    </x:row>
    <x:row r="1186">
      <x:c r="A1186" t="str">
        <x:v>DEU-001185</x:v>
      </x:c>
      <x:c r="B1186" t="str">
        <x:v>USR-00619</x:v>
      </x:c>
      <x:c r="C1186" t="n">
        <x:v>46054</x:v>
      </x:c>
      <x:c r="D1186" t="str">
        <x:v>Entidad financiera A</x:v>
      </x:c>
      <x:c r="E1186" t="str">
        <x:v>Crédito de libre inversión</x:v>
      </x:c>
      <x:c r="F1186" t="n">
        <x:v>4040000</x:v>
      </x:c>
      <x:c r="G1186" s="40" t="n">
        <x:v>0.2364</x:v>
      </x:c>
      <x:c r="H1186" s="40" t="n">
        <x:v>0.017841</x:v>
      </x:c>
      <x:c r="I1186" t="n">
        <x:v>18</x:v>
      </x:c>
      <x:c r="J1186" t="n">
        <x:v>264400</x:v>
      </x:c>
      <x:c r="K1186" t="str">
        <x:v>Avalancha</x:v>
      </x:c>
      <x:c r="L1186" t="str">
        <x:v>Vigente</x:v>
      </x:c>
      <x:c r="M1186" t="n">
        <x:v>3447182.67</x:v>
      </x:c>
      <x:c r="N1186"/>
    </x:row>
    <x:row r="1187">
      <x:c r="A1187" t="str">
        <x:v>DEU-001186</x:v>
      </x:c>
      <x:c r="B1187" t="str">
        <x:v>USR-00619</x:v>
      </x:c>
      <x:c r="C1187" t="n">
        <x:v>46054</x:v>
      </x:c>
      <x:c r="D1187" t="str">
        <x:v>Financiera D</x:v>
      </x:c>
      <x:c r="E1187" t="str">
        <x:v>Crédito de vehículo</x:v>
      </x:c>
      <x:c r="F1187" t="n">
        <x:v>29610000</x:v>
      </x:c>
      <x:c r="G1187" s="40" t="n">
        <x:v>0.2002</x:v>
      </x:c>
      <x:c r="H1187" s="40" t="n">
        <x:v>0.015324</x:v>
      </x:c>
      <x:c r="I1187" t="n">
        <x:v>24</x:v>
      </x:c>
      <x:c r="J1187" t="n">
        <x:v>1483800</x:v>
      </x:c>
      <x:c r="K1187" t="str">
        <x:v>Avalancha</x:v>
      </x:c>
      <x:c r="L1187" t="str">
        <x:v>Vigente</x:v>
      </x:c>
      <x:c r="M1187" t="n">
        <x:v>21264444.54</x:v>
      </x:c>
      <x:c r="N1187"/>
    </x:row>
    <x:row r="1188">
      <x:c r="A1188" t="str">
        <x:v>DEU-001187</x:v>
      </x:c>
      <x:c r="B1188" t="str">
        <x:v>USR-00620</x:v>
      </x:c>
      <x:c r="C1188" t="n">
        <x:v>46054</x:v>
      </x:c>
      <x:c r="D1188" t="str">
        <x:v>Entidad financiera B</x:v>
      </x:c>
      <x:c r="E1188" t="str">
        <x:v>Crédito de libre inversión</x:v>
      </x:c>
      <x:c r="F1188" t="n">
        <x:v>15530000</x:v>
      </x:c>
      <x:c r="G1188" s="40" t="n">
        <x:v>0.2432</x:v>
      </x:c>
      <x:c r="H1188" s="40" t="n">
        <x:v>0.018306</x:v>
      </x:c>
      <x:c r="I1188" t="n">
        <x:v>12</x:v>
      </x:c>
      <x:c r="J1188" t="n">
        <x:v>1453300</x:v>
      </x:c>
      <x:c r="K1188" t="str">
        <x:v>Bola de nieve</x:v>
      </x:c>
      <x:c r="L1188" t="str">
        <x:v>Vigente</x:v>
      </x:c>
      <x:c r="M1188" t="n">
        <x:v>10929763.66</x:v>
      </x:c>
      <x:c r="N1188"/>
    </x:row>
    <x:row r="1189">
      <x:c r="A1189" t="str">
        <x:v>DEU-001188</x:v>
      </x:c>
      <x:c r="B1189" t="str">
        <x:v>USR-00621</x:v>
      </x:c>
      <x:c r="C1189" t="n">
        <x:v>46054</x:v>
      </x:c>
      <x:c r="D1189" t="str">
        <x:v>Financiera D</x:v>
      </x:c>
      <x:c r="E1189" t="str">
        <x:v>Crédito educativo</x:v>
      </x:c>
      <x:c r="F1189" t="n">
        <x:v>5160000</x:v>
      </x:c>
      <x:c r="G1189" s="40" t="n">
        <x:v>0.257</x:v>
      </x:c>
      <x:c r="H1189" s="40" t="n">
        <x:v>0.019243</x:v>
      </x:c>
      <x:c r="I1189" t="n">
        <x:v>18</x:v>
      </x:c>
      <x:c r="J1189" t="n">
        <x:v>341900</x:v>
      </x:c>
      <x:c r="K1189" t="str">
        <x:v>Avalancha</x:v>
      </x:c>
      <x:c r="L1189" t="str">
        <x:v>Vigente</x:v>
      </x:c>
      <x:c r="M1189" t="n">
        <x:v>3790731.62</x:v>
      </x:c>
      <x:c r="N1189"/>
    </x:row>
    <x:row r="1190">
      <x:c r="A1190" t="str">
        <x:v>DEU-001189</x:v>
      </x:c>
      <x:c r="B1190" t="str">
        <x:v>USR-00621</x:v>
      </x:c>
      <x:c r="C1190" t="n">
        <x:v>46054</x:v>
      </x:c>
      <x:c r="D1190" t="str">
        <x:v>Entidad financiera B</x:v>
      </x:c>
      <x:c r="E1190" t="str">
        <x:v>Crédito de consumo</x:v>
      </x:c>
      <x:c r="F1190" t="n">
        <x:v>18620000</x:v>
      </x:c>
      <x:c r="G1190" s="40" t="n">
        <x:v>0.3422</x:v>
      </x:c>
      <x:c r="H1190" s="40" t="n">
        <x:v>0.024829</x:v>
      </x:c>
      <x:c r="I1190" t="n">
        <x:v>12</x:v>
      </x:c>
      <x:c r="J1190" t="n">
        <x:v>1813300</x:v>
      </x:c>
      <x:c r="K1190" t="str">
        <x:v>Bola de nieve</x:v>
      </x:c>
      <x:c r="L1190" t="str">
        <x:v>Vigente</x:v>
      </x:c>
      <x:c r="M1190" t="n">
        <x:v>10228290.08</x:v>
      </x:c>
      <x:c r="N1190"/>
    </x:row>
    <x:row r="1191">
      <x:c r="A1191" t="str">
        <x:v>DEU-001190</x:v>
      </x:c>
      <x:c r="B1191" t="str">
        <x:v>USR-00621</x:v>
      </x:c>
      <x:c r="C1191" t="n">
        <x:v>46054</x:v>
      </x:c>
      <x:c r="D1191" t="str">
        <x:v>Cooperativa C</x:v>
      </x:c>
      <x:c r="E1191" t="str">
        <x:v>Crédito de consumo</x:v>
      </x:c>
      <x:c r="F1191" t="n">
        <x:v>15810000</x:v>
      </x:c>
      <x:c r="G1191" s="40" t="n">
        <x:v>0.114</x:v>
      </x:c>
      <x:c r="H1191" s="40" t="n">
        <x:v>0.009037</x:v>
      </x:c>
      <x:c r="I1191" t="n">
        <x:v>18</x:v>
      </x:c>
      <x:c r="J1191" t="n">
        <x:v>955700</x:v>
      </x:c>
      <x:c r="K1191" t="str">
        <x:v>Avalancha</x:v>
      </x:c>
      <x:c r="L1191" t="str">
        <x:v>Vigente</x:v>
      </x:c>
      <x:c r="M1191" t="n">
        <x:v>11524431.36</x:v>
      </x:c>
      <x:c r="N1191"/>
    </x:row>
    <x:row r="1192">
      <x:c r="A1192" t="str">
        <x:v>DEU-001191</x:v>
      </x:c>
      <x:c r="B1192" t="str">
        <x:v>USR-00622</x:v>
      </x:c>
      <x:c r="C1192" t="n">
        <x:v>46054</x:v>
      </x:c>
      <x:c r="D1192" t="str">
        <x:v>Entidad financiera A</x:v>
      </x:c>
      <x:c r="E1192" t="str">
        <x:v>Crédito de vehículo</x:v>
      </x:c>
      <x:c r="F1192" t="n">
        <x:v>50890000</x:v>
      </x:c>
      <x:c r="G1192" s="40" t="n">
        <x:v>0.2104</x:v>
      </x:c>
      <x:c r="H1192" s="40" t="n">
        <x:v>0.01604</x:v>
      </x:c>
      <x:c r="I1192" t="n">
        <x:v>36</x:v>
      </x:c>
      <x:c r="J1192" t="n">
        <x:v>1871800</x:v>
      </x:c>
      <x:c r="K1192" t="str">
        <x:v>Avalancha</x:v>
      </x:c>
      <x:c r="L1192" t="str">
        <x:v>Vigente</x:v>
      </x:c>
      <x:c r="M1192" t="n">
        <x:v>49564948.76</x:v>
      </x:c>
      <x:c r="N1192"/>
    </x:row>
    <x:row r="1193">
      <x:c r="A1193" t="str">
        <x:v>DEU-001192</x:v>
      </x:c>
      <x:c r="B1193" t="str">
        <x:v>USR-00622</x:v>
      </x:c>
      <x:c r="C1193" t="n">
        <x:v>46054</x:v>
      </x:c>
      <x:c r="D1193" t="str">
        <x:v>Entidad financiera B</x:v>
      </x:c>
      <x:c r="E1193" t="str">
        <x:v>Crédito de vehículo</x:v>
      </x:c>
      <x:c r="F1193" t="n">
        <x:v>41780000</x:v>
      </x:c>
      <x:c r="G1193" s="40" t="n">
        <x:v>0.2646</x:v>
      </x:c>
      <x:c r="H1193" s="40" t="n">
        <x:v>0.019756</x:v>
      </x:c>
      <x:c r="I1193" t="n">
        <x:v>18</x:v>
      </x:c>
      <x:c r="J1193" t="n">
        <x:v>2780800</x:v>
      </x:c>
      <x:c r="K1193" t="str">
        <x:v>Avalancha</x:v>
      </x:c>
      <x:c r="L1193" t="str">
        <x:v>Vigente</x:v>
      </x:c>
      <x:c r="M1193" t="n">
        <x:v>34712622.23</x:v>
      </x:c>
      <x:c r="N1193"/>
    </x:row>
    <x:row r="1194">
      <x:c r="A1194" t="str">
        <x:v>DEU-001193</x:v>
      </x:c>
      <x:c r="B1194" t="str">
        <x:v>USR-00122</x:v>
      </x:c>
      <x:c r="C1194" t="n">
        <x:v>46082</x:v>
      </x:c>
      <x:c r="D1194" t="str">
        <x:v>Entidad financiera A</x:v>
      </x:c>
      <x:c r="E1194" t="str">
        <x:v>Crédito de consumo</x:v>
      </x:c>
      <x:c r="F1194" t="n">
        <x:v>5060000</x:v>
      </x:c>
      <x:c r="G1194" s="40" t="n">
        <x:v>0.3232</x:v>
      </x:c>
      <x:c r="H1194" s="40" t="n">
        <x:v>0.023612</x:v>
      </x:c>
      <x:c r="I1194" t="n">
        <x:v>30</x:v>
      </x:c>
      <x:c r="J1194" t="n">
        <x:v>237300</x:v>
      </x:c>
      <x:c r="K1194" t="str">
        <x:v>Avalancha</x:v>
      </x:c>
      <x:c r="L1194" t="str">
        <x:v>Vigente</x:v>
      </x:c>
      <x:c r="M1194" t="n">
        <x:v>4782156.02</x:v>
      </x:c>
      <x:c r="N1194"/>
    </x:row>
    <x:row r="1195">
      <x:c r="A1195" t="str">
        <x:v>DEU-001194</x:v>
      </x:c>
      <x:c r="B1195" t="str">
        <x:v>USR-00306</x:v>
      </x:c>
      <x:c r="C1195" t="n">
        <x:v>46082</x:v>
      </x:c>
      <x:c r="D1195" t="str">
        <x:v>Entidad financiera E</x:v>
      </x:c>
      <x:c r="E1195" t="str">
        <x:v>Crédito de libre inversión</x:v>
      </x:c>
      <x:c r="F1195" t="n">
        <x:v>12630000</x:v>
      </x:c>
      <x:c r="G1195" s="40" t="n">
        <x:v>0.341</x:v>
      </x:c>
      <x:c r="H1195" s="40" t="n">
        <x:v>0.024753</x:v>
      </x:c>
      <x:c r="I1195" t="n">
        <x:v>60</x:v>
      </x:c>
      <x:c r="J1195" t="n">
        <x:v>406300</x:v>
      </x:c>
      <x:c r="K1195" t="str">
        <x:v>Avalancha</x:v>
      </x:c>
      <x:c r="L1195" t="str">
        <x:v>Vigente</x:v>
      </x:c>
      <x:c r="M1195" t="n">
        <x:v>13436852.02</x:v>
      </x:c>
      <x:c r="N1195"/>
    </x:row>
    <x:row r="1196">
      <x:c r="A1196" t="str">
        <x:v>DEU-001195</x:v>
      </x:c>
      <x:c r="B1196" t="str">
        <x:v>USR-00335</x:v>
      </x:c>
      <x:c r="C1196" t="n">
        <x:v>46082</x:v>
      </x:c>
      <x:c r="D1196" t="str">
        <x:v>Financiera D</x:v>
      </x:c>
      <x:c r="E1196" t="str">
        <x:v>Crédito educativo</x:v>
      </x:c>
      <x:c r="F1196" t="n">
        <x:v>15380000</x:v>
      </x:c>
      <x:c r="G1196" s="40" t="n">
        <x:v>0.3207</x:v>
      </x:c>
      <x:c r="H1196" s="40" t="n">
        <x:v>0.023451</x:v>
      </x:c>
      <x:c r="I1196" t="n">
        <x:v>30</x:v>
      </x:c>
      <x:c r="J1196" t="n">
        <x:v>719700</x:v>
      </x:c>
      <x:c r="K1196" t="str">
        <x:v>Bola de nieve</x:v>
      </x:c>
      <x:c r="L1196" t="str">
        <x:v>Vigente</x:v>
      </x:c>
      <x:c r="M1196" t="n">
        <x:v>14918940</x:v>
      </x:c>
      <x:c r="N1196"/>
    </x:row>
    <x:row r="1197">
      <x:c r="A1197" t="str">
        <x:v>DEU-001196</x:v>
      </x:c>
      <x:c r="B1197" t="str">
        <x:v>USR-00404</x:v>
      </x:c>
      <x:c r="C1197" t="n">
        <x:v>46082</x:v>
      </x:c>
      <x:c r="D1197" t="str">
        <x:v>Entidad financiera E</x:v>
      </x:c>
      <x:c r="E1197" t="str">
        <x:v>Tarjeta de crédito</x:v>
      </x:c>
      <x:c r="F1197" t="n">
        <x:v>7870000</x:v>
      </x:c>
      <x:c r="G1197" s="40" t="n">
        <x:v>0.3059</x:v>
      </x:c>
      <x:c r="H1197" s="40" t="n">
        <x:v>0.02249</x:v>
      </x:c>
      <x:c r="I1197" t="n">
        <x:v>18</x:v>
      </x:c>
      <x:c r="J1197" t="n">
        <x:v>536500</x:v>
      </x:c>
      <x:c r="K1197" t="str">
        <x:v>Bola de nieve</x:v>
      </x:c>
      <x:c r="L1197" t="str">
        <x:v>Vigente</x:v>
      </x:c>
      <x:c r="M1197" t="n">
        <x:v>4999227.01</x:v>
      </x:c>
      <x:c r="N1197"/>
    </x:row>
    <x:row r="1198">
      <x:c r="A1198" t="str">
        <x:v>DEU-001197</x:v>
      </x:c>
      <x:c r="B1198" t="str">
        <x:v>USR-00416</x:v>
      </x:c>
      <x:c r="C1198" t="n">
        <x:v>46082</x:v>
      </x:c>
      <x:c r="D1198" t="str">
        <x:v>Financiera D</x:v>
      </x:c>
      <x:c r="E1198" t="str">
        <x:v>Crédito de consumo</x:v>
      </x:c>
      <x:c r="F1198" t="n">
        <x:v>16540000</x:v>
      </x:c>
      <x:c r="G1198" s="40" t="n">
        <x:v>0.3234</x:v>
      </x:c>
      <x:c r="H1198" s="40" t="n">
        <x:v>0.023625</x:v>
      </x:c>
      <x:c r="I1198" t="n">
        <x:v>18</x:v>
      </x:c>
      <x:c r="J1198" t="n">
        <x:v>1138700</x:v>
      </x:c>
      <x:c r="K1198" t="str">
        <x:v>Bola de nieve</x:v>
      </x:c>
      <x:c r="L1198" t="str">
        <x:v>Vigente</x:v>
      </x:c>
      <x:c r="M1198" t="n">
        <x:v>11585397.97</x:v>
      </x:c>
      <x:c r="N1198"/>
    </x:row>
    <x:row r="1199">
      <x:c r="A1199" t="str">
        <x:v>DEU-001198</x:v>
      </x:c>
      <x:c r="B1199" t="str">
        <x:v>USR-00452</x:v>
      </x:c>
      <x:c r="C1199" t="n">
        <x:v>46082</x:v>
      </x:c>
      <x:c r="D1199" t="str">
        <x:v>Entidad financiera B</x:v>
      </x:c>
      <x:c r="E1199" t="str">
        <x:v>Crédito de consumo</x:v>
      </x:c>
      <x:c r="F1199" t="n">
        <x:v>12390000</x:v>
      </x:c>
      <x:c r="G1199" s="40" t="n">
        <x:v>0.1831</x:v>
      </x:c>
      <x:c r="H1199" s="40" t="n">
        <x:v>0.01411</x:v>
      </x:c>
      <x:c r="I1199" t="n">
        <x:v>48</x:v>
      </x:c>
      <x:c r="J1199" t="n">
        <x:v>357100</x:v>
      </x:c>
      <x:c r="K1199" t="str">
        <x:v>Bola de nieve</x:v>
      </x:c>
      <x:c r="L1199" t="str">
        <x:v>Vigente</x:v>
      </x:c>
      <x:c r="M1199" t="n">
        <x:v>11636228.57</x:v>
      </x:c>
      <x:c r="N1199"/>
    </x:row>
    <x:row r="1200">
      <x:c r="A1200" t="str">
        <x:v>DEU-001199</x:v>
      </x:c>
      <x:c r="B1200" t="str">
        <x:v>USR-00522</x:v>
      </x:c>
      <x:c r="C1200" t="n">
        <x:v>46082</x:v>
      </x:c>
      <x:c r="D1200" t="str">
        <x:v>Financiera D</x:v>
      </x:c>
      <x:c r="E1200" t="str">
        <x:v>Tarjeta de crédito</x:v>
      </x:c>
      <x:c r="F1200" t="n">
        <x:v>6880000</x:v>
      </x:c>
      <x:c r="G1200" s="40" t="n">
        <x:v>0.2135</x:v>
      </x:c>
      <x:c r="H1200" s="40" t="n">
        <x:v>0.016256</x:v>
      </x:c>
      <x:c r="I1200" t="n">
        <x:v>18</x:v>
      </x:c>
      <x:c r="J1200" t="n">
        <x:v>443900</x:v>
      </x:c>
      <x:c r="K1200" t="str">
        <x:v>Avalancha</x:v>
      </x:c>
      <x:c r="L1200" t="str">
        <x:v>Vigente</x:v>
      </x:c>
      <x:c r="M1200" t="n">
        <x:v>5065465.72</x:v>
      </x:c>
      <x:c r="N1200"/>
    </x:row>
    <x:row r="1201">
      <x:c r="A1201" t="str">
        <x:v>DEU-001200</x:v>
      </x:c>
      <x:c r="B1201" t="str">
        <x:v>USR-00524</x:v>
      </x:c>
      <x:c r="C1201" t="n">
        <x:v>46082</x:v>
      </x:c>
      <x:c r="D1201" t="str">
        <x:v>Entidad financiera A</x:v>
      </x:c>
      <x:c r="E1201" t="str">
        <x:v>Crédito comercial</x:v>
      </x:c>
      <x:c r="F1201" t="n">
        <x:v>13210000</x:v>
      </x:c>
      <x:c r="G1201" s="40" t="n">
        <x:v>0.1664</x:v>
      </x:c>
      <x:c r="H1201" s="40" t="n">
        <x:v>0.012909</x:v>
      </x:c>
      <x:c r="I1201" t="n">
        <x:v>60</x:v>
      </x:c>
      <x:c r="J1201" t="n">
        <x:v>317700</x:v>
      </x:c>
      <x:c r="K1201" t="str">
        <x:v>Avalancha</x:v>
      </x:c>
      <x:c r="L1201" t="str">
        <x:v>Vigente</x:v>
      </x:c>
      <x:c r="M1201" t="n">
        <x:v>12947235.82</x:v>
      </x:c>
      <x:c r="N1201"/>
    </x:row>
    <x:row r="1202">
      <x:c r="A1202" t="str">
        <x:v>DEU-001201</x:v>
      </x:c>
      <x:c r="B1202" t="str">
        <x:v>USR-00623</x:v>
      </x:c>
      <x:c r="C1202" t="n">
        <x:v>46082</x:v>
      </x:c>
      <x:c r="D1202" t="str">
        <x:v>Cooperativa C</x:v>
      </x:c>
      <x:c r="E1202" t="str">
        <x:v>Tarjeta de crédito</x:v>
      </x:c>
      <x:c r="F1202" t="n">
        <x:v>5080000</x:v>
      </x:c>
      <x:c r="G1202" s="40" t="n">
        <x:v>0.1695</x:v>
      </x:c>
      <x:c r="H1202" s="40" t="n">
        <x:v>0.013134</x:v>
      </x:c>
      <x:c r="I1202" t="n">
        <x:v>24</x:v>
      </x:c>
      <x:c r="J1202" t="n">
        <x:v>248200</x:v>
      </x:c>
      <x:c r="K1202" t="str">
        <x:v>Avalancha</x:v>
      </x:c>
      <x:c r="L1202" t="str">
        <x:v>Vigente</x:v>
      </x:c>
      <x:c r="M1202" t="n">
        <x:v>4384003.06</x:v>
      </x:c>
      <x:c r="N1202"/>
    </x:row>
    <x:row r="1203">
      <x:c r="A1203" t="str">
        <x:v>DEU-001202</x:v>
      </x:c>
      <x:c r="B1203" t="str">
        <x:v>USR-00624</x:v>
      </x:c>
      <x:c r="C1203" t="n">
        <x:v>46082</x:v>
      </x:c>
      <x:c r="D1203" t="str">
        <x:v>Cooperativa C</x:v>
      </x:c>
      <x:c r="E1203" t="str">
        <x:v>Crédito comercial</x:v>
      </x:c>
      <x:c r="F1203" t="n">
        <x:v>31040000</x:v>
      </x:c>
      <x:c r="G1203" s="40" t="n">
        <x:v>0.1537</x:v>
      </x:c>
      <x:c r="H1203" s="40" t="n">
        <x:v>0.011986</x:v>
      </x:c>
      <x:c r="I1203" t="n">
        <x:v>18</x:v>
      </x:c>
      <x:c r="J1203" t="n">
        <x:v>1927400</x:v>
      </x:c>
      <x:c r="K1203" t="str">
        <x:v>Avalancha</x:v>
      </x:c>
      <x:c r="L1203" t="str">
        <x:v>Vigente</x:v>
      </x:c>
      <x:c r="M1203" t="n">
        <x:v>25229158.46</x:v>
      </x:c>
      <x:c r="N1203"/>
    </x:row>
    <x:row r="1204">
      <x:c r="A1204" t="str">
        <x:v>DEU-001203</x:v>
      </x:c>
      <x:c r="B1204" t="str">
        <x:v>USR-00624</x:v>
      </x:c>
      <x:c r="C1204" t="n">
        <x:v>46082</x:v>
      </x:c>
      <x:c r="D1204" t="str">
        <x:v>Entidad financiera B</x:v>
      </x:c>
      <x:c r="E1204" t="str">
        <x:v>Tarjeta de crédito</x:v>
      </x:c>
      <x:c r="F1204" t="n">
        <x:v>3070000</x:v>
      </x:c>
      <x:c r="G1204" s="40" t="n">
        <x:v>0.2866</x:v>
      </x:c>
      <x:c r="H1204" s="40" t="n">
        <x:v>0.021222</x:v>
      </x:c>
      <x:c r="I1204" t="n">
        <x:v>60</x:v>
      </x:c>
      <x:c r="J1204" t="n">
        <x:v>91000</x:v>
      </x:c>
      <x:c r="K1204" t="str">
        <x:v>Bola de nieve</x:v>
      </x:c>
      <x:c r="L1204" t="str">
        <x:v>Vigente</x:v>
      </x:c>
      <x:c r="M1204" t="n">
        <x:v>3061495.17</x:v>
      </x:c>
      <x:c r="N1204"/>
    </x:row>
    <x:row r="1205">
      <x:c r="A1205" t="str">
        <x:v>DEU-001204</x:v>
      </x:c>
      <x:c r="B1205" t="str">
        <x:v>USR-00625</x:v>
      </x:c>
      <x:c r="C1205" t="n">
        <x:v>46082</x:v>
      </x:c>
      <x:c r="D1205" t="str">
        <x:v>Financiera D</x:v>
      </x:c>
      <x:c r="E1205" t="str">
        <x:v>Crédito de consumo</x:v>
      </x:c>
      <x:c r="F1205" t="n">
        <x:v>4400000</x:v>
      </x:c>
      <x:c r="G1205" s="40" t="n">
        <x:v>0.2333</x:v>
      </x:c>
      <x:c r="H1205" s="40" t="n">
        <x:v>0.017628</x:v>
      </x:c>
      <x:c r="I1205" t="n">
        <x:v>30</x:v>
      </x:c>
      <x:c r="J1205" t="n">
        <x:v>190100</x:v>
      </x:c>
      <x:c r="K1205" t="str">
        <x:v>Bola de nieve</x:v>
      </x:c>
      <x:c r="L1205" t="str">
        <x:v>Vigente</x:v>
      </x:c>
      <x:c r="M1205" t="n">
        <x:v>3817186.71</x:v>
      </x:c>
      <x:c r="N1205"/>
    </x:row>
    <x:row r="1206">
      <x:c r="A1206" t="str">
        <x:v>DEU-001205</x:v>
      </x:c>
      <x:c r="B1206" t="str">
        <x:v>USR-00625</x:v>
      </x:c>
      <x:c r="C1206" t="n">
        <x:v>46082</x:v>
      </x:c>
      <x:c r="D1206" t="str">
        <x:v>Financiera D</x:v>
      </x:c>
      <x:c r="E1206" t="str">
        <x:v>Crédito educativo</x:v>
      </x:c>
      <x:c r="F1206" t="n">
        <x:v>4600000</x:v>
      </x:c>
      <x:c r="G1206" s="40" t="n">
        <x:v>0.1462</x:v>
      </x:c>
      <x:c r="H1206" s="40" t="n">
        <x:v>0.011436</x:v>
      </x:c>
      <x:c r="I1206" t="n">
        <x:v>24</x:v>
      </x:c>
      <x:c r="J1206" t="n">
        <x:v>220300</x:v>
      </x:c>
      <x:c r="K1206" t="str">
        <x:v>Bola de nieve</x:v>
      </x:c>
      <x:c r="L1206" t="str">
        <x:v>Vigente</x:v>
      </x:c>
      <x:c r="M1206" t="n">
        <x:v>3310747.11</x:v>
      </x:c>
      <x:c r="N1206"/>
    </x:row>
    <x:row r="1207">
      <x:c r="A1207" t="str">
        <x:v>DEU-001206</x:v>
      </x:c>
      <x:c r="B1207" t="str">
        <x:v>USR-00626</x:v>
      </x:c>
      <x:c r="C1207" t="n">
        <x:v>46082</x:v>
      </x:c>
      <x:c r="D1207" t="str">
        <x:v>Entidad financiera A</x:v>
      </x:c>
      <x:c r="E1207" t="str">
        <x:v>Crédito educativo</x:v>
      </x:c>
      <x:c r="F1207" t="n">
        <x:v>3430000</x:v>
      </x:c>
      <x:c r="G1207" s="40" t="n">
        <x:v>0.242</x:v>
      </x:c>
      <x:c r="H1207" s="40" t="n">
        <x:v>0.018224</x:v>
      </x:c>
      <x:c r="I1207" t="n">
        <x:v>24</x:v>
      </x:c>
      <x:c r="J1207" t="n">
        <x:v>177700</x:v>
      </x:c>
      <x:c r="K1207" t="str">
        <x:v>Avalancha</x:v>
      </x:c>
      <x:c r="L1207" t="str">
        <x:v>Vigente</x:v>
      </x:c>
      <x:c r="M1207" t="n">
        <x:v>2716610.56</x:v>
      </x:c>
      <x:c r="N1207"/>
    </x:row>
    <x:row r="1208">
      <x:c r="A1208" t="str">
        <x:v>DEU-001207</x:v>
      </x:c>
      <x:c r="B1208" t="str">
        <x:v>USR-00626</x:v>
      </x:c>
      <x:c r="C1208" t="n">
        <x:v>46082</x:v>
      </x:c>
      <x:c r="D1208" t="str">
        <x:v>Entidad financiera B</x:v>
      </x:c>
      <x:c r="E1208" t="str">
        <x:v>Crédito de libre inversión</x:v>
      </x:c>
      <x:c r="F1208" t="n">
        <x:v>16630000</x:v>
      </x:c>
      <x:c r="G1208" s="40" t="n">
        <x:v>0.1851</x:v>
      </x:c>
      <x:c r="H1208" s="40" t="n">
        <x:v>0.014253</x:v>
      </x:c>
      <x:c r="I1208" t="n">
        <x:v>18</x:v>
      </x:c>
      <x:c r="J1208" t="n">
        <x:v>1054000</x:v>
      </x:c>
      <x:c r="K1208" t="str">
        <x:v>Avalancha</x:v>
      </x:c>
      <x:c r="L1208" t="str">
        <x:v>Vigente</x:v>
      </x:c>
      <x:c r="M1208" t="n">
        <x:v>10973825.56</x:v>
      </x:c>
      <x:c r="N1208"/>
    </x:row>
    <x:row r="1209">
      <x:c r="A1209" t="str">
        <x:v>DEU-001208</x:v>
      </x:c>
      <x:c r="B1209" t="str">
        <x:v>USR-00626</x:v>
      </x:c>
      <x:c r="C1209" t="n">
        <x:v>46082</x:v>
      </x:c>
      <x:c r="D1209" t="str">
        <x:v>Entidad financiera A</x:v>
      </x:c>
      <x:c r="E1209" t="str">
        <x:v>Crédito de libre inversión</x:v>
      </x:c>
      <x:c r="F1209" t="n">
        <x:v>9720000</x:v>
      </x:c>
      <x:c r="G1209" s="40" t="n">
        <x:v>0.3008</x:v>
      </x:c>
      <x:c r="H1209" s="40" t="n">
        <x:v>0.022157</x:v>
      </x:c>
      <x:c r="I1209" t="n">
        <x:v>60</x:v>
      </x:c>
      <x:c r="J1209" t="n">
        <x:v>294400</x:v>
      </x:c>
      <x:c r="K1209" t="str">
        <x:v>Bola de nieve</x:v>
      </x:c>
      <x:c r="L1209" t="str">
        <x:v>Vigente</x:v>
      </x:c>
      <x:c r="M1209" t="n">
        <x:v>9161550.26</x:v>
      </x:c>
      <x:c r="N1209"/>
    </x:row>
    <x:row r="1210">
      <x:c r="A1210" t="str">
        <x:v>DEU-001209</x:v>
      </x:c>
      <x:c r="B1210" t="str">
        <x:v>USR-00626</x:v>
      </x:c>
      <x:c r="C1210" t="n">
        <x:v>46082</x:v>
      </x:c>
      <x:c r="D1210" t="str">
        <x:v>Entidad financiera A</x:v>
      </x:c>
      <x:c r="E1210" t="str">
        <x:v>Tarjeta de crédito</x:v>
      </x:c>
      <x:c r="F1210" t="n">
        <x:v>2270000</x:v>
      </x:c>
      <x:c r="G1210" s="40" t="n">
        <x:v>0.163</x:v>
      </x:c>
      <x:c r="H1210" s="40" t="n">
        <x:v>0.012663</x:v>
      </x:c>
      <x:c r="I1210" t="n">
        <x:v>36</x:v>
      </x:c>
      <x:c r="J1210" t="n">
        <x:v>78900</x:v>
      </x:c>
      <x:c r="K1210" t="str">
        <x:v>Avalancha</x:v>
      </x:c>
      <x:c r="L1210" t="str">
        <x:v>Vigente</x:v>
      </x:c>
      <x:c r="M1210" t="n">
        <x:v>2150314.86</x:v>
      </x:c>
      <x:c r="N1210"/>
    </x:row>
    <x:row r="1211">
      <x:c r="A1211" t="str">
        <x:v>DEU-001210</x:v>
      </x:c>
      <x:c r="B1211" t="str">
        <x:v>USR-00627</x:v>
      </x:c>
      <x:c r="C1211" t="n">
        <x:v>46082</x:v>
      </x:c>
      <x:c r="D1211" t="str">
        <x:v>Entidad financiera B</x:v>
      </x:c>
      <x:c r="E1211" t="str">
        <x:v>Crédito de vehículo</x:v>
      </x:c>
      <x:c r="F1211" t="n">
        <x:v>49610000</x:v>
      </x:c>
      <x:c r="G1211" s="40" t="n">
        <x:v>0.2624</x:v>
      </x:c>
      <x:c r="H1211" s="40" t="n">
        <x:v>0.019608</x:v>
      </x:c>
      <x:c r="I1211" t="n">
        <x:v>18</x:v>
      </x:c>
      <x:c r="J1211" t="n">
        <x:v>3297700</x:v>
      </x:c>
      <x:c r="K1211" t="str">
        <x:v>Bola de nieve</x:v>
      </x:c>
      <x:c r="L1211" t="str">
        <x:v>Vigente</x:v>
      </x:c>
      <x:c r="M1211" t="n">
        <x:v>38497757.54</x:v>
      </x:c>
      <x:c r="N1211"/>
    </x:row>
    <x:row r="1212">
      <x:c r="A1212" t="str">
        <x:v>DEU-001211</x:v>
      </x:c>
      <x:c r="B1212" t="str">
        <x:v>USR-00627</x:v>
      </x:c>
      <x:c r="C1212" t="n">
        <x:v>46082</x:v>
      </x:c>
      <x:c r="D1212" t="str">
        <x:v>Entidad financiera A</x:v>
      </x:c>
      <x:c r="E1212" t="str">
        <x:v>Tarjeta de crédito</x:v>
      </x:c>
      <x:c r="F1212" t="n">
        <x:v>1390000</x:v>
      </x:c>
      <x:c r="G1212" s="40" t="n">
        <x:v>0.1954</x:v>
      </x:c>
      <x:c r="H1212" s="40" t="n">
        <x:v>0.014985</x:v>
      </x:c>
      <x:c r="I1212" t="n">
        <x:v>24</x:v>
      </x:c>
      <x:c r="J1212" t="n">
        <x:v>69400</x:v>
      </x:c>
      <x:c r="K1212" t="str">
        <x:v>Avalancha</x:v>
      </x:c>
      <x:c r="L1212" t="str">
        <x:v>Vigente</x:v>
      </x:c>
      <x:c r="M1212" t="n">
        <x:v>1180491.03</x:v>
      </x:c>
      <x:c r="N1212"/>
    </x:row>
    <x:row r="1213">
      <x:c r="A1213" t="str">
        <x:v>DEU-001212</x:v>
      </x:c>
      <x:c r="B1213" t="str">
        <x:v>USR-00628</x:v>
      </x:c>
      <x:c r="C1213" t="n">
        <x:v>46082</x:v>
      </x:c>
      <x:c r="D1213" t="str">
        <x:v>Entidad financiera B</x:v>
      </x:c>
      <x:c r="E1213" t="str">
        <x:v>Crédito de libre inversión</x:v>
      </x:c>
      <x:c r="F1213" t="n">
        <x:v>22680000</x:v>
      </x:c>
      <x:c r="G1213" s="40" t="n">
        <x:v>0.1092</x:v>
      </x:c>
      <x:c r="H1213" s="40" t="n">
        <x:v>0.008674</x:v>
      </x:c>
      <x:c r="I1213" t="n">
        <x:v>18</x:v>
      </x:c>
      <x:c r="J1213" t="n">
        <x:v>1366400</x:v>
      </x:c>
      <x:c r="K1213" t="str">
        <x:v>Bola de nieve</x:v>
      </x:c>
      <x:c r="L1213" t="str">
        <x:v>Vigente</x:v>
      </x:c>
      <x:c r="M1213" t="n">
        <x:v>21288489.63</x:v>
      </x:c>
      <x:c r="N1213"/>
    </x:row>
    <x:row r="1214">
      <x:c r="A1214" t="str">
        <x:v>DEU-001213</x:v>
      </x:c>
      <x:c r="B1214" t="str">
        <x:v>USR-00628</x:v>
      </x:c>
      <x:c r="C1214" t="n">
        <x:v>46082</x:v>
      </x:c>
      <x:c r="D1214" t="str">
        <x:v>Entidad financiera E</x:v>
      </x:c>
      <x:c r="E1214" t="str">
        <x:v>Crédito de consumo</x:v>
      </x:c>
      <x:c r="F1214" t="n">
        <x:v>14530000</x:v>
      </x:c>
      <x:c r="G1214" s="40" t="n">
        <x:v>0.137</x:v>
      </x:c>
      <x:c r="H1214" s="40" t="n">
        <x:v>0.010757</x:v>
      </x:c>
      <x:c r="I1214" t="n">
        <x:v>48</x:v>
      </x:c>
      <x:c r="J1214" t="n">
        <x:v>389100</x:v>
      </x:c>
      <x:c r="K1214" t="str">
        <x:v>Bola de nieve</x:v>
      </x:c>
      <x:c r="L1214" t="str">
        <x:v>Vigente</x:v>
      </x:c>
      <x:c r="M1214" t="n">
        <x:v>12698841.37</x:v>
      </x:c>
      <x:c r="N1214"/>
    </x:row>
    <x:row r="1215">
      <x:c r="A1215" t="str">
        <x:v>DEU-001214</x:v>
      </x:c>
      <x:c r="B1215" t="str">
        <x:v>USR-00629</x:v>
      </x:c>
      <x:c r="C1215" t="n">
        <x:v>46082</x:v>
      </x:c>
      <x:c r="D1215" t="str">
        <x:v>Entidad financiera A</x:v>
      </x:c>
      <x:c r="E1215" t="str">
        <x:v>Crédito de libre inversión</x:v>
      </x:c>
      <x:c r="F1215" t="n">
        <x:v>2070000</x:v>
      </x:c>
      <x:c r="G1215" s="40" t="n">
        <x:v>0.2067</x:v>
      </x:c>
      <x:c r="H1215" s="40" t="n">
        <x:v>0.015781</x:v>
      </x:c>
      <x:c r="I1215" t="n">
        <x:v>24</x:v>
      </x:c>
      <x:c r="J1215" t="n">
        <x:v>104300</x:v>
      </x:c>
      <x:c r="K1215" t="str">
        <x:v>Bola de nieve</x:v>
      </x:c>
      <x:c r="L1215" t="str">
        <x:v>Vigente</x:v>
      </x:c>
      <x:c r="M1215" t="n">
        <x:v>1790121.32</x:v>
      </x:c>
      <x:c r="N1215"/>
    </x:row>
    <x:row r="1216">
      <x:c r="A1216" t="str">
        <x:v>DEU-001215</x:v>
      </x:c>
      <x:c r="B1216" t="str">
        <x:v>USR-00630</x:v>
      </x:c>
      <x:c r="C1216" t="n">
        <x:v>46082</x:v>
      </x:c>
      <x:c r="D1216" t="str">
        <x:v>Financiera D</x:v>
      </x:c>
      <x:c r="E1216" t="str">
        <x:v>Crédito de vehículo</x:v>
      </x:c>
      <x:c r="F1216" t="n">
        <x:v>55230000</x:v>
      </x:c>
      <x:c r="G1216" s="40" t="n">
        <x:v>0.2431</x:v>
      </x:c>
      <x:c r="H1216" s="40" t="n">
        <x:v>0.018299</x:v>
      </x:c>
      <x:c r="I1216" t="n">
        <x:v>12</x:v>
      </x:c>
      <x:c r="J1216" t="n">
        <x:v>5168100</x:v>
      </x:c>
      <x:c r="K1216" t="str">
        <x:v>Bola de nieve</x:v>
      </x:c>
      <x:c r="L1216" t="str">
        <x:v>Vigente</x:v>
      </x:c>
      <x:c r="M1216" t="n">
        <x:v>37435510.91</x:v>
      </x:c>
      <x:c r="N1216"/>
    </x:row>
    <x:row r="1217">
      <x:c r="A1217" t="str">
        <x:v>DEU-001216</x:v>
      </x:c>
      <x:c r="B1217" t="str">
        <x:v>USR-00630</x:v>
      </x:c>
      <x:c r="C1217" t="n">
        <x:v>46082</x:v>
      </x:c>
      <x:c r="D1217" t="str">
        <x:v>Entidad financiera E</x:v>
      </x:c>
      <x:c r="E1217" t="str">
        <x:v>Tarjeta de crédito</x:v>
      </x:c>
      <x:c r="F1217" t="n">
        <x:v>8080000</x:v>
      </x:c>
      <x:c r="G1217" s="40" t="n">
        <x:v>0.3325</x:v>
      </x:c>
      <x:c r="H1217" s="40" t="n">
        <x:v>0.02421</x:v>
      </x:c>
      <x:c r="I1217" t="n">
        <x:v>12</x:v>
      </x:c>
      <x:c r="J1217" t="n">
        <x:v>783900</x:v>
      </x:c>
      <x:c r="K1217" t="str">
        <x:v>Bola de nieve</x:v>
      </x:c>
      <x:c r="L1217" t="str">
        <x:v>Vigente</x:v>
      </x:c>
      <x:c r="M1217" t="n">
        <x:v>6201763.17</x:v>
      </x:c>
      <x:c r="N1217"/>
    </x:row>
    <x:row r="1218">
      <x:c r="A1218" t="str">
        <x:v>DEU-001217</x:v>
      </x:c>
      <x:c r="B1218" t="str">
        <x:v>USR-00631</x:v>
      </x:c>
      <x:c r="C1218" t="n">
        <x:v>46082</x:v>
      </x:c>
      <x:c r="D1218" t="str">
        <x:v>Entidad financiera E</x:v>
      </x:c>
      <x:c r="E1218" t="str">
        <x:v>Crédito de libre inversión</x:v>
      </x:c>
      <x:c r="F1218" t="n">
        <x:v>5920000</x:v>
      </x:c>
      <x:c r="G1218" s="40" t="n">
        <x:v>0.2649</x:v>
      </x:c>
      <x:c r="H1218" s="40" t="n">
        <x:v>0.019776</x:v>
      </x:c>
      <x:c r="I1218" t="n">
        <x:v>24</x:v>
      </x:c>
      <x:c r="J1218" t="n">
        <x:v>312200</x:v>
      </x:c>
      <x:c r="K1218" t="str">
        <x:v>Bola de nieve</x:v>
      </x:c>
      <x:c r="L1218" t="str">
        <x:v>Vigente</x:v>
      </x:c>
      <x:c r="M1218" t="n">
        <x:v>5158876.78</x:v>
      </x:c>
      <x:c r="N1218"/>
    </x:row>
    <x:row r="1219">
      <x:c r="A1219" t="str">
        <x:v>DEU-001218</x:v>
      </x:c>
      <x:c r="B1219" t="str">
        <x:v>USR-00631</x:v>
      </x:c>
      <x:c r="C1219" t="n">
        <x:v>46082</x:v>
      </x:c>
      <x:c r="D1219" t="str">
        <x:v>Entidad financiera E</x:v>
      </x:c>
      <x:c r="E1219" t="str">
        <x:v>Crédito de vehículo</x:v>
      </x:c>
      <x:c r="F1219" t="n">
        <x:v>17940000</x:v>
      </x:c>
      <x:c r="G1219" s="40" t="n">
        <x:v>0.2988</x:v>
      </x:c>
      <x:c r="H1219" s="40" t="n">
        <x:v>0.022026</x:v>
      </x:c>
      <x:c r="I1219" t="n">
        <x:v>36</x:v>
      </x:c>
      <x:c r="J1219" t="n">
        <x:v>726900</x:v>
      </x:c>
      <x:c r="K1219" t="str">
        <x:v>Bola de nieve</x:v>
      </x:c>
      <x:c r="L1219" t="str">
        <x:v>Vigente</x:v>
      </x:c>
      <x:c r="M1219" t="n">
        <x:v>15218859.1</x:v>
      </x:c>
      <x:c r="N1219"/>
    </x:row>
    <x:row r="1220">
      <x:c r="A1220" t="str">
        <x:v>DEU-001219</x:v>
      </x:c>
      <x:c r="B1220" t="str">
        <x:v>USR-00631</x:v>
      </x:c>
      <x:c r="C1220" t="n">
        <x:v>46082</x:v>
      </x:c>
      <x:c r="D1220" t="str">
        <x:v>Financiera D</x:v>
      </x:c>
      <x:c r="E1220" t="str">
        <x:v>Crédito de consumo</x:v>
      </x:c>
      <x:c r="F1220" t="n">
        <x:v>16810000</x:v>
      </x:c>
      <x:c r="G1220" s="40" t="n">
        <x:v>0.2839</x:v>
      </x:c>
      <x:c r="H1220" s="40" t="n">
        <x:v>0.021044</x:v>
      </x:c>
      <x:c r="I1220" t="n">
        <x:v>24</x:v>
      </x:c>
      <x:c r="J1220" t="n">
        <x:v>899300</x:v>
      </x:c>
      <x:c r="K1220" t="str">
        <x:v>Bola de nieve</x:v>
      </x:c>
      <x:c r="L1220" t="str">
        <x:v>Vigente</x:v>
      </x:c>
      <x:c r="M1220" t="n">
        <x:v>13343180.66</x:v>
      </x:c>
      <x:c r="N1220"/>
    </x:row>
    <x:row r="1221">
      <x:c r="A1221" t="str">
        <x:v>DEU-001220</x:v>
      </x:c>
      <x:c r="B1221" t="str">
        <x:v>USR-00631</x:v>
      </x:c>
      <x:c r="C1221" t="n">
        <x:v>46082</x:v>
      </x:c>
      <x:c r="D1221" t="str">
        <x:v>Cooperativa C</x:v>
      </x:c>
      <x:c r="E1221" t="str">
        <x:v>Crédito educativo</x:v>
      </x:c>
      <x:c r="F1221" t="n">
        <x:v>13450000</x:v>
      </x:c>
      <x:c r="G1221" s="40" t="n">
        <x:v>0.3219</x:v>
      </x:c>
      <x:c r="H1221" s="40" t="n">
        <x:v>0.023528</x:v>
      </x:c>
      <x:c r="I1221" t="n">
        <x:v>18</x:v>
      </x:c>
      <x:c r="J1221" t="n">
        <x:v>925200</x:v>
      </x:c>
      <x:c r="K1221" t="str">
        <x:v>Bola de nieve</x:v>
      </x:c>
      <x:c r="L1221" t="str">
        <x:v>Vigente</x:v>
      </x:c>
      <x:c r="M1221" t="n">
        <x:v>10226583.12</x:v>
      </x:c>
      <x:c r="N1221"/>
    </x:row>
    <x:row r="1222">
      <x:c r="A1222" t="str">
        <x:v>DEU-001221</x:v>
      </x:c>
      <x:c r="B1222" t="str">
        <x:v>USR-00632</x:v>
      </x:c>
      <x:c r="C1222" t="n">
        <x:v>46082</x:v>
      </x:c>
      <x:c r="D1222" t="str">
        <x:v>Financiera D</x:v>
      </x:c>
      <x:c r="E1222" t="str">
        <x:v>Crédito de consumo</x:v>
      </x:c>
      <x:c r="F1222" t="n">
        <x:v>12830000</x:v>
      </x:c>
      <x:c r="G1222" s="40" t="n">
        <x:v>0.3141</x:v>
      </x:c>
      <x:c r="H1222" s="40" t="n">
        <x:v>0.023024</x:v>
      </x:c>
      <x:c r="I1222" t="n">
        <x:v>48</x:v>
      </x:c>
      <x:c r="J1222" t="n">
        <x:v>444400</x:v>
      </x:c>
      <x:c r="K1222" t="str">
        <x:v>Avalancha</x:v>
      </x:c>
      <x:c r="L1222" t="str">
        <x:v>Vigente</x:v>
      </x:c>
      <x:c r="M1222" t="n">
        <x:v>13330095.83</x:v>
      </x:c>
      <x:c r="N1222"/>
    </x:row>
    <x:row r="1223">
      <x:c r="A1223" t="str">
        <x:v>DEU-001222</x:v>
      </x:c>
      <x:c r="B1223" t="str">
        <x:v>USR-00633</x:v>
      </x:c>
      <x:c r="C1223" t="n">
        <x:v>46082</x:v>
      </x:c>
      <x:c r="D1223" t="str">
        <x:v>Entidad financiera B</x:v>
      </x:c>
      <x:c r="E1223" t="str">
        <x:v>Crédito educativo</x:v>
      </x:c>
      <x:c r="F1223" t="n">
        <x:v>22860000</x:v>
      </x:c>
      <x:c r="G1223" s="40" t="n">
        <x:v>0.1642</x:v>
      </x:c>
      <x:c r="H1223" s="40" t="n">
        <x:v>0.01275</x:v>
      </x:c>
      <x:c r="I1223" t="n">
        <x:v>12</x:v>
      </x:c>
      <x:c r="J1223" t="n">
        <x:v>2066500</x:v>
      </x:c>
      <x:c r="K1223" t="str">
        <x:v>Bola de nieve</x:v>
      </x:c>
      <x:c r="L1223" t="str">
        <x:v>Vigente</x:v>
      </x:c>
      <x:c r="M1223" t="n">
        <x:v>13514096.45</x:v>
      </x:c>
      <x:c r="N1223"/>
    </x:row>
    <x:row r="1224">
      <x:c r="A1224" t="str">
        <x:v>DEU-001223</x:v>
      </x:c>
      <x:c r="B1224" t="str">
        <x:v>USR-00633</x:v>
      </x:c>
      <x:c r="C1224" t="n">
        <x:v>46082</x:v>
      </x:c>
      <x:c r="D1224" t="str">
        <x:v>Entidad financiera A</x:v>
      </x:c>
      <x:c r="E1224" t="str">
        <x:v>Tarjeta de crédito</x:v>
      </x:c>
      <x:c r="F1224" t="n">
        <x:v>770000</x:v>
      </x:c>
      <x:c r="G1224" s="40" t="n">
        <x:v>0.2731</x:v>
      </x:c>
      <x:c r="H1224" s="40" t="n">
        <x:v>0.020325</x:v>
      </x:c>
      <x:c r="I1224" t="n">
        <x:v>12</x:v>
      </x:c>
      <x:c r="J1224" t="n">
        <x:v>73000</x:v>
      </x:c>
      <x:c r="K1224" t="str">
        <x:v>Bola de nieve</x:v>
      </x:c>
      <x:c r="L1224" t="str">
        <x:v>Vigente</x:v>
      </x:c>
      <x:c r="M1224" t="n">
        <x:v>332402.04</x:v>
      </x:c>
      <x:c r="N1224"/>
    </x:row>
    <x:row r="1225">
      <x:c r="A1225" t="str">
        <x:v>DEU-001224</x:v>
      </x:c>
      <x:c r="B1225" t="str">
        <x:v>USR-00633</x:v>
      </x:c>
      <x:c r="C1225" t="n">
        <x:v>46082</x:v>
      </x:c>
      <x:c r="D1225" t="str">
        <x:v>Entidad financiera E</x:v>
      </x:c>
      <x:c r="E1225" t="str">
        <x:v>Tarjeta de crédito</x:v>
      </x:c>
      <x:c r="F1225" t="n">
        <x:v>5750000</x:v>
      </x:c>
      <x:c r="G1225" s="40" t="n">
        <x:v>0.1567</x:v>
      </x:c>
      <x:c r="H1225" s="40" t="n">
        <x:v>0.012205</x:v>
      </x:c>
      <x:c r="I1225" t="n">
        <x:v>24</x:v>
      </x:c>
      <x:c r="J1225" t="n">
        <x:v>277800</x:v>
      </x:c>
      <x:c r="K1225" t="str">
        <x:v>Avalancha</x:v>
      </x:c>
      <x:c r="L1225" t="str">
        <x:v>Vigente</x:v>
      </x:c>
      <x:c r="M1225" t="n">
        <x:v>4201030.92</x:v>
      </x:c>
      <x:c r="N1225"/>
    </x:row>
    <x:row r="1226">
      <x:c r="A1226" t="str">
        <x:v>DEU-001225</x:v>
      </x:c>
      <x:c r="B1226" t="str">
        <x:v>USR-00634</x:v>
      </x:c>
      <x:c r="C1226" t="n">
        <x:v>46082</x:v>
      </x:c>
      <x:c r="D1226" t="str">
        <x:v>Entidad financiera E</x:v>
      </x:c>
      <x:c r="E1226" t="str">
        <x:v>Crédito educativo</x:v>
      </x:c>
      <x:c r="F1226" t="n">
        <x:v>23300000</x:v>
      </x:c>
      <x:c r="G1226" s="40" t="n">
        <x:v>0.3345</x:v>
      </x:c>
      <x:c r="H1226" s="40" t="n">
        <x:v>0.024338</x:v>
      </x:c>
      <x:c r="I1226" t="n">
        <x:v>60</x:v>
      </x:c>
      <x:c r="J1226" t="n">
        <x:v>742500</x:v>
      </x:c>
      <x:c r="K1226" t="str">
        <x:v>Bola de nieve</x:v>
      </x:c>
      <x:c r="L1226" t="str">
        <x:v>Vigente</x:v>
      </x:c>
      <x:c r="M1226" t="n">
        <x:v>23472408.72</x:v>
      </x:c>
      <x:c r="N1226"/>
    </x:row>
    <x:row r="1227">
      <x:c r="A1227" t="str">
        <x:v>DEU-001226</x:v>
      </x:c>
      <x:c r="B1227" t="str">
        <x:v>USR-00634</x:v>
      </x:c>
      <x:c r="C1227" t="n">
        <x:v>46082</x:v>
      </x:c>
      <x:c r="D1227" t="str">
        <x:v>Cooperativa C</x:v>
      </x:c>
      <x:c r="E1227" t="str">
        <x:v>Crédito de consumo</x:v>
      </x:c>
      <x:c r="F1227" t="n">
        <x:v>11800000</x:v>
      </x:c>
      <x:c r="G1227" s="40" t="n">
        <x:v>0.2504</x:v>
      </x:c>
      <x:c r="H1227" s="40" t="n">
        <x:v>0.018796</x:v>
      </x:c>
      <x:c r="I1227" t="n">
        <x:v>48</x:v>
      </x:c>
      <x:c r="J1227" t="n">
        <x:v>375300</x:v>
      </x:c>
      <x:c r="K1227" t="str">
        <x:v>Bola de nieve</x:v>
      </x:c>
      <x:c r="L1227" t="str">
        <x:v>Vigente</x:v>
      </x:c>
      <x:c r="M1227" t="n">
        <x:v>11819768.17</x:v>
      </x:c>
      <x:c r="N1227"/>
    </x:row>
    <x:row r="1228">
      <x:c r="A1228" t="str">
        <x:v>DEU-001227</x:v>
      </x:c>
      <x:c r="B1228" t="str">
        <x:v>USR-00635</x:v>
      </x:c>
      <x:c r="C1228" t="n">
        <x:v>46082</x:v>
      </x:c>
      <x:c r="D1228" t="str">
        <x:v>Financiera D</x:v>
      </x:c>
      <x:c r="E1228" t="str">
        <x:v>Tarjeta de crédito</x:v>
      </x:c>
      <x:c r="F1228" t="n">
        <x:v>3610000</x:v>
      </x:c>
      <x:c r="G1228" s="40" t="n">
        <x:v>0.124</x:v>
      </x:c>
      <x:c r="H1228" s="40" t="n">
        <x:v>0.009789</x:v>
      </x:c>
      <x:c r="I1228" t="n">
        <x:v>48</x:v>
      </x:c>
      <x:c r="J1228" t="n">
        <x:v>94600</x:v>
      </x:c>
      <x:c r="K1228" t="str">
        <x:v>Bola de nieve</x:v>
      </x:c>
      <x:c r="L1228" t="str">
        <x:v>Vigente</x:v>
      </x:c>
      <x:c r="M1228" t="n">
        <x:v>3470648.25</x:v>
      </x:c>
      <x:c r="N1228"/>
    </x:row>
    <x:row r="1229">
      <x:c r="A1229" t="str">
        <x:v>DEU-001228</x:v>
      </x:c>
      <x:c r="B1229" t="str">
        <x:v>USR-00636</x:v>
      </x:c>
      <x:c r="C1229" t="n">
        <x:v>46082</x:v>
      </x:c>
      <x:c r="D1229" t="str">
        <x:v>Entidad financiera B</x:v>
      </x:c>
      <x:c r="E1229" t="str">
        <x:v>Crédito de vehículo</x:v>
      </x:c>
      <x:c r="F1229" t="n">
        <x:v>53810000</x:v>
      </x:c>
      <x:c r="G1229" s="40" t="n">
        <x:v>0.343</x:v>
      </x:c>
      <x:c r="H1229" s="40" t="n">
        <x:v>0.02488</x:v>
      </x:c>
      <x:c r="I1229" t="n">
        <x:v>18</x:v>
      </x:c>
      <x:c r="J1229" t="n">
        <x:v>3745100</x:v>
      </x:c>
      <x:c r="K1229" t="str">
        <x:v>Avalancha</x:v>
      </x:c>
      <x:c r="L1229" t="str">
        <x:v>Vigente</x:v>
      </x:c>
      <x:c r="M1229" t="n">
        <x:v>40290950.61</x:v>
      </x:c>
      <x:c r="N1229"/>
    </x:row>
    <x:row r="1230">
      <x:c r="A1230" t="str">
        <x:v>DEU-001229</x:v>
      </x:c>
      <x:c r="B1230" t="str">
        <x:v>USR-00636</x:v>
      </x:c>
      <x:c r="C1230" t="n">
        <x:v>46082</x:v>
      </x:c>
      <x:c r="D1230" t="str">
        <x:v>Entidad financiera B</x:v>
      </x:c>
      <x:c r="E1230" t="str">
        <x:v>Crédito de consumo</x:v>
      </x:c>
      <x:c r="F1230" t="n">
        <x:v>12530000</x:v>
      </x:c>
      <x:c r="G1230" s="40" t="n">
        <x:v>0.2045</x:v>
      </x:c>
      <x:c r="H1230" s="40" t="n">
        <x:v>0.015626</x:v>
      </x:c>
      <x:c r="I1230" t="n">
        <x:v>18</x:v>
      </x:c>
      <x:c r="J1230" t="n">
        <x:v>804000</x:v>
      </x:c>
      <x:c r="K1230" t="str">
        <x:v>Bola de nieve</x:v>
      </x:c>
      <x:c r="L1230" t="str">
        <x:v>Vigente</x:v>
      </x:c>
      <x:c r="M1230" t="n">
        <x:v>9169127.49</x:v>
      </x:c>
      <x:c r="N1230"/>
    </x:row>
    <x:row r="1231">
      <x:c r="A1231" t="str">
        <x:v>DEU-001230</x:v>
      </x:c>
      <x:c r="B1231" t="str">
        <x:v>USR-00637</x:v>
      </x:c>
      <x:c r="C1231" t="n">
        <x:v>46082</x:v>
      </x:c>
      <x:c r="D1231" t="str">
        <x:v>Entidad financiera E</x:v>
      </x:c>
      <x:c r="E1231" t="str">
        <x:v>Crédito de libre inversión</x:v>
      </x:c>
      <x:c r="F1231" t="n">
        <x:v>18980000</x:v>
      </x:c>
      <x:c r="G1231" s="40" t="n">
        <x:v>0.1632</x:v>
      </x:c>
      <x:c r="H1231" s="40" t="n">
        <x:v>0.012678</x:v>
      </x:c>
      <x:c r="I1231" t="n">
        <x:v>24</x:v>
      </x:c>
      <x:c r="J1231" t="n">
        <x:v>922200</x:v>
      </x:c>
      <x:c r="K1231" t="str">
        <x:v>Bola de nieve</x:v>
      </x:c>
      <x:c r="L1231" t="str">
        <x:v>Vigente</x:v>
      </x:c>
      <x:c r="M1231" t="n">
        <x:v>15406105.4</x:v>
      </x:c>
      <x:c r="N1231"/>
    </x:row>
    <x:row r="1232">
      <x:c r="A1232" t="str">
        <x:v>DEU-001231</x:v>
      </x:c>
      <x:c r="B1232" t="str">
        <x:v>USR-00637</x:v>
      </x:c>
      <x:c r="C1232" t="n">
        <x:v>46082</x:v>
      </x:c>
      <x:c r="D1232" t="str">
        <x:v>Financiera D</x:v>
      </x:c>
      <x:c r="E1232" t="str">
        <x:v>Crédito de consumo</x:v>
      </x:c>
      <x:c r="F1232" t="n">
        <x:v>14070000</x:v>
      </x:c>
      <x:c r="G1232" s="40" t="n">
        <x:v>0.125</x:v>
      </x:c>
      <x:c r="H1232" s="40" t="n">
        <x:v>0.009864</x:v>
      </x:c>
      <x:c r="I1232" t="n">
        <x:v>24</x:v>
      </x:c>
      <x:c r="J1232" t="n">
        <x:v>661200</x:v>
      </x:c>
      <x:c r="K1232" t="str">
        <x:v>Avalancha</x:v>
      </x:c>
      <x:c r="L1232" t="str">
        <x:v>Vigente</x:v>
      </x:c>
      <x:c r="M1232" t="n">
        <x:v>12901981.2</x:v>
      </x:c>
      <x:c r="N1232"/>
    </x:row>
    <x:row r="1233">
      <x:c r="A1233" t="str">
        <x:v>DEU-001232</x:v>
      </x:c>
      <x:c r="B1233" t="str">
        <x:v>USR-00638</x:v>
      </x:c>
      <x:c r="C1233" t="n">
        <x:v>46082</x:v>
      </x:c>
      <x:c r="D1233" t="str">
        <x:v>Entidad financiera A</x:v>
      </x:c>
      <x:c r="E1233" t="str">
        <x:v>Crédito de consumo</x:v>
      </x:c>
      <x:c r="F1233" t="n">
        <x:v>16930000</x:v>
      </x:c>
      <x:c r="G1233" s="40" t="n">
        <x:v>0.1259</x:v>
      </x:c>
      <x:c r="H1233" s="40" t="n">
        <x:v>0.009931</x:v>
      </x:c>
      <x:c r="I1233" t="n">
        <x:v>36</x:v>
      </x:c>
      <x:c r="J1233" t="n">
        <x:v>561600</x:v>
      </x:c>
      <x:c r="K1233" t="str">
        <x:v>Avalancha</x:v>
      </x:c>
      <x:c r="L1233" t="str">
        <x:v>Vigente</x:v>
      </x:c>
      <x:c r="M1233" t="n">
        <x:v>14188356.93</x:v>
      </x:c>
      <x:c r="N1233"/>
    </x:row>
    <x:row r="1234">
      <x:c r="A1234" t="str">
        <x:v>DEU-001233</x:v>
      </x:c>
      <x:c r="B1234" t="str">
        <x:v>USR-00639</x:v>
      </x:c>
      <x:c r="C1234" t="n">
        <x:v>46082</x:v>
      </x:c>
      <x:c r="D1234" t="str">
        <x:v>Cooperativa C</x:v>
      </x:c>
      <x:c r="E1234" t="str">
        <x:v>Tarjeta de crédito</x:v>
      </x:c>
      <x:c r="F1234" t="n">
        <x:v>3950000</x:v>
      </x:c>
      <x:c r="G1234" s="40" t="n">
        <x:v>0.1153</x:v>
      </x:c>
      <x:c r="H1234" s="40" t="n">
        <x:v>0.009135</x:v>
      </x:c>
      <x:c r="I1234" t="n">
        <x:v>36</x:v>
      </x:c>
      <x:c r="J1234" t="n">
        <x:v>129200</x:v>
      </x:c>
      <x:c r="K1234" t="str">
        <x:v>Avalancha</x:v>
      </x:c>
      <x:c r="L1234" t="str">
        <x:v>Vigente</x:v>
      </x:c>
      <x:c r="M1234" t="n">
        <x:v>3460533.4</x:v>
      </x:c>
      <x:c r="N1234"/>
    </x:row>
    <x:row r="1235">
      <x:c r="A1235" t="str">
        <x:v>DEU-001234</x:v>
      </x:c>
      <x:c r="B1235" t="str">
        <x:v>USR-00639</x:v>
      </x:c>
      <x:c r="C1235" t="n">
        <x:v>46082</x:v>
      </x:c>
      <x:c r="D1235" t="str">
        <x:v>Financiera D</x:v>
      </x:c>
      <x:c r="E1235" t="str">
        <x:v>Crédito de consumo</x:v>
      </x:c>
      <x:c r="F1235" t="n">
        <x:v>13340000</x:v>
      </x:c>
      <x:c r="G1235" s="40" t="n">
        <x:v>0.2203</x:v>
      </x:c>
      <x:c r="H1235" s="40" t="n">
        <x:v>0.01673</x:v>
      </x:c>
      <x:c r="I1235" t="n">
        <x:v>60</x:v>
      </x:c>
      <x:c r="J1235" t="n">
        <x:v>354000</x:v>
      </x:c>
      <x:c r="K1235" t="str">
        <x:v>Avalancha</x:v>
      </x:c>
      <x:c r="L1235" t="str">
        <x:v>Vigente</x:v>
      </x:c>
      <x:c r="M1235" t="n">
        <x:v>12945221.28</x:v>
      </x:c>
      <x:c r="N1235"/>
    </x:row>
    <x:row r="1236">
      <x:c r="A1236" t="str">
        <x:v>DEU-001235</x:v>
      </x:c>
      <x:c r="B1236" t="str">
        <x:v>USR-00640</x:v>
      </x:c>
      <x:c r="C1236" t="n">
        <x:v>46082</x:v>
      </x:c>
      <x:c r="D1236" t="str">
        <x:v>Cooperativa C</x:v>
      </x:c>
      <x:c r="E1236" t="str">
        <x:v>Crédito de consumo</x:v>
      </x:c>
      <x:c r="F1236" t="n">
        <x:v>11340000</x:v>
      </x:c>
      <x:c r="G1236" s="40" t="n">
        <x:v>0.1207</x:v>
      </x:c>
      <x:c r="H1236" s="40" t="n">
        <x:v>0.009541</x:v>
      </x:c>
      <x:c r="I1236" t="n">
        <x:v>60</x:v>
      </x:c>
      <x:c r="J1236" t="n">
        <x:v>249100</x:v>
      </x:c>
      <x:c r="K1236" t="str">
        <x:v>Avalancha</x:v>
      </x:c>
      <x:c r="L1236" t="str">
        <x:v>Vigente</x:v>
      </x:c>
      <x:c r="M1236" t="n">
        <x:v>10933726.47</x:v>
      </x:c>
      <x:c r="N1236"/>
    </x:row>
    <x:row r="1237">
      <x:c r="A1237" t="str">
        <x:v>DEU-001236</x:v>
      </x:c>
      <x:c r="B1237" t="str">
        <x:v>USR-00640</x:v>
      </x:c>
      <x:c r="C1237" t="n">
        <x:v>46082</x:v>
      </x:c>
      <x:c r="D1237" t="str">
        <x:v>Cooperativa C</x:v>
      </x:c>
      <x:c r="E1237" t="str">
        <x:v>Crédito de libre inversión</x:v>
      </x:c>
      <x:c r="F1237" t="n">
        <x:v>21340000</x:v>
      </x:c>
      <x:c r="G1237" s="40" t="n">
        <x:v>0.2881</x:v>
      </x:c>
      <x:c r="H1237" s="40" t="n">
        <x:v>0.021321</x:v>
      </x:c>
      <x:c r="I1237" t="n">
        <x:v>30</x:v>
      </x:c>
      <x:c r="J1237" t="n">
        <x:v>970200</x:v>
      </x:c>
      <x:c r="K1237" t="str">
        <x:v>Bola de nieve</x:v>
      </x:c>
      <x:c r="L1237" t="str">
        <x:v>Vigente</x:v>
      </x:c>
      <x:c r="M1237" t="n">
        <x:v>19258875.27</x:v>
      </x:c>
      <x:c r="N1237"/>
    </x:row>
    <x:row r="1238">
      <x:c r="A1238" t="str">
        <x:v>DEU-001237</x:v>
      </x:c>
      <x:c r="B1238" t="str">
        <x:v>USR-00640</x:v>
      </x:c>
      <x:c r="C1238" t="n">
        <x:v>46082</x:v>
      </x:c>
      <x:c r="D1238" t="str">
        <x:v>Entidad financiera B</x:v>
      </x:c>
      <x:c r="E1238" t="str">
        <x:v>Tarjeta de crédito</x:v>
      </x:c>
      <x:c r="F1238" t="n">
        <x:v>1340000</x:v>
      </x:c>
      <x:c r="G1238" s="40" t="n">
        <x:v>0.2328</x:v>
      </x:c>
      <x:c r="H1238" s="40" t="n">
        <x:v>0.017594</x:v>
      </x:c>
      <x:c r="I1238" t="n">
        <x:v>24</x:v>
      </x:c>
      <x:c r="J1238" t="n">
        <x:v>68900</x:v>
      </x:c>
      <x:c r="K1238" t="str">
        <x:v>Avalancha</x:v>
      </x:c>
      <x:c r="L1238" t="str">
        <x:v>Vigente</x:v>
      </x:c>
      <x:c r="M1238" t="n">
        <x:v>1018244.91</x:v>
      </x:c>
      <x:c r="N1238"/>
    </x:row>
    <x:row r="1239">
      <x:c r="A1239" t="str">
        <x:v>DEU-001238</x:v>
      </x:c>
      <x:c r="B1239" t="str">
        <x:v>USR-00640</x:v>
      </x:c>
      <x:c r="C1239" t="n">
        <x:v>46082</x:v>
      </x:c>
      <x:c r="D1239" t="str">
        <x:v>Financiera D</x:v>
      </x:c>
      <x:c r="E1239" t="str">
        <x:v>Tarjeta de crédito</x:v>
      </x:c>
      <x:c r="F1239" t="n">
        <x:v>4340000</x:v>
      </x:c>
      <x:c r="G1239" s="40" t="n">
        <x:v>0.3253</x:v>
      </x:c>
      <x:c r="H1239" s="40" t="n">
        <x:v>0.023747</x:v>
      </x:c>
      <x:c r="I1239" t="n">
        <x:v>60</x:v>
      </x:c>
      <x:c r="J1239" t="n">
        <x:v>136400</x:v>
      </x:c>
      <x:c r="K1239" t="str">
        <x:v>Bola de nieve</x:v>
      </x:c>
      <x:c r="L1239" t="str">
        <x:v>Vigente</x:v>
      </x:c>
      <x:c r="M1239" t="n">
        <x:v>4654557.99</x:v>
      </x:c>
      <x:c r="N1239"/>
    </x:row>
    <x:row r="1240">
      <x:c r="A1240" t="str">
        <x:v>DEU-001239</x:v>
      </x:c>
      <x:c r="B1240" t="str">
        <x:v>USR-00640</x:v>
      </x:c>
      <x:c r="C1240" t="n">
        <x:v>46082</x:v>
      </x:c>
      <x:c r="D1240" t="str">
        <x:v>Entidad financiera B</x:v>
      </x:c>
      <x:c r="E1240" t="str">
        <x:v>Crédito de consumo</x:v>
      </x:c>
      <x:c r="F1240" t="n">
        <x:v>13070000</x:v>
      </x:c>
      <x:c r="G1240" s="40" t="n">
        <x:v>0.2557</x:v>
      </x:c>
      <x:c r="H1240" s="40" t="n">
        <x:v>0.019156</x:v>
      </x:c>
      <x:c r="I1240" t="n">
        <x:v>36</x:v>
      </x:c>
      <x:c r="J1240" t="n">
        <x:v>505800</x:v>
      </x:c>
      <x:c r="K1240" t="str">
        <x:v>Bola de nieve</x:v>
      </x:c>
      <x:c r="L1240" t="str">
        <x:v>Vigente</x:v>
      </x:c>
      <x:c r="M1240" t="n">
        <x:v>12221875.96</x:v>
      </x:c>
      <x:c r="N1240"/>
    </x:row>
    <x:row r="1241">
      <x:c r="A1241" t="str">
        <x:v>DEU-001240</x:v>
      </x:c>
      <x:c r="B1241" t="str">
        <x:v>USR-00641</x:v>
      </x:c>
      <x:c r="C1241" t="n">
        <x:v>46082</x:v>
      </x:c>
      <x:c r="D1241" t="str">
        <x:v>Entidad financiera A</x:v>
      </x:c>
      <x:c r="E1241" t="str">
        <x:v>Tarjeta de crédito</x:v>
      </x:c>
      <x:c r="F1241" t="n">
        <x:v>6360000</x:v>
      </x:c>
      <x:c r="G1241" s="40" t="n">
        <x:v>0.2939</x:v>
      </x:c>
      <x:c r="H1241" s="40" t="n">
        <x:v>0.021704</x:v>
      </x:c>
      <x:c r="I1241" t="n">
        <x:v>30</x:v>
      </x:c>
      <x:c r="J1241" t="n">
        <x:v>290700</x:v>
      </x:c>
      <x:c r="K1241" t="str">
        <x:v>Avalancha</x:v>
      </x:c>
      <x:c r="L1241" t="str">
        <x:v>Vigente</x:v>
      </x:c>
      <x:c r="M1241" t="n">
        <x:v>6342060.47</x:v>
      </x:c>
      <x:c r="N1241"/>
    </x:row>
    <x:row r="1242">
      <x:c r="A1242" t="str">
        <x:v>DEU-001241</x:v>
      </x:c>
      <x:c r="B1242" t="str">
        <x:v>USR-00641</x:v>
      </x:c>
      <x:c r="C1242" t="n">
        <x:v>46082</x:v>
      </x:c>
      <x:c r="D1242" t="str">
        <x:v>Financiera D</x:v>
      </x:c>
      <x:c r="E1242" t="str">
        <x:v>Tarjeta de crédito</x:v>
      </x:c>
      <x:c r="F1242" t="n">
        <x:v>5560000</x:v>
      </x:c>
      <x:c r="G1242" s="40" t="n">
        <x:v>0.1171</x:v>
      </x:c>
      <x:c r="H1242" s="40" t="n">
        <x:v>0.009271</x:v>
      </x:c>
      <x:c r="I1242" t="n">
        <x:v>36</x:v>
      </x:c>
      <x:c r="J1242" t="n">
        <x:v>182400</x:v>
      </x:c>
      <x:c r="K1242" t="str">
        <x:v>Bola de nieve</x:v>
      </x:c>
      <x:c r="L1242" t="str">
        <x:v>Vigente</x:v>
      </x:c>
      <x:c r="M1242" t="n">
        <x:v>5113831.72</x:v>
      </x:c>
      <x:c r="N1242"/>
    </x:row>
    <x:row r="1243">
      <x:c r="A1243" t="str">
        <x:v>DEU-001242</x:v>
      </x:c>
      <x:c r="B1243" t="str">
        <x:v>USR-00641</x:v>
      </x:c>
      <x:c r="C1243" t="n">
        <x:v>46082</x:v>
      </x:c>
      <x:c r="D1243" t="str">
        <x:v>Entidad financiera A</x:v>
      </x:c>
      <x:c r="E1243" t="str">
        <x:v>Tarjeta de crédito</x:v>
      </x:c>
      <x:c r="F1243" t="n">
        <x:v>6280000</x:v>
      </x:c>
      <x:c r="G1243" s="40" t="n">
        <x:v>0.1708</x:v>
      </x:c>
      <x:c r="H1243" s="40" t="n">
        <x:v>0.013227</x:v>
      </x:c>
      <x:c r="I1243" t="n">
        <x:v>36</x:v>
      </x:c>
      <x:c r="J1243" t="n">
        <x:v>220400</x:v>
      </x:c>
      <x:c r="K1243" t="str">
        <x:v>Avalancha</x:v>
      </x:c>
      <x:c r="L1243" t="str">
        <x:v>Vigente</x:v>
      </x:c>
      <x:c r="M1243" t="n">
        <x:v>6047618.64</x:v>
      </x:c>
      <x:c r="N1243"/>
    </x:row>
    <x:row r="1244">
      <x:c r="A1244" t="str">
        <x:v>DEU-001243</x:v>
      </x:c>
      <x:c r="B1244" t="str">
        <x:v>USR-00642</x:v>
      </x:c>
      <x:c r="C1244" t="n">
        <x:v>46082</x:v>
      </x:c>
      <x:c r="D1244" t="str">
        <x:v>Entidad financiera B</x:v>
      </x:c>
      <x:c r="E1244" t="str">
        <x:v>Tarjeta de crédito</x:v>
      </x:c>
      <x:c r="F1244" t="n">
        <x:v>8170000</x:v>
      </x:c>
      <x:c r="G1244" s="40" t="n">
        <x:v>0.219</x:v>
      </x:c>
      <x:c r="H1244" s="40" t="n">
        <x:v>0.016639</x:v>
      </x:c>
      <x:c r="I1244" t="n">
        <x:v>60</x:v>
      </x:c>
      <x:c r="J1244" t="n">
        <x:v>216300</x:v>
      </x:c>
      <x:c r="K1244" t="str">
        <x:v>Avalancha</x:v>
      </x:c>
      <x:c r="L1244" t="str">
        <x:v>Vigente</x:v>
      </x:c>
      <x:c r="M1244" t="n">
        <x:v>7796945.04</x:v>
      </x:c>
      <x:c r="N1244"/>
    </x:row>
    <x:row r="1245">
      <x:c r="A1245" t="str">
        <x:v>DEU-001244</x:v>
      </x:c>
      <x:c r="B1245" t="str">
        <x:v>USR-00643</x:v>
      </x:c>
      <x:c r="C1245" t="n">
        <x:v>46082</x:v>
      </x:c>
      <x:c r="D1245" t="str">
        <x:v>Entidad financiera E</x:v>
      </x:c>
      <x:c r="E1245" t="str">
        <x:v>Crédito comercial</x:v>
      </x:c>
      <x:c r="F1245" t="n">
        <x:v>36310000</x:v>
      </x:c>
      <x:c r="G1245" s="40" t="n">
        <x:v>0.1555</x:v>
      </x:c>
      <x:c r="H1245" s="40" t="n">
        <x:v>0.012117</x:v>
      </x:c>
      <x:c r="I1245" t="n">
        <x:v>36</x:v>
      </x:c>
      <x:c r="J1245" t="n">
        <x:v>1250500</x:v>
      </x:c>
      <x:c r="K1245" t="str">
        <x:v>Bola de nieve</x:v>
      </x:c>
      <x:c r="L1245" t="str">
        <x:v>Vigente</x:v>
      </x:c>
      <x:c r="M1245" t="n">
        <x:v>31376527.69</x:v>
      </x:c>
      <x:c r="N1245"/>
    </x:row>
    <x:row r="1246">
      <x:c r="A1246" t="str">
        <x:v>DEU-001245</x:v>
      </x:c>
      <x:c r="B1246" t="str">
        <x:v>USR-00643</x:v>
      </x:c>
      <x:c r="C1246" t="n">
        <x:v>46082</x:v>
      </x:c>
      <x:c r="D1246" t="str">
        <x:v>Entidad financiera E</x:v>
      </x:c>
      <x:c r="E1246" t="str">
        <x:v>Crédito de consumo</x:v>
      </x:c>
      <x:c r="F1246" t="n">
        <x:v>14020000</x:v>
      </x:c>
      <x:c r="G1246" s="40" t="n">
        <x:v>0.2964</x:v>
      </x:c>
      <x:c r="H1246" s="40" t="n">
        <x:v>0.021868</x:v>
      </x:c>
      <x:c r="I1246" t="n">
        <x:v>60</x:v>
      </x:c>
      <x:c r="J1246" t="n">
        <x:v>421800</x:v>
      </x:c>
      <x:c r="K1246" t="str">
        <x:v>Bola de nieve</x:v>
      </x:c>
      <x:c r="L1246" t="str">
        <x:v>Vigente</x:v>
      </x:c>
      <x:c r="M1246" t="n">
        <x:v>14574735.5</x:v>
      </x:c>
      <x:c r="N1246"/>
    </x:row>
    <x:row r="1247">
      <x:c r="A1247" t="str">
        <x:v>DEU-001246</x:v>
      </x:c>
      <x:c r="B1247" t="str">
        <x:v>USR-00644</x:v>
      </x:c>
      <x:c r="C1247" t="n">
        <x:v>46082</x:v>
      </x:c>
      <x:c r="D1247" t="str">
        <x:v>Entidad financiera E</x:v>
      </x:c>
      <x:c r="E1247" t="str">
        <x:v>Crédito educativo</x:v>
      </x:c>
      <x:c r="F1247" t="n">
        <x:v>12120000</x:v>
      </x:c>
      <x:c r="G1247" s="40" t="n">
        <x:v>0.1456</x:v>
      </x:c>
      <x:c r="H1247" s="40" t="n">
        <x:v>0.011392</x:v>
      </x:c>
      <x:c r="I1247" t="n">
        <x:v>60</x:v>
      </x:c>
      <x:c r="J1247" t="n">
        <x:v>279900</x:v>
      </x:c>
      <x:c r="K1247" t="str">
        <x:v>Avalancha</x:v>
      </x:c>
      <x:c r="L1247" t="str">
        <x:v>Vigente</x:v>
      </x:c>
      <x:c r="M1247" t="n">
        <x:v>11594171.18</x:v>
      </x:c>
      <x:c r="N1247"/>
    </x:row>
    <x:row r="1248">
      <x:c r="A1248" t="str">
        <x:v>DEU-001247</x:v>
      </x:c>
      <x:c r="B1248" t="str">
        <x:v>USR-00644</x:v>
      </x:c>
      <x:c r="C1248" t="n">
        <x:v>46082</x:v>
      </x:c>
      <x:c r="D1248" t="str">
        <x:v>Cooperativa C</x:v>
      </x:c>
      <x:c r="E1248" t="str">
        <x:v>Crédito educativo</x:v>
      </x:c>
      <x:c r="F1248" t="n">
        <x:v>9900000</x:v>
      </x:c>
      <x:c r="G1248" s="40" t="n">
        <x:v>0.2135</x:v>
      </x:c>
      <x:c r="H1248" s="40" t="n">
        <x:v>0.016256</x:v>
      </x:c>
      <x:c r="I1248" t="n">
        <x:v>12</x:v>
      </x:c>
      <x:c r="J1248" t="n">
        <x:v>914800</x:v>
      </x:c>
      <x:c r="K1248" t="str">
        <x:v>Avalancha</x:v>
      </x:c>
      <x:c r="L1248" t="str">
        <x:v>Vigente</x:v>
      </x:c>
      <x:c r="M1248" t="n">
        <x:v>5213313.76</x:v>
      </x:c>
      <x:c r="N1248"/>
    </x:row>
    <x:row r="1249">
      <x:c r="A1249" t="str">
        <x:v>DEU-001248</x:v>
      </x:c>
      <x:c r="B1249" t="str">
        <x:v>USR-00645</x:v>
      </x:c>
      <x:c r="C1249" t="n">
        <x:v>46082</x:v>
      </x:c>
      <x:c r="D1249" t="str">
        <x:v>Entidad financiera A</x:v>
      </x:c>
      <x:c r="E1249" t="str">
        <x:v>Tarjeta de crédito</x:v>
      </x:c>
      <x:c r="F1249" t="n">
        <x:v>2870000</x:v>
      </x:c>
      <x:c r="G1249" s="40" t="n">
        <x:v>0.2478</x:v>
      </x:c>
      <x:c r="H1249" s="40" t="n">
        <x:v>0.01862</x:v>
      </x:c>
      <x:c r="I1249" t="n">
        <x:v>24</x:v>
      </x:c>
      <x:c r="J1249" t="n">
        <x:v>149400</x:v>
      </x:c>
      <x:c r="K1249" t="str">
        <x:v>Bola de nieve</x:v>
      </x:c>
      <x:c r="L1249" t="str">
        <x:v>Vigente</x:v>
      </x:c>
      <x:c r="M1249" t="n">
        <x:v>2291740.82</x:v>
      </x:c>
      <x:c r="N1249"/>
    </x:row>
    <x:row r="1250">
      <x:c r="A1250" t="str">
        <x:v>DEU-001249</x:v>
      </x:c>
      <x:c r="B1250" t="str">
        <x:v>USR-00645</x:v>
      </x:c>
      <x:c r="C1250" t="n">
        <x:v>46082</x:v>
      </x:c>
      <x:c r="D1250" t="str">
        <x:v>Financiera D</x:v>
      </x:c>
      <x:c r="E1250" t="str">
        <x:v>Crédito de consumo</x:v>
      </x:c>
      <x:c r="F1250" t="n">
        <x:v>9350000</x:v>
      </x:c>
      <x:c r="G1250" s="40" t="n">
        <x:v>0.2554</x:v>
      </x:c>
      <x:c r="H1250" s="40" t="n">
        <x:v>0.019135</x:v>
      </x:c>
      <x:c r="I1250" t="n">
        <x:v>36</x:v>
      </x:c>
      <x:c r="J1250" t="n">
        <x:v>361800</x:v>
      </x:c>
      <x:c r="K1250" t="str">
        <x:v>Bola de nieve</x:v>
      </x:c>
      <x:c r="L1250" t="str">
        <x:v>Vigente</x:v>
      </x:c>
      <x:c r="M1250" t="n">
        <x:v>9142971.22</x:v>
      </x:c>
      <x:c r="N1250"/>
    </x:row>
    <x:row r="1251">
      <x:c r="A1251" t="str">
        <x:v>DEU-001250</x:v>
      </x:c>
      <x:c r="B1251" t="str">
        <x:v>USR-00646</x:v>
      </x:c>
      <x:c r="C1251" t="n">
        <x:v>46082</x:v>
      </x:c>
      <x:c r="D1251" t="str">
        <x:v>Entidad financiera E</x:v>
      </x:c>
      <x:c r="E1251" t="str">
        <x:v>Tarjeta de crédito</x:v>
      </x:c>
      <x:c r="F1251" t="n">
        <x:v>800000</x:v>
      </x:c>
      <x:c r="G1251" s="40" t="n">
        <x:v>0.2228</x:v>
      </x:c>
      <x:c r="H1251" s="40" t="n">
        <x:v>0.016903</x:v>
      </x:c>
      <x:c r="I1251" t="n">
        <x:v>24</x:v>
      </x:c>
      <x:c r="J1251" t="n">
        <x:v>40800</x:v>
      </x:c>
      <x:c r="K1251" t="str">
        <x:v>Avalancha</x:v>
      </x:c>
      <x:c r="L1251" t="str">
        <x:v>Vigente</x:v>
      </x:c>
      <x:c r="M1251" t="n">
        <x:v>653159.33</x:v>
      </x:c>
      <x:c r="N1251"/>
    </x:row>
    <x:row r="1252">
      <x:c r="A1252" t="str">
        <x:v>DEU-001251</x:v>
      </x:c>
      <x:c r="B1252" t="str">
        <x:v>USR-00646</x:v>
      </x:c>
      <x:c r="C1252" t="n">
        <x:v>46082</x:v>
      </x:c>
      <x:c r="D1252" t="str">
        <x:v>Financiera D</x:v>
      </x:c>
      <x:c r="E1252" t="str">
        <x:v>Crédito de consumo</x:v>
      </x:c>
      <x:c r="F1252" t="n">
        <x:v>3220000</x:v>
      </x:c>
      <x:c r="G1252" s="40" t="n">
        <x:v>0.2241</x:v>
      </x:c>
      <x:c r="H1252" s="40" t="n">
        <x:v>0.016993</x:v>
      </x:c>
      <x:c r="I1252" t="n">
        <x:v>24</x:v>
      </x:c>
      <x:c r="J1252" t="n">
        <x:v>164500</x:v>
      </x:c>
      <x:c r="K1252" t="str">
        <x:v>Bola de nieve</x:v>
      </x:c>
      <x:c r="L1252" t="str">
        <x:v>Vigente</x:v>
      </x:c>
      <x:c r="M1252" t="n">
        <x:v>2838017.2</x:v>
      </x:c>
      <x:c r="N1252"/>
    </x:row>
    <x:row r="1253">
      <x:c r="A1253" t="str">
        <x:v>DEU-001252</x:v>
      </x:c>
      <x:c r="B1253" t="str">
        <x:v>USR-00647</x:v>
      </x:c>
      <x:c r="C1253" t="n">
        <x:v>46082</x:v>
      </x:c>
      <x:c r="D1253" t="str">
        <x:v>Entidad financiera E</x:v>
      </x:c>
      <x:c r="E1253" t="str">
        <x:v>Crédito de vehículo</x:v>
      </x:c>
      <x:c r="F1253" t="n">
        <x:v>41040000</x:v>
      </x:c>
      <x:c r="G1253" s="40" t="n">
        <x:v>0.1288</x:v>
      </x:c>
      <x:c r="H1253" s="40" t="n">
        <x:v>0.010147</x:v>
      </x:c>
      <x:c r="I1253" t="n">
        <x:v>48</x:v>
      </x:c>
      <x:c r="J1253" t="n">
        <x:v>1084300</x:v>
      </x:c>
      <x:c r="K1253" t="str">
        <x:v>Avalancha</x:v>
      </x:c>
      <x:c r="L1253" t="str">
        <x:v>Vigente</x:v>
      </x:c>
      <x:c r="M1253" t="n">
        <x:v>40680673.9</x:v>
      </x:c>
      <x:c r="N1253"/>
    </x:row>
    <x:row r="1254">
      <x:c r="A1254" t="str">
        <x:v>DEU-001253</x:v>
      </x:c>
      <x:c r="B1254" t="str">
        <x:v>USR-00647</x:v>
      </x:c>
      <x:c r="C1254" t="n">
        <x:v>46082</x:v>
      </x:c>
      <x:c r="D1254" t="str">
        <x:v>Entidad financiera B</x:v>
      </x:c>
      <x:c r="E1254" t="str">
        <x:v>Tarjeta de crédito</x:v>
      </x:c>
      <x:c r="F1254" t="n">
        <x:v>4180000</x:v>
      </x:c>
      <x:c r="G1254" s="40" t="n">
        <x:v>0.247</x:v>
      </x:c>
      <x:c r="H1254" s="40" t="n">
        <x:v>0.018565</x:v>
      </x:c>
      <x:c r="I1254" t="n">
        <x:v>36</x:v>
      </x:c>
      <x:c r="J1254" t="n">
        <x:v>160200</x:v>
      </x:c>
      <x:c r="K1254" t="str">
        <x:v>Bola de nieve</x:v>
      </x:c>
      <x:c r="L1254" t="str">
        <x:v>Vigente</x:v>
      </x:c>
      <x:c r="M1254" t="n">
        <x:v>3686759.94</x:v>
      </x:c>
      <x:c r="N1254"/>
    </x:row>
    <x:row r="1255">
      <x:c r="A1255" t="str">
        <x:v>DEU-001254</x:v>
      </x:c>
      <x:c r="B1255" t="str">
        <x:v>USR-00648</x:v>
      </x:c>
      <x:c r="C1255" t="n">
        <x:v>46082</x:v>
      </x:c>
      <x:c r="D1255" t="str">
        <x:v>Financiera D</x:v>
      </x:c>
      <x:c r="E1255" t="str">
        <x:v>Tarjeta de crédito</x:v>
      </x:c>
      <x:c r="F1255" t="n">
        <x:v>5820000</x:v>
      </x:c>
      <x:c r="G1255" s="40" t="n">
        <x:v>0.1417</x:v>
      </x:c>
      <x:c r="H1255" s="40" t="n">
        <x:v>0.011104</x:v>
      </x:c>
      <x:c r="I1255" t="n">
        <x:v>48</x:v>
      </x:c>
      <x:c r="J1255" t="n">
        <x:v>157100</x:v>
      </x:c>
      <x:c r="K1255" t="str">
        <x:v>Avalancha</x:v>
      </x:c>
      <x:c r="L1255" t="str">
        <x:v>Vigente</x:v>
      </x:c>
      <x:c r="M1255" t="n">
        <x:v>5452135.91</x:v>
      </x:c>
      <x:c r="N1255"/>
    </x:row>
    <x:row r="1256">
      <x:c r="A1256" t="str">
        <x:v>DEU-001255</x:v>
      </x:c>
      <x:c r="B1256" t="str">
        <x:v>USR-00648</x:v>
      </x:c>
      <x:c r="C1256" t="n">
        <x:v>46082</x:v>
      </x:c>
      <x:c r="D1256" t="str">
        <x:v>Entidad financiera B</x:v>
      </x:c>
      <x:c r="E1256" t="str">
        <x:v>Crédito educativo</x:v>
      </x:c>
      <x:c r="F1256" t="n">
        <x:v>7140000</x:v>
      </x:c>
      <x:c r="G1256" s="40" t="n">
        <x:v>0.1095</x:v>
      </x:c>
      <x:c r="H1256" s="40" t="n">
        <x:v>0.008697</x:v>
      </x:c>
      <x:c r="I1256" t="n">
        <x:v>48</x:v>
      </x:c>
      <x:c r="J1256" t="n">
        <x:v>182600</x:v>
      </x:c>
      <x:c r="K1256" t="str">
        <x:v>Avalancha</x:v>
      </x:c>
      <x:c r="L1256" t="str">
        <x:v>Vigente</x:v>
      </x:c>
      <x:c r="M1256" t="n">
        <x:v>6348390.56</x:v>
      </x:c>
      <x:c r="N1256"/>
    </x:row>
    <x:row r="1257">
      <x:c r="A1257" t="str">
        <x:v>DEU-001256</x:v>
      </x:c>
      <x:c r="B1257" t="str">
        <x:v>USR-00648</x:v>
      </x:c>
      <x:c r="C1257" t="n">
        <x:v>46082</x:v>
      </x:c>
      <x:c r="D1257" t="str">
        <x:v>Financiera D</x:v>
      </x:c>
      <x:c r="E1257" t="str">
        <x:v>Crédito de libre inversión</x:v>
      </x:c>
      <x:c r="F1257" t="n">
        <x:v>14210000</x:v>
      </x:c>
      <x:c r="G1257" s="40" t="n">
        <x:v>0.1259</x:v>
      </x:c>
      <x:c r="H1257" s="40" t="n">
        <x:v>0.009931</x:v>
      </x:c>
      <x:c r="I1257" t="n">
        <x:v>48</x:v>
      </x:c>
      <x:c r="J1257" t="n">
        <x:v>373600</x:v>
      </x:c>
      <x:c r="K1257" t="str">
        <x:v>Bola de nieve</x:v>
      </x:c>
      <x:c r="L1257" t="str">
        <x:v>Vigente</x:v>
      </x:c>
      <x:c r="M1257" t="n">
        <x:v>13400267.67</x:v>
      </x:c>
      <x:c r="N1257"/>
    </x:row>
    <x:row r="1258">
      <x:c r="A1258" t="str">
        <x:v>DEU-001257</x:v>
      </x:c>
      <x:c r="B1258" t="str">
        <x:v>USR-00648</x:v>
      </x:c>
      <x:c r="C1258" t="n">
        <x:v>46082</x:v>
      </x:c>
      <x:c r="D1258" t="str">
        <x:v>Financiera D</x:v>
      </x:c>
      <x:c r="E1258" t="str">
        <x:v>Crédito educativo</x:v>
      </x:c>
      <x:c r="F1258" t="n">
        <x:v>12150000</x:v>
      </x:c>
      <x:c r="G1258" s="40" t="n">
        <x:v>0.2591</x:v>
      </x:c>
      <x:c r="H1258" s="40" t="n">
        <x:v>0.019385</x:v>
      </x:c>
      <x:c r="I1258" t="n">
        <x:v>18</x:v>
      </x:c>
      <x:c r="J1258" t="n">
        <x:v>806100</x:v>
      </x:c>
      <x:c r="K1258" t="str">
        <x:v>Bola de nieve</x:v>
      </x:c>
      <x:c r="L1258" t="str">
        <x:v>Vigente</x:v>
      </x:c>
      <x:c r="M1258" t="n">
        <x:v>7454612.82</x:v>
      </x:c>
      <x:c r="N1258"/>
    </x:row>
    <x:row r="1259">
      <x:c r="A1259" t="str">
        <x:v>DEU-001258</x:v>
      </x:c>
      <x:c r="B1259" t="str">
        <x:v>USR-00649</x:v>
      </x:c>
      <x:c r="C1259" t="n">
        <x:v>46082</x:v>
      </x:c>
      <x:c r="D1259" t="str">
        <x:v>Financiera D</x:v>
      </x:c>
      <x:c r="E1259" t="str">
        <x:v>Crédito educativo</x:v>
      </x:c>
      <x:c r="F1259" t="n">
        <x:v>10220000</x:v>
      </x:c>
      <x:c r="G1259" s="40" t="n">
        <x:v>0.2399</x:v>
      </x:c>
      <x:c r="H1259" s="40" t="n">
        <x:v>0.018081</x:v>
      </x:c>
      <x:c r="I1259" t="n">
        <x:v>36</x:v>
      </x:c>
      <x:c r="J1259" t="n">
        <x:v>388700</x:v>
      </x:c>
      <x:c r="K1259" t="str">
        <x:v>Bola de nieve</x:v>
      </x:c>
      <x:c r="L1259" t="str">
        <x:v>Vigente</x:v>
      </x:c>
      <x:c r="M1259" t="n">
        <x:v>8756709.63</x:v>
      </x:c>
      <x:c r="N1259"/>
    </x:row>
    <x:row r="1260">
      <x:c r="A1260" t="str">
        <x:v>DEU-001259</x:v>
      </x:c>
      <x:c r="B1260" t="str">
        <x:v>USR-00649</x:v>
      </x:c>
      <x:c r="C1260" t="n">
        <x:v>46082</x:v>
      </x:c>
      <x:c r="D1260" t="str">
        <x:v>Entidad financiera B</x:v>
      </x:c>
      <x:c r="E1260" t="str">
        <x:v>Tarjeta de crédito</x:v>
      </x:c>
      <x:c r="F1260" t="n">
        <x:v>4540000</x:v>
      </x:c>
      <x:c r="G1260" s="40" t="n">
        <x:v>0.14</x:v>
      </x:c>
      <x:c r="H1260" s="40" t="n">
        <x:v>0.010979</x:v>
      </x:c>
      <x:c r="I1260" t="n">
        <x:v>30</x:v>
      </x:c>
      <x:c r="J1260" t="n">
        <x:v>178400</x:v>
      </x:c>
      <x:c r="K1260" t="str">
        <x:v>Avalancha</x:v>
      </x:c>
      <x:c r="L1260" t="str">
        <x:v>Vigente</x:v>
      </x:c>
      <x:c r="M1260" t="n">
        <x:v>3950802.86</x:v>
      </x:c>
      <x:c r="N1260"/>
    </x:row>
    <x:row r="1261">
      <x:c r="A1261" t="str">
        <x:v>DEU-001260</x:v>
      </x:c>
      <x:c r="B1261" t="str">
        <x:v>USR-00650</x:v>
      </x:c>
      <x:c r="C1261" t="n">
        <x:v>46082</x:v>
      </x:c>
      <x:c r="D1261" t="str">
        <x:v>Entidad financiera E</x:v>
      </x:c>
      <x:c r="E1261" t="str">
        <x:v>Crédito de consumo</x:v>
      </x:c>
      <x:c r="F1261" t="n">
        <x:v>8780000</x:v>
      </x:c>
      <x:c r="G1261" s="40" t="n">
        <x:v>0.2545</x:v>
      </x:c>
      <x:c r="H1261" s="40" t="n">
        <x:v>0.019074</x:v>
      </x:c>
      <x:c r="I1261" t="n">
        <x:v>18</x:v>
      </x:c>
      <x:c r="J1261" t="n">
        <x:v>580900</x:v>
      </x:c>
      <x:c r="K1261" t="str">
        <x:v>Avalancha</x:v>
      </x:c>
      <x:c r="L1261" t="str">
        <x:v>Vigente</x:v>
      </x:c>
      <x:c r="M1261" t="n">
        <x:v>7513379.8</x:v>
      </x:c>
      <x:c r="N1261"/>
    </x:row>
    <x:row r="1262">
      <x:c r="A1262" t="str">
        <x:v>DEU-001261</x:v>
      </x:c>
      <x:c r="B1262" t="str">
        <x:v>USR-00651</x:v>
      </x:c>
      <x:c r="C1262" t="n">
        <x:v>46082</x:v>
      </x:c>
      <x:c r="D1262" t="str">
        <x:v>Financiera D</x:v>
      </x:c>
      <x:c r="E1262" t="str">
        <x:v>Crédito de consumo</x:v>
      </x:c>
      <x:c r="F1262" t="n">
        <x:v>16780000</x:v>
      </x:c>
      <x:c r="G1262" s="40" t="n">
        <x:v>0.1605</x:v>
      </x:c>
      <x:c r="H1262" s="40" t="n">
        <x:v>0.012481</x:v>
      </x:c>
      <x:c r="I1262" t="n">
        <x:v>30</x:v>
      </x:c>
      <x:c r="J1262" t="n">
        <x:v>674000</x:v>
      </x:c>
      <x:c r="K1262" t="str">
        <x:v>Bola de nieve</x:v>
      </x:c>
      <x:c r="L1262" t="str">
        <x:v>Vigente</x:v>
      </x:c>
      <x:c r="M1262" t="n">
        <x:v>13845643.15</x:v>
      </x:c>
      <x:c r="N1262"/>
    </x:row>
    <x:row r="1263">
      <x:c r="A1263" t="str">
        <x:v>DEU-001262</x:v>
      </x:c>
      <x:c r="B1263" t="str">
        <x:v>USR-00651</x:v>
      </x:c>
      <x:c r="C1263" t="n">
        <x:v>46082</x:v>
      </x:c>
      <x:c r="D1263" t="str">
        <x:v>Cooperativa C</x:v>
      </x:c>
      <x:c r="E1263" t="str">
        <x:v>Crédito de libre inversión</x:v>
      </x:c>
      <x:c r="F1263" t="n">
        <x:v>18620000</x:v>
      </x:c>
      <x:c r="G1263" s="40" t="n">
        <x:v>0.1218</x:v>
      </x:c>
      <x:c r="H1263" s="40" t="n">
        <x:v>0.009624</x:v>
      </x:c>
      <x:c r="I1263" t="n">
        <x:v>18</x:v>
      </x:c>
      <x:c r="J1263" t="n">
        <x:v>1131600</x:v>
      </x:c>
      <x:c r="K1263" t="str">
        <x:v>Bola de nieve</x:v>
      </x:c>
      <x:c r="L1263" t="str">
        <x:v>Vigente</x:v>
      </x:c>
      <x:c r="M1263" t="n">
        <x:v>12823145.23</x:v>
      </x:c>
      <x:c r="N1263"/>
    </x:row>
    <x:row r="1264">
      <x:c r="A1264" t="str">
        <x:v>DEU-001263</x:v>
      </x:c>
      <x:c r="B1264" t="str">
        <x:v>USR-00652</x:v>
      </x:c>
      <x:c r="C1264" t="n">
        <x:v>46082</x:v>
      </x:c>
      <x:c r="D1264" t="str">
        <x:v>Financiera D</x:v>
      </x:c>
      <x:c r="E1264" t="str">
        <x:v>Crédito educativo</x:v>
      </x:c>
      <x:c r="F1264" t="n">
        <x:v>20610000</x:v>
      </x:c>
      <x:c r="G1264" s="40" t="n">
        <x:v>0.2362</x:v>
      </x:c>
      <x:c r="H1264" s="40" t="n">
        <x:v>0.017827</x:v>
      </x:c>
      <x:c r="I1264" t="n">
        <x:v>12</x:v>
      </x:c>
      <x:c r="J1264" t="n">
        <x:v>1923000</x:v>
      </x:c>
      <x:c r="K1264" t="str">
        <x:v>Avalancha</x:v>
      </x:c>
      <x:c r="L1264" t="str">
        <x:v>Vigente</x:v>
      </x:c>
      <x:c r="M1264" t="n">
        <x:v>11505850.19</x:v>
      </x:c>
      <x:c r="N1264"/>
    </x:row>
    <x:row r="1265">
      <x:c r="A1265" t="str">
        <x:v>DEU-001264</x:v>
      </x:c>
      <x:c r="B1265" t="str">
        <x:v>USR-00653</x:v>
      </x:c>
      <x:c r="C1265" t="n">
        <x:v>46082</x:v>
      </x:c>
      <x:c r="D1265" t="str">
        <x:v>Entidad financiera E</x:v>
      </x:c>
      <x:c r="E1265" t="str">
        <x:v>Crédito de libre inversión</x:v>
      </x:c>
      <x:c r="F1265" t="n">
        <x:v>6720000</x:v>
      </x:c>
      <x:c r="G1265" s="40" t="n">
        <x:v>0.2578</x:v>
      </x:c>
      <x:c r="H1265" s="40" t="n">
        <x:v>0.019298</x:v>
      </x:c>
      <x:c r="I1265" t="n">
        <x:v>18</x:v>
      </x:c>
      <x:c r="J1265" t="n">
        <x:v>445500</x:v>
      </x:c>
      <x:c r="K1265" t="str">
        <x:v>Bola de nieve</x:v>
      </x:c>
      <x:c r="L1265" t="str">
        <x:v>Vigente</x:v>
      </x:c>
      <x:c r="M1265" t="n">
        <x:v>4824127.3</x:v>
      </x:c>
      <x:c r="N1265"/>
    </x:row>
    <x:row r="1266">
      <x:c r="A1266" t="str">
        <x:v>DEU-001265</x:v>
      </x:c>
      <x:c r="B1266" t="str">
        <x:v>USR-00653</x:v>
      </x:c>
      <x:c r="C1266" t="n">
        <x:v>46082</x:v>
      </x:c>
      <x:c r="D1266" t="str">
        <x:v>Entidad financiera E</x:v>
      </x:c>
      <x:c r="E1266" t="str">
        <x:v>Tarjeta de crédito</x:v>
      </x:c>
      <x:c r="F1266" t="n">
        <x:v>4050000</x:v>
      </x:c>
      <x:c r="G1266" s="40" t="n">
        <x:v>0.1517</x:v>
      </x:c>
      <x:c r="H1266" s="40" t="n">
        <x:v>0.011839</x:v>
      </x:c>
      <x:c r="I1266" t="n">
        <x:v>60</x:v>
      </x:c>
      <x:c r="J1266" t="n">
        <x:v>94700</x:v>
      </x:c>
      <x:c r="K1266" t="str">
        <x:v>Bola de nieve</x:v>
      </x:c>
      <x:c r="L1266" t="str">
        <x:v>Vigente</x:v>
      </x:c>
      <x:c r="M1266" t="n">
        <x:v>3728242.76</x:v>
      </x:c>
      <x:c r="N1266"/>
    </x:row>
    <x:row r="1267">
      <x:c r="A1267" t="str">
        <x:v>DEU-001266</x:v>
      </x:c>
      <x:c r="B1267" t="str">
        <x:v>USR-00654</x:v>
      </x:c>
      <x:c r="C1267" t="n">
        <x:v>46082</x:v>
      </x:c>
      <x:c r="D1267" t="str">
        <x:v>Entidad financiera E</x:v>
      </x:c>
      <x:c r="E1267" t="str">
        <x:v>Tarjeta de crédito</x:v>
      </x:c>
      <x:c r="F1267" t="n">
        <x:v>3070000</x:v>
      </x:c>
      <x:c r="G1267" s="40" t="n">
        <x:v>0.3061</x:v>
      </x:c>
      <x:c r="H1267" s="40" t="n">
        <x:v>0.022503</x:v>
      </x:c>
      <x:c r="I1267" t="n">
        <x:v>60</x:v>
      </x:c>
      <x:c r="J1267" t="n">
        <x:v>93800</x:v>
      </x:c>
      <x:c r="K1267" t="str">
        <x:v>Avalancha</x:v>
      </x:c>
      <x:c r="L1267" t="str">
        <x:v>Vigente</x:v>
      </x:c>
      <x:c r="M1267" t="n">
        <x:v>3013440.76</x:v>
      </x:c>
      <x:c r="N1267"/>
    </x:row>
    <x:row r="1268">
      <x:c r="A1268" t="str">
        <x:v>DEU-001267</x:v>
      </x:c>
      <x:c r="B1268" t="str">
        <x:v>USR-00654</x:v>
      </x:c>
      <x:c r="C1268" t="n">
        <x:v>46082</x:v>
      </x:c>
      <x:c r="D1268" t="str">
        <x:v>Financiera D</x:v>
      </x:c>
      <x:c r="E1268" t="str">
        <x:v>Tarjeta de crédito</x:v>
      </x:c>
      <x:c r="F1268" t="n">
        <x:v>2860000</x:v>
      </x:c>
      <x:c r="G1268" s="40" t="n">
        <x:v>0.2278</x:v>
      </x:c>
      <x:c r="H1268" s="40" t="n">
        <x:v>0.017249</x:v>
      </x:c>
      <x:c r="I1268" t="n">
        <x:v>24</x:v>
      </x:c>
      <x:c r="J1268" t="n">
        <x:v>146500</x:v>
      </x:c>
      <x:c r="K1268" t="str">
        <x:v>Avalancha</x:v>
      </x:c>
      <x:c r="L1268" t="str">
        <x:v>Vigente</x:v>
      </x:c>
      <x:c r="M1268" t="n">
        <x:v>2209366.48</x:v>
      </x:c>
      <x:c r="N1268"/>
    </x:row>
    <x:row r="1269">
      <x:c r="A1269" t="str">
        <x:v>DEU-001268</x:v>
      </x:c>
      <x:c r="B1269" t="str">
        <x:v>USR-00654</x:v>
      </x:c>
      <x:c r="C1269" t="n">
        <x:v>46082</x:v>
      </x:c>
      <x:c r="D1269" t="str">
        <x:v>Financiera D</x:v>
      </x:c>
      <x:c r="E1269" t="str">
        <x:v>Crédito comercial</x:v>
      </x:c>
      <x:c r="F1269" t="n">
        <x:v>36210000</x:v>
      </x:c>
      <x:c r="G1269" s="40" t="n">
        <x:v>0.3176</x:v>
      </x:c>
      <x:c r="H1269" s="40" t="n">
        <x:v>0.02325</x:v>
      </x:c>
      <x:c r="I1269" t="n">
        <x:v>18</x:v>
      </x:c>
      <x:c r="J1269" t="n">
        <x:v>2484900</x:v>
      </x:c>
      <x:c r="K1269" t="str">
        <x:v>Bola de nieve</x:v>
      </x:c>
      <x:c r="L1269" t="str">
        <x:v>Vigente</x:v>
      </x:c>
      <x:c r="M1269" t="n">
        <x:v>30750992.97</x:v>
      </x:c>
      <x:c r="N1269"/>
    </x:row>
    <x:row r="1270">
      <x:c r="A1270" t="str">
        <x:v>DEU-001269</x:v>
      </x:c>
      <x:c r="B1270" t="str">
        <x:v>USR-00654</x:v>
      </x:c>
      <x:c r="C1270" t="n">
        <x:v>46082</x:v>
      </x:c>
      <x:c r="D1270" t="str">
        <x:v>Entidad financiera E</x:v>
      </x:c>
      <x:c r="E1270" t="str">
        <x:v>Crédito de libre inversión</x:v>
      </x:c>
      <x:c r="F1270" t="n">
        <x:v>15310000</x:v>
      </x:c>
      <x:c r="G1270" s="40" t="n">
        <x:v>0.2321</x:v>
      </x:c>
      <x:c r="H1270" s="40" t="n">
        <x:v>0.017545</x:v>
      </x:c>
      <x:c r="I1270" t="n">
        <x:v>48</x:v>
      </x:c>
      <x:c r="J1270" t="n">
        <x:v>474500</x:v>
      </x:c>
      <x:c r="K1270" t="str">
        <x:v>Bola de nieve</x:v>
      </x:c>
      <x:c r="L1270" t="str">
        <x:v>Vigente</x:v>
      </x:c>
      <x:c r="M1270" t="n">
        <x:v>14849797.48</x:v>
      </x:c>
      <x:c r="N1270"/>
    </x:row>
    <x:row r="1271">
      <x:c r="A1271" t="str">
        <x:v>DEU-001270</x:v>
      </x:c>
      <x:c r="B1271" t="str">
        <x:v>USR-00655</x:v>
      </x:c>
      <x:c r="C1271" t="n">
        <x:v>46082</x:v>
      </x:c>
      <x:c r="D1271" t="str">
        <x:v>Cooperativa C</x:v>
      </x:c>
      <x:c r="E1271" t="str">
        <x:v>Tarjeta de crédito</x:v>
      </x:c>
      <x:c r="F1271" t="n">
        <x:v>1300000</x:v>
      </x:c>
      <x:c r="G1271" s="40" t="n">
        <x:v>0.3084</x:v>
      </x:c>
      <x:c r="H1271" s="40" t="n">
        <x:v>0.022653</x:v>
      </x:c>
      <x:c r="I1271" t="n">
        <x:v>18</x:v>
      </x:c>
      <x:c r="J1271" t="n">
        <x:v>88700</x:v>
      </x:c>
      <x:c r="K1271" t="str">
        <x:v>Avalancha</x:v>
      </x:c>
      <x:c r="L1271" t="str">
        <x:v>Vigente</x:v>
      </x:c>
      <x:c r="M1271" t="n">
        <x:v>818437.09</x:v>
      </x:c>
      <x:c r="N1271"/>
    </x:row>
    <x:row r="1272">
      <x:c r="A1272" t="str">
        <x:v>DEU-001271</x:v>
      </x:c>
      <x:c r="B1272" t="str">
        <x:v>USR-00656</x:v>
      </x:c>
      <x:c r="C1272" t="n">
        <x:v>46082</x:v>
      </x:c>
      <x:c r="D1272" t="str">
        <x:v>Entidad financiera B</x:v>
      </x:c>
      <x:c r="E1272" t="str">
        <x:v>Tarjeta de crédito</x:v>
      </x:c>
      <x:c r="F1272" t="n">
        <x:v>7930000</x:v>
      </x:c>
      <x:c r="G1272" s="40" t="n">
        <x:v>0.1649</x:v>
      </x:c>
      <x:c r="H1272" s="40" t="n">
        <x:v>0.012801</x:v>
      </x:c>
      <x:c r="I1272" t="n">
        <x:v>30</x:v>
      </x:c>
      <x:c r="J1272" t="n">
        <x:v>320000</x:v>
      </x:c>
      <x:c r="K1272" t="str">
        <x:v>Bola de nieve</x:v>
      </x:c>
      <x:c r="L1272" t="str">
        <x:v>Vigente</x:v>
      </x:c>
      <x:c r="M1272" t="n">
        <x:v>7310503.52</x:v>
      </x:c>
      <x:c r="N1272"/>
    </x:row>
    <x:row r="1273">
      <x:c r="A1273" t="str">
        <x:v>DEU-001272</x:v>
      </x:c>
      <x:c r="B1273" t="str">
        <x:v>USR-00656</x:v>
      </x:c>
      <x:c r="C1273" t="n">
        <x:v>46082</x:v>
      </x:c>
      <x:c r="D1273" t="str">
        <x:v>Financiera D</x:v>
      </x:c>
      <x:c r="E1273" t="str">
        <x:v>Crédito de consumo</x:v>
      </x:c>
      <x:c r="F1273" t="n">
        <x:v>10410000</x:v>
      </x:c>
      <x:c r="G1273" s="40" t="n">
        <x:v>0.2416</x:v>
      </x:c>
      <x:c r="H1273" s="40" t="n">
        <x:v>0.018197</x:v>
      </x:c>
      <x:c r="I1273" t="n">
        <x:v>60</x:v>
      </x:c>
      <x:c r="J1273" t="n">
        <x:v>286500</x:v>
      </x:c>
      <x:c r="K1273" t="str">
        <x:v>Bola de nieve</x:v>
      </x:c>
      <x:c r="L1273" t="str">
        <x:v>Vigente</x:v>
      </x:c>
      <x:c r="M1273" t="n">
        <x:v>10555342.74</x:v>
      </x:c>
      <x:c r="N1273"/>
    </x:row>
    <x:row r="1274">
      <x:c r="A1274" t="str">
        <x:v>DEU-001273</x:v>
      </x:c>
      <x:c r="B1274" t="str">
        <x:v>USR-00657</x:v>
      </x:c>
      <x:c r="C1274" t="n">
        <x:v>46082</x:v>
      </x:c>
      <x:c r="D1274" t="str">
        <x:v>Financiera D</x:v>
      </x:c>
      <x:c r="E1274" t="str">
        <x:v>Crédito de libre inversión</x:v>
      </x:c>
      <x:c r="F1274" t="n">
        <x:v>14460000</x:v>
      </x:c>
      <x:c r="G1274" s="40" t="n">
        <x:v>0.1666</x:v>
      </x:c>
      <x:c r="H1274" s="40" t="n">
        <x:v>0.012924</x:v>
      </x:c>
      <x:c r="I1274" t="n">
        <x:v>36</x:v>
      </x:c>
      <x:c r="J1274" t="n">
        <x:v>504900</x:v>
      </x:c>
      <x:c r="K1274" t="str">
        <x:v>Bola de nieve</x:v>
      </x:c>
      <x:c r="L1274" t="str">
        <x:v>Vigente</x:v>
      </x:c>
      <x:c r="M1274" t="n">
        <x:v>13302338.68</x:v>
      </x:c>
      <x:c r="N1274"/>
    </x:row>
    <x:row r="1275">
      <x:c r="A1275" t="str">
        <x:v>DEU-001274</x:v>
      </x:c>
      <x:c r="B1275" t="str">
        <x:v>USR-00657</x:v>
      </x:c>
      <x:c r="C1275" t="n">
        <x:v>46082</x:v>
      </x:c>
      <x:c r="D1275" t="str">
        <x:v>Financiera D</x:v>
      </x:c>
      <x:c r="E1275" t="str">
        <x:v>Crédito educativo</x:v>
      </x:c>
      <x:c r="F1275" t="n">
        <x:v>21080000</x:v>
      </x:c>
      <x:c r="G1275" s="40" t="n">
        <x:v>0.1125</x:v>
      </x:c>
      <x:c r="H1275" s="40" t="n">
        <x:v>0.008924</x:v>
      </x:c>
      <x:c r="I1275" t="n">
        <x:v>60</x:v>
      </x:c>
      <x:c r="J1275" t="n">
        <x:v>455300</x:v>
      </x:c>
      <x:c r="K1275" t="str">
        <x:v>Avalancha</x:v>
      </x:c>
      <x:c r="L1275" t="str">
        <x:v>Vigente</x:v>
      </x:c>
      <x:c r="M1275" t="n">
        <x:v>21347117.83</x:v>
      </x:c>
      <x:c r="N1275"/>
    </x:row>
    <x:row r="1276">
      <x:c r="A1276" t="str">
        <x:v>DEU-001275</x:v>
      </x:c>
      <x:c r="B1276" t="str">
        <x:v>USR-00658</x:v>
      </x:c>
      <x:c r="C1276" t="n">
        <x:v>46082</x:v>
      </x:c>
      <x:c r="D1276" t="str">
        <x:v>Entidad financiera A</x:v>
      </x:c>
      <x:c r="E1276" t="str">
        <x:v>Tarjeta de crédito</x:v>
      </x:c>
      <x:c r="F1276" t="n">
        <x:v>4270000</x:v>
      </x:c>
      <x:c r="G1276" s="40" t="n">
        <x:v>0.2051</x:v>
      </x:c>
      <x:c r="H1276" s="40" t="n">
        <x:v>0.015668</x:v>
      </x:c>
      <x:c r="I1276" t="n">
        <x:v>30</x:v>
      </x:c>
      <x:c r="J1276" t="n">
        <x:v>179500</x:v>
      </x:c>
      <x:c r="K1276" t="str">
        <x:v>Avalancha</x:v>
      </x:c>
      <x:c r="L1276" t="str">
        <x:v>Vigente</x:v>
      </x:c>
      <x:c r="M1276" t="n">
        <x:v>3622485.77</x:v>
      </x:c>
      <x:c r="N1276"/>
    </x:row>
    <x:row r="1277">
      <x:c r="A1277" t="str">
        <x:v>DEU-001276</x:v>
      </x:c>
      <x:c r="B1277" t="str">
        <x:v>USR-00658</x:v>
      </x:c>
      <x:c r="C1277" t="n">
        <x:v>46082</x:v>
      </x:c>
      <x:c r="D1277" t="str">
        <x:v>Entidad financiera A</x:v>
      </x:c>
      <x:c r="E1277" t="str">
        <x:v>Crédito educativo</x:v>
      </x:c>
      <x:c r="F1277" t="n">
        <x:v>14340000</x:v>
      </x:c>
      <x:c r="G1277" s="40" t="n">
        <x:v>0.2486</x:v>
      </x:c>
      <x:c r="H1277" s="40" t="n">
        <x:v>0.018674</x:v>
      </x:c>
      <x:c r="I1277" t="n">
        <x:v>60</x:v>
      </x:c>
      <x:c r="J1277" t="n">
        <x:v>399400</x:v>
      </x:c>
      <x:c r="K1277" t="str">
        <x:v>Bola de nieve</x:v>
      </x:c>
      <x:c r="L1277" t="str">
        <x:v>Vigente</x:v>
      </x:c>
      <x:c r="M1277" t="n">
        <x:v>14405966.53</x:v>
      </x:c>
      <x:c r="N1277"/>
    </x:row>
    <x:row r="1278">
      <x:c r="A1278" t="str">
        <x:v>DEU-001277</x:v>
      </x:c>
      <x:c r="B1278" t="str">
        <x:v>USR-00659</x:v>
      </x:c>
      <x:c r="C1278" t="n">
        <x:v>46082</x:v>
      </x:c>
      <x:c r="D1278" t="str">
        <x:v>Entidad financiera B</x:v>
      </x:c>
      <x:c r="E1278" t="str">
        <x:v>Crédito educativo</x:v>
      </x:c>
      <x:c r="F1278" t="n">
        <x:v>7300000</x:v>
      </x:c>
      <x:c r="G1278" s="40" t="n">
        <x:v>0.3185</x:v>
      </x:c>
      <x:c r="H1278" s="40" t="n">
        <x:v>0.023309</x:v>
      </x:c>
      <x:c r="I1278" t="n">
        <x:v>60</x:v>
      </x:c>
      <x:c r="J1278" t="n">
        <x:v>227200</x:v>
      </x:c>
      <x:c r="K1278" t="str">
        <x:v>Bola de nieve</x:v>
      </x:c>
      <x:c r="L1278" t="str">
        <x:v>Vigente</x:v>
      </x:c>
      <x:c r="M1278" t="n">
        <x:v>7510465.36</x:v>
      </x:c>
      <x:c r="N1278"/>
    </x:row>
    <x:row r="1279">
      <x:c r="A1279" t="str">
        <x:v>DEU-001278</x:v>
      </x:c>
      <x:c r="B1279" t="str">
        <x:v>USR-00659</x:v>
      </x:c>
      <x:c r="C1279" t="n">
        <x:v>46082</x:v>
      </x:c>
      <x:c r="D1279" t="str">
        <x:v>Entidad financiera A</x:v>
      </x:c>
      <x:c r="E1279" t="str">
        <x:v>Crédito educativo</x:v>
      </x:c>
      <x:c r="F1279" t="n">
        <x:v>22880000</x:v>
      </x:c>
      <x:c r="G1279" s="40" t="n">
        <x:v>0.1841</x:v>
      </x:c>
      <x:c r="H1279" s="40" t="n">
        <x:v>0.014182</x:v>
      </x:c>
      <x:c r="I1279" t="n">
        <x:v>30</x:v>
      </x:c>
      <x:c r="J1279" t="n">
        <x:v>941700</x:v>
      </x:c>
      <x:c r="K1279" t="str">
        <x:v>Avalancha</x:v>
      </x:c>
      <x:c r="L1279" t="str">
        <x:v>Vigente</x:v>
      </x:c>
      <x:c r="M1279" t="n">
        <x:v>22144845.8</x:v>
      </x:c>
      <x:c r="N1279"/>
    </x:row>
    <x:row r="1280">
      <x:c r="A1280" t="str">
        <x:v>DEU-001279</x:v>
      </x:c>
      <x:c r="B1280" t="str">
        <x:v>USR-00660</x:v>
      </x:c>
      <x:c r="C1280" t="n">
        <x:v>46082</x:v>
      </x:c>
      <x:c r="D1280" t="str">
        <x:v>Cooperativa C</x:v>
      </x:c>
      <x:c r="E1280" t="str">
        <x:v>Tarjeta de crédito</x:v>
      </x:c>
      <x:c r="F1280" t="n">
        <x:v>3220000</x:v>
      </x:c>
      <x:c r="G1280" s="40" t="n">
        <x:v>0.2718</x:v>
      </x:c>
      <x:c r="H1280" s="40" t="n">
        <x:v>0.020238</x:v>
      </x:c>
      <x:c r="I1280" t="n">
        <x:v>12</x:v>
      </x:c>
      <x:c r="J1280" t="n">
        <x:v>304900</x:v>
      </x:c>
      <x:c r="K1280" t="str">
        <x:v>Bola de nieve</x:v>
      </x:c>
      <x:c r="L1280" t="str">
        <x:v>Vigente</x:v>
      </x:c>
      <x:c r="M1280" t="n">
        <x:v>2162192.73</x:v>
      </x:c>
      <x:c r="N1280"/>
    </x:row>
    <x:row r="1281">
      <x:c r="A1281" t="str">
        <x:v>DEU-001280</x:v>
      </x:c>
      <x:c r="B1281" t="str">
        <x:v>USR-00660</x:v>
      </x:c>
      <x:c r="C1281" t="n">
        <x:v>46082</x:v>
      </x:c>
      <x:c r="D1281" t="str">
        <x:v>Entidad financiera B</x:v>
      </x:c>
      <x:c r="E1281" t="str">
        <x:v>Tarjeta de crédito</x:v>
      </x:c>
      <x:c r="F1281" t="n">
        <x:v>1040000</x:v>
      </x:c>
      <x:c r="G1281" s="40" t="n">
        <x:v>0.3209</x:v>
      </x:c>
      <x:c r="H1281" s="40" t="n">
        <x:v>0.023464</x:v>
      </x:c>
      <x:c r="I1281" t="n">
        <x:v>60</x:v>
      </x:c>
      <x:c r="J1281" t="n">
        <x:v>32500</x:v>
      </x:c>
      <x:c r="K1281" t="str">
        <x:v>Bola de nieve</x:v>
      </x:c>
      <x:c r="L1281" t="str">
        <x:v>Vigente</x:v>
      </x:c>
      <x:c r="M1281" t="n">
        <x:v>987554.82</x:v>
      </x:c>
      <x:c r="N1281"/>
    </x:row>
    <x:row r="1282">
      <x:c r="A1282" t="str">
        <x:v>DEU-001281</x:v>
      </x:c>
      <x:c r="B1282" t="str">
        <x:v>USR-00661</x:v>
      </x:c>
      <x:c r="C1282" t="n">
        <x:v>46082</x:v>
      </x:c>
      <x:c r="D1282" t="str">
        <x:v>Entidad financiera A</x:v>
      </x:c>
      <x:c r="E1282" t="str">
        <x:v>Crédito de consumo</x:v>
      </x:c>
      <x:c r="F1282" t="n">
        <x:v>3120000</x:v>
      </x:c>
      <x:c r="G1282" s="40" t="n">
        <x:v>0.2571</x:v>
      </x:c>
      <x:c r="H1282" s="40" t="n">
        <x:v>0.01925</x:v>
      </x:c>
      <x:c r="I1282" t="n">
        <x:v>60</x:v>
      </x:c>
      <x:c r="J1282" t="n">
        <x:v>88100</x:v>
      </x:c>
      <x:c r="K1282" t="str">
        <x:v>Avalancha</x:v>
      </x:c>
      <x:c r="L1282" t="str">
        <x:v>Vigente</x:v>
      </x:c>
      <x:c r="M1282" t="n">
        <x:v>3051227.54</x:v>
      </x:c>
      <x:c r="N1282"/>
    </x:row>
    <x:row r="1283">
      <x:c r="A1283" t="str">
        <x:v>DEU-001282</x:v>
      </x:c>
      <x:c r="B1283" t="str">
        <x:v>USR-00661</x:v>
      </x:c>
      <x:c r="C1283" t="n">
        <x:v>46082</x:v>
      </x:c>
      <x:c r="D1283" t="str">
        <x:v>Entidad financiera E</x:v>
      </x:c>
      <x:c r="E1283" t="str">
        <x:v>Crédito de consumo</x:v>
      </x:c>
      <x:c r="F1283" t="n">
        <x:v>10520000</x:v>
      </x:c>
      <x:c r="G1283" s="40" t="n">
        <x:v>0.2578</x:v>
      </x:c>
      <x:c r="H1283" s="40" t="n">
        <x:v>0.019298</x:v>
      </x:c>
      <x:c r="I1283" t="n">
        <x:v>12</x:v>
      </x:c>
      <x:c r="J1283" t="n">
        <x:v>990500</x:v>
      </x:c>
      <x:c r="K1283" t="str">
        <x:v>Bola de nieve</x:v>
      </x:c>
      <x:c r="L1283" t="str">
        <x:v>Vigente</x:v>
      </x:c>
      <x:c r="M1283" t="n">
        <x:v>6014575.8</x:v>
      </x:c>
      <x:c r="N1283"/>
    </x:row>
    <x:row r="1284">
      <x:c r="A1284" t="str">
        <x:v>DEU-001283</x:v>
      </x:c>
      <x:c r="B1284" t="str">
        <x:v>USR-00662</x:v>
      </x:c>
      <x:c r="C1284" t="n">
        <x:v>46082</x:v>
      </x:c>
      <x:c r="D1284" t="str">
        <x:v>Entidad financiera E</x:v>
      </x:c>
      <x:c r="E1284" t="str">
        <x:v>Crédito de consumo</x:v>
      </x:c>
      <x:c r="F1284" t="n">
        <x:v>14180000</x:v>
      </x:c>
      <x:c r="G1284" s="40" t="n">
        <x:v>0.2309</x:v>
      </x:c>
      <x:c r="H1284" s="40" t="n">
        <x:v>0.017463</x:v>
      </x:c>
      <x:c r="I1284" t="n">
        <x:v>18</x:v>
      </x:c>
      <x:c r="J1284" t="n">
        <x:v>924900</x:v>
      </x:c>
      <x:c r="K1284" t="str">
        <x:v>Bola de nieve</x:v>
      </x:c>
      <x:c r="L1284" t="str">
        <x:v>Vigente</x:v>
      </x:c>
      <x:c r="M1284" t="n">
        <x:v>12103800.86</x:v>
      </x:c>
      <x:c r="N1284"/>
    </x:row>
    <x:row r="1285">
      <x:c r="A1285" t="str">
        <x:v>DEU-001284</x:v>
      </x:c>
      <x:c r="B1285" t="str">
        <x:v>USR-00663</x:v>
      </x:c>
      <x:c r="C1285" t="n">
        <x:v>46082</x:v>
      </x:c>
      <x:c r="D1285" t="str">
        <x:v>Entidad financiera B</x:v>
      </x:c>
      <x:c r="E1285" t="str">
        <x:v>Crédito de libre inversión</x:v>
      </x:c>
      <x:c r="F1285" t="n">
        <x:v>10250000</x:v>
      </x:c>
      <x:c r="G1285" s="40" t="n">
        <x:v>0.2641</x:v>
      </x:c>
      <x:c r="H1285" s="40" t="n">
        <x:v>0.019722</x:v>
      </x:c>
      <x:c r="I1285" t="n">
        <x:v>36</x:v>
      </x:c>
      <x:c r="J1285" t="n">
        <x:v>400300</x:v>
      </x:c>
      <x:c r="K1285" t="str">
        <x:v>Bola de nieve</x:v>
      </x:c>
      <x:c r="L1285" t="str">
        <x:v>Vigente</x:v>
      </x:c>
      <x:c r="M1285" t="n">
        <x:v>10446962.98</x:v>
      </x:c>
      <x:c r="N1285"/>
    </x:row>
    <x:row r="1286">
      <x:c r="A1286" t="str">
        <x:v>DEU-001285</x:v>
      </x:c>
      <x:c r="B1286" t="str">
        <x:v>USR-00663</x:v>
      </x:c>
      <x:c r="C1286" t="n">
        <x:v>46082</x:v>
      </x:c>
      <x:c r="D1286" t="str">
        <x:v>Entidad financiera B</x:v>
      </x:c>
      <x:c r="E1286" t="str">
        <x:v>Tarjeta de crédito</x:v>
      </x:c>
      <x:c r="F1286" t="n">
        <x:v>950000</x:v>
      </x:c>
      <x:c r="G1286" s="40" t="n">
        <x:v>0.1887</x:v>
      </x:c>
      <x:c r="H1286" s="40" t="n">
        <x:v>0.014509</x:v>
      </x:c>
      <x:c r="I1286" t="n">
        <x:v>60</x:v>
      </x:c>
      <x:c r="J1286" t="n">
        <x:v>23800</x:v>
      </x:c>
      <x:c r="K1286" t="str">
        <x:v>Avalancha</x:v>
      </x:c>
      <x:c r="L1286" t="str">
        <x:v>Vigente</x:v>
      </x:c>
      <x:c r="M1286" t="n">
        <x:v>887067.8</x:v>
      </x:c>
      <x:c r="N1286"/>
    </x:row>
    <x:row r="1287">
      <x:c r="A1287" t="str">
        <x:v>DEU-001286</x:v>
      </x:c>
      <x:c r="B1287" t="str">
        <x:v>USR-00664</x:v>
      </x:c>
      <x:c r="C1287" t="n">
        <x:v>46082</x:v>
      </x:c>
      <x:c r="D1287" t="str">
        <x:v>Entidad financiera B</x:v>
      </x:c>
      <x:c r="E1287" t="str">
        <x:v>Crédito de libre inversión</x:v>
      </x:c>
      <x:c r="F1287" t="n">
        <x:v>2730000</x:v>
      </x:c>
      <x:c r="G1287" s="40" t="n">
        <x:v>0.1621</x:v>
      </x:c>
      <x:c r="H1287" s="40" t="n">
        <x:v>0.012598</x:v>
      </x:c>
      <x:c r="I1287" t="n">
        <x:v>12</x:v>
      </x:c>
      <x:c r="J1287" t="n">
        <x:v>246600</x:v>
      </x:c>
      <x:c r="K1287" t="str">
        <x:v>Bola de nieve</x:v>
      </x:c>
      <x:c r="L1287" t="str">
        <x:v>Vigente</x:v>
      </x:c>
      <x:c r="M1287" t="n">
        <x:v>2480582.59</x:v>
      </x:c>
      <x:c r="N1287"/>
    </x:row>
    <x:row r="1288">
      <x:c r="A1288" t="str">
        <x:v>DEU-001287</x:v>
      </x:c>
      <x:c r="B1288" t="str">
        <x:v>USR-00665</x:v>
      </x:c>
      <x:c r="C1288" t="n">
        <x:v>46082</x:v>
      </x:c>
      <x:c r="D1288" t="str">
        <x:v>Financiera D</x:v>
      </x:c>
      <x:c r="E1288" t="str">
        <x:v>Crédito de libre inversión</x:v>
      </x:c>
      <x:c r="F1288" t="n">
        <x:v>8150000</x:v>
      </x:c>
      <x:c r="G1288" s="40" t="n">
        <x:v>0.1673</x:v>
      </x:c>
      <x:c r="H1288" s="40" t="n">
        <x:v>0.012975</x:v>
      </x:c>
      <x:c r="I1288" t="n">
        <x:v>36</x:v>
      </x:c>
      <x:c r="J1288" t="n">
        <x:v>284800</x:v>
      </x:c>
      <x:c r="K1288" t="str">
        <x:v>Avalancha</x:v>
      </x:c>
      <x:c r="L1288" t="str">
        <x:v>Vigente</x:v>
      </x:c>
      <x:c r="M1288" t="n">
        <x:v>7633690.93</x:v>
      </x:c>
      <x:c r="N1288"/>
    </x:row>
    <x:row r="1289">
      <x:c r="A1289" t="str">
        <x:v>DEU-001288</x:v>
      </x:c>
      <x:c r="B1289" t="str">
        <x:v>USR-00666</x:v>
      </x:c>
      <x:c r="C1289" t="n">
        <x:v>46082</x:v>
      </x:c>
      <x:c r="D1289" t="str">
        <x:v>Entidad financiera B</x:v>
      </x:c>
      <x:c r="E1289" t="str">
        <x:v>Crédito de consumo</x:v>
      </x:c>
      <x:c r="F1289" t="n">
        <x:v>7010000</x:v>
      </x:c>
      <x:c r="G1289" s="40" t="n">
        <x:v>0.144</x:v>
      </x:c>
      <x:c r="H1289" s="40" t="n">
        <x:v>0.011274</x:v>
      </x:c>
      <x:c r="I1289" t="n">
        <x:v>24</x:v>
      </x:c>
      <x:c r="J1289" t="n">
        <x:v>335000</x:v>
      </x:c>
      <x:c r="K1289" t="str">
        <x:v>Avalancha</x:v>
      </x:c>
      <x:c r="L1289" t="str">
        <x:v>Vigente</x:v>
      </x:c>
      <x:c r="M1289" t="n">
        <x:v>6428274.82</x:v>
      </x:c>
      <x:c r="N1289"/>
    </x:row>
    <x:row r="1290">
      <x:c r="A1290" t="str">
        <x:v>DEU-001289</x:v>
      </x:c>
      <x:c r="B1290" t="str">
        <x:v>USR-00667</x:v>
      </x:c>
      <x:c r="C1290" t="n">
        <x:v>46082</x:v>
      </x:c>
      <x:c r="D1290" t="str">
        <x:v>Entidad financiera E</x:v>
      </x:c>
      <x:c r="E1290" t="str">
        <x:v>Tarjeta de crédito</x:v>
      </x:c>
      <x:c r="F1290" t="n">
        <x:v>7310000</x:v>
      </x:c>
      <x:c r="G1290" s="40" t="n">
        <x:v>0.2698</x:v>
      </x:c>
      <x:c r="H1290" s="40" t="n">
        <x:v>0.020104</x:v>
      </x:c>
      <x:c r="I1290" t="n">
        <x:v>24</x:v>
      </x:c>
      <x:c r="J1290" t="n">
        <x:v>386900</x:v>
      </x:c>
      <x:c r="K1290" t="str">
        <x:v>Avalancha</x:v>
      </x:c>
      <x:c r="L1290" t="str">
        <x:v>Vigente</x:v>
      </x:c>
      <x:c r="M1290" t="n">
        <x:v>5690954.71</x:v>
      </x:c>
      <x:c r="N1290"/>
    </x:row>
    <x:row r="1291">
      <x:c r="A1291" t="str">
        <x:v>DEU-001290</x:v>
      </x:c>
      <x:c r="B1291" t="str">
        <x:v>USR-00668</x:v>
      </x:c>
      <x:c r="C1291" t="n">
        <x:v>46082</x:v>
      </x:c>
      <x:c r="D1291" t="str">
        <x:v>Financiera D</x:v>
      </x:c>
      <x:c r="E1291" t="str">
        <x:v>Crédito de consumo</x:v>
      </x:c>
      <x:c r="F1291" t="n">
        <x:v>2930000</x:v>
      </x:c>
      <x:c r="G1291" s="40" t="n">
        <x:v>0.2926</x:v>
      </x:c>
      <x:c r="H1291" s="40" t="n">
        <x:v>0.021618</x:v>
      </x:c>
      <x:c r="I1291" t="n">
        <x:v>48</x:v>
      </x:c>
      <x:c r="J1291" t="n">
        <x:v>98700</x:v>
      </x:c>
      <x:c r="K1291" t="str">
        <x:v>Bola de nieve</x:v>
      </x:c>
      <x:c r="L1291" t="str">
        <x:v>Vigente</x:v>
      </x:c>
      <x:c r="M1291" t="n">
        <x:v>2528878.95</x:v>
      </x:c>
      <x:c r="N1291"/>
    </x:row>
    <x:row r="1292">
      <x:c r="A1292" t="str">
        <x:v>DEU-001291</x:v>
      </x:c>
      <x:c r="B1292" t="str">
        <x:v>USR-00669</x:v>
      </x:c>
      <x:c r="C1292" t="n">
        <x:v>46082</x:v>
      </x:c>
      <x:c r="D1292" t="str">
        <x:v>Cooperativa C</x:v>
      </x:c>
      <x:c r="E1292" t="str">
        <x:v>Crédito de libre inversión</x:v>
      </x:c>
      <x:c r="F1292" t="n">
        <x:v>13460000</x:v>
      </x:c>
      <x:c r="G1292" s="40" t="n">
        <x:v>0.1443</x:v>
      </x:c>
      <x:c r="H1292" s="40" t="n">
        <x:v>0.011296</x:v>
      </x:c>
      <x:c r="I1292" t="n">
        <x:v>60</x:v>
      </x:c>
      <x:c r="J1292" t="n">
        <x:v>310100</x:v>
      </x:c>
      <x:c r="K1292" t="str">
        <x:v>Avalancha</x:v>
      </x:c>
      <x:c r="L1292" t="str">
        <x:v>Vigente</x:v>
      </x:c>
      <x:c r="M1292" t="n">
        <x:v>12715822.47</x:v>
      </x:c>
      <x:c r="N1292"/>
    </x:row>
    <x:row r="1293">
      <x:c r="A1293" t="str">
        <x:v>DEU-001292</x:v>
      </x:c>
      <x:c r="B1293" t="str">
        <x:v>USR-00669</x:v>
      </x:c>
      <x:c r="C1293" t="n">
        <x:v>46082</x:v>
      </x:c>
      <x:c r="D1293" t="str">
        <x:v>Entidad financiera E</x:v>
      </x:c>
      <x:c r="E1293" t="str">
        <x:v>Tarjeta de crédito</x:v>
      </x:c>
      <x:c r="F1293" t="n">
        <x:v>7240000</x:v>
      </x:c>
      <x:c r="G1293" s="40" t="n">
        <x:v>0.2887</x:v>
      </x:c>
      <x:c r="H1293" s="40" t="n">
        <x:v>0.021361</x:v>
      </x:c>
      <x:c r="I1293" t="n">
        <x:v>30</x:v>
      </x:c>
      <x:c r="J1293" t="n">
        <x:v>329300</x:v>
      </x:c>
      <x:c r="K1293" t="str">
        <x:v>Avalancha</x:v>
      </x:c>
      <x:c r="L1293" t="str">
        <x:v>Vigente</x:v>
      </x:c>
      <x:c r="M1293" t="n">
        <x:v>6453852.44</x:v>
      </x:c>
      <x:c r="N1293"/>
    </x:row>
    <x:row r="1294">
      <x:c r="A1294" t="str">
        <x:v>DEU-001293</x:v>
      </x:c>
      <x:c r="B1294" t="str">
        <x:v>USR-00669</x:v>
      </x:c>
      <x:c r="C1294" t="n">
        <x:v>46082</x:v>
      </x:c>
      <x:c r="D1294" t="str">
        <x:v>Entidad financiera B</x:v>
      </x:c>
      <x:c r="E1294" t="str">
        <x:v>Crédito de vehículo</x:v>
      </x:c>
      <x:c r="F1294" t="n">
        <x:v>22690000</x:v>
      </x:c>
      <x:c r="G1294" s="40" t="n">
        <x:v>0.2484</x:v>
      </x:c>
      <x:c r="H1294" s="40" t="n">
        <x:v>0.018661</x:v>
      </x:c>
      <x:c r="I1294" t="n">
        <x:v>60</x:v>
      </x:c>
      <x:c r="J1294" t="n">
        <x:v>631700</x:v>
      </x:c>
      <x:c r="K1294" t="str">
        <x:v>Avalancha</x:v>
      </x:c>
      <x:c r="L1294" t="str">
        <x:v>Vigente</x:v>
      </x:c>
      <x:c r="M1294" t="n">
        <x:v>21592816.56</x:v>
      </x:c>
      <x:c r="N1294"/>
    </x:row>
    <x:row r="1295">
      <x:c r="A1295" t="str">
        <x:v>DEU-001294</x:v>
      </x:c>
      <x:c r="B1295" t="str">
        <x:v>USR-00669</x:v>
      </x:c>
      <x:c r="C1295" t="n">
        <x:v>46082</x:v>
      </x:c>
      <x:c r="D1295" t="str">
        <x:v>Entidad financiera A</x:v>
      </x:c>
      <x:c r="E1295" t="str">
        <x:v>Crédito comercial</x:v>
      </x:c>
      <x:c r="F1295" t="n">
        <x:v>12060000</x:v>
      </x:c>
      <x:c r="G1295" s="40" t="n">
        <x:v>0.2379</x:v>
      </x:c>
      <x:c r="H1295" s="40" t="n">
        <x:v>0.017944</x:v>
      </x:c>
      <x:c r="I1295" t="n">
        <x:v>18</x:v>
      </x:c>
      <x:c r="J1295" t="n">
        <x:v>790000</x:v>
      </x:c>
      <x:c r="K1295" t="str">
        <x:v>Avalancha</x:v>
      </x:c>
      <x:c r="L1295" t="str">
        <x:v>Vigente</x:v>
      </x:c>
      <x:c r="M1295" t="n">
        <x:v>9336033.49</x:v>
      </x:c>
      <x:c r="N1295"/>
    </x:row>
    <x:row r="1296">
      <x:c r="A1296" t="str">
        <x:v>DEU-001295</x:v>
      </x:c>
      <x:c r="B1296" t="str">
        <x:v>USR-00669</x:v>
      </x:c>
      <x:c r="C1296" t="n">
        <x:v>46082</x:v>
      </x:c>
      <x:c r="D1296" t="str">
        <x:v>Entidad financiera B</x:v>
      </x:c>
      <x:c r="E1296" t="str">
        <x:v>Crédito de consumo</x:v>
      </x:c>
      <x:c r="F1296" t="n">
        <x:v>8430000</x:v>
      </x:c>
      <x:c r="G1296" s="40" t="n">
        <x:v>0.2534</x:v>
      </x:c>
      <x:c r="H1296" s="40" t="n">
        <x:v>0.019</x:v>
      </x:c>
      <x:c r="I1296" t="n">
        <x:v>30</x:v>
      </x:c>
      <x:c r="J1296" t="n">
        <x:v>371200</x:v>
      </x:c>
      <x:c r="K1296" t="str">
        <x:v>Avalancha</x:v>
      </x:c>
      <x:c r="L1296" t="str">
        <x:v>Vigente</x:v>
      </x:c>
      <x:c r="M1296" t="n">
        <x:v>7941822.29</x:v>
      </x:c>
      <x:c r="N1296"/>
    </x:row>
    <x:row r="1297">
      <x:c r="A1297" t="str">
        <x:v>DEU-001296</x:v>
      </x:c>
      <x:c r="B1297" t="str">
        <x:v>USR-00670</x:v>
      </x:c>
      <x:c r="C1297" t="n">
        <x:v>46082</x:v>
      </x:c>
      <x:c r="D1297" t="str">
        <x:v>Entidad financiera A</x:v>
      </x:c>
      <x:c r="E1297" t="str">
        <x:v>Tarjeta de crédito</x:v>
      </x:c>
      <x:c r="F1297" t="n">
        <x:v>1610000</x:v>
      </x:c>
      <x:c r="G1297" s="40" t="n">
        <x:v>0.2426</x:v>
      </x:c>
      <x:c r="H1297" s="40" t="n">
        <x:v>0.018265</x:v>
      </x:c>
      <x:c r="I1297" t="n">
        <x:v>24</x:v>
      </x:c>
      <x:c r="J1297" t="n">
        <x:v>83500</x:v>
      </x:c>
      <x:c r="K1297" t="str">
        <x:v>Bola de nieve</x:v>
      </x:c>
      <x:c r="L1297" t="str">
        <x:v>Vigente</x:v>
      </x:c>
      <x:c r="M1297" t="n">
        <x:v>1269743.55</x:v>
      </x:c>
      <x:c r="N1297"/>
    </x:row>
    <x:row r="1298">
      <x:c r="A1298" t="str">
        <x:v>DEU-001297</x:v>
      </x:c>
      <x:c r="B1298" t="str">
        <x:v>USR-00671</x:v>
      </x:c>
      <x:c r="C1298" t="n">
        <x:v>46082</x:v>
      </x:c>
      <x:c r="D1298" t="str">
        <x:v>Cooperativa C</x:v>
      </x:c>
      <x:c r="E1298" t="str">
        <x:v>Crédito de consumo</x:v>
      </x:c>
      <x:c r="F1298" t="n">
        <x:v>17240000</x:v>
      </x:c>
      <x:c r="G1298" s="40" t="n">
        <x:v>0.149</x:v>
      </x:c>
      <x:c r="H1298" s="40" t="n">
        <x:v>0.011642</x:v>
      </x:c>
      <x:c r="I1298" t="n">
        <x:v>36</x:v>
      </x:c>
      <x:c r="J1298" t="n">
        <x:v>589000</x:v>
      </x:c>
      <x:c r="K1298" t="str">
        <x:v>Bola de nieve</x:v>
      </x:c>
      <x:c r="L1298" t="str">
        <x:v>Vigente</x:v>
      </x:c>
      <x:c r="M1298" t="n">
        <x:v>15930600.35</x:v>
      </x:c>
      <x:c r="N1298"/>
    </x:row>
    <x:row r="1299">
      <x:c r="A1299" t="str">
        <x:v>DEU-001298</x:v>
      </x:c>
      <x:c r="B1299" t="str">
        <x:v>USR-00672</x:v>
      </x:c>
      <x:c r="C1299" t="n">
        <x:v>46082</x:v>
      </x:c>
      <x:c r="D1299" t="str">
        <x:v>Entidad financiera B</x:v>
      </x:c>
      <x:c r="E1299" t="str">
        <x:v>Crédito educativo</x:v>
      </x:c>
      <x:c r="F1299" t="n">
        <x:v>5230000</x:v>
      </x:c>
      <x:c r="G1299" s="40" t="n">
        <x:v>0.144</x:v>
      </x:c>
      <x:c r="H1299" s="40" t="n">
        <x:v>0.011274</x:v>
      </x:c>
      <x:c r="I1299" t="n">
        <x:v>36</x:v>
      </x:c>
      <x:c r="J1299" t="n">
        <x:v>177600</x:v>
      </x:c>
      <x:c r="K1299" t="str">
        <x:v>Bola de nieve</x:v>
      </x:c>
      <x:c r="L1299" t="str">
        <x:v>Vigente</x:v>
      </x:c>
      <x:c r="M1299" t="n">
        <x:v>4682257.61</x:v>
      </x:c>
      <x:c r="N1299"/>
    </x:row>
    <x:row r="1300">
      <x:c r="A1300" t="str">
        <x:v>DEU-001299</x:v>
      </x:c>
      <x:c r="B1300" t="str">
        <x:v>USR-00672</x:v>
      </x:c>
      <x:c r="C1300" t="n">
        <x:v>46082</x:v>
      </x:c>
      <x:c r="D1300" t="str">
        <x:v>Cooperativa C</x:v>
      </x:c>
      <x:c r="E1300" t="str">
        <x:v>Crédito de libre inversión</x:v>
      </x:c>
      <x:c r="F1300" t="n">
        <x:v>17210000</x:v>
      </x:c>
      <x:c r="G1300" s="40" t="n">
        <x:v>0.1107</x:v>
      </x:c>
      <x:c r="H1300" s="40" t="n">
        <x:v>0.008788</x:v>
      </x:c>
      <x:c r="I1300" t="n">
        <x:v>60</x:v>
      </x:c>
      <x:c r="J1300" t="n">
        <x:v>370300</x:v>
      </x:c>
      <x:c r="K1300" t="str">
        <x:v>Bola de nieve</x:v>
      </x:c>
      <x:c r="L1300" t="str">
        <x:v>Vigente</x:v>
      </x:c>
      <x:c r="M1300" t="n">
        <x:v>15990721.8</x:v>
      </x:c>
      <x:c r="N1300"/>
    </x:row>
    <x:row r="1301">
      <x:c r="A1301" t="str">
        <x:v>DEU-001300</x:v>
      </x:c>
      <x:c r="B1301" t="str">
        <x:v>USR-00673</x:v>
      </x:c>
      <x:c r="C1301" t="n">
        <x:v>46082</x:v>
      </x:c>
      <x:c r="D1301" t="str">
        <x:v>Financiera D</x:v>
      </x:c>
      <x:c r="E1301" t="str">
        <x:v>Crédito de consumo</x:v>
      </x:c>
      <x:c r="F1301" t="n">
        <x:v>12780000</x:v>
      </x:c>
      <x:c r="G1301" s="40" t="n">
        <x:v>0.1524</x:v>
      </x:c>
      <x:c r="H1301" s="40" t="n">
        <x:v>0.011891</x:v>
      </x:c>
      <x:c r="I1301" t="n">
        <x:v>36</x:v>
      </x:c>
      <x:c r="J1301" t="n">
        <x:v>438500</x:v>
      </x:c>
      <x:c r="K1301" t="str">
        <x:v>Avalancha</x:v>
      </x:c>
      <x:c r="L1301" t="str">
        <x:v>Vigente</x:v>
      </x:c>
      <x:c r="M1301" t="n">
        <x:v>11892019.21</x:v>
      </x:c>
      <x:c r="N1301"/>
    </x:row>
    <x:row r="1302">
      <x:c r="A1302" t="str">
        <x:v>DEU-001301</x:v>
      </x:c>
      <x:c r="B1302" t="str">
        <x:v>USR-00674</x:v>
      </x:c>
      <x:c r="C1302" t="n">
        <x:v>46082</x:v>
      </x:c>
      <x:c r="D1302" t="str">
        <x:v>Entidad financiera E</x:v>
      </x:c>
      <x:c r="E1302" t="str">
        <x:v>Crédito de consumo</x:v>
      </x:c>
      <x:c r="F1302" t="n">
        <x:v>17800000</x:v>
      </x:c>
      <x:c r="G1302" s="40" t="n">
        <x:v>0.143</x:v>
      </x:c>
      <x:c r="H1302" s="40" t="n">
        <x:v>0.0112</x:v>
      </x:c>
      <x:c r="I1302" t="n">
        <x:v>24</x:v>
      </x:c>
      <x:c r="J1302" t="n">
        <x:v>849900</x:v>
      </x:c>
      <x:c r="K1302" t="str">
        <x:v>Avalancha</x:v>
      </x:c>
      <x:c r="L1302" t="str">
        <x:v>Vigente</x:v>
      </x:c>
      <x:c r="M1302" t="n">
        <x:v>14605143</x:v>
      </x:c>
      <x:c r="N1302"/>
    </x:row>
    <x:row r="1303">
      <x:c r="A1303" t="str">
        <x:v>DEU-001302</x:v>
      </x:c>
      <x:c r="B1303" t="str">
        <x:v>USR-00674</x:v>
      </x:c>
      <x:c r="C1303" t="n">
        <x:v>46082</x:v>
      </x:c>
      <x:c r="D1303" t="str">
        <x:v>Entidad financiera E</x:v>
      </x:c>
      <x:c r="E1303" t="str">
        <x:v>Tarjeta de crédito</x:v>
      </x:c>
      <x:c r="F1303" t="n">
        <x:v>3370000</x:v>
      </x:c>
      <x:c r="G1303" s="40" t="n">
        <x:v>0.2844</x:v>
      </x:c>
      <x:c r="H1303" s="40" t="n">
        <x:v>0.021077</x:v>
      </x:c>
      <x:c r="I1303" t="n">
        <x:v>36</x:v>
      </x:c>
      <x:c r="J1303" t="n">
        <x:v>134500</x:v>
      </x:c>
      <x:c r="K1303" t="str">
        <x:v>Avalancha</x:v>
      </x:c>
      <x:c r="L1303" t="str">
        <x:v>Vigente</x:v>
      </x:c>
      <x:c r="M1303" t="n">
        <x:v>2915703.35</x:v>
      </x:c>
      <x:c r="N1303"/>
    </x:row>
    <x:row r="1304">
      <x:c r="A1304" t="str">
        <x:v>DEU-001303</x:v>
      </x:c>
      <x:c r="B1304" t="str">
        <x:v>USR-00674</x:v>
      </x:c>
      <x:c r="C1304" t="n">
        <x:v>46082</x:v>
      </x:c>
      <x:c r="D1304" t="str">
        <x:v>Entidad financiera B</x:v>
      </x:c>
      <x:c r="E1304" t="str">
        <x:v>Tarjeta de crédito</x:v>
      </x:c>
      <x:c r="F1304" t="n">
        <x:v>7550000</x:v>
      </x:c>
      <x:c r="G1304" s="40" t="n">
        <x:v>0.3103</x:v>
      </x:c>
      <x:c r="H1304" s="40" t="n">
        <x:v>0.022777</x:v>
      </x:c>
      <x:c r="I1304" t="n">
        <x:v>18</x:v>
      </x:c>
      <x:c r="J1304" t="n">
        <x:v>516000</x:v>
      </x:c>
      <x:c r="K1304" t="str">
        <x:v>Avalancha</x:v>
      </x:c>
      <x:c r="L1304" t="str">
        <x:v>Vigente</x:v>
      </x:c>
      <x:c r="M1304" t="n">
        <x:v>6275558.53</x:v>
      </x:c>
      <x:c r="N1304"/>
    </x:row>
    <x:row r="1305">
      <x:c r="A1305" t="str">
        <x:v>DEU-001304</x:v>
      </x:c>
      <x:c r="B1305" t="str">
        <x:v>USR-00675</x:v>
      </x:c>
      <x:c r="C1305" t="n">
        <x:v>46082</x:v>
      </x:c>
      <x:c r="D1305" t="str">
        <x:v>Cooperativa C</x:v>
      </x:c>
      <x:c r="E1305" t="str">
        <x:v>Crédito de consumo</x:v>
      </x:c>
      <x:c r="F1305" t="n">
        <x:v>7150000</x:v>
      </x:c>
      <x:c r="G1305" s="40" t="n">
        <x:v>0.2012</x:v>
      </x:c>
      <x:c r="H1305" s="40" t="n">
        <x:v>0.015394</x:v>
      </x:c>
      <x:c r="I1305" t="n">
        <x:v>60</x:v>
      </x:c>
      <x:c r="J1305" t="n">
        <x:v>183400</x:v>
      </x:c>
      <x:c r="K1305" t="str">
        <x:v>Bola de nieve</x:v>
      </x:c>
      <x:c r="L1305" t="str">
        <x:v>Vigente</x:v>
      </x:c>
      <x:c r="M1305" t="n">
        <x:v>7607108.75</x:v>
      </x:c>
      <x:c r="N1305"/>
    </x:row>
    <x:row r="1306">
      <x:c r="A1306" t="str">
        <x:v>DEU-001305</x:v>
      </x:c>
      <x:c r="B1306" t="str">
        <x:v>USR-00675</x:v>
      </x:c>
      <x:c r="C1306" t="n">
        <x:v>46082</x:v>
      </x:c>
      <x:c r="D1306" t="str">
        <x:v>Entidad financiera E</x:v>
      </x:c>
      <x:c r="E1306" t="str">
        <x:v>Crédito de libre inversión</x:v>
      </x:c>
      <x:c r="F1306" t="n">
        <x:v>12380000</x:v>
      </x:c>
      <x:c r="G1306" s="40" t="n">
        <x:v>0.2269</x:v>
      </x:c>
      <x:c r="H1306" s="40" t="n">
        <x:v>0.017187</x:v>
      </x:c>
      <x:c r="I1306" t="n">
        <x:v>36</x:v>
      </x:c>
      <x:c r="J1306" t="n">
        <x:v>464000</x:v>
      </x:c>
      <x:c r="K1306" t="str">
        <x:v>Avalancha</x:v>
      </x:c>
      <x:c r="L1306" t="str">
        <x:v>Vigente</x:v>
      </x:c>
      <x:c r="M1306" t="n">
        <x:v>10890318.86</x:v>
      </x:c>
      <x:c r="N1306"/>
    </x:row>
    <x:row r="1307">
      <x:c r="A1307" t="str">
        <x:v>DEU-001306</x:v>
      </x:c>
      <x:c r="B1307" t="str">
        <x:v>USR-00676</x:v>
      </x:c>
      <x:c r="C1307" t="n">
        <x:v>46082</x:v>
      </x:c>
      <x:c r="D1307" t="str">
        <x:v>Entidad financiera E</x:v>
      </x:c>
      <x:c r="E1307" t="str">
        <x:v>Crédito de consumo</x:v>
      </x:c>
      <x:c r="F1307" t="n">
        <x:v>17420000</x:v>
      </x:c>
      <x:c r="G1307" s="40" t="n">
        <x:v>0.192</x:v>
      </x:c>
      <x:c r="H1307" s="40" t="n">
        <x:v>0.014744</x:v>
      </x:c>
      <x:c r="I1307" t="n">
        <x:v>30</x:v>
      </x:c>
      <x:c r="J1307" t="n">
        <x:v>722700</x:v>
      </x:c>
      <x:c r="K1307" t="str">
        <x:v>Bola de nieve</x:v>
      </x:c>
      <x:c r="L1307" t="str">
        <x:v>Vigente</x:v>
      </x:c>
      <x:c r="M1307" t="n">
        <x:v>15222545.51</x:v>
      </x:c>
      <x:c r="N1307"/>
    </x:row>
    <x:row r="1308">
      <x:c r="A1308" t="str">
        <x:v>DEU-001307</x:v>
      </x:c>
      <x:c r="B1308" t="str">
        <x:v>USR-00677</x:v>
      </x:c>
      <x:c r="C1308" t="n">
        <x:v>46082</x:v>
      </x:c>
      <x:c r="D1308" t="str">
        <x:v>Entidad financiera E</x:v>
      </x:c>
      <x:c r="E1308" t="str">
        <x:v>Crédito de vehículo</x:v>
      </x:c>
      <x:c r="F1308" t="n">
        <x:v>33520000</x:v>
      </x:c>
      <x:c r="G1308" s="40" t="n">
        <x:v>0.3333</x:v>
      </x:c>
      <x:c r="H1308" s="40" t="n">
        <x:v>0.024261</x:v>
      </x:c>
      <x:c r="I1308" t="n">
        <x:v>36</x:v>
      </x:c>
      <x:c r="J1308" t="n">
        <x:v>1406700</x:v>
      </x:c>
      <x:c r="K1308" t="str">
        <x:v>Avalancha</x:v>
      </x:c>
      <x:c r="L1308" t="str">
        <x:v>Vigente</x:v>
      </x:c>
      <x:c r="M1308" t="n">
        <x:v>31023035.59</x:v>
      </x:c>
      <x:c r="N1308"/>
    </x:row>
    <x:row r="1309">
      <x:c r="A1309" t="str">
        <x:v>DEU-001308</x:v>
      </x:c>
      <x:c r="B1309" t="str">
        <x:v>USR-00678</x:v>
      </x:c>
      <x:c r="C1309" t="n">
        <x:v>46082</x:v>
      </x:c>
      <x:c r="D1309" t="str">
        <x:v>Financiera D</x:v>
      </x:c>
      <x:c r="E1309" t="str">
        <x:v>Crédito de libre inversión</x:v>
      </x:c>
      <x:c r="F1309" t="n">
        <x:v>9880000</x:v>
      </x:c>
      <x:c r="G1309" s="40" t="n">
        <x:v>0.1404</x:v>
      </x:c>
      <x:c r="H1309" s="40" t="n">
        <x:v>0.011008</x:v>
      </x:c>
      <x:c r="I1309" t="n">
        <x:v>30</x:v>
      </x:c>
      <x:c r="J1309" t="n">
        <x:v>388500</x:v>
      </x:c>
      <x:c r="K1309" t="str">
        <x:v>Bola de nieve</x:v>
      </x:c>
      <x:c r="L1309" t="str">
        <x:v>Vigente</x:v>
      </x:c>
      <x:c r="M1309" t="n">
        <x:v>8237860.87</x:v>
      </x:c>
      <x:c r="N1309"/>
    </x:row>
    <x:row r="1310">
      <x:c r="A1310" t="str">
        <x:v>DEU-001309</x:v>
      </x:c>
      <x:c r="B1310" t="str">
        <x:v>USR-00678</x:v>
      </x:c>
      <x:c r="C1310" t="n">
        <x:v>46082</x:v>
      </x:c>
      <x:c r="D1310" t="str">
        <x:v>Financiera D</x:v>
      </x:c>
      <x:c r="E1310" t="str">
        <x:v>Tarjeta de crédito</x:v>
      </x:c>
      <x:c r="F1310" t="n">
        <x:v>5350000</x:v>
      </x:c>
      <x:c r="G1310" s="40" t="n">
        <x:v>0.2353</x:v>
      </x:c>
      <x:c r="H1310" s="40" t="n">
        <x:v>0.017765</x:v>
      </x:c>
      <x:c r="I1310" t="n">
        <x:v>18</x:v>
      </x:c>
      <x:c r="J1310" t="n">
        <x:v>349900</x:v>
      </x:c>
      <x:c r="K1310" t="str">
        <x:v>Avalancha</x:v>
      </x:c>
      <x:c r="L1310" t="str">
        <x:v>Vigente</x:v>
      </x:c>
      <x:c r="M1310" t="n">
        <x:v>3908296.74</x:v>
      </x:c>
      <x:c r="N1310"/>
    </x:row>
    <x:row r="1311">
      <x:c r="A1311" t="str">
        <x:v>DEU-001310</x:v>
      </x:c>
      <x:c r="B1311" t="str">
        <x:v>USR-00678</x:v>
      </x:c>
      <x:c r="C1311" t="n">
        <x:v>46082</x:v>
      </x:c>
      <x:c r="D1311" t="str">
        <x:v>Entidad financiera E</x:v>
      </x:c>
      <x:c r="E1311" t="str">
        <x:v>Crédito de vehículo</x:v>
      </x:c>
      <x:c r="F1311" t="n">
        <x:v>50710000</x:v>
      </x:c>
      <x:c r="G1311" s="40" t="n">
        <x:v>0.325</x:v>
      </x:c>
      <x:c r="H1311" s="40" t="n">
        <x:v>0.023728</x:v>
      </x:c>
      <x:c r="I1311" t="n">
        <x:v>30</x:v>
      </x:c>
      <x:c r="J1311" t="n">
        <x:v>2381900</x:v>
      </x:c>
      <x:c r="K1311" t="str">
        <x:v>Bola de nieve</x:v>
      </x:c>
      <x:c r="L1311" t="str">
        <x:v>Vigente</x:v>
      </x:c>
      <x:c r="M1311" t="n">
        <x:v>45662069.53</x:v>
      </x:c>
      <x:c r="N1311"/>
    </x:row>
    <x:row r="1312">
      <x:c r="A1312" t="str">
        <x:v>DEU-001311</x:v>
      </x:c>
      <x:c r="B1312" t="str">
        <x:v>USR-00678</x:v>
      </x:c>
      <x:c r="C1312" t="n">
        <x:v>46082</x:v>
      </x:c>
      <x:c r="D1312" t="str">
        <x:v>Entidad financiera B</x:v>
      </x:c>
      <x:c r="E1312" t="str">
        <x:v>Tarjeta de crédito</x:v>
      </x:c>
      <x:c r="F1312" t="n">
        <x:v>4460000</x:v>
      </x:c>
      <x:c r="G1312" s="40" t="n">
        <x:v>0.2318</x:v>
      </x:c>
      <x:c r="H1312" s="40" t="n">
        <x:v>0.017525</x:v>
      </x:c>
      <x:c r="I1312" t="n">
        <x:v>60</x:v>
      </x:c>
      <x:c r="J1312" t="n">
        <x:v>120700</x:v>
      </x:c>
      <x:c r="K1312" t="str">
        <x:v>Bola de nieve</x:v>
      </x:c>
      <x:c r="L1312" t="str">
        <x:v>Vigente</x:v>
      </x:c>
      <x:c r="M1312" t="n">
        <x:v>4448992.5</x:v>
      </x:c>
      <x:c r="N1312"/>
    </x:row>
    <x:row r="1313">
      <x:c r="A1313" t="str">
        <x:v>DEU-001312</x:v>
      </x:c>
      <x:c r="B1313" t="str">
        <x:v>USR-00679</x:v>
      </x:c>
      <x:c r="C1313" t="n">
        <x:v>46082</x:v>
      </x:c>
      <x:c r="D1313" t="str">
        <x:v>Entidad financiera B</x:v>
      </x:c>
      <x:c r="E1313" t="str">
        <x:v>Tarjeta de crédito</x:v>
      </x:c>
      <x:c r="F1313" t="n">
        <x:v>5230000</x:v>
      </x:c>
      <x:c r="G1313" s="40" t="n">
        <x:v>0.1295</x:v>
      </x:c>
      <x:c r="H1313" s="40" t="n">
        <x:v>0.0102</x:v>
      </x:c>
      <x:c r="I1313" t="n">
        <x:v>24</x:v>
      </x:c>
      <x:c r="J1313" t="n">
        <x:v>246800</x:v>
      </x:c>
      <x:c r="K1313" t="str">
        <x:v>Bola de nieve</x:v>
      </x:c>
      <x:c r="L1313" t="str">
        <x:v>Vigente</x:v>
      </x:c>
      <x:c r="M1313" t="n">
        <x:v>4807966.07</x:v>
      </x:c>
      <x:c r="N1313"/>
    </x:row>
    <x:row r="1314">
      <x:c r="A1314" t="str">
        <x:v>DEU-001313</x:v>
      </x:c>
      <x:c r="B1314" t="str">
        <x:v>USR-00679</x:v>
      </x:c>
      <x:c r="C1314" t="n">
        <x:v>46082</x:v>
      </x:c>
      <x:c r="D1314" t="str">
        <x:v>Entidad financiera B</x:v>
      </x:c>
      <x:c r="E1314" t="str">
        <x:v>Crédito educativo</x:v>
      </x:c>
      <x:c r="F1314" t="n">
        <x:v>14300000</x:v>
      </x:c>
      <x:c r="G1314" s="40" t="n">
        <x:v>0.2685</x:v>
      </x:c>
      <x:c r="H1314" s="40" t="n">
        <x:v>0.020017</x:v>
      </x:c>
      <x:c r="I1314" t="n">
        <x:v>48</x:v>
      </x:c>
      <x:c r="J1314" t="n">
        <x:v>466400</x:v>
      </x:c>
      <x:c r="K1314" t="str">
        <x:v>Avalancha</x:v>
      </x:c>
      <x:c r="L1314" t="str">
        <x:v>Vigente</x:v>
      </x:c>
      <x:c r="M1314" t="n">
        <x:v>13367044.5</x:v>
      </x:c>
      <x:c r="N1314"/>
    </x:row>
    <x:row r="1315">
      <x:c r="A1315" t="str">
        <x:v>DEU-001314</x:v>
      </x:c>
      <x:c r="B1315" t="str">
        <x:v>USR-00680</x:v>
      </x:c>
      <x:c r="C1315" t="n">
        <x:v>46082</x:v>
      </x:c>
      <x:c r="D1315" t="str">
        <x:v>Entidad financiera A</x:v>
      </x:c>
      <x:c r="E1315" t="str">
        <x:v>Tarjeta de crédito</x:v>
      </x:c>
      <x:c r="F1315" t="n">
        <x:v>3260000</x:v>
      </x:c>
      <x:c r="G1315" s="40" t="n">
        <x:v>0.3157</x:v>
      </x:c>
      <x:c r="H1315" s="40" t="n">
        <x:v>0.023127</x:v>
      </x:c>
      <x:c r="I1315" t="n">
        <x:v>60</x:v>
      </x:c>
      <x:c r="J1315" t="n">
        <x:v>101000</x:v>
      </x:c>
      <x:c r="K1315" t="str">
        <x:v>Avalancha</x:v>
      </x:c>
      <x:c r="L1315" t="str">
        <x:v>Vigente</x:v>
      </x:c>
      <x:c r="M1315" t="n">
        <x:v>3199560.3</x:v>
      </x:c>
      <x:c r="N1315"/>
    </x:row>
    <x:row r="1316">
      <x:c r="A1316" t="str">
        <x:v>DEU-001315</x:v>
      </x:c>
      <x:c r="B1316" t="str">
        <x:v>USR-00680</x:v>
      </x:c>
      <x:c r="C1316" t="n">
        <x:v>46082</x:v>
      </x:c>
      <x:c r="D1316" t="str">
        <x:v>Entidad financiera E</x:v>
      </x:c>
      <x:c r="E1316" t="str">
        <x:v>Tarjeta de crédito</x:v>
      </x:c>
      <x:c r="F1316" t="n">
        <x:v>6300000</x:v>
      </x:c>
      <x:c r="G1316" s="40" t="n">
        <x:v>0.1806</x:v>
      </x:c>
      <x:c r="H1316" s="40" t="n">
        <x:v>0.013931</x:v>
      </x:c>
      <x:c r="I1316" t="n">
        <x:v>48</x:v>
      </x:c>
      <x:c r="J1316" t="n">
        <x:v>180900</x:v>
      </x:c>
      <x:c r="K1316" t="str">
        <x:v>Bola de nieve</x:v>
      </x:c>
      <x:c r="L1316" t="str">
        <x:v>Vigente</x:v>
      </x:c>
      <x:c r="M1316" t="n">
        <x:v>6256380.65</x:v>
      </x:c>
      <x:c r="N1316"/>
    </x:row>
    <x:row r="1317">
      <x:c r="A1317" t="str">
        <x:v>DEU-001316</x:v>
      </x:c>
      <x:c r="B1317" t="str">
        <x:v>USR-00681</x:v>
      </x:c>
      <x:c r="C1317" t="n">
        <x:v>46082</x:v>
      </x:c>
      <x:c r="D1317" t="str">
        <x:v>Entidad financiera A</x:v>
      </x:c>
      <x:c r="E1317" t="str">
        <x:v>Tarjeta de crédito</x:v>
      </x:c>
      <x:c r="F1317" t="n">
        <x:v>7640000</x:v>
      </x:c>
      <x:c r="G1317" s="40" t="n">
        <x:v>0.2279</x:v>
      </x:c>
      <x:c r="H1317" s="40" t="n">
        <x:v>0.017256</x:v>
      </x:c>
      <x:c r="I1317" t="n">
        <x:v>36</x:v>
      </x:c>
      <x:c r="J1317" t="n">
        <x:v>286700</x:v>
      </x:c>
      <x:c r="K1317" t="str">
        <x:v>Bola de nieve</x:v>
      </x:c>
      <x:c r="L1317" t="str">
        <x:v>Vigente</x:v>
      </x:c>
      <x:c r="M1317" t="n">
        <x:v>7767893.49</x:v>
      </x:c>
      <x:c r="N1317"/>
    </x:row>
    <x:row r="1318">
      <x:c r="A1318" t="str">
        <x:v>DEU-001317</x:v>
      </x:c>
      <x:c r="B1318" t="str">
        <x:v>USR-00682</x:v>
      </x:c>
      <x:c r="C1318" t="n">
        <x:v>46082</x:v>
      </x:c>
      <x:c r="D1318" t="str">
        <x:v>Entidad financiera A</x:v>
      </x:c>
      <x:c r="E1318" t="str">
        <x:v>Tarjeta de crédito</x:v>
      </x:c>
      <x:c r="F1318" t="n">
        <x:v>980000</x:v>
      </x:c>
      <x:c r="G1318" s="40" t="n">
        <x:v>0.3143</x:v>
      </x:c>
      <x:c r="H1318" s="40" t="n">
        <x:v>0.023037</x:v>
      </x:c>
      <x:c r="I1318" t="n">
        <x:v>30</x:v>
      </x:c>
      <x:c r="J1318" t="n">
        <x:v>45600</x:v>
      </x:c>
      <x:c r="K1318" t="str">
        <x:v>Bola de nieve</x:v>
      </x:c>
      <x:c r="L1318" t="str">
        <x:v>Vigente</x:v>
      </x:c>
      <x:c r="M1318" t="n">
        <x:v>916697.13</x:v>
      </x:c>
      <x:c r="N1318"/>
    </x:row>
    <x:row r="1319">
      <x:c r="A1319" t="str">
        <x:v>DEU-001318</x:v>
      </x:c>
      <x:c r="B1319" t="str">
        <x:v>USR-00682</x:v>
      </x:c>
      <x:c r="C1319" t="n">
        <x:v>46082</x:v>
      </x:c>
      <x:c r="D1319" t="str">
        <x:v>Entidad financiera E</x:v>
      </x:c>
      <x:c r="E1319" t="str">
        <x:v>Crédito de consumo</x:v>
      </x:c>
      <x:c r="F1319" t="n">
        <x:v>12590000</x:v>
      </x:c>
      <x:c r="G1319" s="40" t="n">
        <x:v>0.332</x:v>
      </x:c>
      <x:c r="H1319" s="40" t="n">
        <x:v>0.024178</x:v>
      </x:c>
      <x:c r="I1319" t="n">
        <x:v>48</x:v>
      </x:c>
      <x:c r="J1319" t="n">
        <x:v>446100</x:v>
      </x:c>
      <x:c r="K1319" t="str">
        <x:v>Avalancha</x:v>
      </x:c>
      <x:c r="L1319" t="str">
        <x:v>Vigente</x:v>
      </x:c>
      <x:c r="M1319" t="n">
        <x:v>12396297.83</x:v>
      </x:c>
      <x:c r="N1319"/>
    </x:row>
    <x:row r="1320">
      <x:c r="A1320" t="str">
        <x:v>DEU-001319</x:v>
      </x:c>
      <x:c r="B1320" t="str">
        <x:v>USR-00683</x:v>
      </x:c>
      <x:c r="C1320" t="n">
        <x:v>46082</x:v>
      </x:c>
      <x:c r="D1320" t="str">
        <x:v>Entidad financiera A</x:v>
      </x:c>
      <x:c r="E1320" t="str">
        <x:v>Tarjeta de crédito</x:v>
      </x:c>
      <x:c r="F1320" t="n">
        <x:v>4190000</x:v>
      </x:c>
      <x:c r="G1320" s="40" t="n">
        <x:v>0.3056</x:v>
      </x:c>
      <x:c r="H1320" s="40" t="n">
        <x:v>0.022471</x:v>
      </x:c>
      <x:c r="I1320" t="n">
        <x:v>12</x:v>
      </x:c>
      <x:c r="J1320" t="n">
        <x:v>402200</x:v>
      </x:c>
      <x:c r="K1320" t="str">
        <x:v>Avalancha</x:v>
      </x:c>
      <x:c r="L1320" t="str">
        <x:v>Vigente</x:v>
      </x:c>
      <x:c r="M1320" t="n">
        <x:v>2695479.07</x:v>
      </x:c>
      <x:c r="N1320"/>
    </x:row>
    <x:row r="1321">
      <x:c r="A1321" t="str">
        <x:v>DEU-001320</x:v>
      </x:c>
      <x:c r="B1321" t="str">
        <x:v>USR-00684</x:v>
      </x:c>
      <x:c r="C1321" t="n">
        <x:v>46082</x:v>
      </x:c>
      <x:c r="D1321" t="str">
        <x:v>Entidad financiera B</x:v>
      </x:c>
      <x:c r="E1321" t="str">
        <x:v>Tarjeta de crédito</x:v>
      </x:c>
      <x:c r="F1321" t="n">
        <x:v>3650000</x:v>
      </x:c>
      <x:c r="G1321" s="40" t="n">
        <x:v>0.2639</x:v>
      </x:c>
      <x:c r="H1321" s="40" t="n">
        <x:v>0.019709</x:v>
      </x:c>
      <x:c r="I1321" t="n">
        <x:v>36</x:v>
      </x:c>
      <x:c r="J1321" t="n">
        <x:v>142500</x:v>
      </x:c>
      <x:c r="K1321" t="str">
        <x:v>Avalancha</x:v>
      </x:c>
      <x:c r="L1321" t="str">
        <x:v>Vigente</x:v>
      </x:c>
      <x:c r="M1321" t="n">
        <x:v>3154931.72</x:v>
      </x:c>
      <x:c r="N1321"/>
    </x:row>
    <x:row r="1322">
      <x:c r="A1322" t="str">
        <x:v>DEU-001321</x:v>
      </x:c>
      <x:c r="B1322" t="str">
        <x:v>USR-00685</x:v>
      </x:c>
      <x:c r="C1322" t="n">
        <x:v>46082</x:v>
      </x:c>
      <x:c r="D1322" t="str">
        <x:v>Cooperativa C</x:v>
      </x:c>
      <x:c r="E1322" t="str">
        <x:v>Tarjeta de crédito</x:v>
      </x:c>
      <x:c r="F1322" t="n">
        <x:v>4860000</x:v>
      </x:c>
      <x:c r="G1322" s="40" t="n">
        <x:v>0.1346</x:v>
      </x:c>
      <x:c r="H1322" s="40" t="n">
        <x:v>0.010579</x:v>
      </x:c>
      <x:c r="I1322" t="n">
        <x:v>30</x:v>
      </x:c>
      <x:c r="J1322" t="n">
        <x:v>189900</x:v>
      </x:c>
      <x:c r="K1322" t="str">
        <x:v>Bola de nieve</x:v>
      </x:c>
      <x:c r="L1322" t="str">
        <x:v>Vigente</x:v>
      </x:c>
      <x:c r="M1322" t="n">
        <x:v>4260978.03</x:v>
      </x:c>
      <x:c r="N1322"/>
    </x:row>
    <x:row r="1323">
      <x:c r="A1323" t="str">
        <x:v>DEU-001322</x:v>
      </x:c>
      <x:c r="B1323" t="str">
        <x:v>USR-00685</x:v>
      </x:c>
      <x:c r="C1323" t="n">
        <x:v>46082</x:v>
      </x:c>
      <x:c r="D1323" t="str">
        <x:v>Entidad financiera A</x:v>
      </x:c>
      <x:c r="E1323" t="str">
        <x:v>Crédito de libre inversión</x:v>
      </x:c>
      <x:c r="F1323" t="n">
        <x:v>6280000</x:v>
      </x:c>
      <x:c r="G1323" s="40" t="n">
        <x:v>0.1775</x:v>
      </x:c>
      <x:c r="H1323" s="40" t="n">
        <x:v>0.013709</x:v>
      </x:c>
      <x:c r="I1323" t="n">
        <x:v>36</x:v>
      </x:c>
      <x:c r="J1323" t="n">
        <x:v>222200</x:v>
      </x:c>
      <x:c r="K1323" t="str">
        <x:v>Bola de nieve</x:v>
      </x:c>
      <x:c r="L1323" t="str">
        <x:v>Vigente</x:v>
      </x:c>
      <x:c r="M1323" t="n">
        <x:v>5989240.47</x:v>
      </x:c>
      <x:c r="N1323"/>
    </x:row>
    <x:row r="1324">
      <x:c r="A1324" t="str">
        <x:v>DEU-001323</x:v>
      </x:c>
      <x:c r="B1324" t="str">
        <x:v>USR-00686</x:v>
      </x:c>
      <x:c r="C1324" t="n">
        <x:v>46082</x:v>
      </x:c>
      <x:c r="D1324" t="str">
        <x:v>Entidad financiera E</x:v>
      </x:c>
      <x:c r="E1324" t="str">
        <x:v>Crédito de consumo</x:v>
      </x:c>
      <x:c r="F1324" t="n">
        <x:v>4850000</x:v>
      </x:c>
      <x:c r="G1324" s="40" t="n">
        <x:v>0.1679</x:v>
      </x:c>
      <x:c r="H1324" s="40" t="n">
        <x:v>0.013018</x:v>
      </x:c>
      <x:c r="I1324" t="n">
        <x:v>36</x:v>
      </x:c>
      <x:c r="J1324" t="n">
        <x:v>169600</x:v>
      </x:c>
      <x:c r="K1324" t="str">
        <x:v>Bola de nieve</x:v>
      </x:c>
      <x:c r="L1324" t="str">
        <x:v>Vigente</x:v>
      </x:c>
      <x:c r="M1324" t="n">
        <x:v>4450665.79</x:v>
      </x:c>
      <x:c r="N1324"/>
    </x:row>
    <x:row r="1325">
      <x:c r="A1325" t="str">
        <x:v>DEU-001324</x:v>
      </x:c>
      <x:c r="B1325" t="str">
        <x:v>USR-00687</x:v>
      </x:c>
      <x:c r="C1325" t="n">
        <x:v>46082</x:v>
      </x:c>
      <x:c r="D1325" t="str">
        <x:v>Cooperativa C</x:v>
      </x:c>
      <x:c r="E1325" t="str">
        <x:v>Crédito de consumo</x:v>
      </x:c>
      <x:c r="F1325" t="n">
        <x:v>15170000</x:v>
      </x:c>
      <x:c r="G1325" s="40" t="n">
        <x:v>0.2368</x:v>
      </x:c>
      <x:c r="H1325" s="40" t="n">
        <x:v>0.017868</x:v>
      </x:c>
      <x:c r="I1325" t="n">
        <x:v>36</x:v>
      </x:c>
      <x:c r="J1325" t="n">
        <x:v>575000</x:v>
      </x:c>
      <x:c r="K1325" t="str">
        <x:v>Avalancha</x:v>
      </x:c>
      <x:c r="L1325" t="str">
        <x:v>Vigente</x:v>
      </x:c>
      <x:c r="M1325" t="n">
        <x:v>15040966.51</x:v>
      </x:c>
      <x:c r="N1325"/>
    </x:row>
    <x:row r="1326">
      <x:c r="A1326" t="str">
        <x:v>DEU-001325</x:v>
      </x:c>
      <x:c r="B1326" t="str">
        <x:v>USR-00688</x:v>
      </x:c>
      <x:c r="C1326" t="n">
        <x:v>46082</x:v>
      </x:c>
      <x:c r="D1326" t="str">
        <x:v>Entidad financiera B</x:v>
      </x:c>
      <x:c r="E1326" t="str">
        <x:v>Tarjeta de crédito</x:v>
      </x:c>
      <x:c r="F1326" t="n">
        <x:v>4200000</x:v>
      </x:c>
      <x:c r="G1326" s="40" t="n">
        <x:v>0.1984</x:v>
      </x:c>
      <x:c r="H1326" s="40" t="n">
        <x:v>0.015197</x:v>
      </x:c>
      <x:c r="I1326" t="n">
        <x:v>18</x:v>
      </x:c>
      <x:c r="J1326" t="n">
        <x:v>268500</x:v>
      </x:c>
      <x:c r="K1326" t="str">
        <x:v>Avalancha</x:v>
      </x:c>
      <x:c r="L1326" t="str">
        <x:v>Vigente</x:v>
      </x:c>
      <x:c r="M1326" t="n">
        <x:v>3023411.93</x:v>
      </x:c>
      <x:c r="N1326"/>
    </x:row>
    <x:row r="1327">
      <x:c r="A1327" t="str">
        <x:v>DEU-001326</x:v>
      </x:c>
      <x:c r="B1327" t="str">
        <x:v>USR-00689</x:v>
      </x:c>
      <x:c r="C1327" t="n">
        <x:v>46082</x:v>
      </x:c>
      <x:c r="D1327" t="str">
        <x:v>Financiera D</x:v>
      </x:c>
      <x:c r="E1327" t="str">
        <x:v>Crédito de vehículo</x:v>
      </x:c>
      <x:c r="F1327" t="n">
        <x:v>14130000</x:v>
      </x:c>
      <x:c r="G1327" s="40" t="n">
        <x:v>0.3152</x:v>
      </x:c>
      <x:c r="H1327" s="40" t="n">
        <x:v>0.023095</x:v>
      </x:c>
      <x:c r="I1327" t="n">
        <x:v>18</x:v>
      </x:c>
      <x:c r="J1327" t="n">
        <x:v>968300</x:v>
      </x:c>
      <x:c r="K1327" t="str">
        <x:v>Bola de nieve</x:v>
      </x:c>
      <x:c r="L1327" t="str">
        <x:v>Vigente</x:v>
      </x:c>
      <x:c r="M1327" t="n">
        <x:v>11438871.51</x:v>
      </x:c>
      <x:c r="N1327"/>
    </x:row>
    <x:row r="1328">
      <x:c r="A1328" t="str">
        <x:v>DEU-001327</x:v>
      </x:c>
      <x:c r="B1328" t="str">
        <x:v>USR-00690</x:v>
      </x:c>
      <x:c r="C1328" t="n">
        <x:v>46082</x:v>
      </x:c>
      <x:c r="D1328" t="str">
        <x:v>Entidad financiera E</x:v>
      </x:c>
      <x:c r="E1328" t="str">
        <x:v>Crédito comercial</x:v>
      </x:c>
      <x:c r="F1328" t="n">
        <x:v>32810000</x:v>
      </x:c>
      <x:c r="G1328" s="40" t="n">
        <x:v>0.3066</x:v>
      </x:c>
      <x:c r="H1328" s="40" t="n">
        <x:v>0.022536</x:v>
      </x:c>
      <x:c r="I1328" t="n">
        <x:v>24</x:v>
      </x:c>
      <x:c r="J1328" t="n">
        <x:v>1784900</x:v>
      </x:c>
      <x:c r="K1328" t="str">
        <x:v>Bola de nieve</x:v>
      </x:c>
      <x:c r="L1328" t="str">
        <x:v>Vigente</x:v>
      </x:c>
      <x:c r="M1328" t="n">
        <x:v>31784416</x:v>
      </x:c>
      <x:c r="N1328"/>
    </x:row>
    <x:row r="1329">
      <x:c r="A1329" t="str">
        <x:v>DEU-001328</x:v>
      </x:c>
      <x:c r="B1329" t="str">
        <x:v>USR-00691</x:v>
      </x:c>
      <x:c r="C1329" t="n">
        <x:v>46082</x:v>
      </x:c>
      <x:c r="D1329" t="str">
        <x:v>Entidad financiera B</x:v>
      </x:c>
      <x:c r="E1329" t="str">
        <x:v>Crédito de consumo</x:v>
      </x:c>
      <x:c r="F1329" t="n">
        <x:v>14970000</x:v>
      </x:c>
      <x:c r="G1329" s="40" t="n">
        <x:v>0.3016</x:v>
      </x:c>
      <x:c r="H1329" s="40" t="n">
        <x:v>0.022209</x:v>
      </x:c>
      <x:c r="I1329" t="n">
        <x:v>36</x:v>
      </x:c>
      <x:c r="J1329" t="n">
        <x:v>608400</x:v>
      </x:c>
      <x:c r="K1329" t="str">
        <x:v>Avalancha</x:v>
      </x:c>
      <x:c r="L1329" t="str">
        <x:v>Vigente</x:v>
      </x:c>
      <x:c r="M1329" t="n">
        <x:v>15139196.6</x:v>
      </x:c>
      <x:c r="N1329"/>
    </x:row>
    <x:row r="1330">
      <x:c r="A1330" t="str">
        <x:v>DEU-001329</x:v>
      </x:c>
      <x:c r="B1330" t="str">
        <x:v>USR-00691</x:v>
      </x:c>
      <x:c r="C1330" t="n">
        <x:v>46082</x:v>
      </x:c>
      <x:c r="D1330" t="str">
        <x:v>Cooperativa C</x:v>
      </x:c>
      <x:c r="E1330" t="str">
        <x:v>Tarjeta de crédito</x:v>
      </x:c>
      <x:c r="F1330" t="n">
        <x:v>4150000</x:v>
      </x:c>
      <x:c r="G1330" s="40" t="n">
        <x:v>0.2905</x:v>
      </x:c>
      <x:c r="H1330" s="40" t="n">
        <x:v>0.02148</x:v>
      </x:c>
      <x:c r="I1330" t="n">
        <x:v>24</x:v>
      </x:c>
      <x:c r="J1330" t="n">
        <x:v>223100</x:v>
      </x:c>
      <x:c r="K1330" t="str">
        <x:v>Avalancha</x:v>
      </x:c>
      <x:c r="L1330" t="str">
        <x:v>Vigente</x:v>
      </x:c>
      <x:c r="M1330" t="n">
        <x:v>3849979.61</x:v>
      </x:c>
      <x:c r="N1330"/>
    </x:row>
    <x:row r="1331">
      <x:c r="A1331" t="str">
        <x:v>DEU-001330</x:v>
      </x:c>
      <x:c r="B1331" t="str">
        <x:v>USR-00692</x:v>
      </x:c>
      <x:c r="C1331" t="n">
        <x:v>46082</x:v>
      </x:c>
      <x:c r="D1331" t="str">
        <x:v>Entidad financiera B</x:v>
      </x:c>
      <x:c r="E1331" t="str">
        <x:v>Tarjeta de crédito</x:v>
      </x:c>
      <x:c r="F1331" t="n">
        <x:v>3250000</x:v>
      </x:c>
      <x:c r="G1331" s="40" t="n">
        <x:v>0.1398</x:v>
      </x:c>
      <x:c r="H1331" s="40" t="n">
        <x:v>0.010964</x:v>
      </x:c>
      <x:c r="I1331" t="n">
        <x:v>12</x:v>
      </x:c>
      <x:c r="J1331" t="n">
        <x:v>290500</x:v>
      </x:c>
      <x:c r="K1331" t="str">
        <x:v>Avalancha</x:v>
      </x:c>
      <x:c r="L1331" t="str">
        <x:v>Vigente</x:v>
      </x:c>
      <x:c r="M1331" t="n">
        <x:v>1378882.85</x:v>
      </x:c>
      <x:c r="N1331"/>
    </x:row>
    <x:row r="1332">
      <x:c r="A1332" t="str">
        <x:v>DEU-001331</x:v>
      </x:c>
      <x:c r="B1332" t="str">
        <x:v>USR-00693</x:v>
      </x:c>
      <x:c r="C1332" t="n">
        <x:v>46082</x:v>
      </x:c>
      <x:c r="D1332" t="str">
        <x:v>Financiera D</x:v>
      </x:c>
      <x:c r="E1332" t="str">
        <x:v>Tarjeta de crédito</x:v>
      </x:c>
      <x:c r="F1332" t="n">
        <x:v>1620000</x:v>
      </x:c>
      <x:c r="G1332" s="40" t="n">
        <x:v>0.2458</x:v>
      </x:c>
      <x:c r="H1332" s="40" t="n">
        <x:v>0.018484</x:v>
      </x:c>
      <x:c r="I1332" t="n">
        <x:v>60</x:v>
      </x:c>
      <x:c r="J1332" t="n">
        <x:v>44900</x:v>
      </x:c>
      <x:c r="K1332" t="str">
        <x:v>Avalancha</x:v>
      </x:c>
      <x:c r="L1332" t="str">
        <x:v>Vigente</x:v>
      </x:c>
      <x:c r="M1332" t="n">
        <x:v>1665618.17</x:v>
      </x:c>
      <x:c r="N1332"/>
    </x:row>
    <x:row r="1333">
      <x:c r="A1333" t="str">
        <x:v>DEU-001332</x:v>
      </x:c>
      <x:c r="B1333" t="str">
        <x:v>USR-00693</x:v>
      </x:c>
      <x:c r="C1333" t="n">
        <x:v>46082</x:v>
      </x:c>
      <x:c r="D1333" t="str">
        <x:v>Financiera D</x:v>
      </x:c>
      <x:c r="E1333" t="str">
        <x:v>Crédito educativo</x:v>
      </x:c>
      <x:c r="F1333" t="n">
        <x:v>14900000</x:v>
      </x:c>
      <x:c r="G1333" s="40" t="n">
        <x:v>0.1568</x:v>
      </x:c>
      <x:c r="H1333" s="40" t="n">
        <x:v>0.012212</x:v>
      </x:c>
      <x:c r="I1333" t="n">
        <x:v>48</x:v>
      </x:c>
      <x:c r="J1333" t="n">
        <x:v>412100</x:v>
      </x:c>
      <x:c r="K1333" t="str">
        <x:v>Avalancha</x:v>
      </x:c>
      <x:c r="L1333" t="str">
        <x:v>Vigente</x:v>
      </x:c>
      <x:c r="M1333" t="n">
        <x:v>14396509.87</x:v>
      </x:c>
      <x:c r="N1333"/>
    </x:row>
    <x:row r="1334">
      <x:c r="A1334" t="str">
        <x:v>DEU-001333</x:v>
      </x:c>
      <x:c r="B1334" t="str">
        <x:v>USR-00694</x:v>
      </x:c>
      <x:c r="C1334" t="n">
        <x:v>46082</x:v>
      </x:c>
      <x:c r="D1334" t="str">
        <x:v>Entidad financiera E</x:v>
      </x:c>
      <x:c r="E1334" t="str">
        <x:v>Crédito educativo</x:v>
      </x:c>
      <x:c r="F1334" t="n">
        <x:v>10440000</x:v>
      </x:c>
      <x:c r="G1334" s="40" t="n">
        <x:v>0.1561</x:v>
      </x:c>
      <x:c r="H1334" s="40" t="n">
        <x:v>0.012161</x:v>
      </x:c>
      <x:c r="I1334" t="n">
        <x:v>30</x:v>
      </x:c>
      <x:c r="J1334" t="n">
        <x:v>417400</x:v>
      </x:c>
      <x:c r="K1334" t="str">
        <x:v>Bola de nieve</x:v>
      </x:c>
      <x:c r="L1334" t="str">
        <x:v>Vigente</x:v>
      </x:c>
      <x:c r="M1334" t="n">
        <x:v>9060834.8</x:v>
      </x:c>
      <x:c r="N1334"/>
    </x:row>
    <x:row r="1335">
      <x:c r="A1335" t="str">
        <x:v>DEU-001334</x:v>
      </x:c>
      <x:c r="B1335" t="str">
        <x:v>USR-00695</x:v>
      </x:c>
      <x:c r="C1335" t="n">
        <x:v>46082</x:v>
      </x:c>
      <x:c r="D1335" t="str">
        <x:v>Entidad financiera A</x:v>
      </x:c>
      <x:c r="E1335" t="str">
        <x:v>Crédito de consumo</x:v>
      </x:c>
      <x:c r="F1335" t="n">
        <x:v>5100000</x:v>
      </x:c>
      <x:c r="G1335" s="40" t="n">
        <x:v>0.2089</x:v>
      </x:c>
      <x:c r="H1335" s="40" t="n">
        <x:v>0.015935</x:v>
      </x:c>
      <x:c r="I1335" t="n">
        <x:v>30</x:v>
      </x:c>
      <x:c r="J1335" t="n">
        <x:v>215200</x:v>
      </x:c>
      <x:c r="K1335" t="str">
        <x:v>Bola de nieve</x:v>
      </x:c>
      <x:c r="L1335" t="str">
        <x:v>Vigente</x:v>
      </x:c>
      <x:c r="M1335" t="n">
        <x:v>4686697.4</x:v>
      </x:c>
      <x:c r="N1335"/>
    </x:row>
    <x:row r="1336">
      <x:c r="A1336" t="str">
        <x:v>DEU-001335</x:v>
      </x:c>
      <x:c r="B1336" t="str">
        <x:v>USR-00696</x:v>
      </x:c>
      <x:c r="C1336" t="n">
        <x:v>46082</x:v>
      </x:c>
      <x:c r="D1336" t="str">
        <x:v>Financiera D</x:v>
      </x:c>
      <x:c r="E1336" t="str">
        <x:v>Crédito educativo</x:v>
      </x:c>
      <x:c r="F1336" t="n">
        <x:v>17870000</x:v>
      </x:c>
      <x:c r="G1336" s="40" t="n">
        <x:v>0.1252</x:v>
      </x:c>
      <x:c r="H1336" s="40" t="n">
        <x:v>0.009879</x:v>
      </x:c>
      <x:c r="I1336" t="n">
        <x:v>36</x:v>
      </x:c>
      <x:c r="J1336" t="n">
        <x:v>592300</x:v>
      </x:c>
      <x:c r="K1336" t="str">
        <x:v>Bola de nieve</x:v>
      </x:c>
      <x:c r="L1336" t="str">
        <x:v>Vigente</x:v>
      </x:c>
      <x:c r="M1336" t="n">
        <x:v>16388931.79</x:v>
      </x:c>
      <x:c r="N1336"/>
    </x:row>
    <x:row r="1337">
      <x:c r="A1337" t="str">
        <x:v>DEU-001336</x:v>
      </x:c>
      <x:c r="B1337" t="str">
        <x:v>USR-00011</x:v>
      </x:c>
      <x:c r="C1337" t="n">
        <x:v>46113</x:v>
      </x:c>
      <x:c r="D1337" t="str">
        <x:v>Cooperativa C</x:v>
      </x:c>
      <x:c r="E1337" t="str">
        <x:v>Crédito educativo</x:v>
      </x:c>
      <x:c r="F1337" t="n">
        <x:v>26820000</x:v>
      </x:c>
      <x:c r="G1337" s="40" t="n">
        <x:v>0.1598</x:v>
      </x:c>
      <x:c r="H1337" s="40" t="n">
        <x:v>0.012431</x:v>
      </x:c>
      <x:c r="I1337" t="n">
        <x:v>48</x:v>
      </x:c>
      <x:c r="J1337" t="n">
        <x:v>745300</x:v>
      </x:c>
      <x:c r="K1337" t="str">
        <x:v>Bola de nieve</x:v>
      </x:c>
      <x:c r="L1337" t="str">
        <x:v>Vigente</x:v>
      </x:c>
      <x:c r="M1337" t="n">
        <x:v>25848193.27</x:v>
      </x:c>
      <x:c r="N1337"/>
    </x:row>
    <x:row r="1338">
      <x:c r="A1338" t="str">
        <x:v>DEU-001337</x:v>
      </x:c>
      <x:c r="B1338" t="str">
        <x:v>USR-00035</x:v>
      </x:c>
      <x:c r="C1338" t="n">
        <x:v>46113</x:v>
      </x:c>
      <x:c r="D1338" t="str">
        <x:v>Entidad financiera E</x:v>
      </x:c>
      <x:c r="E1338" t="str">
        <x:v>Crédito de consumo</x:v>
      </x:c>
      <x:c r="F1338" t="n">
        <x:v>6140000</x:v>
      </x:c>
      <x:c r="G1338" s="40" t="n">
        <x:v>0.2537</x:v>
      </x:c>
      <x:c r="H1338" s="40" t="n">
        <x:v>0.01902</x:v>
      </x:c>
      <x:c r="I1338" t="n">
        <x:v>60</x:v>
      </x:c>
      <x:c r="J1338" t="n">
        <x:v>172500</x:v>
      </x:c>
      <x:c r="K1338" t="str">
        <x:v>Bola de nieve</x:v>
      </x:c>
      <x:c r="L1338" t="str">
        <x:v>Vigente</x:v>
      </x:c>
      <x:c r="M1338" t="n">
        <x:v>5967476.03</x:v>
      </x:c>
      <x:c r="N1338"/>
    </x:row>
    <x:row r="1339">
      <x:c r="A1339" t="str">
        <x:v>DEU-001338</x:v>
      </x:c>
      <x:c r="B1339" t="str">
        <x:v>USR-00076</x:v>
      </x:c>
      <x:c r="C1339" t="n">
        <x:v>46113</x:v>
      </x:c>
      <x:c r="D1339" t="str">
        <x:v>Entidad financiera A</x:v>
      </x:c>
      <x:c r="E1339" t="str">
        <x:v>Crédito de consumo</x:v>
      </x:c>
      <x:c r="F1339" t="n">
        <x:v>1860000</x:v>
      </x:c>
      <x:c r="G1339" s="40" t="n">
        <x:v>0.1687</x:v>
      </x:c>
      <x:c r="H1339" s="40" t="n">
        <x:v>0.013076</x:v>
      </x:c>
      <x:c r="I1339" t="n">
        <x:v>48</x:v>
      </x:c>
      <x:c r="J1339" t="n">
        <x:v>52400</x:v>
      </x:c>
      <x:c r="K1339" t="str">
        <x:v>Bola de nieve</x:v>
      </x:c>
      <x:c r="L1339" t="str">
        <x:v>Vigente</x:v>
      </x:c>
      <x:c r="M1339" t="n">
        <x:v>1691628.07</x:v>
      </x:c>
      <x:c r="N1339"/>
    </x:row>
    <x:row r="1340">
      <x:c r="A1340" t="str">
        <x:v>DEU-001339</x:v>
      </x:c>
      <x:c r="B1340" t="str">
        <x:v>USR-00254</x:v>
      </x:c>
      <x:c r="C1340" t="n">
        <x:v>46113</x:v>
      </x:c>
      <x:c r="D1340" t="str">
        <x:v>Financiera D</x:v>
      </x:c>
      <x:c r="E1340" t="str">
        <x:v>Crédito de vehículo</x:v>
      </x:c>
      <x:c r="F1340" t="n">
        <x:v>33420000</x:v>
      </x:c>
      <x:c r="G1340" s="40" t="n">
        <x:v>0.1255</x:v>
      </x:c>
      <x:c r="H1340" s="40" t="n">
        <x:v>0.009901</x:v>
      </x:c>
      <x:c r="I1340" t="n">
        <x:v>48</x:v>
      </x:c>
      <x:c r="J1340" t="n">
        <x:v>878100</x:v>
      </x:c>
      <x:c r="K1340" t="str">
        <x:v>Bola de nieve</x:v>
      </x:c>
      <x:c r="L1340" t="str">
        <x:v>Vigente</x:v>
      </x:c>
      <x:c r="M1340" t="n">
        <x:v>29026028.19</x:v>
      </x:c>
      <x:c r="N1340"/>
    </x:row>
    <x:row r="1341">
      <x:c r="A1341" t="str">
        <x:v>DEU-001340</x:v>
      </x:c>
      <x:c r="B1341" t="str">
        <x:v>USR-00311</x:v>
      </x:c>
      <x:c r="C1341" t="n">
        <x:v>46113</x:v>
      </x:c>
      <x:c r="D1341" t="str">
        <x:v>Entidad financiera E</x:v>
      </x:c>
      <x:c r="E1341" t="str">
        <x:v>Tarjeta de crédito</x:v>
      </x:c>
      <x:c r="F1341" t="n">
        <x:v>3540000</x:v>
      </x:c>
      <x:c r="G1341" s="40" t="n">
        <x:v>0.1991</x:v>
      </x:c>
      <x:c r="H1341" s="40" t="n">
        <x:v>0.015246</x:v>
      </x:c>
      <x:c r="I1341" t="n">
        <x:v>30</x:v>
      </x:c>
      <x:c r="J1341" t="n">
        <x:v>147900</x:v>
      </x:c>
      <x:c r="K1341" t="str">
        <x:v>Avalancha</x:v>
      </x:c>
      <x:c r="L1341" t="str">
        <x:v>Vigente</x:v>
      </x:c>
      <x:c r="M1341" t="n">
        <x:v>3367554.08</x:v>
      </x:c>
      <x:c r="N1341"/>
    </x:row>
    <x:row r="1342">
      <x:c r="A1342" t="str">
        <x:v>DEU-001341</x:v>
      </x:c>
      <x:c r="B1342" t="str">
        <x:v>USR-00363</x:v>
      </x:c>
      <x:c r="C1342" t="n">
        <x:v>46113</x:v>
      </x:c>
      <x:c r="D1342" t="str">
        <x:v>Entidad financiera E</x:v>
      </x:c>
      <x:c r="E1342" t="str">
        <x:v>Crédito de libre inversión</x:v>
      </x:c>
      <x:c r="F1342" t="n">
        <x:v>9300000</x:v>
      </x:c>
      <x:c r="G1342" s="40" t="n">
        <x:v>0.3005</x:v>
      </x:c>
      <x:c r="H1342" s="40" t="n">
        <x:v>0.022137</x:v>
      </x:c>
      <x:c r="I1342" t="n">
        <x:v>24</x:v>
      </x:c>
      <x:c r="J1342" t="n">
        <x:v>503700</x:v>
      </x:c>
      <x:c r="K1342" t="str">
        <x:v>Bola de nieve</x:v>
      </x:c>
      <x:c r="L1342" t="str">
        <x:v>Vigente</x:v>
      </x:c>
      <x:c r="M1342" t="n">
        <x:v>8713717.55</x:v>
      </x:c>
      <x:c r="N1342"/>
    </x:row>
    <x:row r="1343">
      <x:c r="A1343" t="str">
        <x:v>DEU-001342</x:v>
      </x:c>
      <x:c r="B1343" t="str">
        <x:v>USR-00384</x:v>
      </x:c>
      <x:c r="C1343" t="n">
        <x:v>46113</x:v>
      </x:c>
      <x:c r="D1343" t="str">
        <x:v>Entidad financiera E</x:v>
      </x:c>
      <x:c r="E1343" t="str">
        <x:v>Crédito de vehículo</x:v>
      </x:c>
      <x:c r="F1343" t="n">
        <x:v>48200000</x:v>
      </x:c>
      <x:c r="G1343" s="40" t="n">
        <x:v>0.1904</x:v>
      </x:c>
      <x:c r="H1343" s="40" t="n">
        <x:v>0.01463</x:v>
      </x:c>
      <x:c r="I1343" t="n">
        <x:v>36</x:v>
      </x:c>
      <x:c r="J1343" t="n">
        <x:v>1731800</x:v>
      </x:c>
      <x:c r="K1343" t="str">
        <x:v>Bola de nieve</x:v>
      </x:c>
      <x:c r="L1343" t="str">
        <x:v>Vigente</x:v>
      </x:c>
      <x:c r="M1343" t="n">
        <x:v>47631250.72</x:v>
      </x:c>
      <x:c r="N1343"/>
    </x:row>
    <x:row r="1344">
      <x:c r="A1344" t="str">
        <x:v>DEU-001343</x:v>
      </x:c>
      <x:c r="B1344" t="str">
        <x:v>USR-00475</x:v>
      </x:c>
      <x:c r="C1344" t="n">
        <x:v>46113</x:v>
      </x:c>
      <x:c r="D1344" t="str">
        <x:v>Entidad financiera E</x:v>
      </x:c>
      <x:c r="E1344" t="str">
        <x:v>Tarjeta de crédito</x:v>
      </x:c>
      <x:c r="F1344" t="n">
        <x:v>3240000</x:v>
      </x:c>
      <x:c r="G1344" s="40" t="n">
        <x:v>0.3388</x:v>
      </x:c>
      <x:c r="H1344" s="40" t="n">
        <x:v>0.024612</x:v>
      </x:c>
      <x:c r="I1344" t="n">
        <x:v>60</x:v>
      </x:c>
      <x:c r="J1344" t="n">
        <x:v>103900</x:v>
      </x:c>
      <x:c r="K1344" t="str">
        <x:v>Avalancha</x:v>
      </x:c>
      <x:c r="L1344" t="str">
        <x:v>Vigente</x:v>
      </x:c>
      <x:c r="M1344" t="n">
        <x:v>3118646.34</x:v>
      </x:c>
      <x:c r="N1344"/>
    </x:row>
    <x:row r="1345">
      <x:c r="A1345" t="str">
        <x:v>DEU-001344</x:v>
      </x:c>
      <x:c r="B1345" t="str">
        <x:v>USR-00490</x:v>
      </x:c>
      <x:c r="C1345" t="n">
        <x:v>46113</x:v>
      </x:c>
      <x:c r="D1345" t="str">
        <x:v>Entidad financiera E</x:v>
      </x:c>
      <x:c r="E1345" t="str">
        <x:v>Tarjeta de crédito</x:v>
      </x:c>
      <x:c r="F1345" t="n">
        <x:v>5160000</x:v>
      </x:c>
      <x:c r="G1345" s="40" t="n">
        <x:v>0.2646</x:v>
      </x:c>
      <x:c r="H1345" s="40" t="n">
        <x:v>0.019756</x:v>
      </x:c>
      <x:c r="I1345" t="n">
        <x:v>30</x:v>
      </x:c>
      <x:c r="J1345" t="n">
        <x:v>229600</x:v>
      </x:c>
      <x:c r="K1345" t="str">
        <x:v>Avalancha</x:v>
      </x:c>
      <x:c r="L1345" t="str">
        <x:v>Vigente</x:v>
      </x:c>
      <x:c r="M1345" t="n">
        <x:v>4328839.7</x:v>
      </x:c>
      <x:c r="N1345"/>
    </x:row>
    <x:row r="1346">
      <x:c r="A1346" t="str">
        <x:v>DEU-001345</x:v>
      </x:c>
      <x:c r="B1346" t="str">
        <x:v>USR-00502</x:v>
      </x:c>
      <x:c r="C1346" t="n">
        <x:v>46113</x:v>
      </x:c>
      <x:c r="D1346" t="str">
        <x:v>Cooperativa C</x:v>
      </x:c>
      <x:c r="E1346" t="str">
        <x:v>Tarjeta de crédito</x:v>
      </x:c>
      <x:c r="F1346" t="n">
        <x:v>4120000</x:v>
      </x:c>
      <x:c r="G1346" s="40" t="n">
        <x:v>0.1268</x:v>
      </x:c>
      <x:c r="H1346" s="40" t="n">
        <x:v>0.009998</x:v>
      </x:c>
      <x:c r="I1346" t="n">
        <x:v>48</x:v>
      </x:c>
      <x:c r="J1346" t="n">
        <x:v>108500</x:v>
      </x:c>
      <x:c r="K1346" t="str">
        <x:v>Avalancha</x:v>
      </x:c>
      <x:c r="L1346" t="str">
        <x:v>Vigente</x:v>
      </x:c>
      <x:c r="M1346" t="n">
        <x:v>3855337.1</x:v>
      </x:c>
      <x:c r="N1346"/>
    </x:row>
    <x:row r="1347">
      <x:c r="A1347" t="str">
        <x:v>DEU-001346</x:v>
      </x:c>
      <x:c r="B1347" t="str">
        <x:v>USR-00551</x:v>
      </x:c>
      <x:c r="C1347" t="n">
        <x:v>46113</x:v>
      </x:c>
      <x:c r="D1347" t="str">
        <x:v>Cooperativa C</x:v>
      </x:c>
      <x:c r="E1347" t="str">
        <x:v>Tarjeta de crédito</x:v>
      </x:c>
      <x:c r="F1347" t="n">
        <x:v>5520000</x:v>
      </x:c>
      <x:c r="G1347" s="40" t="n">
        <x:v>0.2388</x:v>
      </x:c>
      <x:c r="H1347" s="40" t="n">
        <x:v>0.018005</x:v>
      </x:c>
      <x:c r="I1347" t="n">
        <x:v>12</x:v>
      </x:c>
      <x:c r="J1347" t="n">
        <x:v>515600</x:v>
      </x:c>
      <x:c r="K1347" t="str">
        <x:v>Avalancha</x:v>
      </x:c>
      <x:c r="L1347" t="str">
        <x:v>Vigente</x:v>
      </x:c>
      <x:c r="M1347" t="n">
        <x:v>4565604.68</x:v>
      </x:c>
      <x:c r="N1347"/>
    </x:row>
    <x:row r="1348">
      <x:c r="A1348" t="str">
        <x:v>DEU-001347</x:v>
      </x:c>
      <x:c r="B1348" t="str">
        <x:v>USR-00592</x:v>
      </x:c>
      <x:c r="C1348" t="n">
        <x:v>46113</x:v>
      </x:c>
      <x:c r="D1348" t="str">
        <x:v>Entidad financiera E</x:v>
      </x:c>
      <x:c r="E1348" t="str">
        <x:v>Tarjeta de crédito</x:v>
      </x:c>
      <x:c r="F1348" t="n">
        <x:v>2930000</x:v>
      </x:c>
      <x:c r="G1348" s="40" t="n">
        <x:v>0.2894</x:v>
      </x:c>
      <x:c r="H1348" s="40" t="n">
        <x:v>0.021407</x:v>
      </x:c>
      <x:c r="I1348" t="n">
        <x:v>30</x:v>
      </x:c>
      <x:c r="J1348" t="n">
        <x:v>133400</x:v>
      </x:c>
      <x:c r="K1348" t="str">
        <x:v>Bola de nieve</x:v>
      </x:c>
      <x:c r="L1348" t="str">
        <x:v>Vigente</x:v>
      </x:c>
      <x:c r="M1348" t="n">
        <x:v>2738364.32</x:v>
      </x:c>
      <x:c r="N1348"/>
    </x:row>
    <x:row r="1349">
      <x:c r="A1349" t="str">
        <x:v>DEU-001348</x:v>
      </x:c>
      <x:c r="B1349" t="str">
        <x:v>USR-00646</x:v>
      </x:c>
      <x:c r="C1349" t="n">
        <x:v>46113</x:v>
      </x:c>
      <x:c r="D1349" t="str">
        <x:v>Cooperativa C</x:v>
      </x:c>
      <x:c r="E1349" t="str">
        <x:v>Crédito de consumo</x:v>
      </x:c>
      <x:c r="F1349" t="n">
        <x:v>7470000</x:v>
      </x:c>
      <x:c r="G1349" s="40" t="n">
        <x:v>0.1189</x:v>
      </x:c>
      <x:c r="H1349" s="40" t="n">
        <x:v>0.009406</x:v>
      </x:c>
      <x:c r="I1349" t="n">
        <x:v>30</x:v>
      </x:c>
      <x:c r="J1349" t="n">
        <x:v>286900</x:v>
      </x:c>
      <x:c r="K1349" t="str">
        <x:v>Avalancha</x:v>
      </x:c>
      <x:c r="L1349" t="str">
        <x:v>Vigente</x:v>
      </x:c>
      <x:c r="M1349" t="n">
        <x:v>6696092.22</x:v>
      </x:c>
      <x:c r="N1349"/>
    </x:row>
    <x:row r="1350">
      <x:c r="A1350" t="str">
        <x:v>DEU-001349</x:v>
      </x:c>
      <x:c r="B1350" t="str">
        <x:v>USR-00697</x:v>
      </x:c>
      <x:c r="C1350" t="n">
        <x:v>46113</x:v>
      </x:c>
      <x:c r="D1350" t="str">
        <x:v>Cooperativa C</x:v>
      </x:c>
      <x:c r="E1350" t="str">
        <x:v>Crédito de consumo</x:v>
      </x:c>
      <x:c r="F1350" t="n">
        <x:v>9460000</x:v>
      </x:c>
      <x:c r="G1350" s="40" t="n">
        <x:v>0.2334</x:v>
      </x:c>
      <x:c r="H1350" s="40" t="n">
        <x:v>0.017635</x:v>
      </x:c>
      <x:c r="I1350" t="n">
        <x:v>60</x:v>
      </x:c>
      <x:c r="J1350" t="n">
        <x:v>256800</x:v>
      </x:c>
      <x:c r="K1350" t="str">
        <x:v>Bola de nieve</x:v>
      </x:c>
      <x:c r="L1350" t="str">
        <x:v>Vigente</x:v>
      </x:c>
      <x:c r="M1350" t="n">
        <x:v>9255075.77</x:v>
      </x:c>
      <x:c r="N1350"/>
    </x:row>
    <x:row r="1351">
      <x:c r="A1351" t="str">
        <x:v>DEU-001350</x:v>
      </x:c>
      <x:c r="B1351" t="str">
        <x:v>USR-00698</x:v>
      </x:c>
      <x:c r="C1351" t="n">
        <x:v>46113</x:v>
      </x:c>
      <x:c r="D1351" t="str">
        <x:v>Cooperativa C</x:v>
      </x:c>
      <x:c r="E1351" t="str">
        <x:v>Crédito de consumo</x:v>
      </x:c>
      <x:c r="F1351" t="n">
        <x:v>15700000</x:v>
      </x:c>
      <x:c r="G1351" s="40" t="n">
        <x:v>0.3031</x:v>
      </x:c>
      <x:c r="H1351" s="40" t="n">
        <x:v>0.022307</x:v>
      </x:c>
      <x:c r="I1351" t="n">
        <x:v>48</x:v>
      </x:c>
      <x:c r="J1351" t="n">
        <x:v>536200</x:v>
      </x:c>
      <x:c r="K1351" t="str">
        <x:v>Avalancha</x:v>
      </x:c>
      <x:c r="L1351" t="str">
        <x:v>Vigente</x:v>
      </x:c>
      <x:c r="M1351" t="n">
        <x:v>14100171.5</x:v>
      </x:c>
      <x:c r="N1351"/>
    </x:row>
    <x:row r="1352">
      <x:c r="A1352" t="str">
        <x:v>DEU-001351</x:v>
      </x:c>
      <x:c r="B1352" t="str">
        <x:v>USR-00698</x:v>
      </x:c>
      <x:c r="C1352" t="n">
        <x:v>46113</x:v>
      </x:c>
      <x:c r="D1352" t="str">
        <x:v>Entidad financiera B</x:v>
      </x:c>
      <x:c r="E1352" t="str">
        <x:v>Crédito educativo</x:v>
      </x:c>
      <x:c r="F1352" t="n">
        <x:v>8820000</x:v>
      </x:c>
      <x:c r="G1352" s="40" t="n">
        <x:v>0.2412</x:v>
      </x:c>
      <x:c r="H1352" s="40" t="n">
        <x:v>0.01817</x:v>
      </x:c>
      <x:c r="I1352" t="n">
        <x:v>30</x:v>
      </x:c>
      <x:c r="J1352" t="n">
        <x:v>384000</x:v>
      </x:c>
      <x:c r="K1352" t="str">
        <x:v>Bola de nieve</x:v>
      </x:c>
      <x:c r="L1352" t="str">
        <x:v>Vigente</x:v>
      </x:c>
      <x:c r="M1352" t="n">
        <x:v>8716493.18</x:v>
      </x:c>
      <x:c r="N1352"/>
    </x:row>
    <x:row r="1353">
      <x:c r="A1353" t="str">
        <x:v>DEU-001352</x:v>
      </x:c>
      <x:c r="B1353" t="str">
        <x:v>USR-00699</x:v>
      </x:c>
      <x:c r="C1353" t="n">
        <x:v>46113</x:v>
      </x:c>
      <x:c r="D1353" t="str">
        <x:v>Entidad financiera A</x:v>
      </x:c>
      <x:c r="E1353" t="str">
        <x:v>Crédito de libre inversión</x:v>
      </x:c>
      <x:c r="F1353" t="n">
        <x:v>17640000</x:v>
      </x:c>
      <x:c r="G1353" s="40" t="n">
        <x:v>0.3124</x:v>
      </x:c>
      <x:c r="H1353" s="40" t="n">
        <x:v>0.022913</x:v>
      </x:c>
      <x:c r="I1353" t="n">
        <x:v>36</x:v>
      </x:c>
      <x:c r="J1353" t="n">
        <x:v>724900</x:v>
      </x:c>
      <x:c r="K1353" t="str">
        <x:v>Bola de nieve</x:v>
      </x:c>
      <x:c r="L1353" t="str">
        <x:v>Vigente</x:v>
      </x:c>
      <x:c r="M1353" t="n">
        <x:v>16311801.3</x:v>
      </x:c>
      <x:c r="N1353"/>
    </x:row>
    <x:row r="1354">
      <x:c r="A1354" t="str">
        <x:v>DEU-001353</x:v>
      </x:c>
      <x:c r="B1354" t="str">
        <x:v>USR-00699</x:v>
      </x:c>
      <x:c r="C1354" t="n">
        <x:v>46113</x:v>
      </x:c>
      <x:c r="D1354" t="str">
        <x:v>Cooperativa C</x:v>
      </x:c>
      <x:c r="E1354" t="str">
        <x:v>Crédito de vehículo</x:v>
      </x:c>
      <x:c r="F1354" t="n">
        <x:v>13700000</x:v>
      </x:c>
      <x:c r="G1354" s="40" t="n">
        <x:v>0.3007</x:v>
      </x:c>
      <x:c r="H1354" s="40" t="n">
        <x:v>0.02215</x:v>
      </x:c>
      <x:c r="I1354" t="n">
        <x:v>36</x:v>
      </x:c>
      <x:c r="J1354" t="n">
        <x:v>556200</x:v>
      </x:c>
      <x:c r="K1354" t="str">
        <x:v>Bola de nieve</x:v>
      </x:c>
      <x:c r="L1354" t="str">
        <x:v>Vigente</x:v>
      </x:c>
      <x:c r="M1354" t="n">
        <x:v>12446487.61</x:v>
      </x:c>
      <x:c r="N1354"/>
    </x:row>
    <x:row r="1355">
      <x:c r="A1355" t="str">
        <x:v>DEU-001354</x:v>
      </x:c>
      <x:c r="B1355" t="str">
        <x:v>USR-00699</x:v>
      </x:c>
      <x:c r="C1355" t="n">
        <x:v>46113</x:v>
      </x:c>
      <x:c r="D1355" t="str">
        <x:v>Financiera D</x:v>
      </x:c>
      <x:c r="E1355" t="str">
        <x:v>Tarjeta de crédito</x:v>
      </x:c>
      <x:c r="F1355" t="n">
        <x:v>8000000</x:v>
      </x:c>
      <x:c r="G1355" s="40" t="n">
        <x:v>0.2084</x:v>
      </x:c>
      <x:c r="H1355" s="40" t="n">
        <x:v>0.0159</x:v>
      </x:c>
      <x:c r="I1355" t="n">
        <x:v>60</x:v>
      </x:c>
      <x:c r="J1355" t="n">
        <x:v>207900</x:v>
      </x:c>
      <x:c r="K1355" t="str">
        <x:v>Bola de nieve</x:v>
      </x:c>
      <x:c r="L1355" t="str">
        <x:v>Vigente</x:v>
      </x:c>
      <x:c r="M1355" t="n">
        <x:v>8118584.35</x:v>
      </x:c>
      <x:c r="N1355"/>
    </x:row>
    <x:row r="1356">
      <x:c r="A1356" t="str">
        <x:v>DEU-001355</x:v>
      </x:c>
      <x:c r="B1356" t="str">
        <x:v>USR-00699</x:v>
      </x:c>
      <x:c r="C1356" t="n">
        <x:v>46113</x:v>
      </x:c>
      <x:c r="D1356" t="str">
        <x:v>Financiera D</x:v>
      </x:c>
      <x:c r="E1356" t="str">
        <x:v>Tarjeta de crédito</x:v>
      </x:c>
      <x:c r="F1356" t="n">
        <x:v>2280000</x:v>
      </x:c>
      <x:c r="G1356" s="40" t="n">
        <x:v>0.2307</x:v>
      </x:c>
      <x:c r="H1356" s="40" t="n">
        <x:v>0.017449</x:v>
      </x:c>
      <x:c r="I1356" t="n">
        <x:v>60</x:v>
      </x:c>
      <x:c r="J1356" t="n">
        <x:v>61600</x:v>
      </x:c>
      <x:c r="K1356" t="str">
        <x:v>Bola de nieve</x:v>
      </x:c>
      <x:c r="L1356" t="str">
        <x:v>Vigente</x:v>
      </x:c>
      <x:c r="M1356" t="n">
        <x:v>2262049.29</x:v>
      </x:c>
      <x:c r="N1356"/>
    </x:row>
    <x:row r="1357">
      <x:c r="A1357" t="str">
        <x:v>DEU-001356</x:v>
      </x:c>
      <x:c r="B1357" t="str">
        <x:v>USR-00700</x:v>
      </x:c>
      <x:c r="C1357" t="n">
        <x:v>46113</x:v>
      </x:c>
      <x:c r="D1357" t="str">
        <x:v>Entidad financiera E</x:v>
      </x:c>
      <x:c r="E1357" t="str">
        <x:v>Crédito de consumo</x:v>
      </x:c>
      <x:c r="F1357" t="n">
        <x:v>18820000</x:v>
      </x:c>
      <x:c r="G1357" s="40" t="n">
        <x:v>0.1737</x:v>
      </x:c>
      <x:c r="H1357" s="40" t="n">
        <x:v>0.013436</x:v>
      </x:c>
      <x:c r="I1357" t="n">
        <x:v>30</x:v>
      </x:c>
      <x:c r="J1357" t="n">
        <x:v>766400</x:v>
      </x:c>
      <x:c r="K1357" t="str">
        <x:v>Avalancha</x:v>
      </x:c>
      <x:c r="L1357" t="str">
        <x:v>Vigente</x:v>
      </x:c>
      <x:c r="M1357" t="n">
        <x:v>18148287.76</x:v>
      </x:c>
      <x:c r="N1357"/>
    </x:row>
    <x:row r="1358">
      <x:c r="A1358" t="str">
        <x:v>DEU-001357</x:v>
      </x:c>
      <x:c r="B1358" t="str">
        <x:v>USR-00700</x:v>
      </x:c>
      <x:c r="C1358" t="n">
        <x:v>46113</x:v>
      </x:c>
      <x:c r="D1358" t="str">
        <x:v>Entidad financiera E</x:v>
      </x:c>
      <x:c r="E1358" t="str">
        <x:v>Tarjeta de crédito</x:v>
      </x:c>
      <x:c r="F1358" t="n">
        <x:v>1290000</x:v>
      </x:c>
      <x:c r="G1358" s="40" t="n">
        <x:v>0.2311</x:v>
      </x:c>
      <x:c r="H1358" s="40" t="n">
        <x:v>0.017477</x:v>
      </x:c>
      <x:c r="I1358" t="n">
        <x:v>24</x:v>
      </x:c>
      <x:c r="J1358" t="n">
        <x:v>66300</x:v>
      </x:c>
      <x:c r="K1358" t="str">
        <x:v>Avalancha</x:v>
      </x:c>
      <x:c r="L1358" t="str">
        <x:v>Vigente</x:v>
      </x:c>
      <x:c r="M1358" t="n">
        <x:v>1115755.47</x:v>
      </x:c>
      <x:c r="N1358"/>
    </x:row>
    <x:row r="1359">
      <x:c r="A1359" t="str">
        <x:v>DEU-001358</x:v>
      </x:c>
      <x:c r="B1359" t="str">
        <x:v>USR-00701</x:v>
      </x:c>
      <x:c r="C1359" t="n">
        <x:v>46113</x:v>
      </x:c>
      <x:c r="D1359" t="str">
        <x:v>Financiera D</x:v>
      </x:c>
      <x:c r="E1359" t="str">
        <x:v>Crédito de libre inversión</x:v>
      </x:c>
      <x:c r="F1359" t="n">
        <x:v>6260000</x:v>
      </x:c>
      <x:c r="G1359" s="40" t="n">
        <x:v>0.2151</x:v>
      </x:c>
      <x:c r="H1359" s="40" t="n">
        <x:v>0.016368</x:v>
      </x:c>
      <x:c r="I1359" t="n">
        <x:v>48</x:v>
      </x:c>
      <x:c r="J1359" t="n">
        <x:v>189300</x:v>
      </x:c>
      <x:c r="K1359" t="str">
        <x:v>Avalancha</x:v>
      </x:c>
      <x:c r="L1359" t="str">
        <x:v>Vigente</x:v>
      </x:c>
      <x:c r="M1359" t="n">
        <x:v>6502947.38</x:v>
      </x:c>
      <x:c r="N1359"/>
    </x:row>
    <x:row r="1360">
      <x:c r="A1360" t="str">
        <x:v>DEU-001359</x:v>
      </x:c>
      <x:c r="B1360" t="str">
        <x:v>USR-00702</x:v>
      </x:c>
      <x:c r="C1360" t="n">
        <x:v>46113</x:v>
      </x:c>
      <x:c r="D1360" t="str">
        <x:v>Financiera D</x:v>
      </x:c>
      <x:c r="E1360" t="str">
        <x:v>Crédito de consumo</x:v>
      </x:c>
      <x:c r="F1360" t="n">
        <x:v>8500000</x:v>
      </x:c>
      <x:c r="G1360" s="40" t="n">
        <x:v>0.2779</x:v>
      </x:c>
      <x:c r="H1360" s="40" t="n">
        <x:v>0.020645</x:v>
      </x:c>
      <x:c r="I1360" t="n">
        <x:v>30</x:v>
      </x:c>
      <x:c r="J1360" t="n">
        <x:v>382900</x:v>
      </x:c>
      <x:c r="K1360" t="str">
        <x:v>Bola de nieve</x:v>
      </x:c>
      <x:c r="L1360" t="str">
        <x:v>Vigente</x:v>
      </x:c>
      <x:c r="M1360" t="n">
        <x:v>7839857.56</x:v>
      </x:c>
      <x:c r="N1360"/>
    </x:row>
    <x:row r="1361">
      <x:c r="A1361" t="str">
        <x:v>DEU-001360</x:v>
      </x:c>
      <x:c r="B1361" t="str">
        <x:v>USR-00702</x:v>
      </x:c>
      <x:c r="C1361" t="n">
        <x:v>46113</x:v>
      </x:c>
      <x:c r="D1361" t="str">
        <x:v>Cooperativa C</x:v>
      </x:c>
      <x:c r="E1361" t="str">
        <x:v>Crédito de vehículo</x:v>
      </x:c>
      <x:c r="F1361" t="n">
        <x:v>14740000</x:v>
      </x:c>
      <x:c r="G1361" s="40" t="n">
        <x:v>0.3417</x:v>
      </x:c>
      <x:c r="H1361" s="40" t="n">
        <x:v>0.024797</x:v>
      </x:c>
      <x:c r="I1361" t="n">
        <x:v>18</x:v>
      </x:c>
      <x:c r="J1361" t="n">
        <x:v>1025100</x:v>
      </x:c>
      <x:c r="K1361" t="str">
        <x:v>Avalancha</x:v>
      </x:c>
      <x:c r="L1361" t="str">
        <x:v>Vigente</x:v>
      </x:c>
      <x:c r="M1361" t="n">
        <x:v>13107353.32</x:v>
      </x:c>
      <x:c r="N1361"/>
    </x:row>
    <x:row r="1362">
      <x:c r="A1362" t="str">
        <x:v>DEU-001361</x:v>
      </x:c>
      <x:c r="B1362" t="str">
        <x:v>USR-00703</x:v>
      </x:c>
      <x:c r="C1362" t="n">
        <x:v>46113</x:v>
      </x:c>
      <x:c r="D1362" t="str">
        <x:v>Entidad financiera A</x:v>
      </x:c>
      <x:c r="E1362" t="str">
        <x:v>Tarjeta de crédito</x:v>
      </x:c>
      <x:c r="F1362" t="n">
        <x:v>5300000</x:v>
      </x:c>
      <x:c r="G1362" s="40" t="n">
        <x:v>0.3155</x:v>
      </x:c>
      <x:c r="H1362" s="40" t="n">
        <x:v>0.023114</x:v>
      </x:c>
      <x:c r="I1362" t="n">
        <x:v>30</x:v>
      </x:c>
      <x:c r="J1362" t="n">
        <x:v>246900</x:v>
      </x:c>
      <x:c r="K1362" t="str">
        <x:v>Avalancha</x:v>
      </x:c>
      <x:c r="L1362" t="str">
        <x:v>Vigente</x:v>
      </x:c>
      <x:c r="M1362" t="n">
        <x:v>4429887.56</x:v>
      </x:c>
      <x:c r="N1362"/>
    </x:row>
    <x:row r="1363">
      <x:c r="A1363" t="str">
        <x:v>DEU-001362</x:v>
      </x:c>
      <x:c r="B1363" t="str">
        <x:v>USR-00704</x:v>
      </x:c>
      <x:c r="C1363" t="n">
        <x:v>46113</x:v>
      </x:c>
      <x:c r="D1363" t="str">
        <x:v>Cooperativa C</x:v>
      </x:c>
      <x:c r="E1363" t="str">
        <x:v>Tarjeta de crédito</x:v>
      </x:c>
      <x:c r="F1363" t="n">
        <x:v>4030000</x:v>
      </x:c>
      <x:c r="G1363" s="40" t="n">
        <x:v>0.1964</x:v>
      </x:c>
      <x:c r="H1363" s="40" t="n">
        <x:v>0.015055</x:v>
      </x:c>
      <x:c r="I1363" t="n">
        <x:v>30</x:v>
      </x:c>
      <x:c r="J1363" t="n">
        <x:v>167900</x:v>
      </x:c>
      <x:c r="K1363" t="str">
        <x:v>Avalancha</x:v>
      </x:c>
      <x:c r="L1363" t="str">
        <x:v>Vigente</x:v>
      </x:c>
      <x:c r="M1363" t="n">
        <x:v>3690554.21</x:v>
      </x:c>
      <x:c r="N1363"/>
    </x:row>
    <x:row r="1364">
      <x:c r="A1364" t="str">
        <x:v>DEU-001363</x:v>
      </x:c>
      <x:c r="B1364" t="str">
        <x:v>USR-00704</x:v>
      </x:c>
      <x:c r="C1364" t="n">
        <x:v>46113</x:v>
      </x:c>
      <x:c r="D1364" t="str">
        <x:v>Cooperativa C</x:v>
      </x:c>
      <x:c r="E1364" t="str">
        <x:v>Crédito de consumo</x:v>
      </x:c>
      <x:c r="F1364" t="n">
        <x:v>3100000</x:v>
      </x:c>
      <x:c r="G1364" s="40" t="n">
        <x:v>0.16</x:v>
      </x:c>
      <x:c r="H1364" s="40" t="n">
        <x:v>0.012445</x:v>
      </x:c>
      <x:c r="I1364" t="n">
        <x:v>30</x:v>
      </x:c>
      <x:c r="J1364" t="n">
        <x:v>124500</x:v>
      </x:c>
      <x:c r="K1364" t="str">
        <x:v>Avalancha</x:v>
      </x:c>
      <x:c r="L1364" t="str">
        <x:v>Vigente</x:v>
      </x:c>
      <x:c r="M1364" t="n">
        <x:v>2746402.18</x:v>
      </x:c>
      <x:c r="N1364"/>
    </x:row>
    <x:row r="1365">
      <x:c r="A1365" t="str">
        <x:v>DEU-001364</x:v>
      </x:c>
      <x:c r="B1365" t="str">
        <x:v>USR-00705</x:v>
      </x:c>
      <x:c r="C1365" t="n">
        <x:v>46113</x:v>
      </x:c>
      <x:c r="D1365" t="str">
        <x:v>Entidad financiera B</x:v>
      </x:c>
      <x:c r="E1365" t="str">
        <x:v>Tarjeta de crédito</x:v>
      </x:c>
      <x:c r="F1365" t="n">
        <x:v>2410000</x:v>
      </x:c>
      <x:c r="G1365" s="40" t="n">
        <x:v>0.1823</x:v>
      </x:c>
      <x:c r="H1365" s="40" t="n">
        <x:v>0.014053</x:v>
      </x:c>
      <x:c r="I1365" t="n">
        <x:v>60</x:v>
      </x:c>
      <x:c r="J1365" t="n">
        <x:v>59700</x:v>
      </x:c>
      <x:c r="K1365" t="str">
        <x:v>Avalancha</x:v>
      </x:c>
      <x:c r="L1365" t="str">
        <x:v>Vigente</x:v>
      </x:c>
      <x:c r="M1365" t="n">
        <x:v>2374632.2</x:v>
      </x:c>
      <x:c r="N1365"/>
    </x:row>
    <x:row r="1366">
      <x:c r="A1366" t="str">
        <x:v>DEU-001365</x:v>
      </x:c>
      <x:c r="B1366" t="str">
        <x:v>USR-00706</x:v>
      </x:c>
      <x:c r="C1366" t="n">
        <x:v>46113</x:v>
      </x:c>
      <x:c r="D1366" t="str">
        <x:v>Entidad financiera E</x:v>
      </x:c>
      <x:c r="E1366" t="str">
        <x:v>Crédito de consumo</x:v>
      </x:c>
      <x:c r="F1366" t="n">
        <x:v>9800000</x:v>
      </x:c>
      <x:c r="G1366" s="40" t="n">
        <x:v>0.2648</x:v>
      </x:c>
      <x:c r="H1366" s="40" t="n">
        <x:v>0.019769</x:v>
      </x:c>
      <x:c r="I1366" t="n">
        <x:v>18</x:v>
      </x:c>
      <x:c r="J1366" t="n">
        <x:v>652400</x:v>
      </x:c>
      <x:c r="K1366" t="str">
        <x:v>Bola de nieve</x:v>
      </x:c>
      <x:c r="L1366" t="str">
        <x:v>Vigente</x:v>
      </x:c>
      <x:c r="M1366" t="n">
        <x:v>8563476.73</x:v>
      </x:c>
      <x:c r="N1366"/>
    </x:row>
    <x:row r="1367">
      <x:c r="A1367" t="str">
        <x:v>DEU-001366</x:v>
      </x:c>
      <x:c r="B1367" t="str">
        <x:v>USR-00707</x:v>
      </x:c>
      <x:c r="C1367" t="n">
        <x:v>46113</x:v>
      </x:c>
      <x:c r="D1367" t="str">
        <x:v>Financiera D</x:v>
      </x:c>
      <x:c r="E1367" t="str">
        <x:v>Crédito de consumo</x:v>
      </x:c>
      <x:c r="F1367" t="n">
        <x:v>9850000</x:v>
      </x:c>
      <x:c r="G1367" s="40" t="n">
        <x:v>0.1545</x:v>
      </x:c>
      <x:c r="H1367" s="40" t="n">
        <x:v>0.012044</x:v>
      </x:c>
      <x:c r="I1367" t="n">
        <x:v>30</x:v>
      </x:c>
      <x:c r="J1367" t="n">
        <x:v>393200</x:v>
      </x:c>
      <x:c r="K1367" t="str">
        <x:v>Avalancha</x:v>
      </x:c>
      <x:c r="L1367" t="str">
        <x:v>Vigente</x:v>
      </x:c>
      <x:c r="M1367" t="n">
        <x:v>8566848.25</x:v>
      </x:c>
      <x:c r="N1367"/>
    </x:row>
    <x:row r="1368">
      <x:c r="A1368" t="str">
        <x:v>DEU-001367</x:v>
      </x:c>
      <x:c r="B1368" t="str">
        <x:v>USR-00708</x:v>
      </x:c>
      <x:c r="C1368" t="n">
        <x:v>46113</x:v>
      </x:c>
      <x:c r="D1368" t="str">
        <x:v>Entidad financiera B</x:v>
      </x:c>
      <x:c r="E1368" t="str">
        <x:v>Tarjeta de crédito</x:v>
      </x:c>
      <x:c r="F1368" t="n">
        <x:v>8160000</x:v>
      </x:c>
      <x:c r="G1368" s="40" t="n">
        <x:v>0.2716</x:v>
      </x:c>
      <x:c r="H1368" s="40" t="n">
        <x:v>0.020225</x:v>
      </x:c>
      <x:c r="I1368" t="n">
        <x:v>60</x:v>
      </x:c>
      <x:c r="J1368" t="n">
        <x:v>236000</x:v>
      </x:c>
      <x:c r="K1368" t="str">
        <x:v>Avalancha</x:v>
      </x:c>
      <x:c r="L1368" t="str">
        <x:v>Vigente</x:v>
      </x:c>
      <x:c r="M1368" t="n">
        <x:v>8325034.37</x:v>
      </x:c>
      <x:c r="N1368"/>
    </x:row>
    <x:row r="1369">
      <x:c r="A1369" t="str">
        <x:v>DEU-001368</x:v>
      </x:c>
      <x:c r="B1369" t="str">
        <x:v>USR-00709</x:v>
      </x:c>
      <x:c r="C1369" t="n">
        <x:v>46113</x:v>
      </x:c>
      <x:c r="D1369" t="str">
        <x:v>Entidad financiera A</x:v>
      </x:c>
      <x:c r="E1369" t="str">
        <x:v>Crédito de consumo</x:v>
      </x:c>
      <x:c r="F1369" t="n">
        <x:v>4070000</x:v>
      </x:c>
      <x:c r="G1369" s="40" t="n">
        <x:v>0.1623</x:v>
      </x:c>
      <x:c r="H1369" s="40" t="n">
        <x:v>0.012612</x:v>
      </x:c>
      <x:c r="I1369" t="n">
        <x:v>30</x:v>
      </x:c>
      <x:c r="J1369" t="n">
        <x:v>163800</x:v>
      </x:c>
      <x:c r="K1369" t="str">
        <x:v>Bola de nieve</x:v>
      </x:c>
      <x:c r="L1369" t="str">
        <x:v>Vigente</x:v>
      </x:c>
      <x:c r="M1369" t="n">
        <x:v>3550315.29</x:v>
      </x:c>
      <x:c r="N1369"/>
    </x:row>
    <x:row r="1370">
      <x:c r="A1370" t="str">
        <x:v>DEU-001369</x:v>
      </x:c>
      <x:c r="B1370" t="str">
        <x:v>USR-00710</x:v>
      </x:c>
      <x:c r="C1370" t="n">
        <x:v>46113</x:v>
      </x:c>
      <x:c r="D1370" t="str">
        <x:v>Entidad financiera E</x:v>
      </x:c>
      <x:c r="E1370" t="str">
        <x:v>Crédito de vehículo</x:v>
      </x:c>
      <x:c r="F1370" t="n">
        <x:v>35150000</x:v>
      </x:c>
      <x:c r="G1370" s="40" t="n">
        <x:v>0.2743</x:v>
      </x:c>
      <x:c r="H1370" s="40" t="n">
        <x:v>0.020405</x:v>
      </x:c>
      <x:c r="I1370" t="n">
        <x:v>30</x:v>
      </x:c>
      <x:c r="J1370" t="n">
        <x:v>1578200</x:v>
      </x:c>
      <x:c r="K1370" t="str">
        <x:v>Avalancha</x:v>
      </x:c>
      <x:c r="L1370" t="str">
        <x:v>Vigente</x:v>
      </x:c>
      <x:c r="M1370" t="n">
        <x:v>34927984.07</x:v>
      </x:c>
      <x:c r="N1370"/>
    </x:row>
    <x:row r="1371">
      <x:c r="A1371" t="str">
        <x:v>DEU-001370</x:v>
      </x:c>
      <x:c r="B1371" t="str">
        <x:v>USR-00710</x:v>
      </x:c>
      <x:c r="C1371" t="n">
        <x:v>46113</x:v>
      </x:c>
      <x:c r="D1371" t="str">
        <x:v>Cooperativa C</x:v>
      </x:c>
      <x:c r="E1371" t="str">
        <x:v>Crédito educativo</x:v>
      </x:c>
      <x:c r="F1371" t="n">
        <x:v>13060000</x:v>
      </x:c>
      <x:c r="G1371" s="40" t="n">
        <x:v>0.3312</x:v>
      </x:c>
      <x:c r="H1371" s="40" t="n">
        <x:v>0.024127</x:v>
      </x:c>
      <x:c r="I1371" t="n">
        <x:v>48</x:v>
      </x:c>
      <x:c r="J1371" t="n">
        <x:v>462300</x:v>
      </x:c>
      <x:c r="K1371" t="str">
        <x:v>Avalancha</x:v>
      </x:c>
      <x:c r="L1371" t="str">
        <x:v>Vigente</x:v>
      </x:c>
      <x:c r="M1371" t="n">
        <x:v>12717342.54</x:v>
      </x:c>
      <x:c r="N1371"/>
    </x:row>
    <x:row r="1372">
      <x:c r="A1372" t="str">
        <x:v>DEU-001371</x:v>
      </x:c>
      <x:c r="B1372" t="str">
        <x:v>USR-00711</x:v>
      </x:c>
      <x:c r="C1372" t="n">
        <x:v>46113</x:v>
      </x:c>
      <x:c r="D1372" t="str">
        <x:v>Entidad financiera E</x:v>
      </x:c>
      <x:c r="E1372" t="str">
        <x:v>Crédito de consumo</x:v>
      </x:c>
      <x:c r="F1372" t="n">
        <x:v>14750000</x:v>
      </x:c>
      <x:c r="G1372" s="40" t="n">
        <x:v>0.3069</x:v>
      </x:c>
      <x:c r="H1372" s="40" t="n">
        <x:v>0.022555</x:v>
      </x:c>
      <x:c r="I1372" t="n">
        <x:v>36</x:v>
      </x:c>
      <x:c r="J1372" t="n">
        <x:v>602700</x:v>
      </x:c>
      <x:c r="K1372" t="str">
        <x:v>Avalancha</x:v>
      </x:c>
      <x:c r="L1372" t="str">
        <x:v>Vigente</x:v>
      </x:c>
      <x:c r="M1372" t="n">
        <x:v>14798148.15</x:v>
      </x:c>
      <x:c r="N1372"/>
    </x:row>
    <x:row r="1373">
      <x:c r="A1373" t="str">
        <x:v>DEU-001372</x:v>
      </x:c>
      <x:c r="B1373" t="str">
        <x:v>USR-00712</x:v>
      </x:c>
      <x:c r="C1373" t="n">
        <x:v>46113</x:v>
      </x:c>
      <x:c r="D1373" t="str">
        <x:v>Entidad financiera A</x:v>
      </x:c>
      <x:c r="E1373" t="str">
        <x:v>Tarjeta de crédito</x:v>
      </x:c>
      <x:c r="F1373" t="n">
        <x:v>4810000</x:v>
      </x:c>
      <x:c r="G1373" s="40" t="n">
        <x:v>0.2765</x:v>
      </x:c>
      <x:c r="H1373" s="40" t="n">
        <x:v>0.020552</x:v>
      </x:c>
      <x:c r="I1373" t="n">
        <x:v>36</x:v>
      </x:c>
      <x:c r="J1373" t="n">
        <x:v>190400</x:v>
      </x:c>
      <x:c r="K1373" t="str">
        <x:v>Bola de nieve</x:v>
      </x:c>
      <x:c r="L1373" t="str">
        <x:v>Vigente</x:v>
      </x:c>
      <x:c r="M1373" t="n">
        <x:v>4280236.76</x:v>
      </x:c>
      <x:c r="N1373"/>
    </x:row>
    <x:row r="1374">
      <x:c r="A1374" t="str">
        <x:v>DEU-001373</x:v>
      </x:c>
      <x:c r="B1374" t="str">
        <x:v>USR-00713</x:v>
      </x:c>
      <x:c r="C1374" t="n">
        <x:v>46113</x:v>
      </x:c>
      <x:c r="D1374" t="str">
        <x:v>Entidad financiera E</x:v>
      </x:c>
      <x:c r="E1374" t="str">
        <x:v>Crédito de consumo</x:v>
      </x:c>
      <x:c r="F1374" t="n">
        <x:v>4290000</x:v>
      </x:c>
      <x:c r="G1374" s="40" t="n">
        <x:v>0.1746</x:v>
      </x:c>
      <x:c r="H1374" s="40" t="n">
        <x:v>0.013501</x:v>
      </x:c>
      <x:c r="I1374" t="n">
        <x:v>30</x:v>
      </x:c>
      <x:c r="J1374" t="n">
        <x:v>174900</x:v>
      </x:c>
      <x:c r="K1374" t="str">
        <x:v>Avalancha</x:v>
      </x:c>
      <x:c r="L1374" t="str">
        <x:v>Vigente</x:v>
      </x:c>
      <x:c r="M1374" t="n">
        <x:v>4112757.99</x:v>
      </x:c>
      <x:c r="N1374"/>
    </x:row>
    <x:row r="1375">
      <x:c r="A1375" t="str">
        <x:v>DEU-001374</x:v>
      </x:c>
      <x:c r="B1375" t="str">
        <x:v>USR-00714</x:v>
      </x:c>
      <x:c r="C1375" t="n">
        <x:v>46113</x:v>
      </x:c>
      <x:c r="D1375" t="str">
        <x:v>Entidad financiera E</x:v>
      </x:c>
      <x:c r="E1375" t="str">
        <x:v>Crédito de consumo</x:v>
      </x:c>
      <x:c r="F1375" t="n">
        <x:v>13240000</x:v>
      </x:c>
      <x:c r="G1375" s="40" t="n">
        <x:v>0.3007</x:v>
      </x:c>
      <x:c r="H1375" s="40" t="n">
        <x:v>0.02215</x:v>
      </x:c>
      <x:c r="I1375" t="n">
        <x:v>36</x:v>
      </x:c>
      <x:c r="J1375" t="n">
        <x:v>537500</x:v>
      </x:c>
      <x:c r="K1375" t="str">
        <x:v>Bola de nieve</x:v>
      </x:c>
      <x:c r="L1375" t="str">
        <x:v>Vigente</x:v>
      </x:c>
      <x:c r="M1375" t="n">
        <x:v>12320795.87</x:v>
      </x:c>
      <x:c r="N1375"/>
    </x:row>
    <x:row r="1376">
      <x:c r="A1376" t="str">
        <x:v>DEU-001375</x:v>
      </x:c>
      <x:c r="B1376" t="str">
        <x:v>USR-00714</x:v>
      </x:c>
      <x:c r="C1376" t="n">
        <x:v>46113</x:v>
      </x:c>
      <x:c r="D1376" t="str">
        <x:v>Entidad financiera E</x:v>
      </x:c>
      <x:c r="E1376" t="str">
        <x:v>Tarjeta de crédito</x:v>
      </x:c>
      <x:c r="F1376" t="n">
        <x:v>4270000</x:v>
      </x:c>
      <x:c r="G1376" s="40" t="n">
        <x:v>0.187</x:v>
      </x:c>
      <x:c r="H1376" s="40" t="n">
        <x:v>0.014388</x:v>
      </x:c>
      <x:c r="I1376" t="n">
        <x:v>36</x:v>
      </x:c>
      <x:c r="J1376" t="n">
        <x:v>152800</x:v>
      </x:c>
      <x:c r="K1376" t="str">
        <x:v>Avalancha</x:v>
      </x:c>
      <x:c r="L1376" t="str">
        <x:v>Vigente</x:v>
      </x:c>
      <x:c r="M1376" t="n">
        <x:v>3843104.99</x:v>
      </x:c>
      <x:c r="N1376"/>
    </x:row>
    <x:row r="1377">
      <x:c r="A1377" t="str">
        <x:v>DEU-001376</x:v>
      </x:c>
      <x:c r="B1377" t="str">
        <x:v>USR-00714</x:v>
      </x:c>
      <x:c r="C1377" t="n">
        <x:v>46113</x:v>
      </x:c>
      <x:c r="D1377" t="str">
        <x:v>Cooperativa C</x:v>
      </x:c>
      <x:c r="E1377" t="str">
        <x:v>Tarjeta de crédito</x:v>
      </x:c>
      <x:c r="F1377" t="n">
        <x:v>8440000</x:v>
      </x:c>
      <x:c r="G1377" s="40" t="n">
        <x:v>0.3074</x:v>
      </x:c>
      <x:c r="H1377" s="40" t="n">
        <x:v>0.022588</x:v>
      </x:c>
      <x:c r="I1377" t="n">
        <x:v>12</x:v>
      </x:c>
      <x:c r="J1377" t="n">
        <x:v>810800</x:v>
      </x:c>
      <x:c r="K1377" t="str">
        <x:v>Bola de nieve</x:v>
      </x:c>
      <x:c r="L1377" t="str">
        <x:v>Vigente</x:v>
      </x:c>
      <x:c r="M1377" t="n">
        <x:v>4380899.65</x:v>
      </x:c>
      <x:c r="N1377"/>
    </x:row>
    <x:row r="1378">
      <x:c r="A1378" t="str">
        <x:v>DEU-001377</x:v>
      </x:c>
      <x:c r="B1378" t="str">
        <x:v>USR-00715</x:v>
      </x:c>
      <x:c r="C1378" t="n">
        <x:v>46113</x:v>
      </x:c>
      <x:c r="D1378" t="str">
        <x:v>Cooperativa C</x:v>
      </x:c>
      <x:c r="E1378" t="str">
        <x:v>Crédito de consumo</x:v>
      </x:c>
      <x:c r="F1378" t="n">
        <x:v>6710000</x:v>
      </x:c>
      <x:c r="G1378" s="40" t="n">
        <x:v>0.2979</x:v>
      </x:c>
      <x:c r="H1378" s="40" t="n">
        <x:v>0.021967</x:v>
      </x:c>
      <x:c r="I1378" t="n">
        <x:v>18</x:v>
      </x:c>
      <x:c r="J1378" t="n">
        <x:v>455300</x:v>
      </x:c>
      <x:c r="K1378" t="str">
        <x:v>Avalancha</x:v>
      </x:c>
      <x:c r="L1378" t="str">
        <x:v>Vigente</x:v>
      </x:c>
      <x:c r="M1378" t="n">
        <x:v>5163828.58</x:v>
      </x:c>
      <x:c r="N1378"/>
    </x:row>
    <x:row r="1379">
      <x:c r="A1379" t="str">
        <x:v>DEU-001378</x:v>
      </x:c>
      <x:c r="B1379" t="str">
        <x:v>USR-00715</x:v>
      </x:c>
      <x:c r="C1379" t="n">
        <x:v>46113</x:v>
      </x:c>
      <x:c r="D1379" t="str">
        <x:v>Cooperativa C</x:v>
      </x:c>
      <x:c r="E1379" t="str">
        <x:v>Crédito comercial</x:v>
      </x:c>
      <x:c r="F1379" t="n">
        <x:v>24860000</x:v>
      </x:c>
      <x:c r="G1379" s="40" t="n">
        <x:v>0.3014</x:v>
      </x:c>
      <x:c r="H1379" s="40" t="n">
        <x:v>0.022196</x:v>
      </x:c>
      <x:c r="I1379" t="n">
        <x:v>60</x:v>
      </x:c>
      <x:c r="J1379" t="n">
        <x:v>753700</x:v>
      </x:c>
      <x:c r="K1379" t="str">
        <x:v>Avalancha</x:v>
      </x:c>
      <x:c r="L1379" t="str">
        <x:v>Vigente</x:v>
      </x:c>
      <x:c r="M1379" t="n">
        <x:v>23907455.36</x:v>
      </x:c>
      <x:c r="N1379"/>
    </x:row>
    <x:row r="1380">
      <x:c r="A1380" t="str">
        <x:v>DEU-001379</x:v>
      </x:c>
      <x:c r="B1380" t="str">
        <x:v>USR-00716</x:v>
      </x:c>
      <x:c r="C1380" t="n">
        <x:v>46113</x:v>
      </x:c>
      <x:c r="D1380" t="str">
        <x:v>Entidad financiera A</x:v>
      </x:c>
      <x:c r="E1380" t="str">
        <x:v>Tarjeta de crédito</x:v>
      </x:c>
      <x:c r="F1380" t="n">
        <x:v>5730000</x:v>
      </x:c>
      <x:c r="G1380" s="40" t="n">
        <x:v>0.3106</x:v>
      </x:c>
      <x:c r="H1380" s="40" t="n">
        <x:v>0.022796</x:v>
      </x:c>
      <x:c r="I1380" t="n">
        <x:v>30</x:v>
      </x:c>
      <x:c r="J1380" t="n">
        <x:v>265800</x:v>
      </x:c>
      <x:c r="K1380" t="str">
        <x:v>Avalancha</x:v>
      </x:c>
      <x:c r="L1380" t="str">
        <x:v>Vigente</x:v>
      </x:c>
      <x:c r="M1380" t="n">
        <x:v>5070277.95</x:v>
      </x:c>
      <x:c r="N1380"/>
    </x:row>
    <x:row r="1381">
      <x:c r="A1381" t="str">
        <x:v>DEU-001380</x:v>
      </x:c>
      <x:c r="B1381" t="str">
        <x:v>USR-00717</x:v>
      </x:c>
      <x:c r="C1381" t="n">
        <x:v>46113</x:v>
      </x:c>
      <x:c r="D1381" t="str">
        <x:v>Cooperativa C</x:v>
      </x:c>
      <x:c r="E1381" t="str">
        <x:v>Crédito comercial</x:v>
      </x:c>
      <x:c r="F1381" t="n">
        <x:v>23480000</x:v>
      </x:c>
      <x:c r="G1381" s="40" t="n">
        <x:v>0.1524</x:v>
      </x:c>
      <x:c r="H1381" s="40" t="n">
        <x:v>0.011891</x:v>
      </x:c>
      <x:c r="I1381" t="n">
        <x:v>12</x:v>
      </x:c>
      <x:c r="J1381" t="n">
        <x:v>2111200</x:v>
      </x:c>
      <x:c r="K1381" t="str">
        <x:v>Avalancha</x:v>
      </x:c>
      <x:c r="L1381" t="str">
        <x:v>Vigente</x:v>
      </x:c>
      <x:c r="M1381" t="n">
        <x:v>16118605.17</x:v>
      </x:c>
      <x:c r="N1381"/>
    </x:row>
    <x:row r="1382">
      <x:c r="A1382" t="str">
        <x:v>DEU-001381</x:v>
      </x:c>
      <x:c r="B1382" t="str">
        <x:v>USR-00717</x:v>
      </x:c>
      <x:c r="C1382" t="n">
        <x:v>46113</x:v>
      </x:c>
      <x:c r="D1382" t="str">
        <x:v>Financiera D</x:v>
      </x:c>
      <x:c r="E1382" t="str">
        <x:v>Tarjeta de crédito</x:v>
      </x:c>
      <x:c r="F1382" t="n">
        <x:v>5420000</x:v>
      </x:c>
      <x:c r="G1382" s="40" t="n">
        <x:v>0.2404</x:v>
      </x:c>
      <x:c r="H1382" s="40" t="n">
        <x:v>0.018115</x:v>
      </x:c>
      <x:c r="I1382" t="n">
        <x:v>60</x:v>
      </x:c>
      <x:c r="J1382" t="n">
        <x:v>148900</x:v>
      </x:c>
      <x:c r="K1382" t="str">
        <x:v>Avalancha</x:v>
      </x:c>
      <x:c r="L1382" t="str">
        <x:v>Vigente</x:v>
      </x:c>
      <x:c r="M1382" t="n">
        <x:v>5256734.44</x:v>
      </x:c>
      <x:c r="N1382"/>
    </x:row>
    <x:row r="1383">
      <x:c r="A1383" t="str">
        <x:v>DEU-001382</x:v>
      </x:c>
      <x:c r="B1383" t="str">
        <x:v>USR-00718</x:v>
      </x:c>
      <x:c r="C1383" t="n">
        <x:v>46113</x:v>
      </x:c>
      <x:c r="D1383" t="str">
        <x:v>Entidad financiera E</x:v>
      </x:c>
      <x:c r="E1383" t="str">
        <x:v>Crédito de consumo</x:v>
      </x:c>
      <x:c r="F1383" t="n">
        <x:v>9450000</x:v>
      </x:c>
      <x:c r="G1383" s="40" t="n">
        <x:v>0.1229</x:v>
      </x:c>
      <x:c r="H1383" s="40" t="n">
        <x:v>0.009706</x:v>
      </x:c>
      <x:c r="I1383" t="n">
        <x:v>30</x:v>
      </x:c>
      <x:c r="J1383" t="n">
        <x:v>364600</x:v>
      </x:c>
      <x:c r="K1383" t="str">
        <x:v>Bola de nieve</x:v>
      </x:c>
      <x:c r="L1383" t="str">
        <x:v>Vigente</x:v>
      </x:c>
      <x:c r="M1383" t="n">
        <x:v>8064247.63</x:v>
      </x:c>
      <x:c r="N1383"/>
    </x:row>
    <x:row r="1384">
      <x:c r="A1384" t="str">
        <x:v>DEU-001383</x:v>
      </x:c>
      <x:c r="B1384" t="str">
        <x:v>USR-00718</x:v>
      </x:c>
      <x:c r="C1384" t="n">
        <x:v>46113</x:v>
      </x:c>
      <x:c r="D1384" t="str">
        <x:v>Financiera D</x:v>
      </x:c>
      <x:c r="E1384" t="str">
        <x:v>Crédito de vehículo</x:v>
      </x:c>
      <x:c r="F1384" t="n">
        <x:v>25650000</x:v>
      </x:c>
      <x:c r="G1384" s="40" t="n">
        <x:v>0.3102</x:v>
      </x:c>
      <x:c r="H1384" s="40" t="n">
        <x:v>0.02277</x:v>
      </x:c>
      <x:c r="I1384" t="n">
        <x:v>24</x:v>
      </x:c>
      <x:c r="J1384" t="n">
        <x:v>1399100</x:v>
      </x:c>
      <x:c r="K1384" t="str">
        <x:v>Avalancha</x:v>
      </x:c>
      <x:c r="L1384" t="str">
        <x:v>Vigente</x:v>
      </x:c>
      <x:c r="M1384" t="n">
        <x:v>23576868.23</x:v>
      </x:c>
      <x:c r="N1384"/>
    </x:row>
    <x:row r="1385">
      <x:c r="A1385" t="str">
        <x:v>DEU-001384</x:v>
      </x:c>
      <x:c r="B1385" t="str">
        <x:v>USR-00719</x:v>
      </x:c>
      <x:c r="C1385" t="n">
        <x:v>46113</x:v>
      </x:c>
      <x:c r="D1385" t="str">
        <x:v>Entidad financiera B</x:v>
      </x:c>
      <x:c r="E1385" t="str">
        <x:v>Tarjeta de crédito</x:v>
      </x:c>
      <x:c r="F1385" t="n">
        <x:v>3210000</x:v>
      </x:c>
      <x:c r="G1385" s="40" t="n">
        <x:v>0.1502</x:v>
      </x:c>
      <x:c r="H1385" s="40" t="n">
        <x:v>0.01173</x:v>
      </x:c>
      <x:c r="I1385" t="n">
        <x:v>12</x:v>
      </x:c>
      <x:c r="J1385" t="n">
        <x:v>288300</x:v>
      </x:c>
      <x:c r="K1385" t="str">
        <x:v>Avalancha</x:v>
      </x:c>
      <x:c r="L1385" t="str">
        <x:v>Vigente</x:v>
      </x:c>
      <x:c r="M1385" t="n">
        <x:v>2747913.98</x:v>
      </x:c>
      <x:c r="N1385"/>
    </x:row>
    <x:row r="1386">
      <x:c r="A1386" t="str">
        <x:v>DEU-001385</x:v>
      </x:c>
      <x:c r="B1386" t="str">
        <x:v>USR-00719</x:v>
      </x:c>
      <x:c r="C1386" t="n">
        <x:v>46113</x:v>
      </x:c>
      <x:c r="D1386" t="str">
        <x:v>Entidad financiera A</x:v>
      </x:c>
      <x:c r="E1386" t="str">
        <x:v>Crédito educativo</x:v>
      </x:c>
      <x:c r="F1386" t="n">
        <x:v>7490000</x:v>
      </x:c>
      <x:c r="G1386" s="40" t="n">
        <x:v>0.2456</x:v>
      </x:c>
      <x:c r="H1386" s="40" t="n">
        <x:v>0.01847</x:v>
      </x:c>
      <x:c r="I1386" t="n">
        <x:v>48</x:v>
      </x:c>
      <x:c r="J1386" t="n">
        <x:v>236600</x:v>
      </x:c>
      <x:c r="K1386" t="str">
        <x:v>Avalancha</x:v>
      </x:c>
      <x:c r="L1386" t="str">
        <x:v>Vigente</x:v>
      </x:c>
      <x:c r="M1386" t="n">
        <x:v>7344661.36</x:v>
      </x:c>
      <x:c r="N1386"/>
    </x:row>
    <x:row r="1387">
      <x:c r="A1387" t="str">
        <x:v>DEU-001386</x:v>
      </x:c>
      <x:c r="B1387" t="str">
        <x:v>USR-00720</x:v>
      </x:c>
      <x:c r="C1387" t="n">
        <x:v>46113</x:v>
      </x:c>
      <x:c r="D1387" t="str">
        <x:v>Financiera D</x:v>
      </x:c>
      <x:c r="E1387" t="str">
        <x:v>Crédito de consumo</x:v>
      </x:c>
      <x:c r="F1387" t="n">
        <x:v>4760000</x:v>
      </x:c>
      <x:c r="G1387" s="40" t="n">
        <x:v>0.2098</x:v>
      </x:c>
      <x:c r="H1387" s="40" t="n">
        <x:v>0.015998</x:v>
      </x:c>
      <x:c r="I1387" t="n">
        <x:v>24</x:v>
      </x:c>
      <x:c r="J1387" t="n">
        <x:v>240400</x:v>
      </x:c>
      <x:c r="K1387" t="str">
        <x:v>Bola de nieve</x:v>
      </x:c>
      <x:c r="L1387" t="str">
        <x:v>Vigente</x:v>
      </x:c>
      <x:c r="M1387" t="n">
        <x:v>3785486.19</x:v>
      </x:c>
      <x:c r="N1387"/>
    </x:row>
    <x:row r="1388">
      <x:c r="A1388" t="str">
        <x:v>DEU-001387</x:v>
      </x:c>
      <x:c r="B1388" t="str">
        <x:v>USR-00720</x:v>
      </x:c>
      <x:c r="C1388" t="n">
        <x:v>46113</x:v>
      </x:c>
      <x:c r="D1388" t="str">
        <x:v>Cooperativa C</x:v>
      </x:c>
      <x:c r="E1388" t="str">
        <x:v>Crédito de vehículo</x:v>
      </x:c>
      <x:c r="F1388" t="n">
        <x:v>27590000</x:v>
      </x:c>
      <x:c r="G1388" s="40" t="n">
        <x:v>0.2864</x:v>
      </x:c>
      <x:c r="H1388" s="40" t="n">
        <x:v>0.021209</x:v>
      </x:c>
      <x:c r="I1388" t="n">
        <x:v>24</x:v>
      </x:c>
      <x:c r="J1388" t="n">
        <x:v>1478800</x:v>
      </x:c>
      <x:c r="K1388" t="str">
        <x:v>Bola de nieve</x:v>
      </x:c>
      <x:c r="L1388" t="str">
        <x:v>Vigente</x:v>
      </x:c>
      <x:c r="M1388" t="n">
        <x:v>26906169.34</x:v>
      </x:c>
      <x:c r="N1388"/>
    </x:row>
    <x:row r="1389">
      <x:c r="A1389" t="str">
        <x:v>DEU-001388</x:v>
      </x:c>
      <x:c r="B1389" t="str">
        <x:v>USR-00720</x:v>
      </x:c>
      <x:c r="C1389" t="n">
        <x:v>46113</x:v>
      </x:c>
      <x:c r="D1389" t="str">
        <x:v>Cooperativa C</x:v>
      </x:c>
      <x:c r="E1389" t="str">
        <x:v>Crédito de vehículo</x:v>
      </x:c>
      <x:c r="F1389" t="n">
        <x:v>36630000</x:v>
      </x:c>
      <x:c r="G1389" s="40" t="n">
        <x:v>0.2707</x:v>
      </x:c>
      <x:c r="H1389" s="40" t="n">
        <x:v>0.020165</x:v>
      </x:c>
      <x:c r="I1389" t="n">
        <x:v>60</x:v>
      </x:c>
      <x:c r="J1389" t="n">
        <x:v>1058000</x:v>
      </x:c>
      <x:c r="K1389" t="str">
        <x:v>Avalancha</x:v>
      </x:c>
      <x:c r="L1389" t="str">
        <x:v>Vigente</x:v>
      </x:c>
      <x:c r="M1389" t="n">
        <x:v>36026725.21</x:v>
      </x:c>
      <x:c r="N1389"/>
    </x:row>
    <x:row r="1390">
      <x:c r="A1390" t="str">
        <x:v>DEU-001389</x:v>
      </x:c>
      <x:c r="B1390" t="str">
        <x:v>USR-00720</x:v>
      </x:c>
      <x:c r="C1390" t="n">
        <x:v>46113</x:v>
      </x:c>
      <x:c r="D1390" t="str">
        <x:v>Entidad financiera B</x:v>
      </x:c>
      <x:c r="E1390" t="str">
        <x:v>Crédito de consumo</x:v>
      </x:c>
      <x:c r="F1390" t="n">
        <x:v>7650000</x:v>
      </x:c>
      <x:c r="G1390" s="40" t="n">
        <x:v>0.2099</x:v>
      </x:c>
      <x:c r="H1390" s="40" t="n">
        <x:v>0.016005</x:v>
      </x:c>
      <x:c r="I1390" t="n">
        <x:v>60</x:v>
      </x:c>
      <x:c r="J1390" t="n">
        <x:v>199300</x:v>
      </x:c>
      <x:c r="K1390" t="str">
        <x:v>Bola de nieve</x:v>
      </x:c>
      <x:c r="L1390" t="str">
        <x:v>Vigente</x:v>
      </x:c>
      <x:c r="M1390" t="n">
        <x:v>7343199.99</x:v>
      </x:c>
      <x:c r="N1390"/>
    </x:row>
    <x:row r="1391">
      <x:c r="A1391" t="str">
        <x:v>DEU-001390</x:v>
      </x:c>
      <x:c r="B1391" t="str">
        <x:v>USR-00721</x:v>
      </x:c>
      <x:c r="C1391" t="n">
        <x:v>46113</x:v>
      </x:c>
      <x:c r="D1391" t="str">
        <x:v>Cooperativa C</x:v>
      </x:c>
      <x:c r="E1391" t="str">
        <x:v>Crédito de consumo</x:v>
      </x:c>
      <x:c r="F1391" t="n">
        <x:v>17030000</x:v>
      </x:c>
      <x:c r="G1391" s="40" t="n">
        <x:v>0.2242</x:v>
      </x:c>
      <x:c r="H1391" s="40" t="n">
        <x:v>0.017</x:v>
      </x:c>
      <x:c r="I1391" t="n">
        <x:v>12</x:v>
      </x:c>
      <x:c r="J1391" t="n">
        <x:v>1580800</x:v>
      </x:c>
      <x:c r="K1391" t="str">
        <x:v>Avalancha</x:v>
      </x:c>
      <x:c r="L1391" t="str">
        <x:v>Vigente</x:v>
      </x:c>
      <x:c r="M1391" t="n">
        <x:v>10363007.43</x:v>
      </x:c>
      <x:c r="N1391"/>
    </x:row>
    <x:row r="1392">
      <x:c r="A1392" t="str">
        <x:v>DEU-001391</x:v>
      </x:c>
      <x:c r="B1392" t="str">
        <x:v>USR-00722</x:v>
      </x:c>
      <x:c r="C1392" t="n">
        <x:v>46113</x:v>
      </x:c>
      <x:c r="D1392" t="str">
        <x:v>Entidad financiera A</x:v>
      </x:c>
      <x:c r="E1392" t="str">
        <x:v>Crédito de consumo</x:v>
      </x:c>
      <x:c r="F1392" t="n">
        <x:v>5530000</x:v>
      </x:c>
      <x:c r="G1392" s="40" t="n">
        <x:v>0.3243</x:v>
      </x:c>
      <x:c r="H1392" s="40" t="n">
        <x:v>0.023683</x:v>
      </x:c>
      <x:c r="I1392" t="n">
        <x:v>12</x:v>
      </x:c>
      <x:c r="J1392" t="n">
        <x:v>534800</x:v>
      </x:c>
      <x:c r="K1392" t="str">
        <x:v>Avalancha</x:v>
      </x:c>
      <x:c r="L1392" t="str">
        <x:v>Vigente</x:v>
      </x:c>
      <x:c r="M1392" t="n">
        <x:v>3813474.98</x:v>
      </x:c>
      <x:c r="N1392"/>
    </x:row>
    <x:row r="1393">
      <x:c r="A1393" t="str">
        <x:v>DEU-001392</x:v>
      </x:c>
      <x:c r="B1393" t="str">
        <x:v>USR-00722</x:v>
      </x:c>
      <x:c r="C1393" t="n">
        <x:v>46113</x:v>
      </x:c>
      <x:c r="D1393" t="str">
        <x:v>Cooperativa C</x:v>
      </x:c>
      <x:c r="E1393" t="str">
        <x:v>Crédito de consumo</x:v>
      </x:c>
      <x:c r="F1393" t="n">
        <x:v>12460000</x:v>
      </x:c>
      <x:c r="G1393" s="40" t="n">
        <x:v>0.1242</x:v>
      </x:c>
      <x:c r="H1393" s="40" t="n">
        <x:v>0.009804</x:v>
      </x:c>
      <x:c r="I1393" t="n">
        <x:v>48</x:v>
      </x:c>
      <x:c r="J1393" t="n">
        <x:v>326700</x:v>
      </x:c>
      <x:c r="K1393" t="str">
        <x:v>Bola de nieve</x:v>
      </x:c>
      <x:c r="L1393" t="str">
        <x:v>Vigente</x:v>
      </x:c>
      <x:c r="M1393" t="n">
        <x:v>11712621.39</x:v>
      </x:c>
      <x:c r="N1393"/>
    </x:row>
    <x:row r="1394">
      <x:c r="A1394" t="str">
        <x:v>DEU-001393</x:v>
      </x:c>
      <x:c r="B1394" t="str">
        <x:v>USR-00723</x:v>
      </x:c>
      <x:c r="C1394" t="n">
        <x:v>46113</x:v>
      </x:c>
      <x:c r="D1394" t="str">
        <x:v>Cooperativa C</x:v>
      </x:c>
      <x:c r="E1394" t="str">
        <x:v>Crédito de vehículo</x:v>
      </x:c>
      <x:c r="F1394" t="n">
        <x:v>49970000</x:v>
      </x:c>
      <x:c r="G1394" s="40" t="n">
        <x:v>0.1641</x:v>
      </x:c>
      <x:c r="H1394" s="40" t="n">
        <x:v>0.012743</x:v>
      </x:c>
      <x:c r="I1394" t="n">
        <x:v>18</x:v>
      </x:c>
      <x:c r="J1394" t="n">
        <x:v>3124200</x:v>
      </x:c>
      <x:c r="K1394" t="str">
        <x:v>Bola de nieve</x:v>
      </x:c>
      <x:c r="L1394" t="str">
        <x:v>Vigente</x:v>
      </x:c>
      <x:c r="M1394" t="n">
        <x:v>38098685.97</x:v>
      </x:c>
      <x:c r="N1394"/>
    </x:row>
    <x:row r="1395">
      <x:c r="A1395" t="str">
        <x:v>DEU-001394</x:v>
      </x:c>
      <x:c r="B1395" t="str">
        <x:v>USR-00724</x:v>
      </x:c>
      <x:c r="C1395" t="n">
        <x:v>46113</x:v>
      </x:c>
      <x:c r="D1395" t="str">
        <x:v>Entidad financiera B</x:v>
      </x:c>
      <x:c r="E1395" t="str">
        <x:v>Crédito de libre inversión</x:v>
      </x:c>
      <x:c r="F1395" t="n">
        <x:v>7960000</x:v>
      </x:c>
      <x:c r="G1395" s="40" t="n">
        <x:v>0.1646</x:v>
      </x:c>
      <x:c r="H1395" s="40" t="n">
        <x:v>0.012779</x:v>
      </x:c>
      <x:c r="I1395" t="n">
        <x:v>30</x:v>
      </x:c>
      <x:c r="J1395" t="n">
        <x:v>321100</x:v>
      </x:c>
      <x:c r="K1395" t="str">
        <x:v>Bola de nieve</x:v>
      </x:c>
      <x:c r="L1395" t="str">
        <x:v>Vigente</x:v>
      </x:c>
      <x:c r="M1395" t="n">
        <x:v>7349759.11</x:v>
      </x:c>
      <x:c r="N1395"/>
    </x:row>
    <x:row r="1396">
      <x:c r="A1396" t="str">
        <x:v>DEU-001395</x:v>
      </x:c>
      <x:c r="B1396" t="str">
        <x:v>USR-00724</x:v>
      </x:c>
      <x:c r="C1396" t="n">
        <x:v>46113</x:v>
      </x:c>
      <x:c r="D1396" t="str">
        <x:v>Financiera D</x:v>
      </x:c>
      <x:c r="E1396" t="str">
        <x:v>Tarjeta de crédito</x:v>
      </x:c>
      <x:c r="F1396" t="n">
        <x:v>8100000</x:v>
      </x:c>
      <x:c r="G1396" s="40" t="n">
        <x:v>0.2286</x:v>
      </x:c>
      <x:c r="H1396" s="40" t="n">
        <x:v>0.017304</x:v>
      </x:c>
      <x:c r="I1396" t="n">
        <x:v>12</x:v>
      </x:c>
      <x:c r="J1396" t="n">
        <x:v>753300</x:v>
      </x:c>
      <x:c r="K1396" t="str">
        <x:v>Avalancha</x:v>
      </x:c>
      <x:c r="L1396" t="str">
        <x:v>Vigente</x:v>
      </x:c>
      <x:c r="M1396" t="n">
        <x:v>5228065.55</x:v>
      </x:c>
      <x:c r="N1396"/>
    </x:row>
    <x:row r="1397">
      <x:c r="A1397" t="str">
        <x:v>DEU-001396</x:v>
      </x:c>
      <x:c r="B1397" t="str">
        <x:v>USR-00725</x:v>
      </x:c>
      <x:c r="C1397" t="n">
        <x:v>46113</x:v>
      </x:c>
      <x:c r="D1397" t="str">
        <x:v>Entidad financiera A</x:v>
      </x:c>
      <x:c r="E1397" t="str">
        <x:v>Crédito educativo</x:v>
      </x:c>
      <x:c r="F1397" t="n">
        <x:v>20960000</x:v>
      </x:c>
      <x:c r="G1397" s="40" t="n">
        <x:v>0.2345</x:v>
      </x:c>
      <x:c r="H1397" s="40" t="n">
        <x:v>0.017711</x:v>
      </x:c>
      <x:c r="I1397" t="n">
        <x:v>12</x:v>
      </x:c>
      <x:c r="J1397" t="n">
        <x:v>1954200</x:v>
      </x:c>
      <x:c r="K1397" t="str">
        <x:v>Avalancha</x:v>
      </x:c>
      <x:c r="L1397" t="str">
        <x:v>Vigente</x:v>
      </x:c>
      <x:c r="M1397" t="n">
        <x:v>13233136.87</x:v>
      </x:c>
      <x:c r="N1397"/>
    </x:row>
    <x:row r="1398">
      <x:c r="A1398" t="str">
        <x:v>DEU-001397</x:v>
      </x:c>
      <x:c r="B1398" t="str">
        <x:v>USR-00725</x:v>
      </x:c>
      <x:c r="C1398" t="n">
        <x:v>46113</x:v>
      </x:c>
      <x:c r="D1398" t="str">
        <x:v>Entidad financiera B</x:v>
      </x:c>
      <x:c r="E1398" t="str">
        <x:v>Crédito de libre inversión</x:v>
      </x:c>
      <x:c r="F1398" t="n">
        <x:v>21320000</x:v>
      </x:c>
      <x:c r="G1398" s="40" t="n">
        <x:v>0.1128</x:v>
      </x:c>
      <x:c r="H1398" s="40" t="n">
        <x:v>0.008946</x:v>
      </x:c>
      <x:c r="I1398" t="n">
        <x:v>30</x:v>
      </x:c>
      <x:c r="J1398" t="n">
        <x:v>813500</x:v>
      </x:c>
      <x:c r="K1398" t="str">
        <x:v>Bola de nieve</x:v>
      </x:c>
      <x:c r="L1398" t="str">
        <x:v>Vigente</x:v>
      </x:c>
      <x:c r="M1398" t="n">
        <x:v>19299121.95</x:v>
      </x:c>
      <x:c r="N1398"/>
    </x:row>
    <x:row r="1399">
      <x:c r="A1399" t="str">
        <x:v>DEU-001398</x:v>
      </x:c>
      <x:c r="B1399" t="str">
        <x:v>USR-00725</x:v>
      </x:c>
      <x:c r="C1399" t="n">
        <x:v>46113</x:v>
      </x:c>
      <x:c r="D1399" t="str">
        <x:v>Entidad financiera B</x:v>
      </x:c>
      <x:c r="E1399" t="str">
        <x:v>Crédito educativo</x:v>
      </x:c>
      <x:c r="F1399" t="n">
        <x:v>25370000</x:v>
      </x:c>
      <x:c r="G1399" s="40" t="n">
        <x:v>0.2886</x:v>
      </x:c>
      <x:c r="H1399" s="40" t="n">
        <x:v>0.021355</x:v>
      </x:c>
      <x:c r="I1399" t="n">
        <x:v>36</x:v>
      </x:c>
      <x:c r="J1399" t="n">
        <x:v>1017100</x:v>
      </x:c>
      <x:c r="K1399" t="str">
        <x:v>Avalancha</x:v>
      </x:c>
      <x:c r="L1399" t="str">
        <x:v>Vigente</x:v>
      </x:c>
      <x:c r="M1399" t="n">
        <x:v>26013009.84</x:v>
      </x:c>
      <x:c r="N1399"/>
    </x:row>
    <x:row r="1400">
      <x:c r="A1400" t="str">
        <x:v>DEU-001399</x:v>
      </x:c>
      <x:c r="B1400" t="str">
        <x:v>USR-00726</x:v>
      </x:c>
      <x:c r="C1400" t="n">
        <x:v>46113</x:v>
      </x:c>
      <x:c r="D1400" t="str">
        <x:v>Entidad financiera A</x:v>
      </x:c>
      <x:c r="E1400" t="str">
        <x:v>Tarjeta de crédito</x:v>
      </x:c>
      <x:c r="F1400" t="n">
        <x:v>5200000</x:v>
      </x:c>
      <x:c r="G1400" s="40" t="n">
        <x:v>0.2546</x:v>
      </x:c>
      <x:c r="H1400" s="40" t="n">
        <x:v>0.019081</x:v>
      </x:c>
      <x:c r="I1400" t="n">
        <x:v>60</x:v>
      </x:c>
      <x:c r="J1400" t="n">
        <x:v>146300</x:v>
      </x:c>
      <x:c r="K1400" t="str">
        <x:v>Avalancha</x:v>
      </x:c>
      <x:c r="L1400" t="str">
        <x:v>Vigente</x:v>
      </x:c>
      <x:c r="M1400" t="n">
        <x:v>4888491.33</x:v>
      </x:c>
      <x:c r="N1400"/>
    </x:row>
    <x:row r="1401">
      <x:c r="A1401" t="str">
        <x:v>DEU-001400</x:v>
      </x:c>
      <x:c r="B1401" t="str">
        <x:v>USR-00727</x:v>
      </x:c>
      <x:c r="C1401" t="n">
        <x:v>46113</x:v>
      </x:c>
      <x:c r="D1401" t="str">
        <x:v>Entidad financiera E</x:v>
      </x:c>
      <x:c r="E1401" t="str">
        <x:v>Tarjeta de crédito</x:v>
      </x:c>
      <x:c r="F1401" t="n">
        <x:v>3820000</x:v>
      </x:c>
      <x:c r="G1401" s="40" t="n">
        <x:v>0.1354</x:v>
      </x:c>
      <x:c r="H1401" s="40" t="n">
        <x:v>0.010638</x:v>
      </x:c>
      <x:c r="I1401" t="n">
        <x:v>18</x:v>
      </x:c>
      <x:c r="J1401" t="n">
        <x:v>234300</x:v>
      </x:c>
      <x:c r="K1401" t="str">
        <x:v>Avalancha</x:v>
      </x:c>
      <x:c r="L1401" t="str">
        <x:v>Vigente</x:v>
      </x:c>
      <x:c r="M1401" t="n">
        <x:v>2902230.89</x:v>
      </x:c>
      <x:c r="N1401"/>
    </x:row>
    <x:row r="1402">
      <x:c r="A1402" t="str">
        <x:v>DEU-001401</x:v>
      </x:c>
      <x:c r="B1402" t="str">
        <x:v>USR-00727</x:v>
      </x:c>
      <x:c r="C1402" t="n">
        <x:v>46113</x:v>
      </x:c>
      <x:c r="D1402" t="str">
        <x:v>Financiera D</x:v>
      </x:c>
      <x:c r="E1402" t="str">
        <x:v>Crédito de consumo</x:v>
      </x:c>
      <x:c r="F1402" t="n">
        <x:v>16840000</x:v>
      </x:c>
      <x:c r="G1402" s="40" t="n">
        <x:v>0.212</x:v>
      </x:c>
      <x:c r="H1402" s="40" t="n">
        <x:v>0.016152</x:v>
      </x:c>
      <x:c r="I1402" t="n">
        <x:v>30</x:v>
      </x:c>
      <x:c r="J1402" t="n">
        <x:v>712700</x:v>
      </x:c>
      <x:c r="K1402" t="str">
        <x:v>Avalancha</x:v>
      </x:c>
      <x:c r="L1402" t="str">
        <x:v>Vigente</x:v>
      </x:c>
      <x:c r="M1402" t="n">
        <x:v>15829898.21</x:v>
      </x:c>
      <x:c r="N1402"/>
    </x:row>
    <x:row r="1403">
      <x:c r="A1403" t="str">
        <x:v>DEU-001402</x:v>
      </x:c>
      <x:c r="B1403" t="str">
        <x:v>USR-00728</x:v>
      </x:c>
      <x:c r="C1403" t="n">
        <x:v>46113</x:v>
      </x:c>
      <x:c r="D1403" t="str">
        <x:v>Cooperativa C</x:v>
      </x:c>
      <x:c r="E1403" t="str">
        <x:v>Crédito de consumo</x:v>
      </x:c>
      <x:c r="F1403" t="n">
        <x:v>14260000</x:v>
      </x:c>
      <x:c r="G1403" s="40" t="n">
        <x:v>0.2852</x:v>
      </x:c>
      <x:c r="H1403" s="40" t="n">
        <x:v>0.02113</x:v>
      </x:c>
      <x:c r="I1403" t="n">
        <x:v>48</x:v>
      </x:c>
      <x:c r="J1403" t="n">
        <x:v>475700</x:v>
      </x:c>
      <x:c r="K1403" t="str">
        <x:v>Avalancha</x:v>
      </x:c>
      <x:c r="L1403" t="str">
        <x:v>Vigente</x:v>
      </x:c>
      <x:c r="M1403" t="n">
        <x:v>14715522.81</x:v>
      </x:c>
      <x:c r="N1403"/>
    </x:row>
    <x:row r="1404">
      <x:c r="A1404" t="str">
        <x:v>DEU-001403</x:v>
      </x:c>
      <x:c r="B1404" t="str">
        <x:v>USR-00728</x:v>
      </x:c>
      <x:c r="C1404" t="n">
        <x:v>46113</x:v>
      </x:c>
      <x:c r="D1404" t="str">
        <x:v>Financiera D</x:v>
      </x:c>
      <x:c r="E1404" t="str">
        <x:v>Tarjeta de crédito</x:v>
      </x:c>
      <x:c r="F1404" t="n">
        <x:v>700000</x:v>
      </x:c>
      <x:c r="G1404" s="40" t="n">
        <x:v>0.1698</x:v>
      </x:c>
      <x:c r="H1404" s="40" t="n">
        <x:v>0.013155</x:v>
      </x:c>
      <x:c r="I1404" t="n">
        <x:v>60</x:v>
      </x:c>
      <x:c r="J1404" t="n">
        <x:v>16900</x:v>
      </x:c>
      <x:c r="K1404" t="str">
        <x:v>Avalancha</x:v>
      </x:c>
      <x:c r="L1404" t="str">
        <x:v>Vigente</x:v>
      </x:c>
      <x:c r="M1404" t="n">
        <x:v>697903.33</x:v>
      </x:c>
      <x:c r="N1404"/>
    </x:row>
    <x:row r="1405">
      <x:c r="A1405" t="str">
        <x:v>DEU-001404</x:v>
      </x:c>
      <x:c r="B1405" t="str">
        <x:v>USR-00729</x:v>
      </x:c>
      <x:c r="C1405" t="n">
        <x:v>46113</x:v>
      </x:c>
      <x:c r="D1405" t="str">
        <x:v>Cooperativa C</x:v>
      </x:c>
      <x:c r="E1405" t="str">
        <x:v>Tarjeta de crédito</x:v>
      </x:c>
      <x:c r="F1405" t="n">
        <x:v>1300000</x:v>
      </x:c>
      <x:c r="G1405" s="40" t="n">
        <x:v>0.1603</x:v>
      </x:c>
      <x:c r="H1405" s="40" t="n">
        <x:v>0.012467</x:v>
      </x:c>
      <x:c r="I1405" t="n">
        <x:v>18</x:v>
      </x:c>
      <x:c r="J1405" t="n">
        <x:v>81100</x:v>
      </x:c>
      <x:c r="K1405" t="str">
        <x:v>Bola de nieve</x:v>
      </x:c>
      <x:c r="L1405" t="str">
        <x:v>Vigente</x:v>
      </x:c>
      <x:c r="M1405" t="n">
        <x:v>1014869</x:v>
      </x:c>
      <x:c r="N1405"/>
    </x:row>
    <x:row r="1406">
      <x:c r="A1406" t="str">
        <x:v>DEU-001405</x:v>
      </x:c>
      <x:c r="B1406" t="str">
        <x:v>USR-00730</x:v>
      </x:c>
      <x:c r="C1406" t="n">
        <x:v>46113</x:v>
      </x:c>
      <x:c r="D1406" t="str">
        <x:v>Entidad financiera E</x:v>
      </x:c>
      <x:c r="E1406" t="str">
        <x:v>Crédito comercial</x:v>
      </x:c>
      <x:c r="F1406" t="n">
        <x:v>12080000</x:v>
      </x:c>
      <x:c r="G1406" s="40" t="n">
        <x:v>0.2082</x:v>
      </x:c>
      <x:c r="H1406" s="40" t="n">
        <x:v>0.015886</x:v>
      </x:c>
      <x:c r="I1406" t="n">
        <x:v>30</x:v>
      </x:c>
      <x:c r="J1406" t="n">
        <x:v>509300</x:v>
      </x:c>
      <x:c r="K1406" t="str">
        <x:v>Avalancha</x:v>
      </x:c>
      <x:c r="L1406" t="str">
        <x:v>Vigente</x:v>
      </x:c>
      <x:c r="M1406" t="n">
        <x:v>11233779.75</x:v>
      </x:c>
      <x:c r="N1406"/>
    </x:row>
    <x:row r="1407">
      <x:c r="A1407" t="str">
        <x:v>DEU-001406</x:v>
      </x:c>
      <x:c r="B1407" t="str">
        <x:v>USR-00731</x:v>
      </x:c>
      <x:c r="C1407" t="n">
        <x:v>46113</x:v>
      </x:c>
      <x:c r="D1407" t="str">
        <x:v>Entidad financiera B</x:v>
      </x:c>
      <x:c r="E1407" t="str">
        <x:v>Crédito educativo</x:v>
      </x:c>
      <x:c r="F1407" t="n">
        <x:v>22040000</x:v>
      </x:c>
      <x:c r="G1407" s="40" t="n">
        <x:v>0.2632</x:v>
      </x:c>
      <x:c r="H1407" s="40" t="n">
        <x:v>0.019661</x:v>
      </x:c>
      <x:c r="I1407" t="n">
        <x:v>30</x:v>
      </x:c>
      <x:c r="J1407" t="n">
        <x:v>979500</x:v>
      </x:c>
      <x:c r="K1407" t="str">
        <x:v>Avalancha</x:v>
      </x:c>
      <x:c r="L1407" t="str">
        <x:v>Vigente</x:v>
      </x:c>
      <x:c r="M1407" t="n">
        <x:v>21715661.87</x:v>
      </x:c>
      <x:c r="N1407"/>
    </x:row>
    <x:row r="1408">
      <x:c r="A1408" t="str">
        <x:v>DEU-001407</x:v>
      </x:c>
      <x:c r="B1408" t="str">
        <x:v>USR-00731</x:v>
      </x:c>
      <x:c r="C1408" t="n">
        <x:v>46113</x:v>
      </x:c>
      <x:c r="D1408" t="str">
        <x:v>Cooperativa C</x:v>
      </x:c>
      <x:c r="E1408" t="str">
        <x:v>Crédito de consumo</x:v>
      </x:c>
      <x:c r="F1408" t="n">
        <x:v>3050000</x:v>
      </x:c>
      <x:c r="G1408" s="40" t="n">
        <x:v>0.1221</x:v>
      </x:c>
      <x:c r="H1408" s="40" t="n">
        <x:v>0.009646</x:v>
      </x:c>
      <x:c r="I1408" t="n">
        <x:v>30</x:v>
      </x:c>
      <x:c r="J1408" t="n">
        <x:v>117600</x:v>
      </x:c>
      <x:c r="K1408" t="str">
        <x:v>Avalancha</x:v>
      </x:c>
      <x:c r="L1408" t="str">
        <x:v>Vigente</x:v>
      </x:c>
      <x:c r="M1408" t="n">
        <x:v>2532419.02</x:v>
      </x:c>
      <x:c r="N1408"/>
    </x:row>
    <x:row r="1409">
      <x:c r="A1409" t="str">
        <x:v>DEU-001408</x:v>
      </x:c>
      <x:c r="B1409" t="str">
        <x:v>USR-00732</x:v>
      </x:c>
      <x:c r="C1409" t="n">
        <x:v>46113</x:v>
      </x:c>
      <x:c r="D1409" t="str">
        <x:v>Entidad financiera A</x:v>
      </x:c>
      <x:c r="E1409" t="str">
        <x:v>Crédito de vehículo</x:v>
      </x:c>
      <x:c r="F1409" t="n">
        <x:v>39380000</x:v>
      </x:c>
      <x:c r="G1409" s="40" t="n">
        <x:v>0.2148</x:v>
      </x:c>
      <x:c r="H1409" s="40" t="n">
        <x:v>0.016347</x:v>
      </x:c>
      <x:c r="I1409" t="n">
        <x:v>24</x:v>
      </x:c>
      <x:c r="J1409" t="n">
        <x:v>1996900</x:v>
      </x:c>
      <x:c r="K1409" t="str">
        <x:v>Bola de nieve</x:v>
      </x:c>
      <x:c r="L1409" t="str">
        <x:v>Vigente</x:v>
      </x:c>
      <x:c r="M1409" t="n">
        <x:v>35734124.42</x:v>
      </x:c>
      <x:c r="N1409"/>
    </x:row>
    <x:row r="1410">
      <x:c r="A1410" t="str">
        <x:v>DEU-001409</x:v>
      </x:c>
      <x:c r="B1410" t="str">
        <x:v>USR-00733</x:v>
      </x:c>
      <x:c r="C1410" t="n">
        <x:v>46113</x:v>
      </x:c>
      <x:c r="D1410" t="str">
        <x:v>Cooperativa C</x:v>
      </x:c>
      <x:c r="E1410" t="str">
        <x:v>Crédito de libre inversión</x:v>
      </x:c>
      <x:c r="F1410" t="n">
        <x:v>19090000</x:v>
      </x:c>
      <x:c r="G1410" s="40" t="n">
        <x:v>0.2538</x:v>
      </x:c>
      <x:c r="H1410" s="40" t="n">
        <x:v>0.019027</x:v>
      </x:c>
      <x:c r="I1410" t="n">
        <x:v>36</x:v>
      </x:c>
      <x:c r="J1410" t="n">
        <x:v>737300</x:v>
      </x:c>
      <x:c r="K1410" t="str">
        <x:v>Avalancha</x:v>
      </x:c>
      <x:c r="L1410" t="str">
        <x:v>Vigente</x:v>
      </x:c>
      <x:c r="M1410" t="n">
        <x:v>17630995.26</x:v>
      </x:c>
      <x:c r="N1410"/>
    </x:row>
    <x:row r="1411">
      <x:c r="A1411" t="str">
        <x:v>DEU-001410</x:v>
      </x:c>
      <x:c r="B1411" t="str">
        <x:v>USR-00733</x:v>
      </x:c>
      <x:c r="C1411" t="n">
        <x:v>46113</x:v>
      </x:c>
      <x:c r="D1411" t="str">
        <x:v>Entidad financiera B</x:v>
      </x:c>
      <x:c r="E1411" t="str">
        <x:v>Crédito de vehículo</x:v>
      </x:c>
      <x:c r="F1411" t="n">
        <x:v>37540000</x:v>
      </x:c>
      <x:c r="G1411" s="40" t="n">
        <x:v>0.2662</x:v>
      </x:c>
      <x:c r="H1411" s="40" t="n">
        <x:v>0.019863</x:v>
      </x:c>
      <x:c r="I1411" t="n">
        <x:v>30</x:v>
      </x:c>
      <x:c r="J1411" t="n">
        <x:v>1673000</x:v>
      </x:c>
      <x:c r="K1411" t="str">
        <x:v>Bola de nieve</x:v>
      </x:c>
      <x:c r="L1411" t="str">
        <x:v>Vigente</x:v>
      </x:c>
      <x:c r="M1411" t="n">
        <x:v>34185151.39</x:v>
      </x:c>
      <x:c r="N1411"/>
    </x:row>
    <x:row r="1412">
      <x:c r="A1412" t="str">
        <x:v>DEU-001411</x:v>
      </x:c>
      <x:c r="B1412" t="str">
        <x:v>USR-00733</x:v>
      </x:c>
      <x:c r="C1412" t="n">
        <x:v>46113</x:v>
      </x:c>
      <x:c r="D1412" t="str">
        <x:v>Cooperativa C</x:v>
      </x:c>
      <x:c r="E1412" t="str">
        <x:v>Crédito de libre inversión</x:v>
      </x:c>
      <x:c r="F1412" t="n">
        <x:v>2670000</x:v>
      </x:c>
      <x:c r="G1412" s="40" t="n">
        <x:v>0.1163</x:v>
      </x:c>
      <x:c r="H1412" s="40" t="n">
        <x:v>0.00921</x:v>
      </x:c>
      <x:c r="I1412" t="n">
        <x:v>12</x:v>
      </x:c>
      <x:c r="J1412" t="n">
        <x:v>236000</x:v>
      </x:c>
      <x:c r="K1412" t="str">
        <x:v>Bola de nieve</x:v>
      </x:c>
      <x:c r="L1412" t="str">
        <x:v>Vigente</x:v>
      </x:c>
      <x:c r="M1412" t="n">
        <x:v>1832931.1</x:v>
      </x:c>
      <x:c r="N1412"/>
    </x:row>
    <x:row r="1413">
      <x:c r="A1413" t="str">
        <x:v>DEU-001412</x:v>
      </x:c>
      <x:c r="B1413" t="str">
        <x:v>USR-00733</x:v>
      </x:c>
      <x:c r="C1413" t="n">
        <x:v>46113</x:v>
      </x:c>
      <x:c r="D1413" t="str">
        <x:v>Entidad financiera B</x:v>
      </x:c>
      <x:c r="E1413" t="str">
        <x:v>Crédito educativo</x:v>
      </x:c>
      <x:c r="F1413" t="n">
        <x:v>15570000</x:v>
      </x:c>
      <x:c r="G1413" s="40" t="n">
        <x:v>0.2014</x:v>
      </x:c>
      <x:c r="H1413" s="40" t="n">
        <x:v>0.015408</x:v>
      </x:c>
      <x:c r="I1413" t="n">
        <x:v>60</x:v>
      </x:c>
      <x:c r="J1413" t="n">
        <x:v>399500</x:v>
      </x:c>
      <x:c r="K1413" t="str">
        <x:v>Avalancha</x:v>
      </x:c>
      <x:c r="L1413" t="str">
        <x:v>Vigente</x:v>
      </x:c>
      <x:c r="M1413" t="n">
        <x:v>14789381.43</x:v>
      </x:c>
      <x:c r="N1413"/>
    </x:row>
    <x:row r="1414">
      <x:c r="A1414" t="str">
        <x:v>DEU-001413</x:v>
      </x:c>
      <x:c r="B1414" t="str">
        <x:v>USR-00734</x:v>
      </x:c>
      <x:c r="C1414" t="n">
        <x:v>46113</x:v>
      </x:c>
      <x:c r="D1414" t="str">
        <x:v>Financiera D</x:v>
      </x:c>
      <x:c r="E1414" t="str">
        <x:v>Crédito de consumo</x:v>
      </x:c>
      <x:c r="F1414" t="n">
        <x:v>6870000</x:v>
      </x:c>
      <x:c r="G1414" s="40" t="n">
        <x:v>0.1683</x:v>
      </x:c>
      <x:c r="H1414" s="40" t="n">
        <x:v>0.013047</x:v>
      </x:c>
      <x:c r="I1414" t="n">
        <x:v>18</x:v>
      </x:c>
      <x:c r="J1414" t="n">
        <x:v>430700</x:v>
      </x:c>
      <x:c r="K1414" t="str">
        <x:v>Bola de nieve</x:v>
      </x:c>
      <x:c r="L1414" t="str">
        <x:v>Vigente</x:v>
      </x:c>
      <x:c r="M1414" t="n">
        <x:v>4908402.37</x:v>
      </x:c>
      <x:c r="N1414"/>
    </x:row>
    <x:row r="1415">
      <x:c r="A1415" t="str">
        <x:v>DEU-001414</x:v>
      </x:c>
      <x:c r="B1415" t="str">
        <x:v>USR-00734</x:v>
      </x:c>
      <x:c r="C1415" t="n">
        <x:v>46113</x:v>
      </x:c>
      <x:c r="D1415" t="str">
        <x:v>Entidad financiera A</x:v>
      </x:c>
      <x:c r="E1415" t="str">
        <x:v>Crédito de libre inversión</x:v>
      </x:c>
      <x:c r="F1415" t="n">
        <x:v>17620000</x:v>
      </x:c>
      <x:c r="G1415" s="40" t="n">
        <x:v>0.2383</x:v>
      </x:c>
      <x:c r="H1415" s="40" t="n">
        <x:v>0.017971</x:v>
      </x:c>
      <x:c r="I1415" t="n">
        <x:v>36</x:v>
      </x:c>
      <x:c r="J1415" t="n">
        <x:v>669000</x:v>
      </x:c>
      <x:c r="K1415" t="str">
        <x:v>Bola de nieve</x:v>
      </x:c>
      <x:c r="L1415" t="str">
        <x:v>Vigente</x:v>
      </x:c>
      <x:c r="M1415" t="n">
        <x:v>17864797.63</x:v>
      </x:c>
      <x:c r="N1415"/>
    </x:row>
    <x:row r="1416">
      <x:c r="A1416" t="str">
        <x:v>DEU-001415</x:v>
      </x:c>
      <x:c r="B1416" t="str">
        <x:v>USR-00735</x:v>
      </x:c>
      <x:c r="C1416" t="n">
        <x:v>46113</x:v>
      </x:c>
      <x:c r="D1416" t="str">
        <x:v>Cooperativa C</x:v>
      </x:c>
      <x:c r="E1416" t="str">
        <x:v>Crédito de consumo</x:v>
      </x:c>
      <x:c r="F1416" t="n">
        <x:v>7230000</x:v>
      </x:c>
      <x:c r="G1416" s="40" t="n">
        <x:v>0.1308</x:v>
      </x:c>
      <x:c r="H1416" s="40" t="n">
        <x:v>0.010296</x:v>
      </x:c>
      <x:c r="I1416" t="n">
        <x:v>18</x:v>
      </x:c>
      <x:c r="J1416" t="n">
        <x:v>442100</x:v>
      </x:c>
      <x:c r="K1416" t="str">
        <x:v>Bola de nieve</x:v>
      </x:c>
      <x:c r="L1416" t="str">
        <x:v>Vigente</x:v>
      </x:c>
      <x:c r="M1416" t="n">
        <x:v>5363454.77</x:v>
      </x:c>
      <x:c r="N1416"/>
    </x:row>
    <x:row r="1417">
      <x:c r="A1417" t="str">
        <x:v>DEU-001416</x:v>
      </x:c>
      <x:c r="B1417" t="str">
        <x:v>USR-00735</x:v>
      </x:c>
      <x:c r="C1417" t="n">
        <x:v>46113</x:v>
      </x:c>
      <x:c r="D1417" t="str">
        <x:v>Entidad financiera B</x:v>
      </x:c>
      <x:c r="E1417" t="str">
        <x:v>Tarjeta de crédito</x:v>
      </x:c>
      <x:c r="F1417" t="n">
        <x:v>2530000</x:v>
      </x:c>
      <x:c r="G1417" s="40" t="n">
        <x:v>0.2159</x:v>
      </x:c>
      <x:c r="H1417" s="40" t="n">
        <x:v>0.016424</x:v>
      </x:c>
      <x:c r="I1417" t="n">
        <x:v>36</x:v>
      </x:c>
      <x:c r="J1417" t="n">
        <x:v>93600</x:v>
      </x:c>
      <x:c r="K1417" t="str">
        <x:v>Avalancha</x:v>
      </x:c>
      <x:c r="L1417" t="str">
        <x:v>Vigente</x:v>
      </x:c>
      <x:c r="M1417" t="n">
        <x:v>2348253.81</x:v>
      </x:c>
      <x:c r="N1417"/>
    </x:row>
    <x:row r="1418">
      <x:c r="A1418" t="str">
        <x:v>DEU-001417</x:v>
      </x:c>
      <x:c r="B1418" t="str">
        <x:v>USR-00736</x:v>
      </x:c>
      <x:c r="C1418" t="n">
        <x:v>46113</x:v>
      </x:c>
      <x:c r="D1418" t="str">
        <x:v>Entidad financiera B</x:v>
      </x:c>
      <x:c r="E1418" t="str">
        <x:v>Tarjeta de crédito</x:v>
      </x:c>
      <x:c r="F1418" t="n">
        <x:v>1120000</x:v>
      </x:c>
      <x:c r="G1418" s="40" t="n">
        <x:v>0.2714</x:v>
      </x:c>
      <x:c r="H1418" s="40" t="n">
        <x:v>0.020211</x:v>
      </x:c>
      <x:c r="I1418" t="n">
        <x:v>48</x:v>
      </x:c>
      <x:c r="J1418" t="n">
        <x:v>36700</x:v>
      </x:c>
      <x:c r="K1418" t="str">
        <x:v>Bola de nieve</x:v>
      </x:c>
      <x:c r="L1418" t="str">
        <x:v>Vigente</x:v>
      </x:c>
      <x:c r="M1418" t="n">
        <x:v>1013327.73</x:v>
      </x:c>
      <x:c r="N1418"/>
    </x:row>
    <x:row r="1419">
      <x:c r="A1419" t="str">
        <x:v>DEU-001418</x:v>
      </x:c>
      <x:c r="B1419" t="str">
        <x:v>USR-00736</x:v>
      </x:c>
      <x:c r="C1419" t="n">
        <x:v>46113</x:v>
      </x:c>
      <x:c r="D1419" t="str">
        <x:v>Entidad financiera E</x:v>
      </x:c>
      <x:c r="E1419" t="str">
        <x:v>Tarjeta de crédito</x:v>
      </x:c>
      <x:c r="F1419" t="n">
        <x:v>8110000</x:v>
      </x:c>
      <x:c r="G1419" s="40" t="n">
        <x:v>0.2074</x:v>
      </x:c>
      <x:c r="H1419" s="40" t="n">
        <x:v>0.01583</x:v>
      </x:c>
      <x:c r="I1419" t="n">
        <x:v>36</x:v>
      </x:c>
      <x:c r="J1419" t="n">
        <x:v>297300</x:v>
      </x:c>
      <x:c r="K1419" t="str">
        <x:v>Avalancha</x:v>
      </x:c>
      <x:c r="L1419" t="str">
        <x:v>Vigente</x:v>
      </x:c>
      <x:c r="M1419" t="n">
        <x:v>6975686.69</x:v>
      </x:c>
      <x:c r="N1419"/>
    </x:row>
    <x:row r="1420">
      <x:c r="A1420" t="str">
        <x:v>DEU-001419</x:v>
      </x:c>
      <x:c r="B1420" t="str">
        <x:v>USR-00736</x:v>
      </x:c>
      <x:c r="C1420" t="n">
        <x:v>46113</x:v>
      </x:c>
      <x:c r="D1420" t="str">
        <x:v>Entidad financiera A</x:v>
      </x:c>
      <x:c r="E1420" t="str">
        <x:v>Tarjeta de crédito</x:v>
      </x:c>
      <x:c r="F1420" t="n">
        <x:v>6280000</x:v>
      </x:c>
      <x:c r="G1420" s="40" t="n">
        <x:v>0.237</x:v>
      </x:c>
      <x:c r="H1420" s="40" t="n">
        <x:v>0.017882</x:v>
      </x:c>
      <x:c r="I1420" t="n">
        <x:v>12</x:v>
      </x:c>
      <x:c r="J1420" t="n">
        <x:v>586100</x:v>
      </x:c>
      <x:c r="K1420" t="str">
        <x:v>Avalancha</x:v>
      </x:c>
      <x:c r="L1420" t="str">
        <x:v>Vigente</x:v>
      </x:c>
      <x:c r="M1420" t="n">
        <x:v>3702734.76</x:v>
      </x:c>
      <x:c r="N1420"/>
    </x:row>
    <x:row r="1421">
      <x:c r="A1421" t="str">
        <x:v>DEU-001420</x:v>
      </x:c>
      <x:c r="B1421" t="str">
        <x:v>USR-00737</x:v>
      </x:c>
      <x:c r="C1421" t="n">
        <x:v>46113</x:v>
      </x:c>
      <x:c r="D1421" t="str">
        <x:v>Cooperativa C</x:v>
      </x:c>
      <x:c r="E1421" t="str">
        <x:v>Crédito de consumo</x:v>
      </x:c>
      <x:c r="F1421" t="n">
        <x:v>12420000</x:v>
      </x:c>
      <x:c r="G1421" s="40" t="n">
        <x:v>0.3446</x:v>
      </x:c>
      <x:c r="H1421" s="40" t="n">
        <x:v>0.024982</x:v>
      </x:c>
      <x:c r="I1421" t="n">
        <x:v>60</x:v>
      </x:c>
      <x:c r="J1421" t="n">
        <x:v>401700</x:v>
      </x:c>
      <x:c r="K1421" t="str">
        <x:v>Bola de nieve</x:v>
      </x:c>
      <x:c r="L1421" t="str">
        <x:v>Vigente</x:v>
      </x:c>
      <x:c r="M1421" t="n">
        <x:v>12098743.87</x:v>
      </x:c>
      <x:c r="N1421"/>
    </x:row>
    <x:row r="1422">
      <x:c r="A1422" t="str">
        <x:v>DEU-001421</x:v>
      </x:c>
      <x:c r="B1422" t="str">
        <x:v>USR-00737</x:v>
      </x:c>
      <x:c r="C1422" t="n">
        <x:v>46113</x:v>
      </x:c>
      <x:c r="D1422" t="str">
        <x:v>Entidad financiera E</x:v>
      </x:c>
      <x:c r="E1422" t="str">
        <x:v>Crédito educativo</x:v>
      </x:c>
      <x:c r="F1422" t="n">
        <x:v>21550000</x:v>
      </x:c>
      <x:c r="G1422" s="40" t="n">
        <x:v>0.1406</x:v>
      </x:c>
      <x:c r="H1422" s="40" t="n">
        <x:v>0.011023</x:v>
      </x:c>
      <x:c r="I1422" t="n">
        <x:v>12</x:v>
      </x:c>
      <x:c r="J1422" t="n">
        <x:v>1927100</x:v>
      </x:c>
      <x:c r="K1422" t="str">
        <x:v>Avalancha</x:v>
      </x:c>
      <x:c r="L1422" t="str">
        <x:v>Vigente</x:v>
      </x:c>
      <x:c r="M1422" t="n">
        <x:v>11234037.6</x:v>
      </x:c>
      <x:c r="N1422"/>
    </x:row>
    <x:row r="1423">
      <x:c r="A1423" t="str">
        <x:v>DEU-001422</x:v>
      </x:c>
      <x:c r="B1423" t="str">
        <x:v>USR-00738</x:v>
      </x:c>
      <x:c r="C1423" t="n">
        <x:v>46113</x:v>
      </x:c>
      <x:c r="D1423" t="str">
        <x:v>Entidad financiera E</x:v>
      </x:c>
      <x:c r="E1423" t="str">
        <x:v>Crédito de libre inversión</x:v>
      </x:c>
      <x:c r="F1423" t="n">
        <x:v>5360000</x:v>
      </x:c>
      <x:c r="G1423" s="40" t="n">
        <x:v>0.1614</x:v>
      </x:c>
      <x:c r="H1423" s="40" t="n">
        <x:v>0.012547</x:v>
      </x:c>
      <x:c r="I1423" t="n">
        <x:v>24</x:v>
      </x:c>
      <x:c r="J1423" t="n">
        <x:v>260000</x:v>
      </x:c>
      <x:c r="K1423" t="str">
        <x:v>Avalancha</x:v>
      </x:c>
      <x:c r="L1423" t="str">
        <x:v>Vigente</x:v>
      </x:c>
      <x:c r="M1423" t="n">
        <x:v>4968088.9</x:v>
      </x:c>
      <x:c r="N1423"/>
    </x:row>
    <x:row r="1424">
      <x:c r="A1424" t="str">
        <x:v>DEU-001423</x:v>
      </x:c>
      <x:c r="B1424" t="str">
        <x:v>USR-00739</x:v>
      </x:c>
      <x:c r="C1424" t="n">
        <x:v>46113</x:v>
      </x:c>
      <x:c r="D1424" t="str">
        <x:v>Entidad financiera B</x:v>
      </x:c>
      <x:c r="E1424" t="str">
        <x:v>Crédito de libre inversión</x:v>
      </x:c>
      <x:c r="F1424" t="n">
        <x:v>14220000</x:v>
      </x:c>
      <x:c r="G1424" s="40" t="n">
        <x:v>0.3059</x:v>
      </x:c>
      <x:c r="H1424" s="40" t="n">
        <x:v>0.02249</x:v>
      </x:c>
      <x:c r="I1424" t="n">
        <x:v>12</x:v>
      </x:c>
      <x:c r="J1424" t="n">
        <x:v>1365300</x:v>
      </x:c>
      <x:c r="K1424" t="str">
        <x:v>Avalancha</x:v>
      </x:c>
      <x:c r="L1424" t="str">
        <x:v>Vigente</x:v>
      </x:c>
      <x:c r="M1424" t="n">
        <x:v>9911868.76</x:v>
      </x:c>
      <x:c r="N1424"/>
    </x:row>
    <x:row r="1425">
      <x:c r="A1425" t="str">
        <x:v>DEU-001424</x:v>
      </x:c>
      <x:c r="B1425" t="str">
        <x:v>USR-00739</x:v>
      </x:c>
      <x:c r="C1425" t="n">
        <x:v>46113</x:v>
      </x:c>
      <x:c r="D1425" t="str">
        <x:v>Entidad financiera E</x:v>
      </x:c>
      <x:c r="E1425" t="str">
        <x:v>Crédito educativo</x:v>
      </x:c>
      <x:c r="F1425" t="n">
        <x:v>5920000</x:v>
      </x:c>
      <x:c r="G1425" s="40" t="n">
        <x:v>0.3053</x:v>
      </x:c>
      <x:c r="H1425" s="40" t="n">
        <x:v>0.022451</x:v>
      </x:c>
      <x:c r="I1425" t="n">
        <x:v>36</x:v>
      </x:c>
      <x:c r="J1425" t="n">
        <x:v>241500</x:v>
      </x:c>
      <x:c r="K1425" t="str">
        <x:v>Bola de nieve</x:v>
      </x:c>
      <x:c r="L1425" t="str">
        <x:v>Vigente</x:v>
      </x:c>
      <x:c r="M1425" t="n">
        <x:v>5687498.48</x:v>
      </x:c>
      <x:c r="N1425"/>
    </x:row>
    <x:row r="1426">
      <x:c r="A1426" t="str">
        <x:v>DEU-001425</x:v>
      </x:c>
      <x:c r="B1426" t="str">
        <x:v>USR-00740</x:v>
      </x:c>
      <x:c r="C1426" t="n">
        <x:v>46113</x:v>
      </x:c>
      <x:c r="D1426" t="str">
        <x:v>Entidad financiera A</x:v>
      </x:c>
      <x:c r="E1426" t="str">
        <x:v>Crédito de consumo</x:v>
      </x:c>
      <x:c r="F1426" t="n">
        <x:v>4460000</x:v>
      </x:c>
      <x:c r="G1426" s="40" t="n">
        <x:v>0.1096</x:v>
      </x:c>
      <x:c r="H1426" s="40" t="n">
        <x:v>0.008704</x:v>
      </x:c>
      <x:c r="I1426" t="n">
        <x:v>48</x:v>
      </x:c>
      <x:c r="J1426" t="n">
        <x:v>114100</x:v>
      </x:c>
      <x:c r="K1426" t="str">
        <x:v>Avalancha</x:v>
      </x:c>
      <x:c r="L1426" t="str">
        <x:v>Vigente</x:v>
      </x:c>
      <x:c r="M1426" t="n">
        <x:v>4055226.76</x:v>
      </x:c>
      <x:c r="N1426"/>
    </x:row>
    <x:row r="1427">
      <x:c r="A1427" t="str">
        <x:v>DEU-001426</x:v>
      </x:c>
      <x:c r="B1427" t="str">
        <x:v>USR-00740</x:v>
      </x:c>
      <x:c r="C1427" t="n">
        <x:v>46113</x:v>
      </x:c>
      <x:c r="D1427" t="str">
        <x:v>Financiera D</x:v>
      </x:c>
      <x:c r="E1427" t="str">
        <x:v>Crédito de vehículo</x:v>
      </x:c>
      <x:c r="F1427" t="n">
        <x:v>39700000</x:v>
      </x:c>
      <x:c r="G1427" s="40" t="n">
        <x:v>0.3031</x:v>
      </x:c>
      <x:c r="H1427" s="40" t="n">
        <x:v>0.022307</x:v>
      </x:c>
      <x:c r="I1427" t="n">
        <x:v>60</x:v>
      </x:c>
      <x:c r="J1427" t="n">
        <x:v>1206800</x:v>
      </x:c>
      <x:c r="K1427" t="str">
        <x:v>Avalancha</x:v>
      </x:c>
      <x:c r="L1427" t="str">
        <x:v>Vigente</x:v>
      </x:c>
      <x:c r="M1427" t="n">
        <x:v>42767042.5</x:v>
      </x:c>
      <x:c r="N1427"/>
    </x:row>
    <x:row r="1428">
      <x:c r="A1428" t="str">
        <x:v>DEU-001427</x:v>
      </x:c>
      <x:c r="B1428" t="str">
        <x:v>USR-00741</x:v>
      </x:c>
      <x:c r="C1428" t="n">
        <x:v>46113</x:v>
      </x:c>
      <x:c r="D1428" t="str">
        <x:v>Entidad financiera E</x:v>
      </x:c>
      <x:c r="E1428" t="str">
        <x:v>Crédito de libre inversión</x:v>
      </x:c>
      <x:c r="F1428" t="n">
        <x:v>3920000</x:v>
      </x:c>
      <x:c r="G1428" s="40" t="n">
        <x:v>0.2465</x:v>
      </x:c>
      <x:c r="H1428" s="40" t="n">
        <x:v>0.018531</x:v>
      </x:c>
      <x:c r="I1428" t="n">
        <x:v>48</x:v>
      </x:c>
      <x:c r="J1428" t="n">
        <x:v>124000</x:v>
      </x:c>
      <x:c r="K1428" t="str">
        <x:v>Avalancha</x:v>
      </x:c>
      <x:c r="L1428" t="str">
        <x:v>Vigente</x:v>
      </x:c>
      <x:c r="M1428" t="n">
        <x:v>3651818.97</x:v>
      </x:c>
      <x:c r="N1428"/>
    </x:row>
    <x:row r="1429">
      <x:c r="A1429" t="str">
        <x:v>DEU-001428</x:v>
      </x:c>
      <x:c r="B1429" t="str">
        <x:v>USR-00741</x:v>
      </x:c>
      <x:c r="C1429" t="n">
        <x:v>46113</x:v>
      </x:c>
      <x:c r="D1429" t="str">
        <x:v>Entidad financiera B</x:v>
      </x:c>
      <x:c r="E1429" t="str">
        <x:v>Tarjeta de crédito</x:v>
      </x:c>
      <x:c r="F1429" t="n">
        <x:v>1960000</x:v>
      </x:c>
      <x:c r="G1429" s="40" t="n">
        <x:v>0.1553</x:v>
      </x:c>
      <x:c r="H1429" s="40" t="n">
        <x:v>0.012103</x:v>
      </x:c>
      <x:c r="I1429" t="n">
        <x:v>18</x:v>
      </x:c>
      <x:c r="J1429" t="n">
        <x:v>121800</x:v>
      </x:c>
      <x:c r="K1429" t="str">
        <x:v>Bola de nieve</x:v>
      </x:c>
      <x:c r="L1429" t="str">
        <x:v>Vigente</x:v>
      </x:c>
      <x:c r="M1429" t="n">
        <x:v>1644516.3</x:v>
      </x:c>
      <x:c r="N1429"/>
    </x:row>
    <x:row r="1430">
      <x:c r="A1430" t="str">
        <x:v>DEU-001429</x:v>
      </x:c>
      <x:c r="B1430" t="str">
        <x:v>USR-00742</x:v>
      </x:c>
      <x:c r="C1430" t="n">
        <x:v>46113</x:v>
      </x:c>
      <x:c r="D1430" t="str">
        <x:v>Cooperativa C</x:v>
      </x:c>
      <x:c r="E1430" t="str">
        <x:v>Crédito educativo</x:v>
      </x:c>
      <x:c r="F1430" t="n">
        <x:v>12150000</x:v>
      </x:c>
      <x:c r="G1430" s="40" t="n">
        <x:v>0.1542</x:v>
      </x:c>
      <x:c r="H1430" s="40" t="n">
        <x:v>0.012022</x:v>
      </x:c>
      <x:c r="I1430" t="n">
        <x:v>24</x:v>
      </x:c>
      <x:c r="J1430" t="n">
        <x:v>585800</x:v>
      </x:c>
      <x:c r="K1430" t="str">
        <x:v>Avalancha</x:v>
      </x:c>
      <x:c r="L1430" t="str">
        <x:v>Vigente</x:v>
      </x:c>
      <x:c r="M1430" t="n">
        <x:v>11552047.08</x:v>
      </x:c>
      <x:c r="N1430"/>
    </x:row>
    <x:row r="1431">
      <x:c r="A1431" t="str">
        <x:v>DEU-001430</x:v>
      </x:c>
      <x:c r="B1431" t="str">
        <x:v>USR-00743</x:v>
      </x:c>
      <x:c r="C1431" t="n">
        <x:v>46113</x:v>
      </x:c>
      <x:c r="D1431" t="str">
        <x:v>Entidad financiera B</x:v>
      </x:c>
      <x:c r="E1431" t="str">
        <x:v>Crédito de vehículo</x:v>
      </x:c>
      <x:c r="F1431" t="n">
        <x:v>28680000</x:v>
      </x:c>
      <x:c r="G1431" s="40" t="n">
        <x:v>0.3016</x:v>
      </x:c>
      <x:c r="H1431" s="40" t="n">
        <x:v>0.022209</x:v>
      </x:c>
      <x:c r="I1431" t="n">
        <x:v>18</x:v>
      </x:c>
      <x:c r="J1431" t="n">
        <x:v>1950400</x:v>
      </x:c>
      <x:c r="K1431" t="str">
        <x:v>Bola de nieve</x:v>
      </x:c>
      <x:c r="L1431" t="str">
        <x:v>Vigente</x:v>
      </x:c>
      <x:c r="M1431" t="n">
        <x:v>22087528.53</x:v>
      </x:c>
      <x:c r="N1431"/>
    </x:row>
    <x:row r="1432">
      <x:c r="A1432" t="str">
        <x:v>DEU-001431</x:v>
      </x:c>
      <x:c r="B1432" t="str">
        <x:v>USR-00743</x:v>
      </x:c>
      <x:c r="C1432" t="n">
        <x:v>46113</x:v>
      </x:c>
      <x:c r="D1432" t="str">
        <x:v>Entidad financiera B</x:v>
      </x:c>
      <x:c r="E1432" t="str">
        <x:v>Crédito de vehículo</x:v>
      </x:c>
      <x:c r="F1432" t="n">
        <x:v>27400000</x:v>
      </x:c>
      <x:c r="G1432" s="40" t="n">
        <x:v>0.2617</x:v>
      </x:c>
      <x:c r="H1432" s="40" t="n">
        <x:v>0.019561</x:v>
      </x:c>
      <x:c r="I1432" t="n">
        <x:v>48</x:v>
      </x:c>
      <x:c r="J1432" t="n">
        <x:v>885300</x:v>
      </x:c>
      <x:c r="K1432" t="str">
        <x:v>Bola de nieve</x:v>
      </x:c>
      <x:c r="L1432" t="str">
        <x:v>Vigente</x:v>
      </x:c>
      <x:c r="M1432" t="n">
        <x:v>25858609.81</x:v>
      </x:c>
      <x:c r="N1432"/>
    </x:row>
    <x:row r="1433">
      <x:c r="A1433" t="str">
        <x:v>DEU-001432</x:v>
      </x:c>
      <x:c r="B1433" t="str">
        <x:v>USR-00744</x:v>
      </x:c>
      <x:c r="C1433" t="n">
        <x:v>46113</x:v>
      </x:c>
      <x:c r="D1433" t="str">
        <x:v>Entidad financiera E</x:v>
      </x:c>
      <x:c r="E1433" t="str">
        <x:v>Crédito de consumo</x:v>
      </x:c>
      <x:c r="F1433" t="n">
        <x:v>12420000</x:v>
      </x:c>
      <x:c r="G1433" s="40" t="n">
        <x:v>0.1624</x:v>
      </x:c>
      <x:c r="H1433" s="40" t="n">
        <x:v>0.01262</x:v>
      </x:c>
      <x:c r="I1433" t="n">
        <x:v>36</x:v>
      </x:c>
      <x:c r="J1433" t="n">
        <x:v>431400</x:v>
      </x:c>
      <x:c r="K1433" t="str">
        <x:v>Avalancha</x:v>
      </x:c>
      <x:c r="L1433" t="str">
        <x:v>Vigente</x:v>
      </x:c>
      <x:c r="M1433" t="n">
        <x:v>11737083.54</x:v>
      </x:c>
      <x:c r="N1433"/>
    </x:row>
    <x:row r="1434">
      <x:c r="A1434" t="str">
        <x:v>DEU-001433</x:v>
      </x:c>
      <x:c r="B1434" t="str">
        <x:v>USR-00744</x:v>
      </x:c>
      <x:c r="C1434" t="n">
        <x:v>46113</x:v>
      </x:c>
      <x:c r="D1434" t="str">
        <x:v>Entidad financiera B</x:v>
      </x:c>
      <x:c r="E1434" t="str">
        <x:v>Tarjeta de crédito</x:v>
      </x:c>
      <x:c r="F1434" t="n">
        <x:v>6710000</x:v>
      </x:c>
      <x:c r="G1434" s="40" t="n">
        <x:v>0.2805</x:v>
      </x:c>
      <x:c r="H1434" s="40" t="n">
        <x:v>0.020818</x:v>
      </x:c>
      <x:c r="I1434" t="n">
        <x:v>60</x:v>
      </x:c>
      <x:c r="J1434" t="n">
        <x:v>196900</x:v>
      </x:c>
      <x:c r="K1434" t="str">
        <x:v>Bola de nieve</x:v>
      </x:c>
      <x:c r="L1434" t="str">
        <x:v>Vigente</x:v>
      </x:c>
      <x:c r="M1434" t="n">
        <x:v>6862455.87</x:v>
      </x:c>
      <x:c r="N1434"/>
    </x:row>
    <x:row r="1435">
      <x:c r="A1435" t="str">
        <x:v>DEU-001434</x:v>
      </x:c>
      <x:c r="B1435" t="str">
        <x:v>USR-00745</x:v>
      </x:c>
      <x:c r="C1435" t="n">
        <x:v>46113</x:v>
      </x:c>
      <x:c r="D1435" t="str">
        <x:v>Financiera D</x:v>
      </x:c>
      <x:c r="E1435" t="str">
        <x:v>Crédito de libre inversión</x:v>
      </x:c>
      <x:c r="F1435" t="n">
        <x:v>22500000</x:v>
      </x:c>
      <x:c r="G1435" s="40" t="n">
        <x:v>0.3329</x:v>
      </x:c>
      <x:c r="H1435" s="40" t="n">
        <x:v>0.024235</x:v>
      </x:c>
      <x:c r="I1435" t="n">
        <x:v>60</x:v>
      </x:c>
      <x:c r="J1435" t="n">
        <x:v>715300</x:v>
      </x:c>
      <x:c r="K1435" t="str">
        <x:v>Bola de nieve</x:v>
      </x:c>
      <x:c r="L1435" t="str">
        <x:v>Vigente</x:v>
      </x:c>
      <x:c r="M1435" t="n">
        <x:v>23778212.93</x:v>
      </x:c>
      <x:c r="N1435"/>
    </x:row>
    <x:row r="1436">
      <x:c r="A1436" t="str">
        <x:v>DEU-001435</x:v>
      </x:c>
      <x:c r="B1436" t="str">
        <x:v>USR-00746</x:v>
      </x:c>
      <x:c r="C1436" t="n">
        <x:v>46113</x:v>
      </x:c>
      <x:c r="D1436" t="str">
        <x:v>Financiera D</x:v>
      </x:c>
      <x:c r="E1436" t="str">
        <x:v>Crédito educativo</x:v>
      </x:c>
      <x:c r="F1436" t="n">
        <x:v>6010000</x:v>
      </x:c>
      <x:c r="G1436" s="40" t="n">
        <x:v>0.2739</x:v>
      </x:c>
      <x:c r="H1436" s="40" t="n">
        <x:v>0.020378</x:v>
      </x:c>
      <x:c r="I1436" t="n">
        <x:v>30</x:v>
      </x:c>
      <x:c r="J1436" t="n">
        <x:v>269700</x:v>
      </x:c>
      <x:c r="K1436" t="str">
        <x:v>Bola de nieve</x:v>
      </x:c>
      <x:c r="L1436" t="str">
        <x:v>Vigente</x:v>
      </x:c>
      <x:c r="M1436" t="n">
        <x:v>5164562.72</x:v>
      </x:c>
      <x:c r="N1436"/>
    </x:row>
    <x:row r="1437">
      <x:c r="A1437" t="str">
        <x:v>DEU-001436</x:v>
      </x:c>
      <x:c r="B1437" t="str">
        <x:v>USR-00746</x:v>
      </x:c>
      <x:c r="C1437" t="n">
        <x:v>46113</x:v>
      </x:c>
      <x:c r="D1437" t="str">
        <x:v>Cooperativa C</x:v>
      </x:c>
      <x:c r="E1437" t="str">
        <x:v>Crédito de vehículo</x:v>
      </x:c>
      <x:c r="F1437" t="n">
        <x:v>45890000</x:v>
      </x:c>
      <x:c r="G1437" s="40" t="n">
        <x:v>0.2982</x:v>
      </x:c>
      <x:c r="H1437" s="40" t="n">
        <x:v>0.021986</x:v>
      </x:c>
      <x:c r="I1437" t="n">
        <x:v>18</x:v>
      </x:c>
      <x:c r="J1437" t="n">
        <x:v>3114700</x:v>
      </x:c>
      <x:c r="K1437" t="str">
        <x:v>Bola de nieve</x:v>
      </x:c>
      <x:c r="L1437" t="str">
        <x:v>Vigente</x:v>
      </x:c>
      <x:c r="M1437" t="n">
        <x:v>30948843.28</x:v>
      </x:c>
      <x:c r="N1437"/>
    </x:row>
    <x:row r="1438">
      <x:c r="A1438" t="str">
        <x:v>DEU-001437</x:v>
      </x:c>
      <x:c r="B1438" t="str">
        <x:v>USR-00747</x:v>
      </x:c>
      <x:c r="C1438" t="n">
        <x:v>46113</x:v>
      </x:c>
      <x:c r="D1438" t="str">
        <x:v>Financiera D</x:v>
      </x:c>
      <x:c r="E1438" t="str">
        <x:v>Crédito de consumo</x:v>
      </x:c>
      <x:c r="F1438" t="n">
        <x:v>11560000</x:v>
      </x:c>
      <x:c r="G1438" s="40" t="n">
        <x:v>0.2627</x:v>
      </x:c>
      <x:c r="H1438" s="40" t="n">
        <x:v>0.019628</x:v>
      </x:c>
      <x:c r="I1438" t="n">
        <x:v>48</x:v>
      </x:c>
      <x:c r="J1438" t="n">
        <x:v>374000</x:v>
      </x:c>
      <x:c r="K1438" t="str">
        <x:v>Avalancha</x:v>
      </x:c>
      <x:c r="L1438" t="str">
        <x:v>Vigente</x:v>
      </x:c>
      <x:c r="M1438" t="n">
        <x:v>11758113.3</x:v>
      </x:c>
      <x:c r="N1438"/>
    </x:row>
    <x:row r="1439">
      <x:c r="A1439" t="str">
        <x:v>DEU-001438</x:v>
      </x:c>
      <x:c r="B1439" t="str">
        <x:v>USR-00747</x:v>
      </x:c>
      <x:c r="C1439" t="n">
        <x:v>46113</x:v>
      </x:c>
      <x:c r="D1439" t="str">
        <x:v>Cooperativa C</x:v>
      </x:c>
      <x:c r="E1439" t="str">
        <x:v>Crédito de consumo</x:v>
      </x:c>
      <x:c r="F1439" t="n">
        <x:v>2230000</x:v>
      </x:c>
      <x:c r="G1439" s="40" t="n">
        <x:v>0.1613</x:v>
      </x:c>
      <x:c r="H1439" s="40" t="n">
        <x:v>0.01254</x:v>
      </x:c>
      <x:c r="I1439" t="n">
        <x:v>36</x:v>
      </x:c>
      <x:c r="J1439" t="n">
        <x:v>77400</x:v>
      </x:c>
      <x:c r="K1439" t="str">
        <x:v>Avalancha</x:v>
      </x:c>
      <x:c r="L1439" t="str">
        <x:v>Vigente</x:v>
      </x:c>
      <x:c r="M1439" t="n">
        <x:v>1962618.63</x:v>
      </x:c>
      <x:c r="N1439"/>
    </x:row>
    <x:row r="1440">
      <x:c r="A1440" t="str">
        <x:v>DEU-001439</x:v>
      </x:c>
      <x:c r="B1440" t="str">
        <x:v>USR-00748</x:v>
      </x:c>
      <x:c r="C1440" t="n">
        <x:v>46113</x:v>
      </x:c>
      <x:c r="D1440" t="str">
        <x:v>Entidad financiera A</x:v>
      </x:c>
      <x:c r="E1440" t="str">
        <x:v>Tarjeta de crédito</x:v>
      </x:c>
      <x:c r="F1440" t="n">
        <x:v>1720000</x:v>
      </x:c>
      <x:c r="G1440" s="40" t="n">
        <x:v>0.3121</x:v>
      </x:c>
      <x:c r="H1440" s="40" t="n">
        <x:v>0.022894</x:v>
      </x:c>
      <x:c r="I1440" t="n">
        <x:v>60</x:v>
      </x:c>
      <x:c r="J1440" t="n">
        <x:v>53000</x:v>
      </x:c>
      <x:c r="K1440" t="str">
        <x:v>Avalancha</x:v>
      </x:c>
      <x:c r="L1440" t="str">
        <x:v>Vigente</x:v>
      </x:c>
      <x:c r="M1440" t="n">
        <x:v>1679199.69</x:v>
      </x:c>
      <x:c r="N1440"/>
    </x:row>
    <x:row r="1441">
      <x:c r="A1441" t="str">
        <x:v>DEU-001440</x:v>
      </x:c>
      <x:c r="B1441" t="str">
        <x:v>USR-00748</x:v>
      </x:c>
      <x:c r="C1441" t="n">
        <x:v>46113</x:v>
      </x:c>
      <x:c r="D1441" t="str">
        <x:v>Entidad financiera E</x:v>
      </x:c>
      <x:c r="E1441" t="str">
        <x:v>Crédito comercial</x:v>
      </x:c>
      <x:c r="F1441" t="n">
        <x:v>34600000</x:v>
      </x:c>
      <x:c r="G1441" s="40" t="n">
        <x:v>0.1957</x:v>
      </x:c>
      <x:c r="H1441" s="40" t="n">
        <x:v>0.015006</x:v>
      </x:c>
      <x:c r="I1441" t="n">
        <x:v>48</x:v>
      </x:c>
      <x:c r="J1441" t="n">
        <x:v>1016500</x:v>
      </x:c>
      <x:c r="K1441" t="str">
        <x:v>Avalancha</x:v>
      </x:c>
      <x:c r="L1441" t="str">
        <x:v>Vigente</x:v>
      </x:c>
      <x:c r="M1441" t="n">
        <x:v>30667549.06</x:v>
      </x:c>
      <x:c r="N1441"/>
    </x:row>
    <x:row r="1442">
      <x:c r="A1442" t="str">
        <x:v>DEU-001441</x:v>
      </x:c>
      <x:c r="B1442" t="str">
        <x:v>USR-00749</x:v>
      </x:c>
      <x:c r="C1442" t="n">
        <x:v>46113</x:v>
      </x:c>
      <x:c r="D1442" t="str">
        <x:v>Cooperativa C</x:v>
      </x:c>
      <x:c r="E1442" t="str">
        <x:v>Tarjeta de crédito</x:v>
      </x:c>
      <x:c r="F1442" t="n">
        <x:v>3150000</x:v>
      </x:c>
      <x:c r="G1442" s="40" t="n">
        <x:v>0.1318</x:v>
      </x:c>
      <x:c r="H1442" s="40" t="n">
        <x:v>0.010371</x:v>
      </x:c>
      <x:c r="I1442" t="n">
        <x:v>60</x:v>
      </x:c>
      <x:c r="J1442" t="n">
        <x:v>70800</x:v>
      </x:c>
      <x:c r="K1442" t="str">
        <x:v>Bola de nieve</x:v>
      </x:c>
      <x:c r="L1442" t="str">
        <x:v>Vigente</x:v>
      </x:c>
      <x:c r="M1442" t="n">
        <x:v>2982698.83</x:v>
      </x:c>
      <x:c r="N1442"/>
    </x:row>
    <x:row r="1443">
      <x:c r="A1443" t="str">
        <x:v>DEU-001442</x:v>
      </x:c>
      <x:c r="B1443" t="str">
        <x:v>USR-00750</x:v>
      </x:c>
      <x:c r="C1443" t="n">
        <x:v>46113</x:v>
      </x:c>
      <x:c r="D1443" t="str">
        <x:v>Entidad financiera B</x:v>
      </x:c>
      <x:c r="E1443" t="str">
        <x:v>Tarjeta de crédito</x:v>
      </x:c>
      <x:c r="F1443" t="n">
        <x:v>4220000</x:v>
      </x:c>
      <x:c r="G1443" s="40" t="n">
        <x:v>0.1274</x:v>
      </x:c>
      <x:c r="H1443" s="40" t="n">
        <x:v>0.010043</x:v>
      </x:c>
      <x:c r="I1443" t="n">
        <x:v>18</x:v>
      </x:c>
      <x:c r="J1443" t="n">
        <x:v>257400</x:v>
      </x:c>
      <x:c r="K1443" t="str">
        <x:v>Bola de nieve</x:v>
      </x:c>
      <x:c r="L1443" t="str">
        <x:v>Vigente</x:v>
      </x:c>
      <x:c r="M1443" t="n">
        <x:v>3907852.75</x:v>
      </x:c>
      <x:c r="N1443"/>
    </x:row>
    <x:row r="1444">
      <x:c r="A1444" t="str">
        <x:v>DEU-001443</x:v>
      </x:c>
      <x:c r="B1444" t="str">
        <x:v>USR-00751</x:v>
      </x:c>
      <x:c r="C1444" t="n">
        <x:v>46113</x:v>
      </x:c>
      <x:c r="D1444" t="str">
        <x:v>Entidad financiera B</x:v>
      </x:c>
      <x:c r="E1444" t="str">
        <x:v>Tarjeta de crédito</x:v>
      </x:c>
      <x:c r="F1444" t="n">
        <x:v>8010000</x:v>
      </x:c>
      <x:c r="G1444" s="40" t="n">
        <x:v>0.2095</x:v>
      </x:c>
      <x:c r="H1444" s="40" t="n">
        <x:v>0.015977</x:v>
      </x:c>
      <x:c r="I1444" t="n">
        <x:v>60</x:v>
      </x:c>
      <x:c r="J1444" t="n">
        <x:v>208500</x:v>
      </x:c>
      <x:c r="K1444" t="str">
        <x:v>Avalancha</x:v>
      </x:c>
      <x:c r="L1444" t="str">
        <x:v>Vigente</x:v>
      </x:c>
      <x:c r="M1444" t="n">
        <x:v>8120173.1</x:v>
      </x:c>
      <x:c r="N1444"/>
    </x:row>
    <x:row r="1445">
      <x:c r="A1445" t="str">
        <x:v>DEU-001444</x:v>
      </x:c>
      <x:c r="B1445" t="str">
        <x:v>USR-00751</x:v>
      </x:c>
      <x:c r="C1445" t="n">
        <x:v>46113</x:v>
      </x:c>
      <x:c r="D1445" t="str">
        <x:v>Entidad financiera B</x:v>
      </x:c>
      <x:c r="E1445" t="str">
        <x:v>Tarjeta de crédito</x:v>
      </x:c>
      <x:c r="F1445" t="n">
        <x:v>3720000</x:v>
      </x:c>
      <x:c r="G1445" s="40" t="n">
        <x:v>0.172</x:v>
      </x:c>
      <x:c r="H1445" s="40" t="n">
        <x:v>0.013314</x:v>
      </x:c>
      <x:c r="I1445" t="n">
        <x:v>60</x:v>
      </x:c>
      <x:c r="J1445" t="n">
        <x:v>90400</x:v>
      </x:c>
      <x:c r="K1445" t="str">
        <x:v>Avalancha</x:v>
      </x:c>
      <x:c r="L1445" t="str">
        <x:v>Vigente</x:v>
      </x:c>
      <x:c r="M1445" t="n">
        <x:v>3749533.21</x:v>
      </x:c>
      <x:c r="N1445"/>
    </x:row>
    <x:row r="1446">
      <x:c r="A1446" t="str">
        <x:v>DEU-001445</x:v>
      </x:c>
      <x:c r="B1446" t="str">
        <x:v>USR-00752</x:v>
      </x:c>
      <x:c r="C1446" t="n">
        <x:v>46113</x:v>
      </x:c>
      <x:c r="D1446" t="str">
        <x:v>Entidad financiera A</x:v>
      </x:c>
      <x:c r="E1446" t="str">
        <x:v>Crédito de libre inversión</x:v>
      </x:c>
      <x:c r="F1446" t="n">
        <x:v>15060000</x:v>
      </x:c>
      <x:c r="G1446" s="40" t="n">
        <x:v>0.3024</x:v>
      </x:c>
      <x:c r="H1446" s="40" t="n">
        <x:v>0.022262</x:v>
      </x:c>
      <x:c r="I1446" t="n">
        <x:v>36</x:v>
      </x:c>
      <x:c r="J1446" t="n">
        <x:v>612500</x:v>
      </x:c>
      <x:c r="K1446" t="str">
        <x:v>Bola de nieve</x:v>
      </x:c>
      <x:c r="L1446" t="str">
        <x:v>Vigente</x:v>
      </x:c>
      <x:c r="M1446" t="n">
        <x:v>14823596.93</x:v>
      </x:c>
      <x:c r="N1446"/>
    </x:row>
    <x:row r="1447">
      <x:c r="A1447" t="str">
        <x:v>DEU-001446</x:v>
      </x:c>
      <x:c r="B1447" t="str">
        <x:v>USR-00753</x:v>
      </x:c>
      <x:c r="C1447" t="n">
        <x:v>46113</x:v>
      </x:c>
      <x:c r="D1447" t="str">
        <x:v>Cooperativa C</x:v>
      </x:c>
      <x:c r="E1447" t="str">
        <x:v>Tarjeta de crédito</x:v>
      </x:c>
      <x:c r="F1447" t="n">
        <x:v>1750000</x:v>
      </x:c>
      <x:c r="G1447" s="40" t="n">
        <x:v>0.2545</x:v>
      </x:c>
      <x:c r="H1447" s="40" t="n">
        <x:v>0.019074</x:v>
      </x:c>
      <x:c r="I1447" t="n">
        <x:v>48</x:v>
      </x:c>
      <x:c r="J1447" t="n">
        <x:v>56000</x:v>
      </x:c>
      <x:c r="K1447" t="str">
        <x:v>Bola de nieve</x:v>
      </x:c>
      <x:c r="L1447" t="str">
        <x:v>Vigente</x:v>
      </x:c>
      <x:c r="M1447" t="n">
        <x:v>1692165.98</x:v>
      </x:c>
      <x:c r="N1447"/>
    </x:row>
    <x:row r="1448">
      <x:c r="A1448" t="str">
        <x:v>DEU-001447</x:v>
      </x:c>
      <x:c r="B1448" t="str">
        <x:v>USR-00753</x:v>
      </x:c>
      <x:c r="C1448" t="n">
        <x:v>46113</x:v>
      </x:c>
      <x:c r="D1448" t="str">
        <x:v>Cooperativa C</x:v>
      </x:c>
      <x:c r="E1448" t="str">
        <x:v>Tarjeta de crédito</x:v>
      </x:c>
      <x:c r="F1448" t="n">
        <x:v>5300000</x:v>
      </x:c>
      <x:c r="G1448" s="40" t="n">
        <x:v>0.3325</x:v>
      </x:c>
      <x:c r="H1448" s="40" t="n">
        <x:v>0.02421</x:v>
      </x:c>
      <x:c r="I1448" t="n">
        <x:v>24</x:v>
      </x:c>
      <x:c r="J1448" t="n">
        <x:v>293800</x:v>
      </x:c>
      <x:c r="K1448" t="str">
        <x:v>Avalancha</x:v>
      </x:c>
      <x:c r="L1448" t="str">
        <x:v>Vigente</x:v>
      </x:c>
      <x:c r="M1448" t="n">
        <x:v>5170841.53</x:v>
      </x:c>
      <x:c r="N1448"/>
    </x:row>
    <x:row r="1449">
      <x:c r="A1449" t="str">
        <x:v>DEU-001448</x:v>
      </x:c>
      <x:c r="B1449" t="str">
        <x:v>USR-00754</x:v>
      </x:c>
      <x:c r="C1449" t="n">
        <x:v>46113</x:v>
      </x:c>
      <x:c r="D1449" t="str">
        <x:v>Entidad financiera A</x:v>
      </x:c>
      <x:c r="E1449" t="str">
        <x:v>Crédito de libre inversión</x:v>
      </x:c>
      <x:c r="F1449" t="n">
        <x:v>6010000</x:v>
      </x:c>
      <x:c r="G1449" s="40" t="n">
        <x:v>0.1421</x:v>
      </x:c>
      <x:c r="H1449" s="40" t="n">
        <x:v>0.011134</x:v>
      </x:c>
      <x:c r="I1449" t="n">
        <x:v>48</x:v>
      </x:c>
      <x:c r="J1449" t="n">
        <x:v>162300</x:v>
      </x:c>
      <x:c r="K1449" t="str">
        <x:v>Bola de nieve</x:v>
      </x:c>
      <x:c r="L1449" t="str">
        <x:v>Vigente</x:v>
      </x:c>
      <x:c r="M1449" t="n">
        <x:v>5571351.81</x:v>
      </x:c>
      <x:c r="N1449"/>
    </x:row>
    <x:row r="1450">
      <x:c r="A1450" t="str">
        <x:v>DEU-001449</x:v>
      </x:c>
      <x:c r="B1450" t="str">
        <x:v>USR-00754</x:v>
      </x:c>
      <x:c r="C1450" t="n">
        <x:v>46113</x:v>
      </x:c>
      <x:c r="D1450" t="str">
        <x:v>Entidad financiera E</x:v>
      </x:c>
      <x:c r="E1450" t="str">
        <x:v>Crédito educativo</x:v>
      </x:c>
      <x:c r="F1450" t="n">
        <x:v>25230000</x:v>
      </x:c>
      <x:c r="G1450" s="40" t="n">
        <x:v>0.1201</x:v>
      </x:c>
      <x:c r="H1450" s="40" t="n">
        <x:v>0.009496</x:v>
      </x:c>
      <x:c r="I1450" t="n">
        <x:v>18</x:v>
      </x:c>
      <x:c r="J1450" t="n">
        <x:v>1531500</x:v>
      </x:c>
      <x:c r="K1450" t="str">
        <x:v>Bola de nieve</x:v>
      </x:c>
      <x:c r="L1450" t="str">
        <x:v>Vigente</x:v>
      </x:c>
      <x:c r="M1450" t="n">
        <x:v>20282189.89</x:v>
      </x:c>
      <x:c r="N1450"/>
    </x:row>
    <x:row r="1451">
      <x:c r="A1451" t="str">
        <x:v>DEU-001450</x:v>
      </x:c>
      <x:c r="B1451" t="str">
        <x:v>USR-00755</x:v>
      </x:c>
      <x:c r="C1451" t="n">
        <x:v>46113</x:v>
      </x:c>
      <x:c r="D1451" t="str">
        <x:v>Entidad financiera B</x:v>
      </x:c>
      <x:c r="E1451" t="str">
        <x:v>Crédito de consumo</x:v>
      </x:c>
      <x:c r="F1451" t="n">
        <x:v>13750000</x:v>
      </x:c>
      <x:c r="G1451" s="40" t="n">
        <x:v>0.1518</x:v>
      </x:c>
      <x:c r="H1451" s="40" t="n">
        <x:v>0.011847</x:v>
      </x:c>
      <x:c r="I1451" t="n">
        <x:v>30</x:v>
      </x:c>
      <x:c r="J1451" t="n">
        <x:v>547300</x:v>
      </x:c>
      <x:c r="K1451" t="str">
        <x:v>Avalancha</x:v>
      </x:c>
      <x:c r="L1451" t="str">
        <x:v>Vigente</x:v>
      </x:c>
      <x:c r="M1451" t="n">
        <x:v>12526092.06</x:v>
      </x:c>
      <x:c r="N1451"/>
    </x:row>
    <x:row r="1452">
      <x:c r="A1452" t="str">
        <x:v>DEU-001451</x:v>
      </x:c>
      <x:c r="B1452" t="str">
        <x:v>USR-00756</x:v>
      </x:c>
      <x:c r="C1452" t="n">
        <x:v>46113</x:v>
      </x:c>
      <x:c r="D1452" t="str">
        <x:v>Entidad financiera E</x:v>
      </x:c>
      <x:c r="E1452" t="str">
        <x:v>Crédito de vehículo</x:v>
      </x:c>
      <x:c r="F1452" t="n">
        <x:v>44660000</x:v>
      </x:c>
      <x:c r="G1452" s="40" t="n">
        <x:v>0.149</x:v>
      </x:c>
      <x:c r="H1452" s="40" t="n">
        <x:v>0.011642</x:v>
      </x:c>
      <x:c r="I1452" t="n">
        <x:v>24</x:v>
      </x:c>
      <x:c r="J1452" t="n">
        <x:v>2143600</x:v>
      </x:c>
      <x:c r="K1452" t="str">
        <x:v>Bola de nieve</x:v>
      </x:c>
      <x:c r="L1452" t="str">
        <x:v>Vigente</x:v>
      </x:c>
      <x:c r="M1452" t="n">
        <x:v>34962732.76</x:v>
      </x:c>
      <x:c r="N1452"/>
    </x:row>
    <x:row r="1453">
      <x:c r="A1453" t="str">
        <x:v>DEU-001452</x:v>
      </x:c>
      <x:c r="B1453" t="str">
        <x:v>USR-00756</x:v>
      </x:c>
      <x:c r="C1453" t="n">
        <x:v>46113</x:v>
      </x:c>
      <x:c r="D1453" t="str">
        <x:v>Entidad financiera E</x:v>
      </x:c>
      <x:c r="E1453" t="str">
        <x:v>Tarjeta de crédito</x:v>
      </x:c>
      <x:c r="F1453" t="n">
        <x:v>4910000</x:v>
      </x:c>
      <x:c r="G1453" s="40" t="n">
        <x:v>0.1096</x:v>
      </x:c>
      <x:c r="H1453" s="40" t="n">
        <x:v>0.008704</x:v>
      </x:c>
      <x:c r="I1453" t="n">
        <x:v>36</x:v>
      </x:c>
      <x:c r="J1453" t="n">
        <x:v>159500</x:v>
      </x:c>
      <x:c r="K1453" t="str">
        <x:v>Bola de nieve</x:v>
      </x:c>
      <x:c r="L1453" t="str">
        <x:v>Vigente</x:v>
      </x:c>
      <x:c r="M1453" t="n">
        <x:v>4348885.16</x:v>
      </x:c>
      <x:c r="N1453"/>
    </x:row>
    <x:row r="1454">
      <x:c r="A1454" t="str">
        <x:v>DEU-001453</x:v>
      </x:c>
      <x:c r="B1454" t="str">
        <x:v>USR-00757</x:v>
      </x:c>
      <x:c r="C1454" t="n">
        <x:v>46113</x:v>
      </x:c>
      <x:c r="D1454" t="str">
        <x:v>Entidad financiera A</x:v>
      </x:c>
      <x:c r="E1454" t="str">
        <x:v>Crédito comercial</x:v>
      </x:c>
      <x:c r="F1454" t="n">
        <x:v>30620000</x:v>
      </x:c>
      <x:c r="G1454" s="40" t="n">
        <x:v>0.165</x:v>
      </x:c>
      <x:c r="H1454" s="40" t="n">
        <x:v>0.012808</x:v>
      </x:c>
      <x:c r="I1454" t="n">
        <x:v>36</x:v>
      </x:c>
      <x:c r="J1454" t="n">
        <x:v>1067000</x:v>
      </x:c>
      <x:c r="K1454" t="str">
        <x:v>Avalancha</x:v>
      </x:c>
      <x:c r="L1454" t="str">
        <x:v>Vigente</x:v>
      </x:c>
      <x:c r="M1454" t="n">
        <x:v>27963487.81</x:v>
      </x:c>
      <x:c r="N1454"/>
    </x:row>
    <x:row r="1455">
      <x:c r="A1455" t="str">
        <x:v>DEU-001454</x:v>
      </x:c>
      <x:c r="B1455" t="str">
        <x:v>USR-00758</x:v>
      </x:c>
      <x:c r="C1455" t="n">
        <x:v>46113</x:v>
      </x:c>
      <x:c r="D1455" t="str">
        <x:v>Entidad financiera E</x:v>
      </x:c>
      <x:c r="E1455" t="str">
        <x:v>Tarjeta de crédito</x:v>
      </x:c>
      <x:c r="F1455" t="n">
        <x:v>8080000</x:v>
      </x:c>
      <x:c r="G1455" s="40" t="n">
        <x:v>0.2017</x:v>
      </x:c>
      <x:c r="H1455" s="40" t="n">
        <x:v>0.015429</x:v>
      </x:c>
      <x:c r="I1455" t="n">
        <x:v>60</x:v>
      </x:c>
      <x:c r="J1455" t="n">
        <x:v>207400</x:v>
      </x:c>
      <x:c r="K1455" t="str">
        <x:v>Bola de nieve</x:v>
      </x:c>
      <x:c r="L1455" t="str">
        <x:v>Vigente</x:v>
      </x:c>
      <x:c r="M1455" t="n">
        <x:v>7704888.89</x:v>
      </x:c>
      <x:c r="N1455"/>
    </x:row>
    <x:row r="1456">
      <x:c r="A1456" t="str">
        <x:v>DEU-001455</x:v>
      </x:c>
      <x:c r="B1456" t="str">
        <x:v>USR-00759</x:v>
      </x:c>
      <x:c r="C1456" t="n">
        <x:v>46113</x:v>
      </x:c>
      <x:c r="D1456" t="str">
        <x:v>Entidad financiera E</x:v>
      </x:c>
      <x:c r="E1456" t="str">
        <x:v>Crédito de vehículo</x:v>
      </x:c>
      <x:c r="F1456" t="n">
        <x:v>55630000</x:v>
      </x:c>
      <x:c r="G1456" s="40" t="n">
        <x:v>0.3146</x:v>
      </x:c>
      <x:c r="H1456" s="40" t="n">
        <x:v>0.023056</x:v>
      </x:c>
      <x:c r="I1456" t="n">
        <x:v>24</x:v>
      </x:c>
      <x:c r="J1456" t="n">
        <x:v>3044000</x:v>
      </x:c>
      <x:c r="K1456" t="str">
        <x:v>Avalancha</x:v>
      </x:c>
      <x:c r="L1456" t="str">
        <x:v>Vigente</x:v>
      </x:c>
      <x:c r="M1456" t="n">
        <x:v>50128295.13</x:v>
      </x:c>
      <x:c r="N1456"/>
    </x:row>
    <x:row r="1457">
      <x:c r="A1457" t="str">
        <x:v>DEU-001456</x:v>
      </x:c>
      <x:c r="B1457" t="str">
        <x:v>USR-00759</x:v>
      </x:c>
      <x:c r="C1457" t="n">
        <x:v>46113</x:v>
      </x:c>
      <x:c r="D1457" t="str">
        <x:v>Entidad financiera E</x:v>
      </x:c>
      <x:c r="E1457" t="str">
        <x:v>Crédito de consumo</x:v>
      </x:c>
      <x:c r="F1457" t="n">
        <x:v>9170000</x:v>
      </x:c>
      <x:c r="G1457" s="40" t="n">
        <x:v>0.2653</x:v>
      </x:c>
      <x:c r="H1457" s="40" t="n">
        <x:v>0.019803</x:v>
      </x:c>
      <x:c r="I1457" t="n">
        <x:v>30</x:v>
      </x:c>
      <x:c r="J1457" t="n">
        <x:v>408300</x:v>
      </x:c>
      <x:c r="K1457" t="str">
        <x:v>Bola de nieve</x:v>
      </x:c>
      <x:c r="L1457" t="str">
        <x:v>Vigente</x:v>
      </x:c>
      <x:c r="M1457" t="n">
        <x:v>9130324.87</x:v>
      </x:c>
      <x:c r="N1457"/>
    </x:row>
    <x:row r="1458">
      <x:c r="A1458" t="str">
        <x:v>DEU-001457</x:v>
      </x:c>
      <x:c r="B1458" t="str">
        <x:v>USR-00760</x:v>
      </x:c>
      <x:c r="C1458" t="n">
        <x:v>46113</x:v>
      </x:c>
      <x:c r="D1458" t="str">
        <x:v>Financiera D</x:v>
      </x:c>
      <x:c r="E1458" t="str">
        <x:v>Crédito de vehículo</x:v>
      </x:c>
      <x:c r="F1458" t="n">
        <x:v>34110000</x:v>
      </x:c>
      <x:c r="G1458" s="40" t="n">
        <x:v>0.1315</x:v>
      </x:c>
      <x:c r="H1458" s="40" t="n">
        <x:v>0.010349</x:v>
      </x:c>
      <x:c r="I1458" t="n">
        <x:v>48</x:v>
      </x:c>
      <x:c r="J1458" t="n">
        <x:v>905300</x:v>
      </x:c>
      <x:c r="K1458" t="str">
        <x:v>Bola de nieve</x:v>
      </x:c>
      <x:c r="L1458" t="str">
        <x:v>Vigente</x:v>
      </x:c>
      <x:c r="M1458" t="n">
        <x:v>30859204.71</x:v>
      </x:c>
      <x:c r="N1458"/>
    </x:row>
    <x:row r="1459">
      <x:c r="A1459" t="str">
        <x:v>DEU-001458</x:v>
      </x:c>
      <x:c r="B1459" t="str">
        <x:v>USR-00761</x:v>
      </x:c>
      <x:c r="C1459" t="n">
        <x:v>46113</x:v>
      </x:c>
      <x:c r="D1459" t="str">
        <x:v>Entidad financiera E</x:v>
      </x:c>
      <x:c r="E1459" t="str">
        <x:v>Crédito educativo</x:v>
      </x:c>
      <x:c r="F1459" t="n">
        <x:v>15860000</x:v>
      </x:c>
      <x:c r="G1459" s="40" t="n">
        <x:v>0.2949</x:v>
      </x:c>
      <x:c r="H1459" s="40" t="n">
        <x:v>0.02177</x:v>
      </x:c>
      <x:c r="I1459" t="n">
        <x:v>36</x:v>
      </x:c>
      <x:c r="J1459" t="n">
        <x:v>640100</x:v>
      </x:c>
      <x:c r="K1459" t="str">
        <x:v>Avalancha</x:v>
      </x:c>
      <x:c r="L1459" t="str">
        <x:v>Vigente</x:v>
      </x:c>
      <x:c r="M1459" t="n">
        <x:v>15011857.06</x:v>
      </x:c>
      <x:c r="N1459"/>
    </x:row>
    <x:row r="1460">
      <x:c r="A1460" t="str">
        <x:v>DEU-001459</x:v>
      </x:c>
      <x:c r="B1460" t="str">
        <x:v>USR-00762</x:v>
      </x:c>
      <x:c r="C1460" t="n">
        <x:v>46113</x:v>
      </x:c>
      <x:c r="D1460" t="str">
        <x:v>Entidad financiera A</x:v>
      </x:c>
      <x:c r="E1460" t="str">
        <x:v>Crédito de vehículo</x:v>
      </x:c>
      <x:c r="F1460" t="n">
        <x:v>31260000</x:v>
      </x:c>
      <x:c r="G1460" s="40" t="n">
        <x:v>0.2186</x:v>
      </x:c>
      <x:c r="H1460" s="40" t="n">
        <x:v>0.016612</x:v>
      </x:c>
      <x:c r="I1460" t="n">
        <x:v>48</x:v>
      </x:c>
      <x:c r="J1460" t="n">
        <x:v>950200</x:v>
      </x:c>
      <x:c r="K1460" t="str">
        <x:v>Avalancha</x:v>
      </x:c>
      <x:c r="L1460" t="str">
        <x:v>Vigente</x:v>
      </x:c>
      <x:c r="M1460" t="n">
        <x:v>29129579.05</x:v>
      </x:c>
      <x:c r="N1460"/>
    </x:row>
    <x:row r="1461">
      <x:c r="A1461" t="str">
        <x:v>DEU-001460</x:v>
      </x:c>
      <x:c r="B1461" t="str">
        <x:v>USR-00762</x:v>
      </x:c>
      <x:c r="C1461" t="n">
        <x:v>46113</x:v>
      </x:c>
      <x:c r="D1461" t="str">
        <x:v>Entidad financiera B</x:v>
      </x:c>
      <x:c r="E1461" t="str">
        <x:v>Tarjeta de crédito</x:v>
      </x:c>
      <x:c r="F1461" t="n">
        <x:v>5880000</x:v>
      </x:c>
      <x:c r="G1461" s="40" t="n">
        <x:v>0.2147</x:v>
      </x:c>
      <x:c r="H1461" s="40" t="n">
        <x:v>0.01634</x:v>
      </x:c>
      <x:c r="I1461" t="n">
        <x:v>24</x:v>
      </x:c>
      <x:c r="J1461" t="n">
        <x:v>298100</x:v>
      </x:c>
      <x:c r="K1461" t="str">
        <x:v>Bola de nieve</x:v>
      </x:c>
      <x:c r="L1461" t="str">
        <x:v>Vigente</x:v>
      </x:c>
      <x:c r="M1461" t="n">
        <x:v>5487774.47</x:v>
      </x:c>
      <x:c r="N1461"/>
    </x:row>
    <x:row r="1462">
      <x:c r="A1462" t="str">
        <x:v>DEU-001461</x:v>
      </x:c>
      <x:c r="B1462" t="str">
        <x:v>USR-00763</x:v>
      </x:c>
      <x:c r="C1462" t="n">
        <x:v>46113</x:v>
      </x:c>
      <x:c r="D1462" t="str">
        <x:v>Entidad financiera B</x:v>
      </x:c>
      <x:c r="E1462" t="str">
        <x:v>Tarjeta de crédito</x:v>
      </x:c>
      <x:c r="F1462" t="n">
        <x:v>2490000</x:v>
      </x:c>
      <x:c r="G1462" s="40" t="n">
        <x:v>0.2399</x:v>
      </x:c>
      <x:c r="H1462" s="40" t="n">
        <x:v>0.018081</x:v>
      </x:c>
      <x:c r="I1462" t="n">
        <x:v>24</x:v>
      </x:c>
      <x:c r="J1462" t="n">
        <x:v>128800</x:v>
      </x:c>
      <x:c r="K1462" t="str">
        <x:v>Bola de nieve</x:v>
      </x:c>
      <x:c r="L1462" t="str">
        <x:v>Vigente</x:v>
      </x:c>
      <x:c r="M1462" t="n">
        <x:v>2110345.01</x:v>
      </x:c>
      <x:c r="N1462"/>
    </x:row>
    <x:row r="1463">
      <x:c r="A1463" t="str">
        <x:v>DEU-001462</x:v>
      </x:c>
      <x:c r="B1463" t="str">
        <x:v>USR-00763</x:v>
      </x:c>
      <x:c r="C1463" t="n">
        <x:v>46113</x:v>
      </x:c>
      <x:c r="D1463" t="str">
        <x:v>Entidad financiera A</x:v>
      </x:c>
      <x:c r="E1463" t="str">
        <x:v>Tarjeta de crédito</x:v>
      </x:c>
      <x:c r="F1463" t="n">
        <x:v>5710000</x:v>
      </x:c>
      <x:c r="G1463" s="40" t="n">
        <x:v>0.3269</x:v>
      </x:c>
      <x:c r="H1463" s="40" t="n">
        <x:v>0.02385</x:v>
      </x:c>
      <x:c r="I1463" t="n">
        <x:v>48</x:v>
      </x:c>
      <x:c r="J1463" t="n">
        <x:v>201000</x:v>
      </x:c>
      <x:c r="K1463" t="str">
        <x:v>Avalancha</x:v>
      </x:c>
      <x:c r="L1463" t="str">
        <x:v>Vigente</x:v>
      </x:c>
      <x:c r="M1463" t="n">
        <x:v>6139802.58</x:v>
      </x:c>
      <x:c r="N1463"/>
    </x:row>
    <x:row r="1464">
      <x:c r="A1464" t="str">
        <x:v>DEU-001463</x:v>
      </x:c>
      <x:c r="B1464" t="str">
        <x:v>USR-00764</x:v>
      </x:c>
      <x:c r="C1464" t="n">
        <x:v>46113</x:v>
      </x:c>
      <x:c r="D1464" t="str">
        <x:v>Entidad financiera A</x:v>
      </x:c>
      <x:c r="E1464" t="str">
        <x:v>Crédito de consumo</x:v>
      </x:c>
      <x:c r="F1464" t="n">
        <x:v>2920000</x:v>
      </x:c>
      <x:c r="G1464" s="40" t="n">
        <x:v>0.3419</x:v>
      </x:c>
      <x:c r="H1464" s="40" t="n">
        <x:v>0.02481</x:v>
      </x:c>
      <x:c r="I1464" t="n">
        <x:v>18</x:v>
      </x:c>
      <x:c r="J1464" t="n">
        <x:v>203100</x:v>
      </x:c>
      <x:c r="K1464" t="str">
        <x:v>Bola de nieve</x:v>
      </x:c>
      <x:c r="L1464" t="str">
        <x:v>Vigente</x:v>
      </x:c>
      <x:c r="M1464" t="n">
        <x:v>2782324.91</x:v>
      </x:c>
      <x:c r="N1464"/>
    </x:row>
    <x:row r="1465">
      <x:c r="A1465" t="str">
        <x:v>DEU-001464</x:v>
      </x:c>
      <x:c r="B1465" t="str">
        <x:v>USR-00765</x:v>
      </x:c>
      <x:c r="C1465" t="n">
        <x:v>46113</x:v>
      </x:c>
      <x:c r="D1465" t="str">
        <x:v>Cooperativa C</x:v>
      </x:c>
      <x:c r="E1465" t="str">
        <x:v>Tarjeta de crédito</x:v>
      </x:c>
      <x:c r="F1465" t="n">
        <x:v>3890000</x:v>
      </x:c>
      <x:c r="G1465" s="40" t="n">
        <x:v>0.2527</x:v>
      </x:c>
      <x:c r="H1465" s="40" t="n">
        <x:v>0.018952</x:v>
      </x:c>
      <x:c r="I1465" t="n">
        <x:v>12</x:v>
      </x:c>
      <x:c r="J1465" t="n">
        <x:v>365500</x:v>
      </x:c>
      <x:c r="K1465" t="str">
        <x:v>Avalancha</x:v>
      </x:c>
      <x:c r="L1465" t="str">
        <x:v>Vigente</x:v>
      </x:c>
      <x:c r="M1465" t="n">
        <x:v>3690405.06</x:v>
      </x:c>
      <x:c r="N1465"/>
    </x:row>
    <x:row r="1466">
      <x:c r="A1466" t="str">
        <x:v>DEU-001465</x:v>
      </x:c>
      <x:c r="B1466" t="str">
        <x:v>USR-00765</x:v>
      </x:c>
      <x:c r="C1466" t="n">
        <x:v>46113</x:v>
      </x:c>
      <x:c r="D1466" t="str">
        <x:v>Entidad financiera E</x:v>
      </x:c>
      <x:c r="E1466" t="str">
        <x:v>Tarjeta de crédito</x:v>
      </x:c>
      <x:c r="F1466" t="n">
        <x:v>8350000</x:v>
      </x:c>
      <x:c r="G1466" s="40" t="n">
        <x:v>0.1301</x:v>
      </x:c>
      <x:c r="H1466" s="40" t="n">
        <x:v>0.010244</x:v>
      </x:c>
      <x:c r="I1466" t="n">
        <x:v>30</x:v>
      </x:c>
      <x:c r="J1466" t="n">
        <x:v>324700</x:v>
      </x:c>
      <x:c r="K1466" t="str">
        <x:v>Avalancha</x:v>
      </x:c>
      <x:c r="L1466" t="str">
        <x:v>Vigente</x:v>
      </x:c>
      <x:c r="M1466" t="n">
        <x:v>7568312.1</x:v>
      </x:c>
      <x:c r="N1466"/>
    </x:row>
    <x:row r="1467">
      <x:c r="A1467" t="str">
        <x:v>DEU-001466</x:v>
      </x:c>
      <x:c r="B1467" t="str">
        <x:v>USR-00766</x:v>
      </x:c>
      <x:c r="C1467" t="n">
        <x:v>46113</x:v>
      </x:c>
      <x:c r="D1467" t="str">
        <x:v>Financiera D</x:v>
      </x:c>
      <x:c r="E1467" t="str">
        <x:v>Crédito de consumo</x:v>
      </x:c>
      <x:c r="F1467" t="n">
        <x:v>17360000</x:v>
      </x:c>
      <x:c r="G1467" s="40" t="n">
        <x:v>0.2754</x:v>
      </x:c>
      <x:c r="H1467" s="40" t="n">
        <x:v>0.020479</x:v>
      </x:c>
      <x:c r="I1467" t="n">
        <x:v>30</x:v>
      </x:c>
      <x:c r="J1467" t="n">
        <x:v>780200</x:v>
      </x:c>
      <x:c r="K1467" t="str">
        <x:v>Bola de nieve</x:v>
      </x:c>
      <x:c r="L1467" t="str">
        <x:v>Vigente</x:v>
      </x:c>
      <x:c r="M1467" t="n">
        <x:v>15737681.66</x:v>
      </x:c>
      <x:c r="N1467"/>
    </x:row>
    <x:row r="1468">
      <x:c r="A1468" t="str">
        <x:v>DEU-001467</x:v>
      </x:c>
      <x:c r="B1468" t="str">
        <x:v>USR-00766</x:v>
      </x:c>
      <x:c r="C1468" t="n">
        <x:v>46113</x:v>
      </x:c>
      <x:c r="D1468" t="str">
        <x:v>Cooperativa C</x:v>
      </x:c>
      <x:c r="E1468" t="str">
        <x:v>Crédito de consumo</x:v>
      </x:c>
      <x:c r="F1468" t="n">
        <x:v>7450000</x:v>
      </x:c>
      <x:c r="G1468" s="40" t="n">
        <x:v>0.2913</x:v>
      </x:c>
      <x:c r="H1468" s="40" t="n">
        <x:v>0.021533</x:v>
      </x:c>
      <x:c r="I1468" t="n">
        <x:v>36</x:v>
      </x:c>
      <x:c r="J1468" t="n">
        <x:v>299500</x:v>
      </x:c>
      <x:c r="K1468" t="str">
        <x:v>Avalancha</x:v>
      </x:c>
      <x:c r="L1468" t="str">
        <x:v>Vigente</x:v>
      </x:c>
      <x:c r="M1468" t="n">
        <x:v>7242802.27</x:v>
      </x:c>
      <x:c r="N1468"/>
    </x:row>
    <x:row r="1469">
      <x:c r="A1469" t="str">
        <x:v>DEU-001468</x:v>
      </x:c>
      <x:c r="B1469" t="str">
        <x:v>USR-00767</x:v>
      </x:c>
      <x:c r="C1469" t="n">
        <x:v>46113</x:v>
      </x:c>
      <x:c r="D1469" t="str">
        <x:v>Entidad financiera E</x:v>
      </x:c>
      <x:c r="E1469" t="str">
        <x:v>Crédito de consumo</x:v>
      </x:c>
      <x:c r="F1469" t="n">
        <x:v>15970000</x:v>
      </x:c>
      <x:c r="G1469" s="40" t="n">
        <x:v>0.2546</x:v>
      </x:c>
      <x:c r="H1469" s="40" t="n">
        <x:v>0.019081</x:v>
      </x:c>
      <x:c r="I1469" t="n">
        <x:v>12</x:v>
      </x:c>
      <x:c r="J1469" t="n">
        <x:v>1501600</x:v>
      </x:c>
      <x:c r="K1469" t="str">
        <x:v>Bola de nieve</x:v>
      </x:c>
      <x:c r="L1469" t="str">
        <x:v>Vigente</x:v>
      </x:c>
      <x:c r="M1469" t="n">
        <x:v>10348208.65</x:v>
      </x:c>
      <x:c r="N1469"/>
    </x:row>
    <x:row r="1470">
      <x:c r="A1470" t="str">
        <x:v>DEU-001469</x:v>
      </x:c>
      <x:c r="B1470" t="str">
        <x:v>USR-00767</x:v>
      </x:c>
      <x:c r="C1470" t="n">
        <x:v>46113</x:v>
      </x:c>
      <x:c r="D1470" t="str">
        <x:v>Entidad financiera E</x:v>
      </x:c>
      <x:c r="E1470" t="str">
        <x:v>Crédito de consumo</x:v>
      </x:c>
      <x:c r="F1470" t="n">
        <x:v>12170000</x:v>
      </x:c>
      <x:c r="G1470" s="40" t="n">
        <x:v>0.2288</x:v>
      </x:c>
      <x:c r="H1470" s="40" t="n">
        <x:v>0.017318</x:v>
      </x:c>
      <x:c r="I1470" t="n">
        <x:v>30</x:v>
      </x:c>
      <x:c r="J1470" t="n">
        <x:v>523600</x:v>
      </x:c>
      <x:c r="K1470" t="str">
        <x:v>Bola de nieve</x:v>
      </x:c>
      <x:c r="L1470" t="str">
        <x:v>Vigente</x:v>
      </x:c>
      <x:c r="M1470" t="n">
        <x:v>10730827.7</x:v>
      </x:c>
      <x:c r="N1470"/>
    </x:row>
    <x:row r="1471">
      <x:c r="A1471" t="str">
        <x:v>DEU-001470</x:v>
      </x:c>
      <x:c r="B1471" t="str">
        <x:v>USR-00768</x:v>
      </x:c>
      <x:c r="C1471" t="n">
        <x:v>46113</x:v>
      </x:c>
      <x:c r="D1471" t="str">
        <x:v>Financiera D</x:v>
      </x:c>
      <x:c r="E1471" t="str">
        <x:v>Tarjeta de crédito</x:v>
      </x:c>
      <x:c r="F1471" t="n">
        <x:v>4900000</x:v>
      </x:c>
      <x:c r="G1471" s="40" t="n">
        <x:v>0.1452</x:v>
      </x:c>
      <x:c r="H1471" s="40" t="n">
        <x:v>0.011362</x:v>
      </x:c>
      <x:c r="I1471" t="n">
        <x:v>12</x:v>
      </x:c>
      <x:c r="J1471" t="n">
        <x:v>439100</x:v>
      </x:c>
      <x:c r="K1471" t="str">
        <x:v>Avalancha</x:v>
      </x:c>
      <x:c r="L1471" t="str">
        <x:v>Vigente</x:v>
      </x:c>
      <x:c r="M1471" t="n">
        <x:v>3459982.49</x:v>
      </x:c>
      <x:c r="N1471"/>
    </x:row>
    <x:row r="1472">
      <x:c r="A1472" t="str">
        <x:v>DEU-001471</x:v>
      </x:c>
      <x:c r="B1472" t="str">
        <x:v>USR-00768</x:v>
      </x:c>
      <x:c r="C1472" t="n">
        <x:v>46113</x:v>
      </x:c>
      <x:c r="D1472" t="str">
        <x:v>Financiera D</x:v>
      </x:c>
      <x:c r="E1472" t="str">
        <x:v>Crédito educativo</x:v>
      </x:c>
      <x:c r="F1472" t="n">
        <x:v>18580000</x:v>
      </x:c>
      <x:c r="G1472" s="40" t="n">
        <x:v>0.1501</x:v>
      </x:c>
      <x:c r="H1472" s="40" t="n">
        <x:v>0.011722</x:v>
      </x:c>
      <x:c r="I1472" t="n">
        <x:v>18</x:v>
      </x:c>
      <x:c r="J1472" t="n">
        <x:v>1151000</x:v>
      </x:c>
      <x:c r="K1472" t="str">
        <x:v>Avalancha</x:v>
      </x:c>
      <x:c r="L1472" t="str">
        <x:v>Vigente</x:v>
      </x:c>
      <x:c r="M1472" t="n">
        <x:v>14444761.68</x:v>
      </x:c>
      <x:c r="N1472"/>
    </x:row>
    <x:row r="1473">
      <x:c r="A1473" t="str">
        <x:v>DEU-001472</x:v>
      </x:c>
      <x:c r="B1473" t="str">
        <x:v>USR-00768</x:v>
      </x:c>
      <x:c r="C1473" t="n">
        <x:v>46113</x:v>
      </x:c>
      <x:c r="D1473" t="str">
        <x:v>Cooperativa C</x:v>
      </x:c>
      <x:c r="E1473" t="str">
        <x:v>Tarjeta de crédito</x:v>
      </x:c>
      <x:c r="F1473" t="n">
        <x:v>1870000</x:v>
      </x:c>
      <x:c r="G1473" s="40" t="n">
        <x:v>0.3176</x:v>
      </x:c>
      <x:c r="H1473" s="40" t="n">
        <x:v>0.02325</x:v>
      </x:c>
      <x:c r="I1473" t="n">
        <x:v>48</x:v>
      </x:c>
      <x:c r="J1473" t="n">
        <x:v>65100</x:v>
      </x:c>
      <x:c r="K1473" t="str">
        <x:v>Avalancha</x:v>
      </x:c>
      <x:c r="L1473" t="str">
        <x:v>Vigente</x:v>
      </x:c>
      <x:c r="M1473" t="n">
        <x:v>1851798.7</x:v>
      </x:c>
      <x:c r="N1473"/>
    </x:row>
    <x:row r="1474">
      <x:c r="A1474" t="str">
        <x:v>DEU-001473</x:v>
      </x:c>
      <x:c r="B1474" t="str">
        <x:v>USR-00768</x:v>
      </x:c>
      <x:c r="C1474" t="n">
        <x:v>46113</x:v>
      </x:c>
      <x:c r="D1474" t="str">
        <x:v>Cooperativa C</x:v>
      </x:c>
      <x:c r="E1474" t="str">
        <x:v>Tarjeta de crédito</x:v>
      </x:c>
      <x:c r="F1474" t="n">
        <x:v>7090000</x:v>
      </x:c>
      <x:c r="G1474" s="40" t="n">
        <x:v>0.234</x:v>
      </x:c>
      <x:c r="H1474" s="40" t="n">
        <x:v>0.017676</x:v>
      </x:c>
      <x:c r="I1474" t="n">
        <x:v>30</x:v>
      </x:c>
      <x:c r="J1474" t="n">
        <x:v>306500</x:v>
      </x:c>
      <x:c r="K1474" t="str">
        <x:v>Avalancha</x:v>
      </x:c>
      <x:c r="L1474" t="str">
        <x:v>Vigente</x:v>
      </x:c>
      <x:c r="M1474" t="n">
        <x:v>6311102.17</x:v>
      </x:c>
      <x:c r="N1474"/>
    </x:row>
    <x:row r="1475">
      <x:c r="A1475" t="str">
        <x:v>DEU-001474</x:v>
      </x:c>
      <x:c r="B1475" t="str">
        <x:v>USR-00769</x:v>
      </x:c>
      <x:c r="C1475" t="n">
        <x:v>46113</x:v>
      </x:c>
      <x:c r="D1475" t="str">
        <x:v>Entidad financiera E</x:v>
      </x:c>
      <x:c r="E1475" t="str">
        <x:v>Crédito de consumo</x:v>
      </x:c>
      <x:c r="F1475" t="n">
        <x:v>3710000</x:v>
      </x:c>
      <x:c r="G1475" s="40" t="n">
        <x:v>0.1341</x:v>
      </x:c>
      <x:c r="H1475" s="40" t="n">
        <x:v>0.010542</x:v>
      </x:c>
      <x:c r="I1475" t="n">
        <x:v>30</x:v>
      </x:c>
      <x:c r="J1475" t="n">
        <x:v>144900</x:v>
      </x:c>
      <x:c r="K1475" t="str">
        <x:v>Avalancha</x:v>
      </x:c>
      <x:c r="L1475" t="str">
        <x:v>Vigente</x:v>
      </x:c>
      <x:c r="M1475" t="n">
        <x:v>3424706.63</x:v>
      </x:c>
      <x:c r="N1475"/>
    </x:row>
    <x:row r="1476">
      <x:c r="A1476" t="str">
        <x:v>DEU-001475</x:v>
      </x:c>
      <x:c r="B1476" t="str">
        <x:v>USR-00769</x:v>
      </x:c>
      <x:c r="C1476" t="n">
        <x:v>46113</x:v>
      </x:c>
      <x:c r="D1476" t="str">
        <x:v>Entidad financiera B</x:v>
      </x:c>
      <x:c r="E1476" t="str">
        <x:v>Tarjeta de crédito</x:v>
      </x:c>
      <x:c r="F1476" t="n">
        <x:v>2560000</x:v>
      </x:c>
      <x:c r="G1476" s="40" t="n">
        <x:v>0.2525</x:v>
      </x:c>
      <x:c r="H1476" s="40" t="n">
        <x:v>0.018939</x:v>
      </x:c>
      <x:c r="I1476" t="n">
        <x:v>30</x:v>
      </x:c>
      <x:c r="J1476" t="n">
        <x:v>112600</x:v>
      </x:c>
      <x:c r="K1476" t="str">
        <x:v>Avalancha</x:v>
      </x:c>
      <x:c r="L1476" t="str">
        <x:v>Vigente</x:v>
      </x:c>
      <x:c r="M1476" t="n">
        <x:v>2556208.32</x:v>
      </x:c>
      <x:c r="N1476"/>
    </x:row>
    <x:row r="1477">
      <x:c r="A1477" t="str">
        <x:v>DEU-001476</x:v>
      </x:c>
      <x:c r="B1477" t="str">
        <x:v>USR-00770</x:v>
      </x:c>
      <x:c r="C1477" t="n">
        <x:v>46113</x:v>
      </x:c>
      <x:c r="D1477" t="str">
        <x:v>Entidad financiera A</x:v>
      </x:c>
      <x:c r="E1477" t="str">
        <x:v>Tarjeta de crédito</x:v>
      </x:c>
      <x:c r="F1477" t="n">
        <x:v>6010000</x:v>
      </x:c>
      <x:c r="G1477" s="40" t="n">
        <x:v>0.1402</x:v>
      </x:c>
      <x:c r="H1477" s="40" t="n">
        <x:v>0.010994</x:v>
      </x:c>
      <x:c r="I1477" t="n">
        <x:v>48</x:v>
      </x:c>
      <x:c r="J1477" t="n">
        <x:v>161800</x:v>
      </x:c>
      <x:c r="K1477" t="str">
        <x:v>Avalancha</x:v>
      </x:c>
      <x:c r="L1477" t="str">
        <x:v>Vigente</x:v>
      </x:c>
      <x:c r="M1477" t="n">
        <x:v>5569596.97</x:v>
      </x:c>
      <x:c r="N1477"/>
    </x:row>
    <x:row r="1478">
      <x:c r="A1478" t="str">
        <x:v>DEU-001477</x:v>
      </x:c>
      <x:c r="B1478" t="str">
        <x:v>USR-00771</x:v>
      </x:c>
      <x:c r="C1478" t="n">
        <x:v>46113</x:v>
      </x:c>
      <x:c r="D1478" t="str">
        <x:v>Cooperativa C</x:v>
      </x:c>
      <x:c r="E1478" t="str">
        <x:v>Crédito de vehículo</x:v>
      </x:c>
      <x:c r="F1478" t="n">
        <x:v>42710000</x:v>
      </x:c>
      <x:c r="G1478" s="40" t="n">
        <x:v>0.2795</x:v>
      </x:c>
      <x:c r="H1478" s="40" t="n">
        <x:v>0.020751</x:v>
      </x:c>
      <x:c r="I1478" t="n">
        <x:v>24</x:v>
      </x:c>
      <x:c r="J1478" t="n">
        <x:v>2277400</x:v>
      </x:c>
      <x:c r="K1478" t="str">
        <x:v>Avalancha</x:v>
      </x:c>
      <x:c r="L1478" t="str">
        <x:v>Vigente</x:v>
      </x:c>
      <x:c r="M1478" t="n">
        <x:v>43820060.77</x:v>
      </x:c>
      <x:c r="N1478"/>
    </x:row>
    <x:row r="1479">
      <x:c r="A1479" t="str">
        <x:v>DEU-001478</x:v>
      </x:c>
      <x:c r="B1479" t="str">
        <x:v>USR-00772</x:v>
      </x:c>
      <x:c r="C1479" t="n">
        <x:v>46113</x:v>
      </x:c>
      <x:c r="D1479" t="str">
        <x:v>Entidad financiera A</x:v>
      </x:c>
      <x:c r="E1479" t="str">
        <x:v>Crédito de consumo</x:v>
      </x:c>
      <x:c r="F1479" t="n">
        <x:v>9240000</x:v>
      </x:c>
      <x:c r="G1479" s="40" t="n">
        <x:v>0.1291</x:v>
      </x:c>
      <x:c r="H1479" s="40" t="n">
        <x:v>0.01017</x:v>
      </x:c>
      <x:c r="I1479" t="n">
        <x:v>30</x:v>
      </x:c>
      <x:c r="J1479" t="n">
        <x:v>358900</x:v>
      </x:c>
      <x:c r="K1479" t="str">
        <x:v>Bola de nieve</x:v>
      </x:c>
      <x:c r="L1479" t="str">
        <x:v>Vigente</x:v>
      </x:c>
      <x:c r="M1479" t="n">
        <x:v>9146382.24</x:v>
      </x:c>
      <x:c r="N1479"/>
    </x:row>
    <x:row r="1480">
      <x:c r="A1480" t="str">
        <x:v>DEU-001479</x:v>
      </x:c>
      <x:c r="B1480" t="str">
        <x:v>USR-00773</x:v>
      </x:c>
      <x:c r="C1480" t="n">
        <x:v>46113</x:v>
      </x:c>
      <x:c r="D1480" t="str">
        <x:v>Cooperativa C</x:v>
      </x:c>
      <x:c r="E1480" t="str">
        <x:v>Crédito de libre inversión</x:v>
      </x:c>
      <x:c r="F1480" t="n">
        <x:v>12940000</x:v>
      </x:c>
      <x:c r="G1480" s="40" t="n">
        <x:v>0.1838</x:v>
      </x:c>
      <x:c r="H1480" s="40" t="n">
        <x:v>0.01416</x:v>
      </x:c>
      <x:c r="I1480" t="n">
        <x:v>24</x:v>
      </x:c>
      <x:c r="J1480" t="n">
        <x:v>639700</x:v>
      </x:c>
      <x:c r="K1480" t="str">
        <x:v>Bola de nieve</x:v>
      </x:c>
      <x:c r="L1480" t="str">
        <x:v>Vigente</x:v>
      </x:c>
      <x:c r="M1480" t="n">
        <x:v>10913974.94</x:v>
      </x:c>
      <x:c r="N1480"/>
    </x:row>
    <x:row r="1481">
      <x:c r="A1481" t="str">
        <x:v>DEU-001480</x:v>
      </x:c>
      <x:c r="B1481" t="str">
        <x:v>USR-00773</x:v>
      </x:c>
      <x:c r="C1481" t="n">
        <x:v>46113</x:v>
      </x:c>
      <x:c r="D1481" t="str">
        <x:v>Entidad financiera B</x:v>
      </x:c>
      <x:c r="E1481" t="str">
        <x:v>Crédito de consumo</x:v>
      </x:c>
      <x:c r="F1481" t="n">
        <x:v>9880000</x:v>
      </x:c>
      <x:c r="G1481" s="40" t="n">
        <x:v>0.1285</x:v>
      </x:c>
      <x:c r="H1481" s="40" t="n">
        <x:v>0.010125</x:v>
      </x:c>
      <x:c r="I1481" t="n">
        <x:v>30</x:v>
      </x:c>
      <x:c r="J1481" t="n">
        <x:v>383500</x:v>
      </x:c>
      <x:c r="K1481" t="str">
        <x:v>Bola de nieve</x:v>
      </x:c>
      <x:c r="L1481" t="str">
        <x:v>Vigente</x:v>
      </x:c>
      <x:c r="M1481" t="n">
        <x:v>7834860.77</x:v>
      </x:c>
      <x:c r="N1481"/>
    </x:row>
    <x:row r="1482">
      <x:c r="A1482" t="str">
        <x:v>DEU-001481</x:v>
      </x:c>
      <x:c r="B1482" t="str">
        <x:v>USR-00774</x:v>
      </x:c>
      <x:c r="C1482" t="n">
        <x:v>46113</x:v>
      </x:c>
      <x:c r="D1482" t="str">
        <x:v>Financiera D</x:v>
      </x:c>
      <x:c r="E1482" t="str">
        <x:v>Tarjeta de crédito</x:v>
      </x:c>
      <x:c r="F1482" t="n">
        <x:v>2870000</x:v>
      </x:c>
      <x:c r="G1482" s="40" t="n">
        <x:v>0.2754</x:v>
      </x:c>
      <x:c r="H1482" s="40" t="n">
        <x:v>0.020479</x:v>
      </x:c>
      <x:c r="I1482" t="n">
        <x:v>24</x:v>
      </x:c>
      <x:c r="J1482" t="n">
        <x:v>152600</x:v>
      </x:c>
      <x:c r="K1482" t="str">
        <x:v>Bola de nieve</x:v>
      </x:c>
      <x:c r="L1482" t="str">
        <x:v>Vigente</x:v>
      </x:c>
      <x:c r="M1482" t="n">
        <x:v>2535187.08</x:v>
      </x:c>
      <x:c r="N1482"/>
    </x:row>
    <x:row r="1483">
      <x:c r="A1483" t="str">
        <x:v>DEU-001482</x:v>
      </x:c>
      <x:c r="B1483" t="str">
        <x:v>USR-00775</x:v>
      </x:c>
      <x:c r="C1483" t="n">
        <x:v>46113</x:v>
      </x:c>
      <x:c r="D1483" t="str">
        <x:v>Entidad financiera A</x:v>
      </x:c>
      <x:c r="E1483" t="str">
        <x:v>Crédito de libre inversión</x:v>
      </x:c>
      <x:c r="F1483" t="n">
        <x:v>12460000</x:v>
      </x:c>
      <x:c r="G1483" s="40" t="n">
        <x:v>0.1589</x:v>
      </x:c>
      <x:c r="H1483" s="40" t="n">
        <x:v>0.012365</x:v>
      </x:c>
      <x:c r="I1483" t="n">
        <x:v>18</x:v>
      </x:c>
      <x:c r="J1483" t="n">
        <x:v>776400</x:v>
      </x:c>
      <x:c r="K1483" t="str">
        <x:v>Bola de nieve</x:v>
      </x:c>
      <x:c r="L1483" t="str">
        <x:v>Vigente</x:v>
      </x:c>
      <x:c r="M1483" t="n">
        <x:v>9591022.97</x:v>
      </x:c>
      <x:c r="N1483"/>
    </x:row>
    <x:row r="1484">
      <x:c r="A1484" t="str">
        <x:v>DEU-001483</x:v>
      </x:c>
      <x:c r="B1484" t="str">
        <x:v>USR-00775</x:v>
      </x:c>
      <x:c r="C1484" t="n">
        <x:v>46113</x:v>
      </x:c>
      <x:c r="D1484" t="str">
        <x:v>Entidad financiera B</x:v>
      </x:c>
      <x:c r="E1484" t="str">
        <x:v>Tarjeta de crédito</x:v>
      </x:c>
      <x:c r="F1484" t="n">
        <x:v>2090000</x:v>
      </x:c>
      <x:c r="G1484" s="40" t="n">
        <x:v>0.1084</x:v>
      </x:c>
      <x:c r="H1484" s="40" t="n">
        <x:v>0.008613</x:v>
      </x:c>
      <x:c r="I1484" t="n">
        <x:v>24</x:v>
      </x:c>
      <x:c r="J1484" t="n">
        <x:v>96800</x:v>
      </x:c>
      <x:c r="K1484" t="str">
        <x:v>Bola de nieve</x:v>
      </x:c>
      <x:c r="L1484" t="str">
        <x:v>Vigente</x:v>
      </x:c>
      <x:c r="M1484" t="n">
        <x:v>1698102.92</x:v>
      </x:c>
      <x:c r="N1484"/>
    </x:row>
    <x:row r="1485">
      <x:c r="A1485" t="str">
        <x:v>DEU-001484</x:v>
      </x:c>
      <x:c r="B1485" t="str">
        <x:v>USR-00775</x:v>
      </x:c>
      <x:c r="C1485" t="n">
        <x:v>46113</x:v>
      </x:c>
      <x:c r="D1485" t="str">
        <x:v>Entidad financiera E</x:v>
      </x:c>
      <x:c r="E1485" t="str">
        <x:v>Crédito de consumo</x:v>
      </x:c>
      <x:c r="F1485" t="n">
        <x:v>15230000</x:v>
      </x:c>
      <x:c r="G1485" s="40" t="n">
        <x:v>0.3227</x:v>
      </x:c>
      <x:c r="H1485" s="40" t="n">
        <x:v>0.02358</x:v>
      </x:c>
      <x:c r="I1485" t="n">
        <x:v>24</x:v>
      </x:c>
      <x:c r="J1485" t="n">
        <x:v>838300</x:v>
      </x:c>
      <x:c r="K1485" t="str">
        <x:v>Bola de nieve</x:v>
      </x:c>
      <x:c r="L1485" t="str">
        <x:v>Vigente</x:v>
      </x:c>
      <x:c r="M1485" t="n">
        <x:v>12446564.62</x:v>
      </x:c>
      <x:c r="N1485"/>
    </x:row>
    <x:row r="1486">
      <x:c r="A1486" t="str">
        <x:v>DEU-001485</x:v>
      </x:c>
      <x:c r="B1486" t="str">
        <x:v>USR-00775</x:v>
      </x:c>
      <x:c r="C1486" t="n">
        <x:v>46113</x:v>
      </x:c>
      <x:c r="D1486" t="str">
        <x:v>Financiera D</x:v>
      </x:c>
      <x:c r="E1486" t="str">
        <x:v>Tarjeta de crédito</x:v>
      </x:c>
      <x:c r="F1486" t="n">
        <x:v>5810000</x:v>
      </x:c>
      <x:c r="G1486" s="40" t="n">
        <x:v>0.2288</x:v>
      </x:c>
      <x:c r="H1486" s="40" t="n">
        <x:v>0.017318</x:v>
      </x:c>
      <x:c r="I1486" t="n">
        <x:v>24</x:v>
      </x:c>
      <x:c r="J1486" t="n">
        <x:v>297900</x:v>
      </x:c>
      <x:c r="K1486" t="str">
        <x:v>Bola de nieve</x:v>
      </x:c>
      <x:c r="L1486" t="str">
        <x:v>Vigente</x:v>
      </x:c>
      <x:c r="M1486" t="n">
        <x:v>4990188.27</x:v>
      </x:c>
      <x:c r="N1486"/>
    </x:row>
    <x:row r="1487">
      <x:c r="A1487" t="str">
        <x:v>DEU-001486</x:v>
      </x:c>
      <x:c r="B1487" t="str">
        <x:v>USR-00776</x:v>
      </x:c>
      <x:c r="C1487" t="n">
        <x:v>46113</x:v>
      </x:c>
      <x:c r="D1487" t="str">
        <x:v>Entidad financiera E</x:v>
      </x:c>
      <x:c r="E1487" t="str">
        <x:v>Crédito de consumo</x:v>
      </x:c>
      <x:c r="F1487" t="n">
        <x:v>9850000</x:v>
      </x:c>
      <x:c r="G1487" s="40" t="n">
        <x:v>0.2377</x:v>
      </x:c>
      <x:c r="H1487" s="40" t="n">
        <x:v>0.01793</x:v>
      </x:c>
      <x:c r="I1487" t="n">
        <x:v>60</x:v>
      </x:c>
      <x:c r="J1487" t="n">
        <x:v>269300</x:v>
      </x:c>
      <x:c r="K1487" t="str">
        <x:v>Avalancha</x:v>
      </x:c>
      <x:c r="L1487" t="str">
        <x:v>Vigente</x:v>
      </x:c>
      <x:c r="M1487" t="n">
        <x:v>9140758.28</x:v>
      </x:c>
      <x:c r="N1487"/>
    </x:row>
    <x:row r="1488">
      <x:c r="A1488" t="str">
        <x:v>DEU-001487</x:v>
      </x:c>
      <x:c r="B1488" t="str">
        <x:v>USR-00776</x:v>
      </x:c>
      <x:c r="C1488" t="n">
        <x:v>46113</x:v>
      </x:c>
      <x:c r="D1488" t="str">
        <x:v>Entidad financiera A</x:v>
      </x:c>
      <x:c r="E1488" t="str">
        <x:v>Tarjeta de crédito</x:v>
      </x:c>
      <x:c r="F1488" t="n">
        <x:v>4310000</x:v>
      </x:c>
      <x:c r="G1488" s="40" t="n">
        <x:v>0.1632</x:v>
      </x:c>
      <x:c r="H1488" s="40" t="n">
        <x:v>0.012678</x:v>
      </x:c>
      <x:c r="I1488" t="n">
        <x:v>48</x:v>
      </x:c>
      <x:c r="J1488" t="n">
        <x:v>120400</x:v>
      </x:c>
      <x:c r="K1488" t="str">
        <x:v>Bola de nieve</x:v>
      </x:c>
      <x:c r="L1488" t="str">
        <x:v>Vigente</x:v>
      </x:c>
      <x:c r="M1488" t="n">
        <x:v>3997658.13</x:v>
      </x:c>
      <x:c r="N1488"/>
    </x:row>
    <x:row r="1489">
      <x:c r="A1489" t="str">
        <x:v>DEU-001488</x:v>
      </x:c>
      <x:c r="B1489" t="str">
        <x:v>USR-00777</x:v>
      </x:c>
      <x:c r="C1489" t="n">
        <x:v>46113</x:v>
      </x:c>
      <x:c r="D1489" t="str">
        <x:v>Entidad financiera B</x:v>
      </x:c>
      <x:c r="E1489" t="str">
        <x:v>Tarjeta de crédito</x:v>
      </x:c>
      <x:c r="F1489" t="n">
        <x:v>6090000</x:v>
      </x:c>
      <x:c r="G1489" s="40" t="n">
        <x:v>0.2231</x:v>
      </x:c>
      <x:c r="H1489" s="40" t="n">
        <x:v>0.016924</x:v>
      </x:c>
      <x:c r="I1489" t="n">
        <x:v>48</x:v>
      </x:c>
      <x:c r="J1489" t="n">
        <x:v>186300</x:v>
      </x:c>
      <x:c r="K1489" t="str">
        <x:v>Bola de nieve</x:v>
      </x:c>
      <x:c r="L1489" t="str">
        <x:v>Vigente</x:v>
      </x:c>
      <x:c r="M1489" t="n">
        <x:v>5580316.63</x:v>
      </x:c>
      <x:c r="N1489"/>
    </x:row>
    <x:row r="1490">
      <x:c r="A1490" t="str">
        <x:v>DEU-001489</x:v>
      </x:c>
      <x:c r="B1490" t="str">
        <x:v>USR-00777</x:v>
      </x:c>
      <x:c r="C1490" t="n">
        <x:v>46113</x:v>
      </x:c>
      <x:c r="D1490" t="str">
        <x:v>Financiera D</x:v>
      </x:c>
      <x:c r="E1490" t="str">
        <x:v>Crédito de libre inversión</x:v>
      </x:c>
      <x:c r="F1490" t="n">
        <x:v>21220000</x:v>
      </x:c>
      <x:c r="G1490" s="40" t="n">
        <x:v>0.2993</x:v>
      </x:c>
      <x:c r="H1490" s="40" t="n">
        <x:v>0.022059</x:v>
      </x:c>
      <x:c r="I1490" t="n">
        <x:v>36</x:v>
      </x:c>
      <x:c r="J1490" t="n">
        <x:v>860300</x:v>
      </x:c>
      <x:c r="K1490" t="str">
        <x:v>Bola de nieve</x:v>
      </x:c>
      <x:c r="L1490" t="str">
        <x:v>Vigente</x:v>
      </x:c>
      <x:c r="M1490" t="n">
        <x:v>19773268.53</x:v>
      </x:c>
      <x:c r="N1490"/>
    </x:row>
    <x:row r="1491">
      <x:c r="A1491" t="str">
        <x:v>DEU-001490</x:v>
      </x:c>
      <x:c r="B1491" t="str">
        <x:v>USR-00777</x:v>
      </x:c>
      <x:c r="C1491" t="n">
        <x:v>46113</x:v>
      </x:c>
      <x:c r="D1491" t="str">
        <x:v>Entidad financiera B</x:v>
      </x:c>
      <x:c r="E1491" t="str">
        <x:v>Crédito de consumo</x:v>
      </x:c>
      <x:c r="F1491" t="n">
        <x:v>15820000</x:v>
      </x:c>
      <x:c r="G1491" s="40" t="n">
        <x:v>0.232</x:v>
      </x:c>
      <x:c r="H1491" s="40" t="n">
        <x:v>0.017539</x:v>
      </x:c>
      <x:c r="I1491" t="n">
        <x:v>24</x:v>
      </x:c>
      <x:c r="J1491" t="n">
        <x:v>813300</x:v>
      </x:c>
      <x:c r="K1491" t="str">
        <x:v>Avalancha</x:v>
      </x:c>
      <x:c r="L1491" t="str">
        <x:v>Vigente</x:v>
      </x:c>
      <x:c r="M1491" t="n">
        <x:v>13418429.91</x:v>
      </x:c>
      <x:c r="N1491"/>
    </x:row>
    <x:row r="1492">
      <x:c r="A1492" t="str">
        <x:v>DEU-001491</x:v>
      </x:c>
      <x:c r="B1492" t="str">
        <x:v>USR-00778</x:v>
      </x:c>
      <x:c r="C1492" t="n">
        <x:v>46113</x:v>
      </x:c>
      <x:c r="D1492" t="str">
        <x:v>Entidad financiera A</x:v>
      </x:c>
      <x:c r="E1492" t="str">
        <x:v>Crédito de consumo</x:v>
      </x:c>
      <x:c r="F1492" t="n">
        <x:v>12080000</x:v>
      </x:c>
      <x:c r="G1492" s="40" t="n">
        <x:v>0.2073</x:v>
      </x:c>
      <x:c r="H1492" s="40" t="n">
        <x:v>0.015823</x:v>
      </x:c>
      <x:c r="I1492" t="n">
        <x:v>48</x:v>
      </x:c>
      <x:c r="J1492" t="n">
        <x:v>361100</x:v>
      </x:c>
      <x:c r="K1492" t="str">
        <x:v>Avalancha</x:v>
      </x:c>
      <x:c r="L1492" t="str">
        <x:v>Vigente</x:v>
      </x:c>
      <x:c r="M1492" t="n">
        <x:v>11737307.96</x:v>
      </x:c>
      <x:c r="N1492"/>
    </x:row>
    <x:row r="1493">
      <x:c r="A1493" t="str">
        <x:v>DEU-001492</x:v>
      </x:c>
      <x:c r="B1493" t="str">
        <x:v>USR-00778</x:v>
      </x:c>
      <x:c r="C1493" t="n">
        <x:v>46113</x:v>
      </x:c>
      <x:c r="D1493" t="str">
        <x:v>Entidad financiera A</x:v>
      </x:c>
      <x:c r="E1493" t="str">
        <x:v>Tarjeta de crédito</x:v>
      </x:c>
      <x:c r="F1493" t="n">
        <x:v>3210000</x:v>
      </x:c>
      <x:c r="G1493" s="40" t="n">
        <x:v>0.3106</x:v>
      </x:c>
      <x:c r="H1493" s="40" t="n">
        <x:v>0.022796</x:v>
      </x:c>
      <x:c r="I1493" t="n">
        <x:v>24</x:v>
      </x:c>
      <x:c r="J1493" t="n">
        <x:v>175100</x:v>
      </x:c>
      <x:c r="K1493" t="str">
        <x:v>Bola de nieve</x:v>
      </x:c>
      <x:c r="L1493" t="str">
        <x:v>Vigente</x:v>
      </x:c>
      <x:c r="M1493" t="n">
        <x:v>2501203.55</x:v>
      </x:c>
      <x:c r="N1493"/>
    </x:row>
    <x:row r="1494">
      <x:c r="A1494" t="str">
        <x:v>DEU-001493</x:v>
      </x:c>
      <x:c r="B1494" t="str">
        <x:v>USR-00779</x:v>
      </x:c>
      <x:c r="C1494" t="n">
        <x:v>46113</x:v>
      </x:c>
      <x:c r="D1494" t="str">
        <x:v>Financiera D</x:v>
      </x:c>
      <x:c r="E1494" t="str">
        <x:v>Crédito de consumo</x:v>
      </x:c>
      <x:c r="F1494" t="n">
        <x:v>18840000</x:v>
      </x:c>
      <x:c r="G1494" s="40" t="n">
        <x:v>0.3061</x:v>
      </x:c>
      <x:c r="H1494" s="40" t="n">
        <x:v>0.022503</x:v>
      </x:c>
      <x:c r="I1494" t="n">
        <x:v>48</x:v>
      </x:c>
      <x:c r="J1494" t="n">
        <x:v>645900</x:v>
      </x:c>
      <x:c r="K1494" t="str">
        <x:v>Avalancha</x:v>
      </x:c>
      <x:c r="L1494" t="str">
        <x:v>Vigente</x:v>
      </x:c>
      <x:c r="M1494" t="n">
        <x:v>19071262.37</x:v>
      </x:c>
      <x:c r="N1494"/>
    </x:row>
    <x:row r="1495">
      <x:c r="A1495" t="str">
        <x:v>DEU-001494</x:v>
      </x:c>
      <x:c r="B1495" t="str">
        <x:v>USR-00780</x:v>
      </x:c>
      <x:c r="C1495" t="n">
        <x:v>46113</x:v>
      </x:c>
      <x:c r="D1495" t="str">
        <x:v>Entidad financiera B</x:v>
      </x:c>
      <x:c r="E1495" t="str">
        <x:v>Crédito de libre inversión</x:v>
      </x:c>
      <x:c r="F1495" t="n">
        <x:v>5220000</x:v>
      </x:c>
      <x:c r="G1495" s="40" t="n">
        <x:v>0.313</x:v>
      </x:c>
      <x:c r="H1495" s="40" t="n">
        <x:v>0.022952</x:v>
      </x:c>
      <x:c r="I1495" t="n">
        <x:v>60</x:v>
      </x:c>
      <x:c r="J1495" t="n">
        <x:v>161100</x:v>
      </x:c>
      <x:c r="K1495" t="str">
        <x:v>Avalancha</x:v>
      </x:c>
      <x:c r="L1495" t="str">
        <x:v>Vigente</x:v>
      </x:c>
      <x:c r="M1495" t="n">
        <x:v>5206516.63</x:v>
      </x:c>
      <x:c r="N1495"/>
    </x:row>
    <x:row r="1496">
      <x:c r="A1496" t="str">
        <x:v>DEU-001495</x:v>
      </x:c>
      <x:c r="B1496" t="str">
        <x:v>USR-00781</x:v>
      </x:c>
      <x:c r="C1496" t="n">
        <x:v>46113</x:v>
      </x:c>
      <x:c r="D1496" t="str">
        <x:v>Financiera D</x:v>
      </x:c>
      <x:c r="E1496" t="str">
        <x:v>Tarjeta de crédito</x:v>
      </x:c>
      <x:c r="F1496" t="n">
        <x:v>7300000</x:v>
      </x:c>
      <x:c r="G1496" s="40" t="n">
        <x:v>0.1956</x:v>
      </x:c>
      <x:c r="H1496" s="40" t="n">
        <x:v>0.014999</x:v>
      </x:c>
      <x:c r="I1496" t="n">
        <x:v>30</x:v>
      </x:c>
      <x:c r="J1496" t="n">
        <x:v>304000</x:v>
      </x:c>
      <x:c r="K1496" t="str">
        <x:v>Avalancha</x:v>
      </x:c>
      <x:c r="L1496" t="str">
        <x:v>Vigente</x:v>
      </x:c>
      <x:c r="M1496" t="n">
        <x:v>6558838.3</x:v>
      </x:c>
      <x:c r="N1496"/>
    </x:row>
    <x:row r="1497">
      <x:c r="A1497" t="str">
        <x:v>DEU-001496</x:v>
      </x:c>
      <x:c r="B1497" t="str">
        <x:v>USR-00782</x:v>
      </x:c>
      <x:c r="C1497" t="n">
        <x:v>46113</x:v>
      </x:c>
      <x:c r="D1497" t="str">
        <x:v>Entidad financiera B</x:v>
      </x:c>
      <x:c r="E1497" t="str">
        <x:v>Crédito educativo</x:v>
      </x:c>
      <x:c r="F1497" t="n">
        <x:v>4550000</x:v>
      </x:c>
      <x:c r="G1497" s="40" t="n">
        <x:v>0.2378</x:v>
      </x:c>
      <x:c r="H1497" s="40" t="n">
        <x:v>0.017937</x:v>
      </x:c>
      <x:c r="I1497" t="n">
        <x:v>30</x:v>
      </x:c>
      <x:c r="J1497" t="n">
        <x:v>197400</x:v>
      </x:c>
      <x:c r="K1497" t="str">
        <x:v>Bola de nieve</x:v>
      </x:c>
      <x:c r="L1497" t="str">
        <x:v>Vigente</x:v>
      </x:c>
      <x:c r="M1497" t="n">
        <x:v>4269913.93</x:v>
      </x:c>
      <x:c r="N1497"/>
    </x:row>
    <x:row r="1498">
      <x:c r="A1498" t="str">
        <x:v>DEU-001497</x:v>
      </x:c>
      <x:c r="B1498" t="str">
        <x:v>USR-00782</x:v>
      </x:c>
      <x:c r="C1498" t="n">
        <x:v>46113</x:v>
      </x:c>
      <x:c r="D1498" t="str">
        <x:v>Financiera D</x:v>
      </x:c>
      <x:c r="E1498" t="str">
        <x:v>Crédito de consumo</x:v>
      </x:c>
      <x:c r="F1498" t="n">
        <x:v>3640000</x:v>
      </x:c>
      <x:c r="G1498" s="40" t="n">
        <x:v>0.1129</x:v>
      </x:c>
      <x:c r="H1498" s="40" t="n">
        <x:v>0.008954</x:v>
      </x:c>
      <x:c r="I1498" t="n">
        <x:v>30</x:v>
      </x:c>
      <x:c r="J1498" t="n">
        <x:v>138900</x:v>
      </x:c>
      <x:c r="K1498" t="str">
        <x:v>Bola de nieve</x:v>
      </x:c>
      <x:c r="L1498" t="str">
        <x:v>Vigente</x:v>
      </x:c>
      <x:c r="M1498" t="n">
        <x:v>2944782.39</x:v>
      </x:c>
      <x:c r="N1498"/>
    </x:row>
    <x:row r="1499">
      <x:c r="A1499" t="str">
        <x:v>DEU-001498</x:v>
      </x:c>
      <x:c r="B1499" t="str">
        <x:v>USR-00782</x:v>
      </x:c>
      <x:c r="C1499" t="n">
        <x:v>46113</x:v>
      </x:c>
      <x:c r="D1499" t="str">
        <x:v>Entidad financiera B</x:v>
      </x:c>
      <x:c r="E1499" t="str">
        <x:v>Crédito de libre inversión</x:v>
      </x:c>
      <x:c r="F1499" t="n">
        <x:v>16060000</x:v>
      </x:c>
      <x:c r="G1499" s="40" t="n">
        <x:v>0.2299</x:v>
      </x:c>
      <x:c r="H1499" s="40" t="n">
        <x:v>0.017394</x:v>
      </x:c>
      <x:c r="I1499" t="n">
        <x:v>48</x:v>
      </x:c>
      <x:c r="J1499" t="n">
        <x:v>496200</x:v>
      </x:c>
      <x:c r="K1499" t="str">
        <x:v>Avalancha</x:v>
      </x:c>
      <x:c r="L1499" t="str">
        <x:v>Vigente</x:v>
      </x:c>
      <x:c r="M1499" t="n">
        <x:v>15661435.85</x:v>
      </x:c>
      <x:c r="N1499"/>
    </x:row>
    <x:row r="1500">
      <x:c r="A1500" t="str">
        <x:v>DEU-001499</x:v>
      </x:c>
      <x:c r="B1500" t="str">
        <x:v>USR-00783</x:v>
      </x:c>
      <x:c r="C1500" t="n">
        <x:v>46113</x:v>
      </x:c>
      <x:c r="D1500" t="str">
        <x:v>Cooperativa C</x:v>
      </x:c>
      <x:c r="E1500" t="str">
        <x:v>Crédito de consumo</x:v>
      </x:c>
      <x:c r="F1500" t="n">
        <x:v>4980000</x:v>
      </x:c>
      <x:c r="G1500" s="40" t="n">
        <x:v>0.1266</x:v>
      </x:c>
      <x:c r="H1500" s="40" t="n">
        <x:v>0.009983</x:v>
      </x:c>
      <x:c r="I1500" t="n">
        <x:v>48</x:v>
      </x:c>
      <x:c r="J1500" t="n">
        <x:v>131100</x:v>
      </x:c>
      <x:c r="K1500" t="str">
        <x:v>Bola de nieve</x:v>
      </x:c>
      <x:c r="L1500" t="str">
        <x:v>Vigente</x:v>
      </x:c>
      <x:c r="M1500" t="n">
        <x:v>4813547.69</x:v>
      </x:c>
      <x:c r="N1500"/>
    </x:row>
    <x:row r="1501">
      <x:c r="A1501" t="str">
        <x:v>DEU-001500</x:v>
      </x:c>
      <x:c r="B1501" t="str">
        <x:v>USR-00783</x:v>
      </x:c>
      <x:c r="C1501" t="n">
        <x:v>46113</x:v>
      </x:c>
      <x:c r="D1501" t="str">
        <x:v>Entidad financiera B</x:v>
      </x:c>
      <x:c r="E1501" t="str">
        <x:v>Crédito de consumo</x:v>
      </x:c>
      <x:c r="F1501" t="n">
        <x:v>9170000</x:v>
      </x:c>
      <x:c r="G1501" s="40" t="n">
        <x:v>0.2065</x:v>
      </x:c>
      <x:c r="H1501" s="40" t="n">
        <x:v>0.015767</x:v>
      </x:c>
      <x:c r="I1501" t="n">
        <x:v>12</x:v>
      </x:c>
      <x:c r="J1501" t="n">
        <x:v>844700</x:v>
      </x:c>
      <x:c r="K1501" t="str">
        <x:v>Avalancha</x:v>
      </x:c>
      <x:c r="L1501" t="str">
        <x:v>Vigente</x:v>
      </x:c>
      <x:c r="M1501" t="n">
        <x:v>6732571.55</x:v>
      </x:c>
      <x:c r="N1501"/>
    </x:row>
    <x:row r="1502">
      <x:c r="A1502" t="str">
        <x:v>DEU-001501</x:v>
      </x:c>
      <x:c r="B1502" t="str">
        <x:v>USR-00783</x:v>
      </x:c>
      <x:c r="C1502" t="n">
        <x:v>46113</x:v>
      </x:c>
      <x:c r="D1502" t="str">
        <x:v>Entidad financiera B</x:v>
      </x:c>
      <x:c r="E1502" t="str">
        <x:v>Crédito de libre inversión</x:v>
      </x:c>
      <x:c r="F1502" t="n">
        <x:v>10020000</x:v>
      </x:c>
      <x:c r="G1502" s="40" t="n">
        <x:v>0.2997</x:v>
      </x:c>
      <x:c r="H1502" s="40" t="n">
        <x:v>0.022085</x:v>
      </x:c>
      <x:c r="I1502" t="n">
        <x:v>48</x:v>
      </x:c>
      <x:c r="J1502" t="n">
        <x:v>340700</x:v>
      </x:c>
      <x:c r="K1502" t="str">
        <x:v>Avalancha</x:v>
      </x:c>
      <x:c r="L1502" t="str">
        <x:v>Vigente</x:v>
      </x:c>
      <x:c r="M1502" t="n">
        <x:v>9207030.26</x:v>
      </x:c>
      <x:c r="N1502"/>
    </x:row>
    <x:row r="1503">
      <x:c r="A1503" t="str">
        <x:v>DEU-001502</x:v>
      </x:c>
      <x:c r="B1503" t="str">
        <x:v>USR-00783</x:v>
      </x:c>
      <x:c r="C1503" t="n">
        <x:v>46113</x:v>
      </x:c>
      <x:c r="D1503" t="str">
        <x:v>Entidad financiera A</x:v>
      </x:c>
      <x:c r="E1503" t="str">
        <x:v>Crédito de libre inversión</x:v>
      </x:c>
      <x:c r="F1503" t="n">
        <x:v>20420000</x:v>
      </x:c>
      <x:c r="G1503" s="40" t="n">
        <x:v>0.2235</x:v>
      </x:c>
      <x:c r="H1503" s="40" t="n">
        <x:v>0.016952</x:v>
      </x:c>
      <x:c r="I1503" t="n">
        <x:v>24</x:v>
      </x:c>
      <x:c r="J1503" t="n">
        <x:v>1042700</x:v>
      </x:c>
      <x:c r="K1503" t="str">
        <x:v>Avalancha</x:v>
      </x:c>
      <x:c r="L1503" t="str">
        <x:v>Vigente</x:v>
      </x:c>
      <x:c r="M1503" t="n">
        <x:v>18528184.13</x:v>
      </x:c>
      <x:c r="N1503"/>
    </x:row>
    <x:row r="1504">
      <x:c r="A1504" t="str">
        <x:v>DEU-001503</x:v>
      </x:c>
      <x:c r="B1504" t="str">
        <x:v>USR-00783</x:v>
      </x:c>
      <x:c r="C1504" t="n">
        <x:v>46113</x:v>
      </x:c>
      <x:c r="D1504" t="str">
        <x:v>Entidad financiera E</x:v>
      </x:c>
      <x:c r="E1504" t="str">
        <x:v>Crédito de consumo</x:v>
      </x:c>
      <x:c r="F1504" t="n">
        <x:v>13970000</x:v>
      </x:c>
      <x:c r="G1504" s="40" t="n">
        <x:v>0.2616</x:v>
      </x:c>
      <x:c r="H1504" s="40" t="n">
        <x:v>0.019554</x:v>
      </x:c>
      <x:c r="I1504" t="n">
        <x:v>12</x:v>
      </x:c>
      <x:c r="J1504" t="n">
        <x:v>1317400</x:v>
      </x:c>
      <x:c r="K1504" t="str">
        <x:v>Bola de nieve</x:v>
      </x:c>
      <x:c r="L1504" t="str">
        <x:v>Vigente</x:v>
      </x:c>
      <x:c r="M1504" t="n">
        <x:v>10059650.53</x:v>
      </x:c>
      <x:c r="N1504"/>
    </x:row>
    <x:row r="1505">
      <x:c r="A1505" t="str">
        <x:v>DEU-001504</x:v>
      </x:c>
      <x:c r="B1505" t="str">
        <x:v>USR-00784</x:v>
      </x:c>
      <x:c r="C1505" t="n">
        <x:v>46113</x:v>
      </x:c>
      <x:c r="D1505" t="str">
        <x:v>Cooperativa C</x:v>
      </x:c>
      <x:c r="E1505" t="str">
        <x:v>Tarjeta de crédito</x:v>
      </x:c>
      <x:c r="F1505" t="n">
        <x:v>1830000</x:v>
      </x:c>
      <x:c r="G1505" s="40" t="n">
        <x:v>0.2067</x:v>
      </x:c>
      <x:c r="H1505" s="40" t="n">
        <x:v>0.015781</x:v>
      </x:c>
      <x:c r="I1505" t="n">
        <x:v>30</x:v>
      </x:c>
      <x:c r="J1505" t="n">
        <x:v>77000</x:v>
      </x:c>
      <x:c r="K1505" t="str">
        <x:v>Avalancha</x:v>
      </x:c>
      <x:c r="L1505" t="str">
        <x:v>Vigente</x:v>
      </x:c>
      <x:c r="M1505" t="n">
        <x:v>1712334.49</x:v>
      </x:c>
      <x:c r="N1505"/>
    </x:row>
    <x:row r="1506">
      <x:c r="A1506" t="str">
        <x:v>DEU-001505</x:v>
      </x:c>
      <x:c r="B1506" t="str">
        <x:v>USR-00785</x:v>
      </x:c>
      <x:c r="C1506" t="n">
        <x:v>46113</x:v>
      </x:c>
      <x:c r="D1506" t="str">
        <x:v>Entidad financiera A</x:v>
      </x:c>
      <x:c r="E1506" t="str">
        <x:v>Crédito de libre inversión</x:v>
      </x:c>
      <x:c r="F1506" t="n">
        <x:v>8600000</x:v>
      </x:c>
      <x:c r="G1506" s="40" t="n">
        <x:v>0.2254</x:v>
      </x:c>
      <x:c r="H1506" s="40" t="n">
        <x:v>0.017083</x:v>
      </x:c>
      <x:c r="I1506" t="n">
        <x:v>60</x:v>
      </x:c>
      <x:c r="J1506" t="n">
        <x:v>230200</x:v>
      </x:c>
      <x:c r="K1506" t="str">
        <x:v>Avalancha</x:v>
      </x:c>
      <x:c r="L1506" t="str">
        <x:v>Vigente</x:v>
      </x:c>
      <x:c r="M1506" t="n">
        <x:v>8368526</x:v>
      </x:c>
      <x:c r="N1506"/>
    </x:row>
    <x:row r="1507">
      <x:c r="A1507" t="str">
        <x:v>DEU-001506</x:v>
      </x:c>
      <x:c r="B1507" t="str">
        <x:v>USR-00785</x:v>
      </x:c>
      <x:c r="C1507" t="n">
        <x:v>46113</x:v>
      </x:c>
      <x:c r="D1507" t="str">
        <x:v>Entidad financiera A</x:v>
      </x:c>
      <x:c r="E1507" t="str">
        <x:v>Crédito educativo</x:v>
      </x:c>
      <x:c r="F1507" t="n">
        <x:v>16760000</x:v>
      </x:c>
      <x:c r="G1507" s="40" t="n">
        <x:v>0.2359</x:v>
      </x:c>
      <x:c r="H1507" s="40" t="n">
        <x:v>0.017807</x:v>
      </x:c>
      <x:c r="I1507" t="n">
        <x:v>60</x:v>
      </x:c>
      <x:c r="J1507" t="n">
        <x:v>456900</x:v>
      </x:c>
      <x:c r="K1507" t="str">
        <x:v>Bola de nieve</x:v>
      </x:c>
      <x:c r="L1507" t="str">
        <x:v>Vigente</x:v>
      </x:c>
      <x:c r="M1507" t="n">
        <x:v>16606576.56</x:v>
      </x:c>
      <x:c r="N1507"/>
    </x:row>
    <x:row r="1508">
      <x:c r="A1508" t="str">
        <x:v>DEU-001507</x:v>
      </x:c>
      <x:c r="B1508" t="str">
        <x:v>USR-00785</x:v>
      </x:c>
      <x:c r="C1508" t="n">
        <x:v>46113</x:v>
      </x:c>
      <x:c r="D1508" t="str">
        <x:v>Entidad financiera A</x:v>
      </x:c>
      <x:c r="E1508" t="str">
        <x:v>Crédito de vehículo</x:v>
      </x:c>
      <x:c r="F1508" t="n">
        <x:v>51890000</x:v>
      </x:c>
      <x:c r="G1508" s="40" t="n">
        <x:v>0.1826</x:v>
      </x:c>
      <x:c r="H1508" s="40" t="n">
        <x:v>0.014074</x:v>
      </x:c>
      <x:c r="I1508" t="n">
        <x:v>60</x:v>
      </x:c>
      <x:c r="J1508" t="n">
        <x:v>1286500</x:v>
      </x:c>
      <x:c r="K1508" t="str">
        <x:v>Bola de nieve</x:v>
      </x:c>
      <x:c r="L1508" t="str">
        <x:v>Vigente</x:v>
      </x:c>
      <x:c r="M1508" t="n">
        <x:v>49805225.36</x:v>
      </x:c>
      <x:c r="N1508"/>
    </x:row>
    <x:row r="1509">
      <x:c r="A1509" t="str">
        <x:v>DEU-001508</x:v>
      </x:c>
      <x:c r="B1509" t="str">
        <x:v>USR-00785</x:v>
      </x:c>
      <x:c r="C1509" t="n">
        <x:v>46113</x:v>
      </x:c>
      <x:c r="D1509" t="str">
        <x:v>Cooperativa C</x:v>
      </x:c>
      <x:c r="E1509" t="str">
        <x:v>Tarjeta de crédito</x:v>
      </x:c>
      <x:c r="F1509" t="n">
        <x:v>6670000</x:v>
      </x:c>
      <x:c r="G1509" s="40" t="n">
        <x:v>0.2442</x:v>
      </x:c>
      <x:c r="H1509" s="40" t="n">
        <x:v>0.018375</x:v>
      </x:c>
      <x:c r="I1509" t="n">
        <x:v>12</x:v>
      </x:c>
      <x:c r="J1509" t="n">
        <x:v>624400</x:v>
      </x:c>
      <x:c r="K1509" t="str">
        <x:v>Avalancha</x:v>
      </x:c>
      <x:c r="L1509" t="str">
        <x:v>Vigente</x:v>
      </x:c>
      <x:c r="M1509" t="n">
        <x:v>4506258.45</x:v>
      </x:c>
      <x:c r="N1509"/>
    </x:row>
    <x:row r="1510">
      <x:c r="A1510" t="str">
        <x:v>DEU-001509</x:v>
      </x:c>
      <x:c r="B1510" t="str">
        <x:v>USR-00067</x:v>
      </x:c>
      <x:c r="C1510" t="n">
        <x:v>46143</x:v>
      </x:c>
      <x:c r="D1510" t="str">
        <x:v>Cooperativa C</x:v>
      </x:c>
      <x:c r="E1510" t="str">
        <x:v>Tarjeta de crédito</x:v>
      </x:c>
      <x:c r="F1510" t="n">
        <x:v>7950000</x:v>
      </x:c>
      <x:c r="G1510" s="40" t="n">
        <x:v>0.2446</x:v>
      </x:c>
      <x:c r="H1510" s="40" t="n">
        <x:v>0.018402</x:v>
      </x:c>
      <x:c r="I1510" t="n">
        <x:v>30</x:v>
      </x:c>
      <x:c r="J1510" t="n">
        <x:v>347200</x:v>
      </x:c>
      <x:c r="K1510" t="str">
        <x:v>Bola de nieve</x:v>
      </x:c>
      <x:c r="L1510" t="str">
        <x:v>Vigente</x:v>
      </x:c>
      <x:c r="M1510" t="n">
        <x:v>7328316.09</x:v>
      </x:c>
      <x:c r="N1510"/>
    </x:row>
    <x:row r="1511">
      <x:c r="A1511" t="str">
        <x:v>DEU-001510</x:v>
      </x:c>
      <x:c r="B1511" t="str">
        <x:v>USR-00108</x:v>
      </x:c>
      <x:c r="C1511" t="n">
        <x:v>46143</x:v>
      </x:c>
      <x:c r="D1511" t="str">
        <x:v>Cooperativa C</x:v>
      </x:c>
      <x:c r="E1511" t="str">
        <x:v>Tarjeta de crédito</x:v>
      </x:c>
      <x:c r="F1511" t="n">
        <x:v>4280000</x:v>
      </x:c>
      <x:c r="G1511" s="40" t="n">
        <x:v>0.132</x:v>
      </x:c>
      <x:c r="H1511" s="40" t="n">
        <x:v>0.010386</x:v>
      </x:c>
      <x:c r="I1511" t="n">
        <x:v>48</x:v>
      </x:c>
      <x:c r="J1511" t="n">
        <x:v>113700</x:v>
      </x:c>
      <x:c r="K1511" t="str">
        <x:v>Avalancha</x:v>
      </x:c>
      <x:c r="L1511" t="str">
        <x:v>Vigente</x:v>
      </x:c>
      <x:c r="M1511" t="n">
        <x:v>4137429.96</x:v>
      </x:c>
      <x:c r="N1511"/>
    </x:row>
    <x:row r="1512">
      <x:c r="A1512" t="str">
        <x:v>DEU-001511</x:v>
      </x:c>
      <x:c r="B1512" t="str">
        <x:v>USR-00261</x:v>
      </x:c>
      <x:c r="C1512" t="n">
        <x:v>46143</x:v>
      </x:c>
      <x:c r="D1512" t="str">
        <x:v>Cooperativa C</x:v>
      </x:c>
      <x:c r="E1512" t="str">
        <x:v>Tarjeta de crédito</x:v>
      </x:c>
      <x:c r="F1512" t="n">
        <x:v>5010000</x:v>
      </x:c>
      <x:c r="G1512" s="40" t="n">
        <x:v>0.1118</x:v>
      </x:c>
      <x:c r="H1512" s="40" t="n">
        <x:v>0.008871</x:v>
      </x:c>
      <x:c r="I1512" t="n">
        <x:v>30</x:v>
      </x:c>
      <x:c r="J1512" t="n">
        <x:v>190900</x:v>
      </x:c>
      <x:c r="K1512" t="str">
        <x:v>Avalancha</x:v>
      </x:c>
      <x:c r="L1512" t="str">
        <x:v>Vigente</x:v>
      </x:c>
      <x:c r="M1512" t="n">
        <x:v>4500570.45</x:v>
      </x:c>
      <x:c r="N1512"/>
    </x:row>
    <x:row r="1513">
      <x:c r="A1513" t="str">
        <x:v>DEU-001512</x:v>
      </x:c>
      <x:c r="B1513" t="str">
        <x:v>USR-00358</x:v>
      </x:c>
      <x:c r="C1513" t="n">
        <x:v>46143</x:v>
      </x:c>
      <x:c r="D1513" t="str">
        <x:v>Financiera D</x:v>
      </x:c>
      <x:c r="E1513" t="str">
        <x:v>Tarjeta de crédito</x:v>
      </x:c>
      <x:c r="F1513" t="n">
        <x:v>7940000</x:v>
      </x:c>
      <x:c r="G1513" s="40" t="n">
        <x:v>0.2443</x:v>
      </x:c>
      <x:c r="H1513" s="40" t="n">
        <x:v>0.018381</x:v>
      </x:c>
      <x:c r="I1513" t="n">
        <x:v>36</x:v>
      </x:c>
      <x:c r="J1513" t="n">
        <x:v>303500</x:v>
      </x:c>
      <x:c r="K1513" t="str">
        <x:v>Bola de nieve</x:v>
      </x:c>
      <x:c r="L1513" t="str">
        <x:v>Vigente</x:v>
      </x:c>
      <x:c r="M1513" t="n">
        <x:v>7140193.02</x:v>
      </x:c>
      <x:c r="N1513"/>
    </x:row>
    <x:row r="1514">
      <x:c r="A1514" t="str">
        <x:v>DEU-001513</x:v>
      </x:c>
      <x:c r="B1514" t="str">
        <x:v>USR-00468</x:v>
      </x:c>
      <x:c r="C1514" t="n">
        <x:v>46143</x:v>
      </x:c>
      <x:c r="D1514" t="str">
        <x:v>Cooperativa C</x:v>
      </x:c>
      <x:c r="E1514" t="str">
        <x:v>Tarjeta de crédito</x:v>
      </x:c>
      <x:c r="F1514" t="n">
        <x:v>4190000</x:v>
      </x:c>
      <x:c r="G1514" s="40" t="n">
        <x:v>0.2602</x:v>
      </x:c>
      <x:c r="H1514" s="40" t="n">
        <x:v>0.019459</x:v>
      </x:c>
      <x:c r="I1514" t="n">
        <x:v>48</x:v>
      </x:c>
      <x:c r="J1514" t="n">
        <x:v>135100</x:v>
      </x:c>
      <x:c r="K1514" t="str">
        <x:v>Bola de nieve</x:v>
      </x:c>
      <x:c r="L1514" t="str">
        <x:v>Vigente</x:v>
      </x:c>
      <x:c r="M1514" t="n">
        <x:v>4195097.72</x:v>
      </x:c>
      <x:c r="N1514"/>
    </x:row>
    <x:row r="1515">
      <x:c r="A1515" t="str">
        <x:v>DEU-001514</x:v>
      </x:c>
      <x:c r="B1515" t="str">
        <x:v>USR-00565</x:v>
      </x:c>
      <x:c r="C1515" t="n">
        <x:v>46143</x:v>
      </x:c>
      <x:c r="D1515" t="str">
        <x:v>Financiera D</x:v>
      </x:c>
      <x:c r="E1515" t="str">
        <x:v>Tarjeta de crédito</x:v>
      </x:c>
      <x:c r="F1515" t="n">
        <x:v>1810000</x:v>
      </x:c>
      <x:c r="G1515" s="40" t="n">
        <x:v>0.2666</x:v>
      </x:c>
      <x:c r="H1515" s="40" t="n">
        <x:v>0.01989</x:v>
      </x:c>
      <x:c r="I1515" t="n">
        <x:v>36</x:v>
      </x:c>
      <x:c r="J1515" t="n">
        <x:v>70900</x:v>
      </x:c>
      <x:c r="K1515" t="str">
        <x:v>Bola de nieve</x:v>
      </x:c>
      <x:c r="L1515" t="str">
        <x:v>Vigente</x:v>
      </x:c>
      <x:c r="M1515" t="n">
        <x:v>1683592.22</x:v>
      </x:c>
      <x:c r="N1515"/>
    </x:row>
    <x:row r="1516">
      <x:c r="A1516" t="str">
        <x:v>DEU-001515</x:v>
      </x:c>
      <x:c r="B1516" t="str">
        <x:v>USR-00677</x:v>
      </x:c>
      <x:c r="C1516" t="n">
        <x:v>46143</x:v>
      </x:c>
      <x:c r="D1516" t="str">
        <x:v>Financiera D</x:v>
      </x:c>
      <x:c r="E1516" t="str">
        <x:v>Crédito de libre inversión</x:v>
      </x:c>
      <x:c r="F1516" t="n">
        <x:v>19070000</x:v>
      </x:c>
      <x:c r="G1516" s="40" t="n">
        <x:v>0.2024</x:v>
      </x:c>
      <x:c r="H1516" s="40" t="n">
        <x:v>0.015479</x:v>
      </x:c>
      <x:c r="I1516" t="n">
        <x:v>48</x:v>
      </x:c>
      <x:c r="J1516" t="n">
        <x:v>565900</x:v>
      </x:c>
      <x:c r="K1516" t="str">
        <x:v>Avalancha</x:v>
      </x:c>
      <x:c r="L1516" t="str">
        <x:v>Vigente</x:v>
      </x:c>
      <x:c r="M1516" t="n">
        <x:v>17889435.42</x:v>
      </x:c>
      <x:c r="N1516"/>
    </x:row>
    <x:row r="1517">
      <x:c r="A1517" t="str">
        <x:v>DEU-001516</x:v>
      </x:c>
      <x:c r="B1517" t="str">
        <x:v>USR-00690</x:v>
      </x:c>
      <x:c r="C1517" t="n">
        <x:v>46143</x:v>
      </x:c>
      <x:c r="D1517" t="str">
        <x:v>Entidad financiera A</x:v>
      </x:c>
      <x:c r="E1517" t="str">
        <x:v>Crédito de consumo</x:v>
      </x:c>
      <x:c r="F1517" t="n">
        <x:v>5210000</x:v>
      </x:c>
      <x:c r="G1517" s="40" t="n">
        <x:v>0.2375</x:v>
      </x:c>
      <x:c r="H1517" s="40" t="n">
        <x:v>0.017916</x:v>
      </x:c>
      <x:c r="I1517" t="n">
        <x:v>12</x:v>
      </x:c>
      <x:c r="J1517" t="n">
        <x:v>486400</x:v>
      </x:c>
      <x:c r="K1517" t="str">
        <x:v>Bola de nieve</x:v>
      </x:c>
      <x:c r="L1517" t="str">
        <x:v>Vigente</x:v>
      </x:c>
      <x:c r="M1517" t="n">
        <x:v>5303344.31</x:v>
      </x:c>
      <x:c r="N1517"/>
    </x:row>
    <x:row r="1518">
      <x:c r="A1518" t="str">
        <x:v>DEU-001517</x:v>
      </x:c>
      <x:c r="B1518" t="str">
        <x:v>USR-00724</x:v>
      </x:c>
      <x:c r="C1518" t="n">
        <x:v>46143</x:v>
      </x:c>
      <x:c r="D1518" t="str">
        <x:v>Entidad financiera A</x:v>
      </x:c>
      <x:c r="E1518" t="str">
        <x:v>Crédito educativo</x:v>
      </x:c>
      <x:c r="F1518" t="n">
        <x:v>7820000</x:v>
      </x:c>
      <x:c r="G1518" s="40" t="n">
        <x:v>0.2696</x:v>
      </x:c>
      <x:c r="H1518" s="40" t="n">
        <x:v>0.020091</x:v>
      </x:c>
      <x:c r="I1518" t="n">
        <x:v>18</x:v>
      </x:c>
      <x:c r="J1518" t="n">
        <x:v>522000</x:v>
      </x:c>
      <x:c r="K1518" t="str">
        <x:v>Bola de nieve</x:v>
      </x:c>
      <x:c r="L1518" t="str">
        <x:v>Vigente</x:v>
      </x:c>
      <x:c r="M1518" t="n">
        <x:v>6463945.79</x:v>
      </x:c>
      <x:c r="N1518"/>
    </x:row>
    <x:row r="1519">
      <x:c r="A1519" t="str">
        <x:v>DEU-001518</x:v>
      </x:c>
      <x:c r="B1519" t="str">
        <x:v>USR-00786</x:v>
      </x:c>
      <x:c r="C1519" t="n">
        <x:v>46143</x:v>
      </x:c>
      <x:c r="D1519" t="str">
        <x:v>Financiera D</x:v>
      </x:c>
      <x:c r="E1519" t="str">
        <x:v>Tarjeta de crédito</x:v>
      </x:c>
      <x:c r="F1519" t="n">
        <x:v>6350000</x:v>
      </x:c>
      <x:c r="G1519" s="40" t="n">
        <x:v>0.2905</x:v>
      </x:c>
      <x:c r="H1519" s="40" t="n">
        <x:v>0.02148</x:v>
      </x:c>
      <x:c r="I1519" t="n">
        <x:v>60</x:v>
      </x:c>
      <x:c r="J1519" t="n">
        <x:v>189300</x:v>
      </x:c>
      <x:c r="K1519" t="str">
        <x:v>Avalancha</x:v>
      </x:c>
      <x:c r="L1519" t="str">
        <x:v>Vigente</x:v>
      </x:c>
      <x:c r="M1519" t="n">
        <x:v>6464939.69</x:v>
      </x:c>
      <x:c r="N1519"/>
    </x:row>
    <x:row r="1520">
      <x:c r="A1520" t="str">
        <x:v>DEU-001519</x:v>
      </x:c>
      <x:c r="B1520" t="str">
        <x:v>USR-00786</x:v>
      </x:c>
      <x:c r="C1520" t="n">
        <x:v>46143</x:v>
      </x:c>
      <x:c r="D1520" t="str">
        <x:v>Entidad financiera B</x:v>
      </x:c>
      <x:c r="E1520" t="str">
        <x:v>Crédito de consumo</x:v>
      </x:c>
      <x:c r="F1520" t="n">
        <x:v>6000000</x:v>
      </x:c>
      <x:c r="G1520" s="40" t="n">
        <x:v>0.1051</x:v>
      </x:c>
      <x:c r="H1520" s="40" t="n">
        <x:v>0.008363</x:v>
      </x:c>
      <x:c r="I1520" t="n">
        <x:v>24</x:v>
      </x:c>
      <x:c r="J1520" t="n">
        <x:v>277000</x:v>
      </x:c>
      <x:c r="K1520" t="str">
        <x:v>Avalancha</x:v>
      </x:c>
      <x:c r="L1520" t="str">
        <x:v>Vigente</x:v>
      </x:c>
      <x:c r="M1520" t="n">
        <x:v>4902618.11</x:v>
      </x:c>
      <x:c r="N1520"/>
    </x:row>
    <x:row r="1521">
      <x:c r="A1521" t="str">
        <x:v>DEU-001520</x:v>
      </x:c>
      <x:c r="B1521" t="str">
        <x:v>USR-00787</x:v>
      </x:c>
      <x:c r="C1521" t="n">
        <x:v>46143</x:v>
      </x:c>
      <x:c r="D1521" t="str">
        <x:v>Cooperativa C</x:v>
      </x:c>
      <x:c r="E1521" t="str">
        <x:v>Crédito de consumo</x:v>
      </x:c>
      <x:c r="F1521" t="n">
        <x:v>15910000</x:v>
      </x:c>
      <x:c r="G1521" s="40" t="n">
        <x:v>0.3239</x:v>
      </x:c>
      <x:c r="H1521" s="40" t="n">
        <x:v>0.023657</x:v>
      </x:c>
      <x:c r="I1521" t="n">
        <x:v>18</x:v>
      </x:c>
      <x:c r="J1521" t="n">
        <x:v>1095700</x:v>
      </x:c>
      <x:c r="K1521" t="str">
        <x:v>Bola de nieve</x:v>
      </x:c>
      <x:c r="L1521" t="str">
        <x:v>Vigente</x:v>
      </x:c>
      <x:c r="M1521" t="n">
        <x:v>13854865.38</x:v>
      </x:c>
      <x:c r="N1521"/>
    </x:row>
    <x:row r="1522">
      <x:c r="A1522" t="str">
        <x:v>DEU-001521</x:v>
      </x:c>
      <x:c r="B1522" t="str">
        <x:v>USR-00787</x:v>
      </x:c>
      <x:c r="C1522" t="n">
        <x:v>46143</x:v>
      </x:c>
      <x:c r="D1522" t="str">
        <x:v>Entidad financiera A</x:v>
      </x:c>
      <x:c r="E1522" t="str">
        <x:v>Tarjeta de crédito</x:v>
      </x:c>
      <x:c r="F1522" t="n">
        <x:v>650000</x:v>
      </x:c>
      <x:c r="G1522" s="40" t="n">
        <x:v>0.1568</x:v>
      </x:c>
      <x:c r="H1522" s="40" t="n">
        <x:v>0.012212</x:v>
      </x:c>
      <x:c r="I1522" t="n">
        <x:v>18</x:v>
      </x:c>
      <x:c r="J1522" t="n">
        <x:v>40400</x:v>
      </x:c>
      <x:c r="K1522" t="str">
        <x:v>Avalancha</x:v>
      </x:c>
      <x:c r="L1522" t="str">
        <x:v>Vigente</x:v>
      </x:c>
      <x:c r="M1522" t="n">
        <x:v>526720.16</x:v>
      </x:c>
      <x:c r="N1522"/>
    </x:row>
    <x:row r="1523">
      <x:c r="A1523" t="str">
        <x:v>DEU-001522</x:v>
      </x:c>
      <x:c r="B1523" t="str">
        <x:v>USR-00788</x:v>
      </x:c>
      <x:c r="C1523" t="n">
        <x:v>46143</x:v>
      </x:c>
      <x:c r="D1523" t="str">
        <x:v>Financiera D</x:v>
      </x:c>
      <x:c r="E1523" t="str">
        <x:v>Crédito de libre inversión</x:v>
      </x:c>
      <x:c r="F1523" t="n">
        <x:v>14560000</x:v>
      </x:c>
      <x:c r="G1523" s="40" t="n">
        <x:v>0.1559</x:v>
      </x:c>
      <x:c r="H1523" s="40" t="n">
        <x:v>0.012146</x:v>
      </x:c>
      <x:c r="I1523" t="n">
        <x:v>12</x:v>
      </x:c>
      <x:c r="J1523" t="n">
        <x:v>1311200</x:v>
      </x:c>
      <x:c r="K1523" t="str">
        <x:v>Bola de nieve</x:v>
      </x:c>
      <x:c r="L1523" t="str">
        <x:v>Vigente</x:v>
      </x:c>
      <x:c r="M1523" t="n">
        <x:v>10059994.69</x:v>
      </x:c>
      <x:c r="N1523"/>
    </x:row>
    <x:row r="1524">
      <x:c r="A1524" t="str">
        <x:v>DEU-001523</x:v>
      </x:c>
      <x:c r="B1524" t="str">
        <x:v>USR-00788</x:v>
      </x:c>
      <x:c r="C1524" t="n">
        <x:v>46143</x:v>
      </x:c>
      <x:c r="D1524" t="str">
        <x:v>Entidad financiera A</x:v>
      </x:c>
      <x:c r="E1524" t="str">
        <x:v>Tarjeta de crédito</x:v>
      </x:c>
      <x:c r="F1524" t="n">
        <x:v>1530000</x:v>
      </x:c>
      <x:c r="G1524" s="40" t="n">
        <x:v>0.2747</x:v>
      </x:c>
      <x:c r="H1524" s="40" t="n">
        <x:v>0.020432</x:v>
      </x:c>
      <x:c r="I1524" t="n">
        <x:v>24</x:v>
      </x:c>
      <x:c r="J1524" t="n">
        <x:v>81300</x:v>
      </x:c>
      <x:c r="K1524" t="str">
        <x:v>Avalancha</x:v>
      </x:c>
      <x:c r="L1524" t="str">
        <x:v>Vigente</x:v>
      </x:c>
      <x:c r="M1524" t="n">
        <x:v>1424022.62</x:v>
      </x:c>
      <x:c r="N1524"/>
    </x:row>
    <x:row r="1525">
      <x:c r="A1525" t="str">
        <x:v>DEU-001524</x:v>
      </x:c>
      <x:c r="B1525" t="str">
        <x:v>USR-00789</x:v>
      </x:c>
      <x:c r="C1525" t="n">
        <x:v>46143</x:v>
      </x:c>
      <x:c r="D1525" t="str">
        <x:v>Cooperativa C</x:v>
      </x:c>
      <x:c r="E1525" t="str">
        <x:v>Tarjeta de crédito</x:v>
      </x:c>
      <x:c r="F1525" t="n">
        <x:v>1530000</x:v>
      </x:c>
      <x:c r="G1525" s="40" t="n">
        <x:v>0.3217</x:v>
      </x:c>
      <x:c r="H1525" s="40" t="n">
        <x:v>0.023515</x:v>
      </x:c>
      <x:c r="I1525" t="n">
        <x:v>30</x:v>
      </x:c>
      <x:c r="J1525" t="n">
        <x:v>71700</x:v>
      </x:c>
      <x:c r="K1525" t="str">
        <x:v>Avalancha</x:v>
      </x:c>
      <x:c r="L1525" t="str">
        <x:v>Vigente</x:v>
      </x:c>
      <x:c r="M1525" t="n">
        <x:v>1479438.94</x:v>
      </x:c>
      <x:c r="N1525"/>
    </x:row>
    <x:row r="1526">
      <x:c r="A1526" t="str">
        <x:v>DEU-001525</x:v>
      </x:c>
      <x:c r="B1526" t="str">
        <x:v>USR-00789</x:v>
      </x:c>
      <x:c r="C1526" t="n">
        <x:v>46143</x:v>
      </x:c>
      <x:c r="D1526" t="str">
        <x:v>Cooperativa C</x:v>
      </x:c>
      <x:c r="E1526" t="str">
        <x:v>Crédito de consumo</x:v>
      </x:c>
      <x:c r="F1526" t="n">
        <x:v>10910000</x:v>
      </x:c>
      <x:c r="G1526" s="40" t="n">
        <x:v>0.2154</x:v>
      </x:c>
      <x:c r="H1526" s="40" t="n">
        <x:v>0.016389</x:v>
      </x:c>
      <x:c r="I1526" t="n">
        <x:v>36</x:v>
      </x:c>
      <x:c r="J1526" t="n">
        <x:v>403600</x:v>
      </x:c>
      <x:c r="K1526" t="str">
        <x:v>Bola de nieve</x:v>
      </x:c>
      <x:c r="L1526" t="str">
        <x:v>Vigente</x:v>
      </x:c>
      <x:c r="M1526" t="n">
        <x:v>10235533.66</x:v>
      </x:c>
      <x:c r="N1526"/>
    </x:row>
    <x:row r="1527">
      <x:c r="A1527" t="str">
        <x:v>DEU-001526</x:v>
      </x:c>
      <x:c r="B1527" t="str">
        <x:v>USR-00790</x:v>
      </x:c>
      <x:c r="C1527" t="n">
        <x:v>46143</x:v>
      </x:c>
      <x:c r="D1527" t="str">
        <x:v>Entidad financiera A</x:v>
      </x:c>
      <x:c r="E1527" t="str">
        <x:v>Crédito de consumo</x:v>
      </x:c>
      <x:c r="F1527" t="n">
        <x:v>19000000</x:v>
      </x:c>
      <x:c r="G1527" s="40" t="n">
        <x:v>0.3173</x:v>
      </x:c>
      <x:c r="H1527" s="40" t="n">
        <x:v>0.023231</x:v>
      </x:c>
      <x:c r="I1527" t="n">
        <x:v>36</x:v>
      </x:c>
      <x:c r="J1527" t="n">
        <x:v>784600</x:v>
      </x:c>
      <x:c r="K1527" t="str">
        <x:v>Bola de nieve</x:v>
      </x:c>
      <x:c r="L1527" t="str">
        <x:v>Vigente</x:v>
      </x:c>
      <x:c r="M1527" t="n">
        <x:v>19272694.19</x:v>
      </x:c>
      <x:c r="N1527"/>
    </x:row>
    <x:row r="1528">
      <x:c r="A1528" t="str">
        <x:v>DEU-001527</x:v>
      </x:c>
      <x:c r="B1528" t="str">
        <x:v>USR-00790</x:v>
      </x:c>
      <x:c r="C1528" t="n">
        <x:v>46143</x:v>
      </x:c>
      <x:c r="D1528" t="str">
        <x:v>Entidad financiera A</x:v>
      </x:c>
      <x:c r="E1528" t="str">
        <x:v>Crédito de libre inversión</x:v>
      </x:c>
      <x:c r="F1528" t="n">
        <x:v>21540000</x:v>
      </x:c>
      <x:c r="G1528" s="40" t="n">
        <x:v>0.2543</x:v>
      </x:c>
      <x:c r="H1528" s="40" t="n">
        <x:v>0.019061</x:v>
      </x:c>
      <x:c r="I1528" t="n">
        <x:v>30</x:v>
      </x:c>
      <x:c r="J1528" t="n">
        <x:v>949400</x:v>
      </x:c>
      <x:c r="K1528" t="str">
        <x:v>Bola de nieve</x:v>
      </x:c>
      <x:c r="L1528" t="str">
        <x:v>Vigente</x:v>
      </x:c>
      <x:c r="M1528" t="n">
        <x:v>19138905.35</x:v>
      </x:c>
      <x:c r="N1528"/>
    </x:row>
    <x:row r="1529">
      <x:c r="A1529" t="str">
        <x:v>DEU-001528</x:v>
      </x:c>
      <x:c r="B1529" t="str">
        <x:v>USR-00790</x:v>
      </x:c>
      <x:c r="C1529" t="n">
        <x:v>46143</x:v>
      </x:c>
      <x:c r="D1529" t="str">
        <x:v>Entidad financiera A</x:v>
      </x:c>
      <x:c r="E1529" t="str">
        <x:v>Tarjeta de crédito</x:v>
      </x:c>
      <x:c r="F1529" t="n">
        <x:v>2290000</x:v>
      </x:c>
      <x:c r="G1529" s="40" t="n">
        <x:v>0.2029</x:v>
      </x:c>
      <x:c r="H1529" s="40" t="n">
        <x:v>0.015514</x:v>
      </x:c>
      <x:c r="I1529" t="n">
        <x:v>24</x:v>
      </x:c>
      <x:c r="J1529" t="n">
        <x:v>115000</x:v>
      </x:c>
      <x:c r="K1529" t="str">
        <x:v>Bola de nieve</x:v>
      </x:c>
      <x:c r="L1529" t="str">
        <x:v>Vigente</x:v>
      </x:c>
      <x:c r="M1529" t="n">
        <x:v>1891693.53</x:v>
      </x:c>
      <x:c r="N1529"/>
    </x:row>
    <x:row r="1530">
      <x:c r="A1530" t="str">
        <x:v>DEU-001529</x:v>
      </x:c>
      <x:c r="B1530" t="str">
        <x:v>USR-00790</x:v>
      </x:c>
      <x:c r="C1530" t="n">
        <x:v>46143</x:v>
      </x:c>
      <x:c r="D1530" t="str">
        <x:v>Entidad financiera E</x:v>
      </x:c>
      <x:c r="E1530" t="str">
        <x:v>Crédito de consumo</x:v>
      </x:c>
      <x:c r="F1530" t="n">
        <x:v>9820000</x:v>
      </x:c>
      <x:c r="G1530" s="40" t="n">
        <x:v>0.2437</x:v>
      </x:c>
      <x:c r="H1530" s="40" t="n">
        <x:v>0.01834</x:v>
      </x:c>
      <x:c r="I1530" t="n">
        <x:v>36</x:v>
      </x:c>
      <x:c r="J1530" t="n">
        <x:v>375100</x:v>
      </x:c>
      <x:c r="K1530" t="str">
        <x:v>Avalancha</x:v>
      </x:c>
      <x:c r="L1530" t="str">
        <x:v>Vigente</x:v>
      </x:c>
      <x:c r="M1530" t="n">
        <x:v>9385366.5</x:v>
      </x:c>
      <x:c r="N1530"/>
    </x:row>
    <x:row r="1531">
      <x:c r="A1531" t="str">
        <x:v>DEU-001530</x:v>
      </x:c>
      <x:c r="B1531" t="str">
        <x:v>USR-00790</x:v>
      </x:c>
      <x:c r="C1531" t="n">
        <x:v>46143</x:v>
      </x:c>
      <x:c r="D1531" t="str">
        <x:v>Entidad financiera A</x:v>
      </x:c>
      <x:c r="E1531" t="str">
        <x:v>Crédito de consumo</x:v>
      </x:c>
      <x:c r="F1531" t="n">
        <x:v>8290000</x:v>
      </x:c>
      <x:c r="G1531" s="40" t="n">
        <x:v>0.2826</x:v>
      </x:c>
      <x:c r="H1531" s="40" t="n">
        <x:v>0.020957</x:v>
      </x:c>
      <x:c r="I1531" t="n">
        <x:v>24</x:v>
      </x:c>
      <x:c r="J1531" t="n">
        <x:v>443100</x:v>
      </x:c>
      <x:c r="K1531" t="str">
        <x:v>Avalancha</x:v>
      </x:c>
      <x:c r="L1531" t="str">
        <x:v>Vigente</x:v>
      </x:c>
      <x:c r="M1531" t="n">
        <x:v>6845429.81</x:v>
      </x:c>
      <x:c r="N1531"/>
    </x:row>
    <x:row r="1532">
      <x:c r="A1532" t="str">
        <x:v>DEU-001531</x:v>
      </x:c>
      <x:c r="B1532" t="str">
        <x:v>USR-00791</x:v>
      </x:c>
      <x:c r="C1532" t="n">
        <x:v>46143</x:v>
      </x:c>
      <x:c r="D1532" t="str">
        <x:v>Entidad financiera B</x:v>
      </x:c>
      <x:c r="E1532" t="str">
        <x:v>Tarjeta de crédito</x:v>
      </x:c>
      <x:c r="F1532" t="n">
        <x:v>1220000</x:v>
      </x:c>
      <x:c r="G1532" s="40" t="n">
        <x:v>0.2569</x:v>
      </x:c>
      <x:c r="H1532" s="40" t="n">
        <x:v>0.019237</x:v>
      </x:c>
      <x:c r="I1532" t="n">
        <x:v>12</x:v>
      </x:c>
      <x:c r="J1532" t="n">
        <x:v>114800</x:v>
      </x:c>
      <x:c r="K1532" t="str">
        <x:v>Avalancha</x:v>
      </x:c>
      <x:c r="L1532" t="str">
        <x:v>Vigente</x:v>
      </x:c>
      <x:c r="M1532" t="n">
        <x:v>774796.14</x:v>
      </x:c>
      <x:c r="N1532"/>
    </x:row>
    <x:row r="1533">
      <x:c r="A1533" t="str">
        <x:v>DEU-001532</x:v>
      </x:c>
      <x:c r="B1533" t="str">
        <x:v>USR-00791</x:v>
      </x:c>
      <x:c r="C1533" t="n">
        <x:v>46143</x:v>
      </x:c>
      <x:c r="D1533" t="str">
        <x:v>Entidad financiera B</x:v>
      </x:c>
      <x:c r="E1533" t="str">
        <x:v>Crédito de consumo</x:v>
      </x:c>
      <x:c r="F1533" t="n">
        <x:v>5950000</x:v>
      </x:c>
      <x:c r="G1533" s="40" t="n">
        <x:v>0.1958</x:v>
      </x:c>
      <x:c r="H1533" s="40" t="n">
        <x:v>0.015013</x:v>
      </x:c>
      <x:c r="I1533" t="n">
        <x:v>12</x:v>
      </x:c>
      <x:c r="J1533" t="n">
        <x:v>545500</x:v>
      </x:c>
      <x:c r="K1533" t="str">
        <x:v>Avalancha</x:v>
      </x:c>
      <x:c r="L1533" t="str">
        <x:v>Vigente</x:v>
      </x:c>
      <x:c r="M1533" t="n">
        <x:v>3781134.54</x:v>
      </x:c>
      <x:c r="N1533"/>
    </x:row>
    <x:row r="1534">
      <x:c r="A1534" t="str">
        <x:v>DEU-001533</x:v>
      </x:c>
      <x:c r="B1534" t="str">
        <x:v>USR-00792</x:v>
      </x:c>
      <x:c r="C1534" t="n">
        <x:v>46143</x:v>
      </x:c>
      <x:c r="D1534" t="str">
        <x:v>Entidad financiera A</x:v>
      </x:c>
      <x:c r="E1534" t="str">
        <x:v>Tarjeta de crédito</x:v>
      </x:c>
      <x:c r="F1534" t="n">
        <x:v>2260000</x:v>
      </x:c>
      <x:c r="G1534" s="40" t="n">
        <x:v>0.2458</x:v>
      </x:c>
      <x:c r="H1534" s="40" t="n">
        <x:v>0.018484</x:v>
      </x:c>
      <x:c r="I1534" t="n">
        <x:v>60</x:v>
      </x:c>
      <x:c r="J1534" t="n">
        <x:v>62700</x:v>
      </x:c>
      <x:c r="K1534" t="str">
        <x:v>Avalancha</x:v>
      </x:c>
      <x:c r="L1534" t="str">
        <x:v>Vigente</x:v>
      </x:c>
      <x:c r="M1534" t="n">
        <x:v>2345448.81</x:v>
      </x:c>
      <x:c r="N1534"/>
    </x:row>
    <x:row r="1535">
      <x:c r="A1535" t="str">
        <x:v>DEU-001534</x:v>
      </x:c>
      <x:c r="B1535" t="str">
        <x:v>USR-00793</x:v>
      </x:c>
      <x:c r="C1535" t="n">
        <x:v>46143</x:v>
      </x:c>
      <x:c r="D1535" t="str">
        <x:v>Cooperativa C</x:v>
      </x:c>
      <x:c r="E1535" t="str">
        <x:v>Crédito de libre inversión</x:v>
      </x:c>
      <x:c r="F1535" t="n">
        <x:v>21040000</x:v>
      </x:c>
      <x:c r="G1535" s="40" t="n">
        <x:v>0.3129</x:v>
      </x:c>
      <x:c r="H1535" s="40" t="n">
        <x:v>0.022946</x:v>
      </x:c>
      <x:c r="I1535" t="n">
        <x:v>24</x:v>
      </x:c>
      <x:c r="J1535" t="n">
        <x:v>1149900</x:v>
      </x:c>
      <x:c r="K1535" t="str">
        <x:v>Avalancha</x:v>
      </x:c>
      <x:c r="L1535" t="str">
        <x:v>Vigente</x:v>
      </x:c>
      <x:c r="M1535" t="n">
        <x:v>17375272.48</x:v>
      </x:c>
      <x:c r="N1535"/>
    </x:row>
    <x:row r="1536">
      <x:c r="A1536" t="str">
        <x:v>DEU-001535</x:v>
      </x:c>
      <x:c r="B1536" t="str">
        <x:v>USR-00794</x:v>
      </x:c>
      <x:c r="C1536" t="n">
        <x:v>46143</x:v>
      </x:c>
      <x:c r="D1536" t="str">
        <x:v>Financiera D</x:v>
      </x:c>
      <x:c r="E1536" t="str">
        <x:v>Crédito educativo</x:v>
      </x:c>
      <x:c r="F1536" t="n">
        <x:v>24940000</x:v>
      </x:c>
      <x:c r="G1536" s="40" t="n">
        <x:v>0.1286</x:v>
      </x:c>
      <x:c r="H1536" s="40" t="n">
        <x:v>0.010132</x:v>
      </x:c>
      <x:c r="I1536" t="n">
        <x:v>12</x:v>
      </x:c>
      <x:c r="J1536" t="n">
        <x:v>2217700</x:v>
      </x:c>
      <x:c r="K1536" t="str">
        <x:v>Avalancha</x:v>
      </x:c>
      <x:c r="L1536" t="str">
        <x:v>Vigente</x:v>
      </x:c>
      <x:c r="M1536" t="n">
        <x:v>19580661.57</x:v>
      </x:c>
      <x:c r="N1536"/>
    </x:row>
    <x:row r="1537">
      <x:c r="A1537" t="str">
        <x:v>DEU-001536</x:v>
      </x:c>
      <x:c r="B1537" t="str">
        <x:v>USR-00795</x:v>
      </x:c>
      <x:c r="C1537" t="n">
        <x:v>46143</x:v>
      </x:c>
      <x:c r="D1537" t="str">
        <x:v>Entidad financiera A</x:v>
      </x:c>
      <x:c r="E1537" t="str">
        <x:v>Crédito de consumo</x:v>
      </x:c>
      <x:c r="F1537" t="n">
        <x:v>16620000</x:v>
      </x:c>
      <x:c r="G1537" s="40" t="n">
        <x:v>0.3386</x:v>
      </x:c>
      <x:c r="H1537" s="40" t="n">
        <x:v>0.0246</x:v>
      </x:c>
      <x:c r="I1537" t="n">
        <x:v>24</x:v>
      </x:c>
      <x:c r="J1537" t="n">
        <x:v>925200</x:v>
      </x:c>
      <x:c r="K1537" t="str">
        <x:v>Avalancha</x:v>
      </x:c>
      <x:c r="L1537" t="str">
        <x:v>Vigente</x:v>
      </x:c>
      <x:c r="M1537" t="n">
        <x:v>14879331.75</x:v>
      </x:c>
      <x:c r="N1537"/>
    </x:row>
    <x:row r="1538">
      <x:c r="A1538" t="str">
        <x:v>DEU-001537</x:v>
      </x:c>
      <x:c r="B1538" t="str">
        <x:v>USR-00795</x:v>
      </x:c>
      <x:c r="C1538" t="n">
        <x:v>46143</x:v>
      </x:c>
      <x:c r="D1538" t="str">
        <x:v>Entidad financiera A</x:v>
      </x:c>
      <x:c r="E1538" t="str">
        <x:v>Tarjeta de crédito</x:v>
      </x:c>
      <x:c r="F1538" t="n">
        <x:v>5710000</x:v>
      </x:c>
      <x:c r="G1538" s="40" t="n">
        <x:v>0.286</x:v>
      </x:c>
      <x:c r="H1538" s="40" t="n">
        <x:v>0.021183</x:v>
      </x:c>
      <x:c r="I1538" t="n">
        <x:v>30</x:v>
      </x:c>
      <x:c r="J1538" t="n">
        <x:v>259100</x:v>
      </x:c>
      <x:c r="K1538" t="str">
        <x:v>Bola de nieve</x:v>
      </x:c>
      <x:c r="L1538" t="str">
        <x:v>Vigente</x:v>
      </x:c>
      <x:c r="M1538" t="n">
        <x:v>6040451.5</x:v>
      </x:c>
      <x:c r="N1538"/>
    </x:row>
    <x:row r="1539">
      <x:c r="A1539" t="str">
        <x:v>DEU-001538</x:v>
      </x:c>
      <x:c r="B1539" t="str">
        <x:v>USR-00796</x:v>
      </x:c>
      <x:c r="C1539" t="n">
        <x:v>46143</x:v>
      </x:c>
      <x:c r="D1539" t="str">
        <x:v>Cooperativa C</x:v>
      </x:c>
      <x:c r="E1539" t="str">
        <x:v>Crédito de libre inversión</x:v>
      </x:c>
      <x:c r="F1539" t="n">
        <x:v>19660000</x:v>
      </x:c>
      <x:c r="G1539" s="40" t="n">
        <x:v>0.1772</x:v>
      </x:c>
      <x:c r="H1539" s="40" t="n">
        <x:v>0.013688</x:v>
      </x:c>
      <x:c r="I1539" t="n">
        <x:v>30</x:v>
      </x:c>
      <x:c r="J1539" t="n">
        <x:v>803500</x:v>
      </x:c>
      <x:c r="K1539" t="str">
        <x:v>Bola de nieve</x:v>
      </x:c>
      <x:c r="L1539" t="str">
        <x:v>Vigente</x:v>
      </x:c>
      <x:c r="M1539" t="n">
        <x:v>19280550.64</x:v>
      </x:c>
      <x:c r="N1539"/>
    </x:row>
    <x:row r="1540">
      <x:c r="A1540" t="str">
        <x:v>DEU-001539</x:v>
      </x:c>
      <x:c r="B1540" t="str">
        <x:v>USR-00797</x:v>
      </x:c>
      <x:c r="C1540" t="n">
        <x:v>46143</x:v>
      </x:c>
      <x:c r="D1540" t="str">
        <x:v>Cooperativa C</x:v>
      </x:c>
      <x:c r="E1540" t="str">
        <x:v>Tarjeta de crédito</x:v>
      </x:c>
      <x:c r="F1540" t="n">
        <x:v>2610000</x:v>
      </x:c>
      <x:c r="G1540" s="40" t="n">
        <x:v>0.2756</x:v>
      </x:c>
      <x:c r="H1540" s="40" t="n">
        <x:v>0.020492</x:v>
      </x:c>
      <x:c r="I1540" t="n">
        <x:v>18</x:v>
      </x:c>
      <x:c r="J1540" t="n">
        <x:v>174800</x:v>
      </x:c>
      <x:c r="K1540" t="str">
        <x:v>Bola de nieve</x:v>
      </x:c>
      <x:c r="L1540" t="str">
        <x:v>Vigente</x:v>
      </x:c>
      <x:c r="M1540" t="n">
        <x:v>2034397.26</x:v>
      </x:c>
      <x:c r="N1540"/>
    </x:row>
    <x:row r="1541">
      <x:c r="A1541" t="str">
        <x:v>DEU-001540</x:v>
      </x:c>
      <x:c r="B1541" t="str">
        <x:v>USR-00797</x:v>
      </x:c>
      <x:c r="C1541" t="n">
        <x:v>46143</x:v>
      </x:c>
      <x:c r="D1541" t="str">
        <x:v>Financiera D</x:v>
      </x:c>
      <x:c r="E1541" t="str">
        <x:v>Crédito educativo</x:v>
      </x:c>
      <x:c r="F1541" t="n">
        <x:v>18590000</x:v>
      </x:c>
      <x:c r="G1541" s="40" t="n">
        <x:v>0.1752</x:v>
      </x:c>
      <x:c r="H1541" s="40" t="n">
        <x:v>0.013544</x:v>
      </x:c>
      <x:c r="I1541" t="n">
        <x:v>12</x:v>
      </x:c>
      <x:c r="J1541" t="n">
        <x:v>1688900</x:v>
      </x:c>
      <x:c r="K1541" t="str">
        <x:v>Avalancha</x:v>
      </x:c>
      <x:c r="L1541" t="str">
        <x:v>Vigente</x:v>
      </x:c>
      <x:c r="M1541" t="n">
        <x:v>10072290.24</x:v>
      </x:c>
      <x:c r="N1541"/>
    </x:row>
    <x:row r="1542">
      <x:c r="A1542" t="str">
        <x:v>DEU-001541</x:v>
      </x:c>
      <x:c r="B1542" t="str">
        <x:v>USR-00797</x:v>
      </x:c>
      <x:c r="C1542" t="n">
        <x:v>46143</x:v>
      </x:c>
      <x:c r="D1542" t="str">
        <x:v>Entidad financiera E</x:v>
      </x:c>
      <x:c r="E1542" t="str">
        <x:v>Crédito de libre inversión</x:v>
      </x:c>
      <x:c r="F1542" t="n">
        <x:v>5060000</x:v>
      </x:c>
      <x:c r="G1542" s="40" t="n">
        <x:v>0.1202</x:v>
      </x:c>
      <x:c r="H1542" s="40" t="n">
        <x:v>0.009504</x:v>
      </x:c>
      <x:c r="I1542" t="n">
        <x:v>48</x:v>
      </x:c>
      <x:c r="J1542" t="n">
        <x:v>131800</x:v>
      </x:c>
      <x:c r="K1542" t="str">
        <x:v>Avalancha</x:v>
      </x:c>
      <x:c r="L1542" t="str">
        <x:v>Vigente</x:v>
      </x:c>
      <x:c r="M1542" t="n">
        <x:v>4674823.31</x:v>
      </x:c>
      <x:c r="N1542"/>
    </x:row>
    <x:row r="1543">
      <x:c r="A1543" t="str">
        <x:v>DEU-001542</x:v>
      </x:c>
      <x:c r="B1543" t="str">
        <x:v>USR-00797</x:v>
      </x:c>
      <x:c r="C1543" t="n">
        <x:v>46143</x:v>
      </x:c>
      <x:c r="D1543" t="str">
        <x:v>Entidad financiera E</x:v>
      </x:c>
      <x:c r="E1543" t="str">
        <x:v>Crédito de libre inversión</x:v>
      </x:c>
      <x:c r="F1543" t="n">
        <x:v>18650000</x:v>
      </x:c>
      <x:c r="G1543" s="40" t="n">
        <x:v>0.1813</x:v>
      </x:c>
      <x:c r="H1543" s="40" t="n">
        <x:v>0.013981</x:v>
      </x:c>
      <x:c r="I1543" t="n">
        <x:v>12</x:v>
      </x:c>
      <x:c r="J1543" t="n">
        <x:v>1699000</x:v>
      </x:c>
      <x:c r="K1543" t="str">
        <x:v>Bola de nieve</x:v>
      </x:c>
      <x:c r="L1543" t="str">
        <x:v>Vigente</x:v>
      </x:c>
      <x:c r="M1543" t="n">
        <x:v>15387587.87</x:v>
      </x:c>
      <x:c r="N1543"/>
    </x:row>
    <x:row r="1544">
      <x:c r="A1544" t="str">
        <x:v>DEU-001543</x:v>
      </x:c>
      <x:c r="B1544" t="str">
        <x:v>USR-00797</x:v>
      </x:c>
      <x:c r="C1544" t="n">
        <x:v>46143</x:v>
      </x:c>
      <x:c r="D1544" t="str">
        <x:v>Entidad financiera E</x:v>
      </x:c>
      <x:c r="E1544" t="str">
        <x:v>Tarjeta de crédito</x:v>
      </x:c>
      <x:c r="F1544" t="n">
        <x:v>4630000</x:v>
      </x:c>
      <x:c r="G1544" s="40" t="n">
        <x:v>0.2489</x:v>
      </x:c>
      <x:c r="H1544" s="40" t="n">
        <x:v>0.018695</x:v>
      </x:c>
      <x:c r="I1544" t="n">
        <x:v>18</x:v>
      </x:c>
      <x:c r="J1544" t="n">
        <x:v>305300</x:v>
      </x:c>
      <x:c r="K1544" t="str">
        <x:v>Bola de nieve</x:v>
      </x:c>
      <x:c r="L1544" t="str">
        <x:v>Vigente</x:v>
      </x:c>
      <x:c r="M1544" t="n">
        <x:v>4122657.79</x:v>
      </x:c>
      <x:c r="N1544"/>
    </x:row>
    <x:row r="1545">
      <x:c r="A1545" t="str">
        <x:v>DEU-001544</x:v>
      </x:c>
      <x:c r="B1545" t="str">
        <x:v>USR-00798</x:v>
      </x:c>
      <x:c r="C1545" t="n">
        <x:v>46143</x:v>
      </x:c>
      <x:c r="D1545" t="str">
        <x:v>Entidad financiera E</x:v>
      </x:c>
      <x:c r="E1545" t="str">
        <x:v>Crédito de vehículo</x:v>
      </x:c>
      <x:c r="F1545" t="n">
        <x:v>34180000</x:v>
      </x:c>
      <x:c r="G1545" s="40" t="n">
        <x:v>0.2235</x:v>
      </x:c>
      <x:c r="H1545" s="40" t="n">
        <x:v>0.016952</x:v>
      </x:c>
      <x:c r="I1545" t="n">
        <x:v>30</x:v>
      </x:c>
      <x:c r="J1545" t="n">
        <x:v>1462900</x:v>
      </x:c>
      <x:c r="K1545" t="str">
        <x:v>Bola de nieve</x:v>
      </x:c>
      <x:c r="L1545" t="str">
        <x:v>Vigente</x:v>
      </x:c>
      <x:c r="M1545" t="n">
        <x:v>31642064.63</x:v>
      </x:c>
      <x:c r="N1545"/>
    </x:row>
    <x:row r="1546">
      <x:c r="A1546" t="str">
        <x:v>DEU-001545</x:v>
      </x:c>
      <x:c r="B1546" t="str">
        <x:v>USR-00798</x:v>
      </x:c>
      <x:c r="C1546" t="n">
        <x:v>46143</x:v>
      </x:c>
      <x:c r="D1546" t="str">
        <x:v>Entidad financiera B</x:v>
      </x:c>
      <x:c r="E1546" t="str">
        <x:v>Crédito de consumo</x:v>
      </x:c>
      <x:c r="F1546" t="n">
        <x:v>14840000</x:v>
      </x:c>
      <x:c r="G1546" s="40" t="n">
        <x:v>0.1897</x:v>
      </x:c>
      <x:c r="H1546" s="40" t="n">
        <x:v>0.01458</x:v>
      </x:c>
      <x:c r="I1546" t="n">
        <x:v>30</x:v>
      </x:c>
      <x:c r="J1546" t="n">
        <x:v>614300</x:v>
      </x:c>
      <x:c r="K1546" t="str">
        <x:v>Bola de nieve</x:v>
      </x:c>
      <x:c r="L1546" t="str">
        <x:v>Vigente</x:v>
      </x:c>
      <x:c r="M1546" t="n">
        <x:v>14237907.3</x:v>
      </x:c>
      <x:c r="N1546"/>
    </x:row>
    <x:row r="1547">
      <x:c r="A1547" t="str">
        <x:v>DEU-001546</x:v>
      </x:c>
      <x:c r="B1547" t="str">
        <x:v>USR-00799</x:v>
      </x:c>
      <x:c r="C1547" t="n">
        <x:v>46143</x:v>
      </x:c>
      <x:c r="D1547" t="str">
        <x:v>Cooperativa C</x:v>
      </x:c>
      <x:c r="E1547" t="str">
        <x:v>Crédito comercial</x:v>
      </x:c>
      <x:c r="F1547" t="n">
        <x:v>8040000</x:v>
      </x:c>
      <x:c r="G1547" s="40" t="n">
        <x:v>0.2873</x:v>
      </x:c>
      <x:c r="H1547" s="40" t="n">
        <x:v>0.021269</x:v>
      </x:c>
      <x:c r="I1547" t="n">
        <x:v>12</x:v>
      </x:c>
      <x:c r="J1547" t="n">
        <x:v>766200</x:v>
      </x:c>
      <x:c r="K1547" t="str">
        <x:v>Bola de nieve</x:v>
      </x:c>
      <x:c r="L1547" t="str">
        <x:v>Vigente</x:v>
      </x:c>
      <x:c r="M1547" t="n">
        <x:v>5343515.7</x:v>
      </x:c>
      <x:c r="N1547"/>
    </x:row>
    <x:row r="1548">
      <x:c r="A1548" t="str">
        <x:v>DEU-001547</x:v>
      </x:c>
      <x:c r="B1548" t="str">
        <x:v>USR-00800</x:v>
      </x:c>
      <x:c r="C1548" t="n">
        <x:v>46143</x:v>
      </x:c>
      <x:c r="D1548" t="str">
        <x:v>Entidad financiera A</x:v>
      </x:c>
      <x:c r="E1548" t="str">
        <x:v>Crédito educativo</x:v>
      </x:c>
      <x:c r="F1548" t="n">
        <x:v>7130000</x:v>
      </x:c>
      <x:c r="G1548" s="40" t="n">
        <x:v>0.2388</x:v>
      </x:c>
      <x:c r="H1548" s="40" t="n">
        <x:v>0.018005</x:v>
      </x:c>
      <x:c r="I1548" t="n">
        <x:v>12</x:v>
      </x:c>
      <x:c r="J1548" t="n">
        <x:v>666000</x:v>
      </x:c>
      <x:c r="K1548" t="str">
        <x:v>Bola de nieve</x:v>
      </x:c>
      <x:c r="L1548" t="str">
        <x:v>Vigente</x:v>
      </x:c>
      <x:c r="M1548" t="n">
        <x:v>5654800.56</x:v>
      </x:c>
      <x:c r="N1548"/>
    </x:row>
    <x:row r="1549">
      <x:c r="A1549" t="str">
        <x:v>DEU-001548</x:v>
      </x:c>
      <x:c r="B1549" t="str">
        <x:v>USR-00801</x:v>
      </x:c>
      <x:c r="C1549" t="n">
        <x:v>46143</x:v>
      </x:c>
      <x:c r="D1549" t="str">
        <x:v>Entidad financiera A</x:v>
      </x:c>
      <x:c r="E1549" t="str">
        <x:v>Tarjeta de crédito</x:v>
      </x:c>
      <x:c r="F1549" t="n">
        <x:v>5850000</x:v>
      </x:c>
      <x:c r="G1549" s="40" t="n">
        <x:v>0.1569</x:v>
      </x:c>
      <x:c r="H1549" s="40" t="n">
        <x:v>0.012219</x:v>
      </x:c>
      <x:c r="I1549" t="n">
        <x:v>12</x:v>
      </x:c>
      <x:c r="J1549" t="n">
        <x:v>527100</x:v>
      </x:c>
      <x:c r="K1549" t="str">
        <x:v>Bola de nieve</x:v>
      </x:c>
      <x:c r="L1549" t="str">
        <x:v>Vigente</x:v>
      </x:c>
      <x:c r="M1549" t="n">
        <x:v>4832368.69</x:v>
      </x:c>
      <x:c r="N1549"/>
    </x:row>
    <x:row r="1550">
      <x:c r="A1550" t="str">
        <x:v>DEU-001549</x:v>
      </x:c>
      <x:c r="B1550" t="str">
        <x:v>USR-00802</x:v>
      </x:c>
      <x:c r="C1550" t="n">
        <x:v>46143</x:v>
      </x:c>
      <x:c r="D1550" t="str">
        <x:v>Financiera D</x:v>
      </x:c>
      <x:c r="E1550" t="str">
        <x:v>Tarjeta de crédito</x:v>
      </x:c>
      <x:c r="F1550" t="n">
        <x:v>7430000</x:v>
      </x:c>
      <x:c r="G1550" s="40" t="n">
        <x:v>0.2843</x:v>
      </x:c>
      <x:c r="H1550" s="40" t="n">
        <x:v>0.02107</x:v>
      </x:c>
      <x:c r="I1550" t="n">
        <x:v>18</x:v>
      </x:c>
      <x:c r="J1550" t="n">
        <x:v>500300</x:v>
      </x:c>
      <x:c r="K1550" t="str">
        <x:v>Bola de nieve</x:v>
      </x:c>
      <x:c r="L1550" t="str">
        <x:v>Vigente</x:v>
      </x:c>
      <x:c r="M1550" t="n">
        <x:v>6720308.16</x:v>
      </x:c>
      <x:c r="N1550"/>
    </x:row>
    <x:row r="1551">
      <x:c r="A1551" t="str">
        <x:v>DEU-001550</x:v>
      </x:c>
      <x:c r="B1551" t="str">
        <x:v>USR-00803</x:v>
      </x:c>
      <x:c r="C1551" t="n">
        <x:v>46143</x:v>
      </x:c>
      <x:c r="D1551" t="str">
        <x:v>Cooperativa C</x:v>
      </x:c>
      <x:c r="E1551" t="str">
        <x:v>Crédito de libre inversión</x:v>
      </x:c>
      <x:c r="F1551" t="n">
        <x:v>6330000</x:v>
      </x:c>
      <x:c r="G1551" s="40" t="n">
        <x:v>0.1369</x:v>
      </x:c>
      <x:c r="H1551" s="40" t="n">
        <x:v>0.010749</x:v>
      </x:c>
      <x:c r="I1551" t="n">
        <x:v>48</x:v>
      </x:c>
      <x:c r="J1551" t="n">
        <x:v>169500</x:v>
      </x:c>
      <x:c r="K1551" t="str">
        <x:v>Avalancha</x:v>
      </x:c>
      <x:c r="L1551" t="str">
        <x:v>Vigente</x:v>
      </x:c>
      <x:c r="M1551" t="n">
        <x:v>6008977.63</x:v>
      </x:c>
      <x:c r="N1551"/>
    </x:row>
    <x:row r="1552">
      <x:c r="A1552" t="str">
        <x:v>DEU-001551</x:v>
      </x:c>
      <x:c r="B1552" t="str">
        <x:v>USR-00804</x:v>
      </x:c>
      <x:c r="C1552" t="n">
        <x:v>46143</x:v>
      </x:c>
      <x:c r="D1552" t="str">
        <x:v>Entidad financiera E</x:v>
      </x:c>
      <x:c r="E1552" t="str">
        <x:v>Crédito de consumo</x:v>
      </x:c>
      <x:c r="F1552" t="n">
        <x:v>9220000</x:v>
      </x:c>
      <x:c r="G1552" s="40" t="n">
        <x:v>0.1318</x:v>
      </x:c>
      <x:c r="H1552" s="40" t="n">
        <x:v>0.010371</x:v>
      </x:c>
      <x:c r="I1552" t="n">
        <x:v>48</x:v>
      </x:c>
      <x:c r="J1552" t="n">
        <x:v>244800</x:v>
      </x:c>
      <x:c r="K1552" t="str">
        <x:v>Avalancha</x:v>
      </x:c>
      <x:c r="L1552" t="str">
        <x:v>Vigente</x:v>
      </x:c>
      <x:c r="M1552" t="n">
        <x:v>9070819.23</x:v>
      </x:c>
      <x:c r="N1552"/>
    </x:row>
    <x:row r="1553">
      <x:c r="A1553" t="str">
        <x:v>DEU-001552</x:v>
      </x:c>
      <x:c r="B1553" t="str">
        <x:v>USR-00804</x:v>
      </x:c>
      <x:c r="C1553" t="n">
        <x:v>46143</x:v>
      </x:c>
      <x:c r="D1553" t="str">
        <x:v>Financiera D</x:v>
      </x:c>
      <x:c r="E1553" t="str">
        <x:v>Tarjeta de crédito</x:v>
      </x:c>
      <x:c r="F1553" t="n">
        <x:v>7890000</x:v>
      </x:c>
      <x:c r="G1553" s="40" t="n">
        <x:v>0.3076</x:v>
      </x:c>
      <x:c r="H1553" s="40" t="n">
        <x:v>0.022601</x:v>
      </x:c>
      <x:c r="I1553" t="n">
        <x:v>24</x:v>
      </x:c>
      <x:c r="J1553" t="n">
        <x:v>429500</x:v>
      </x:c>
      <x:c r="K1553" t="str">
        <x:v>Avalancha</x:v>
      </x:c>
      <x:c r="L1553" t="str">
        <x:v>Vigente</x:v>
      </x:c>
      <x:c r="M1553" t="n">
        <x:v>7724722.44</x:v>
      </x:c>
      <x:c r="N1553"/>
    </x:row>
    <x:row r="1554">
      <x:c r="A1554" t="str">
        <x:v>DEU-001553</x:v>
      </x:c>
      <x:c r="B1554" t="str">
        <x:v>USR-00805</x:v>
      </x:c>
      <x:c r="C1554" t="n">
        <x:v>46143</x:v>
      </x:c>
      <x:c r="D1554" t="str">
        <x:v>Cooperativa C</x:v>
      </x:c>
      <x:c r="E1554" t="str">
        <x:v>Crédito de vehículo</x:v>
      </x:c>
      <x:c r="F1554" t="n">
        <x:v>52470000</x:v>
      </x:c>
      <x:c r="G1554" s="40" t="n">
        <x:v>0.1057</x:v>
      </x:c>
      <x:c r="H1554" s="40" t="n">
        <x:v>0.008408</x:v>
      </x:c>
      <x:c r="I1554" t="n">
        <x:v>60</x:v>
      </x:c>
      <x:c r="J1554" t="n">
        <x:v>1117200</x:v>
      </x:c>
      <x:c r="K1554" t="str">
        <x:v>Bola de nieve</x:v>
      </x:c>
      <x:c r="L1554" t="str">
        <x:v>Vigente</x:v>
      </x:c>
      <x:c r="M1554" t="n">
        <x:v>50497773.3</x:v>
      </x:c>
      <x:c r="N1554"/>
    </x:row>
    <x:row r="1555">
      <x:c r="A1555" t="str">
        <x:v>DEU-001554</x:v>
      </x:c>
      <x:c r="B1555" t="str">
        <x:v>USR-00806</x:v>
      </x:c>
      <x:c r="C1555" t="n">
        <x:v>46143</x:v>
      </x:c>
      <x:c r="D1555" t="str">
        <x:v>Entidad financiera E</x:v>
      </x:c>
      <x:c r="E1555" t="str">
        <x:v>Crédito de libre inversión</x:v>
      </x:c>
      <x:c r="F1555" t="n">
        <x:v>15670000</x:v>
      </x:c>
      <x:c r="G1555" s="40" t="n">
        <x:v>0.1665</x:v>
      </x:c>
      <x:c r="H1555" s="40" t="n">
        <x:v>0.012917</x:v>
      </x:c>
      <x:c r="I1555" t="n">
        <x:v>12</x:v>
      </x:c>
      <x:c r="J1555" t="n">
        <x:v>1418000</x:v>
      </x:c>
      <x:c r="K1555" t="str">
        <x:v>Bola de nieve</x:v>
      </x:c>
      <x:c r="L1555" t="str">
        <x:v>Vigente</x:v>
      </x:c>
      <x:c r="M1555" t="n">
        <x:v>12342943.23</x:v>
      </x:c>
      <x:c r="N1555"/>
    </x:row>
    <x:row r="1556">
      <x:c r="A1556" t="str">
        <x:v>DEU-001555</x:v>
      </x:c>
      <x:c r="B1556" t="str">
        <x:v>USR-00807</x:v>
      </x:c>
      <x:c r="C1556" t="n">
        <x:v>46143</x:v>
      </x:c>
      <x:c r="D1556" t="str">
        <x:v>Entidad financiera B</x:v>
      </x:c>
      <x:c r="E1556" t="str">
        <x:v>Tarjeta de crédito</x:v>
      </x:c>
      <x:c r="F1556" t="n">
        <x:v>6010000</x:v>
      </x:c>
      <x:c r="G1556" s="40" t="n">
        <x:v>0.2282</x:v>
      </x:c>
      <x:c r="H1556" s="40" t="n">
        <x:v>0.017277</x:v>
      </x:c>
      <x:c r="I1556" t="n">
        <x:v>24</x:v>
      </x:c>
      <x:c r="J1556" t="n">
        <x:v>308000</x:v>
      </x:c>
      <x:c r="K1556" t="str">
        <x:v>Avalancha</x:v>
      </x:c>
      <x:c r="L1556" t="str">
        <x:v>Vigente</x:v>
      </x:c>
      <x:c r="M1556" t="n">
        <x:v>5544562.42</x:v>
      </x:c>
      <x:c r="N1556"/>
    </x:row>
    <x:row r="1557">
      <x:c r="A1557" t="str">
        <x:v>DEU-001556</x:v>
      </x:c>
      <x:c r="B1557" t="str">
        <x:v>USR-00808</x:v>
      </x:c>
      <x:c r="C1557" t="n">
        <x:v>46143</x:v>
      </x:c>
      <x:c r="D1557" t="str">
        <x:v>Cooperativa C</x:v>
      </x:c>
      <x:c r="E1557" t="str">
        <x:v>Crédito de consumo</x:v>
      </x:c>
      <x:c r="F1557" t="n">
        <x:v>9880000</x:v>
      </x:c>
      <x:c r="G1557" s="40" t="n">
        <x:v>0.2665</x:v>
      </x:c>
      <x:c r="H1557" s="40" t="n">
        <x:v>0.019883</x:v>
      </x:c>
      <x:c r="I1557" t="n">
        <x:v>18</x:v>
      </x:c>
      <x:c r="J1557" t="n">
        <x:v>658300</x:v>
      </x:c>
      <x:c r="K1557" t="str">
        <x:v>Bola de nieve</x:v>
      </x:c>
      <x:c r="L1557" t="str">
        <x:v>Vigente</x:v>
      </x:c>
      <x:c r="M1557" t="n">
        <x:v>8848408.67</x:v>
      </x:c>
      <x:c r="N1557"/>
    </x:row>
    <x:row r="1558">
      <x:c r="A1558" t="str">
        <x:v>DEU-001557</x:v>
      </x:c>
      <x:c r="B1558" t="str">
        <x:v>USR-00808</x:v>
      </x:c>
      <x:c r="C1558" t="n">
        <x:v>46143</x:v>
      </x:c>
      <x:c r="D1558" t="str">
        <x:v>Cooperativa C</x:v>
      </x:c>
      <x:c r="E1558" t="str">
        <x:v>Tarjeta de crédito</x:v>
      </x:c>
      <x:c r="F1558" t="n">
        <x:v>1080000</x:v>
      </x:c>
      <x:c r="G1558" s="40" t="n">
        <x:v>0.3389</x:v>
      </x:c>
      <x:c r="H1558" s="40" t="n">
        <x:v>0.024619</x:v>
      </x:c>
      <x:c r="I1558" t="n">
        <x:v>36</x:v>
      </x:c>
      <x:c r="J1558" t="n">
        <x:v>45600</x:v>
      </x:c>
      <x:c r="K1558" t="str">
        <x:v>Bola de nieve</x:v>
      </x:c>
      <x:c r="L1558" t="str">
        <x:v>Vigente</x:v>
      </x:c>
      <x:c r="M1558" t="n">
        <x:v>1081431.31</x:v>
      </x:c>
      <x:c r="N1558"/>
    </x:row>
    <x:row r="1559">
      <x:c r="A1559" t="str">
        <x:v>DEU-001558</x:v>
      </x:c>
      <x:c r="B1559" t="str">
        <x:v>USR-00809</x:v>
      </x:c>
      <x:c r="C1559" t="n">
        <x:v>46143</x:v>
      </x:c>
      <x:c r="D1559" t="str">
        <x:v>Entidad financiera E</x:v>
      </x:c>
      <x:c r="E1559" t="str">
        <x:v>Tarjeta de crédito</x:v>
      </x:c>
      <x:c r="F1559" t="n">
        <x:v>4990000</x:v>
      </x:c>
      <x:c r="G1559" s="40" t="n">
        <x:v>0.2104</x:v>
      </x:c>
      <x:c r="H1559" s="40" t="n">
        <x:v>0.01604</x:v>
      </x:c>
      <x:c r="I1559" t="n">
        <x:v>18</x:v>
      </x:c>
      <x:c r="J1559" t="n">
        <x:v>321400</x:v>
      </x:c>
      <x:c r="K1559" t="str">
        <x:v>Avalancha</x:v>
      </x:c>
      <x:c r="L1559" t="str">
        <x:v>Vigente</x:v>
      </x:c>
      <x:c r="M1559" t="n">
        <x:v>4101703.57</x:v>
      </x:c>
      <x:c r="N1559"/>
    </x:row>
    <x:row r="1560">
      <x:c r="A1560" t="str">
        <x:v>DEU-001559</x:v>
      </x:c>
      <x:c r="B1560" t="str">
        <x:v>USR-00809</x:v>
      </x:c>
      <x:c r="C1560" t="n">
        <x:v>46143</x:v>
      </x:c>
      <x:c r="D1560" t="str">
        <x:v>Cooperativa C</x:v>
      </x:c>
      <x:c r="E1560" t="str">
        <x:v>Tarjeta de crédito</x:v>
      </x:c>
      <x:c r="F1560" t="n">
        <x:v>6530000</x:v>
      </x:c>
      <x:c r="G1560" s="40" t="n">
        <x:v>0.2477</x:v>
      </x:c>
      <x:c r="H1560" s="40" t="n">
        <x:v>0.018613</x:v>
      </x:c>
      <x:c r="I1560" t="n">
        <x:v>30</x:v>
      </x:c>
      <x:c r="J1560" t="n">
        <x:v>286000</x:v>
      </x:c>
      <x:c r="K1560" t="str">
        <x:v>Bola de nieve</x:v>
      </x:c>
      <x:c r="L1560" t="str">
        <x:v>Vigente</x:v>
      </x:c>
      <x:c r="M1560" t="n">
        <x:v>6416032.74</x:v>
      </x:c>
      <x:c r="N1560"/>
    </x:row>
    <x:row r="1561">
      <x:c r="A1561" t="str">
        <x:v>DEU-001560</x:v>
      </x:c>
      <x:c r="B1561" t="str">
        <x:v>USR-00810</x:v>
      </x:c>
      <x:c r="C1561" t="n">
        <x:v>46143</x:v>
      </x:c>
      <x:c r="D1561" t="str">
        <x:v>Entidad financiera A</x:v>
      </x:c>
      <x:c r="E1561" t="str">
        <x:v>Tarjeta de crédito</x:v>
      </x:c>
      <x:c r="F1561" t="n">
        <x:v>8450000</x:v>
      </x:c>
      <x:c r="G1561" s="40" t="n">
        <x:v>0.3419</x:v>
      </x:c>
      <x:c r="H1561" s="40" t="n">
        <x:v>0.02481</x:v>
      </x:c>
      <x:c r="I1561" t="n">
        <x:v>18</x:v>
      </x:c>
      <x:c r="J1561" t="n">
        <x:v>587700</x:v>
      </x:c>
      <x:c r="K1561" t="str">
        <x:v>Avalancha</x:v>
      </x:c>
      <x:c r="L1561" t="str">
        <x:v>Vigente</x:v>
      </x:c>
      <x:c r="M1561" t="n">
        <x:v>7229299.96</x:v>
      </x:c>
      <x:c r="N1561"/>
    </x:row>
    <x:row r="1562">
      <x:c r="A1562" t="str">
        <x:v>DEU-001561</x:v>
      </x:c>
      <x:c r="B1562" t="str">
        <x:v>USR-00810</x:v>
      </x:c>
      <x:c r="C1562" t="n">
        <x:v>46143</x:v>
      </x:c>
      <x:c r="D1562" t="str">
        <x:v>Financiera D</x:v>
      </x:c>
      <x:c r="E1562" t="str">
        <x:v>Tarjeta de crédito</x:v>
      </x:c>
      <x:c r="F1562" t="n">
        <x:v>1310000</x:v>
      </x:c>
      <x:c r="G1562" s="40" t="n">
        <x:v>0.2639</x:v>
      </x:c>
      <x:c r="H1562" s="40" t="n">
        <x:v>0.019709</x:v>
      </x:c>
      <x:c r="I1562" t="n">
        <x:v>36</x:v>
      </x:c>
      <x:c r="J1562" t="n">
        <x:v>51200</x:v>
      </x:c>
      <x:c r="K1562" t="str">
        <x:v>Bola de nieve</x:v>
      </x:c>
      <x:c r="L1562" t="str">
        <x:v>Vigente</x:v>
      </x:c>
      <x:c r="M1562" t="n">
        <x:v>1180952.33</x:v>
      </x:c>
      <x:c r="N1562"/>
    </x:row>
    <x:row r="1563">
      <x:c r="A1563" t="str">
        <x:v>DEU-001562</x:v>
      </x:c>
      <x:c r="B1563" t="str">
        <x:v>USR-00811</x:v>
      </x:c>
      <x:c r="C1563" t="n">
        <x:v>46143</x:v>
      </x:c>
      <x:c r="D1563" t="str">
        <x:v>Financiera D</x:v>
      </x:c>
      <x:c r="E1563" t="str">
        <x:v>Crédito de consumo</x:v>
      </x:c>
      <x:c r="F1563" t="n">
        <x:v>2490000</x:v>
      </x:c>
      <x:c r="G1563" s="40" t="n">
        <x:v>0.1872</x:v>
      </x:c>
      <x:c r="H1563" s="40" t="n">
        <x:v>0.014403</x:v>
      </x:c>
      <x:c r="I1563" t="n">
        <x:v>30</x:v>
      </x:c>
      <x:c r="J1563" t="n">
        <x:v>102800</x:v>
      </x:c>
      <x:c r="K1563" t="str">
        <x:v>Bola de nieve</x:v>
      </x:c>
      <x:c r="L1563" t="str">
        <x:v>Vigente</x:v>
      </x:c>
      <x:c r="M1563" t="n">
        <x:v>2281382.08</x:v>
      </x:c>
      <x:c r="N1563"/>
    </x:row>
    <x:row r="1564">
      <x:c r="A1564" t="str">
        <x:v>DEU-001563</x:v>
      </x:c>
      <x:c r="B1564" t="str">
        <x:v>USR-00811</x:v>
      </x:c>
      <x:c r="C1564" t="n">
        <x:v>46143</x:v>
      </x:c>
      <x:c r="D1564" t="str">
        <x:v>Entidad financiera B</x:v>
      </x:c>
      <x:c r="E1564" t="str">
        <x:v>Crédito de libre inversión</x:v>
      </x:c>
      <x:c r="F1564" t="n">
        <x:v>15610000</x:v>
      </x:c>
      <x:c r="G1564" s="40" t="n">
        <x:v>0.2617</x:v>
      </x:c>
      <x:c r="H1564" s="40" t="n">
        <x:v>0.019561</x:v>
      </x:c>
      <x:c r="I1564" t="n">
        <x:v>36</x:v>
      </x:c>
      <x:c r="J1564" t="n">
        <x:v>608100</x:v>
      </x:c>
      <x:c r="K1564" t="str">
        <x:v>Bola de nieve</x:v>
      </x:c>
      <x:c r="L1564" t="str">
        <x:v>Vigente</x:v>
      </x:c>
      <x:c r="M1564" t="n">
        <x:v>15120884.31</x:v>
      </x:c>
      <x:c r="N1564"/>
    </x:row>
    <x:row r="1565">
      <x:c r="A1565" t="str">
        <x:v>DEU-001564</x:v>
      </x:c>
      <x:c r="B1565" t="str">
        <x:v>USR-00812</x:v>
      </x:c>
      <x:c r="C1565" t="n">
        <x:v>46143</x:v>
      </x:c>
      <x:c r="D1565" t="str">
        <x:v>Financiera D</x:v>
      </x:c>
      <x:c r="E1565" t="str">
        <x:v>Crédito educativo</x:v>
      </x:c>
      <x:c r="F1565" t="n">
        <x:v>9270000</x:v>
      </x:c>
      <x:c r="G1565" s="40" t="n">
        <x:v>0.2575</x:v>
      </x:c>
      <x:c r="H1565" s="40" t="n">
        <x:v>0.019277</x:v>
      </x:c>
      <x:c r="I1565" t="n">
        <x:v>48</x:v>
      </x:c>
      <x:c r="J1565" t="n">
        <x:v>297800</x:v>
      </x:c>
      <x:c r="K1565" t="str">
        <x:v>Avalancha</x:v>
      </x:c>
      <x:c r="L1565" t="str">
        <x:v>Vigente</x:v>
      </x:c>
      <x:c r="M1565" t="n">
        <x:v>9883263.29</x:v>
      </x:c>
      <x:c r="N1565"/>
    </x:row>
    <x:row r="1566">
      <x:c r="A1566" t="str">
        <x:v>DEU-001565</x:v>
      </x:c>
      <x:c r="B1566" t="str">
        <x:v>USR-00813</x:v>
      </x:c>
      <x:c r="C1566" t="n">
        <x:v>46143</x:v>
      </x:c>
      <x:c r="D1566" t="str">
        <x:v>Entidad financiera A</x:v>
      </x:c>
      <x:c r="E1566" t="str">
        <x:v>Crédito educativo</x:v>
      </x:c>
      <x:c r="F1566" t="n">
        <x:v>16630000</x:v>
      </x:c>
      <x:c r="G1566" s="40" t="n">
        <x:v>0.2138</x:v>
      </x:c>
      <x:c r="H1566" s="40" t="n">
        <x:v>0.016277</x:v>
      </x:c>
      <x:c r="I1566" t="n">
        <x:v>36</x:v>
      </x:c>
      <x:c r="J1566" t="n">
        <x:v>614100</x:v>
      </x:c>
      <x:c r="K1566" t="str">
        <x:v>Bola de nieve</x:v>
      </x:c>
      <x:c r="L1566" t="str">
        <x:v>Vigente</x:v>
      </x:c>
      <x:c r="M1566" t="n">
        <x:v>15173145.44</x:v>
      </x:c>
      <x:c r="N1566"/>
    </x:row>
    <x:row r="1567">
      <x:c r="A1567" t="str">
        <x:v>DEU-001566</x:v>
      </x:c>
      <x:c r="B1567" t="str">
        <x:v>USR-00813</x:v>
      </x:c>
      <x:c r="C1567" t="n">
        <x:v>46143</x:v>
      </x:c>
      <x:c r="D1567" t="str">
        <x:v>Entidad financiera A</x:v>
      </x:c>
      <x:c r="E1567" t="str">
        <x:v>Crédito de consumo</x:v>
      </x:c>
      <x:c r="F1567" t="n">
        <x:v>18400000</x:v>
      </x:c>
      <x:c r="G1567" s="40" t="n">
        <x:v>0.2712</x:v>
      </x:c>
      <x:c r="H1567" s="40" t="n">
        <x:v>0.020198</x:v>
      </x:c>
      <x:c r="I1567" t="n">
        <x:v>12</x:v>
      </x:c>
      <x:c r="J1567" t="n">
        <x:v>1742000</x:v>
      </x:c>
      <x:c r="K1567" t="str">
        <x:v>Avalancha</x:v>
      </x:c>
      <x:c r="L1567" t="str">
        <x:v>Vigente</x:v>
      </x:c>
      <x:c r="M1567" t="n">
        <x:v>15855959.09</x:v>
      </x:c>
      <x:c r="N1567"/>
    </x:row>
    <x:row r="1568">
      <x:c r="A1568" t="str">
        <x:v>DEU-001567</x:v>
      </x:c>
      <x:c r="B1568" t="str">
        <x:v>USR-00813</x:v>
      </x:c>
      <x:c r="C1568" t="n">
        <x:v>46143</x:v>
      </x:c>
      <x:c r="D1568" t="str">
        <x:v>Entidad financiera B</x:v>
      </x:c>
      <x:c r="E1568" t="str">
        <x:v>Crédito de consumo</x:v>
      </x:c>
      <x:c r="F1568" t="n">
        <x:v>16790000</x:v>
      </x:c>
      <x:c r="G1568" s="40" t="n">
        <x:v>0.206</x:v>
      </x:c>
      <x:c r="H1568" s="40" t="n">
        <x:v>0.015732</x:v>
      </x:c>
      <x:c r="I1568" t="n">
        <x:v>60</x:v>
      </x:c>
      <x:c r="J1568" t="n">
        <x:v>434400</x:v>
      </x:c>
      <x:c r="K1568" t="str">
        <x:v>Bola de nieve</x:v>
      </x:c>
      <x:c r="L1568" t="str">
        <x:v>Vigente</x:v>
      </x:c>
      <x:c r="M1568" t="n">
        <x:v>16306572.66</x:v>
      </x:c>
      <x:c r="N1568"/>
    </x:row>
    <x:row r="1569">
      <x:c r="A1569" t="str">
        <x:v>DEU-001568</x:v>
      </x:c>
      <x:c r="B1569" t="str">
        <x:v>USR-00813</x:v>
      </x:c>
      <x:c r="C1569" t="n">
        <x:v>46143</x:v>
      </x:c>
      <x:c r="D1569" t="str">
        <x:v>Entidad financiera A</x:v>
      </x:c>
      <x:c r="E1569" t="str">
        <x:v>Tarjeta de crédito</x:v>
      </x:c>
      <x:c r="F1569" t="n">
        <x:v>7680000</x:v>
      </x:c>
      <x:c r="G1569" s="40" t="n">
        <x:v>0.2422</x:v>
      </x:c>
      <x:c r="H1569" s="40" t="n">
        <x:v>0.018238</x:v>
      </x:c>
      <x:c r="I1569" t="n">
        <x:v>36</x:v>
      </x:c>
      <x:c r="J1569" t="n">
        <x:v>292800</x:v>
      </x:c>
      <x:c r="K1569" t="str">
        <x:v>Bola de nieve</x:v>
      </x:c>
      <x:c r="L1569" t="str">
        <x:v>Vigente</x:v>
      </x:c>
      <x:c r="M1569" t="n">
        <x:v>7477490.24</x:v>
      </x:c>
      <x:c r="N1569"/>
    </x:row>
    <x:row r="1570">
      <x:c r="A1570" t="str">
        <x:v>DEU-001569</x:v>
      </x:c>
      <x:c r="B1570" t="str">
        <x:v>USR-00814</x:v>
      </x:c>
      <x:c r="C1570" t="n">
        <x:v>46143</x:v>
      </x:c>
      <x:c r="D1570" t="str">
        <x:v>Entidad financiera B</x:v>
      </x:c>
      <x:c r="E1570" t="str">
        <x:v>Crédito de consumo</x:v>
      </x:c>
      <x:c r="F1570" t="n">
        <x:v>13360000</x:v>
      </x:c>
      <x:c r="G1570" s="40" t="n">
        <x:v>0.1604</x:v>
      </x:c>
      <x:c r="H1570" s="40" t="n">
        <x:v>0.012474</x:v>
      </x:c>
      <x:c r="I1570" t="n">
        <x:v>60</x:v>
      </x:c>
      <x:c r="J1570" t="n">
        <x:v>317600</x:v>
      </x:c>
      <x:c r="K1570" t="str">
        <x:v>Bola de nieve</x:v>
      </x:c>
      <x:c r="L1570" t="str">
        <x:v>Vigente</x:v>
      </x:c>
      <x:c r="M1570" t="n">
        <x:v>13562982.04</x:v>
      </x:c>
      <x:c r="N1570"/>
    </x:row>
    <x:row r="1571">
      <x:c r="A1571" t="str">
        <x:v>DEU-001570</x:v>
      </x:c>
      <x:c r="B1571" t="str">
        <x:v>USR-00815</x:v>
      </x:c>
      <x:c r="C1571" t="n">
        <x:v>46143</x:v>
      </x:c>
      <x:c r="D1571" t="str">
        <x:v>Cooperativa C</x:v>
      </x:c>
      <x:c r="E1571" t="str">
        <x:v>Crédito educativo</x:v>
      </x:c>
      <x:c r="F1571" t="n">
        <x:v>13660000</x:v>
      </x:c>
      <x:c r="G1571" s="40" t="n">
        <x:v>0.1675</x:v>
      </x:c>
      <x:c r="H1571" s="40" t="n">
        <x:v>0.012989</x:v>
      </x:c>
      <x:c r="I1571" t="n">
        <x:v>36</x:v>
      </x:c>
      <x:c r="J1571" t="n">
        <x:v>477500</x:v>
      </x:c>
      <x:c r="K1571" t="str">
        <x:v>Avalancha</x:v>
      </x:c>
      <x:c r="L1571" t="str">
        <x:v>Vigente</x:v>
      </x:c>
      <x:c r="M1571" t="n">
        <x:v>12219434.7</x:v>
      </x:c>
      <x:c r="N1571"/>
    </x:row>
    <x:row r="1572">
      <x:c r="A1572" t="str">
        <x:v>DEU-001571</x:v>
      </x:c>
      <x:c r="B1572" t="str">
        <x:v>USR-00815</x:v>
      </x:c>
      <x:c r="C1572" t="n">
        <x:v>46143</x:v>
      </x:c>
      <x:c r="D1572" t="str">
        <x:v>Entidad financiera B</x:v>
      </x:c>
      <x:c r="E1572" t="str">
        <x:v>Tarjeta de crédito</x:v>
      </x:c>
      <x:c r="F1572" t="n">
        <x:v>4460000</x:v>
      </x:c>
      <x:c r="G1572" s="40" t="n">
        <x:v>0.1491</x:v>
      </x:c>
      <x:c r="H1572" s="40" t="n">
        <x:v>0.011649</x:v>
      </x:c>
      <x:c r="I1572" t="n">
        <x:v>30</x:v>
      </x:c>
      <x:c r="J1572" t="n">
        <x:v>177000</x:v>
      </x:c>
      <x:c r="K1572" t="str">
        <x:v>Bola de nieve</x:v>
      </x:c>
      <x:c r="L1572" t="str">
        <x:v>Vigente</x:v>
      </x:c>
      <x:c r="M1572" t="n">
        <x:v>3908426.22</x:v>
      </x:c>
      <x:c r="N1572"/>
    </x:row>
    <x:row r="1573">
      <x:c r="A1573" t="str">
        <x:v>DEU-001572</x:v>
      </x:c>
      <x:c r="B1573" t="str">
        <x:v>USR-00816</x:v>
      </x:c>
      <x:c r="C1573" t="n">
        <x:v>46143</x:v>
      </x:c>
      <x:c r="D1573" t="str">
        <x:v>Cooperativa C</x:v>
      </x:c>
      <x:c r="E1573" t="str">
        <x:v>Crédito educativo</x:v>
      </x:c>
      <x:c r="F1573" t="n">
        <x:v>13850000</x:v>
      </x:c>
      <x:c r="G1573" s="40" t="n">
        <x:v>0.3367</x:v>
      </x:c>
      <x:c r="H1573" s="40" t="n">
        <x:v>0.024478</x:v>
      </x:c>
      <x:c r="I1573" t="n">
        <x:v>36</x:v>
      </x:c>
      <x:c r="J1573" t="n">
        <x:v>583200</x:v>
      </x:c>
      <x:c r="K1573" t="str">
        <x:v>Bola de nieve</x:v>
      </x:c>
      <x:c r="L1573" t="str">
        <x:v>Vigente</x:v>
      </x:c>
      <x:c r="M1573" t="n">
        <x:v>14084817.56</x:v>
      </x:c>
      <x:c r="N1573"/>
    </x:row>
    <x:row r="1574">
      <x:c r="A1574" t="str">
        <x:v>DEU-001573</x:v>
      </x:c>
      <x:c r="B1574" t="str">
        <x:v>USR-00816</x:v>
      </x:c>
      <x:c r="C1574" t="n">
        <x:v>46143</x:v>
      </x:c>
      <x:c r="D1574" t="str">
        <x:v>Entidad financiera A</x:v>
      </x:c>
      <x:c r="E1574" t="str">
        <x:v>Tarjeta de crédito</x:v>
      </x:c>
      <x:c r="F1574" t="n">
        <x:v>1640000</x:v>
      </x:c>
      <x:c r="G1574" s="40" t="n">
        <x:v>0.1085</x:v>
      </x:c>
      <x:c r="H1574" s="40" t="n">
        <x:v>0.008621</x:v>
      </x:c>
      <x:c r="I1574" t="n">
        <x:v>30</x:v>
      </x:c>
      <x:c r="J1574" t="n">
        <x:v>62300</x:v>
      </x:c>
      <x:c r="K1574" t="str">
        <x:v>Avalancha</x:v>
      </x:c>
      <x:c r="L1574" t="str">
        <x:v>Vigente</x:v>
      </x:c>
      <x:c r="M1574" t="n">
        <x:v>1548729.35</x:v>
      </x:c>
      <x:c r="N1574"/>
    </x:row>
    <x:row r="1575">
      <x:c r="A1575" t="str">
        <x:v>DEU-001574</x:v>
      </x:c>
      <x:c r="B1575" t="str">
        <x:v>USR-00817</x:v>
      </x:c>
      <x:c r="C1575" t="n">
        <x:v>46143</x:v>
      </x:c>
      <x:c r="D1575" t="str">
        <x:v>Entidad financiera B</x:v>
      </x:c>
      <x:c r="E1575" t="str">
        <x:v>Tarjeta de crédito</x:v>
      </x:c>
      <x:c r="F1575" t="n">
        <x:v>7990000</x:v>
      </x:c>
      <x:c r="G1575" s="40" t="n">
        <x:v>0.3163</x:v>
      </x:c>
      <x:c r="H1575" s="40" t="n">
        <x:v>0.023166</x:v>
      </x:c>
      <x:c r="I1575" t="n">
        <x:v>24</x:v>
      </x:c>
      <x:c r="J1575" t="n">
        <x:v>437700</x:v>
      </x:c>
      <x:c r="K1575" t="str">
        <x:v>Bola de nieve</x:v>
      </x:c>
      <x:c r="L1575" t="str">
        <x:v>Vigente</x:v>
      </x:c>
      <x:c r="M1575" t="n">
        <x:v>6848233.19</x:v>
      </x:c>
      <x:c r="N1575"/>
    </x:row>
    <x:row r="1576">
      <x:c r="A1576" t="str">
        <x:v>DEU-001575</x:v>
      </x:c>
      <x:c r="B1576" t="str">
        <x:v>USR-00817</x:v>
      </x:c>
      <x:c r="C1576" t="n">
        <x:v>46143</x:v>
      </x:c>
      <x:c r="D1576" t="str">
        <x:v>Entidad financiera A</x:v>
      </x:c>
      <x:c r="E1576" t="str">
        <x:v>Tarjeta de crédito</x:v>
      </x:c>
      <x:c r="F1576" t="n">
        <x:v>7780000</x:v>
      </x:c>
      <x:c r="G1576" s="40" t="n">
        <x:v>0.2528</x:v>
      </x:c>
      <x:c r="H1576" s="40" t="n">
        <x:v>0.018959</x:v>
      </x:c>
      <x:c r="I1576" t="n">
        <x:v>24</x:v>
      </x:c>
      <x:c r="J1576" t="n">
        <x:v>406500</x:v>
      </x:c>
      <x:c r="K1576" t="str">
        <x:v>Avalancha</x:v>
      </x:c>
      <x:c r="L1576" t="str">
        <x:v>Vigente</x:v>
      </x:c>
      <x:c r="M1576" t="n">
        <x:v>6681247.88</x:v>
      </x:c>
      <x:c r="N1576"/>
    </x:row>
    <x:row r="1577">
      <x:c r="A1577" t="str">
        <x:v>DEU-001576</x:v>
      </x:c>
      <x:c r="B1577" t="str">
        <x:v>USR-00818</x:v>
      </x:c>
      <x:c r="C1577" t="n">
        <x:v>46143</x:v>
      </x:c>
      <x:c r="D1577" t="str">
        <x:v>Entidad financiera B</x:v>
      </x:c>
      <x:c r="E1577" t="str">
        <x:v>Crédito de libre inversión</x:v>
      </x:c>
      <x:c r="F1577" t="n">
        <x:v>7360000</x:v>
      </x:c>
      <x:c r="G1577" s="40" t="n">
        <x:v>0.22</x:v>
      </x:c>
      <x:c r="H1577" s="40" t="n">
        <x:v>0.016709</x:v>
      </x:c>
      <x:c r="I1577" t="n">
        <x:v>48</x:v>
      </x:c>
      <x:c r="J1577" t="n">
        <x:v>224200</x:v>
      </x:c>
      <x:c r="K1577" t="str">
        <x:v>Avalancha</x:v>
      </x:c>
      <x:c r="L1577" t="str">
        <x:v>Vigente</x:v>
      </x:c>
      <x:c r="M1577" t="n">
        <x:v>7085456.92</x:v>
      </x:c>
      <x:c r="N1577"/>
    </x:row>
    <x:row r="1578">
      <x:c r="A1578" t="str">
        <x:v>DEU-001577</x:v>
      </x:c>
      <x:c r="B1578" t="str">
        <x:v>USR-00818</x:v>
      </x:c>
      <x:c r="C1578" t="n">
        <x:v>46143</x:v>
      </x:c>
      <x:c r="D1578" t="str">
        <x:v>Entidad financiera E</x:v>
      </x:c>
      <x:c r="E1578" t="str">
        <x:v>Crédito de consumo</x:v>
      </x:c>
      <x:c r="F1578" t="n">
        <x:v>3610000</x:v>
      </x:c>
      <x:c r="G1578" s="40" t="n">
        <x:v>0.1446</x:v>
      </x:c>
      <x:c r="H1578" s="40" t="n">
        <x:v>0.011318</x:v>
      </x:c>
      <x:c r="I1578" t="n">
        <x:v>18</x:v>
      </x:c>
      <x:c r="J1578" t="n">
        <x:v>222800</x:v>
      </x:c>
      <x:c r="K1578" t="str">
        <x:v>Bola de nieve</x:v>
      </x:c>
      <x:c r="L1578" t="str">
        <x:v>Vigente</x:v>
      </x:c>
      <x:c r="M1578" t="n">
        <x:v>2922792.89</x:v>
      </x:c>
      <x:c r="N1578"/>
    </x:row>
    <x:row r="1579">
      <x:c r="A1579" t="str">
        <x:v>DEU-001578</x:v>
      </x:c>
      <x:c r="B1579" t="str">
        <x:v>USR-00819</x:v>
      </x:c>
      <x:c r="C1579" t="n">
        <x:v>46143</x:v>
      </x:c>
      <x:c r="D1579" t="str">
        <x:v>Cooperativa C</x:v>
      </x:c>
      <x:c r="E1579" t="str">
        <x:v>Crédito de consumo</x:v>
      </x:c>
      <x:c r="F1579" t="n">
        <x:v>18810000</x:v>
      </x:c>
      <x:c r="G1579" s="40" t="n">
        <x:v>0.1539</x:v>
      </x:c>
      <x:c r="H1579" s="40" t="n">
        <x:v>0.012</x:v>
      </x:c>
      <x:c r="I1579" t="n">
        <x:v>48</x:v>
      </x:c>
      <x:c r="J1579" t="n">
        <x:v>517800</x:v>
      </x:c>
      <x:c r="K1579" t="str">
        <x:v>Bola de nieve</x:v>
      </x:c>
      <x:c r="L1579" t="str">
        <x:v>Vigente</x:v>
      </x:c>
      <x:c r="M1579" t="n">
        <x:v>18202136.29</x:v>
      </x:c>
      <x:c r="N1579"/>
    </x:row>
    <x:row r="1580">
      <x:c r="A1580" t="str">
        <x:v>DEU-001579</x:v>
      </x:c>
      <x:c r="B1580" t="str">
        <x:v>USR-00819</x:v>
      </x:c>
      <x:c r="C1580" t="n">
        <x:v>46143</x:v>
      </x:c>
      <x:c r="D1580" t="str">
        <x:v>Entidad financiera A</x:v>
      </x:c>
      <x:c r="E1580" t="str">
        <x:v>Crédito educativo</x:v>
      </x:c>
      <x:c r="F1580" t="n">
        <x:v>4120000</x:v>
      </x:c>
      <x:c r="G1580" s="40" t="n">
        <x:v>0.1556</x:v>
      </x:c>
      <x:c r="H1580" s="40" t="n">
        <x:v>0.012125</x:v>
      </x:c>
      <x:c r="I1580" t="n">
        <x:v>36</x:v>
      </x:c>
      <x:c r="J1580" t="n">
        <x:v>141900</x:v>
      </x:c>
      <x:c r="K1580" t="str">
        <x:v>Avalancha</x:v>
      </x:c>
      <x:c r="L1580" t="str">
        <x:v>Vigente</x:v>
      </x:c>
      <x:c r="M1580" t="n">
        <x:v>4081626.41</x:v>
      </x:c>
      <x:c r="N1580"/>
    </x:row>
    <x:row r="1581">
      <x:c r="A1581" t="str">
        <x:v>DEU-001580</x:v>
      </x:c>
      <x:c r="B1581" t="str">
        <x:v>USR-00820</x:v>
      </x:c>
      <x:c r="C1581" t="n">
        <x:v>46143</x:v>
      </x:c>
      <x:c r="D1581" t="str">
        <x:v>Financiera D</x:v>
      </x:c>
      <x:c r="E1581" t="str">
        <x:v>Tarjeta de crédito</x:v>
      </x:c>
      <x:c r="F1581" t="n">
        <x:v>7320000</x:v>
      </x:c>
      <x:c r="G1581" s="40" t="n">
        <x:v>0.1663</x:v>
      </x:c>
      <x:c r="H1581" s="40" t="n">
        <x:v>0.012902</x:v>
      </x:c>
      <x:c r="I1581" t="n">
        <x:v>30</x:v>
      </x:c>
      <x:c r="J1581" t="n">
        <x:v>295800</x:v>
      </x:c>
      <x:c r="K1581" t="str">
        <x:v>Avalancha</x:v>
      </x:c>
      <x:c r="L1581" t="str">
        <x:v>Vigente</x:v>
      </x:c>
      <x:c r="M1581" t="n">
        <x:v>6943058.48</x:v>
      </x:c>
      <x:c r="N1581"/>
    </x:row>
    <x:row r="1582">
      <x:c r="A1582" t="str">
        <x:v>DEU-001581</x:v>
      </x:c>
      <x:c r="B1582" t="str">
        <x:v>USR-00820</x:v>
      </x:c>
      <x:c r="C1582" t="n">
        <x:v>46143</x:v>
      </x:c>
      <x:c r="D1582" t="str">
        <x:v>Financiera D</x:v>
      </x:c>
      <x:c r="E1582" t="str">
        <x:v>Crédito de consumo</x:v>
      </x:c>
      <x:c r="F1582" t="n">
        <x:v>4030000</x:v>
      </x:c>
      <x:c r="G1582" s="40" t="n">
        <x:v>0.3402</x:v>
      </x:c>
      <x:c r="H1582" s="40" t="n">
        <x:v>0.024702</x:v>
      </x:c>
      <x:c r="I1582" t="n">
        <x:v>60</x:v>
      </x:c>
      <x:c r="J1582" t="n">
        <x:v>129500</x:v>
      </x:c>
      <x:c r="K1582" t="str">
        <x:v>Bola de nieve</x:v>
      </x:c>
      <x:c r="L1582" t="str">
        <x:v>Vigente</x:v>
      </x:c>
      <x:c r="M1582" t="n">
        <x:v>4392735.73</x:v>
      </x:c>
      <x:c r="N1582"/>
    </x:row>
    <x:row r="1583">
      <x:c r="A1583" t="str">
        <x:v>DEU-001582</x:v>
      </x:c>
      <x:c r="B1583" t="str">
        <x:v>USR-00821</x:v>
      </x:c>
      <x:c r="C1583" t="n">
        <x:v>46143</x:v>
      </x:c>
      <x:c r="D1583" t="str">
        <x:v>Entidad financiera E</x:v>
      </x:c>
      <x:c r="E1583" t="str">
        <x:v>Tarjeta de crédito</x:v>
      </x:c>
      <x:c r="F1583" t="n">
        <x:v>3600000</x:v>
      </x:c>
      <x:c r="G1583" s="40" t="n">
        <x:v>0.1485</x:v>
      </x:c>
      <x:c r="H1583" s="40" t="n">
        <x:v>0.011605</x:v>
      </x:c>
      <x:c r="I1583" t="n">
        <x:v>12</x:v>
      </x:c>
      <x:c r="J1583" t="n">
        <x:v>323100</x:v>
      </x:c>
      <x:c r="K1583" t="str">
        <x:v>Bola de nieve</x:v>
      </x:c>
      <x:c r="L1583" t="str">
        <x:v>Vigente</x:v>
      </x:c>
      <x:c r="M1583" t="n">
        <x:v>2128904.89</x:v>
      </x:c>
      <x:c r="N1583"/>
    </x:row>
    <x:row r="1584">
      <x:c r="A1584" t="str">
        <x:v>DEU-001583</x:v>
      </x:c>
      <x:c r="B1584" t="str">
        <x:v>USR-00821</x:v>
      </x:c>
      <x:c r="C1584" t="n">
        <x:v>46143</x:v>
      </x:c>
      <x:c r="D1584" t="str">
        <x:v>Entidad financiera B</x:v>
      </x:c>
      <x:c r="E1584" t="str">
        <x:v>Tarjeta de crédito</x:v>
      </x:c>
      <x:c r="F1584" t="n">
        <x:v>3130000</x:v>
      </x:c>
      <x:c r="G1584" s="40" t="n">
        <x:v>0.2029</x:v>
      </x:c>
      <x:c r="H1584" s="40" t="n">
        <x:v>0.015514</x:v>
      </x:c>
      <x:c r="I1584" t="n">
        <x:v>18</x:v>
      </x:c>
      <x:c r="J1584" t="n">
        <x:v>200600</x:v>
      </x:c>
      <x:c r="K1584" t="str">
        <x:v>Avalancha</x:v>
      </x:c>
      <x:c r="L1584" t="str">
        <x:v>Vigente</x:v>
      </x:c>
      <x:c r="M1584" t="n">
        <x:v>2707648.01</x:v>
      </x:c>
      <x:c r="N1584"/>
    </x:row>
    <x:row r="1585">
      <x:c r="A1585" t="str">
        <x:v>DEU-001584</x:v>
      </x:c>
      <x:c r="B1585" t="str">
        <x:v>USR-00822</x:v>
      </x:c>
      <x:c r="C1585" t="n">
        <x:v>46143</x:v>
      </x:c>
      <x:c r="D1585" t="str">
        <x:v>Entidad financiera E</x:v>
      </x:c>
      <x:c r="E1585" t="str">
        <x:v>Crédito de consumo</x:v>
      </x:c>
      <x:c r="F1585" t="n">
        <x:v>18140000</x:v>
      </x:c>
      <x:c r="G1585" s="40" t="n">
        <x:v>0.1691</x:v>
      </x:c>
      <x:c r="H1585" s="40" t="n">
        <x:v>0.013105</x:v>
      </x:c>
      <x:c r="I1585" t="n">
        <x:v>60</x:v>
      </x:c>
      <x:c r="J1585" t="n">
        <x:v>438500</x:v>
      </x:c>
      <x:c r="K1585" t="str">
        <x:v>Bola de nieve</x:v>
      </x:c>
      <x:c r="L1585" t="str">
        <x:v>Vigente</x:v>
      </x:c>
      <x:c r="M1585" t="n">
        <x:v>17481269.89</x:v>
      </x:c>
      <x:c r="N1585"/>
    </x:row>
    <x:row r="1586">
      <x:c r="A1586" t="str">
        <x:v>DEU-001585</x:v>
      </x:c>
      <x:c r="B1586" t="str">
        <x:v>USR-00823</x:v>
      </x:c>
      <x:c r="C1586" t="n">
        <x:v>46143</x:v>
      </x:c>
      <x:c r="D1586" t="str">
        <x:v>Financiera D</x:v>
      </x:c>
      <x:c r="E1586" t="str">
        <x:v>Tarjeta de crédito</x:v>
      </x:c>
      <x:c r="F1586" t="n">
        <x:v>2530000</x:v>
      </x:c>
      <x:c r="G1586" s="40" t="n">
        <x:v>0.1289</x:v>
      </x:c>
      <x:c r="H1586" s="40" t="n">
        <x:v>0.010155</x:v>
      </x:c>
      <x:c r="I1586" t="n">
        <x:v>30</x:v>
      </x:c>
      <x:c r="J1586" t="n">
        <x:v>98300</x:v>
      </x:c>
      <x:c r="K1586" t="str">
        <x:v>Avalancha</x:v>
      </x:c>
      <x:c r="L1586" t="str">
        <x:v>Vigente</x:v>
      </x:c>
      <x:c r="M1586" t="n">
        <x:v>2259817</x:v>
      </x:c>
      <x:c r="N1586"/>
    </x:row>
    <x:row r="1587">
      <x:c r="A1587" t="str">
        <x:v>DEU-001586</x:v>
      </x:c>
      <x:c r="B1587" t="str">
        <x:v>USR-00824</x:v>
      </x:c>
      <x:c r="C1587" t="n">
        <x:v>46143</x:v>
      </x:c>
      <x:c r="D1587" t="str">
        <x:v>Entidad financiera A</x:v>
      </x:c>
      <x:c r="E1587" t="str">
        <x:v>Crédito comercial</x:v>
      </x:c>
      <x:c r="F1587" t="n">
        <x:v>21760000</x:v>
      </x:c>
      <x:c r="G1587" s="40" t="n">
        <x:v>0.1077</x:v>
      </x:c>
      <x:c r="H1587" s="40" t="n">
        <x:v>0.00856</x:v>
      </x:c>
      <x:c r="I1587" t="n">
        <x:v>30</x:v>
      </x:c>
      <x:c r="J1587" t="n">
        <x:v>825500</x:v>
      </x:c>
      <x:c r="K1587" t="str">
        <x:v>Avalancha</x:v>
      </x:c>
      <x:c r="L1587" t="str">
        <x:v>Vigente</x:v>
      </x:c>
      <x:c r="M1587" t="n">
        <x:v>20479740.13</x:v>
      </x:c>
      <x:c r="N1587"/>
    </x:row>
    <x:row r="1588">
      <x:c r="A1588" t="str">
        <x:v>DEU-001587</x:v>
      </x:c>
      <x:c r="B1588" t="str">
        <x:v>USR-00824</x:v>
      </x:c>
      <x:c r="C1588" t="n">
        <x:v>46143</x:v>
      </x:c>
      <x:c r="D1588" t="str">
        <x:v>Entidad financiera E</x:v>
      </x:c>
      <x:c r="E1588" t="str">
        <x:v>Crédito de libre inversión</x:v>
      </x:c>
      <x:c r="F1588" t="n">
        <x:v>8240000</x:v>
      </x:c>
      <x:c r="G1588" s="40" t="n">
        <x:v>0.2316</x:v>
      </x:c>
      <x:c r="H1588" s="40" t="n">
        <x:v>0.017511</x:v>
      </x:c>
      <x:c r="I1588" t="n">
        <x:v>60</x:v>
      </x:c>
      <x:c r="J1588" t="n">
        <x:v>223000</x:v>
      </x:c>
      <x:c r="K1588" t="str">
        <x:v>Bola de nieve</x:v>
      </x:c>
      <x:c r="L1588" t="str">
        <x:v>Vigente</x:v>
      </x:c>
      <x:c r="M1588" t="n">
        <x:v>7645182.44</x:v>
      </x:c>
      <x:c r="N1588"/>
    </x:row>
    <x:row r="1589">
      <x:c r="A1589" t="str">
        <x:v>DEU-001588</x:v>
      </x:c>
      <x:c r="B1589" t="str">
        <x:v>USR-00824</x:v>
      </x:c>
      <x:c r="C1589" t="n">
        <x:v>46143</x:v>
      </x:c>
      <x:c r="D1589" t="str">
        <x:v>Financiera D</x:v>
      </x:c>
      <x:c r="E1589" t="str">
        <x:v>Tarjeta de crédito</x:v>
      </x:c>
      <x:c r="F1589" t="n">
        <x:v>890000</x:v>
      </x:c>
      <x:c r="G1589" s="40" t="n">
        <x:v>0.1511</x:v>
      </x:c>
      <x:c r="H1589" s="40" t="n">
        <x:v>0.011796</x:v>
      </x:c>
      <x:c r="I1589" t="n">
        <x:v>24</x:v>
      </x:c>
      <x:c r="J1589" t="n">
        <x:v>42800</x:v>
      </x:c>
      <x:c r="K1589" t="str">
        <x:v>Avalancha</x:v>
      </x:c>
      <x:c r="L1589" t="str">
        <x:v>Vigente</x:v>
      </x:c>
      <x:c r="M1589" t="n">
        <x:v>718005.53</x:v>
      </x:c>
      <x:c r="N1589"/>
    </x:row>
    <x:row r="1590">
      <x:c r="A1590" t="str">
        <x:v>DEU-001589</x:v>
      </x:c>
      <x:c r="B1590" t="str">
        <x:v>USR-00824</x:v>
      </x:c>
      <x:c r="C1590" t="n">
        <x:v>46143</x:v>
      </x:c>
      <x:c r="D1590" t="str">
        <x:v>Entidad financiera A</x:v>
      </x:c>
      <x:c r="E1590" t="str">
        <x:v>Tarjeta de crédito</x:v>
      </x:c>
      <x:c r="F1590" t="n">
        <x:v>3270000</x:v>
      </x:c>
      <x:c r="G1590" s="40" t="n">
        <x:v>0.1595</x:v>
      </x:c>
      <x:c r="H1590" s="40" t="n">
        <x:v>0.012409</x:v>
      </x:c>
      <x:c r="I1590" t="n">
        <x:v>18</x:v>
      </x:c>
      <x:c r="J1590" t="n">
        <x:v>203800</x:v>
      </x:c>
      <x:c r="K1590" t="str">
        <x:v>Bola de nieve</x:v>
      </x:c>
      <x:c r="L1590" t="str">
        <x:v>Vigente</x:v>
      </x:c>
      <x:c r="M1590" t="n">
        <x:v>2290708.61</x:v>
      </x:c>
      <x:c r="N1590"/>
    </x:row>
    <x:row r="1591">
      <x:c r="A1591" t="str">
        <x:v>DEU-001590</x:v>
      </x:c>
      <x:c r="B1591" t="str">
        <x:v>USR-00825</x:v>
      </x:c>
      <x:c r="C1591" t="n">
        <x:v>46143</x:v>
      </x:c>
      <x:c r="D1591" t="str">
        <x:v>Financiera D</x:v>
      </x:c>
      <x:c r="E1591" t="str">
        <x:v>Crédito educativo</x:v>
      </x:c>
      <x:c r="F1591" t="n">
        <x:v>14950000</x:v>
      </x:c>
      <x:c r="G1591" s="40" t="n">
        <x:v>0.132</x:v>
      </x:c>
      <x:c r="H1591" s="40" t="n">
        <x:v>0.010386</x:v>
      </x:c>
      <x:c r="I1591" t="n">
        <x:v>24</x:v>
      </x:c>
      <x:c r="J1591" t="n">
        <x:v>707000</x:v>
      </x:c>
      <x:c r="K1591" t="str">
        <x:v>Avalancha</x:v>
      </x:c>
      <x:c r="L1591" t="str">
        <x:v>Vigente</x:v>
      </x:c>
      <x:c r="M1591" t="n">
        <x:v>11663215.37</x:v>
      </x:c>
      <x:c r="N1591"/>
    </x:row>
    <x:row r="1592">
      <x:c r="A1592" t="str">
        <x:v>DEU-001591</x:v>
      </x:c>
      <x:c r="B1592" t="str">
        <x:v>USR-00826</x:v>
      </x:c>
      <x:c r="C1592" t="n">
        <x:v>46143</x:v>
      </x:c>
      <x:c r="D1592" t="str">
        <x:v>Entidad financiera A</x:v>
      </x:c>
      <x:c r="E1592" t="str">
        <x:v>Crédito de consumo</x:v>
      </x:c>
      <x:c r="F1592" t="n">
        <x:v>15310000</x:v>
      </x:c>
      <x:c r="G1592" s="40" t="n">
        <x:v>0.1124</x:v>
      </x:c>
      <x:c r="H1592" s="40" t="n">
        <x:v>0.008916</x:v>
      </x:c>
      <x:c r="I1592" t="n">
        <x:v>36</x:v>
      </x:c>
      <x:c r="J1592" t="n">
        <x:v>499100</x:v>
      </x:c>
      <x:c r="K1592" t="str">
        <x:v>Avalancha</x:v>
      </x:c>
      <x:c r="L1592" t="str">
        <x:v>Vigente</x:v>
      </x:c>
      <x:c r="M1592" t="n">
        <x:v>15446506.53</x:v>
      </x:c>
      <x:c r="N1592"/>
    </x:row>
    <x:row r="1593">
      <x:c r="A1593" t="str">
        <x:v>DEU-001592</x:v>
      </x:c>
      <x:c r="B1593" t="str">
        <x:v>USR-00826</x:v>
      </x:c>
      <x:c r="C1593" t="n">
        <x:v>46143</x:v>
      </x:c>
      <x:c r="D1593" t="str">
        <x:v>Financiera D</x:v>
      </x:c>
      <x:c r="E1593" t="str">
        <x:v>Crédito educativo</x:v>
      </x:c>
      <x:c r="F1593" t="n">
        <x:v>6780000</x:v>
      </x:c>
      <x:c r="G1593" s="40" t="n">
        <x:v>0.3026</x:v>
      </x:c>
      <x:c r="H1593" s="40" t="n">
        <x:v>0.022275</x:v>
      </x:c>
      <x:c r="I1593" t="n">
        <x:v>48</x:v>
      </x:c>
      <x:c r="J1593" t="n">
        <x:v>231400</x:v>
      </x:c>
      <x:c r="K1593" t="str">
        <x:v>Avalancha</x:v>
      </x:c>
      <x:c r="L1593" t="str">
        <x:v>Vigente</x:v>
      </x:c>
      <x:c r="M1593" t="n">
        <x:v>6699622.1</x:v>
      </x:c>
      <x:c r="N1593"/>
    </x:row>
    <x:row r="1594">
      <x:c r="A1594" t="str">
        <x:v>DEU-001593</x:v>
      </x:c>
      <x:c r="B1594" t="str">
        <x:v>USR-00826</x:v>
      </x:c>
      <x:c r="C1594" t="n">
        <x:v>46143</x:v>
      </x:c>
      <x:c r="D1594" t="str">
        <x:v>Entidad financiera B</x:v>
      </x:c>
      <x:c r="E1594" t="str">
        <x:v>Tarjeta de crédito</x:v>
      </x:c>
      <x:c r="F1594" t="n">
        <x:v>7380000</x:v>
      </x:c>
      <x:c r="G1594" s="40" t="n">
        <x:v>0.2529</x:v>
      </x:c>
      <x:c r="H1594" s="40" t="n">
        <x:v>0.018966</x:v>
      </x:c>
      <x:c r="I1594" t="n">
        <x:v>24</x:v>
      </x:c>
      <x:c r="J1594" t="n">
        <x:v>385600</x:v>
      </x:c>
      <x:c r="K1594" t="str">
        <x:v>Avalancha</x:v>
      </x:c>
      <x:c r="L1594" t="str">
        <x:v>Vigente</x:v>
      </x:c>
      <x:c r="M1594" t="n">
        <x:v>7134369.21</x:v>
      </x:c>
      <x:c r="N1594"/>
    </x:row>
    <x:row r="1595">
      <x:c r="A1595" t="str">
        <x:v>DEU-001594</x:v>
      </x:c>
      <x:c r="B1595" t="str">
        <x:v>USR-00826</x:v>
      </x:c>
      <x:c r="C1595" t="n">
        <x:v>46143</x:v>
      </x:c>
      <x:c r="D1595" t="str">
        <x:v>Entidad financiera B</x:v>
      </x:c>
      <x:c r="E1595" t="str">
        <x:v>Tarjeta de crédito</x:v>
      </x:c>
      <x:c r="F1595" t="n">
        <x:v>3040000</x:v>
      </x:c>
      <x:c r="G1595" s="40" t="n">
        <x:v>0.3049</x:v>
      </x:c>
      <x:c r="H1595" s="40" t="n">
        <x:v>0.022425</x:v>
      </x:c>
      <x:c r="I1595" t="n">
        <x:v>36</x:v>
      </x:c>
      <x:c r="J1595" t="n">
        <x:v>124000</x:v>
      </x:c>
      <x:c r="K1595" t="str">
        <x:v>Avalancha</x:v>
      </x:c>
      <x:c r="L1595" t="str">
        <x:v>Vigente</x:v>
      </x:c>
      <x:c r="M1595" t="n">
        <x:v>2984171.83</x:v>
      </x:c>
      <x:c r="N1595"/>
    </x:row>
    <x:row r="1596">
      <x:c r="A1596" t="str">
        <x:v>DEU-001595</x:v>
      </x:c>
      <x:c r="B1596" t="str">
        <x:v>USR-00826</x:v>
      </x:c>
      <x:c r="C1596" t="n">
        <x:v>46143</x:v>
      </x:c>
      <x:c r="D1596" t="str">
        <x:v>Cooperativa C</x:v>
      </x:c>
      <x:c r="E1596" t="str">
        <x:v>Crédito de consumo</x:v>
      </x:c>
      <x:c r="F1596" t="n">
        <x:v>13610000</x:v>
      </x:c>
      <x:c r="G1596" s="40" t="n">
        <x:v>0.3341</x:v>
      </x:c>
      <x:c r="H1596" s="40" t="n">
        <x:v>0.024312</x:v>
      </x:c>
      <x:c r="I1596" t="n">
        <x:v>36</x:v>
      </x:c>
      <x:c r="J1596" t="n">
        <x:v>571600</x:v>
      </x:c>
      <x:c r="K1596" t="str">
        <x:v>Avalancha</x:v>
      </x:c>
      <x:c r="L1596" t="str">
        <x:v>Vigente</x:v>
      </x:c>
      <x:c r="M1596" t="n">
        <x:v>13083489.68</x:v>
      </x:c>
      <x:c r="N1596"/>
    </x:row>
    <x:row r="1597">
      <x:c r="A1597" t="str">
        <x:v>DEU-001596</x:v>
      </x:c>
      <x:c r="B1597" t="str">
        <x:v>USR-00827</x:v>
      </x:c>
      <x:c r="C1597" t="n">
        <x:v>46143</x:v>
      </x:c>
      <x:c r="D1597" t="str">
        <x:v>Entidad financiera A</x:v>
      </x:c>
      <x:c r="E1597" t="str">
        <x:v>Tarjeta de crédito</x:v>
      </x:c>
      <x:c r="F1597" t="n">
        <x:v>1950000</x:v>
      </x:c>
      <x:c r="G1597" s="40" t="n">
        <x:v>0.3132</x:v>
      </x:c>
      <x:c r="H1597" s="40" t="n">
        <x:v>0.022965</x:v>
      </x:c>
      <x:c r="I1597" t="n">
        <x:v>48</x:v>
      </x:c>
      <x:c r="J1597" t="n">
        <x:v>67500</x:v>
      </x:c>
      <x:c r="K1597" t="str">
        <x:v>Bola de nieve</x:v>
      </x:c>
      <x:c r="L1597" t="str">
        <x:v>Vigente</x:v>
      </x:c>
      <x:c r="M1597" t="n">
        <x:v>2047989.8</x:v>
      </x:c>
      <x:c r="N1597"/>
    </x:row>
    <x:row r="1598">
      <x:c r="A1598" t="str">
        <x:v>DEU-001597</x:v>
      </x:c>
      <x:c r="B1598" t="str">
        <x:v>USR-00828</x:v>
      </x:c>
      <x:c r="C1598" t="n">
        <x:v>46143</x:v>
      </x:c>
      <x:c r="D1598" t="str">
        <x:v>Cooperativa C</x:v>
      </x:c>
      <x:c r="E1598" t="str">
        <x:v>Crédito de libre inversión</x:v>
      </x:c>
      <x:c r="F1598" t="n">
        <x:v>1810000</x:v>
      </x:c>
      <x:c r="G1598" s="40" t="n">
        <x:v>0.1718</x:v>
      </x:c>
      <x:c r="H1598" s="40" t="n">
        <x:v>0.013299</x:v>
      </x:c>
      <x:c r="I1598" t="n">
        <x:v>24</x:v>
      </x:c>
      <x:c r="J1598" t="n">
        <x:v>88600</x:v>
      </x:c>
      <x:c r="K1598" t="str">
        <x:v>Bola de nieve</x:v>
      </x:c>
      <x:c r="L1598" t="str">
        <x:v>Vigente</x:v>
      </x:c>
      <x:c r="M1598" t="n">
        <x:v>1640401.93</x:v>
      </x:c>
      <x:c r="N1598"/>
    </x:row>
    <x:row r="1599">
      <x:c r="A1599" t="str">
        <x:v>DEU-001598</x:v>
      </x:c>
      <x:c r="B1599" t="str">
        <x:v>USR-00829</x:v>
      </x:c>
      <x:c r="C1599" t="n">
        <x:v>46143</x:v>
      </x:c>
      <x:c r="D1599" t="str">
        <x:v>Cooperativa C</x:v>
      </x:c>
      <x:c r="E1599" t="str">
        <x:v>Tarjeta de crédito</x:v>
      </x:c>
      <x:c r="F1599" t="n">
        <x:v>6850000</x:v>
      </x:c>
      <x:c r="G1599" s="40" t="n">
        <x:v>0.1326</x:v>
      </x:c>
      <x:c r="H1599" s="40" t="n">
        <x:v>0.01043</x:v>
      </x:c>
      <x:c r="I1599" t="n">
        <x:v>60</x:v>
      </x:c>
      <x:c r="J1599" t="n">
        <x:v>154200</x:v>
      </x:c>
      <x:c r="K1599" t="str">
        <x:v>Bola de nieve</x:v>
      </x:c>
      <x:c r="L1599" t="str">
        <x:v>Vigente</x:v>
      </x:c>
      <x:c r="M1599" t="n">
        <x:v>6772238.87</x:v>
      </x:c>
      <x:c r="N1599"/>
    </x:row>
    <x:row r="1600">
      <x:c r="A1600" t="str">
        <x:v>DEU-001599</x:v>
      </x:c>
      <x:c r="B1600" t="str">
        <x:v>USR-00829</x:v>
      </x:c>
      <x:c r="C1600" t="n">
        <x:v>46143</x:v>
      </x:c>
      <x:c r="D1600" t="str">
        <x:v>Entidad financiera B</x:v>
      </x:c>
      <x:c r="E1600" t="str">
        <x:v>Tarjeta de crédito</x:v>
      </x:c>
      <x:c r="F1600" t="n">
        <x:v>5920000</x:v>
      </x:c>
      <x:c r="G1600" s="40" t="n">
        <x:v>0.3152</x:v>
      </x:c>
      <x:c r="H1600" s="40" t="n">
        <x:v>0.023095</x:v>
      </x:c>
      <x:c r="I1600" t="n">
        <x:v>36</x:v>
      </x:c>
      <x:c r="J1600" t="n">
        <x:v>244000</x:v>
      </x:c>
      <x:c r="K1600" t="str">
        <x:v>Avalancha</x:v>
      </x:c>
      <x:c r="L1600" t="str">
        <x:v>Vigente</x:v>
      </x:c>
      <x:c r="M1600" t="n">
        <x:v>5310990.75</x:v>
      </x:c>
      <x:c r="N1600"/>
    </x:row>
    <x:row r="1601">
      <x:c r="A1601" t="str">
        <x:v>DEU-001600</x:v>
      </x:c>
      <x:c r="B1601" t="str">
        <x:v>USR-00830</x:v>
      </x:c>
      <x:c r="C1601" t="n">
        <x:v>46143</x:v>
      </x:c>
      <x:c r="D1601" t="str">
        <x:v>Financiera D</x:v>
      </x:c>
      <x:c r="E1601" t="str">
        <x:v>Tarjeta de crédito</x:v>
      </x:c>
      <x:c r="F1601" t="n">
        <x:v>5910000</x:v>
      </x:c>
      <x:c r="G1601" s="40" t="n">
        <x:v>0.3372</x:v>
      </x:c>
      <x:c r="H1601" s="40" t="n">
        <x:v>0.02451</x:v>
      </x:c>
      <x:c r="I1601" t="n">
        <x:v>24</x:v>
      </x:c>
      <x:c r="J1601" t="n">
        <x:v>328700</x:v>
      </x:c>
      <x:c r="K1601" t="str">
        <x:v>Bola de nieve</x:v>
      </x:c>
      <x:c r="L1601" t="str">
        <x:v>Vigente</x:v>
      </x:c>
      <x:c r="M1601" t="n">
        <x:v>5256670.03</x:v>
      </x:c>
      <x:c r="N1601"/>
    </x:row>
    <x:row r="1602">
      <x:c r="A1602" t="str">
        <x:v>DEU-001601</x:v>
      </x:c>
      <x:c r="B1602" t="str">
        <x:v>USR-00830</x:v>
      </x:c>
      <x:c r="C1602" t="n">
        <x:v>46143</x:v>
      </x:c>
      <x:c r="D1602" t="str">
        <x:v>Cooperativa C</x:v>
      </x:c>
      <x:c r="E1602" t="str">
        <x:v>Crédito de libre inversión</x:v>
      </x:c>
      <x:c r="F1602" t="n">
        <x:v>5830000</x:v>
      </x:c>
      <x:c r="G1602" s="40" t="n">
        <x:v>0.325</x:v>
      </x:c>
      <x:c r="H1602" s="40" t="n">
        <x:v>0.023728</x:v>
      </x:c>
      <x:c r="I1602" t="n">
        <x:v>60</x:v>
      </x:c>
      <x:c r="J1602" t="n">
        <x:v>183200</x:v>
      </x:c>
      <x:c r="K1602" t="str">
        <x:v>Bola de nieve</x:v>
      </x:c>
      <x:c r="L1602" t="str">
        <x:v>Vigente</x:v>
      </x:c>
      <x:c r="M1602" t="n">
        <x:v>5737666.95</x:v>
      </x:c>
      <x:c r="N1602"/>
    </x:row>
    <x:row r="1603">
      <x:c r="A1603" t="str">
        <x:v>DEU-001602</x:v>
      </x:c>
      <x:c r="B1603" t="str">
        <x:v>USR-00831</x:v>
      </x:c>
      <x:c r="C1603" t="n">
        <x:v>46143</x:v>
      </x:c>
      <x:c r="D1603" t="str">
        <x:v>Cooperativa C</x:v>
      </x:c>
      <x:c r="E1603" t="str">
        <x:v>Crédito de vehículo</x:v>
      </x:c>
      <x:c r="F1603" t="n">
        <x:v>53970000</x:v>
      </x:c>
      <x:c r="G1603" s="40" t="n">
        <x:v>0.2639</x:v>
      </x:c>
      <x:c r="H1603" s="40" t="n">
        <x:v>0.019709</x:v>
      </x:c>
      <x:c r="I1603" t="n">
        <x:v>30</x:v>
      </x:c>
      <x:c r="J1603" t="n">
        <x:v>2400100</x:v>
      </x:c>
      <x:c r="K1603" t="str">
        <x:v>Avalancha</x:v>
      </x:c>
      <x:c r="L1603" t="str">
        <x:v>Vigente</x:v>
      </x:c>
      <x:c r="M1603" t="n">
        <x:v>50103655.59</x:v>
      </x:c>
      <x:c r="N1603"/>
    </x:row>
    <x:row r="1604">
      <x:c r="A1604" t="str">
        <x:v>DEU-001603</x:v>
      </x:c>
      <x:c r="B1604" t="str">
        <x:v>USR-00832</x:v>
      </x:c>
      <x:c r="C1604" t="n">
        <x:v>46143</x:v>
      </x:c>
      <x:c r="D1604" t="str">
        <x:v>Entidad financiera A</x:v>
      </x:c>
      <x:c r="E1604" t="str">
        <x:v>Crédito educativo</x:v>
      </x:c>
      <x:c r="F1604" t="n">
        <x:v>7530000</x:v>
      </x:c>
      <x:c r="G1604" s="40" t="n">
        <x:v>0.1275</x:v>
      </x:c>
      <x:c r="H1604" s="40" t="n">
        <x:v>0.01005</x:v>
      </x:c>
      <x:c r="I1604" t="n">
        <x:v>24</x:v>
      </x:c>
      <x:c r="J1604" t="n">
        <x:v>354700</x:v>
      </x:c>
      <x:c r="K1604" t="str">
        <x:v>Bola de nieve</x:v>
      </x:c>
      <x:c r="L1604" t="str">
        <x:v>Vigente</x:v>
      </x:c>
      <x:c r="M1604" t="n">
        <x:v>6538630.13</x:v>
      </x:c>
      <x:c r="N1604"/>
    </x:row>
    <x:row r="1605">
      <x:c r="A1605" t="str">
        <x:v>DEU-001604</x:v>
      </x:c>
      <x:c r="B1605" t="str">
        <x:v>USR-00832</x:v>
      </x:c>
      <x:c r="C1605" t="n">
        <x:v>46143</x:v>
      </x:c>
      <x:c r="D1605" t="str">
        <x:v>Cooperativa C</x:v>
      </x:c>
      <x:c r="E1605" t="str">
        <x:v>Crédito de libre inversión</x:v>
      </x:c>
      <x:c r="F1605" t="n">
        <x:v>9210000</x:v>
      </x:c>
      <x:c r="G1605" s="40" t="n">
        <x:v>0.3126</x:v>
      </x:c>
      <x:c r="H1605" s="40" t="n">
        <x:v>0.022926</x:v>
      </x:c>
      <x:c r="I1605" t="n">
        <x:v>24</x:v>
      </x:c>
      <x:c r="J1605" t="n">
        <x:v>503200</x:v>
      </x:c>
      <x:c r="K1605" t="str">
        <x:v>Bola de nieve</x:v>
      </x:c>
      <x:c r="L1605" t="str">
        <x:v>Vigente</x:v>
      </x:c>
      <x:c r="M1605" t="n">
        <x:v>7766505.93</x:v>
      </x:c>
      <x:c r="N1605"/>
    </x:row>
    <x:row r="1606">
      <x:c r="A1606" t="str">
        <x:v>DEU-001605</x:v>
      </x:c>
      <x:c r="B1606" t="str">
        <x:v>USR-00832</x:v>
      </x:c>
      <x:c r="C1606" t="n">
        <x:v>46143</x:v>
      </x:c>
      <x:c r="D1606" t="str">
        <x:v>Entidad financiera B</x:v>
      </x:c>
      <x:c r="E1606" t="str">
        <x:v>Tarjeta de crédito</x:v>
      </x:c>
      <x:c r="F1606" t="n">
        <x:v>4940000</x:v>
      </x:c>
      <x:c r="G1606" s="40" t="n">
        <x:v>0.1699</x:v>
      </x:c>
      <x:c r="H1606" s="40" t="n">
        <x:v>0.013162</x:v>
      </x:c>
      <x:c r="I1606" t="n">
        <x:v>18</x:v>
      </x:c>
      <x:c r="J1606" t="n">
        <x:v>310000</x:v>
      </x:c>
      <x:c r="K1606" t="str">
        <x:v>Bola de nieve</x:v>
      </x:c>
      <x:c r="L1606" t="str">
        <x:v>Vigente</x:v>
      </x:c>
      <x:c r="M1606" t="n">
        <x:v>3950019.32</x:v>
      </x:c>
      <x:c r="N1606"/>
    </x:row>
    <x:row r="1607">
      <x:c r="A1607" t="str">
        <x:v>DEU-001606</x:v>
      </x:c>
      <x:c r="B1607" t="str">
        <x:v>USR-00833</x:v>
      </x:c>
      <x:c r="C1607" t="n">
        <x:v>46143</x:v>
      </x:c>
      <x:c r="D1607" t="str">
        <x:v>Entidad financiera E</x:v>
      </x:c>
      <x:c r="E1607" t="str">
        <x:v>Tarjeta de crédito</x:v>
      </x:c>
      <x:c r="F1607" t="n">
        <x:v>4040000</x:v>
      </x:c>
      <x:c r="G1607" s="40" t="n">
        <x:v>0.2792</x:v>
      </x:c>
      <x:c r="H1607" s="40" t="n">
        <x:v>0.020732</x:v>
      </x:c>
      <x:c r="I1607" t="n">
        <x:v>36</x:v>
      </x:c>
      <x:c r="J1607" t="n">
        <x:v>160400</x:v>
      </x:c>
      <x:c r="K1607" t="str">
        <x:v>Avalancha</x:v>
      </x:c>
      <x:c r="L1607" t="str">
        <x:v>Vigente</x:v>
      </x:c>
      <x:c r="M1607" t="n">
        <x:v>4010500.89</x:v>
      </x:c>
      <x:c r="N1607"/>
    </x:row>
    <x:row r="1608">
      <x:c r="A1608" t="str">
        <x:v>DEU-001607</x:v>
      </x:c>
      <x:c r="B1608" t="str">
        <x:v>USR-00833</x:v>
      </x:c>
      <x:c r="C1608" t="n">
        <x:v>46143</x:v>
      </x:c>
      <x:c r="D1608" t="str">
        <x:v>Entidad financiera B</x:v>
      </x:c>
      <x:c r="E1608" t="str">
        <x:v>Crédito de consumo</x:v>
      </x:c>
      <x:c r="F1608" t="n">
        <x:v>6810000</x:v>
      </x:c>
      <x:c r="G1608" s="40" t="n">
        <x:v>0.1168</x:v>
      </x:c>
      <x:c r="H1608" s="40" t="n">
        <x:v>0.009248</x:v>
      </x:c>
      <x:c r="I1608" t="n">
        <x:v>48</x:v>
      </x:c>
      <x:c r="J1608" t="n">
        <x:v>176300</x:v>
      </x:c>
      <x:c r="K1608" t="str">
        <x:v>Avalancha</x:v>
      </x:c>
      <x:c r="L1608" t="str">
        <x:v>Vigente</x:v>
      </x:c>
      <x:c r="M1608" t="n">
        <x:v>6564598.15</x:v>
      </x:c>
      <x:c r="N1608"/>
    </x:row>
    <x:row r="1609">
      <x:c r="A1609" t="str">
        <x:v>DEU-001608</x:v>
      </x:c>
      <x:c r="B1609" t="str">
        <x:v>USR-00833</x:v>
      </x:c>
      <x:c r="C1609" t="n">
        <x:v>46143</x:v>
      </x:c>
      <x:c r="D1609" t="str">
        <x:v>Entidad financiera A</x:v>
      </x:c>
      <x:c r="E1609" t="str">
        <x:v>Tarjeta de crédito</x:v>
      </x:c>
      <x:c r="F1609" t="n">
        <x:v>1970000</x:v>
      </x:c>
      <x:c r="G1609" s="40" t="n">
        <x:v>0.3207</x:v>
      </x:c>
      <x:c r="H1609" s="40" t="n">
        <x:v>0.023451</x:v>
      </x:c>
      <x:c r="I1609" t="n">
        <x:v>24</x:v>
      </x:c>
      <x:c r="J1609" t="n">
        <x:v>108300</x:v>
      </x:c>
      <x:c r="K1609" t="str">
        <x:v>Bola de nieve</x:v>
      </x:c>
      <x:c r="L1609" t="str">
        <x:v>Vigente</x:v>
      </x:c>
      <x:c r="M1609" t="n">
        <x:v>1627215.8</x:v>
      </x:c>
      <x:c r="N1609"/>
    </x:row>
    <x:row r="1610">
      <x:c r="A1610" t="str">
        <x:v>DEU-001609</x:v>
      </x:c>
      <x:c r="B1610" t="str">
        <x:v>USR-00833</x:v>
      </x:c>
      <x:c r="C1610" t="n">
        <x:v>46143</x:v>
      </x:c>
      <x:c r="D1610" t="str">
        <x:v>Entidad financiera A</x:v>
      </x:c>
      <x:c r="E1610" t="str">
        <x:v>Crédito de libre inversión</x:v>
      </x:c>
      <x:c r="F1610" t="n">
        <x:v>8980000</x:v>
      </x:c>
      <x:c r="G1610" s="40" t="n">
        <x:v>0.2988</x:v>
      </x:c>
      <x:c r="H1610" s="40" t="n">
        <x:v>0.022026</x:v>
      </x:c>
      <x:c r="I1610" t="n">
        <x:v>60</x:v>
      </x:c>
      <x:c r="J1610" t="n">
        <x:v>271200</x:v>
      </x:c>
      <x:c r="K1610" t="str">
        <x:v>Avalancha</x:v>
      </x:c>
      <x:c r="L1610" t="str">
        <x:v>Vigente</x:v>
      </x:c>
      <x:c r="M1610" t="n">
        <x:v>9008939.09</x:v>
      </x:c>
      <x:c r="N1610"/>
    </x:row>
    <x:row r="1611">
      <x:c r="A1611" t="str">
        <x:v>DEU-001610</x:v>
      </x:c>
      <x:c r="B1611" t="str">
        <x:v>USR-00833</x:v>
      </x:c>
      <x:c r="C1611" t="n">
        <x:v>46143</x:v>
      </x:c>
      <x:c r="D1611" t="str">
        <x:v>Entidad financiera A</x:v>
      </x:c>
      <x:c r="E1611" t="str">
        <x:v>Crédito de consumo</x:v>
      </x:c>
      <x:c r="F1611" t="n">
        <x:v>14890000</x:v>
      </x:c>
      <x:c r="G1611" s="40" t="n">
        <x:v>0.2622</x:v>
      </x:c>
      <x:c r="H1611" s="40" t="n">
        <x:v>0.019594</x:v>
      </x:c>
      <x:c r="I1611" t="n">
        <x:v>36</x:v>
      </x:c>
      <x:c r="J1611" t="n">
        <x:v>580400</x:v>
      </x:c>
      <x:c r="K1611" t="str">
        <x:v>Avalancha</x:v>
      </x:c>
      <x:c r="L1611" t="str">
        <x:v>Vigente</x:v>
      </x:c>
      <x:c r="M1611" t="n">
        <x:v>13547093.49</x:v>
      </x:c>
      <x:c r="N1611"/>
    </x:row>
    <x:row r="1612">
      <x:c r="A1612" t="str">
        <x:v>DEU-001611</x:v>
      </x:c>
      <x:c r="B1612" t="str">
        <x:v>USR-00834</x:v>
      </x:c>
      <x:c r="C1612" t="n">
        <x:v>46143</x:v>
      </x:c>
      <x:c r="D1612" t="str">
        <x:v>Entidad financiera B</x:v>
      </x:c>
      <x:c r="E1612" t="str">
        <x:v>Crédito de vehículo</x:v>
      </x:c>
      <x:c r="F1612" t="n">
        <x:v>12380000</x:v>
      </x:c>
      <x:c r="G1612" s="40" t="n">
        <x:v>0.1389</x:v>
      </x:c>
      <x:c r="H1612" s="40" t="n">
        <x:v>0.010898</x:v>
      </x:c>
      <x:c r="I1612" t="n">
        <x:v>48</x:v>
      </x:c>
      <x:c r="J1612" t="n">
        <x:v>332600</x:v>
      </x:c>
      <x:c r="K1612" t="str">
        <x:v>Bola de nieve</x:v>
      </x:c>
      <x:c r="L1612" t="str">
        <x:v>Vigente</x:v>
      </x:c>
      <x:c r="M1612" t="n">
        <x:v>11987608.52</x:v>
      </x:c>
      <x:c r="N1612"/>
    </x:row>
    <x:row r="1613">
      <x:c r="A1613" t="str">
        <x:v>DEU-001612</x:v>
      </x:c>
      <x:c r="B1613" t="str">
        <x:v>USR-00834</x:v>
      </x:c>
      <x:c r="C1613" t="n">
        <x:v>46143</x:v>
      </x:c>
      <x:c r="D1613" t="str">
        <x:v>Financiera D</x:v>
      </x:c>
      <x:c r="E1613" t="str">
        <x:v>Crédito de consumo</x:v>
      </x:c>
      <x:c r="F1613" t="n">
        <x:v>11890000</x:v>
      </x:c>
      <x:c r="G1613" s="40" t="n">
        <x:v>0.2344</x:v>
      </x:c>
      <x:c r="H1613" s="40" t="n">
        <x:v>0.017704</x:v>
      </x:c>
      <x:c r="I1613" t="n">
        <x:v>48</x:v>
      </x:c>
      <x:c r="J1613" t="n">
        <x:v>369700</x:v>
      </x:c>
      <x:c r="K1613" t="str">
        <x:v>Avalancha</x:v>
      </x:c>
      <x:c r="L1613" t="str">
        <x:v>Vigente</x:v>
      </x:c>
      <x:c r="M1613" t="n">
        <x:v>11944747.78</x:v>
      </x:c>
      <x:c r="N1613"/>
    </x:row>
    <x:row r="1614">
      <x:c r="A1614" t="str">
        <x:v>DEU-001613</x:v>
      </x:c>
      <x:c r="B1614" t="str">
        <x:v>USR-00835</x:v>
      </x:c>
      <x:c r="C1614" t="n">
        <x:v>46143</x:v>
      </x:c>
      <x:c r="D1614" t="str">
        <x:v>Financiera D</x:v>
      </x:c>
      <x:c r="E1614" t="str">
        <x:v>Crédito de consumo</x:v>
      </x:c>
      <x:c r="F1614" t="n">
        <x:v>18920000</x:v>
      </x:c>
      <x:c r="G1614" s="40" t="n">
        <x:v>0.2074</x:v>
      </x:c>
      <x:c r="H1614" s="40" t="n">
        <x:v>0.01583</x:v>
      </x:c>
      <x:c r="I1614" t="n">
        <x:v>60</x:v>
      </x:c>
      <x:c r="J1614" t="n">
        <x:v>490800</x:v>
      </x:c>
      <x:c r="K1614" t="str">
        <x:v>Avalancha</x:v>
      </x:c>
      <x:c r="L1614" t="str">
        <x:v>Vigente</x:v>
      </x:c>
      <x:c r="M1614" t="n">
        <x:v>18789344.48</x:v>
      </x:c>
      <x:c r="N1614"/>
    </x:row>
    <x:row r="1615">
      <x:c r="A1615" t="str">
        <x:v>DEU-001614</x:v>
      </x:c>
      <x:c r="B1615" t="str">
        <x:v>USR-00836</x:v>
      </x:c>
      <x:c r="C1615" t="n">
        <x:v>46143</x:v>
      </x:c>
      <x:c r="D1615" t="str">
        <x:v>Cooperativa C</x:v>
      </x:c>
      <x:c r="E1615" t="str">
        <x:v>Tarjeta de crédito</x:v>
      </x:c>
      <x:c r="F1615" t="n">
        <x:v>1580000</x:v>
      </x:c>
      <x:c r="G1615" s="40" t="n">
        <x:v>0.1541</x:v>
      </x:c>
      <x:c r="H1615" s="40" t="n">
        <x:v>0.012015</x:v>
      </x:c>
      <x:c r="I1615" t="n">
        <x:v>36</x:v>
      </x:c>
      <x:c r="J1615" t="n">
        <x:v>54300</x:v>
      </x:c>
      <x:c r="K1615" t="str">
        <x:v>Avalancha</x:v>
      </x:c>
      <x:c r="L1615" t="str">
        <x:v>Vigente</x:v>
      </x:c>
      <x:c r="M1615" t="n">
        <x:v>1407817.78</x:v>
      </x:c>
      <x:c r="N1615"/>
    </x:row>
    <x:row r="1616">
      <x:c r="A1616" t="str">
        <x:v>DEU-001615</x:v>
      </x:c>
      <x:c r="B1616" t="str">
        <x:v>USR-00837</x:v>
      </x:c>
      <x:c r="C1616" t="n">
        <x:v>46143</x:v>
      </x:c>
      <x:c r="D1616" t="str">
        <x:v>Entidad financiera E</x:v>
      </x:c>
      <x:c r="E1616" t="str">
        <x:v>Crédito de vehículo</x:v>
      </x:c>
      <x:c r="F1616" t="n">
        <x:v>18150000</x:v>
      </x:c>
      <x:c r="G1616" s="40" t="n">
        <x:v>0.2189</x:v>
      </x:c>
      <x:c r="H1616" s="40" t="n">
        <x:v>0.016633</x:v>
      </x:c>
      <x:c r="I1616" t="n">
        <x:v>36</x:v>
      </x:c>
      <x:c r="J1616" t="n">
        <x:v>674100</x:v>
      </x:c>
      <x:c r="K1616" t="str">
        <x:v>Bola de nieve</x:v>
      </x:c>
      <x:c r="L1616" t="str">
        <x:v>Vigente</x:v>
      </x:c>
      <x:c r="M1616" t="n">
        <x:v>17095231.13</x:v>
      </x:c>
      <x:c r="N1616"/>
    </x:row>
    <x:row r="1617">
      <x:c r="A1617" t="str">
        <x:v>DEU-001616</x:v>
      </x:c>
      <x:c r="B1617" t="str">
        <x:v>USR-00837</x:v>
      </x:c>
      <x:c r="C1617" t="n">
        <x:v>46143</x:v>
      </x:c>
      <x:c r="D1617" t="str">
        <x:v>Entidad financiera E</x:v>
      </x:c>
      <x:c r="E1617" t="str">
        <x:v>Crédito de libre inversión</x:v>
      </x:c>
      <x:c r="F1617" t="n">
        <x:v>12000000</x:v>
      </x:c>
      <x:c r="G1617" s="40" t="n">
        <x:v>0.1519</x:v>
      </x:c>
      <x:c r="H1617" s="40" t="n">
        <x:v>0.011854</x:v>
      </x:c>
      <x:c r="I1617" t="n">
        <x:v>30</x:v>
      </x:c>
      <x:c r="J1617" t="n">
        <x:v>477700</x:v>
      </x:c>
      <x:c r="K1617" t="str">
        <x:v>Bola de nieve</x:v>
      </x:c>
      <x:c r="L1617" t="str">
        <x:v>Vigente</x:v>
      </x:c>
      <x:c r="M1617" t="n">
        <x:v>10307301.57</x:v>
      </x:c>
      <x:c r="N1617"/>
    </x:row>
    <x:row r="1618">
      <x:c r="A1618" t="str">
        <x:v>DEU-001617</x:v>
      </x:c>
      <x:c r="B1618" t="str">
        <x:v>USR-00837</x:v>
      </x:c>
      <x:c r="C1618" t="n">
        <x:v>46143</x:v>
      </x:c>
      <x:c r="D1618" t="str">
        <x:v>Entidad financiera B</x:v>
      </x:c>
      <x:c r="E1618" t="str">
        <x:v>Crédito comercial</x:v>
      </x:c>
      <x:c r="F1618" t="n">
        <x:v>25320000</x:v>
      </x:c>
      <x:c r="G1618" s="40" t="n">
        <x:v>0.2895</x:v>
      </x:c>
      <x:c r="H1618" s="40" t="n">
        <x:v>0.021414</x:v>
      </x:c>
      <x:c r="I1618" t="n">
        <x:v>30</x:v>
      </x:c>
      <x:c r="J1618" t="n">
        <x:v>1152600</x:v>
      </x:c>
      <x:c r="K1618" t="str">
        <x:v>Avalancha</x:v>
      </x:c>
      <x:c r="L1618" t="str">
        <x:v>Vigente</x:v>
      </x:c>
      <x:c r="M1618" t="n">
        <x:v>23405014.25</x:v>
      </x:c>
      <x:c r="N1618"/>
    </x:row>
    <x:row r="1619">
      <x:c r="A1619" t="str">
        <x:v>DEU-001618</x:v>
      </x:c>
      <x:c r="B1619" t="str">
        <x:v>USR-00837</x:v>
      </x:c>
      <x:c r="C1619" t="n">
        <x:v>46143</x:v>
      </x:c>
      <x:c r="D1619" t="str">
        <x:v>Entidad financiera E</x:v>
      </x:c>
      <x:c r="E1619" t="str">
        <x:v>Crédito educativo</x:v>
      </x:c>
      <x:c r="F1619" t="n">
        <x:v>17230000</x:v>
      </x:c>
      <x:c r="G1619" s="40" t="n">
        <x:v>0.2444</x:v>
      </x:c>
      <x:c r="H1619" s="40" t="n">
        <x:v>0.018388</x:v>
      </x:c>
      <x:c r="I1619" t="n">
        <x:v>60</x:v>
      </x:c>
      <x:c r="J1619" t="n">
        <x:v>476500</x:v>
      </x:c>
      <x:c r="K1619" t="str">
        <x:v>Avalancha</x:v>
      </x:c>
      <x:c r="L1619" t="str">
        <x:v>Vigente</x:v>
      </x:c>
      <x:c r="M1619" t="n">
        <x:v>16520716.29</x:v>
      </x:c>
      <x:c r="N1619"/>
    </x:row>
    <x:row r="1620">
      <x:c r="A1620" t="str">
        <x:v>DEU-001619</x:v>
      </x:c>
      <x:c r="B1620" t="str">
        <x:v>USR-00837</x:v>
      </x:c>
      <x:c r="C1620" t="n">
        <x:v>46143</x:v>
      </x:c>
      <x:c r="D1620" t="str">
        <x:v>Entidad financiera B</x:v>
      </x:c>
      <x:c r="E1620" t="str">
        <x:v>Crédito de consumo</x:v>
      </x:c>
      <x:c r="F1620" t="n">
        <x:v>14590000</x:v>
      </x:c>
      <x:c r="G1620" s="40" t="n">
        <x:v>0.1156</x:v>
      </x:c>
      <x:c r="H1620" s="40" t="n">
        <x:v>0.009158</x:v>
      </x:c>
      <x:c r="I1620" t="n">
        <x:v>12</x:v>
      </x:c>
      <x:c r="J1620" t="n">
        <x:v>1289400</x:v>
      </x:c>
      <x:c r="K1620" t="str">
        <x:v>Avalancha</x:v>
      </x:c>
      <x:c r="L1620" t="str">
        <x:v>Vigente</x:v>
      </x:c>
      <x:c r="M1620" t="n">
        <x:v>10017361.37</x:v>
      </x:c>
      <x:c r="N1620"/>
    </x:row>
    <x:row r="1621">
      <x:c r="A1621" t="str">
        <x:v>DEU-001620</x:v>
      </x:c>
      <x:c r="B1621" t="str">
        <x:v>USR-00838</x:v>
      </x:c>
      <x:c r="C1621" t="n">
        <x:v>46143</x:v>
      </x:c>
      <x:c r="D1621" t="str">
        <x:v>Financiera D</x:v>
      </x:c>
      <x:c r="E1621" t="str">
        <x:v>Crédito comercial</x:v>
      </x:c>
      <x:c r="F1621" t="n">
        <x:v>32490000</x:v>
      </x:c>
      <x:c r="G1621" s="40" t="n">
        <x:v>0.2232</x:v>
      </x:c>
      <x:c r="H1621" s="40" t="n">
        <x:v>0.016931</x:v>
      </x:c>
      <x:c r="I1621" t="n">
        <x:v>48</x:v>
      </x:c>
      <x:c r="J1621" t="n">
        <x:v>994200</x:v>
      </x:c>
      <x:c r="K1621" t="str">
        <x:v>Bola de nieve</x:v>
      </x:c>
      <x:c r="L1621" t="str">
        <x:v>Vigente</x:v>
      </x:c>
      <x:c r="M1621" t="n">
        <x:v>30924862.3</x:v>
      </x:c>
      <x:c r="N1621"/>
    </x:row>
    <x:row r="1622">
      <x:c r="A1622" t="str">
        <x:v>DEU-001621</x:v>
      </x:c>
      <x:c r="B1622" t="str">
        <x:v>USR-00839</x:v>
      </x:c>
      <x:c r="C1622" t="n">
        <x:v>46143</x:v>
      </x:c>
      <x:c r="D1622" t="str">
        <x:v>Entidad financiera E</x:v>
      </x:c>
      <x:c r="E1622" t="str">
        <x:v>Crédito de consumo</x:v>
      </x:c>
      <x:c r="F1622" t="n">
        <x:v>3340000</x:v>
      </x:c>
      <x:c r="G1622" s="40" t="n">
        <x:v>0.2282</x:v>
      </x:c>
      <x:c r="H1622" s="40" t="n">
        <x:v>0.017277</x:v>
      </x:c>
      <x:c r="I1622" t="n">
        <x:v>18</x:v>
      </x:c>
      <x:c r="J1622" t="n">
        <x:v>217500</x:v>
      </x:c>
      <x:c r="K1622" t="str">
        <x:v>Avalancha</x:v>
      </x:c>
      <x:c r="L1622" t="str">
        <x:v>Vigente</x:v>
      </x:c>
      <x:c r="M1622" t="n">
        <x:v>2773005.42</x:v>
      </x:c>
      <x:c r="N1622"/>
    </x:row>
    <x:row r="1623">
      <x:c r="A1623" t="str">
        <x:v>DEU-001622</x:v>
      </x:c>
      <x:c r="B1623" t="str">
        <x:v>USR-00840</x:v>
      </x:c>
      <x:c r="C1623" t="n">
        <x:v>46143</x:v>
      </x:c>
      <x:c r="D1623" t="str">
        <x:v>Entidad financiera A</x:v>
      </x:c>
      <x:c r="E1623" t="str">
        <x:v>Crédito de consumo</x:v>
      </x:c>
      <x:c r="F1623" t="n">
        <x:v>15250000</x:v>
      </x:c>
      <x:c r="G1623" s="40" t="n">
        <x:v>0.2974</x:v>
      </x:c>
      <x:c r="H1623" s="40" t="n">
        <x:v>0.021934</x:v>
      </x:c>
      <x:c r="I1623" t="n">
        <x:v>48</x:v>
      </x:c>
      <x:c r="J1623" t="n">
        <x:v>516900</x:v>
      </x:c>
      <x:c r="K1623" t="str">
        <x:v>Avalancha</x:v>
      </x:c>
      <x:c r="L1623" t="str">
        <x:v>Vigente</x:v>
      </x:c>
      <x:c r="M1623" t="n">
        <x:v>14848731.3</x:v>
      </x:c>
      <x:c r="N1623"/>
    </x:row>
    <x:row r="1624">
      <x:c r="A1624" t="str">
        <x:v>DEU-001623</x:v>
      </x:c>
      <x:c r="B1624" t="str">
        <x:v>USR-00841</x:v>
      </x:c>
      <x:c r="C1624" t="n">
        <x:v>46143</x:v>
      </x:c>
      <x:c r="D1624" t="str">
        <x:v>Entidad financiera A</x:v>
      </x:c>
      <x:c r="E1624" t="str">
        <x:v>Crédito de libre inversión</x:v>
      </x:c>
      <x:c r="F1624" t="n">
        <x:v>19960000</x:v>
      </x:c>
      <x:c r="G1624" s="40" t="n">
        <x:v>0.2718</x:v>
      </x:c>
      <x:c r="H1624" s="40" t="n">
        <x:v>0.020238</x:v>
      </x:c>
      <x:c r="I1624" t="n">
        <x:v>60</x:v>
      </x:c>
      <x:c r="J1624" t="n">
        <x:v>577500</x:v>
      </x:c>
      <x:c r="K1624" t="str">
        <x:v>Bola de nieve</x:v>
      </x:c>
      <x:c r="L1624" t="str">
        <x:v>Vigente</x:v>
      </x:c>
      <x:c r="M1624" t="n">
        <x:v>21061817.94</x:v>
      </x:c>
      <x:c r="N1624"/>
    </x:row>
    <x:row r="1625">
      <x:c r="A1625" t="str">
        <x:v>DEU-001624</x:v>
      </x:c>
      <x:c r="B1625" t="str">
        <x:v>USR-00842</x:v>
      </x:c>
      <x:c r="C1625" t="n">
        <x:v>46143</x:v>
      </x:c>
      <x:c r="D1625" t="str">
        <x:v>Cooperativa C</x:v>
      </x:c>
      <x:c r="E1625" t="str">
        <x:v>Crédito educativo</x:v>
      </x:c>
      <x:c r="F1625" t="n">
        <x:v>12390000</x:v>
      </x:c>
      <x:c r="G1625" s="40" t="n">
        <x:v>0.2193</x:v>
      </x:c>
      <x:c r="H1625" s="40" t="n">
        <x:v>0.01666</x:v>
      </x:c>
      <x:c r="I1625" t="n">
        <x:v>30</x:v>
      </x:c>
      <x:c r="J1625" t="n">
        <x:v>528100</x:v>
      </x:c>
      <x:c r="K1625" t="str">
        <x:v>Bola de nieve</x:v>
      </x:c>
      <x:c r="L1625" t="str">
        <x:v>Vigente</x:v>
      </x:c>
      <x:c r="M1625" t="n">
        <x:v>12629677.9</x:v>
      </x:c>
      <x:c r="N1625"/>
    </x:row>
    <x:row r="1626">
      <x:c r="A1626" t="str">
        <x:v>DEU-001625</x:v>
      </x:c>
      <x:c r="B1626" t="str">
        <x:v>USR-00842</x:v>
      </x:c>
      <x:c r="C1626" t="n">
        <x:v>46143</x:v>
      </x:c>
      <x:c r="D1626" t="str">
        <x:v>Financiera D</x:v>
      </x:c>
      <x:c r="E1626" t="str">
        <x:v>Crédito educativo</x:v>
      </x:c>
      <x:c r="F1626" t="n">
        <x:v>15460000</x:v>
      </x:c>
      <x:c r="G1626" s="40" t="n">
        <x:v>0.2203</x:v>
      </x:c>
      <x:c r="H1626" s="40" t="n">
        <x:v>0.01673</x:v>
      </x:c>
      <x:c r="I1626" t="n">
        <x:v>24</x:v>
      </x:c>
      <x:c r="J1626" t="n">
        <x:v>787400</x:v>
      </x:c>
      <x:c r="K1626" t="str">
        <x:v>Bola de nieve</x:v>
      </x:c>
      <x:c r="L1626" t="str">
        <x:v>Vigente</x:v>
      </x:c>
      <x:c r="M1626" t="n">
        <x:v>14401636.07</x:v>
      </x:c>
      <x:c r="N1626"/>
    </x:row>
    <x:row r="1627">
      <x:c r="A1627" t="str">
        <x:v>DEU-001626</x:v>
      </x:c>
      <x:c r="B1627" t="str">
        <x:v>USR-00843</x:v>
      </x:c>
      <x:c r="C1627" t="n">
        <x:v>46143</x:v>
      </x:c>
      <x:c r="D1627" t="str">
        <x:v>Financiera D</x:v>
      </x:c>
      <x:c r="E1627" t="str">
        <x:v>Tarjeta de crédito</x:v>
      </x:c>
      <x:c r="F1627" t="n">
        <x:v>3580000</x:v>
      </x:c>
      <x:c r="G1627" s="40" t="n">
        <x:v>0.3232</x:v>
      </x:c>
      <x:c r="H1627" s="40" t="n">
        <x:v>0.023612</x:v>
      </x:c>
      <x:c r="I1627" t="n">
        <x:v>30</x:v>
      </x:c>
      <x:c r="J1627" t="n">
        <x:v>167900</x:v>
      </x:c>
      <x:c r="K1627" t="str">
        <x:v>Avalancha</x:v>
      </x:c>
      <x:c r="L1627" t="str">
        <x:v>Vigente</x:v>
      </x:c>
      <x:c r="M1627" t="n">
        <x:v>3496685.82</x:v>
      </x:c>
      <x:c r="N1627"/>
    </x:row>
    <x:row r="1628">
      <x:c r="A1628" t="str">
        <x:v>DEU-001627</x:v>
      </x:c>
      <x:c r="B1628" t="str">
        <x:v>USR-00844</x:v>
      </x:c>
      <x:c r="C1628" t="n">
        <x:v>46143</x:v>
      </x:c>
      <x:c r="D1628" t="str">
        <x:v>Entidad financiera E</x:v>
      </x:c>
      <x:c r="E1628" t="str">
        <x:v>Crédito de vehículo</x:v>
      </x:c>
      <x:c r="F1628" t="n">
        <x:v>20370000</x:v>
      </x:c>
      <x:c r="G1628" s="40" t="n">
        <x:v>0.1072</x:v>
      </x:c>
      <x:c r="H1628" s="40" t="n">
        <x:v>0.008522</x:v>
      </x:c>
      <x:c r="I1628" t="n">
        <x:v>12</x:v>
      </x:c>
      <x:c r="J1628" t="n">
        <x:v>1793000</x:v>
      </x:c>
      <x:c r="K1628" t="str">
        <x:v>Avalancha</x:v>
      </x:c>
      <x:c r="L1628" t="str">
        <x:v>Vigente</x:v>
      </x:c>
      <x:c r="M1628" t="n">
        <x:v>13742167.2</x:v>
      </x:c>
      <x:c r="N1628"/>
    </x:row>
    <x:row r="1629">
      <x:c r="A1629" t="str">
        <x:v>DEU-001628</x:v>
      </x:c>
      <x:c r="B1629" t="str">
        <x:v>USR-00845</x:v>
      </x:c>
      <x:c r="C1629" t="n">
        <x:v>46143</x:v>
      </x:c>
      <x:c r="D1629" t="str">
        <x:v>Entidad financiera E</x:v>
      </x:c>
      <x:c r="E1629" t="str">
        <x:v>Crédito de consumo</x:v>
      </x:c>
      <x:c r="F1629" t="n">
        <x:v>18100000</x:v>
      </x:c>
      <x:c r="G1629" s="40" t="n">
        <x:v>0.3129</x:v>
      </x:c>
      <x:c r="H1629" s="40" t="n">
        <x:v>0.022946</x:v>
      </x:c>
      <x:c r="I1629" t="n">
        <x:v>36</x:v>
      </x:c>
      <x:c r="J1629" t="n">
        <x:v>744100</x:v>
      </x:c>
      <x:c r="K1629" t="str">
        <x:v>Bola de nieve</x:v>
      </x:c>
      <x:c r="L1629" t="str">
        <x:v>Vigente</x:v>
      </x:c>
      <x:c r="M1629" t="n">
        <x:v>17125492.43</x:v>
      </x:c>
      <x:c r="N1629"/>
    </x:row>
    <x:row r="1630">
      <x:c r="A1630" t="str">
        <x:v>DEU-001629</x:v>
      </x:c>
      <x:c r="B1630" t="str">
        <x:v>USR-00846</x:v>
      </x:c>
      <x:c r="C1630" t="n">
        <x:v>46143</x:v>
      </x:c>
      <x:c r="D1630" t="str">
        <x:v>Entidad financiera A</x:v>
      </x:c>
      <x:c r="E1630" t="str">
        <x:v>Crédito de vehículo</x:v>
      </x:c>
      <x:c r="F1630" t="n">
        <x:v>35280000</x:v>
      </x:c>
      <x:c r="G1630" s="40" t="n">
        <x:v>0.3116</x:v>
      </x:c>
      <x:c r="H1630" s="40" t="n">
        <x:v>0.022861</x:v>
      </x:c>
      <x:c r="I1630" t="n">
        <x:v>30</x:v>
      </x:c>
      <x:c r="J1630" t="n">
        <x:v>1637900</x:v>
      </x:c>
      <x:c r="K1630" t="str">
        <x:v>Bola de nieve</x:v>
      </x:c>
      <x:c r="L1630" t="str">
        <x:v>Vigente</x:v>
      </x:c>
      <x:c r="M1630" t="n">
        <x:v>33016706.52</x:v>
      </x:c>
      <x:c r="N1630"/>
    </x:row>
    <x:row r="1631">
      <x:c r="A1631" t="str">
        <x:v>DEU-001630</x:v>
      </x:c>
      <x:c r="B1631" t="str">
        <x:v>USR-00846</x:v>
      </x:c>
      <x:c r="C1631" t="n">
        <x:v>46143</x:v>
      </x:c>
      <x:c r="D1631" t="str">
        <x:v>Entidad financiera A</x:v>
      </x:c>
      <x:c r="E1631" t="str">
        <x:v>Crédito de libre inversión</x:v>
      </x:c>
      <x:c r="F1631" t="n">
        <x:v>17600000</x:v>
      </x:c>
      <x:c r="G1631" s="40" t="n">
        <x:v>0.157</x:v>
      </x:c>
      <x:c r="H1631" s="40" t="n">
        <x:v>0.012227</x:v>
      </x:c>
      <x:c r="I1631" t="n">
        <x:v>48</x:v>
      </x:c>
      <x:c r="J1631" t="n">
        <x:v>486900</x:v>
      </x:c>
      <x:c r="K1631" t="str">
        <x:v>Bola de nieve</x:v>
      </x:c>
      <x:c r="L1631" t="str">
        <x:v>Vigente</x:v>
      </x:c>
      <x:c r="M1631" t="n">
        <x:v>17382562.35</x:v>
      </x:c>
      <x:c r="N1631"/>
    </x:row>
    <x:row r="1632">
      <x:c r="A1632" t="str">
        <x:v>DEU-001631</x:v>
      </x:c>
      <x:c r="B1632" t="str">
        <x:v>USR-00846</x:v>
      </x:c>
      <x:c r="C1632" t="n">
        <x:v>46143</x:v>
      </x:c>
      <x:c r="D1632" t="str">
        <x:v>Entidad financiera B</x:v>
      </x:c>
      <x:c r="E1632" t="str">
        <x:v>Tarjeta de crédito</x:v>
      </x:c>
      <x:c r="F1632" t="n">
        <x:v>2170000</x:v>
      </x:c>
      <x:c r="G1632" s="40" t="n">
        <x:v>0.2392</x:v>
      </x:c>
      <x:c r="H1632" s="40" t="n">
        <x:v>0.018033</x:v>
      </x:c>
      <x:c r="I1632" t="n">
        <x:v>12</x:v>
      </x:c>
      <x:c r="J1632" t="n">
        <x:v>202700</x:v>
      </x:c>
      <x:c r="K1632" t="str">
        <x:v>Avalancha</x:v>
      </x:c>
      <x:c r="L1632" t="str">
        <x:v>Vigente</x:v>
      </x:c>
      <x:c r="M1632" t="n">
        <x:v>1757392.59</x:v>
      </x:c>
      <x:c r="N1632"/>
    </x:row>
    <x:row r="1633">
      <x:c r="A1633" t="str">
        <x:v>DEU-001632</x:v>
      </x:c>
      <x:c r="B1633" t="str">
        <x:v>USR-00846</x:v>
      </x:c>
      <x:c r="C1633" t="n">
        <x:v>46143</x:v>
      </x:c>
      <x:c r="D1633" t="str">
        <x:v>Entidad financiera B</x:v>
      </x:c>
      <x:c r="E1633" t="str">
        <x:v>Crédito de consumo</x:v>
      </x:c>
      <x:c r="F1633" t="n">
        <x:v>7480000</x:v>
      </x:c>
      <x:c r="G1633" s="40" t="n">
        <x:v>0.2379</x:v>
      </x:c>
      <x:c r="H1633" s="40" t="n">
        <x:v>0.017944</x:v>
      </x:c>
      <x:c r="I1633" t="n">
        <x:v>48</x:v>
      </x:c>
      <x:c r="J1633" t="n">
        <x:v>233800</x:v>
      </x:c>
      <x:c r="K1633" t="str">
        <x:v>Bola de nieve</x:v>
      </x:c>
      <x:c r="L1633" t="str">
        <x:v>Vigente</x:v>
      </x:c>
      <x:c r="M1633" t="n">
        <x:v>7045177.06</x:v>
      </x:c>
      <x:c r="N1633"/>
    </x:row>
    <x:row r="1634">
      <x:c r="A1634" t="str">
        <x:v>DEU-001633</x:v>
      </x:c>
      <x:c r="B1634" t="str">
        <x:v>USR-00846</x:v>
      </x:c>
      <x:c r="C1634" t="n">
        <x:v>46143</x:v>
      </x:c>
      <x:c r="D1634" t="str">
        <x:v>Entidad financiera A</x:v>
      </x:c>
      <x:c r="E1634" t="str">
        <x:v>Crédito de vehículo</x:v>
      </x:c>
      <x:c r="F1634" t="n">
        <x:v>19870000</x:v>
      </x:c>
      <x:c r="G1634" s="40" t="n">
        <x:v>0.2441</x:v>
      </x:c>
      <x:c r="H1634" s="40" t="n">
        <x:v>0.018368</x:v>
      </x:c>
      <x:c r="I1634" t="n">
        <x:v>36</x:v>
      </x:c>
      <x:c r="J1634" t="n">
        <x:v>759300</x:v>
      </x:c>
      <x:c r="K1634" t="str">
        <x:v>Bola de nieve</x:v>
      </x:c>
      <x:c r="L1634" t="str">
        <x:v>Vigente</x:v>
      </x:c>
      <x:c r="M1634" t="n">
        <x:v>18230681.85</x:v>
      </x:c>
      <x:c r="N1634"/>
    </x:row>
    <x:row r="1635">
      <x:c r="A1635" t="str">
        <x:v>DEU-001634</x:v>
      </x:c>
      <x:c r="B1635" t="str">
        <x:v>USR-00847</x:v>
      </x:c>
      <x:c r="C1635" t="n">
        <x:v>46143</x:v>
      </x:c>
      <x:c r="D1635" t="str">
        <x:v>Entidad financiera A</x:v>
      </x:c>
      <x:c r="E1635" t="str">
        <x:v>Crédito de libre inversión</x:v>
      </x:c>
      <x:c r="F1635" t="n">
        <x:v>20760000</x:v>
      </x:c>
      <x:c r="G1635" s="40" t="n">
        <x:v>0.2328</x:v>
      </x:c>
      <x:c r="H1635" s="40" t="n">
        <x:v>0.017594</x:v>
      </x:c>
      <x:c r="I1635" t="n">
        <x:v>48</x:v>
      </x:c>
      <x:c r="J1635" t="n">
        <x:v>644100</x:v>
      </x:c>
      <x:c r="K1635" t="str">
        <x:v>Avalancha</x:v>
      </x:c>
      <x:c r="L1635" t="str">
        <x:v>Vigente</x:v>
      </x:c>
      <x:c r="M1635" t="n">
        <x:v>20989723.68</x:v>
      </x:c>
      <x:c r="N1635"/>
    </x:row>
    <x:row r="1636">
      <x:c r="A1636" t="str">
        <x:v>DEU-001635</x:v>
      </x:c>
      <x:c r="B1636" t="str">
        <x:v>USR-00848</x:v>
      </x:c>
      <x:c r="C1636" t="n">
        <x:v>46143</x:v>
      </x:c>
      <x:c r="D1636" t="str">
        <x:v>Entidad financiera A</x:v>
      </x:c>
      <x:c r="E1636" t="str">
        <x:v>Crédito de consumo</x:v>
      </x:c>
      <x:c r="F1636" t="n">
        <x:v>11160000</x:v>
      </x:c>
      <x:c r="G1636" s="40" t="n">
        <x:v>0.139</x:v>
      </x:c>
      <x:c r="H1636" s="40" t="n">
        <x:v>0.010905</x:v>
      </x:c>
      <x:c r="I1636" t="n">
        <x:v>24</x:v>
      </x:c>
      <x:c r="J1636" t="n">
        <x:v>531000</x:v>
      </x:c>
      <x:c r="K1636" t="str">
        <x:v>Avalancha</x:v>
      </x:c>
      <x:c r="L1636" t="str">
        <x:v>Vigente</x:v>
      </x:c>
      <x:c r="M1636" t="n">
        <x:v>9642332.36</x:v>
      </x:c>
      <x:c r="N1636"/>
    </x:row>
    <x:row r="1637">
      <x:c r="A1637" t="str">
        <x:v>DEU-001636</x:v>
      </x:c>
      <x:c r="B1637" t="str">
        <x:v>USR-00849</x:v>
      </x:c>
      <x:c r="C1637" t="n">
        <x:v>46143</x:v>
      </x:c>
      <x:c r="D1637" t="str">
        <x:v>Entidad financiera A</x:v>
      </x:c>
      <x:c r="E1637" t="str">
        <x:v>Crédito de consumo</x:v>
      </x:c>
      <x:c r="F1637" t="n">
        <x:v>15630000</x:v>
      </x:c>
      <x:c r="G1637" s="40" t="n">
        <x:v>0.2053</x:v>
      </x:c>
      <x:c r="H1637" s="40" t="n">
        <x:v>0.015682</x:v>
      </x:c>
      <x:c r="I1637" t="n">
        <x:v>60</x:v>
      </x:c>
      <x:c r="J1637" t="n">
        <x:v>403900</x:v>
      </x:c>
      <x:c r="K1637" t="str">
        <x:v>Avalancha</x:v>
      </x:c>
      <x:c r="L1637" t="str">
        <x:v>Vigente</x:v>
      </x:c>
      <x:c r="M1637" t="n">
        <x:v>15447420.56</x:v>
      </x:c>
      <x:c r="N1637"/>
    </x:row>
    <x:row r="1638">
      <x:c r="A1638" t="str">
        <x:v>DEU-001637</x:v>
      </x:c>
      <x:c r="B1638" t="str">
        <x:v>USR-00849</x:v>
      </x:c>
      <x:c r="C1638" t="n">
        <x:v>46143</x:v>
      </x:c>
      <x:c r="D1638" t="str">
        <x:v>Entidad financiera A</x:v>
      </x:c>
      <x:c r="E1638" t="str">
        <x:v>Crédito de vehículo</x:v>
      </x:c>
      <x:c r="F1638" t="n">
        <x:v>53310000</x:v>
      </x:c>
      <x:c r="G1638" s="40" t="n">
        <x:v>0.1376</x:v>
      </x:c>
      <x:c r="H1638" s="40" t="n">
        <x:v>0.010801</x:v>
      </x:c>
      <x:c r="I1638" t="n">
        <x:v>30</x:v>
      </x:c>
      <x:c r="J1638" t="n">
        <x:v>2089900</x:v>
      </x:c>
      <x:c r="K1638" t="str">
        <x:v>Avalancha</x:v>
      </x:c>
      <x:c r="L1638" t="str">
        <x:v>Vigente</x:v>
      </x:c>
      <x:c r="M1638" t="n">
        <x:v>48090053.22</x:v>
      </x:c>
      <x:c r="N1638"/>
    </x:row>
    <x:row r="1639">
      <x:c r="A1639" t="str">
        <x:v>DEU-001638</x:v>
      </x:c>
      <x:c r="B1639" t="str">
        <x:v>USR-00850</x:v>
      </x:c>
      <x:c r="C1639" t="n">
        <x:v>46143</x:v>
      </x:c>
      <x:c r="D1639" t="str">
        <x:v>Cooperativa C</x:v>
      </x:c>
      <x:c r="E1639" t="str">
        <x:v>Crédito de consumo</x:v>
      </x:c>
      <x:c r="F1639" t="n">
        <x:v>10720000</x:v>
      </x:c>
      <x:c r="G1639" s="40" t="n">
        <x:v>0.3413</x:v>
      </x:c>
      <x:c r="H1639" s="40" t="n">
        <x:v>0.024772</x:v>
      </x:c>
      <x:c r="I1639" t="n">
        <x:v>48</x:v>
      </x:c>
      <x:c r="J1639" t="n">
        <x:v>384300</x:v>
      </x:c>
      <x:c r="K1639" t="str">
        <x:v>Bola de nieve</x:v>
      </x:c>
      <x:c r="L1639" t="str">
        <x:v>Vigente</x:v>
      </x:c>
      <x:c r="M1639" t="n">
        <x:v>10257822.07</x:v>
      </x:c>
      <x:c r="N1639"/>
    </x:row>
    <x:row r="1640">
      <x:c r="A1640" t="str">
        <x:v>DEU-001639</x:v>
      </x:c>
      <x:c r="B1640" t="str">
        <x:v>USR-00850</x:v>
      </x:c>
      <x:c r="C1640" t="n">
        <x:v>46143</x:v>
      </x:c>
      <x:c r="D1640" t="str">
        <x:v>Financiera D</x:v>
      </x:c>
      <x:c r="E1640" t="str">
        <x:v>Crédito de libre inversión</x:v>
      </x:c>
      <x:c r="F1640" t="n">
        <x:v>12110000</x:v>
      </x:c>
      <x:c r="G1640" s="40" t="n">
        <x:v>0.283</x:v>
      </x:c>
      <x:c r="H1640" s="40" t="n">
        <x:v>0.020984</x:v>
      </x:c>
      <x:c r="I1640" t="n">
        <x:v>18</x:v>
      </x:c>
      <x:c r="J1640" t="n">
        <x:v>814800</x:v>
      </x:c>
      <x:c r="K1640" t="str">
        <x:v>Bola de nieve</x:v>
      </x:c>
      <x:c r="L1640" t="str">
        <x:v>Vigente</x:v>
      </x:c>
      <x:c r="M1640" t="n">
        <x:v>10554936.15</x:v>
      </x:c>
      <x:c r="N1640"/>
    </x:row>
    <x:row r="1641">
      <x:c r="A1641" t="str">
        <x:v>DEU-001640</x:v>
      </x:c>
      <x:c r="B1641" t="str">
        <x:v>USR-00851</x:v>
      </x:c>
      <x:c r="C1641" t="n">
        <x:v>46143</x:v>
      </x:c>
      <x:c r="D1641" t="str">
        <x:v>Financiera D</x:v>
      </x:c>
      <x:c r="E1641" t="str">
        <x:v>Crédito de vehículo</x:v>
      </x:c>
      <x:c r="F1641" t="n">
        <x:v>18830000</x:v>
      </x:c>
      <x:c r="G1641" s="40" t="n">
        <x:v>0.1331</x:v>
      </x:c>
      <x:c r="H1641" s="40" t="n">
        <x:v>0.010468</x:v>
      </x:c>
      <x:c r="I1641" t="n">
        <x:v>30</x:v>
      </x:c>
      <x:c r="J1641" t="n">
        <x:v>734600</x:v>
      </x:c>
      <x:c r="K1641" t="str">
        <x:v>Bola de nieve</x:v>
      </x:c>
      <x:c r="L1641" t="str">
        <x:v>Vigente</x:v>
      </x:c>
      <x:c r="M1641" t="n">
        <x:v>17130762.49</x:v>
      </x:c>
      <x:c r="N1641"/>
    </x:row>
    <x:row r="1642">
      <x:c r="A1642" t="str">
        <x:v>DEU-001641</x:v>
      </x:c>
      <x:c r="B1642" t="str">
        <x:v>USR-00851</x:v>
      </x:c>
      <x:c r="C1642" t="n">
        <x:v>46143</x:v>
      </x:c>
      <x:c r="D1642" t="str">
        <x:v>Entidad financiera B</x:v>
      </x:c>
      <x:c r="E1642" t="str">
        <x:v>Crédito de libre inversión</x:v>
      </x:c>
      <x:c r="F1642" t="n">
        <x:v>21250000</x:v>
      </x:c>
      <x:c r="G1642" s="40" t="n">
        <x:v>0.3349</x:v>
      </x:c>
      <x:c r="H1642" s="40" t="n">
        <x:v>0.024363</x:v>
      </x:c>
      <x:c r="I1642" t="n">
        <x:v>18</x:v>
      </x:c>
      <x:c r="J1642" t="n">
        <x:v>1472400</x:v>
      </x:c>
      <x:c r="K1642" t="str">
        <x:v>Avalancha</x:v>
      </x:c>
      <x:c r="L1642" t="str">
        <x:v>Vigente</x:v>
      </x:c>
      <x:c r="M1642" t="n">
        <x:v>17373764.59</x:v>
      </x:c>
      <x:c r="N1642"/>
    </x:row>
    <x:row r="1643">
      <x:c r="A1643" t="str">
        <x:v>DEU-001642</x:v>
      </x:c>
      <x:c r="B1643" t="str">
        <x:v>USR-00851</x:v>
      </x:c>
      <x:c r="C1643" t="n">
        <x:v>46143</x:v>
      </x:c>
      <x:c r="D1643" t="str">
        <x:v>Cooperativa C</x:v>
      </x:c>
      <x:c r="E1643" t="str">
        <x:v>Tarjeta de crédito</x:v>
      </x:c>
      <x:c r="F1643" t="n">
        <x:v>2460000</x:v>
      </x:c>
      <x:c r="G1643" s="40" t="n">
        <x:v>0.237</x:v>
      </x:c>
      <x:c r="H1643" s="40" t="n">
        <x:v>0.017882</x:v>
      </x:c>
      <x:c r="I1643" t="n">
        <x:v>30</x:v>
      </x:c>
      <x:c r="J1643" t="n">
        <x:v>106700</x:v>
      </x:c>
      <x:c r="K1643" t="str">
        <x:v>Avalancha</x:v>
      </x:c>
      <x:c r="L1643" t="str">
        <x:v>Vigente</x:v>
      </x:c>
      <x:c r="M1643" t="n">
        <x:v>2126675.96</x:v>
      </x:c>
      <x:c r="N1643"/>
    </x:row>
    <x:row r="1644">
      <x:c r="A1644" t="str">
        <x:v>DEU-001643</x:v>
      </x:c>
      <x:c r="B1644" t="str">
        <x:v>USR-00851</x:v>
      </x:c>
      <x:c r="C1644" t="n">
        <x:v>46143</x:v>
      </x:c>
      <x:c r="D1644" t="str">
        <x:v>Entidad financiera E</x:v>
      </x:c>
      <x:c r="E1644" t="str">
        <x:v>Crédito de libre inversión</x:v>
      </x:c>
      <x:c r="F1644" t="n">
        <x:v>11750000</x:v>
      </x:c>
      <x:c r="G1644" s="40" t="n">
        <x:v>0.1237</x:v>
      </x:c>
      <x:c r="H1644" s="40" t="n">
        <x:v>0.009766</x:v>
      </x:c>
      <x:c r="I1644" t="n">
        <x:v>18</x:v>
      </x:c>
      <x:c r="J1644" t="n">
        <x:v>715000</x:v>
      </x:c>
      <x:c r="K1644" t="str">
        <x:v>Avalancha</x:v>
      </x:c>
      <x:c r="L1644" t="str">
        <x:v>Vigente</x:v>
      </x:c>
      <x:c r="M1644" t="n">
        <x:v>8871555.9</x:v>
      </x:c>
      <x:c r="N1644"/>
    </x:row>
    <x:row r="1645">
      <x:c r="A1645" t="str">
        <x:v>DEU-001644</x:v>
      </x:c>
      <x:c r="B1645" t="str">
        <x:v>USR-00851</x:v>
      </x:c>
      <x:c r="C1645" t="n">
        <x:v>46143</x:v>
      </x:c>
      <x:c r="D1645" t="str">
        <x:v>Entidad financiera B</x:v>
      </x:c>
      <x:c r="E1645" t="str">
        <x:v>Tarjeta de crédito</x:v>
      </x:c>
      <x:c r="F1645" t="n">
        <x:v>1740000</x:v>
      </x:c>
      <x:c r="G1645" s="40" t="n">
        <x:v>0.1552</x:v>
      </x:c>
      <x:c r="H1645" s="40" t="n">
        <x:v>0.012095</x:v>
      </x:c>
      <x:c r="I1645" t="n">
        <x:v>30</x:v>
      </x:c>
      <x:c r="J1645" t="n">
        <x:v>69500</x:v>
      </x:c>
      <x:c r="K1645" t="str">
        <x:v>Avalancha</x:v>
      </x:c>
      <x:c r="L1645" t="str">
        <x:v>Vigente</x:v>
      </x:c>
      <x:c r="M1645" t="n">
        <x:v>1647073.8</x:v>
      </x:c>
      <x:c r="N1645"/>
    </x:row>
    <x:row r="1646">
      <x:c r="A1646" t="str">
        <x:v>DEU-001645</x:v>
      </x:c>
      <x:c r="B1646" t="str">
        <x:v>USR-00852</x:v>
      </x:c>
      <x:c r="C1646" t="n">
        <x:v>46143</x:v>
      </x:c>
      <x:c r="D1646" t="str">
        <x:v>Entidad financiera E</x:v>
      </x:c>
      <x:c r="E1646" t="str">
        <x:v>Tarjeta de crédito</x:v>
      </x:c>
      <x:c r="F1646" t="n">
        <x:v>4650000</x:v>
      </x:c>
      <x:c r="G1646" s="40" t="n">
        <x:v>0.2705</x:v>
      </x:c>
      <x:c r="H1646" s="40" t="n">
        <x:v>0.020151</x:v>
      </x:c>
      <x:c r="I1646" t="n">
        <x:v>48</x:v>
      </x:c>
      <x:c r="J1646" t="n">
        <x:v>152100</x:v>
      </x:c>
      <x:c r="K1646" t="str">
        <x:v>Avalancha</x:v>
      </x:c>
      <x:c r="L1646" t="str">
        <x:v>Vigente</x:v>
      </x:c>
      <x:c r="M1646" t="n">
        <x:v>4740957.06</x:v>
      </x:c>
      <x:c r="N1646"/>
    </x:row>
    <x:row r="1647">
      <x:c r="A1647" t="str">
        <x:v>DEU-001646</x:v>
      </x:c>
      <x:c r="B1647" t="str">
        <x:v>USR-00853</x:v>
      </x:c>
      <x:c r="C1647" t="n">
        <x:v>46143</x:v>
      </x:c>
      <x:c r="D1647" t="str">
        <x:v>Entidad financiera E</x:v>
      </x:c>
      <x:c r="E1647" t="str">
        <x:v>Crédito educativo</x:v>
      </x:c>
      <x:c r="F1647" t="n">
        <x:v>23250000</x:v>
      </x:c>
      <x:c r="G1647" s="40" t="n">
        <x:v>0.3383</x:v>
      </x:c>
      <x:c r="H1647" s="40" t="n">
        <x:v>0.024581</x:v>
      </x:c>
      <x:c r="I1647" t="n">
        <x:v>24</x:v>
      </x:c>
      <x:c r="J1647" t="n">
        <x:v>1294000</x:v>
      </x:c>
      <x:c r="K1647" t="str">
        <x:v>Bola de nieve</x:v>
      </x:c>
      <x:c r="L1647" t="str">
        <x:v>Vigente</x:v>
      </x:c>
      <x:c r="M1647" t="n">
        <x:v>23551055.78</x:v>
      </x:c>
      <x:c r="N1647"/>
    </x:row>
    <x:row r="1648">
      <x:c r="A1648" t="str">
        <x:v>DEU-001647</x:v>
      </x:c>
      <x:c r="B1648" t="str">
        <x:v>USR-00853</x:v>
      </x:c>
      <x:c r="C1648" t="n">
        <x:v>46143</x:v>
      </x:c>
      <x:c r="D1648" t="str">
        <x:v>Cooperativa C</x:v>
      </x:c>
      <x:c r="E1648" t="str">
        <x:v>Tarjeta de crédito</x:v>
      </x:c>
      <x:c r="F1648" t="n">
        <x:v>2040000</x:v>
      </x:c>
      <x:c r="G1648" s="40" t="n">
        <x:v>0.1281</x:v>
      </x:c>
      <x:c r="H1648" s="40" t="n">
        <x:v>0.010095</x:v>
      </x:c>
      <x:c r="I1648" t="n">
        <x:v>60</x:v>
      </x:c>
      <x:c r="J1648" t="n">
        <x:v>45500</x:v>
      </x:c>
      <x:c r="K1648" t="str">
        <x:v>Bola de nieve</x:v>
      </x:c>
      <x:c r="L1648" t="str">
        <x:v>Vigente</x:v>
      </x:c>
      <x:c r="M1648" t="n">
        <x:v>1882970.43</x:v>
      </x:c>
      <x:c r="N1648"/>
    </x:row>
    <x:row r="1649">
      <x:c r="A1649" t="str">
        <x:v>DEU-001648</x:v>
      </x:c>
      <x:c r="B1649" t="str">
        <x:v>USR-00854</x:v>
      </x:c>
      <x:c r="C1649" t="n">
        <x:v>46143</x:v>
      </x:c>
      <x:c r="D1649" t="str">
        <x:v>Entidad financiera B</x:v>
      </x:c>
      <x:c r="E1649" t="str">
        <x:v>Tarjeta de crédito</x:v>
      </x:c>
      <x:c r="F1649" t="n">
        <x:v>6710000</x:v>
      </x:c>
      <x:c r="G1649" s="40" t="n">
        <x:v>0.27</x:v>
      </x:c>
      <x:c r="H1649" s="40" t="n">
        <x:v>0.020118</x:v>
      </x:c>
      <x:c r="I1649" t="n">
        <x:v>48</x:v>
      </x:c>
      <x:c r="J1649" t="n">
        <x:v>219300</x:v>
      </x:c>
      <x:c r="K1649" t="str">
        <x:v>Bola de nieve</x:v>
      </x:c>
      <x:c r="L1649" t="str">
        <x:v>Vigente</x:v>
      </x:c>
      <x:c r="M1649" t="n">
        <x:v>6280119.22</x:v>
      </x:c>
      <x:c r="N1649"/>
    </x:row>
    <x:row r="1650">
      <x:c r="A1650" t="str">
        <x:v>DEU-001649</x:v>
      </x:c>
      <x:c r="B1650" t="str">
        <x:v>USR-00854</x:v>
      </x:c>
      <x:c r="C1650" t="n">
        <x:v>46143</x:v>
      </x:c>
      <x:c r="D1650" t="str">
        <x:v>Entidad financiera A</x:v>
      </x:c>
      <x:c r="E1650" t="str">
        <x:v>Tarjeta de crédito</x:v>
      </x:c>
      <x:c r="F1650" t="n">
        <x:v>960000</x:v>
      </x:c>
      <x:c r="G1650" s="40" t="n">
        <x:v>0.1799</x:v>
      </x:c>
      <x:c r="H1650" s="40" t="n">
        <x:v>0.013881</x:v>
      </x:c>
      <x:c r="I1650" t="n">
        <x:v>48</x:v>
      </x:c>
      <x:c r="J1650" t="n">
        <x:v>27500</x:v>
      </x:c>
      <x:c r="K1650" t="str">
        <x:v>Bola de nieve</x:v>
      </x:c>
      <x:c r="L1650" t="str">
        <x:v>Vigente</x:v>
      </x:c>
      <x:c r="M1650" t="n">
        <x:v>888220.75</x:v>
      </x:c>
      <x:c r="N1650"/>
    </x:row>
    <x:row r="1651">
      <x:c r="A1651" t="str">
        <x:v>DEU-001650</x:v>
      </x:c>
      <x:c r="B1651" t="str">
        <x:v>USR-00855</x:v>
      </x:c>
      <x:c r="C1651" t="n">
        <x:v>46143</x:v>
      </x:c>
      <x:c r="D1651" t="str">
        <x:v>Entidad financiera B</x:v>
      </x:c>
      <x:c r="E1651" t="str">
        <x:v>Crédito de libre inversión</x:v>
      </x:c>
      <x:c r="F1651" t="n">
        <x:v>2730000</x:v>
      </x:c>
      <x:c r="G1651" s="40" t="n">
        <x:v>0.1642</x:v>
      </x:c>
      <x:c r="H1651" s="40" t="n">
        <x:v>0.01275</x:v>
      </x:c>
      <x:c r="I1651" t="n">
        <x:v>60</x:v>
      </x:c>
      <x:c r="J1651" t="n">
        <x:v>65400</x:v>
      </x:c>
      <x:c r="K1651" t="str">
        <x:v>Avalancha</x:v>
      </x:c>
      <x:c r="L1651" t="str">
        <x:v>Vigente</x:v>
      </x:c>
      <x:c r="M1651" t="n">
        <x:v>2674155.24</x:v>
      </x:c>
      <x:c r="N1651"/>
    </x:row>
    <x:row r="1652">
      <x:c r="A1652" t="str">
        <x:v>DEU-001651</x:v>
      </x:c>
      <x:c r="B1652" t="str">
        <x:v>USR-00855</x:v>
      </x:c>
      <x:c r="C1652" t="n">
        <x:v>46143</x:v>
      </x:c>
      <x:c r="D1652" t="str">
        <x:v>Cooperativa C</x:v>
      </x:c>
      <x:c r="E1652" t="str">
        <x:v>Crédito de vehículo</x:v>
      </x:c>
      <x:c r="F1652" t="n">
        <x:v>33820000</x:v>
      </x:c>
      <x:c r="G1652" s="40" t="n">
        <x:v>0.2352</x:v>
      </x:c>
      <x:c r="H1652" s="40" t="n">
        <x:v>0.017759</x:v>
      </x:c>
      <x:c r="I1652" t="n">
        <x:v>36</x:v>
      </x:c>
      <x:c r="J1652" t="n">
        <x:v>1279600</x:v>
      </x:c>
      <x:c r="K1652" t="str">
        <x:v>Avalancha</x:v>
      </x:c>
      <x:c r="L1652" t="str">
        <x:v>Vigente</x:v>
      </x:c>
      <x:c r="M1652" t="n">
        <x:v>31775683.04</x:v>
      </x:c>
      <x:c r="N1652"/>
    </x:row>
    <x:row r="1653">
      <x:c r="A1653" t="str">
        <x:v>DEU-001652</x:v>
      </x:c>
      <x:c r="B1653" t="str">
        <x:v>USR-00856</x:v>
      </x:c>
      <x:c r="C1653" t="n">
        <x:v>46143</x:v>
      </x:c>
      <x:c r="D1653" t="str">
        <x:v>Entidad financiera B</x:v>
      </x:c>
      <x:c r="E1653" t="str">
        <x:v>Crédito de libre inversión</x:v>
      </x:c>
      <x:c r="F1653" t="n">
        <x:v>21270000</x:v>
      </x:c>
      <x:c r="G1653" s="40" t="n">
        <x:v>0.3317</x:v>
      </x:c>
      <x:c r="H1653" s="40" t="n">
        <x:v>0.024159</x:v>
      </x:c>
      <x:c r="I1653" t="n">
        <x:v>18</x:v>
      </x:c>
      <x:c r="J1653" t="n">
        <x:v>1471200</x:v>
      </x:c>
      <x:c r="K1653" t="str">
        <x:v>Bola de nieve</x:v>
      </x:c>
      <x:c r="L1653" t="str">
        <x:v>Vigente</x:v>
      </x:c>
      <x:c r="M1653" t="n">
        <x:v>17894917.56</x:v>
      </x:c>
      <x:c r="N1653"/>
    </x:row>
    <x:row r="1654">
      <x:c r="A1654" t="str">
        <x:v>DEU-001653</x:v>
      </x:c>
      <x:c r="B1654" t="str">
        <x:v>USR-00856</x:v>
      </x:c>
      <x:c r="C1654" t="n">
        <x:v>46143</x:v>
      </x:c>
      <x:c r="D1654" t="str">
        <x:v>Entidad financiera A</x:v>
      </x:c>
      <x:c r="E1654" t="str">
        <x:v>Crédito educativo</x:v>
      </x:c>
      <x:c r="F1654" t="n">
        <x:v>22040000</x:v>
      </x:c>
      <x:c r="G1654" s="40" t="n">
        <x:v>0.2691</x:v>
      </x:c>
      <x:c r="H1654" s="40" t="n">
        <x:v>0.020058</x:v>
      </x:c>
      <x:c r="I1654" t="n">
        <x:v>12</x:v>
      </x:c>
      <x:c r="J1654" t="n">
        <x:v>2084800</x:v>
      </x:c>
      <x:c r="K1654" t="str">
        <x:v>Bola de nieve</x:v>
      </x:c>
      <x:c r="L1654" t="str">
        <x:v>Vigente</x:v>
      </x:c>
      <x:c r="M1654" t="n">
        <x:v>14574386.03</x:v>
      </x:c>
      <x:c r="N1654"/>
    </x:row>
    <x:row r="1655">
      <x:c r="A1655" t="str">
        <x:v>DEU-001654</x:v>
      </x:c>
      <x:c r="B1655" t="str">
        <x:v>USR-00857</x:v>
      </x:c>
      <x:c r="C1655" t="n">
        <x:v>46143</x:v>
      </x:c>
      <x:c r="D1655" t="str">
        <x:v>Entidad financiera A</x:v>
      </x:c>
      <x:c r="E1655" t="str">
        <x:v>Tarjeta de crédito</x:v>
      </x:c>
      <x:c r="F1655" t="n">
        <x:v>610000</x:v>
      </x:c>
      <x:c r="G1655" s="40" t="n">
        <x:v>0.1653</x:v>
      </x:c>
      <x:c r="H1655" s="40" t="n">
        <x:v>0.01283</x:v>
      </x:c>
      <x:c r="I1655" t="n">
        <x:v>60</x:v>
      </x:c>
      <x:c r="J1655" t="n">
        <x:v>14600</x:v>
      </x:c>
      <x:c r="K1655" t="str">
        <x:v>Bola de nieve</x:v>
      </x:c>
      <x:c r="L1655" t="str">
        <x:v>Vigente</x:v>
      </x:c>
      <x:c r="M1655" t="n">
        <x:v>563371.23</x:v>
      </x:c>
      <x:c r="N1655"/>
    </x:row>
    <x:row r="1656">
      <x:c r="A1656" t="str">
        <x:v>DEU-001655</x:v>
      </x:c>
      <x:c r="B1656" t="str">
        <x:v>USR-00858</x:v>
      </x:c>
      <x:c r="C1656" t="n">
        <x:v>46143</x:v>
      </x:c>
      <x:c r="D1656" t="str">
        <x:v>Entidad financiera B</x:v>
      </x:c>
      <x:c r="E1656" t="str">
        <x:v>Crédito de libre inversión</x:v>
      </x:c>
      <x:c r="F1656" t="n">
        <x:v>9900000</x:v>
      </x:c>
      <x:c r="G1656" s="40" t="n">
        <x:v>0.1344</x:v>
      </x:c>
      <x:c r="H1656" s="40" t="n">
        <x:v>0.010564</x:v>
      </x:c>
      <x:c r="I1656" t="n">
        <x:v>36</x:v>
      </x:c>
      <x:c r="J1656" t="n">
        <x:v>332000</x:v>
      </x:c>
      <x:c r="K1656" t="str">
        <x:v>Bola de nieve</x:v>
      </x:c>
      <x:c r="L1656" t="str">
        <x:v>Vigente</x:v>
      </x:c>
      <x:c r="M1656" t="n">
        <x:v>9241070.59</x:v>
      </x:c>
      <x:c r="N1656"/>
    </x:row>
    <x:row r="1657">
      <x:c r="A1657" t="str">
        <x:v>DEU-001656</x:v>
      </x:c>
      <x:c r="B1657" t="str">
        <x:v>USR-00858</x:v>
      </x:c>
      <x:c r="C1657" t="n">
        <x:v>46143</x:v>
      </x:c>
      <x:c r="D1657" t="str">
        <x:v>Entidad financiera A</x:v>
      </x:c>
      <x:c r="E1657" t="str">
        <x:v>Crédito educativo</x:v>
      </x:c>
      <x:c r="F1657" t="n">
        <x:v>8980000</x:v>
      </x:c>
      <x:c r="G1657" s="40" t="n">
        <x:v>0.1626</x:v>
      </x:c>
      <x:c r="H1657" s="40" t="n">
        <x:v>0.012634</x:v>
      </x:c>
      <x:c r="I1657" t="n">
        <x:v>30</x:v>
      </x:c>
      <x:c r="J1657" t="n">
        <x:v>361500</x:v>
      </x:c>
      <x:c r="K1657" t="str">
        <x:v>Bola de nieve</x:v>
      </x:c>
      <x:c r="L1657" t="str">
        <x:v>Vigente</x:v>
      </x:c>
      <x:c r="M1657" t="n">
        <x:v>7637536.35</x:v>
      </x:c>
      <x:c r="N1657"/>
    </x:row>
    <x:row r="1658">
      <x:c r="A1658" t="str">
        <x:v>DEU-001657</x:v>
      </x:c>
      <x:c r="B1658" t="str">
        <x:v>USR-00858</x:v>
      </x:c>
      <x:c r="C1658" t="n">
        <x:v>46143</x:v>
      </x:c>
      <x:c r="D1658" t="str">
        <x:v>Entidad financiera B</x:v>
      </x:c>
      <x:c r="E1658" t="str">
        <x:v>Crédito de consumo</x:v>
      </x:c>
      <x:c r="F1658" t="n">
        <x:v>3320000</x:v>
      </x:c>
      <x:c r="G1658" s="40" t="n">
        <x:v>0.3359</x:v>
      </x:c>
      <x:c r="H1658" s="40" t="n">
        <x:v>0.024427</x:v>
      </x:c>
      <x:c r="I1658" t="n">
        <x:v>18</x:v>
      </x:c>
      <x:c r="J1658" t="n">
        <x:v>230200</x:v>
      </x:c>
      <x:c r="K1658" t="str">
        <x:v>Avalancha</x:v>
      </x:c>
      <x:c r="L1658" t="str">
        <x:v>Vigente</x:v>
      </x:c>
      <x:c r="M1658" t="n">
        <x:v>2816825.84</x:v>
      </x:c>
      <x:c r="N1658"/>
    </x:row>
    <x:row r="1659">
      <x:c r="A1659" t="str">
        <x:v>DEU-001658</x:v>
      </x:c>
      <x:c r="B1659" t="str">
        <x:v>USR-00859</x:v>
      </x:c>
      <x:c r="C1659" t="n">
        <x:v>46143</x:v>
      </x:c>
      <x:c r="D1659" t="str">
        <x:v>Cooperativa C</x:v>
      </x:c>
      <x:c r="E1659" t="str">
        <x:v>Tarjeta de crédito</x:v>
      </x:c>
      <x:c r="F1659" t="n">
        <x:v>7860000</x:v>
      </x:c>
      <x:c r="G1659" s="40" t="n">
        <x:v>0.2171</x:v>
      </x:c>
      <x:c r="H1659" s="40" t="n">
        <x:v>0.016507</x:v>
      </x:c>
      <x:c r="I1659" t="n">
        <x:v>36</x:v>
      </x:c>
      <x:c r="J1659" t="n">
        <x:v>291300</x:v>
      </x:c>
      <x:c r="K1659" t="str">
        <x:v>Avalancha</x:v>
      </x:c>
      <x:c r="L1659" t="str">
        <x:v>Vigente</x:v>
      </x:c>
      <x:c r="M1659" t="n">
        <x:v>7335812.82</x:v>
      </x:c>
      <x:c r="N1659"/>
    </x:row>
    <x:row r="1660">
      <x:c r="A1660" t="str">
        <x:v>DEU-001659</x:v>
      </x:c>
      <x:c r="B1660" t="str">
        <x:v>USR-00859</x:v>
      </x:c>
      <x:c r="C1660" t="n">
        <x:v>46143</x:v>
      </x:c>
      <x:c r="D1660" t="str">
        <x:v>Financiera D</x:v>
      </x:c>
      <x:c r="E1660" t="str">
        <x:v>Crédito de consumo</x:v>
      </x:c>
      <x:c r="F1660" t="n">
        <x:v>18080000</x:v>
      </x:c>
      <x:c r="G1660" s="40" t="n">
        <x:v>0.2326</x:v>
      </x:c>
      <x:c r="H1660" s="40" t="n">
        <x:v>0.01758</x:v>
      </x:c>
      <x:c r="I1660" t="n">
        <x:v>48</x:v>
      </x:c>
      <x:c r="J1660" t="n">
        <x:v>560800</x:v>
      </x:c>
      <x:c r="K1660" t="str">
        <x:v>Avalancha</x:v>
      </x:c>
      <x:c r="L1660" t="str">
        <x:v>Vigente</x:v>
      </x:c>
      <x:c r="M1660" t="n">
        <x:v>17452541.6</x:v>
      </x:c>
      <x:c r="N1660"/>
    </x:row>
    <x:row r="1661">
      <x:c r="A1661" t="str">
        <x:v>DEU-001660</x:v>
      </x:c>
      <x:c r="B1661" t="str">
        <x:v>USR-00859</x:v>
      </x:c>
      <x:c r="C1661" t="n">
        <x:v>46143</x:v>
      </x:c>
      <x:c r="D1661" t="str">
        <x:v>Financiera D</x:v>
      </x:c>
      <x:c r="E1661" t="str">
        <x:v>Tarjeta de crédito</x:v>
      </x:c>
      <x:c r="F1661" t="n">
        <x:v>6880000</x:v>
      </x:c>
      <x:c r="G1661" s="40" t="n">
        <x:v>0.2405</x:v>
      </x:c>
      <x:c r="H1661" s="40" t="n">
        <x:v>0.018122</x:v>
      </x:c>
      <x:c r="I1661" t="n">
        <x:v>12</x:v>
      </x:c>
      <x:c r="J1661" t="n">
        <x:v>643100</x:v>
      </x:c>
      <x:c r="K1661" t="str">
        <x:v>Avalancha</x:v>
      </x:c>
      <x:c r="L1661" t="str">
        <x:v>Vigente</x:v>
      </x:c>
      <x:c r="M1661" t="n">
        <x:v>4037929.58</x:v>
      </x:c>
      <x:c r="N1661"/>
    </x:row>
    <x:row r="1662">
      <x:c r="A1662" t="str">
        <x:v>DEU-001661</x:v>
      </x:c>
      <x:c r="B1662" t="str">
        <x:v>USR-00859</x:v>
      </x:c>
      <x:c r="C1662" t="n">
        <x:v>46143</x:v>
      </x:c>
      <x:c r="D1662" t="str">
        <x:v>Entidad financiera B</x:v>
      </x:c>
      <x:c r="E1662" t="str">
        <x:v>Crédito de consumo</x:v>
      </x:c>
      <x:c r="F1662" t="n">
        <x:v>3920000</x:v>
      </x:c>
      <x:c r="G1662" s="40" t="n">
        <x:v>0.1625</x:v>
      </x:c>
      <x:c r="H1662" s="40" t="n">
        <x:v>0.012627</x:v>
      </x:c>
      <x:c r="I1662" t="n">
        <x:v>30</x:v>
      </x:c>
      <x:c r="J1662" t="n">
        <x:v>157800</x:v>
      </x:c>
      <x:c r="K1662" t="str">
        <x:v>Bola de nieve</x:v>
      </x:c>
      <x:c r="L1662" t="str">
        <x:v>Vigente</x:v>
      </x:c>
      <x:c r="M1662" t="n">
        <x:v>3522436.15</x:v>
      </x:c>
      <x:c r="N1662"/>
    </x:row>
    <x:row r="1663">
      <x:c r="A1663" t="str">
        <x:v>DEU-001662</x:v>
      </x:c>
      <x:c r="B1663" t="str">
        <x:v>USR-00859</x:v>
      </x:c>
      <x:c r="C1663" t="n">
        <x:v>46143</x:v>
      </x:c>
      <x:c r="D1663" t="str">
        <x:v>Entidad financiera B</x:v>
      </x:c>
      <x:c r="E1663" t="str">
        <x:v>Tarjeta de crédito</x:v>
      </x:c>
      <x:c r="F1663" t="n">
        <x:v>5190000</x:v>
      </x:c>
      <x:c r="G1663" s="40" t="n">
        <x:v>0.176</x:v>
      </x:c>
      <x:c r="H1663" s="40" t="n">
        <x:v>0.013602</x:v>
      </x:c>
      <x:c r="I1663" t="n">
        <x:v>36</x:v>
      </x:c>
      <x:c r="J1663" t="n">
        <x:v>183300</x:v>
      </x:c>
      <x:c r="K1663" t="str">
        <x:v>Avalancha</x:v>
      </x:c>
      <x:c r="L1663" t="str">
        <x:v>Vigente</x:v>
      </x:c>
      <x:c r="M1663" t="n">
        <x:v>4467822.78</x:v>
      </x:c>
      <x:c r="N1663"/>
    </x:row>
    <x:row r="1664">
      <x:c r="A1664" t="str">
        <x:v>DEU-001663</x:v>
      </x:c>
      <x:c r="B1664" t="str">
        <x:v>USR-00860</x:v>
      </x:c>
      <x:c r="C1664" t="n">
        <x:v>46143</x:v>
      </x:c>
      <x:c r="D1664" t="str">
        <x:v>Cooperativa C</x:v>
      </x:c>
      <x:c r="E1664" t="str">
        <x:v>Crédito de consumo</x:v>
      </x:c>
      <x:c r="F1664" t="n">
        <x:v>6560000</x:v>
      </x:c>
      <x:c r="G1664" s="40" t="n">
        <x:v>0.232</x:v>
      </x:c>
      <x:c r="H1664" s="40" t="n">
        <x:v>0.017539</x:v>
      </x:c>
      <x:c r="I1664" t="n">
        <x:v>12</x:v>
      </x:c>
      <x:c r="J1664" t="n">
        <x:v>611000</x:v>
      </x:c>
      <x:c r="K1664" t="str">
        <x:v>Avalancha</x:v>
      </x:c>
      <x:c r="L1664" t="str">
        <x:v>Vigente</x:v>
      </x:c>
      <x:c r="M1664" t="n">
        <x:v>3839800.12</x:v>
      </x:c>
      <x:c r="N1664"/>
    </x:row>
    <x:row r="1665">
      <x:c r="A1665" t="str">
        <x:v>DEU-001664</x:v>
      </x:c>
      <x:c r="B1665" t="str">
        <x:v>USR-00860</x:v>
      </x:c>
      <x:c r="C1665" t="n">
        <x:v>46143</x:v>
      </x:c>
      <x:c r="D1665" t="str">
        <x:v>Financiera D</x:v>
      </x:c>
      <x:c r="E1665" t="str">
        <x:v>Crédito de libre inversión</x:v>
      </x:c>
      <x:c r="F1665" t="n">
        <x:v>17900000</x:v>
      </x:c>
      <x:c r="G1665" s="40" t="n">
        <x:v>0.2144</x:v>
      </x:c>
      <x:c r="H1665" s="40" t="n">
        <x:v>0.016319</x:v>
      </x:c>
      <x:c r="I1665" t="n">
        <x:v>48</x:v>
      </x:c>
      <x:c r="J1665" t="n">
        <x:v>540700</x:v>
      </x:c>
      <x:c r="K1665" t="str">
        <x:v>Avalancha</x:v>
      </x:c>
      <x:c r="L1665" t="str">
        <x:v>Vigente</x:v>
      </x:c>
      <x:c r="M1665" t="n">
        <x:v>17450536.28</x:v>
      </x:c>
      <x:c r="N1665"/>
    </x:row>
    <x:row r="1666">
      <x:c r="A1666" t="str">
        <x:v>DEU-001665</x:v>
      </x:c>
      <x:c r="B1666" t="str">
        <x:v>USR-00860</x:v>
      </x:c>
      <x:c r="C1666" t="n">
        <x:v>46143</x:v>
      </x:c>
      <x:c r="D1666" t="str">
        <x:v>Entidad financiera B</x:v>
      </x:c>
      <x:c r="E1666" t="str">
        <x:v>Crédito de consumo</x:v>
      </x:c>
      <x:c r="F1666" t="n">
        <x:v>5010000</x:v>
      </x:c>
      <x:c r="G1666" s="40" t="n">
        <x:v>0.1495</x:v>
      </x:c>
      <x:c r="H1666" s="40" t="n">
        <x:v>0.011678</x:v>
      </x:c>
      <x:c r="I1666" t="n">
        <x:v>24</x:v>
      </x:c>
      <x:c r="J1666" t="n">
        <x:v>240600</x:v>
      </x:c>
      <x:c r="K1666" t="str">
        <x:v>Bola de nieve</x:v>
      </x:c>
      <x:c r="L1666" t="str">
        <x:v>Vigente</x:v>
      </x:c>
      <x:c r="M1666" t="n">
        <x:v>4341018.46</x:v>
      </x:c>
      <x:c r="N1666"/>
    </x:row>
    <x:row r="1667">
      <x:c r="A1667" t="str">
        <x:v>DEU-001666</x:v>
      </x:c>
      <x:c r="B1667" t="str">
        <x:v>USR-00861</x:v>
      </x:c>
      <x:c r="C1667" t="n">
        <x:v>46143</x:v>
      </x:c>
      <x:c r="D1667" t="str">
        <x:v>Financiera D</x:v>
      </x:c>
      <x:c r="E1667" t="str">
        <x:v>Tarjeta de crédito</x:v>
      </x:c>
      <x:c r="F1667" t="n">
        <x:v>1550000</x:v>
      </x:c>
      <x:c r="G1667" s="40" t="n">
        <x:v>0.3411</x:v>
      </x:c>
      <x:c r="H1667" s="40" t="n">
        <x:v>0.024759</x:v>
      </x:c>
      <x:c r="I1667" t="n">
        <x:v>30</x:v>
      </x:c>
      <x:c r="J1667" t="n">
        <x:v>73800</x:v>
      </x:c>
      <x:c r="K1667" t="str">
        <x:v>Avalancha</x:v>
      </x:c>
      <x:c r="L1667" t="str">
        <x:v>Vigente</x:v>
      </x:c>
      <x:c r="M1667" t="n">
        <x:v>1376588.56</x:v>
      </x:c>
      <x:c r="N1667"/>
    </x:row>
    <x:row r="1668">
      <x:c r="A1668" t="str">
        <x:v>DEU-001667</x:v>
      </x:c>
      <x:c r="B1668" t="str">
        <x:v>USR-00861</x:v>
      </x:c>
      <x:c r="C1668" t="n">
        <x:v>46143</x:v>
      </x:c>
      <x:c r="D1668" t="str">
        <x:v>Financiera D</x:v>
      </x:c>
      <x:c r="E1668" t="str">
        <x:v>Crédito de consumo</x:v>
      </x:c>
      <x:c r="F1668" t="n">
        <x:v>4980000</x:v>
      </x:c>
      <x:c r="G1668" s="40" t="n">
        <x:v>0.282</x:v>
      </x:c>
      <x:c r="H1668" s="40" t="n">
        <x:v>0.020918</x:v>
      </x:c>
      <x:c r="I1668" t="n">
        <x:v>48</x:v>
      </x:c>
      <x:c r="J1668" t="n">
        <x:v>165400</x:v>
      </x:c>
      <x:c r="K1668" t="str">
        <x:v>Bola de nieve</x:v>
      </x:c>
      <x:c r="L1668" t="str">
        <x:v>Vigente</x:v>
      </x:c>
      <x:c r="M1668" t="n">
        <x:v>4729059.88</x:v>
      </x:c>
      <x:c r="N1668"/>
    </x:row>
    <x:row r="1669">
      <x:c r="A1669" t="str">
        <x:v>DEU-001668</x:v>
      </x:c>
      <x:c r="B1669" t="str">
        <x:v>USR-00861</x:v>
      </x:c>
      <x:c r="C1669" t="n">
        <x:v>46143</x:v>
      </x:c>
      <x:c r="D1669" t="str">
        <x:v>Entidad financiera A</x:v>
      </x:c>
      <x:c r="E1669" t="str">
        <x:v>Tarjeta de crédito</x:v>
      </x:c>
      <x:c r="F1669" t="n">
        <x:v>5090000</x:v>
      </x:c>
      <x:c r="G1669" s="40" t="n">
        <x:v>0.2058</x:v>
      </x:c>
      <x:c r="H1669" s="40" t="n">
        <x:v>0.015718</x:v>
      </x:c>
      <x:c r="I1669" t="n">
        <x:v>24</x:v>
      </x:c>
      <x:c r="J1669" t="n">
        <x:v>256200</x:v>
      </x:c>
      <x:c r="K1669" t="str">
        <x:v>Bola de nieve</x:v>
      </x:c>
      <x:c r="L1669" t="str">
        <x:v>Vigente</x:v>
      </x:c>
      <x:c r="M1669" t="n">
        <x:v>4670152.49</x:v>
      </x:c>
      <x:c r="N1669"/>
    </x:row>
    <x:row r="1670">
      <x:c r="A1670" t="str">
        <x:v>DEU-001669</x:v>
      </x:c>
      <x:c r="B1670" t="str">
        <x:v>USR-00861</x:v>
      </x:c>
      <x:c r="C1670" t="n">
        <x:v>46143</x:v>
      </x:c>
      <x:c r="D1670" t="str">
        <x:v>Entidad financiera A</x:v>
      </x:c>
      <x:c r="E1670" t="str">
        <x:v>Crédito de consumo</x:v>
      </x:c>
      <x:c r="F1670" t="n">
        <x:v>18510000</x:v>
      </x:c>
      <x:c r="G1670" s="40" t="n">
        <x:v>0.1399</x:v>
      </x:c>
      <x:c r="H1670" s="40" t="n">
        <x:v>0.010971</x:v>
      </x:c>
      <x:c r="I1670" t="n">
        <x:v>30</x:v>
      </x:c>
      <x:c r="J1670" t="n">
        <x:v>727400</x:v>
      </x:c>
      <x:c r="K1670" t="str">
        <x:v>Avalancha</x:v>
      </x:c>
      <x:c r="L1670" t="str">
        <x:v>Vigente</x:v>
      </x:c>
      <x:c r="M1670" t="n">
        <x:v>16980580.3</x:v>
      </x:c>
      <x:c r="N1670"/>
    </x:row>
    <x:row r="1671">
      <x:c r="A1671" t="str">
        <x:v>DEU-001670</x:v>
      </x:c>
      <x:c r="B1671" t="str">
        <x:v>USR-00862</x:v>
      </x:c>
      <x:c r="C1671" t="n">
        <x:v>46143</x:v>
      </x:c>
      <x:c r="D1671" t="str">
        <x:v>Entidad financiera E</x:v>
      </x:c>
      <x:c r="E1671" t="str">
        <x:v>Crédito de consumo</x:v>
      </x:c>
      <x:c r="F1671" t="n">
        <x:v>12640000</x:v>
      </x:c>
      <x:c r="G1671" s="40" t="n">
        <x:v>0.2457</x:v>
      </x:c>
      <x:c r="H1671" s="40" t="n">
        <x:v>0.018477</x:v>
      </x:c>
      <x:c r="I1671" t="n">
        <x:v>12</x:v>
      </x:c>
      <x:c r="J1671" t="n">
        <x:v>1184100</x:v>
      </x:c>
      <x:c r="K1671" t="str">
        <x:v>Bola de nieve</x:v>
      </x:c>
      <x:c r="L1671" t="str">
        <x:v>Vigente</x:v>
      </x:c>
      <x:c r="M1671" t="n">
        <x:v>7342084.22</x:v>
      </x:c>
      <x:c r="N1671"/>
    </x:row>
    <x:row r="1672">
      <x:c r="A1672" t="str">
        <x:v>DEU-001671</x:v>
      </x:c>
      <x:c r="B1672" t="str">
        <x:v>USR-00862</x:v>
      </x:c>
      <x:c r="C1672" t="n">
        <x:v>46143</x:v>
      </x:c>
      <x:c r="D1672" t="str">
        <x:v>Financiera D</x:v>
      </x:c>
      <x:c r="E1672" t="str">
        <x:v>Crédito educativo</x:v>
      </x:c>
      <x:c r="F1672" t="n">
        <x:v>26570000</x:v>
      </x:c>
      <x:c r="G1672" s="40" t="n">
        <x:v>0.2884</x:v>
      </x:c>
      <x:c r="H1672" s="40" t="n">
        <x:v>0.021341</x:v>
      </x:c>
      <x:c r="I1672" t="n">
        <x:v>48</x:v>
      </x:c>
      <x:c r="J1672" t="n">
        <x:v>890000</x:v>
      </x:c>
      <x:c r="K1672" t="str">
        <x:v>Avalancha</x:v>
      </x:c>
      <x:c r="L1672" t="str">
        <x:v>Vigente</x:v>
      </x:c>
      <x:c r="M1672" t="n">
        <x:v>25184311.57</x:v>
      </x:c>
      <x:c r="N1672"/>
    </x:row>
    <x:row r="1673">
      <x:c r="A1673" t="str">
        <x:v>DEU-001672</x:v>
      </x:c>
      <x:c r="B1673" t="str">
        <x:v>USR-00863</x:v>
      </x:c>
      <x:c r="C1673" t="n">
        <x:v>46143</x:v>
      </x:c>
      <x:c r="D1673" t="str">
        <x:v>Entidad financiera B</x:v>
      </x:c>
      <x:c r="E1673" t="str">
        <x:v>Crédito de libre inversión</x:v>
      </x:c>
      <x:c r="F1673" t="n">
        <x:v>5110000</x:v>
      </x:c>
      <x:c r="G1673" s="40" t="n">
        <x:v>0.2375</x:v>
      </x:c>
      <x:c r="H1673" s="40" t="n">
        <x:v>0.017916</x:v>
      </x:c>
      <x:c r="I1673" t="n">
        <x:v>18</x:v>
      </x:c>
      <x:c r="J1673" t="n">
        <x:v>334600</x:v>
      </x:c>
      <x:c r="K1673" t="str">
        <x:v>Bola de nieve</x:v>
      </x:c>
      <x:c r="L1673" t="str">
        <x:v>Vigente</x:v>
      </x:c>
      <x:c r="M1673" t="n">
        <x:v>4191025.72</x:v>
      </x:c>
      <x:c r="N1673"/>
    </x:row>
    <x:row r="1674">
      <x:c r="A1674" t="str">
        <x:v>DEU-001673</x:v>
      </x:c>
      <x:c r="B1674" t="str">
        <x:v>USR-00863</x:v>
      </x:c>
      <x:c r="C1674" t="n">
        <x:v>46143</x:v>
      </x:c>
      <x:c r="D1674" t="str">
        <x:v>Entidad financiera A</x:v>
      </x:c>
      <x:c r="E1674" t="str">
        <x:v>Crédito de consumo</x:v>
      </x:c>
      <x:c r="F1674" t="n">
        <x:v>6120000</x:v>
      </x:c>
      <x:c r="G1674" s="40" t="n">
        <x:v>0.1187</x:v>
      </x:c>
      <x:c r="H1674" s="40" t="n">
        <x:v>0.009391</x:v>
      </x:c>
      <x:c r="I1674" t="n">
        <x:v>24</x:v>
      </x:c>
      <x:c r="J1674" t="n">
        <x:v>286000</x:v>
      </x:c>
      <x:c r="K1674" t="str">
        <x:v>Avalancha</x:v>
      </x:c>
      <x:c r="L1674" t="str">
        <x:v>Vigente</x:v>
      </x:c>
      <x:c r="M1674" t="n">
        <x:v>5268123.45</x:v>
      </x:c>
      <x:c r="N1674"/>
    </x:row>
    <x:row r="1675">
      <x:c r="A1675" t="str">
        <x:v>DEU-001674</x:v>
      </x:c>
      <x:c r="B1675" t="str">
        <x:v>USR-00864</x:v>
      </x:c>
      <x:c r="C1675" t="n">
        <x:v>46143</x:v>
      </x:c>
      <x:c r="D1675" t="str">
        <x:v>Financiera D</x:v>
      </x:c>
      <x:c r="E1675" t="str">
        <x:v>Crédito de consumo</x:v>
      </x:c>
      <x:c r="F1675" t="n">
        <x:v>15890000</x:v>
      </x:c>
      <x:c r="G1675" s="40" t="n">
        <x:v>0.1568</x:v>
      </x:c>
      <x:c r="H1675" s="40" t="n">
        <x:v>0.012212</x:v>
      </x:c>
      <x:c r="I1675" t="n">
        <x:v>24</x:v>
      </x:c>
      <x:c r="J1675" t="n">
        <x:v>767800</x:v>
      </x:c>
      <x:c r="K1675" t="str">
        <x:v>Bola de nieve</x:v>
      </x:c>
      <x:c r="L1675" t="str">
        <x:v>Vigente</x:v>
      </x:c>
      <x:c r="M1675" t="n">
        <x:v>12600100.18</x:v>
      </x:c>
      <x:c r="N1675"/>
    </x:row>
    <x:row r="1676">
      <x:c r="A1676" t="str">
        <x:v>DEU-001675</x:v>
      </x:c>
      <x:c r="B1676" t="str">
        <x:v>USR-00864</x:v>
      </x:c>
      <x:c r="C1676" t="n">
        <x:v>46143</x:v>
      </x:c>
      <x:c r="D1676" t="str">
        <x:v>Financiera D</x:v>
      </x:c>
      <x:c r="E1676" t="str">
        <x:v>Tarjeta de crédito</x:v>
      </x:c>
      <x:c r="F1676" t="n">
        <x:v>3870000</x:v>
      </x:c>
      <x:c r="G1676" s="40" t="n">
        <x:v>0.119</x:v>
      </x:c>
      <x:c r="H1676" s="40" t="n">
        <x:v>0.009414</x:v>
      </x:c>
      <x:c r="I1676" t="n">
        <x:v>18</x:v>
      </x:c>
      <x:c r="J1676" t="n">
        <x:v>234700</x:v>
      </x:c>
      <x:c r="K1676" t="str">
        <x:v>Bola de nieve</x:v>
      </x:c>
      <x:c r="L1676" t="str">
        <x:v>Vigente</x:v>
      </x:c>
      <x:c r="M1676" t="n">
        <x:v>2958062.52</x:v>
      </x:c>
      <x:c r="N1676"/>
    </x:row>
    <x:row r="1677">
      <x:c r="A1677" t="str">
        <x:v>DEU-001676</x:v>
      </x:c>
      <x:c r="B1677" t="str">
        <x:v>USR-00865</x:v>
      </x:c>
      <x:c r="C1677" t="n">
        <x:v>46143</x:v>
      </x:c>
      <x:c r="D1677" t="str">
        <x:v>Entidad financiera E</x:v>
      </x:c>
      <x:c r="E1677" t="str">
        <x:v>Tarjeta de crédito</x:v>
      </x:c>
      <x:c r="F1677" t="n">
        <x:v>1750000</x:v>
      </x:c>
      <x:c r="G1677" s="40" t="n">
        <x:v>0.2602</x:v>
      </x:c>
      <x:c r="H1677" s="40" t="n">
        <x:v>0.019459</x:v>
      </x:c>
      <x:c r="I1677" t="n">
        <x:v>48</x:v>
      </x:c>
      <x:c r="J1677" t="n">
        <x:v>56400</x:v>
      </x:c>
      <x:c r="K1677" t="str">
        <x:v>Bola de nieve</x:v>
      </x:c>
      <x:c r="L1677" t="str">
        <x:v>Vigente</x:v>
      </x:c>
      <x:c r="M1677" t="n">
        <x:v>1698063.4</x:v>
      </x:c>
      <x:c r="N1677"/>
    </x:row>
    <x:row r="1678">
      <x:c r="A1678" t="str">
        <x:v>DEU-001677</x:v>
      </x:c>
      <x:c r="B1678" t="str">
        <x:v>USR-00865</x:v>
      </x:c>
      <x:c r="C1678" t="n">
        <x:v>46143</x:v>
      </x:c>
      <x:c r="D1678" t="str">
        <x:v>Financiera D</x:v>
      </x:c>
      <x:c r="E1678" t="str">
        <x:v>Tarjeta de crédito</x:v>
      </x:c>
      <x:c r="F1678" t="n">
        <x:v>3930000</x:v>
      </x:c>
      <x:c r="G1678" s="40" t="n">
        <x:v>0.1833</x:v>
      </x:c>
      <x:c r="H1678" s="40" t="n">
        <x:v>0.014124</x:v>
      </x:c>
      <x:c r="I1678" t="n">
        <x:v>30</x:v>
      </x:c>
      <x:c r="J1678" t="n">
        <x:v>161600</x:v>
      </x:c>
      <x:c r="K1678" t="str">
        <x:v>Bola de nieve</x:v>
      </x:c>
      <x:c r="L1678" t="str">
        <x:v>Vigente</x:v>
      </x:c>
      <x:c r="M1678" t="n">
        <x:v>3716872.15</x:v>
      </x:c>
      <x:c r="N1678"/>
    </x:row>
    <x:row r="1679">
      <x:c r="A1679" t="str">
        <x:v>DEU-001678</x:v>
      </x:c>
      <x:c r="B1679" t="str">
        <x:v>USR-00866</x:v>
      </x:c>
      <x:c r="C1679" t="n">
        <x:v>46143</x:v>
      </x:c>
      <x:c r="D1679" t="str">
        <x:v>Cooperativa C</x:v>
      </x:c>
      <x:c r="E1679" t="str">
        <x:v>Crédito de vehículo</x:v>
      </x:c>
      <x:c r="F1679" t="n">
        <x:v>39810000</x:v>
      </x:c>
      <x:c r="G1679" s="40" t="n">
        <x:v>0.3261</x:v>
      </x:c>
      <x:c r="H1679" s="40" t="n">
        <x:v>0.023799</x:v>
      </x:c>
      <x:c r="I1679" t="n">
        <x:v>24</x:v>
      </x:c>
      <x:c r="J1679" t="n">
        <x:v>2196500</x:v>
      </x:c>
      <x:c r="K1679" t="str">
        <x:v>Avalancha</x:v>
      </x:c>
      <x:c r="L1679" t="str">
        <x:v>Vigente</x:v>
      </x:c>
      <x:c r="M1679" t="n">
        <x:v>38952026.06</x:v>
      </x:c>
      <x:c r="N1679"/>
    </x:row>
    <x:row r="1680">
      <x:c r="A1680" t="str">
        <x:v>DEU-001679</x:v>
      </x:c>
      <x:c r="B1680" t="str">
        <x:v>USR-00866</x:v>
      </x:c>
      <x:c r="C1680" t="n">
        <x:v>46143</x:v>
      </x:c>
      <x:c r="D1680" t="str">
        <x:v>Cooperativa C</x:v>
      </x:c>
      <x:c r="E1680" t="str">
        <x:v>Crédito de libre inversión</x:v>
      </x:c>
      <x:c r="F1680" t="n">
        <x:v>22660000</x:v>
      </x:c>
      <x:c r="G1680" s="40" t="n">
        <x:v>0.3358</x:v>
      </x:c>
      <x:c r="H1680" s="40" t="n">
        <x:v>0.024421</x:v>
      </x:c>
      <x:c r="I1680" t="n">
        <x:v>12</x:v>
      </x:c>
      <x:c r="J1680" t="n">
        <x:v>2201300</x:v>
      </x:c>
      <x:c r="K1680" t="str">
        <x:v>Bola de nieve</x:v>
      </x:c>
      <x:c r="L1680" t="str">
        <x:v>Vigente</x:v>
      </x:c>
      <x:c r="M1680" t="n">
        <x:v>17997399.94</x:v>
      </x:c>
      <x:c r="N1680"/>
    </x:row>
    <x:row r="1681">
      <x:c r="A1681" t="str">
        <x:v>DEU-001680</x:v>
      </x:c>
      <x:c r="B1681" t="str">
        <x:v>USR-00867</x:v>
      </x:c>
      <x:c r="C1681" t="n">
        <x:v>46143</x:v>
      </x:c>
      <x:c r="D1681" t="str">
        <x:v>Entidad financiera A</x:v>
      </x:c>
      <x:c r="E1681" t="str">
        <x:v>Crédito de libre inversión</x:v>
      </x:c>
      <x:c r="F1681" t="n">
        <x:v>19260000</x:v>
      </x:c>
      <x:c r="G1681" s="40" t="n">
        <x:v>0.1182</x:v>
      </x:c>
      <x:c r="H1681" s="40" t="n">
        <x:v>0.009353</x:v>
      </x:c>
      <x:c r="I1681" t="n">
        <x:v>48</x:v>
      </x:c>
      <x:c r="J1681" t="n">
        <x:v>499900</x:v>
      </x:c>
      <x:c r="K1681" t="str">
        <x:v>Bola de nieve</x:v>
      </x:c>
      <x:c r="L1681" t="str">
        <x:v>Vigente</x:v>
      </x:c>
      <x:c r="M1681" t="n">
        <x:v>18683026.17</x:v>
      </x:c>
      <x:c r="N1681"/>
    </x:row>
    <x:row r="1682">
      <x:c r="A1682" t="str">
        <x:v>DEU-001681</x:v>
      </x:c>
      <x:c r="B1682" t="str">
        <x:v>USR-00867</x:v>
      </x:c>
      <x:c r="C1682" t="n">
        <x:v>46143</x:v>
      </x:c>
      <x:c r="D1682" t="str">
        <x:v>Financiera D</x:v>
      </x:c>
      <x:c r="E1682" t="str">
        <x:v>Crédito de vehículo</x:v>
      </x:c>
      <x:c r="F1682" t="n">
        <x:v>18160000</x:v>
      </x:c>
      <x:c r="G1682" s="40" t="n">
        <x:v>0.1981</x:v>
      </x:c>
      <x:c r="H1682" s="40" t="n">
        <x:v>0.015175</x:v>
      </x:c>
      <x:c r="I1682" t="n">
        <x:v>30</x:v>
      </x:c>
      <x:c r="J1682" t="n">
        <x:v>758000</x:v>
      </x:c>
      <x:c r="K1682" t="str">
        <x:v>Avalancha</x:v>
      </x:c>
      <x:c r="L1682" t="str">
        <x:v>Vigente</x:v>
      </x:c>
      <x:c r="M1682" t="n">
        <x:v>17444622.27</x:v>
      </x:c>
      <x:c r="N1682"/>
    </x:row>
    <x:row r="1683">
      <x:c r="A1683" t="str">
        <x:v>DEU-001682</x:v>
      </x:c>
      <x:c r="B1683" t="str">
        <x:v>USR-00868</x:v>
      </x:c>
      <x:c r="C1683" t="n">
        <x:v>46143</x:v>
      </x:c>
      <x:c r="D1683" t="str">
        <x:v>Entidad financiera A</x:v>
      </x:c>
      <x:c r="E1683" t="str">
        <x:v>Crédito de libre inversión</x:v>
      </x:c>
      <x:c r="F1683" t="n">
        <x:v>7160000</x:v>
      </x:c>
      <x:c r="G1683" s="40" t="n">
        <x:v>0.2845</x:v>
      </x:c>
      <x:c r="H1683" s="40" t="n">
        <x:v>0.021083</x:v>
      </x:c>
      <x:c r="I1683" t="n">
        <x:v>30</x:v>
      </x:c>
      <x:c r="J1683" t="n">
        <x:v>324500</x:v>
      </x:c>
      <x:c r="K1683" t="str">
        <x:v>Bola de nieve</x:v>
      </x:c>
      <x:c r="L1683" t="str">
        <x:v>Vigente</x:v>
      </x:c>
      <x:c r="M1683" t="n">
        <x:v>7211653.73</x:v>
      </x:c>
      <x:c r="N1683"/>
    </x:row>
    <x:row r="1684">
      <x:c r="A1684" t="str">
        <x:v>DEU-001683</x:v>
      </x:c>
      <x:c r="B1684" t="str">
        <x:v>USR-00868</x:v>
      </x:c>
      <x:c r="C1684" t="n">
        <x:v>46143</x:v>
      </x:c>
      <x:c r="D1684" t="str">
        <x:v>Entidad financiera E</x:v>
      </x:c>
      <x:c r="E1684" t="str">
        <x:v>Tarjeta de crédito</x:v>
      </x:c>
      <x:c r="F1684" t="n">
        <x:v>6910000</x:v>
      </x:c>
      <x:c r="G1684" s="40" t="n">
        <x:v>0.3376</x:v>
      </x:c>
      <x:c r="H1684" s="40" t="n">
        <x:v>0.024536</x:v>
      </x:c>
      <x:c r="I1684" t="n">
        <x:v>12</x:v>
      </x:c>
      <x:c r="J1684" t="n">
        <x:v>671700</x:v>
      </x:c>
      <x:c r="K1684" t="str">
        <x:v>Avalancha</x:v>
      </x:c>
      <x:c r="L1684" t="str">
        <x:v>Vigente</x:v>
      </x:c>
      <x:c r="M1684" t="n">
        <x:v>5600922.9</x:v>
      </x:c>
      <x:c r="N1684"/>
    </x:row>
    <x:row r="1685">
      <x:c r="A1685" t="str">
        <x:v>DEU-001684</x:v>
      </x:c>
      <x:c r="B1685" t="str">
        <x:v>USR-00869</x:v>
      </x:c>
      <x:c r="C1685" t="n">
        <x:v>46143</x:v>
      </x:c>
      <x:c r="D1685" t="str">
        <x:v>Cooperativa C</x:v>
      </x:c>
      <x:c r="E1685" t="str">
        <x:v>Crédito de consumo</x:v>
      </x:c>
      <x:c r="F1685" t="n">
        <x:v>13560000</x:v>
      </x:c>
      <x:c r="G1685" s="40" t="n">
        <x:v>0.1917</x:v>
      </x:c>
      <x:c r="H1685" s="40" t="n">
        <x:v>0.014722</x:v>
      </x:c>
      <x:c r="I1685" t="n">
        <x:v>30</x:v>
      </x:c>
      <x:c r="J1685" t="n">
        <x:v>562400</x:v>
      </x:c>
      <x:c r="K1685" t="str">
        <x:v>Bola de nieve</x:v>
      </x:c>
      <x:c r="L1685" t="str">
        <x:v>Vigente</x:v>
      </x:c>
      <x:c r="M1685" t="n">
        <x:v>12200831.43</x:v>
      </x:c>
      <x:c r="N1685"/>
    </x:row>
    <x:row r="1686">
      <x:c r="A1686" t="str">
        <x:v>DEU-001685</x:v>
      </x:c>
      <x:c r="B1686" t="str">
        <x:v>USR-00870</x:v>
      </x:c>
      <x:c r="C1686" t="n">
        <x:v>46143</x:v>
      </x:c>
      <x:c r="D1686" t="str">
        <x:v>Entidad financiera A</x:v>
      </x:c>
      <x:c r="E1686" t="str">
        <x:v>Tarjeta de crédito</x:v>
      </x:c>
      <x:c r="F1686" t="n">
        <x:v>5870000</x:v>
      </x:c>
      <x:c r="G1686" s="40" t="n">
        <x:v>0.2745</x:v>
      </x:c>
      <x:c r="H1686" s="40" t="n">
        <x:v>0.020418</x:v>
      </x:c>
      <x:c r="I1686" t="n">
        <x:v>18</x:v>
      </x:c>
      <x:c r="J1686" t="n">
        <x:v>393000</x:v>
      </x:c>
      <x:c r="K1686" t="str">
        <x:v>Avalancha</x:v>
      </x:c>
      <x:c r="L1686" t="str">
        <x:v>Vigente</x:v>
      </x:c>
      <x:c r="M1686" t="n">
        <x:v>5221267.13</x:v>
      </x:c>
      <x:c r="N1686"/>
    </x:row>
    <x:row r="1687">
      <x:c r="A1687" t="str">
        <x:v>DEU-001686</x:v>
      </x:c>
      <x:c r="B1687" t="str">
        <x:v>USR-00871</x:v>
      </x:c>
      <x:c r="C1687" t="n">
        <x:v>46143</x:v>
      </x:c>
      <x:c r="D1687" t="str">
        <x:v>Cooperativa C</x:v>
      </x:c>
      <x:c r="E1687" t="str">
        <x:v>Tarjeta de crédito</x:v>
      </x:c>
      <x:c r="F1687" t="n">
        <x:v>4090000</x:v>
      </x:c>
      <x:c r="G1687" s="40" t="n">
        <x:v>0.3315</x:v>
      </x:c>
      <x:c r="H1687" s="40" t="n">
        <x:v>0.024146</x:v>
      </x:c>
      <x:c r="I1687" t="n">
        <x:v>18</x:v>
      </x:c>
      <x:c r="J1687" t="n">
        <x:v>282900</x:v>
      </x:c>
      <x:c r="K1687" t="str">
        <x:v>Avalancha</x:v>
      </x:c>
      <x:c r="L1687" t="str">
        <x:v>Vigente</x:v>
      </x:c>
      <x:c r="M1687" t="n">
        <x:v>3444588.5</x:v>
      </x:c>
      <x:c r="N1687"/>
    </x:row>
    <x:row r="1688">
      <x:c r="A1688" t="str">
        <x:v>DEU-001687</x:v>
      </x:c>
      <x:c r="B1688" t="str">
        <x:v>USR-00871</x:v>
      </x:c>
      <x:c r="C1688" t="n">
        <x:v>46143</x:v>
      </x:c>
      <x:c r="D1688" t="str">
        <x:v>Entidad financiera E</x:v>
      </x:c>
      <x:c r="E1688" t="str">
        <x:v>Crédito de consumo</x:v>
      </x:c>
      <x:c r="F1688" t="n">
        <x:v>7970000</x:v>
      </x:c>
      <x:c r="G1688" s="40" t="n">
        <x:v>0.3103</x:v>
      </x:c>
      <x:c r="H1688" s="40" t="n">
        <x:v>0.022777</x:v>
      </x:c>
      <x:c r="I1688" t="n">
        <x:v>36</x:v>
      </x:c>
      <x:c r="J1688" t="n">
        <x:v>326800</x:v>
      </x:c>
      <x:c r="K1688" t="str">
        <x:v>Bola de nieve</x:v>
      </x:c>
      <x:c r="L1688" t="str">
        <x:v>Vigente</x:v>
      </x:c>
      <x:c r="M1688" t="n">
        <x:v>6999664.66</x:v>
      </x:c>
      <x:c r="N1688"/>
    </x:row>
    <x:row r="1689">
      <x:c r="A1689" t="str">
        <x:v>DEU-001688</x:v>
      </x:c>
      <x:c r="B1689" t="str">
        <x:v>USR-00871</x:v>
      </x:c>
      <x:c r="C1689" t="n">
        <x:v>46143</x:v>
      </x:c>
      <x:c r="D1689" t="str">
        <x:v>Entidad financiera B</x:v>
      </x:c>
      <x:c r="E1689" t="str">
        <x:v>Crédito de consumo</x:v>
      </x:c>
      <x:c r="F1689" t="n">
        <x:v>14750000</x:v>
      </x:c>
      <x:c r="G1689" s="40" t="n">
        <x:v>0.2249</x:v>
      </x:c>
      <x:c r="H1689" s="40" t="n">
        <x:v>0.017049</x:v>
      </x:c>
      <x:c r="I1689" t="n">
        <x:v>24</x:v>
      </x:c>
      <x:c r="J1689" t="n">
        <x:v>754000</x:v>
      </x:c>
      <x:c r="K1689" t="str">
        <x:v>Avalancha</x:v>
      </x:c>
      <x:c r="L1689" t="str">
        <x:v>Vigente</x:v>
      </x:c>
      <x:c r="M1689" t="n">
        <x:v>12501156.27</x:v>
      </x:c>
      <x:c r="N1689"/>
    </x:row>
    <x:row r="1690">
      <x:c r="A1690" t="str">
        <x:v>DEU-001689</x:v>
      </x:c>
      <x:c r="B1690" t="str">
        <x:v>USR-00871</x:v>
      </x:c>
      <x:c r="C1690" t="n">
        <x:v>46143</x:v>
      </x:c>
      <x:c r="D1690" t="str">
        <x:v>Financiera D</x:v>
      </x:c>
      <x:c r="E1690" t="str">
        <x:v>Crédito de consumo</x:v>
      </x:c>
      <x:c r="F1690" t="n">
        <x:v>2080000</x:v>
      </x:c>
      <x:c r="G1690" s="40" t="n">
        <x:v>0.2575</x:v>
      </x:c>
      <x:c r="H1690" s="40" t="n">
        <x:v>0.019277</x:v>
      </x:c>
      <x:c r="I1690" t="n">
        <x:v>12</x:v>
      </x:c>
      <x:c r="J1690" t="n">
        <x:v>195800</x:v>
      </x:c>
      <x:c r="K1690" t="str">
        <x:v>Avalancha</x:v>
      </x:c>
      <x:c r="L1690" t="str">
        <x:v>Vigente</x:v>
      </x:c>
      <x:c r="M1690" t="n">
        <x:v>1453127.92</x:v>
      </x:c>
      <x:c r="N1690"/>
    </x:row>
    <x:row r="1691">
      <x:c r="A1691" t="str">
        <x:v>DEU-001690</x:v>
      </x:c>
      <x:c r="B1691" t="str">
        <x:v>USR-00871</x:v>
      </x:c>
      <x:c r="C1691" t="n">
        <x:v>46143</x:v>
      </x:c>
      <x:c r="D1691" t="str">
        <x:v>Entidad financiera A</x:v>
      </x:c>
      <x:c r="E1691" t="str">
        <x:v>Tarjeta de crédito</x:v>
      </x:c>
      <x:c r="F1691" t="n">
        <x:v>4660000</x:v>
      </x:c>
      <x:c r="G1691" s="40" t="n">
        <x:v>0.296</x:v>
      </x:c>
      <x:c r="H1691" s="40" t="n">
        <x:v>0.021842</x:v>
      </x:c>
      <x:c r="I1691" t="n">
        <x:v>30</x:v>
      </x:c>
      <x:c r="J1691" t="n">
        <x:v>213400</x:v>
      </x:c>
      <x:c r="K1691" t="str">
        <x:v>Avalancha</x:v>
      </x:c>
      <x:c r="L1691" t="str">
        <x:v>Vigente</x:v>
      </x:c>
      <x:c r="M1691" t="n">
        <x:v>4223795.18</x:v>
      </x:c>
      <x:c r="N1691"/>
    </x:row>
    <x:row r="1692">
      <x:c r="A1692" t="str">
        <x:v>DEU-001691</x:v>
      </x:c>
      <x:c r="B1692" t="str">
        <x:v>USR-00872</x:v>
      </x:c>
      <x:c r="C1692" t="n">
        <x:v>46143</x:v>
      </x:c>
      <x:c r="D1692" t="str">
        <x:v>Cooperativa C</x:v>
      </x:c>
      <x:c r="E1692" t="str">
        <x:v>Tarjeta de crédito</x:v>
      </x:c>
      <x:c r="F1692" t="n">
        <x:v>2860000</x:v>
      </x:c>
      <x:c r="G1692" s="40" t="n">
        <x:v>0.2583</x:v>
      </x:c>
      <x:c r="H1692" s="40" t="n">
        <x:v>0.019331</x:v>
      </x:c>
      <x:c r="I1692" t="n">
        <x:v>60</x:v>
      </x:c>
      <x:c r="J1692" t="n">
        <x:v>80900</x:v>
      </x:c>
      <x:c r="K1692" t="str">
        <x:v>Bola de nieve</x:v>
      </x:c>
      <x:c r="L1692" t="str">
        <x:v>Vigente</x:v>
      </x:c>
      <x:c r="M1692" t="n">
        <x:v>2870630.56</x:v>
      </x:c>
      <x:c r="N1692"/>
    </x:row>
    <x:row r="1693">
      <x:c r="A1693" t="str">
        <x:v>DEU-001692</x:v>
      </x:c>
      <x:c r="B1693" t="str">
        <x:v>USR-00872</x:v>
      </x:c>
      <x:c r="C1693" t="n">
        <x:v>46143</x:v>
      </x:c>
      <x:c r="D1693" t="str">
        <x:v>Entidad financiera B</x:v>
      </x:c>
      <x:c r="E1693" t="str">
        <x:v>Crédito de libre inversión</x:v>
      </x:c>
      <x:c r="F1693" t="n">
        <x:v>15830000</x:v>
      </x:c>
      <x:c r="G1693" s="40" t="n">
        <x:v>0.3021</x:v>
      </x:c>
      <x:c r="H1693" s="40" t="n">
        <x:v>0.022242</x:v>
      </x:c>
      <x:c r="I1693" t="n">
        <x:v>18</x:v>
      </x:c>
      <x:c r="J1693" t="n">
        <x:v>1076800</x:v>
      </x:c>
      <x:c r="K1693" t="str">
        <x:v>Avalancha</x:v>
      </x:c>
      <x:c r="L1693" t="str">
        <x:v>Vigente</x:v>
      </x:c>
      <x:c r="M1693" t="n">
        <x:v>12335538.2</x:v>
      </x:c>
      <x:c r="N1693"/>
    </x:row>
    <x:row r="1694">
      <x:c r="A1694" t="str">
        <x:v>DEU-001693</x:v>
      </x:c>
      <x:c r="B1694" t="str">
        <x:v>USR-00872</x:v>
      </x:c>
      <x:c r="C1694" t="n">
        <x:v>46143</x:v>
      </x:c>
      <x:c r="D1694" t="str">
        <x:v>Entidad financiera E</x:v>
      </x:c>
      <x:c r="E1694" t="str">
        <x:v>Tarjeta de crédito</x:v>
      </x:c>
      <x:c r="F1694" t="n">
        <x:v>1010000</x:v>
      </x:c>
      <x:c r="G1694" s="40" t="n">
        <x:v>0.2152</x:v>
      </x:c>
      <x:c r="H1694" s="40" t="n">
        <x:v>0.016375</x:v>
      </x:c>
      <x:c r="I1694" t="n">
        <x:v>36</x:v>
      </x:c>
      <x:c r="J1694" t="n">
        <x:v>37400</x:v>
      </x:c>
      <x:c r="K1694" t="str">
        <x:v>Avalancha</x:v>
      </x:c>
      <x:c r="L1694" t="str">
        <x:v>Vigente</x:v>
      </x:c>
      <x:c r="M1694" t="n">
        <x:v>921515.04</x:v>
      </x:c>
      <x:c r="N1694"/>
    </x:row>
    <x:row r="1695">
      <x:c r="A1695" t="str">
        <x:v>DEU-001694</x:v>
      </x:c>
      <x:c r="B1695" t="str">
        <x:v>USR-00872</x:v>
      </x:c>
      <x:c r="C1695" t="n">
        <x:v>46143</x:v>
      </x:c>
      <x:c r="D1695" t="str">
        <x:v>Entidad financiera E</x:v>
      </x:c>
      <x:c r="E1695" t="str">
        <x:v>Crédito educativo</x:v>
      </x:c>
      <x:c r="F1695" t="n">
        <x:v>5770000</x:v>
      </x:c>
      <x:c r="G1695" s="40" t="n">
        <x:v>0.2626</x:v>
      </x:c>
      <x:c r="H1695" s="40" t="n">
        <x:v>0.019621</x:v>
      </x:c>
      <x:c r="I1695" t="n">
        <x:v>60</x:v>
      </x:c>
      <x:c r="J1695" t="n">
        <x:v>164500</x:v>
      </x:c>
      <x:c r="K1695" t="str">
        <x:v>Bola de nieve</x:v>
      </x:c>
      <x:c r="L1695" t="str">
        <x:v>Vigente</x:v>
      </x:c>
      <x:c r="M1695" t="n">
        <x:v>5990438.19</x:v>
      </x:c>
      <x:c r="N1695"/>
    </x:row>
    <x:row r="1696">
      <x:c r="A1696" t="str">
        <x:v>DEU-001695</x:v>
      </x:c>
      <x:c r="B1696" t="str">
        <x:v>USR-00872</x:v>
      </x:c>
      <x:c r="C1696" t="n">
        <x:v>46143</x:v>
      </x:c>
      <x:c r="D1696" t="str">
        <x:v>Entidad financiera B</x:v>
      </x:c>
      <x:c r="E1696" t="str">
        <x:v>Crédito de libre inversión</x:v>
      </x:c>
      <x:c r="F1696" t="n">
        <x:v>13140000</x:v>
      </x:c>
      <x:c r="G1696" s="40" t="n">
        <x:v>0.1093</x:v>
      </x:c>
      <x:c r="H1696" s="40" t="n">
        <x:v>0.008682</x:v>
      </x:c>
      <x:c r="I1696" t="n">
        <x:v>48</x:v>
      </x:c>
      <x:c r="J1696" t="n">
        <x:v>335900</x:v>
      </x:c>
      <x:c r="K1696" t="str">
        <x:v>Avalancha</x:v>
      </x:c>
      <x:c r="L1696" t="str">
        <x:v>Vigente</x:v>
      </x:c>
      <x:c r="M1696" t="n">
        <x:v>12944801.35</x:v>
      </x:c>
      <x:c r="N1696"/>
    </x:row>
    <x:row r="1697">
      <x:c r="A1697" t="str">
        <x:v>DEU-001696</x:v>
      </x:c>
      <x:c r="B1697" t="str">
        <x:v>USR-00873</x:v>
      </x:c>
      <x:c r="C1697" t="n">
        <x:v>46143</x:v>
      </x:c>
      <x:c r="D1697" t="str">
        <x:v>Entidad financiera B</x:v>
      </x:c>
      <x:c r="E1697" t="str">
        <x:v>Crédito de vehículo</x:v>
      </x:c>
      <x:c r="F1697" t="n">
        <x:v>18690000</x:v>
      </x:c>
      <x:c r="G1697" s="40" t="n">
        <x:v>0.2506</x:v>
      </x:c>
      <x:c r="H1697" s="40" t="n">
        <x:v>0.01881</x:v>
      </x:c>
      <x:c r="I1697" t="n">
        <x:v>36</x:v>
      </x:c>
      <x:c r="J1697" t="n">
        <x:v>719300</x:v>
      </x:c>
      <x:c r="K1697" t="str">
        <x:v>Bola de nieve</x:v>
      </x:c>
      <x:c r="L1697" t="str">
        <x:v>Vigente</x:v>
      </x:c>
      <x:c r="M1697" t="n">
        <x:v>17333849.05</x:v>
      </x:c>
      <x:c r="N1697"/>
    </x:row>
    <x:row r="1698">
      <x:c r="A1698" t="str">
        <x:v>DEU-001697</x:v>
      </x:c>
      <x:c r="B1698" t="str">
        <x:v>USR-00874</x:v>
      </x:c>
      <x:c r="C1698" t="n">
        <x:v>46143</x:v>
      </x:c>
      <x:c r="D1698" t="str">
        <x:v>Entidad financiera A</x:v>
      </x:c>
      <x:c r="E1698" t="str">
        <x:v>Crédito de vehículo</x:v>
      </x:c>
      <x:c r="F1698" t="n">
        <x:v>45270000</x:v>
      </x:c>
      <x:c r="G1698" s="40" t="n">
        <x:v>0.2668</x:v>
      </x:c>
      <x:c r="H1698" s="40" t="n">
        <x:v>0.019903</x:v>
      </x:c>
      <x:c r="I1698" t="n">
        <x:v>36</x:v>
      </x:c>
      <x:c r="J1698" t="n">
        <x:v>1773300</x:v>
      </x:c>
      <x:c r="K1698" t="str">
        <x:v>Avalancha</x:v>
      </x:c>
      <x:c r="L1698" t="str">
        <x:v>Vigente</x:v>
      </x:c>
      <x:c r="M1698" t="n">
        <x:v>43508092.41</x:v>
      </x:c>
      <x:c r="N1698"/>
    </x:row>
    <x:row r="1699">
      <x:c r="A1699" t="str">
        <x:v>DEU-001698</x:v>
      </x:c>
      <x:c r="B1699" t="str">
        <x:v>USR-00874</x:v>
      </x:c>
      <x:c r="C1699" t="n">
        <x:v>46143</x:v>
      </x:c>
      <x:c r="D1699" t="str">
        <x:v>Entidad financiera E</x:v>
      </x:c>
      <x:c r="E1699" t="str">
        <x:v>Tarjeta de crédito</x:v>
      </x:c>
      <x:c r="F1699" t="n">
        <x:v>2690000</x:v>
      </x:c>
      <x:c r="G1699" s="40" t="n">
        <x:v>0.2807</x:v>
      </x:c>
      <x:c r="H1699" s="40" t="n">
        <x:v>0.020831</x:v>
      </x:c>
      <x:c r="I1699" t="n">
        <x:v>24</x:v>
      </x:c>
      <x:c r="J1699" t="n">
        <x:v>143600</x:v>
      </x:c>
      <x:c r="K1699" t="str">
        <x:v>Avalancha</x:v>
      </x:c>
      <x:c r="L1699" t="str">
        <x:v>Vigente</x:v>
      </x:c>
      <x:c r="M1699" t="n">
        <x:v>2424452.34</x:v>
      </x:c>
      <x:c r="N1699"/>
    </x:row>
    <x:row r="1700">
      <x:c r="A1700" t="str">
        <x:v>DEU-001699</x:v>
      </x:c>
      <x:c r="B1700" t="str">
        <x:v>USR-00875</x:v>
      </x:c>
      <x:c r="C1700" t="n">
        <x:v>46143</x:v>
      </x:c>
      <x:c r="D1700" t="str">
        <x:v>Entidad financiera A</x:v>
      </x:c>
      <x:c r="E1700" t="str">
        <x:v>Tarjeta de crédito</x:v>
      </x:c>
      <x:c r="F1700" t="n">
        <x:v>2980000</x:v>
      </x:c>
      <x:c r="G1700" s="40" t="n">
        <x:v>0.1927</x:v>
      </x:c>
      <x:c r="H1700" s="40" t="n">
        <x:v>0.014793</x:v>
      </x:c>
      <x:c r="I1700" t="n">
        <x:v>60</x:v>
      </x:c>
      <x:c r="J1700" t="n">
        <x:v>75300</x:v>
      </x:c>
      <x:c r="K1700" t="str">
        <x:v>Bola de nieve</x:v>
      </x:c>
      <x:c r="L1700" t="str">
        <x:v>Vigente</x:v>
      </x:c>
      <x:c r="M1700" t="n">
        <x:v>2768426.54</x:v>
      </x:c>
      <x:c r="N1700"/>
    </x:row>
    <x:row r="1701">
      <x:c r="A1701" t="str">
        <x:v>DEU-001700</x:v>
      </x:c>
      <x:c r="B1701" t="str">
        <x:v>USR-00875</x:v>
      </x:c>
      <x:c r="C1701" t="n">
        <x:v>46143</x:v>
      </x:c>
      <x:c r="D1701" t="str">
        <x:v>Financiera D</x:v>
      </x:c>
      <x:c r="E1701" t="str">
        <x:v>Crédito de consumo</x:v>
      </x:c>
      <x:c r="F1701" t="n">
        <x:v>5880000</x:v>
      </x:c>
      <x:c r="G1701" s="40" t="n">
        <x:v>0.272</x:v>
      </x:c>
      <x:c r="H1701" s="40" t="n">
        <x:v>0.020252</x:v>
      </x:c>
      <x:c r="I1701" t="n">
        <x:v>48</x:v>
      </x:c>
      <x:c r="J1701" t="n">
        <x:v>192700</x:v>
      </x:c>
      <x:c r="K1701" t="str">
        <x:v>Avalancha</x:v>
      </x:c>
      <x:c r="L1701" t="str">
        <x:v>Vigente</x:v>
      </x:c>
      <x:c r="M1701" t="n">
        <x:v>5523694.34</x:v>
      </x:c>
      <x:c r="N1701"/>
    </x:row>
    <x:row r="1702">
      <x:c r="A1702" t="str">
        <x:v>DEU-001701</x:v>
      </x:c>
      <x:c r="B1702" t="str">
        <x:v>USR-00875</x:v>
      </x:c>
      <x:c r="C1702" t="n">
        <x:v>46143</x:v>
      </x:c>
      <x:c r="D1702" t="str">
        <x:v>Financiera D</x:v>
      </x:c>
      <x:c r="E1702" t="str">
        <x:v>Crédito educativo</x:v>
      </x:c>
      <x:c r="F1702" t="n">
        <x:v>4450000</x:v>
      </x:c>
      <x:c r="G1702" s="40" t="n">
        <x:v>0.2335</x:v>
      </x:c>
      <x:c r="H1702" s="40" t="n">
        <x:v>0.017642</x:v>
      </x:c>
      <x:c r="I1702" t="n">
        <x:v>30</x:v>
      </x:c>
      <x:c r="J1702" t="n">
        <x:v>192300</x:v>
      </x:c>
      <x:c r="K1702" t="str">
        <x:v>Avalancha</x:v>
      </x:c>
      <x:c r="L1702" t="str">
        <x:v>Vigente</x:v>
      </x:c>
      <x:c r="M1702" t="n">
        <x:v>4191731.74</x:v>
      </x:c>
      <x:c r="N1702"/>
    </x:row>
    <x:row r="1703">
      <x:c r="A1703" t="str">
        <x:v>DEU-001702</x:v>
      </x:c>
      <x:c r="B1703" t="str">
        <x:v>USR-00875</x:v>
      </x:c>
      <x:c r="C1703" t="n">
        <x:v>46143</x:v>
      </x:c>
      <x:c r="D1703" t="str">
        <x:v>Entidad financiera A</x:v>
      </x:c>
      <x:c r="E1703" t="str">
        <x:v>Crédito educativo</x:v>
      </x:c>
      <x:c r="F1703" t="n">
        <x:v>18230000</x:v>
      </x:c>
      <x:c r="G1703" s="40" t="n">
        <x:v>0.1443</x:v>
      </x:c>
      <x:c r="H1703" s="40" t="n">
        <x:v>0.011296</x:v>
      </x:c>
      <x:c r="I1703" t="n">
        <x:v>24</x:v>
      </x:c>
      <x:c r="J1703" t="n">
        <x:v>871400</x:v>
      </x:c>
      <x:c r="K1703" t="str">
        <x:v>Avalancha</x:v>
      </x:c>
      <x:c r="L1703" t="str">
        <x:v>Vigente</x:v>
      </x:c>
      <x:c r="M1703" t="n">
        <x:v>15475695.81</x:v>
      </x:c>
      <x:c r="N1703"/>
    </x:row>
    <x:row r="1704">
      <x:c r="A1704" t="str">
        <x:v>DEU-001703</x:v>
      </x:c>
      <x:c r="B1704" t="str">
        <x:v>USR-00876</x:v>
      </x:c>
      <x:c r="C1704" t="n">
        <x:v>46143</x:v>
      </x:c>
      <x:c r="D1704" t="str">
        <x:v>Financiera D</x:v>
      </x:c>
      <x:c r="E1704" t="str">
        <x:v>Crédito de libre inversión</x:v>
      </x:c>
      <x:c r="F1704" t="n">
        <x:v>21650000</x:v>
      </x:c>
      <x:c r="G1704" s="40" t="n">
        <x:v>0.2989</x:v>
      </x:c>
      <x:c r="H1704" s="40" t="n">
        <x:v>0.022032</x:v>
      </x:c>
      <x:c r="I1704" t="n">
        <x:v>12</x:v>
      </x:c>
      <x:c r="J1704" t="n">
        <x:v>2072900</x:v>
      </x:c>
      <x:c r="K1704" t="str">
        <x:v>Bola de nieve</x:v>
      </x:c>
      <x:c r="L1704" t="str">
        <x:v>Vigente</x:v>
      </x:c>
      <x:c r="M1704" t="n">
        <x:v>17137333.95</x:v>
      </x:c>
      <x:c r="N1704"/>
    </x:row>
    <x:row r="1705">
      <x:c r="A1705" t="str">
        <x:v>DEU-001704</x:v>
      </x:c>
      <x:c r="B1705" t="str">
        <x:v>USR-00876</x:v>
      </x:c>
      <x:c r="C1705" t="n">
        <x:v>46143</x:v>
      </x:c>
      <x:c r="D1705" t="str">
        <x:v>Entidad financiera A</x:v>
      </x:c>
      <x:c r="E1705" t="str">
        <x:v>Tarjeta de crédito</x:v>
      </x:c>
      <x:c r="F1705" t="n">
        <x:v>760000</x:v>
      </x:c>
      <x:c r="G1705" s="40" t="n">
        <x:v>0.1655</x:v>
      </x:c>
      <x:c r="H1705" s="40" t="n">
        <x:v>0.012844</x:v>
      </x:c>
      <x:c r="I1705" t="n">
        <x:v>36</x:v>
      </x:c>
      <x:c r="J1705" t="n">
        <x:v>26500</x:v>
      </x:c>
      <x:c r="K1705" t="str">
        <x:v>Bola de nieve</x:v>
      </x:c>
      <x:c r="L1705" t="str">
        <x:v>Vigente</x:v>
      </x:c>
      <x:c r="M1705" t="n">
        <x:v>682477.92</x:v>
      </x:c>
      <x:c r="N1705"/>
    </x:row>
    <x:row r="1706">
      <x:c r="A1706" t="str">
        <x:v>DEU-001705</x:v>
      </x:c>
      <x:c r="B1706" t="str">
        <x:v>USR-00877</x:v>
      </x:c>
      <x:c r="C1706" t="n">
        <x:v>46143</x:v>
      </x:c>
      <x:c r="D1706" t="str">
        <x:v>Entidad financiera E</x:v>
      </x:c>
      <x:c r="E1706" t="str">
        <x:v>Tarjeta de crédito</x:v>
      </x:c>
      <x:c r="F1706" t="n">
        <x:v>8320000</x:v>
      </x:c>
      <x:c r="G1706" s="40" t="n">
        <x:v>0.1108</x:v>
      </x:c>
      <x:c r="H1706" s="40" t="n">
        <x:v>0.008795</x:v>
      </x:c>
      <x:c r="I1706" t="n">
        <x:v>48</x:v>
      </x:c>
      <x:c r="J1706" t="n">
        <x:v>213200</x:v>
      </x:c>
      <x:c r="K1706" t="str">
        <x:v>Avalancha</x:v>
      </x:c>
      <x:c r="L1706" t="str">
        <x:v>Vigente</x:v>
      </x:c>
      <x:c r="M1706" t="n">
        <x:v>8004957.39</x:v>
      </x:c>
      <x:c r="N1706"/>
    </x:row>
    <x:row r="1707">
      <x:c r="A1707" t="str">
        <x:v>DEU-001706</x:v>
      </x:c>
      <x:c r="B1707" t="str">
        <x:v>USR-00877</x:v>
      </x:c>
      <x:c r="C1707" t="n">
        <x:v>46143</x:v>
      </x:c>
      <x:c r="D1707" t="str">
        <x:v>Entidad financiera B</x:v>
      </x:c>
      <x:c r="E1707" t="str">
        <x:v>Tarjeta de crédito</x:v>
      </x:c>
      <x:c r="F1707" t="n">
        <x:v>4000000</x:v>
      </x:c>
      <x:c r="G1707" s="40" t="n">
        <x:v>0.1691</x:v>
      </x:c>
      <x:c r="H1707" s="40" t="n">
        <x:v>0.013105</x:v>
      </x:c>
      <x:c r="I1707" t="n">
        <x:v>60</x:v>
      </x:c>
      <x:c r="J1707" t="n">
        <x:v>96700</x:v>
      </x:c>
      <x:c r="K1707" t="str">
        <x:v>Bola de nieve</x:v>
      </x:c>
      <x:c r="L1707" t="str">
        <x:v>Vigente</x:v>
      </x:c>
      <x:c r="M1707" t="n">
        <x:v>3802085.81</x:v>
      </x:c>
      <x:c r="N1707"/>
    </x:row>
    <x:row r="1708">
      <x:c r="A1708" t="str">
        <x:v>DEU-001707</x:v>
      </x:c>
      <x:c r="B1708" t="str">
        <x:v>USR-00878</x:v>
      </x:c>
      <x:c r="C1708" t="n">
        <x:v>46143</x:v>
      </x:c>
      <x:c r="D1708" t="str">
        <x:v>Entidad financiera E</x:v>
      </x:c>
      <x:c r="E1708" t="str">
        <x:v>Crédito de libre inversión</x:v>
      </x:c>
      <x:c r="F1708" t="n">
        <x:v>18390000</x:v>
      </x:c>
      <x:c r="G1708" s="40" t="n">
        <x:v>0.317</x:v>
      </x:c>
      <x:c r="H1708" s="40" t="n">
        <x:v>0.023212</x:v>
      </x:c>
      <x:c r="I1708" t="n">
        <x:v>18</x:v>
      </x:c>
      <x:c r="J1708" t="n">
        <x:v>1261600</x:v>
      </x:c>
      <x:c r="K1708" t="str">
        <x:v>Avalancha</x:v>
      </x:c>
      <x:c r="L1708" t="str">
        <x:v>Vigente</x:v>
      </x:c>
      <x:c r="M1708" t="n">
        <x:v>15842143.31</x:v>
      </x:c>
      <x:c r="N1708"/>
    </x:row>
    <x:row r="1709">
      <x:c r="A1709" t="str">
        <x:v>DEU-001708</x:v>
      </x:c>
      <x:c r="B1709" t="str">
        <x:v>USR-00878</x:v>
      </x:c>
      <x:c r="C1709" t="n">
        <x:v>46143</x:v>
      </x:c>
      <x:c r="D1709" t="str">
        <x:v>Entidad financiera A</x:v>
      </x:c>
      <x:c r="E1709" t="str">
        <x:v>Tarjeta de crédito</x:v>
      </x:c>
      <x:c r="F1709" t="n">
        <x:v>4990000</x:v>
      </x:c>
      <x:c r="G1709" s="40" t="n">
        <x:v>0.2007</x:v>
      </x:c>
      <x:c r="H1709" s="40" t="n">
        <x:v>0.015359</x:v>
      </x:c>
      <x:c r="I1709" t="n">
        <x:v>12</x:v>
      </x:c>
      <x:c r="J1709" t="n">
        <x:v>458500</x:v>
      </x:c>
      <x:c r="K1709" t="str">
        <x:v>Avalancha</x:v>
      </x:c>
      <x:c r="L1709" t="str">
        <x:v>Vigente</x:v>
      </x:c>
      <x:c r="M1709" t="n">
        <x:v>3651566.83</x:v>
      </x:c>
      <x:c r="N1709"/>
    </x:row>
    <x:row r="1710">
      <x:c r="A1710" t="str">
        <x:v>DEU-001709</x:v>
      </x:c>
      <x:c r="B1710" t="str">
        <x:v>USR-00879</x:v>
      </x:c>
      <x:c r="C1710" t="n">
        <x:v>46143</x:v>
      </x:c>
      <x:c r="D1710" t="str">
        <x:v>Entidad financiera E</x:v>
      </x:c>
      <x:c r="E1710" t="str">
        <x:v>Tarjeta de crédito</x:v>
      </x:c>
      <x:c r="F1710" t="n">
        <x:v>6610000</x:v>
      </x:c>
      <x:c r="G1710" s="40" t="n">
        <x:v>0.195</x:v>
      </x:c>
      <x:c r="H1710" s="40" t="n">
        <x:v>0.014956</x:v>
      </x:c>
      <x:c r="I1710" t="n">
        <x:v>18</x:v>
      </x:c>
      <x:c r="J1710" t="n">
        <x:v>421600</x:v>
      </x:c>
      <x:c r="K1710" t="str">
        <x:v>Bola de nieve</x:v>
      </x:c>
      <x:c r="L1710" t="str">
        <x:v>Vigente</x:v>
      </x:c>
      <x:c r="M1710" t="n">
        <x:v>5246908.21</x:v>
      </x:c>
      <x:c r="N1710"/>
    </x:row>
    <x:row r="1711">
      <x:c r="A1711" t="str">
        <x:v>DEU-001710</x:v>
      </x:c>
      <x:c r="B1711" t="str">
        <x:v>USR-00880</x:v>
      </x:c>
      <x:c r="C1711" t="n">
        <x:v>46143</x:v>
      </x:c>
      <x:c r="D1711" t="str">
        <x:v>Entidad financiera E</x:v>
      </x:c>
      <x:c r="E1711" t="str">
        <x:v>Crédito de consumo</x:v>
      </x:c>
      <x:c r="F1711" t="n">
        <x:v>16460000</x:v>
      </x:c>
      <x:c r="G1711" s="40" t="n">
        <x:v>0.2086</x:v>
      </x:c>
      <x:c r="H1711" s="40" t="n">
        <x:v>0.015914</x:v>
      </x:c>
      <x:c r="I1711" t="n">
        <x:v>18</x:v>
      </x:c>
      <x:c r="J1711" t="n">
        <x:v>1058900</x:v>
      </x:c>
      <x:c r="K1711" t="str">
        <x:v>Avalancha</x:v>
      </x:c>
      <x:c r="L1711" t="str">
        <x:v>Vigente</x:v>
      </x:c>
      <x:c r="M1711" t="n">
        <x:v>14514970.68</x:v>
      </x:c>
      <x:c r="N1711"/>
    </x:row>
    <x:row r="1712">
      <x:c r="A1712" t="str">
        <x:v>DEU-001711</x:v>
      </x:c>
      <x:c r="B1712" t="str">
        <x:v>USR-00881</x:v>
      </x:c>
      <x:c r="C1712" t="n">
        <x:v>46143</x:v>
      </x:c>
      <x:c r="D1712" t="str">
        <x:v>Entidad financiera A</x:v>
      </x:c>
      <x:c r="E1712" t="str">
        <x:v>Tarjeta de crédito</x:v>
      </x:c>
      <x:c r="F1712" t="n">
        <x:v>1730000</x:v>
      </x:c>
      <x:c r="G1712" s="40" t="n">
        <x:v>0.1259</x:v>
      </x:c>
      <x:c r="H1712" s="40" t="n">
        <x:v>0.009931</x:v>
      </x:c>
      <x:c r="I1712" t="n">
        <x:v>12</x:v>
      </x:c>
      <x:c r="J1712" t="n">
        <x:v>153600</x:v>
      </x:c>
      <x:c r="K1712" t="str">
        <x:v>Avalancha</x:v>
      </x:c>
      <x:c r="L1712" t="str">
        <x:v>Vigente</x:v>
      </x:c>
      <x:c r="M1712" t="n">
        <x:v>1085989.01</x:v>
      </x:c>
      <x:c r="N1712"/>
    </x:row>
    <x:row r="1713">
      <x:c r="A1713" t="str">
        <x:v>DEU-001712</x:v>
      </x:c>
      <x:c r="B1713" t="str">
        <x:v>USR-00881</x:v>
      </x:c>
      <x:c r="C1713" t="n">
        <x:v>46143</x:v>
      </x:c>
      <x:c r="D1713" t="str">
        <x:v>Entidad financiera A</x:v>
      </x:c>
      <x:c r="E1713" t="str">
        <x:v>Crédito de vehículo</x:v>
      </x:c>
      <x:c r="F1713" t="n">
        <x:v>55050000</x:v>
      </x:c>
      <x:c r="G1713" s="40" t="n">
        <x:v>0.2018</x:v>
      </x:c>
      <x:c r="H1713" s="40" t="n">
        <x:v>0.015436</x:v>
      </x:c>
      <x:c r="I1713" t="n">
        <x:v>30</x:v>
      </x:c>
      <x:c r="J1713" t="n">
        <x:v>2306400</x:v>
      </x:c>
      <x:c r="K1713" t="str">
        <x:v>Bola de nieve</x:v>
      </x:c>
      <x:c r="L1713" t="str">
        <x:v>Vigente</x:v>
      </x:c>
      <x:c r="M1713" t="n">
        <x:v>50468024.68</x:v>
      </x:c>
      <x:c r="N1713"/>
    </x:row>
    <x:row r="1714">
      <x:c r="A1714" t="str">
        <x:v>DEU-001713</x:v>
      </x:c>
      <x:c r="B1714" t="str">
        <x:v>USR-00882</x:v>
      </x:c>
      <x:c r="C1714" t="n">
        <x:v>46143</x:v>
      </x:c>
      <x:c r="D1714" t="str">
        <x:v>Entidad financiera B</x:v>
      </x:c>
      <x:c r="E1714" t="str">
        <x:v>Tarjeta de crédito</x:v>
      </x:c>
      <x:c r="F1714" t="n">
        <x:v>4550000</x:v>
      </x:c>
      <x:c r="G1714" s="40" t="n">
        <x:v>0.1084</x:v>
      </x:c>
      <x:c r="H1714" s="40" t="n">
        <x:v>0.008613</x:v>
      </x:c>
      <x:c r="I1714" t="n">
        <x:v>30</x:v>
      </x:c>
      <x:c r="J1714" t="n">
        <x:v>172800</x:v>
      </x:c>
      <x:c r="K1714" t="str">
        <x:v>Bola de nieve</x:v>
      </x:c>
      <x:c r="L1714" t="str">
        <x:v>Vigente</x:v>
      </x:c>
      <x:c r="M1714" t="n">
        <x:v>3886464.86</x:v>
      </x:c>
      <x:c r="N1714"/>
    </x:row>
    <x:row r="1715">
      <x:c r="A1715" t="str">
        <x:v>DEU-001714</x:v>
      </x:c>
      <x:c r="B1715" t="str">
        <x:v>USR-00882</x:v>
      </x:c>
      <x:c r="C1715" t="n">
        <x:v>46143</x:v>
      </x:c>
      <x:c r="D1715" t="str">
        <x:v>Entidad financiera E</x:v>
      </x:c>
      <x:c r="E1715" t="str">
        <x:v>Tarjeta de crédito</x:v>
      </x:c>
      <x:c r="F1715" t="n">
        <x:v>4100000</x:v>
      </x:c>
      <x:c r="G1715" s="40" t="n">
        <x:v>0.3253</x:v>
      </x:c>
      <x:c r="H1715" s="40" t="n">
        <x:v>0.023747</x:v>
      </x:c>
      <x:c r="I1715" t="n">
        <x:v>24</x:v>
      </x:c>
      <x:c r="J1715" t="n">
        <x:v>226100</x:v>
      </x:c>
      <x:c r="K1715" t="str">
        <x:v>Bola de nieve</x:v>
      </x:c>
      <x:c r="L1715" t="str">
        <x:v>Vigente</x:v>
      </x:c>
      <x:c r="M1715" t="n">
        <x:v>3677732.52</x:v>
      </x:c>
      <x:c r="N1715"/>
    </x:row>
    <x:row r="1716">
      <x:c r="A1716" t="str">
        <x:v>DEU-001715</x:v>
      </x:c>
      <x:c r="B1716" t="str">
        <x:v>USR-00882</x:v>
      </x:c>
      <x:c r="C1716" t="n">
        <x:v>46143</x:v>
      </x:c>
      <x:c r="D1716" t="str">
        <x:v>Entidad financiera E</x:v>
      </x:c>
      <x:c r="E1716" t="str">
        <x:v>Crédito de vehículo</x:v>
      </x:c>
      <x:c r="F1716" t="n">
        <x:v>13680000</x:v>
      </x:c>
      <x:c r="G1716" s="40" t="n">
        <x:v>0.25</x:v>
      </x:c>
      <x:c r="H1716" s="40" t="n">
        <x:v>0.018769</x:v>
      </x:c>
      <x:c r="I1716" t="n">
        <x:v>18</x:v>
      </x:c>
      <x:c r="J1716" t="n">
        <x:v>902600</x:v>
      </x:c>
      <x:c r="K1716" t="str">
        <x:v>Avalancha</x:v>
      </x:c>
      <x:c r="L1716" t="str">
        <x:v>Vigente</x:v>
      </x:c>
      <x:c r="M1716" t="n">
        <x:v>11128218.36</x:v>
      </x:c>
      <x:c r="N1716"/>
    </x:row>
    <x:row r="1717">
      <x:c r="A1717" t="str">
        <x:v>DEU-001716</x:v>
      </x:c>
      <x:c r="B1717" t="str">
        <x:v>USR-00882</x:v>
      </x:c>
      <x:c r="C1717" t="n">
        <x:v>46143</x:v>
      </x:c>
      <x:c r="D1717" t="str">
        <x:v>Cooperativa C</x:v>
      </x:c>
      <x:c r="E1717" t="str">
        <x:v>Crédito de vehículo</x:v>
      </x:c>
      <x:c r="F1717" t="n">
        <x:v>20720000</x:v>
      </x:c>
      <x:c r="G1717" s="40" t="n">
        <x:v>0.1633</x:v>
      </x:c>
      <x:c r="H1717" s="40" t="n">
        <x:v>0.012685</x:v>
      </x:c>
      <x:c r="I1717" t="n">
        <x:v>12</x:v>
      </x:c>
      <x:c r="J1717" t="n">
        <x:v>1872300</x:v>
      </x:c>
      <x:c r="K1717" t="str">
        <x:v>Avalancha</x:v>
      </x:c>
      <x:c r="L1717" t="str">
        <x:v>Vigente</x:v>
      </x:c>
      <x:c r="M1717" t="n">
        <x:v>14794403.29</x:v>
      </x:c>
      <x:c r="N1717"/>
    </x:row>
    <x:row r="1718">
      <x:c r="A1718" t="str">
        <x:v>DEU-001717</x:v>
      </x:c>
      <x:c r="B1718" t="str">
        <x:v>USR-00883</x:v>
      </x:c>
      <x:c r="C1718" t="n">
        <x:v>46143</x:v>
      </x:c>
      <x:c r="D1718" t="str">
        <x:v>Entidad financiera E</x:v>
      </x:c>
      <x:c r="E1718" t="str">
        <x:v>Crédito de consumo</x:v>
      </x:c>
      <x:c r="F1718" t="n">
        <x:v>10350000</x:v>
      </x:c>
      <x:c r="G1718" s="40" t="n">
        <x:v>0.1054</x:v>
      </x:c>
      <x:c r="H1718" s="40" t="n">
        <x:v>0.008386</x:v>
      </x:c>
      <x:c r="I1718" t="n">
        <x:v>24</x:v>
      </x:c>
      <x:c r="J1718" t="n">
        <x:v>477900</x:v>
      </x:c>
      <x:c r="K1718" t="str">
        <x:v>Bola de nieve</x:v>
      </x:c>
      <x:c r="L1718" t="str">
        <x:v>Vigente</x:v>
      </x:c>
      <x:c r="M1718" t="n">
        <x:v>9174144.79</x:v>
      </x:c>
      <x:c r="N1718"/>
    </x:row>
    <x:row r="1719">
      <x:c r="A1719" t="str">
        <x:v>DEU-001718</x:v>
      </x:c>
      <x:c r="B1719" t="str">
        <x:v>USR-00883</x:v>
      </x:c>
      <x:c r="C1719" t="n">
        <x:v>46143</x:v>
      </x:c>
      <x:c r="D1719" t="str">
        <x:v>Entidad financiera E</x:v>
      </x:c>
      <x:c r="E1719" t="str">
        <x:v>Tarjeta de crédito</x:v>
      </x:c>
      <x:c r="F1719" t="n">
        <x:v>6510000</x:v>
      </x:c>
      <x:c r="G1719" s="40" t="n">
        <x:v>0.2127</x:v>
      </x:c>
      <x:c r="H1719" s="40" t="n">
        <x:v>0.016201</x:v>
      </x:c>
      <x:c r="I1719" t="n">
        <x:v>30</x:v>
      </x:c>
      <x:c r="J1719" t="n">
        <x:v>275700</x:v>
      </x:c>
      <x:c r="K1719" t="str">
        <x:v>Bola de nieve</x:v>
      </x:c>
      <x:c r="L1719" t="str">
        <x:v>Vigente</x:v>
      </x:c>
      <x:c r="M1719" t="n">
        <x:v>6443589.89</x:v>
      </x:c>
      <x:c r="N1719"/>
    </x:row>
    <x:row r="1720">
      <x:c r="A1720" t="str">
        <x:v>DEU-001719</x:v>
      </x:c>
      <x:c r="B1720" t="str">
        <x:v>USR-00884</x:v>
      </x:c>
      <x:c r="C1720" t="n">
        <x:v>46143</x:v>
      </x:c>
      <x:c r="D1720" t="str">
        <x:v>Cooperativa C</x:v>
      </x:c>
      <x:c r="E1720" t="str">
        <x:v>Tarjeta de crédito</x:v>
      </x:c>
      <x:c r="F1720" t="n">
        <x:v>2580000</x:v>
      </x:c>
      <x:c r="G1720" s="40" t="n">
        <x:v>0.1358</x:v>
      </x:c>
      <x:c r="H1720" s="40" t="n">
        <x:v>0.010668</x:v>
      </x:c>
      <x:c r="I1720" t="n">
        <x:v>18</x:v>
      </x:c>
      <x:c r="J1720" t="n">
        <x:v>158300</x:v>
      </x:c>
      <x:c r="K1720" t="str">
        <x:v>Bola de nieve</x:v>
      </x:c>
      <x:c r="L1720" t="str">
        <x:v>Vigente</x:v>
      </x:c>
      <x:c r="M1720" t="n">
        <x:v>2301906.02</x:v>
      </x:c>
      <x:c r="N1720"/>
    </x:row>
    <x:row r="1721">
      <x:c r="A1721" t="str">
        <x:v>DEU-001720</x:v>
      </x:c>
      <x:c r="B1721" t="str">
        <x:v>USR-00885</x:v>
      </x:c>
      <x:c r="C1721" t="n">
        <x:v>46143</x:v>
      </x:c>
      <x:c r="D1721" t="str">
        <x:v>Entidad financiera E</x:v>
      </x:c>
      <x:c r="E1721" t="str">
        <x:v>Crédito de consumo</x:v>
      </x:c>
      <x:c r="F1721" t="n">
        <x:v>11340000</x:v>
      </x:c>
      <x:c r="G1721" s="40" t="n">
        <x:v>0.2655</x:v>
      </x:c>
      <x:c r="H1721" s="40" t="n">
        <x:v>0.019816</x:v>
      </x:c>
      <x:c r="I1721" t="n">
        <x:v>18</x:v>
      </x:c>
      <x:c r="J1721" t="n">
        <x:v>755200</x:v>
      </x:c>
      <x:c r="K1721" t="str">
        <x:v>Avalancha</x:v>
      </x:c>
      <x:c r="L1721" t="str">
        <x:v>Vigente</x:v>
      </x:c>
      <x:c r="M1721" t="n">
        <x:v>8765118.67</x:v>
      </x:c>
      <x:c r="N1721"/>
    </x:row>
    <x:row r="1722">
      <x:c r="A1722" t="str">
        <x:v>DEU-001721</x:v>
      </x:c>
      <x:c r="B1722" t="str">
        <x:v>USR-00885</x:v>
      </x:c>
      <x:c r="C1722" t="n">
        <x:v>46143</x:v>
      </x:c>
      <x:c r="D1722" t="str">
        <x:v>Financiera D</x:v>
      </x:c>
      <x:c r="E1722" t="str">
        <x:v>Crédito de vehículo</x:v>
      </x:c>
      <x:c r="F1722" t="n">
        <x:v>14050000</x:v>
      </x:c>
      <x:c r="G1722" s="40" t="n">
        <x:v>0.1227</x:v>
      </x:c>
      <x:c r="H1722" s="40" t="n">
        <x:v>0.009691</x:v>
      </x:c>
      <x:c r="I1722" t="n">
        <x:v>36</x:v>
      </x:c>
      <x:c r="J1722" t="n">
        <x:v>464200</x:v>
      </x:c>
      <x:c r="K1722" t="str">
        <x:v>Bola de nieve</x:v>
      </x:c>
      <x:c r="L1722" t="str">
        <x:v>Vigente</x:v>
      </x:c>
      <x:c r="M1722" t="n">
        <x:v>13158791.52</x:v>
      </x:c>
      <x:c r="N1722"/>
    </x:row>
    <x:row r="1723">
      <x:c r="A1723" t="str">
        <x:v>DEU-001722</x:v>
      </x:c>
      <x:c r="B1723" t="str">
        <x:v>USR-00885</x:v>
      </x:c>
      <x:c r="C1723" t="n">
        <x:v>46143</x:v>
      </x:c>
      <x:c r="D1723" t="str">
        <x:v>Financiera D</x:v>
      </x:c>
      <x:c r="E1723" t="str">
        <x:v>Crédito de consumo</x:v>
      </x:c>
      <x:c r="F1723" t="n">
        <x:v>12580000</x:v>
      </x:c>
      <x:c r="G1723" s="40" t="n">
        <x:v>0.2223</x:v>
      </x:c>
      <x:c r="H1723" s="40" t="n">
        <x:v>0.016869</x:v>
      </x:c>
      <x:c r="I1723" t="n">
        <x:v>60</x:v>
      </x:c>
      <x:c r="J1723" t="n">
        <x:v>335000</x:v>
      </x:c>
      <x:c r="K1723" t="str">
        <x:v>Avalancha</x:v>
      </x:c>
      <x:c r="L1723" t="str">
        <x:v>Vigente</x:v>
      </x:c>
      <x:c r="M1723" t="n">
        <x:v>12933498.96</x:v>
      </x:c>
      <x:c r="N1723"/>
    </x:row>
    <x:row r="1724">
      <x:c r="A1724" t="str">
        <x:v>DEU-001723</x:v>
      </x:c>
      <x:c r="B1724" t="str">
        <x:v>USR-00885</x:v>
      </x:c>
      <x:c r="C1724" t="n">
        <x:v>46143</x:v>
      </x:c>
      <x:c r="D1724" t="str">
        <x:v>Entidad financiera B</x:v>
      </x:c>
      <x:c r="E1724" t="str">
        <x:v>Tarjeta de crédito</x:v>
      </x:c>
      <x:c r="F1724" t="n">
        <x:v>8220000</x:v>
      </x:c>
      <x:c r="G1724" s="40" t="n">
        <x:v>0.2573</x:v>
      </x:c>
      <x:c r="H1724" s="40" t="n">
        <x:v>0.019264</x:v>
      </x:c>
      <x:c r="I1724" t="n">
        <x:v>48</x:v>
      </x:c>
      <x:c r="J1724" t="n">
        <x:v>264000</x:v>
      </x:c>
      <x:c r="K1724" t="str">
        <x:v>Bola de nieve</x:v>
      </x:c>
      <x:c r="L1724" t="str">
        <x:v>Vigente</x:v>
      </x:c>
      <x:c r="M1724" t="n">
        <x:v>7955929.4</x:v>
      </x:c>
      <x:c r="N1724"/>
    </x:row>
    <x:row r="1725">
      <x:c r="A1725" t="str">
        <x:v>DEU-001724</x:v>
      </x:c>
      <x:c r="B1725" t="str">
        <x:v>USR-00885</x:v>
      </x:c>
      <x:c r="C1725" t="n">
        <x:v>46143</x:v>
      </x:c>
      <x:c r="D1725" t="str">
        <x:v>Cooperativa C</x:v>
      </x:c>
      <x:c r="E1725" t="str">
        <x:v>Tarjeta de crédito</x:v>
      </x:c>
      <x:c r="F1725" t="n">
        <x:v>650000</x:v>
      </x:c>
      <x:c r="G1725" s="40" t="n">
        <x:v>0.1929</x:v>
      </x:c>
      <x:c r="H1725" s="40" t="n">
        <x:v>0.014808</x:v>
      </x:c>
      <x:c r="I1725" t="n">
        <x:v>60</x:v>
      </x:c>
      <x:c r="J1725" t="n">
        <x:v>16400</x:v>
      </x:c>
      <x:c r="K1725" t="str">
        <x:v>Bola de nieve</x:v>
      </x:c>
      <x:c r="L1725" t="str">
        <x:v>Vigente</x:v>
      </x:c>
      <x:c r="M1725" t="n">
        <x:v>623425.79</x:v>
      </x:c>
      <x:c r="N1725"/>
    </x:row>
    <x:row r="1726">
      <x:c r="A1726" t="str">
        <x:v>DEU-001725</x:v>
      </x:c>
      <x:c r="B1726" t="str">
        <x:v>USR-00886</x:v>
      </x:c>
      <x:c r="C1726" t="n">
        <x:v>46143</x:v>
      </x:c>
      <x:c r="D1726" t="str">
        <x:v>Entidad financiera B</x:v>
      </x:c>
      <x:c r="E1726" t="str">
        <x:v>Crédito de consumo</x:v>
      </x:c>
      <x:c r="F1726" t="n">
        <x:v>2500000</x:v>
      </x:c>
      <x:c r="G1726" s="40" t="n">
        <x:v>0.298</x:v>
      </x:c>
      <x:c r="H1726" s="40" t="n">
        <x:v>0.021973</x:v>
      </x:c>
      <x:c r="I1726" t="n">
        <x:v>36</x:v>
      </x:c>
      <x:c r="J1726" t="n">
        <x:v>101200</x:v>
      </x:c>
      <x:c r="K1726" t="str">
        <x:v>Bola de nieve</x:v>
      </x:c>
      <x:c r="L1726" t="str">
        <x:v>Vigente</x:v>
      </x:c>
      <x:c r="M1726" t="n">
        <x:v>2407198</x:v>
      </x:c>
      <x:c r="N1726"/>
    </x:row>
    <x:row r="1727">
      <x:c r="A1727" t="str">
        <x:v>DEU-001726</x:v>
      </x:c>
      <x:c r="B1727" t="str">
        <x:v>USR-00887</x:v>
      </x:c>
      <x:c r="C1727" t="n">
        <x:v>46143</x:v>
      </x:c>
      <x:c r="D1727" t="str">
        <x:v>Financiera D</x:v>
      </x:c>
      <x:c r="E1727" t="str">
        <x:v>Crédito de libre inversión</x:v>
      </x:c>
      <x:c r="F1727" t="n">
        <x:v>16260000</x:v>
      </x:c>
      <x:c r="G1727" s="40" t="n">
        <x:v>0.2284</x:v>
      </x:c>
      <x:c r="H1727" s="40" t="n">
        <x:v>0.01729</x:v>
      </x:c>
      <x:c r="I1727" t="n">
        <x:v>36</x:v>
      </x:c>
      <x:c r="J1727" t="n">
        <x:v>610500</x:v>
      </x:c>
      <x:c r="K1727" t="str">
        <x:v>Avalancha</x:v>
      </x:c>
      <x:c r="L1727" t="str">
        <x:v>Vigente</x:v>
      </x:c>
      <x:c r="M1727" t="n">
        <x:v>15088461.99</x:v>
      </x:c>
      <x:c r="N1727"/>
    </x:row>
    <x:row r="1728">
      <x:c r="A1728" t="str">
        <x:v>DEU-001727</x:v>
      </x:c>
      <x:c r="B1728" t="str">
        <x:v>USR-00887</x:v>
      </x:c>
      <x:c r="C1728" t="n">
        <x:v>46143</x:v>
      </x:c>
      <x:c r="D1728" t="str">
        <x:v>Entidad financiera B</x:v>
      </x:c>
      <x:c r="E1728" t="str">
        <x:v>Tarjeta de crédito</x:v>
      </x:c>
      <x:c r="F1728" t="n">
        <x:v>6360000</x:v>
      </x:c>
      <x:c r="G1728" s="40" t="n">
        <x:v>0.3409</x:v>
      </x:c>
      <x:c r="H1728" s="40" t="n">
        <x:v>0.024746</x:v>
      </x:c>
      <x:c r="I1728" t="n">
        <x:v>18</x:v>
      </x:c>
      <x:c r="J1728" t="n">
        <x:v>442100</x:v>
      </x:c>
      <x:c r="K1728" t="str">
        <x:v>Avalancha</x:v>
      </x:c>
      <x:c r="L1728" t="str">
        <x:v>Vigente</x:v>
      </x:c>
      <x:c r="M1728" t="n">
        <x:v>4552459.37</x:v>
      </x:c>
      <x:c r="N1728"/>
    </x:row>
    <x:row r="1729">
      <x:c r="A1729" t="str">
        <x:v>DEU-001728</x:v>
      </x:c>
      <x:c r="B1729" t="str">
        <x:v>USR-00888</x:v>
      </x:c>
      <x:c r="C1729" t="n">
        <x:v>46143</x:v>
      </x:c>
      <x:c r="D1729" t="str">
        <x:v>Financiera D</x:v>
      </x:c>
      <x:c r="E1729" t="str">
        <x:v>Tarjeta de crédito</x:v>
      </x:c>
      <x:c r="F1729" t="n">
        <x:v>8020000</x:v>
      </x:c>
      <x:c r="G1729" s="40" t="n">
        <x:v>0.2577</x:v>
      </x:c>
      <x:c r="H1729" s="40" t="n">
        <x:v>0.019291</x:v>
      </x:c>
      <x:c r="I1729" t="n">
        <x:v>18</x:v>
      </x:c>
      <x:c r="J1729" t="n">
        <x:v>531600</x:v>
      </x:c>
      <x:c r="K1729" t="str">
        <x:v>Bola de nieve</x:v>
      </x:c>
      <x:c r="L1729" t="str">
        <x:v>Vigente</x:v>
      </x:c>
      <x:c r="M1729" t="n">
        <x:v>7226873.88</x:v>
      </x:c>
      <x:c r="N1729"/>
    </x:row>
    <x:row r="1730">
      <x:c r="A1730" t="str">
        <x:v>DEU-001729</x:v>
      </x:c>
      <x:c r="B1730" t="str">
        <x:v>USR-00888</x:v>
      </x:c>
      <x:c r="C1730" t="n">
        <x:v>46143</x:v>
      </x:c>
      <x:c r="D1730" t="str">
        <x:v>Entidad financiera E</x:v>
      </x:c>
      <x:c r="E1730" t="str">
        <x:v>Crédito de vehículo</x:v>
      </x:c>
      <x:c r="F1730" t="n">
        <x:v>23980000</x:v>
      </x:c>
      <x:c r="G1730" s="40" t="n">
        <x:v>0.2548</x:v>
      </x:c>
      <x:c r="H1730" s="40" t="n">
        <x:v>0.019095</x:v>
      </x:c>
      <x:c r="I1730" t="n">
        <x:v>18</x:v>
      </x:c>
      <x:c r="J1730" t="n">
        <x:v>1586800</x:v>
      </x:c>
      <x:c r="K1730" t="str">
        <x:v>Avalancha</x:v>
      </x:c>
      <x:c r="L1730" t="str">
        <x:v>Vigente</x:v>
      </x:c>
      <x:c r="M1730" t="n">
        <x:v>20705909.68</x:v>
      </x:c>
      <x:c r="N1730"/>
    </x:row>
    <x:row r="1731">
      <x:c r="A1731" t="str">
        <x:v>DEU-001730</x:v>
      </x:c>
      <x:c r="B1731" t="str">
        <x:v>USR-00889</x:v>
      </x:c>
      <x:c r="C1731" t="n">
        <x:v>46143</x:v>
      </x:c>
      <x:c r="D1731" t="str">
        <x:v>Entidad financiera A</x:v>
      </x:c>
      <x:c r="E1731" t="str">
        <x:v>Crédito de consumo</x:v>
      </x:c>
      <x:c r="F1731" t="n">
        <x:v>14760000</x:v>
      </x:c>
      <x:c r="G1731" s="40" t="n">
        <x:v>0.1449</x:v>
      </x:c>
      <x:c r="H1731" s="40" t="n">
        <x:v>0.01134</x:v>
      </x:c>
      <x:c r="I1731" t="n">
        <x:v>60</x:v>
      </x:c>
      <x:c r="J1731" t="n">
        <x:v>340400</x:v>
      </x:c>
      <x:c r="K1731" t="str">
        <x:v>Avalancha</x:v>
      </x:c>
      <x:c r="L1731" t="str">
        <x:v>Vigente</x:v>
      </x:c>
      <x:c r="M1731" t="n">
        <x:v>14391500.88</x:v>
      </x:c>
      <x:c r="N1731"/>
    </x:row>
    <x:row r="1732">
      <x:c r="A1732" t="str">
        <x:v>DEU-001731</x:v>
      </x:c>
      <x:c r="B1732" t="str">
        <x:v>USR-00890</x:v>
      </x:c>
      <x:c r="C1732" t="n">
        <x:v>46143</x:v>
      </x:c>
      <x:c r="D1732" t="str">
        <x:v>Cooperativa C</x:v>
      </x:c>
      <x:c r="E1732" t="str">
        <x:v>Crédito de consumo</x:v>
      </x:c>
      <x:c r="F1732" t="n">
        <x:v>8880000</x:v>
      </x:c>
      <x:c r="G1732" s="40" t="n">
        <x:v>0.1589</x:v>
      </x:c>
      <x:c r="H1732" s="40" t="n">
        <x:v>0.012365</x:v>
      </x:c>
      <x:c r="I1732" t="n">
        <x:v>30</x:v>
      </x:c>
      <x:c r="J1732" t="n">
        <x:v>356100</x:v>
      </x:c>
      <x:c r="K1732" t="str">
        <x:v>Bola de nieve</x:v>
      </x:c>
      <x:c r="L1732" t="str">
        <x:v>Vigente</x:v>
      </x:c>
      <x:c r="M1732" t="n">
        <x:v>9036211.26</x:v>
      </x:c>
      <x:c r="N1732"/>
    </x:row>
    <x:row r="1733">
      <x:c r="A1733" t="str">
        <x:v>DEU-001732</x:v>
      </x:c>
      <x:c r="B1733" t="str">
        <x:v>USR-00891</x:v>
      </x:c>
      <x:c r="C1733" t="n">
        <x:v>46143</x:v>
      </x:c>
      <x:c r="D1733" t="str">
        <x:v>Cooperativa C</x:v>
      </x:c>
      <x:c r="E1733" t="str">
        <x:v>Tarjeta de crédito</x:v>
      </x:c>
      <x:c r="F1733" t="n">
        <x:v>6660000</x:v>
      </x:c>
      <x:c r="G1733" s="40" t="n">
        <x:v>0.2844</x:v>
      </x:c>
      <x:c r="H1733" s="40" t="n">
        <x:v>0.021077</x:v>
      </x:c>
      <x:c r="I1733" t="n">
        <x:v>24</x:v>
      </x:c>
      <x:c r="J1733" t="n">
        <x:v>356400</x:v>
      </x:c>
      <x:c r="K1733" t="str">
        <x:v>Avalancha</x:v>
      </x:c>
      <x:c r="L1733" t="str">
        <x:v>Vigente</x:v>
      </x:c>
      <x:c r="M1733" t="n">
        <x:v>5524014.63</x:v>
      </x:c>
      <x:c r="N1733"/>
    </x:row>
    <x:row r="1734">
      <x:c r="A1734" t="str">
        <x:v>DEU-001733</x:v>
      </x:c>
      <x:c r="B1734" t="str">
        <x:v>USR-00891</x:v>
      </x:c>
      <x:c r="C1734" t="n">
        <x:v>46143</x:v>
      </x:c>
      <x:c r="D1734" t="str">
        <x:v>Entidad financiera B</x:v>
      </x:c>
      <x:c r="E1734" t="str">
        <x:v>Crédito de vehículo</x:v>
      </x:c>
      <x:c r="F1734" t="n">
        <x:v>23940000</x:v>
      </x:c>
      <x:c r="G1734" s="40" t="n">
        <x:v>0.1337</x:v>
      </x:c>
      <x:c r="H1734" s="40" t="n">
        <x:v>0.010512</x:v>
      </x:c>
      <x:c r="I1734" t="n">
        <x:v>30</x:v>
      </x:c>
      <x:c r="J1734" t="n">
        <x:v>934600</x:v>
      </x:c>
      <x:c r="K1734" t="str">
        <x:v>Avalancha</x:v>
      </x:c>
      <x:c r="L1734" t="str">
        <x:v>Vigente</x:v>
      </x:c>
      <x:c r="M1734" t="n">
        <x:v>21446864.56</x:v>
      </x:c>
      <x:c r="N1734"/>
    </x:row>
    <x:row r="1735">
      <x:c r="A1735" t="str">
        <x:v>DEU-001734</x:v>
      </x:c>
      <x:c r="B1735" t="str">
        <x:v>USR-00179</x:v>
      </x:c>
      <x:c r="C1735" t="n">
        <x:v>46174</x:v>
      </x:c>
      <x:c r="D1735" t="str">
        <x:v>Financiera D</x:v>
      </x:c>
      <x:c r="E1735" t="str">
        <x:v>Tarjeta de crédito</x:v>
      </x:c>
      <x:c r="F1735" t="n">
        <x:v>4050000</x:v>
      </x:c>
      <x:c r="G1735" s="40" t="n">
        <x:v>0.2068</x:v>
      </x:c>
      <x:c r="H1735" s="40" t="n">
        <x:v>0.015788</x:v>
      </x:c>
      <x:c r="I1735" t="n">
        <x:v>30</x:v>
      </x:c>
      <x:c r="J1735" t="n">
        <x:v>170500</x:v>
      </x:c>
      <x:c r="K1735" t="str">
        <x:v>Avalancha</x:v>
      </x:c>
      <x:c r="L1735" t="str">
        <x:v>Vigente</x:v>
      </x:c>
      <x:c r="M1735" t="n">
        <x:v>3873273.49</x:v>
      </x:c>
      <x:c r="N1735"/>
    </x:row>
    <x:row r="1736">
      <x:c r="A1736" t="str">
        <x:v>DEU-001735</x:v>
      </x:c>
      <x:c r="B1736" t="str">
        <x:v>USR-00316</x:v>
      </x:c>
      <x:c r="C1736" t="n">
        <x:v>46174</x:v>
      </x:c>
      <x:c r="D1736" t="str">
        <x:v>Cooperativa C</x:v>
      </x:c>
      <x:c r="E1736" t="str">
        <x:v>Crédito de consumo</x:v>
      </x:c>
      <x:c r="F1736" t="n">
        <x:v>12040000</x:v>
      </x:c>
      <x:c r="G1736" s="40" t="n">
        <x:v>0.3172</x:v>
      </x:c>
      <x:c r="H1736" s="40" t="n">
        <x:v>0.023225</x:v>
      </x:c>
      <x:c r="I1736" t="n">
        <x:v>30</x:v>
      </x:c>
      <x:c r="J1736" t="n">
        <x:v>561700</x:v>
      </x:c>
      <x:c r="K1736" t="str">
        <x:v>Avalancha</x:v>
      </x:c>
      <x:c r="L1736" t="str">
        <x:v>Vigente</x:v>
      </x:c>
      <x:c r="M1736" t="n">
        <x:v>11548386.62</x:v>
      </x:c>
      <x:c r="N1736"/>
    </x:row>
    <x:row r="1737">
      <x:c r="A1737" t="str">
        <x:v>DEU-001736</x:v>
      </x:c>
      <x:c r="B1737" t="str">
        <x:v>USR-00477</x:v>
      </x:c>
      <x:c r="C1737" t="n">
        <x:v>46174</x:v>
      </x:c>
      <x:c r="D1737" t="str">
        <x:v>Entidad financiera A</x:v>
      </x:c>
      <x:c r="E1737" t="str">
        <x:v>Crédito de libre inversión</x:v>
      </x:c>
      <x:c r="F1737" t="n">
        <x:v>12360000</x:v>
      </x:c>
      <x:c r="G1737" s="40" t="n">
        <x:v>0.2431</x:v>
      </x:c>
      <x:c r="H1737" s="40" t="n">
        <x:v>0.018299</x:v>
      </x:c>
      <x:c r="I1737" t="n">
        <x:v>12</x:v>
      </x:c>
      <x:c r="J1737" t="n">
        <x:v>1156600</x:v>
      </x:c>
      <x:c r="K1737" t="str">
        <x:v>Bola de nieve</x:v>
      </x:c>
      <x:c r="L1737" t="str">
        <x:v>Vigente</x:v>
      </x:c>
      <x:c r="M1737" t="n">
        <x:v>8766215.53</x:v>
      </x:c>
      <x:c r="N1737"/>
    </x:row>
    <x:row r="1738">
      <x:c r="A1738" t="str">
        <x:v>DEU-001737</x:v>
      </x:c>
      <x:c r="B1738" t="str">
        <x:v>USR-00520</x:v>
      </x:c>
      <x:c r="C1738" t="n">
        <x:v>46174</x:v>
      </x:c>
      <x:c r="D1738" t="str">
        <x:v>Cooperativa C</x:v>
      </x:c>
      <x:c r="E1738" t="str">
        <x:v>Crédito de vehículo</x:v>
      </x:c>
      <x:c r="F1738" t="n">
        <x:v>37990000</x:v>
      </x:c>
      <x:c r="G1738" s="40" t="n">
        <x:v>0.1459</x:v>
      </x:c>
      <x:c r="H1738" s="40" t="n">
        <x:v>0.011414</x:v>
      </x:c>
      <x:c r="I1738" t="n">
        <x:v>48</x:v>
      </x:c>
      <x:c r="J1738" t="n">
        <x:v>1032400</x:v>
      </x:c>
      <x:c r="K1738" t="str">
        <x:v>Bola de nieve</x:v>
      </x:c>
      <x:c r="L1738" t="str">
        <x:v>Vigente</x:v>
      </x:c>
      <x:c r="M1738" t="n">
        <x:v>36028252.48</x:v>
      </x:c>
      <x:c r="N1738"/>
    </x:row>
    <x:row r="1739">
      <x:c r="A1739" t="str">
        <x:v>DEU-001738</x:v>
      </x:c>
      <x:c r="B1739" t="str">
        <x:v>USR-00603</x:v>
      </x:c>
      <x:c r="C1739" t="n">
        <x:v>46174</x:v>
      </x:c>
      <x:c r="D1739" t="str">
        <x:v>Entidad financiera E</x:v>
      </x:c>
      <x:c r="E1739" t="str">
        <x:v>Crédito educativo</x:v>
      </x:c>
      <x:c r="F1739" t="n">
        <x:v>25210000</x:v>
      </x:c>
      <x:c r="G1739" s="40" t="n">
        <x:v>0.3094</x:v>
      </x:c>
      <x:c r="H1739" s="40" t="n">
        <x:v>0.022718</x:v>
      </x:c>
      <x:c r="I1739" t="n">
        <x:v>30</x:v>
      </x:c>
      <x:c r="J1739" t="n">
        <x:v>1168100</x:v>
      </x:c>
      <x:c r="K1739" t="str">
        <x:v>Avalancha</x:v>
      </x:c>
      <x:c r="L1739" t="str">
        <x:v>Vigente</x:v>
      </x:c>
      <x:c r="M1739" t="n">
        <x:v>23295875.25</x:v>
      </x:c>
      <x:c r="N1739"/>
    </x:row>
    <x:row r="1740">
      <x:c r="A1740" t="str">
        <x:v>DEU-001739</x:v>
      </x:c>
      <x:c r="B1740" t="str">
        <x:v>USR-00629</x:v>
      </x:c>
      <x:c r="C1740" t="n">
        <x:v>46174</x:v>
      </x:c>
      <x:c r="D1740" t="str">
        <x:v>Financiera D</x:v>
      </x:c>
      <x:c r="E1740" t="str">
        <x:v>Crédito de libre inversión</x:v>
      </x:c>
      <x:c r="F1740" t="n">
        <x:v>13740000</x:v>
      </x:c>
      <x:c r="G1740" s="40" t="n">
        <x:v>0.2899</x:v>
      </x:c>
      <x:c r="H1740" s="40" t="n">
        <x:v>0.02144</x:v>
      </x:c>
      <x:c r="I1740" t="n">
        <x:v>24</x:v>
      </x:c>
      <x:c r="J1740" t="n">
        <x:v>738400</x:v>
      </x:c>
      <x:c r="K1740" t="str">
        <x:v>Avalancha</x:v>
      </x:c>
      <x:c r="L1740" t="str">
        <x:v>Vigente</x:v>
      </x:c>
      <x:c r="M1740" t="n">
        <x:v>12976254.77</x:v>
      </x:c>
      <x:c r="N1740"/>
    </x:row>
    <x:row r="1741">
      <x:c r="A1741" t="str">
        <x:v>DEU-001740</x:v>
      </x:c>
      <x:c r="B1741" t="str">
        <x:v>USR-00653</x:v>
      </x:c>
      <x:c r="C1741" t="n">
        <x:v>46174</x:v>
      </x:c>
      <x:c r="D1741" t="str">
        <x:v>Financiera D</x:v>
      </x:c>
      <x:c r="E1741" t="str">
        <x:v>Crédito de consumo</x:v>
      </x:c>
      <x:c r="F1741" t="n">
        <x:v>16890000</x:v>
      </x:c>
      <x:c r="G1741" s="40" t="n">
        <x:v>0.2987</x:v>
      </x:c>
      <x:c r="H1741" s="40" t="n">
        <x:v>0.022019</x:v>
      </x:c>
      <x:c r="I1741" t="n">
        <x:v>48</x:v>
      </x:c>
      <x:c r="J1741" t="n">
        <x:v>573500</x:v>
      </x:c>
      <x:c r="K1741" t="str">
        <x:v>Avalancha</x:v>
      </x:c>
      <x:c r="L1741" t="str">
        <x:v>Vigente</x:v>
      </x:c>
      <x:c r="M1741" t="n">
        <x:v>16477819.8</x:v>
      </x:c>
      <x:c r="N1741"/>
    </x:row>
    <x:row r="1742">
      <x:c r="A1742" t="str">
        <x:v>DEU-001741</x:v>
      </x:c>
      <x:c r="B1742" t="str">
        <x:v>USR-00687</x:v>
      </x:c>
      <x:c r="C1742" t="n">
        <x:v>46174</x:v>
      </x:c>
      <x:c r="D1742" t="str">
        <x:v>Entidad financiera B</x:v>
      </x:c>
      <x:c r="E1742" t="str">
        <x:v>Tarjeta de crédito</x:v>
      </x:c>
      <x:c r="F1742" t="n">
        <x:v>4000000</x:v>
      </x:c>
      <x:c r="G1742" s="40" t="n">
        <x:v>0.3122</x:v>
      </x:c>
      <x:c r="H1742" s="40" t="n">
        <x:v>0.0229</x:v>
      </x:c>
      <x:c r="I1742" t="n">
        <x:v>30</x:v>
      </x:c>
      <x:c r="J1742" t="n">
        <x:v>185800</x:v>
      </x:c>
      <x:c r="K1742" t="str">
        <x:v>Avalancha</x:v>
      </x:c>
      <x:c r="L1742" t="str">
        <x:v>Vigente</x:v>
      </x:c>
      <x:c r="M1742" t="n">
        <x:v>3525658.85</x:v>
      </x:c>
      <x:c r="N1742"/>
    </x:row>
    <x:row r="1743">
      <x:c r="A1743" t="str">
        <x:v>DEU-001742</x:v>
      </x:c>
      <x:c r="B1743" t="str">
        <x:v>USR-00892</x:v>
      </x:c>
      <x:c r="C1743" t="n">
        <x:v>46174</x:v>
      </x:c>
      <x:c r="D1743" t="str">
        <x:v>Cooperativa C</x:v>
      </x:c>
      <x:c r="E1743" t="str">
        <x:v>Crédito de libre inversión</x:v>
      </x:c>
      <x:c r="F1743" t="n">
        <x:v>14020000</x:v>
      </x:c>
      <x:c r="G1743" s="40" t="n">
        <x:v>0.1449</x:v>
      </x:c>
      <x:c r="H1743" s="40" t="n">
        <x:v>0.01134</x:v>
      </x:c>
      <x:c r="I1743" t="n">
        <x:v>12</x:v>
      </x:c>
      <x:c r="J1743" t="n">
        <x:v>1256200</x:v>
      </x:c>
      <x:c r="K1743" t="str">
        <x:v>Bola de nieve</x:v>
      </x:c>
      <x:c r="L1743" t="str">
        <x:v>Vigente</x:v>
      </x:c>
      <x:c r="M1743" t="n">
        <x:v>9361057.46</x:v>
      </x:c>
      <x:c r="N1743"/>
    </x:row>
    <x:row r="1744">
      <x:c r="A1744" t="str">
        <x:v>DEU-001743</x:v>
      </x:c>
      <x:c r="B1744" t="str">
        <x:v>USR-00892</x:v>
      </x:c>
      <x:c r="C1744" t="n">
        <x:v>46174</x:v>
      </x:c>
      <x:c r="D1744" t="str">
        <x:v>Cooperativa C</x:v>
      </x:c>
      <x:c r="E1744" t="str">
        <x:v>Tarjeta de crédito</x:v>
      </x:c>
      <x:c r="F1744" t="n">
        <x:v>1200000</x:v>
      </x:c>
      <x:c r="G1744" s="40" t="n">
        <x:v>0.145</x:v>
      </x:c>
      <x:c r="H1744" s="40" t="n">
        <x:v>0.011348</x:v>
      </x:c>
      <x:c r="I1744" t="n">
        <x:v>48</x:v>
      </x:c>
      <x:c r="J1744" t="n">
        <x:v>32600</x:v>
      </x:c>
      <x:c r="K1744" t="str">
        <x:v>Avalancha</x:v>
      </x:c>
      <x:c r="L1744" t="str">
        <x:v>Vigente</x:v>
      </x:c>
      <x:c r="M1744" t="n">
        <x:v>1185677.19</x:v>
      </x:c>
      <x:c r="N1744"/>
    </x:row>
    <x:row r="1745">
      <x:c r="A1745" t="str">
        <x:v>DEU-001744</x:v>
      </x:c>
      <x:c r="B1745" t="str">
        <x:v>USR-00892</x:v>
      </x:c>
      <x:c r="C1745" t="n">
        <x:v>46174</x:v>
      </x:c>
      <x:c r="D1745" t="str">
        <x:v>Entidad financiera B</x:v>
      </x:c>
      <x:c r="E1745" t="str">
        <x:v>Crédito de vehículo</x:v>
      </x:c>
      <x:c r="F1745" t="n">
        <x:v>14740000</x:v>
      </x:c>
      <x:c r="G1745" s="40" t="n">
        <x:v>0.1344</x:v>
      </x:c>
      <x:c r="H1745" s="40" t="n">
        <x:v>0.010564</x:v>
      </x:c>
      <x:c r="I1745" t="n">
        <x:v>24</x:v>
      </x:c>
      <x:c r="J1745" t="n">
        <x:v>698500</x:v>
      </x:c>
      <x:c r="K1745" t="str">
        <x:v>Bola de nieve</x:v>
      </x:c>
      <x:c r="L1745" t="str">
        <x:v>Vigente</x:v>
      </x:c>
      <x:c r="M1745" t="n">
        <x:v>13232710.26</x:v>
      </x:c>
      <x:c r="N1745"/>
    </x:row>
    <x:row r="1746">
      <x:c r="A1746" t="str">
        <x:v>DEU-001745</x:v>
      </x:c>
      <x:c r="B1746" t="str">
        <x:v>USR-00892</x:v>
      </x:c>
      <x:c r="C1746" t="n">
        <x:v>46174</x:v>
      </x:c>
      <x:c r="D1746" t="str">
        <x:v>Entidad financiera E</x:v>
      </x:c>
      <x:c r="E1746" t="str">
        <x:v>Crédito de consumo</x:v>
      </x:c>
      <x:c r="F1746" t="n">
        <x:v>8860000</x:v>
      </x:c>
      <x:c r="G1746" s="40" t="n">
        <x:v>0.3268</x:v>
      </x:c>
      <x:c r="H1746" s="40" t="n">
        <x:v>0.023844</x:v>
      </x:c>
      <x:c r="I1746" t="n">
        <x:v>48</x:v>
      </x:c>
      <x:c r="J1746" t="n">
        <x:v>311900</x:v>
      </x:c>
      <x:c r="K1746" t="str">
        <x:v>Avalancha</x:v>
      </x:c>
      <x:c r="L1746" t="str">
        <x:v>Vigente</x:v>
      </x:c>
      <x:c r="M1746" t="n">
        <x:v>9416401.02</x:v>
      </x:c>
      <x:c r="N1746"/>
    </x:row>
    <x:row r="1747">
      <x:c r="A1747" t="str">
        <x:v>DEU-001746</x:v>
      </x:c>
      <x:c r="B1747" t="str">
        <x:v>USR-00893</x:v>
      </x:c>
      <x:c r="C1747" t="n">
        <x:v>46174</x:v>
      </x:c>
      <x:c r="D1747" t="str">
        <x:v>Cooperativa C</x:v>
      </x:c>
      <x:c r="E1747" t="str">
        <x:v>Crédito de vehículo</x:v>
      </x:c>
      <x:c r="F1747" t="n">
        <x:v>26040000</x:v>
      </x:c>
      <x:c r="G1747" s="40" t="n">
        <x:v>0.2163</x:v>
      </x:c>
      <x:c r="H1747" s="40" t="n">
        <x:v>0.016452</x:v>
      </x:c>
      <x:c r="I1747" t="n">
        <x:v>24</x:v>
      </x:c>
      <x:c r="J1747" t="n">
        <x:v>1322000</x:v>
      </x:c>
      <x:c r="K1747" t="str">
        <x:v>Avalancha</x:v>
      </x:c>
      <x:c r="L1747" t="str">
        <x:v>Vigente</x:v>
      </x:c>
      <x:c r="M1747" t="n">
        <x:v>25319839.87</x:v>
      </x:c>
      <x:c r="N1747"/>
    </x:row>
    <x:row r="1748">
      <x:c r="A1748" t="str">
        <x:v>DEU-001747</x:v>
      </x:c>
      <x:c r="B1748" t="str">
        <x:v>USR-00894</x:v>
      </x:c>
      <x:c r="C1748" t="n">
        <x:v>46174</x:v>
      </x:c>
      <x:c r="D1748" t="str">
        <x:v>Entidad financiera B</x:v>
      </x:c>
      <x:c r="E1748" t="str">
        <x:v>Tarjeta de crédito</x:v>
      </x:c>
      <x:c r="F1748" t="n">
        <x:v>2940000</x:v>
      </x:c>
      <x:c r="G1748" s="40" t="n">
        <x:v>0.1884</x:v>
      </x:c>
      <x:c r="H1748" s="40" t="n">
        <x:v>0.014488</x:v>
      </x:c>
      <x:c r="I1748" t="n">
        <x:v>12</x:v>
      </x:c>
      <x:c r="J1748" t="n">
        <x:v>268700</x:v>
      </x:c>
      <x:c r="K1748" t="str">
        <x:v>Bola de nieve</x:v>
      </x:c>
      <x:c r="L1748" t="str">
        <x:v>Vigente</x:v>
      </x:c>
      <x:c r="M1748" t="n">
        <x:v>2564981.54</x:v>
      </x:c>
      <x:c r="N1748"/>
    </x:row>
    <x:row r="1749">
      <x:c r="A1749" t="str">
        <x:v>DEU-001748</x:v>
      </x:c>
      <x:c r="B1749" t="str">
        <x:v>USR-00895</x:v>
      </x:c>
      <x:c r="C1749" t="n">
        <x:v>46174</x:v>
      </x:c>
      <x:c r="D1749" t="str">
        <x:v>Financiera D</x:v>
      </x:c>
      <x:c r="E1749" t="str">
        <x:v>Tarjeta de crédito</x:v>
      </x:c>
      <x:c r="F1749" t="n">
        <x:v>2320000</x:v>
      </x:c>
      <x:c r="G1749" s="40" t="n">
        <x:v>0.1492</x:v>
      </x:c>
      <x:c r="H1749" s="40" t="n">
        <x:v>0.011656</x:v>
      </x:c>
      <x:c r="I1749" t="n">
        <x:v>30</x:v>
      </x:c>
      <x:c r="J1749" t="n">
        <x:v>92100</x:v>
      </x:c>
      <x:c r="K1749" t="str">
        <x:v>Bola de nieve</x:v>
      </x:c>
      <x:c r="L1749" t="str">
        <x:v>Vigente</x:v>
      </x:c>
      <x:c r="M1749" t="n">
        <x:v>2231002.47</x:v>
      </x:c>
      <x:c r="N1749"/>
    </x:row>
    <x:row r="1750">
      <x:c r="A1750" t="str">
        <x:v>DEU-001749</x:v>
      </x:c>
      <x:c r="B1750" t="str">
        <x:v>USR-00895</x:v>
      </x:c>
      <x:c r="C1750" t="n">
        <x:v>46174</x:v>
      </x:c>
      <x:c r="D1750" t="str">
        <x:v>Entidad financiera B</x:v>
      </x:c>
      <x:c r="E1750" t="str">
        <x:v>Crédito educativo</x:v>
      </x:c>
      <x:c r="F1750" t="n">
        <x:v>11850000</x:v>
      </x:c>
      <x:c r="G1750" s="40" t="n">
        <x:v>0.1933</x:v>
      </x:c>
      <x:c r="H1750" s="40" t="n">
        <x:v>0.014836</x:v>
      </x:c>
      <x:c r="I1750" t="n">
        <x:v>24</x:v>
      </x:c>
      <x:c r="J1750" t="n">
        <x:v>590500</x:v>
      </x:c>
      <x:c r="K1750" t="str">
        <x:v>Bola de nieve</x:v>
      </x:c>
      <x:c r="L1750" t="str">
        <x:v>Vigente</x:v>
      </x:c>
      <x:c r="M1750" t="n">
        <x:v>10393213.92</x:v>
      </x:c>
      <x:c r="N1750"/>
    </x:row>
    <x:row r="1751">
      <x:c r="A1751" t="str">
        <x:v>DEU-001750</x:v>
      </x:c>
      <x:c r="B1751" t="str">
        <x:v>USR-00895</x:v>
      </x:c>
      <x:c r="C1751" t="n">
        <x:v>46174</x:v>
      </x:c>
      <x:c r="D1751" t="str">
        <x:v>Entidad financiera B</x:v>
      </x:c>
      <x:c r="E1751" t="str">
        <x:v>Crédito de consumo</x:v>
      </x:c>
      <x:c r="F1751" t="n">
        <x:v>17330000</x:v>
      </x:c>
      <x:c r="G1751" s="40" t="n">
        <x:v>0.1827</x:v>
      </x:c>
      <x:c r="H1751" s="40" t="n">
        <x:v>0.014082</x:v>
      </x:c>
      <x:c r="I1751" t="n">
        <x:v>60</x:v>
      </x:c>
      <x:c r="J1751" t="n">
        <x:v>429700</x:v>
      </x:c>
      <x:c r="K1751" t="str">
        <x:v>Bola de nieve</x:v>
      </x:c>
      <x:c r="L1751" t="str">
        <x:v>Vigente</x:v>
      </x:c>
      <x:c r="M1751" t="n">
        <x:v>16714795.57</x:v>
      </x:c>
      <x:c r="N1751"/>
    </x:row>
    <x:row r="1752">
      <x:c r="A1752" t="str">
        <x:v>DEU-001751</x:v>
      </x:c>
      <x:c r="B1752" t="str">
        <x:v>USR-00895</x:v>
      </x:c>
      <x:c r="C1752" t="n">
        <x:v>46174</x:v>
      </x:c>
      <x:c r="D1752" t="str">
        <x:v>Entidad financiera E</x:v>
      </x:c>
      <x:c r="E1752" t="str">
        <x:v>Tarjeta de crédito</x:v>
      </x:c>
      <x:c r="F1752" t="n">
        <x:v>5580000</x:v>
      </x:c>
      <x:c r="G1752" s="40" t="n">
        <x:v>0.1995</x:v>
      </x:c>
      <x:c r="H1752" s="40" t="n">
        <x:v>0.015274</x:v>
      </x:c>
      <x:c r="I1752" t="n">
        <x:v>24</x:v>
      </x:c>
      <x:c r="J1752" t="n">
        <x:v>279500</x:v>
      </x:c>
      <x:c r="K1752" t="str">
        <x:v>Bola de nieve</x:v>
      </x:c>
      <x:c r="L1752" t="str">
        <x:v>Vigente</x:v>
      </x:c>
      <x:c r="M1752" t="n">
        <x:v>5411038.76</x:v>
      </x:c>
      <x:c r="N1752"/>
    </x:row>
    <x:row r="1753">
      <x:c r="A1753" t="str">
        <x:v>DEU-001752</x:v>
      </x:c>
      <x:c r="B1753" t="str">
        <x:v>USR-00896</x:v>
      </x:c>
      <x:c r="C1753" t="n">
        <x:v>46174</x:v>
      </x:c>
      <x:c r="D1753" t="str">
        <x:v>Entidad financiera E</x:v>
      </x:c>
      <x:c r="E1753" t="str">
        <x:v>Crédito de consumo</x:v>
      </x:c>
      <x:c r="F1753" t="n">
        <x:v>16840000</x:v>
      </x:c>
      <x:c r="G1753" s="40" t="n">
        <x:v>0.2356</x:v>
      </x:c>
      <x:c r="H1753" s="40" t="n">
        <x:v>0.017786</x:v>
      </x:c>
      <x:c r="I1753" t="n">
        <x:v>48</x:v>
      </x:c>
      <x:c r="J1753" t="n">
        <x:v>524600</x:v>
      </x:c>
      <x:c r="K1753" t="str">
        <x:v>Avalancha</x:v>
      </x:c>
      <x:c r="L1753" t="str">
        <x:v>Vigente</x:v>
      </x:c>
      <x:c r="M1753" t="n">
        <x:v>16297114.51</x:v>
      </x:c>
      <x:c r="N1753"/>
    </x:row>
    <x:row r="1754">
      <x:c r="A1754" t="str">
        <x:v>DEU-001753</x:v>
      </x:c>
      <x:c r="B1754" t="str">
        <x:v>USR-00897</x:v>
      </x:c>
      <x:c r="C1754" t="n">
        <x:v>46174</x:v>
      </x:c>
      <x:c r="D1754" t="str">
        <x:v>Cooperativa C</x:v>
      </x:c>
      <x:c r="E1754" t="str">
        <x:v>Tarjeta de crédito</x:v>
      </x:c>
      <x:c r="F1754" t="n">
        <x:v>4380000</x:v>
      </x:c>
      <x:c r="G1754" s="40" t="n">
        <x:v>0.1453</x:v>
      </x:c>
      <x:c r="H1754" s="40" t="n">
        <x:v>0.01137</x:v>
      </x:c>
      <x:c r="I1754" t="n">
        <x:v>30</x:v>
      </x:c>
      <x:c r="J1754" t="n">
        <x:v>173100</x:v>
      </x:c>
      <x:c r="K1754" t="str">
        <x:v>Bola de nieve</x:v>
      </x:c>
      <x:c r="L1754" t="str">
        <x:v>Vigente</x:v>
      </x:c>
      <x:c r="M1754" t="n">
        <x:v>4232461.63</x:v>
      </x:c>
      <x:c r="N1754"/>
    </x:row>
    <x:row r="1755">
      <x:c r="A1755" t="str">
        <x:v>DEU-001754</x:v>
      </x:c>
      <x:c r="B1755" t="str">
        <x:v>USR-00898</x:v>
      </x:c>
      <x:c r="C1755" t="n">
        <x:v>46174</x:v>
      </x:c>
      <x:c r="D1755" t="str">
        <x:v>Entidad financiera A</x:v>
      </x:c>
      <x:c r="E1755" t="str">
        <x:v>Crédito de consumo</x:v>
      </x:c>
      <x:c r="F1755" t="n">
        <x:v>11280000</x:v>
      </x:c>
      <x:c r="G1755" s="40" t="n">
        <x:v>0.1499</x:v>
      </x:c>
      <x:c r="H1755" s="40" t="n">
        <x:v>0.011708</x:v>
      </x:c>
      <x:c r="I1755" t="n">
        <x:v>36</x:v>
      </x:c>
      <x:c r="J1755" t="n">
        <x:v>385800</x:v>
      </x:c>
      <x:c r="K1755" t="str">
        <x:v>Avalancha</x:v>
      </x:c>
      <x:c r="L1755" t="str">
        <x:v>Vigente</x:v>
      </x:c>
      <x:c r="M1755" t="n">
        <x:v>10711652.46</x:v>
      </x:c>
      <x:c r="N1755"/>
    </x:row>
    <x:row r="1756">
      <x:c r="A1756" t="str">
        <x:v>DEU-001755</x:v>
      </x:c>
      <x:c r="B1756" t="str">
        <x:v>USR-00898</x:v>
      </x:c>
      <x:c r="C1756" t="n">
        <x:v>46174</x:v>
      </x:c>
      <x:c r="D1756" t="str">
        <x:v>Entidad financiera E</x:v>
      </x:c>
      <x:c r="E1756" t="str">
        <x:v>Crédito de libre inversión</x:v>
      </x:c>
      <x:c r="F1756" t="n">
        <x:v>23940000</x:v>
      </x:c>
      <x:c r="G1756" s="40" t="n">
        <x:v>0.1503</x:v>
      </x:c>
      <x:c r="H1756" s="40" t="n">
        <x:v>0.011737</x:v>
      </x:c>
      <x:c r="I1756" t="n">
        <x:v>60</x:v>
      </x:c>
      <x:c r="J1756" t="n">
        <x:v>558100</x:v>
      </x:c>
      <x:c r="K1756" t="str">
        <x:v>Bola de nieve</x:v>
      </x:c>
      <x:c r="L1756" t="str">
        <x:v>Vigente</x:v>
      </x:c>
      <x:c r="M1756" t="n">
        <x:v>23636557.78</x:v>
      </x:c>
      <x:c r="N1756"/>
    </x:row>
    <x:row r="1757">
      <x:c r="A1757" t="str">
        <x:v>DEU-001756</x:v>
      </x:c>
      <x:c r="B1757" t="str">
        <x:v>USR-00898</x:v>
      </x:c>
      <x:c r="C1757" t="n">
        <x:v>46174</x:v>
      </x:c>
      <x:c r="D1757" t="str">
        <x:v>Entidad financiera B</x:v>
      </x:c>
      <x:c r="E1757" t="str">
        <x:v>Tarjeta de crédito</x:v>
      </x:c>
      <x:c r="F1757" t="n">
        <x:v>1660000</x:v>
      </x:c>
      <x:c r="G1757" s="40" t="n">
        <x:v>0.1858</x:v>
      </x:c>
      <x:c r="H1757" s="40" t="n">
        <x:v>0.014303</x:v>
      </x:c>
      <x:c r="I1757" t="n">
        <x:v>12</x:v>
      </x:c>
      <x:c r="J1757" t="n">
        <x:v>151500</x:v>
      </x:c>
      <x:c r="K1757" t="str">
        <x:v>Bola de nieve</x:v>
      </x:c>
      <x:c r="L1757" t="str">
        <x:v>Vigente</x:v>
      </x:c>
      <x:c r="M1757" t="n">
        <x:v>1470857.98</x:v>
      </x:c>
      <x:c r="N1757"/>
    </x:row>
    <x:row r="1758">
      <x:c r="A1758" t="str">
        <x:v>DEU-001757</x:v>
      </x:c>
      <x:c r="B1758" t="str">
        <x:v>USR-00899</x:v>
      </x:c>
      <x:c r="C1758" t="n">
        <x:v>46174</x:v>
      </x:c>
      <x:c r="D1758" t="str">
        <x:v>Cooperativa C</x:v>
      </x:c>
      <x:c r="E1758" t="str">
        <x:v>Crédito de vehículo</x:v>
      </x:c>
      <x:c r="F1758" t="n">
        <x:v>31190000</x:v>
      </x:c>
      <x:c r="G1758" s="40" t="n">
        <x:v>0.2522</x:v>
      </x:c>
      <x:c r="H1758" s="40" t="n">
        <x:v>0.018919</x:v>
      </x:c>
      <x:c r="I1758" t="n">
        <x:v>18</x:v>
      </x:c>
      <x:c r="J1758" t="n">
        <x:v>2060700</x:v>
      </x:c>
      <x:c r="K1758" t="str">
        <x:v>Avalancha</x:v>
      </x:c>
      <x:c r="L1758" t="str">
        <x:v>Vigente</x:v>
      </x:c>
      <x:c r="M1758" t="n">
        <x:v>24153901.92</x:v>
      </x:c>
      <x:c r="N1758"/>
    </x:row>
    <x:row r="1759">
      <x:c r="A1759" t="str">
        <x:v>DEU-001758</x:v>
      </x:c>
      <x:c r="B1759" t="str">
        <x:v>USR-00899</x:v>
      </x:c>
      <x:c r="C1759" t="n">
        <x:v>46174</x:v>
      </x:c>
      <x:c r="D1759" t="str">
        <x:v>Entidad financiera B</x:v>
      </x:c>
      <x:c r="E1759" t="str">
        <x:v>Crédito de consumo</x:v>
      </x:c>
      <x:c r="F1759" t="n">
        <x:v>8440000</x:v>
      </x:c>
      <x:c r="G1759" s="40" t="n">
        <x:v>0.2082</x:v>
      </x:c>
      <x:c r="H1759" s="40" t="n">
        <x:v>0.015886</x:v>
      </x:c>
      <x:c r="I1759" t="n">
        <x:v>36</x:v>
      </x:c>
      <x:c r="J1759" t="n">
        <x:v>309600</x:v>
      </x:c>
      <x:c r="K1759" t="str">
        <x:v>Avalancha</x:v>
      </x:c>
      <x:c r="L1759" t="str">
        <x:v>Vigente</x:v>
      </x:c>
      <x:c r="M1759" t="n">
        <x:v>7878217.14</x:v>
      </x:c>
      <x:c r="N1759"/>
    </x:row>
    <x:row r="1760">
      <x:c r="A1760" t="str">
        <x:v>DEU-001759</x:v>
      </x:c>
      <x:c r="B1760" t="str">
        <x:v>USR-00900</x:v>
      </x:c>
      <x:c r="C1760" t="n">
        <x:v>46174</x:v>
      </x:c>
      <x:c r="D1760" t="str">
        <x:v>Entidad financiera A</x:v>
      </x:c>
      <x:c r="E1760" t="str">
        <x:v>Tarjeta de crédito</x:v>
      </x:c>
      <x:c r="F1760" t="n">
        <x:v>2840000</x:v>
      </x:c>
      <x:c r="G1760" s="40" t="n">
        <x:v>0.3202</x:v>
      </x:c>
      <x:c r="H1760" s="40" t="n">
        <x:v>0.023419</x:v>
      </x:c>
      <x:c r="I1760" t="n">
        <x:v>12</x:v>
      </x:c>
      <x:c r="J1760" t="n">
        <x:v>274200</x:v>
      </x:c>
      <x:c r="K1760" t="str">
        <x:v>Avalancha</x:v>
      </x:c>
      <x:c r="L1760" t="str">
        <x:v>Vigente</x:v>
      </x:c>
      <x:c r="M1760" t="n">
        <x:v>2311190.86</x:v>
      </x:c>
      <x:c r="N1760"/>
    </x:row>
    <x:row r="1761">
      <x:c r="A1761" t="str">
        <x:v>DEU-001760</x:v>
      </x:c>
      <x:c r="B1761" t="str">
        <x:v>USR-00901</x:v>
      </x:c>
      <x:c r="C1761" t="n">
        <x:v>46174</x:v>
      </x:c>
      <x:c r="D1761" t="str">
        <x:v>Entidad financiera E</x:v>
      </x:c>
      <x:c r="E1761" t="str">
        <x:v>Crédito de libre inversión</x:v>
      </x:c>
      <x:c r="F1761" t="n">
        <x:v>9350000</x:v>
      </x:c>
      <x:c r="G1761" s="40" t="n">
        <x:v>0.1958</x:v>
      </x:c>
      <x:c r="H1761" s="40" t="n">
        <x:v>0.015013</x:v>
      </x:c>
      <x:c r="I1761" t="n">
        <x:v>60</x:v>
      </x:c>
      <x:c r="J1761" t="n">
        <x:v>237500</x:v>
      </x:c>
      <x:c r="K1761" t="str">
        <x:v>Avalancha</x:v>
      </x:c>
      <x:c r="L1761" t="str">
        <x:v>Vigente</x:v>
      </x:c>
      <x:c r="M1761" t="n">
        <x:v>9402367.58</x:v>
      </x:c>
      <x:c r="N1761"/>
    </x:row>
    <x:row r="1762">
      <x:c r="A1762" t="str">
        <x:v>DEU-001761</x:v>
      </x:c>
      <x:c r="B1762" t="str">
        <x:v>USR-00901</x:v>
      </x:c>
      <x:c r="C1762" t="n">
        <x:v>46174</x:v>
      </x:c>
      <x:c r="D1762" t="str">
        <x:v>Entidad financiera B</x:v>
      </x:c>
      <x:c r="E1762" t="str">
        <x:v>Tarjeta de crédito</x:v>
      </x:c>
      <x:c r="F1762" t="n">
        <x:v>3920000</x:v>
      </x:c>
      <x:c r="G1762" s="40" t="n">
        <x:v>0.1518</x:v>
      </x:c>
      <x:c r="H1762" s="40" t="n">
        <x:v>0.011847</x:v>
      </x:c>
      <x:c r="I1762" t="n">
        <x:v>12</x:v>
      </x:c>
      <x:c r="J1762" t="n">
        <x:v>352400</x:v>
      </x:c>
      <x:c r="K1762" t="str">
        <x:v>Bola de nieve</x:v>
      </x:c>
      <x:c r="L1762" t="str">
        <x:v>Vigente</x:v>
      </x:c>
      <x:c r="M1762" t="n">
        <x:v>2745572.63</x:v>
      </x:c>
      <x:c r="N1762"/>
    </x:row>
    <x:row r="1763">
      <x:c r="A1763" t="str">
        <x:v>DEU-001762</x:v>
      </x:c>
      <x:c r="B1763" t="str">
        <x:v>USR-00902</x:v>
      </x:c>
      <x:c r="C1763" t="n">
        <x:v>46174</x:v>
      </x:c>
      <x:c r="D1763" t="str">
        <x:v>Cooperativa C</x:v>
      </x:c>
      <x:c r="E1763" t="str">
        <x:v>Crédito de consumo</x:v>
      </x:c>
      <x:c r="F1763" t="n">
        <x:v>8710000</x:v>
      </x:c>
      <x:c r="G1763" s="40" t="n">
        <x:v>0.3382</x:v>
      </x:c>
      <x:c r="H1763" s="40" t="n">
        <x:v>0.024574</x:v>
      </x:c>
      <x:c r="I1763" t="n">
        <x:v>36</x:v>
      </x:c>
      <x:c r="J1763" t="n">
        <x:v>367300</x:v>
      </x:c>
      <x:c r="K1763" t="str">
        <x:v>Avalancha</x:v>
      </x:c>
      <x:c r="L1763" t="str">
        <x:v>Vigente</x:v>
      </x:c>
      <x:c r="M1763" t="n">
        <x:v>8391059</x:v>
      </x:c>
      <x:c r="N1763"/>
    </x:row>
    <x:row r="1764">
      <x:c r="A1764" t="str">
        <x:v>DEU-001763</x:v>
      </x:c>
      <x:c r="B1764" t="str">
        <x:v>USR-00903</x:v>
      </x:c>
      <x:c r="C1764" t="n">
        <x:v>46174</x:v>
      </x:c>
      <x:c r="D1764" t="str">
        <x:v>Entidad financiera A</x:v>
      </x:c>
      <x:c r="E1764" t="str">
        <x:v>Crédito comercial</x:v>
      </x:c>
      <x:c r="F1764" t="n">
        <x:v>27590000</x:v>
      </x:c>
      <x:c r="G1764" s="40" t="n">
        <x:v>0.1825</x:v>
      </x:c>
      <x:c r="H1764" s="40" t="n">
        <x:v>0.014067</x:v>
      </x:c>
      <x:c r="I1764" t="n">
        <x:v>12</x:v>
      </x:c>
      <x:c r="J1764" t="n">
        <x:v>2514800</x:v>
      </x:c>
      <x:c r="K1764" t="str">
        <x:v>Bola de nieve</x:v>
      </x:c>
      <x:c r="L1764" t="str">
        <x:v>Vigente</x:v>
      </x:c>
      <x:c r="M1764" t="n">
        <x:v>20033774.04</x:v>
      </x:c>
      <x:c r="N1764"/>
    </x:row>
    <x:row r="1765">
      <x:c r="A1765" t="str">
        <x:v>DEU-001764</x:v>
      </x:c>
      <x:c r="B1765" t="str">
        <x:v>USR-00903</x:v>
      </x:c>
      <x:c r="C1765" t="n">
        <x:v>46174</x:v>
      </x:c>
      <x:c r="D1765" t="str">
        <x:v>Cooperativa C</x:v>
      </x:c>
      <x:c r="E1765" t="str">
        <x:v>Tarjeta de crédito</x:v>
      </x:c>
      <x:c r="F1765" t="n">
        <x:v>1700000</x:v>
      </x:c>
      <x:c r="G1765" s="40" t="n">
        <x:v>0.3154</x:v>
      </x:c>
      <x:c r="H1765" s="40" t="n">
        <x:v>0.023108</x:v>
      </x:c>
      <x:c r="I1765" t="n">
        <x:v>60</x:v>
      </x:c>
      <x:c r="J1765" t="n">
        <x:v>52700</x:v>
      </x:c>
      <x:c r="K1765" t="str">
        <x:v>Bola de nieve</x:v>
      </x:c>
      <x:c r="L1765" t="str">
        <x:v>Vigente</x:v>
      </x:c>
      <x:c r="M1765" t="n">
        <x:v>1644445.52</x:v>
      </x:c>
      <x:c r="N1765"/>
    </x:row>
    <x:row r="1766">
      <x:c r="A1766" t="str">
        <x:v>DEU-001765</x:v>
      </x:c>
      <x:c r="B1766" t="str">
        <x:v>USR-00904</x:v>
      </x:c>
      <x:c r="C1766" t="n">
        <x:v>46174</x:v>
      </x:c>
      <x:c r="D1766" t="str">
        <x:v>Entidad financiera A</x:v>
      </x:c>
      <x:c r="E1766" t="str">
        <x:v>Crédito de consumo</x:v>
      </x:c>
      <x:c r="F1766" t="n">
        <x:v>7140000</x:v>
      </x:c>
      <x:c r="G1766" s="40" t="n">
        <x:v>0.137</x:v>
      </x:c>
      <x:c r="H1766" s="40" t="n">
        <x:v>0.010757</x:v>
      </x:c>
      <x:c r="I1766" t="n">
        <x:v>60</x:v>
      </x:c>
      <x:c r="J1766" t="n">
        <x:v>162100</x:v>
      </x:c>
      <x:c r="K1766" t="str">
        <x:v>Bola de nieve</x:v>
      </x:c>
      <x:c r="L1766" t="str">
        <x:v>Vigente</x:v>
      </x:c>
      <x:c r="M1766" t="n">
        <x:v>6709526.35</x:v>
      </x:c>
      <x:c r="N1766"/>
    </x:row>
    <x:row r="1767">
      <x:c r="A1767" t="str">
        <x:v>DEU-001766</x:v>
      </x:c>
      <x:c r="B1767" t="str">
        <x:v>USR-00905</x:v>
      </x:c>
      <x:c r="C1767" t="n">
        <x:v>46174</x:v>
      </x:c>
      <x:c r="D1767" t="str">
        <x:v>Entidad financiera B</x:v>
      </x:c>
      <x:c r="E1767" t="str">
        <x:v>Crédito de vehículo</x:v>
      </x:c>
      <x:c r="F1767" t="n">
        <x:v>51080000</x:v>
      </x:c>
      <x:c r="G1767" s="40" t="n">
        <x:v>0.3203</x:v>
      </x:c>
      <x:c r="H1767" s="40" t="n">
        <x:v>0.023425</x:v>
      </x:c>
      <x:c r="I1767" t="n">
        <x:v>24</x:v>
      </x:c>
      <x:c r="J1767" t="n">
        <x:v>2806600</x:v>
      </x:c>
      <x:c r="K1767" t="str">
        <x:v>Bola de nieve</x:v>
      </x:c>
      <x:c r="L1767" t="str">
        <x:v>Vigente</x:v>
      </x:c>
      <x:c r="M1767" t="n">
        <x:v>46410023.58</x:v>
      </x:c>
      <x:c r="N1767"/>
    </x:row>
    <x:row r="1768">
      <x:c r="A1768" t="str">
        <x:v>DEU-001767</x:v>
      </x:c>
      <x:c r="B1768" t="str">
        <x:v>USR-00906</x:v>
      </x:c>
      <x:c r="C1768" t="n">
        <x:v>46174</x:v>
      </x:c>
      <x:c r="D1768" t="str">
        <x:v>Entidad financiera B</x:v>
      </x:c>
      <x:c r="E1768" t="str">
        <x:v>Crédito de consumo</x:v>
      </x:c>
      <x:c r="F1768" t="n">
        <x:v>16200000</x:v>
      </x:c>
      <x:c r="G1768" s="40" t="n">
        <x:v>0.2658</x:v>
      </x:c>
      <x:c r="H1768" s="40" t="n">
        <x:v>0.019836</x:v>
      </x:c>
      <x:c r="I1768" t="n">
        <x:v>18</x:v>
      </x:c>
      <x:c r="J1768" t="n">
        <x:v>1079000</x:v>
      </x:c>
      <x:c r="K1768" t="str">
        <x:v>Avalancha</x:v>
      </x:c>
      <x:c r="L1768" t="str">
        <x:v>Vigente</x:v>
      </x:c>
      <x:c r="M1768" t="n">
        <x:v>15300648.02</x:v>
      </x:c>
      <x:c r="N1768"/>
    </x:row>
    <x:row r="1769">
      <x:c r="A1769" t="str">
        <x:v>DEU-001768</x:v>
      </x:c>
      <x:c r="B1769" t="str">
        <x:v>USR-00906</x:v>
      </x:c>
      <x:c r="C1769" t="n">
        <x:v>46174</x:v>
      </x:c>
      <x:c r="D1769" t="str">
        <x:v>Cooperativa C</x:v>
      </x:c>
      <x:c r="E1769" t="str">
        <x:v>Crédito de consumo</x:v>
      </x:c>
      <x:c r="F1769" t="n">
        <x:v>11420000</x:v>
      </x:c>
      <x:c r="G1769" s="40" t="n">
        <x:v>0.3289</x:v>
      </x:c>
      <x:c r="H1769" s="40" t="n">
        <x:v>0.023979</x:v>
      </x:c>
      <x:c r="I1769" t="n">
        <x:v>48</x:v>
      </x:c>
      <x:c r="J1769" t="n">
        <x:v>403100</x:v>
      </x:c>
      <x:c r="K1769" t="str">
        <x:v>Bola de nieve</x:v>
      </x:c>
      <x:c r="L1769" t="str">
        <x:v>Vigente</x:v>
      </x:c>
      <x:c r="M1769" t="n">
        <x:v>11306725.38</x:v>
      </x:c>
      <x:c r="N1769"/>
    </x:row>
    <x:row r="1770">
      <x:c r="A1770" t="str">
        <x:v>DEU-001769</x:v>
      </x:c>
      <x:c r="B1770" t="str">
        <x:v>USR-00907</x:v>
      </x:c>
      <x:c r="C1770" t="n">
        <x:v>46174</x:v>
      </x:c>
      <x:c r="D1770" t="str">
        <x:v>Entidad financiera E</x:v>
      </x:c>
      <x:c r="E1770" t="str">
        <x:v>Crédito de consumo</x:v>
      </x:c>
      <x:c r="F1770" t="n">
        <x:v>15470000</x:v>
      </x:c>
      <x:c r="G1770" s="40" t="n">
        <x:v>0.229</x:v>
      </x:c>
      <x:c r="H1770" s="40" t="n">
        <x:v>0.017332</x:v>
      </x:c>
      <x:c r="I1770" t="n">
        <x:v>60</x:v>
      </x:c>
      <x:c r="J1770" t="n">
        <x:v>416800</x:v>
      </x:c>
      <x:c r="K1770" t="str">
        <x:v>Bola de nieve</x:v>
      </x:c>
      <x:c r="L1770" t="str">
        <x:v>Vigente</x:v>
      </x:c>
      <x:c r="M1770" t="n">
        <x:v>14732471.47</x:v>
      </x:c>
      <x:c r="N1770"/>
    </x:row>
    <x:row r="1771">
      <x:c r="A1771" t="str">
        <x:v>DEU-001770</x:v>
      </x:c>
      <x:c r="B1771" t="str">
        <x:v>USR-00907</x:v>
      </x:c>
      <x:c r="C1771" t="n">
        <x:v>46174</x:v>
      </x:c>
      <x:c r="D1771" t="str">
        <x:v>Financiera D</x:v>
      </x:c>
      <x:c r="E1771" t="str">
        <x:v>Crédito de consumo</x:v>
      </x:c>
      <x:c r="F1771" t="n">
        <x:v>17080000</x:v>
      </x:c>
      <x:c r="G1771" s="40" t="n">
        <x:v>0.153</x:v>
      </x:c>
      <x:c r="H1771" s="40" t="n">
        <x:v>0.011935</x:v>
      </x:c>
      <x:c r="I1771" t="n">
        <x:v>12</x:v>
      </x:c>
      <x:c r="J1771" t="n">
        <x:v>1536100</x:v>
      </x:c>
      <x:c r="K1771" t="str">
        <x:v>Bola de nieve</x:v>
      </x:c>
      <x:c r="L1771" t="str">
        <x:v>Vigente</x:v>
      </x:c>
      <x:c r="M1771" t="n">
        <x:v>10939346.28</x:v>
      </x:c>
      <x:c r="N1771"/>
    </x:row>
    <x:row r="1772">
      <x:c r="A1772" t="str">
        <x:v>DEU-001771</x:v>
      </x:c>
      <x:c r="B1772" t="str">
        <x:v>USR-00907</x:v>
      </x:c>
      <x:c r="C1772" t="n">
        <x:v>46174</x:v>
      </x:c>
      <x:c r="D1772" t="str">
        <x:v>Cooperativa C</x:v>
      </x:c>
      <x:c r="E1772" t="str">
        <x:v>Crédito de consumo</x:v>
      </x:c>
      <x:c r="F1772" t="n">
        <x:v>13900000</x:v>
      </x:c>
      <x:c r="G1772" s="40" t="n">
        <x:v>0.2391</x:v>
      </x:c>
      <x:c r="H1772" s="40" t="n">
        <x:v>0.018026</x:v>
      </x:c>
      <x:c r="I1772" t="n">
        <x:v>36</x:v>
      </x:c>
      <x:c r="J1772" t="n">
        <x:v>528200</x:v>
      </x:c>
      <x:c r="K1772" t="str">
        <x:v>Avalancha</x:v>
      </x:c>
      <x:c r="L1772" t="str">
        <x:v>Vigente</x:v>
      </x:c>
      <x:c r="M1772" t="n">
        <x:v>13063079.94</x:v>
      </x:c>
      <x:c r="N1772"/>
    </x:row>
    <x:row r="1773">
      <x:c r="A1773" t="str">
        <x:v>DEU-001772</x:v>
      </x:c>
      <x:c r="B1773" t="str">
        <x:v>USR-00907</x:v>
      </x:c>
      <x:c r="C1773" t="n">
        <x:v>46174</x:v>
      </x:c>
      <x:c r="D1773" t="str">
        <x:v>Entidad financiera E</x:v>
      </x:c>
      <x:c r="E1773" t="str">
        <x:v>Tarjeta de crédito</x:v>
      </x:c>
      <x:c r="F1773" t="n">
        <x:v>3920000</x:v>
      </x:c>
      <x:c r="G1773" s="40" t="n">
        <x:v>0.2295</x:v>
      </x:c>
      <x:c r="H1773" s="40" t="n">
        <x:v>0.017366</x:v>
      </x:c>
      <x:c r="I1773" t="n">
        <x:v>12</x:v>
      </x:c>
      <x:c r="J1773" t="n">
        <x:v>364700</x:v>
      </x:c>
      <x:c r="K1773" t="str">
        <x:v>Bola de nieve</x:v>
      </x:c>
      <x:c r="L1773" t="str">
        <x:v>Vigente</x:v>
      </x:c>
      <x:c r="M1773" t="n">
        <x:v>2794941.68</x:v>
      </x:c>
      <x:c r="N1773"/>
    </x:row>
    <x:row r="1774">
      <x:c r="A1774" t="str">
        <x:v>DEU-001773</x:v>
      </x:c>
      <x:c r="B1774" t="str">
        <x:v>USR-00907</x:v>
      </x:c>
      <x:c r="C1774" t="n">
        <x:v>46174</x:v>
      </x:c>
      <x:c r="D1774" t="str">
        <x:v>Cooperativa C</x:v>
      </x:c>
      <x:c r="E1774" t="str">
        <x:v>Crédito educativo</x:v>
      </x:c>
      <x:c r="F1774" t="n">
        <x:v>20660000</x:v>
      </x:c>
      <x:c r="G1774" s="40" t="n">
        <x:v>0.3231</x:v>
      </x:c>
      <x:c r="H1774" s="40" t="n">
        <x:v>0.023606</x:v>
      </x:c>
      <x:c r="I1774" t="n">
        <x:v>12</x:v>
      </x:c>
      <x:c r="J1774" t="n">
        <x:v>1997100</x:v>
      </x:c>
      <x:c r="K1774" t="str">
        <x:v>Avalancha</x:v>
      </x:c>
      <x:c r="L1774" t="str">
        <x:v>Vigente</x:v>
      </x:c>
      <x:c r="M1774" t="n">
        <x:v>13787372.39</x:v>
      </x:c>
      <x:c r="N1774"/>
    </x:row>
    <x:row r="1775">
      <x:c r="A1775" t="str">
        <x:v>DEU-001774</x:v>
      </x:c>
      <x:c r="B1775" t="str">
        <x:v>USR-00908</x:v>
      </x:c>
      <x:c r="C1775" t="n">
        <x:v>46174</x:v>
      </x:c>
      <x:c r="D1775" t="str">
        <x:v>Entidad financiera A</x:v>
      </x:c>
      <x:c r="E1775" t="str">
        <x:v>Crédito de consumo</x:v>
      </x:c>
      <x:c r="F1775" t="n">
        <x:v>10480000</x:v>
      </x:c>
      <x:c r="G1775" s="40" t="n">
        <x:v>0.1619</x:v>
      </x:c>
      <x:c r="H1775" s="40" t="n">
        <x:v>0.012583</x:v>
      </x:c>
      <x:c r="I1775" t="n">
        <x:v>12</x:v>
      </x:c>
      <x:c r="J1775" t="n">
        <x:v>946400</x:v>
      </x:c>
      <x:c r="K1775" t="str">
        <x:v>Bola de nieve</x:v>
      </x:c>
      <x:c r="L1775" t="str">
        <x:v>Vigente</x:v>
      </x:c>
      <x:c r="M1775" t="n">
        <x:v>7159875.04</x:v>
      </x:c>
      <x:c r="N1775"/>
    </x:row>
    <x:row r="1776">
      <x:c r="A1776" t="str">
        <x:v>DEU-001775</x:v>
      </x:c>
      <x:c r="B1776" t="str">
        <x:v>USR-00908</x:v>
      </x:c>
      <x:c r="C1776" t="n">
        <x:v>46174</x:v>
      </x:c>
      <x:c r="D1776" t="str">
        <x:v>Entidad financiera E</x:v>
      </x:c>
      <x:c r="E1776" t="str">
        <x:v>Crédito de consumo</x:v>
      </x:c>
      <x:c r="F1776" t="n">
        <x:v>12170000</x:v>
      </x:c>
      <x:c r="G1776" s="40" t="n">
        <x:v>0.1232</x:v>
      </x:c>
      <x:c r="H1776" s="40" t="n">
        <x:v>0.009729</x:v>
      </x:c>
      <x:c r="I1776" t="n">
        <x:v>48</x:v>
      </x:c>
      <x:c r="J1776" t="n">
        <x:v>318500</x:v>
      </x:c>
      <x:c r="K1776" t="str">
        <x:v>Avalancha</x:v>
      </x:c>
      <x:c r="L1776" t="str">
        <x:v>Vigente</x:v>
      </x:c>
      <x:c r="M1776" t="n">
        <x:v>11180822.68</x:v>
      </x:c>
      <x:c r="N1776"/>
    </x:row>
    <x:row r="1777">
      <x:c r="A1777" t="str">
        <x:v>DEU-001776</x:v>
      </x:c>
      <x:c r="B1777" t="str">
        <x:v>USR-00908</x:v>
      </x:c>
      <x:c r="C1777" t="n">
        <x:v>46174</x:v>
      </x:c>
      <x:c r="D1777" t="str">
        <x:v>Entidad financiera B</x:v>
      </x:c>
      <x:c r="E1777" t="str">
        <x:v>Crédito comercial</x:v>
      </x:c>
      <x:c r="F1777" t="n">
        <x:v>15730000</x:v>
      </x:c>
      <x:c r="G1777" s="40" t="n">
        <x:v>0.2641</x:v>
      </x:c>
      <x:c r="H1777" s="40" t="n">
        <x:v>0.019722</x:v>
      </x:c>
      <x:c r="I1777" t="n">
        <x:v>48</x:v>
      </x:c>
      <x:c r="J1777" t="n">
        <x:v>509900</x:v>
      </x:c>
      <x:c r="K1777" t="str">
        <x:v>Bola de nieve</x:v>
      </x:c>
      <x:c r="L1777" t="str">
        <x:v>Vigente</x:v>
      </x:c>
      <x:c r="M1777" t="n">
        <x:v>15217671.33</x:v>
      </x:c>
      <x:c r="N1777"/>
    </x:row>
    <x:row r="1778">
      <x:c r="A1778" t="str">
        <x:v>DEU-001777</x:v>
      </x:c>
      <x:c r="B1778" t="str">
        <x:v>USR-00908</x:v>
      </x:c>
      <x:c r="C1778" t="n">
        <x:v>46174</x:v>
      </x:c>
      <x:c r="D1778" t="str">
        <x:v>Cooperativa C</x:v>
      </x:c>
      <x:c r="E1778" t="str">
        <x:v>Tarjeta de crédito</x:v>
      </x:c>
      <x:c r="F1778" t="n">
        <x:v>2290000</x:v>
      </x:c>
      <x:c r="G1778" s="40" t="n">
        <x:v>0.3356</x:v>
      </x:c>
      <x:c r="H1778" s="40" t="n">
        <x:v>0.024408</x:v>
      </x:c>
      <x:c r="I1778" t="n">
        <x:v>48</x:v>
      </x:c>
      <x:c r="J1778" t="n">
        <x:v>81500</x:v>
      </x:c>
      <x:c r="K1778" t="str">
        <x:v>Avalancha</x:v>
      </x:c>
      <x:c r="L1778" t="str">
        <x:v>Vigente</x:v>
      </x:c>
      <x:c r="M1778" t="n">
        <x:v>2158154.49</x:v>
      </x:c>
      <x:c r="N1778"/>
    </x:row>
    <x:row r="1779">
      <x:c r="A1779" t="str">
        <x:v>DEU-001778</x:v>
      </x:c>
      <x:c r="B1779" t="str">
        <x:v>USR-00909</x:v>
      </x:c>
      <x:c r="C1779" t="n">
        <x:v>46174</x:v>
      </x:c>
      <x:c r="D1779" t="str">
        <x:v>Entidad financiera E</x:v>
      </x:c>
      <x:c r="E1779" t="str">
        <x:v>Crédito educativo</x:v>
      </x:c>
      <x:c r="F1779" t="n">
        <x:v>19050000</x:v>
      </x:c>
      <x:c r="G1779" s="40" t="n">
        <x:v>0.253</x:v>
      </x:c>
      <x:c r="H1779" s="40" t="n">
        <x:v>0.018973</x:v>
      </x:c>
      <x:c r="I1779" t="n">
        <x:v>12</x:v>
      </x:c>
      <x:c r="J1779" t="n">
        <x:v>1790000</x:v>
      </x:c>
      <x:c r="K1779" t="str">
        <x:v>Avalancha</x:v>
      </x:c>
      <x:c r="L1779" t="str">
        <x:v>Vigente</x:v>
      </x:c>
      <x:c r="M1779" t="n">
        <x:v>14716212.96</x:v>
      </x:c>
      <x:c r="N1779"/>
    </x:row>
    <x:row r="1780">
      <x:c r="A1780" t="str">
        <x:v>DEU-001779</x:v>
      </x:c>
      <x:c r="B1780" t="str">
        <x:v>USR-00909</x:v>
      </x:c>
      <x:c r="C1780" t="n">
        <x:v>46174</x:v>
      </x:c>
      <x:c r="D1780" t="str">
        <x:v>Entidad financiera A</x:v>
      </x:c>
      <x:c r="E1780" t="str">
        <x:v>Tarjeta de crédito</x:v>
      </x:c>
      <x:c r="F1780" t="n">
        <x:v>3490000</x:v>
      </x:c>
      <x:c r="G1780" s="40" t="n">
        <x:v>0.1802</x:v>
      </x:c>
      <x:c r="H1780" s="40" t="n">
        <x:v>0.013903</x:v>
      </x:c>
      <x:c r="I1780" t="n">
        <x:v>48</x:v>
      </x:c>
      <x:c r="J1780" t="n">
        <x:v>100100</x:v>
      </x:c>
      <x:c r="K1780" t="str">
        <x:v>Bola de nieve</x:v>
      </x:c>
      <x:c r="L1780" t="str">
        <x:v>Vigente</x:v>
      </x:c>
      <x:c r="M1780" t="n">
        <x:v>3330023.71</x:v>
      </x:c>
      <x:c r="N1780"/>
    </x:row>
    <x:row r="1781">
      <x:c r="A1781" t="str">
        <x:v>DEU-001780</x:v>
      </x:c>
      <x:c r="B1781" t="str">
        <x:v>USR-00910</x:v>
      </x:c>
      <x:c r="C1781" t="n">
        <x:v>46174</x:v>
      </x:c>
      <x:c r="D1781" t="str">
        <x:v>Entidad financiera A</x:v>
      </x:c>
      <x:c r="E1781" t="str">
        <x:v>Tarjeta de crédito</x:v>
      </x:c>
      <x:c r="F1781" t="n">
        <x:v>2440000</x:v>
      </x:c>
      <x:c r="G1781" s="40" t="n">
        <x:v>0.139</x:v>
      </x:c>
      <x:c r="H1781" s="40" t="n">
        <x:v>0.010905</x:v>
      </x:c>
      <x:c r="I1781" t="n">
        <x:v>60</x:v>
      </x:c>
      <x:c r="J1781" t="n">
        <x:v>55600</x:v>
      </x:c>
      <x:c r="K1781" t="str">
        <x:v>Bola de nieve</x:v>
      </x:c>
      <x:c r="L1781" t="str">
        <x:v>Vigente</x:v>
      </x:c>
      <x:c r="M1781" t="n">
        <x:v>2325106.36</x:v>
      </x:c>
      <x:c r="N1781"/>
    </x:row>
    <x:row r="1782">
      <x:c r="A1782" t="str">
        <x:v>DEU-001781</x:v>
      </x:c>
      <x:c r="B1782" t="str">
        <x:v>USR-00911</x:v>
      </x:c>
      <x:c r="C1782" t="n">
        <x:v>46174</x:v>
      </x:c>
      <x:c r="D1782" t="str">
        <x:v>Cooperativa C</x:v>
      </x:c>
      <x:c r="E1782" t="str">
        <x:v>Tarjeta de crédito</x:v>
      </x:c>
      <x:c r="F1782" t="n">
        <x:v>1240000</x:v>
      </x:c>
      <x:c r="G1782" s="40" t="n">
        <x:v>0.2255</x:v>
      </x:c>
      <x:c r="H1782" s="40" t="n">
        <x:v>0.01709</x:v>
      </x:c>
      <x:c r="I1782" t="n">
        <x:v>18</x:v>
      </x:c>
      <x:c r="J1782" t="n">
        <x:v>80600</x:v>
      </x:c>
      <x:c r="K1782" t="str">
        <x:v>Avalancha</x:v>
      </x:c>
      <x:c r="L1782" t="str">
        <x:v>Vigente</x:v>
      </x:c>
      <x:c r="M1782" t="n">
        <x:v>1152080.71</x:v>
      </x:c>
      <x:c r="N1782"/>
    </x:row>
    <x:row r="1783">
      <x:c r="A1783" t="str">
        <x:v>DEU-001782</x:v>
      </x:c>
      <x:c r="B1783" t="str">
        <x:v>USR-00911</x:v>
      </x:c>
      <x:c r="C1783" t="n">
        <x:v>46174</x:v>
      </x:c>
      <x:c r="D1783" t="str">
        <x:v>Entidad financiera B</x:v>
      </x:c>
      <x:c r="E1783" t="str">
        <x:v>Crédito de libre inversión</x:v>
      </x:c>
      <x:c r="F1783" t="n">
        <x:v>13380000</x:v>
      </x:c>
      <x:c r="G1783" s="40" t="n">
        <x:v>0.3264</x:v>
      </x:c>
      <x:c r="H1783" s="40" t="n">
        <x:v>0.023818</x:v>
      </x:c>
      <x:c r="I1783" t="n">
        <x:v>30</x:v>
      </x:c>
      <x:c r="J1783" t="n">
        <x:v>629200</x:v>
      </x:c>
      <x:c r="K1783" t="str">
        <x:v>Avalancha</x:v>
      </x:c>
      <x:c r="L1783" t="str">
        <x:v>Vigente</x:v>
      </x:c>
      <x:c r="M1783" t="n">
        <x:v>12227874.82</x:v>
      </x:c>
      <x:c r="N1783"/>
    </x:row>
    <x:row r="1784">
      <x:c r="A1784" t="str">
        <x:v>DEU-001783</x:v>
      </x:c>
      <x:c r="B1784" t="str">
        <x:v>USR-00911</x:v>
      </x:c>
      <x:c r="C1784" t="n">
        <x:v>46174</x:v>
      </x:c>
      <x:c r="D1784" t="str">
        <x:v>Entidad financiera E</x:v>
      </x:c>
      <x:c r="E1784" t="str">
        <x:v>Tarjeta de crédito</x:v>
      </x:c>
      <x:c r="F1784" t="n">
        <x:v>1590000</x:v>
      </x:c>
      <x:c r="G1784" s="40" t="n">
        <x:v>0.2075</x:v>
      </x:c>
      <x:c r="H1784" s="40" t="n">
        <x:v>0.015837</x:v>
      </x:c>
      <x:c r="I1784" t="n">
        <x:v>12</x:v>
      </x:c>
      <x:c r="J1784" t="n">
        <x:v>146500</x:v>
      </x:c>
      <x:c r="K1784" t="str">
        <x:v>Avalancha</x:v>
      </x:c>
      <x:c r="L1784" t="str">
        <x:v>Vigente</x:v>
      </x:c>
      <x:c r="M1784" t="n">
        <x:v>1274012.73</x:v>
      </x:c>
      <x:c r="N1784"/>
    </x:row>
    <x:row r="1785">
      <x:c r="A1785" t="str">
        <x:v>DEU-001784</x:v>
      </x:c>
      <x:c r="B1785" t="str">
        <x:v>USR-00911</x:v>
      </x:c>
      <x:c r="C1785" t="n">
        <x:v>46174</x:v>
      </x:c>
      <x:c r="D1785" t="str">
        <x:v>Entidad financiera B</x:v>
      </x:c>
      <x:c r="E1785" t="str">
        <x:v>Crédito comercial</x:v>
      </x:c>
      <x:c r="F1785" t="n">
        <x:v>21640000</x:v>
      </x:c>
      <x:c r="G1785" s="40" t="n">
        <x:v>0.2382</x:v>
      </x:c>
      <x:c r="H1785" s="40" t="n">
        <x:v>0.017964</x:v>
      </x:c>
      <x:c r="I1785" t="n">
        <x:v>36</x:v>
      </x:c>
      <x:c r="J1785" t="n">
        <x:v>821500</x:v>
      </x:c>
      <x:c r="K1785" t="str">
        <x:v>Bola de nieve</x:v>
      </x:c>
      <x:c r="L1785" t="str">
        <x:v>Vigente</x:v>
      </x:c>
      <x:c r="M1785" t="n">
        <x:v>19608628.34</x:v>
      </x:c>
      <x:c r="N1785"/>
    </x:row>
    <x:row r="1786">
      <x:c r="A1786" t="str">
        <x:v>DEU-001785</x:v>
      </x:c>
      <x:c r="B1786" t="str">
        <x:v>USR-00911</x:v>
      </x:c>
      <x:c r="C1786" t="n">
        <x:v>46174</x:v>
      </x:c>
      <x:c r="D1786" t="str">
        <x:v>Financiera D</x:v>
      </x:c>
      <x:c r="E1786" t="str">
        <x:v>Crédito de libre inversión</x:v>
      </x:c>
      <x:c r="F1786" t="n">
        <x:v>8580000</x:v>
      </x:c>
      <x:c r="G1786" s="40" t="n">
        <x:v>0.3349</x:v>
      </x:c>
      <x:c r="H1786" s="40" t="n">
        <x:v>0.024363</x:v>
      </x:c>
      <x:c r="I1786" t="n">
        <x:v>18</x:v>
      </x:c>
      <x:c r="J1786" t="n">
        <x:v>594500</x:v>
      </x:c>
      <x:c r="K1786" t="str">
        <x:v>Avalancha</x:v>
      </x:c>
      <x:c r="L1786" t="str">
        <x:v>Vigente</x:v>
      </x:c>
      <x:c r="M1786" t="n">
        <x:v>6925889.26</x:v>
      </x:c>
      <x:c r="N1786"/>
    </x:row>
    <x:row r="1787">
      <x:c r="A1787" t="str">
        <x:v>DEU-001786</x:v>
      </x:c>
      <x:c r="B1787" t="str">
        <x:v>USR-00912</x:v>
      </x:c>
      <x:c r="C1787" t="n">
        <x:v>46174</x:v>
      </x:c>
      <x:c r="D1787" t="str">
        <x:v>Entidad financiera A</x:v>
      </x:c>
      <x:c r="E1787" t="str">
        <x:v>Tarjeta de crédito</x:v>
      </x:c>
      <x:c r="F1787" t="n">
        <x:v>4840000</x:v>
      </x:c>
      <x:c r="G1787" s="40" t="n">
        <x:v>0.1908</x:v>
      </x:c>
      <x:c r="H1787" s="40" t="n">
        <x:v>0.014659</x:v>
      </x:c>
      <x:c r="I1787" t="n">
        <x:v>30</x:v>
      </x:c>
      <x:c r="J1787" t="n">
        <x:v>200600</x:v>
      </x:c>
      <x:c r="K1787" t="str">
        <x:v>Avalancha</x:v>
      </x:c>
      <x:c r="L1787" t="str">
        <x:v>Vigente</x:v>
      </x:c>
      <x:c r="M1787" t="n">
        <x:v>4645491.09</x:v>
      </x:c>
      <x:c r="N1787"/>
    </x:row>
    <x:row r="1788">
      <x:c r="A1788" t="str">
        <x:v>DEU-001787</x:v>
      </x:c>
      <x:c r="B1788" t="str">
        <x:v>USR-00913</x:v>
      </x:c>
      <x:c r="C1788" t="n">
        <x:v>46174</x:v>
      </x:c>
      <x:c r="D1788" t="str">
        <x:v>Entidad financiera E</x:v>
      </x:c>
      <x:c r="E1788" t="str">
        <x:v>Crédito de consumo</x:v>
      </x:c>
      <x:c r="F1788" t="n">
        <x:v>5520000</x:v>
      </x:c>
      <x:c r="G1788" s="40" t="n">
        <x:v>0.1059</x:v>
      </x:c>
      <x:c r="H1788" s="40" t="n">
        <x:v>0.008424</x:v>
      </x:c>
      <x:c r="I1788" t="n">
        <x:v>30</x:v>
      </x:c>
      <x:c r="J1788" t="n">
        <x:v>209000</x:v>
      </x:c>
      <x:c r="K1788" t="str">
        <x:v>Avalancha</x:v>
      </x:c>
      <x:c r="L1788" t="str">
        <x:v>Vigente</x:v>
      </x:c>
      <x:c r="M1788" t="n">
        <x:v>4902201.03</x:v>
      </x:c>
      <x:c r="N1788"/>
    </x:row>
    <x:row r="1789">
      <x:c r="A1789" t="str">
        <x:v>DEU-001788</x:v>
      </x:c>
      <x:c r="B1789" t="str">
        <x:v>USR-00913</x:v>
      </x:c>
      <x:c r="C1789" t="n">
        <x:v>46174</x:v>
      </x:c>
      <x:c r="D1789" t="str">
        <x:v>Entidad financiera E</x:v>
      </x:c>
      <x:c r="E1789" t="str">
        <x:v>Tarjeta de crédito</x:v>
      </x:c>
      <x:c r="F1789" t="n">
        <x:v>2830000</x:v>
      </x:c>
      <x:c r="G1789" s="40" t="n">
        <x:v>0.1339</x:v>
      </x:c>
      <x:c r="H1789" s="40" t="n">
        <x:v>0.010527</x:v>
      </x:c>
      <x:c r="I1789" t="n">
        <x:v>48</x:v>
      </x:c>
      <x:c r="J1789" t="n">
        <x:v>75400</x:v>
      </x:c>
      <x:c r="K1789" t="str">
        <x:v>Avalancha</x:v>
      </x:c>
      <x:c r="L1789" t="str">
        <x:v>Vigente</x:v>
      </x:c>
      <x:c r="M1789" t="n">
        <x:v>2670415.37</x:v>
      </x:c>
      <x:c r="N1789"/>
    </x:row>
    <x:row r="1790">
      <x:c r="A1790" t="str">
        <x:v>DEU-001789</x:v>
      </x:c>
      <x:c r="B1790" t="str">
        <x:v>USR-00914</x:v>
      </x:c>
      <x:c r="C1790" t="n">
        <x:v>46174</x:v>
      </x:c>
      <x:c r="D1790" t="str">
        <x:v>Financiera D</x:v>
      </x:c>
      <x:c r="E1790" t="str">
        <x:v>Crédito de libre inversión</x:v>
      </x:c>
      <x:c r="F1790" t="n">
        <x:v>19170000</x:v>
      </x:c>
      <x:c r="G1790" s="40" t="n">
        <x:v>0.2913</x:v>
      </x:c>
      <x:c r="H1790" s="40" t="n">
        <x:v>0.021533</x:v>
      </x:c>
      <x:c r="I1790" t="n">
        <x:v>18</x:v>
      </x:c>
      <x:c r="J1790" t="n">
        <x:v>1296000</x:v>
      </x:c>
      <x:c r="K1790" t="str">
        <x:v>Avalancha</x:v>
      </x:c>
      <x:c r="L1790" t="str">
        <x:v>Vigente</x:v>
      </x:c>
      <x:c r="M1790" t="n">
        <x:v>19522811.31</x:v>
      </x:c>
      <x:c r="N1790"/>
    </x:row>
    <x:row r="1791">
      <x:c r="A1791" t="str">
        <x:v>DEU-001790</x:v>
      </x:c>
      <x:c r="B1791" t="str">
        <x:v>USR-00914</x:v>
      </x:c>
      <x:c r="C1791" t="n">
        <x:v>46174</x:v>
      </x:c>
      <x:c r="D1791" t="str">
        <x:v>Entidad financiera B</x:v>
      </x:c>
      <x:c r="E1791" t="str">
        <x:v>Crédito de libre inversión</x:v>
      </x:c>
      <x:c r="F1791" t="n">
        <x:v>1860000</x:v>
      </x:c>
      <x:c r="G1791" s="40" t="n">
        <x:v>0.2558</x:v>
      </x:c>
      <x:c r="H1791" s="40" t="n">
        <x:v>0.019162</x:v>
      </x:c>
      <x:c r="I1791" t="n">
        <x:v>24</x:v>
      </x:c>
      <x:c r="J1791" t="n">
        <x:v>97400</x:v>
      </x:c>
      <x:c r="K1791" t="str">
        <x:v>Bola de nieve</x:v>
      </x:c>
      <x:c r="L1791" t="str">
        <x:v>Vigente</x:v>
      </x:c>
      <x:c r="M1791" t="n">
        <x:v>1705678.12</x:v>
      </x:c>
      <x:c r="N1791"/>
    </x:row>
    <x:row r="1792">
      <x:c r="A1792" t="str">
        <x:v>DEU-001791</x:v>
      </x:c>
      <x:c r="B1792" t="str">
        <x:v>USR-00915</x:v>
      </x:c>
      <x:c r="C1792" t="n">
        <x:v>46174</x:v>
      </x:c>
      <x:c r="D1792" t="str">
        <x:v>Entidad financiera E</x:v>
      </x:c>
      <x:c r="E1792" t="str">
        <x:v>Crédito de consumo</x:v>
      </x:c>
      <x:c r="F1792" t="n">
        <x:v>5670000</x:v>
      </x:c>
      <x:c r="G1792" s="40" t="n">
        <x:v>0.2813</x:v>
      </x:c>
      <x:c r="H1792" s="40" t="n">
        <x:v>0.020871</x:v>
      </x:c>
      <x:c r="I1792" t="n">
        <x:v>12</x:v>
      </x:c>
      <x:c r="J1792" t="n">
        <x:v>539000</x:v>
      </x:c>
      <x:c r="K1792" t="str">
        <x:v>Bola de nieve</x:v>
      </x:c>
      <x:c r="L1792" t="str">
        <x:v>Vigente</x:v>
      </x:c>
      <x:c r="M1792" t="n">
        <x:v>4238196.28</x:v>
      </x:c>
      <x:c r="N1792"/>
    </x:row>
    <x:row r="1793">
      <x:c r="A1793" t="str">
        <x:v>DEU-001792</x:v>
      </x:c>
      <x:c r="B1793" t="str">
        <x:v>USR-00915</x:v>
      </x:c>
      <x:c r="C1793" t="n">
        <x:v>46174</x:v>
      </x:c>
      <x:c r="D1793" t="str">
        <x:v>Entidad financiera A</x:v>
      </x:c>
      <x:c r="E1793" t="str">
        <x:v>Tarjeta de crédito</x:v>
      </x:c>
      <x:c r="F1793" t="n">
        <x:v>4290000</x:v>
      </x:c>
      <x:c r="G1793" s="40" t="n">
        <x:v>0.118</x:v>
      </x:c>
      <x:c r="H1793" s="40" t="n">
        <x:v>0.009338</x:v>
      </x:c>
      <x:c r="I1793" t="n">
        <x:v>60</x:v>
      </x:c>
      <x:c r="J1793" t="n">
        <x:v>93700</x:v>
      </x:c>
      <x:c r="K1793" t="str">
        <x:v>Avalancha</x:v>
      </x:c>
      <x:c r="L1793" t="str">
        <x:v>Vigente</x:v>
      </x:c>
      <x:c r="M1793" t="n">
        <x:v>4238177.19</x:v>
      </x:c>
      <x:c r="N1793"/>
    </x:row>
    <x:row r="1794">
      <x:c r="A1794" t="str">
        <x:v>DEU-001793</x:v>
      </x:c>
      <x:c r="B1794" t="str">
        <x:v>USR-00916</x:v>
      </x:c>
      <x:c r="C1794" t="n">
        <x:v>46174</x:v>
      </x:c>
      <x:c r="D1794" t="str">
        <x:v>Entidad financiera E</x:v>
      </x:c>
      <x:c r="E1794" t="str">
        <x:v>Crédito de consumo</x:v>
      </x:c>
      <x:c r="F1794" t="n">
        <x:v>3670000</x:v>
      </x:c>
      <x:c r="G1794" s="40" t="n">
        <x:v>0.2641</x:v>
      </x:c>
      <x:c r="H1794" s="40" t="n">
        <x:v>0.019722</x:v>
      </x:c>
      <x:c r="I1794" t="n">
        <x:v>60</x:v>
      </x:c>
      <x:c r="J1794" t="n">
        <x:v>104900</x:v>
      </x:c>
      <x:c r="K1794" t="str">
        <x:v>Avalancha</x:v>
      </x:c>
      <x:c r="L1794" t="str">
        <x:v>Vigente</x:v>
      </x:c>
      <x:c r="M1794" t="n">
        <x:v>3541733.97</x:v>
      </x:c>
      <x:c r="N1794"/>
    </x:row>
    <x:row r="1795">
      <x:c r="A1795" t="str">
        <x:v>DEU-001794</x:v>
      </x:c>
      <x:c r="B1795" t="str">
        <x:v>USR-00916</x:v>
      </x:c>
      <x:c r="C1795" t="n">
        <x:v>46174</x:v>
      </x:c>
      <x:c r="D1795" t="str">
        <x:v>Financiera D</x:v>
      </x:c>
      <x:c r="E1795" t="str">
        <x:v>Crédito de libre inversión</x:v>
      </x:c>
      <x:c r="F1795" t="n">
        <x:v>1500000</x:v>
      </x:c>
      <x:c r="G1795" s="40" t="n">
        <x:v>0.1991</x:v>
      </x:c>
      <x:c r="H1795" s="40" t="n">
        <x:v>0.015246</x:v>
      </x:c>
      <x:c r="I1795" t="n">
        <x:v>30</x:v>
      </x:c>
      <x:c r="J1795" t="n">
        <x:v>62700</x:v>
      </x:c>
      <x:c r="K1795" t="str">
        <x:v>Bola de nieve</x:v>
      </x:c>
      <x:c r="L1795" t="str">
        <x:v>Vigente</x:v>
      </x:c>
      <x:c r="M1795" t="n">
        <x:v>1384190.98</x:v>
      </x:c>
      <x:c r="N1795"/>
    </x:row>
    <x:row r="1796">
      <x:c r="A1796" t="str">
        <x:v>DEU-001795</x:v>
      </x:c>
      <x:c r="B1796" t="str">
        <x:v>USR-00917</x:v>
      </x:c>
      <x:c r="C1796" t="n">
        <x:v>46174</x:v>
      </x:c>
      <x:c r="D1796" t="str">
        <x:v>Financiera D</x:v>
      </x:c>
      <x:c r="E1796" t="str">
        <x:v>Tarjeta de crédito</x:v>
      </x:c>
      <x:c r="F1796" t="n">
        <x:v>3050000</x:v>
      </x:c>
      <x:c r="G1796" s="40" t="n">
        <x:v>0.2157</x:v>
      </x:c>
      <x:c r="H1796" s="40" t="n">
        <x:v>0.01641</x:v>
      </x:c>
      <x:c r="I1796" t="n">
        <x:v>30</x:v>
      </x:c>
      <x:c r="J1796" t="n">
        <x:v>129600</x:v>
      </x:c>
      <x:c r="K1796" t="str">
        <x:v>Avalancha</x:v>
      </x:c>
      <x:c r="L1796" t="str">
        <x:v>Vigente</x:v>
      </x:c>
      <x:c r="M1796" t="n">
        <x:v>2756593.01</x:v>
      </x:c>
      <x:c r="N1796"/>
    </x:row>
    <x:row r="1797">
      <x:c r="A1797" t="str">
        <x:v>DEU-001796</x:v>
      </x:c>
      <x:c r="B1797" t="str">
        <x:v>USR-00918</x:v>
      </x:c>
      <x:c r="C1797" t="n">
        <x:v>46174</x:v>
      </x:c>
      <x:c r="D1797" t="str">
        <x:v>Entidad financiera A</x:v>
      </x:c>
      <x:c r="E1797" t="str">
        <x:v>Crédito educativo</x:v>
      </x:c>
      <x:c r="F1797" t="n">
        <x:v>25550000</x:v>
      </x:c>
      <x:c r="G1797" s="40" t="n">
        <x:v>0.2188</x:v>
      </x:c>
      <x:c r="H1797" s="40" t="n">
        <x:v>0.016626</x:v>
      </x:c>
      <x:c r="I1797" t="n">
        <x:v>18</x:v>
      </x:c>
      <x:c r="J1797" t="n">
        <x:v>1654100</x:v>
      </x:c>
      <x:c r="K1797" t="str">
        <x:v>Bola de nieve</x:v>
      </x:c>
      <x:c r="L1797" t="str">
        <x:v>Vigente</x:v>
      </x:c>
      <x:c r="M1797" t="n">
        <x:v>19401686.29</x:v>
      </x:c>
      <x:c r="N1797"/>
    </x:row>
    <x:row r="1798">
      <x:c r="A1798" t="str">
        <x:v>DEU-001797</x:v>
      </x:c>
      <x:c r="B1798" t="str">
        <x:v>USR-00918</x:v>
      </x:c>
      <x:c r="C1798" t="n">
        <x:v>46174</x:v>
      </x:c>
      <x:c r="D1798" t="str">
        <x:v>Entidad financiera E</x:v>
      </x:c>
      <x:c r="E1798" t="str">
        <x:v>Tarjeta de crédito</x:v>
      </x:c>
      <x:c r="F1798" t="n">
        <x:v>900000</x:v>
      </x:c>
      <x:c r="G1798" s="40" t="n">
        <x:v>0.2106</x:v>
      </x:c>
      <x:c r="H1798" s="40" t="n">
        <x:v>0.016054</x:v>
      </x:c>
      <x:c r="I1798" t="n">
        <x:v>12</x:v>
      </x:c>
      <x:c r="J1798" t="n">
        <x:v>83100</x:v>
      </x:c>
      <x:c r="K1798" t="str">
        <x:v>Bola de nieve</x:v>
      </x:c>
      <x:c r="L1798" t="str">
        <x:v>Vigente</x:v>
      </x:c>
      <x:c r="M1798" t="n">
        <x:v>690239.56</x:v>
      </x:c>
      <x:c r="N1798"/>
    </x:row>
    <x:row r="1799">
      <x:c r="A1799" t="str">
        <x:v>DEU-001798</x:v>
      </x:c>
      <x:c r="B1799" t="str">
        <x:v>USR-00919</x:v>
      </x:c>
      <x:c r="C1799" t="n">
        <x:v>46174</x:v>
      </x:c>
      <x:c r="D1799" t="str">
        <x:v>Entidad financiera E</x:v>
      </x:c>
      <x:c r="E1799" t="str">
        <x:v>Crédito educativo</x:v>
      </x:c>
      <x:c r="F1799" t="n">
        <x:v>12130000</x:v>
      </x:c>
      <x:c r="G1799" s="40" t="n">
        <x:v>0.3238</x:v>
      </x:c>
      <x:c r="H1799" s="40" t="n">
        <x:v>0.023651</x:v>
      </x:c>
      <x:c r="I1799" t="n">
        <x:v>18</x:v>
      </x:c>
      <x:c r="J1799" t="n">
        <x:v>835300</x:v>
      </x:c>
      <x:c r="K1799" t="str">
        <x:v>Bola de nieve</x:v>
      </x:c>
      <x:c r="L1799" t="str">
        <x:v>Vigente</x:v>
      </x:c>
      <x:c r="M1799" t="n">
        <x:v>9472423.05</x:v>
      </x:c>
      <x:c r="N1799"/>
    </x:row>
    <x:row r="1800">
      <x:c r="A1800" t="str">
        <x:v>DEU-001799</x:v>
      </x:c>
      <x:c r="B1800" t="str">
        <x:v>USR-00920</x:v>
      </x:c>
      <x:c r="C1800" t="n">
        <x:v>46174</x:v>
      </x:c>
      <x:c r="D1800" t="str">
        <x:v>Entidad financiera A</x:v>
      </x:c>
      <x:c r="E1800" t="str">
        <x:v>Tarjeta de crédito</x:v>
      </x:c>
      <x:c r="F1800" t="n">
        <x:v>3780000</x:v>
      </x:c>
      <x:c r="G1800" s="40" t="n">
        <x:v>0.2609</x:v>
      </x:c>
      <x:c r="H1800" s="40" t="n">
        <x:v>0.019507</x:v>
      </x:c>
      <x:c r="I1800" t="n">
        <x:v>36</x:v>
      </x:c>
      <x:c r="J1800" t="n">
        <x:v>147100</x:v>
      </x:c>
      <x:c r="K1800" t="str">
        <x:v>Avalancha</x:v>
      </x:c>
      <x:c r="L1800" t="str">
        <x:v>Vigente</x:v>
      </x:c>
      <x:c r="M1800" t="n">
        <x:v>3786613.52</x:v>
      </x:c>
      <x:c r="N1800"/>
    </x:row>
    <x:row r="1801">
      <x:c r="A1801" t="str">
        <x:v>DEU-001800</x:v>
      </x:c>
      <x:c r="B1801" t="str">
        <x:v>USR-00921</x:v>
      </x:c>
      <x:c r="C1801" t="n">
        <x:v>46174</x:v>
      </x:c>
      <x:c r="D1801" t="str">
        <x:v>Entidad financiera B</x:v>
      </x:c>
      <x:c r="E1801" t="str">
        <x:v>Tarjeta de crédito</x:v>
      </x:c>
      <x:c r="F1801" t="n">
        <x:v>6250000</x:v>
      </x:c>
      <x:c r="G1801" s="40" t="n">
        <x:v>0.2508</x:v>
      </x:c>
      <x:c r="H1801" s="40" t="n">
        <x:v>0.018824</x:v>
      </x:c>
      <x:c r="I1801" t="n">
        <x:v>30</x:v>
      </x:c>
      <x:c r="J1801" t="n">
        <x:v>274600</x:v>
      </x:c>
      <x:c r="K1801" t="str">
        <x:v>Bola de nieve</x:v>
      </x:c>
      <x:c r="L1801" t="str">
        <x:v>Vigente</x:v>
      </x:c>
      <x:c r="M1801" t="n">
        <x:v>6172024.21</x:v>
      </x:c>
      <x:c r="N1801"/>
    </x:row>
    <x:row r="1802">
      <x:c r="A1802" t="str">
        <x:v>DEU-001801</x:v>
      </x:c>
      <x:c r="B1802" t="str">
        <x:v>USR-00922</x:v>
      </x:c>
      <x:c r="C1802" t="n">
        <x:v>46174</x:v>
      </x:c>
      <x:c r="D1802" t="str">
        <x:v>Financiera D</x:v>
      </x:c>
      <x:c r="E1802" t="str">
        <x:v>Tarjeta de crédito</x:v>
      </x:c>
      <x:c r="F1802" t="n">
        <x:v>4510000</x:v>
      </x:c>
      <x:c r="G1802" s="40" t="n">
        <x:v>0.1572</x:v>
      </x:c>
      <x:c r="H1802" s="40" t="n">
        <x:v>0.012241</x:v>
      </x:c>
      <x:c r="I1802" t="n">
        <x:v>48</x:v>
      </x:c>
      <x:c r="J1802" t="n">
        <x:v>124800</x:v>
      </x:c>
      <x:c r="K1802" t="str">
        <x:v>Avalancha</x:v>
      </x:c>
      <x:c r="L1802" t="str">
        <x:v>Vigente</x:v>
      </x:c>
      <x:c r="M1802" t="n">
        <x:v>4418713.58</x:v>
      </x:c>
      <x:c r="N1802"/>
    </x:row>
    <x:row r="1803">
      <x:c r="A1803" t="str">
        <x:v>DEU-001802</x:v>
      </x:c>
      <x:c r="B1803" t="str">
        <x:v>USR-00922</x:v>
      </x:c>
      <x:c r="C1803" t="n">
        <x:v>46174</x:v>
      </x:c>
      <x:c r="D1803" t="str">
        <x:v>Entidad financiera E</x:v>
      </x:c>
      <x:c r="E1803" t="str">
        <x:v>Crédito de consumo</x:v>
      </x:c>
      <x:c r="F1803" t="n">
        <x:v>1850000</x:v>
      </x:c>
      <x:c r="G1803" s="40" t="n">
        <x:v>0.1855</x:v>
      </x:c>
      <x:c r="H1803" s="40" t="n">
        <x:v>0.014281</x:v>
      </x:c>
      <x:c r="I1803" t="n">
        <x:v>30</x:v>
      </x:c>
      <x:c r="J1803" t="n">
        <x:v>76300</x:v>
      </x:c>
      <x:c r="K1803" t="str">
        <x:v>Avalancha</x:v>
      </x:c>
      <x:c r="L1803" t="str">
        <x:v>Vigente</x:v>
      </x:c>
      <x:c r="M1803" t="n">
        <x:v>1676985.97</x:v>
      </x:c>
      <x:c r="N1803"/>
    </x:row>
    <x:row r="1804">
      <x:c r="A1804" t="str">
        <x:v>DEU-001803</x:v>
      </x:c>
      <x:c r="B1804" t="str">
        <x:v>USR-00923</x:v>
      </x:c>
      <x:c r="C1804" t="n">
        <x:v>46174</x:v>
      </x:c>
      <x:c r="D1804" t="str">
        <x:v>Entidad financiera B</x:v>
      </x:c>
      <x:c r="E1804" t="str">
        <x:v>Crédito educativo</x:v>
      </x:c>
      <x:c r="F1804" t="n">
        <x:v>18370000</x:v>
      </x:c>
      <x:c r="G1804" s="40" t="n">
        <x:v>0.1603</x:v>
      </x:c>
      <x:c r="H1804" s="40" t="n">
        <x:v>0.012467</x:v>
      </x:c>
      <x:c r="I1804" t="n">
        <x:v>48</x:v>
      </x:c>
      <x:c r="J1804" t="n">
        <x:v>510900</x:v>
      </x:c>
      <x:c r="K1804" t="str">
        <x:v>Avalancha</x:v>
      </x:c>
      <x:c r="L1804" t="str">
        <x:v>Vigente</x:v>
      </x:c>
      <x:c r="M1804" t="n">
        <x:v>19015295.54</x:v>
      </x:c>
      <x:c r="N1804"/>
    </x:row>
    <x:row r="1805">
      <x:c r="A1805" t="str">
        <x:v>DEU-001804</x:v>
      </x:c>
      <x:c r="B1805" t="str">
        <x:v>USR-00924</x:v>
      </x:c>
      <x:c r="C1805" t="n">
        <x:v>46174</x:v>
      </x:c>
      <x:c r="D1805" t="str">
        <x:v>Cooperativa C</x:v>
      </x:c>
      <x:c r="E1805" t="str">
        <x:v>Crédito de libre inversión</x:v>
      </x:c>
      <x:c r="F1805" t="n">
        <x:v>10260000</x:v>
      </x:c>
      <x:c r="G1805" s="40" t="n">
        <x:v>0.2023</x:v>
      </x:c>
      <x:c r="H1805" s="40" t="n">
        <x:v>0.015471</x:v>
      </x:c>
      <x:c r="I1805" t="n">
        <x:v>30</x:v>
      </x:c>
      <x:c r="J1805" t="n">
        <x:v>430100</x:v>
      </x:c>
      <x:c r="K1805" t="str">
        <x:v>Bola de nieve</x:v>
      </x:c>
      <x:c r="L1805" t="str">
        <x:v>Vigente</x:v>
      </x:c>
      <x:c r="M1805" t="n">
        <x:v>10106007.07</x:v>
      </x:c>
      <x:c r="N1805"/>
    </x:row>
    <x:row r="1806">
      <x:c r="A1806" t="str">
        <x:v>DEU-001805</x:v>
      </x:c>
      <x:c r="B1806" t="str">
        <x:v>USR-00925</x:v>
      </x:c>
      <x:c r="C1806" t="n">
        <x:v>46174</x:v>
      </x:c>
      <x:c r="D1806" t="str">
        <x:v>Entidad financiera B</x:v>
      </x:c>
      <x:c r="E1806" t="str">
        <x:v>Crédito comercial</x:v>
      </x:c>
      <x:c r="F1806" t="n">
        <x:v>7700000</x:v>
      </x:c>
      <x:c r="G1806" s="40" t="n">
        <x:v>0.2642</x:v>
      </x:c>
      <x:c r="H1806" s="40" t="n">
        <x:v>0.019729</x:v>
      </x:c>
      <x:c r="I1806" t="n">
        <x:v>12</x:v>
      </x:c>
      <x:c r="J1806" t="n">
        <x:v>726900</x:v>
      </x:c>
      <x:c r="K1806" t="str">
        <x:v>Avalancha</x:v>
      </x:c>
      <x:c r="L1806" t="str">
        <x:v>Vigente</x:v>
      </x:c>
      <x:c r="M1806" t="n">
        <x:v>5607867.18</x:v>
      </x:c>
      <x:c r="N1806"/>
    </x:row>
    <x:row r="1807">
      <x:c r="A1807" t="str">
        <x:v>DEU-001806</x:v>
      </x:c>
      <x:c r="B1807" t="str">
        <x:v>USR-00925</x:v>
      </x:c>
      <x:c r="C1807" t="n">
        <x:v>46174</x:v>
      </x:c>
      <x:c r="D1807" t="str">
        <x:v>Entidad financiera B</x:v>
      </x:c>
      <x:c r="E1807" t="str">
        <x:v>Crédito educativo</x:v>
      </x:c>
      <x:c r="F1807" t="n">
        <x:v>4110000</x:v>
      </x:c>
      <x:c r="G1807" s="40" t="n">
        <x:v>0.2627</x:v>
      </x:c>
      <x:c r="H1807" s="40" t="n">
        <x:v>0.019628</x:v>
      </x:c>
      <x:c r="I1807" t="n">
        <x:v>12</x:v>
      </x:c>
      <x:c r="J1807" t="n">
        <x:v>387800</x:v>
      </x:c>
      <x:c r="K1807" t="str">
        <x:v>Avalancha</x:v>
      </x:c>
      <x:c r="L1807" t="str">
        <x:v>Vigente</x:v>
      </x:c>
      <x:c r="M1807" t="n">
        <x:v>3495424.02</x:v>
      </x:c>
      <x:c r="N1807"/>
    </x:row>
    <x:row r="1808">
      <x:c r="A1808" t="str">
        <x:v>DEU-001807</x:v>
      </x:c>
      <x:c r="B1808" t="str">
        <x:v>USR-00926</x:v>
      </x:c>
      <x:c r="C1808" t="n">
        <x:v>46174</x:v>
      </x:c>
      <x:c r="D1808" t="str">
        <x:v>Financiera D</x:v>
      </x:c>
      <x:c r="E1808" t="str">
        <x:v>Crédito de libre inversión</x:v>
      </x:c>
      <x:c r="F1808" t="n">
        <x:v>23580000</x:v>
      </x:c>
      <x:c r="G1808" s="40" t="n">
        <x:v>0.2593</x:v>
      </x:c>
      <x:c r="H1808" s="40" t="n">
        <x:v>0.019399</x:v>
      </x:c>
      <x:c r="I1808" t="n">
        <x:v>60</x:v>
      </x:c>
      <x:c r="J1808" t="n">
        <x:v>668500</x:v>
      </x:c>
      <x:c r="K1808" t="str">
        <x:v>Avalancha</x:v>
      </x:c>
      <x:c r="L1808" t="str">
        <x:v>Vigente</x:v>
      </x:c>
      <x:c r="M1808" t="n">
        <x:v>23299240.46</x:v>
      </x:c>
      <x:c r="N1808"/>
    </x:row>
    <x:row r="1809">
      <x:c r="A1809" t="str">
        <x:v>DEU-001808</x:v>
      </x:c>
      <x:c r="B1809" t="str">
        <x:v>USR-00926</x:v>
      </x:c>
      <x:c r="C1809" t="n">
        <x:v>46174</x:v>
      </x:c>
      <x:c r="D1809" t="str">
        <x:v>Cooperativa C</x:v>
      </x:c>
      <x:c r="E1809" t="str">
        <x:v>Crédito de consumo</x:v>
      </x:c>
      <x:c r="F1809" t="n">
        <x:v>17120000</x:v>
      </x:c>
      <x:c r="G1809" s="40" t="n">
        <x:v>0.311</x:v>
      </x:c>
      <x:c r="H1809" s="40" t="n">
        <x:v>0.022822</x:v>
      </x:c>
      <x:c r="I1809" t="n">
        <x:v>12</x:v>
      </x:c>
      <x:c r="J1809" t="n">
        <x:v>1647100</x:v>
      </x:c>
      <x:c r="K1809" t="str">
        <x:v>Bola de nieve</x:v>
      </x:c>
      <x:c r="L1809" t="str">
        <x:v>Vigente</x:v>
      </x:c>
      <x:c r="M1809" t="n">
        <x:v>13435168.32</x:v>
      </x:c>
      <x:c r="N1809"/>
    </x:row>
    <x:row r="1810">
      <x:c r="A1810" t="str">
        <x:v>DEU-001809</x:v>
      </x:c>
      <x:c r="B1810" t="str">
        <x:v>USR-00927</x:v>
      </x:c>
      <x:c r="C1810" t="n">
        <x:v>46174</x:v>
      </x:c>
      <x:c r="D1810" t="str">
        <x:v>Financiera D</x:v>
      </x:c>
      <x:c r="E1810" t="str">
        <x:v>Tarjeta de crédito</x:v>
      </x:c>
      <x:c r="F1810" t="n">
        <x:v>7300000</x:v>
      </x:c>
      <x:c r="G1810" s="40" t="n">
        <x:v>0.3392</x:v>
      </x:c>
      <x:c r="H1810" s="40" t="n">
        <x:v>0.024638</x:v>
      </x:c>
      <x:c r="I1810" t="n">
        <x:v>18</x:v>
      </x:c>
      <x:c r="J1810" t="n">
        <x:v>507000</x:v>
      </x:c>
      <x:c r="K1810" t="str">
        <x:v>Bola de nieve</x:v>
      </x:c>
      <x:c r="L1810" t="str">
        <x:v>Vigente</x:v>
      </x:c>
      <x:c r="M1810" t="n">
        <x:v>6092596.73</x:v>
      </x:c>
      <x:c r="N1810"/>
    </x:row>
    <x:row r="1811">
      <x:c r="A1811" t="str">
        <x:v>DEU-001810</x:v>
      </x:c>
      <x:c r="B1811" t="str">
        <x:v>USR-00928</x:v>
      </x:c>
      <x:c r="C1811" t="n">
        <x:v>46174</x:v>
      </x:c>
      <x:c r="D1811" t="str">
        <x:v>Entidad financiera E</x:v>
      </x:c>
      <x:c r="E1811" t="str">
        <x:v>Crédito de consumo</x:v>
      </x:c>
      <x:c r="F1811" t="n">
        <x:v>10620000</x:v>
      </x:c>
      <x:c r="G1811" s="40" t="n">
        <x:v>0.1184</x:v>
      </x:c>
      <x:c r="H1811" s="40" t="n">
        <x:v>0.009369</x:v>
      </x:c>
      <x:c r="I1811" t="n">
        <x:v>12</x:v>
      </x:c>
      <x:c r="J1811" t="n">
        <x:v>939800</x:v>
      </x:c>
      <x:c r="K1811" t="str">
        <x:v>Bola de nieve</x:v>
      </x:c>
      <x:c r="L1811" t="str">
        <x:v>Vigente</x:v>
      </x:c>
      <x:c r="M1811" t="n">
        <x:v>9307268.27</x:v>
      </x:c>
      <x:c r="N1811"/>
    </x:row>
    <x:row r="1812">
      <x:c r="A1812" t="str">
        <x:v>DEU-001811</x:v>
      </x:c>
      <x:c r="B1812" t="str">
        <x:v>USR-00928</x:v>
      </x:c>
      <x:c r="C1812" t="n">
        <x:v>46174</x:v>
      </x:c>
      <x:c r="D1812" t="str">
        <x:v>Financiera D</x:v>
      </x:c>
      <x:c r="E1812" t="str">
        <x:v>Crédito de libre inversión</x:v>
      </x:c>
      <x:c r="F1812" t="n">
        <x:v>10260000</x:v>
      </x:c>
      <x:c r="G1812" s="40" t="n">
        <x:v>0.2889</x:v>
      </x:c>
      <x:c r="H1812" s="40" t="n">
        <x:v>0.021374</x:v>
      </x:c>
      <x:c r="I1812" t="n">
        <x:v>48</x:v>
      </x:c>
      <x:c r="J1812" t="n">
        <x:v>343900</x:v>
      </x:c>
      <x:c r="K1812" t="str">
        <x:v>Avalancha</x:v>
      </x:c>
      <x:c r="L1812" t="str">
        <x:v>Vigente</x:v>
      </x:c>
      <x:c r="M1812" t="n">
        <x:v>10072117.51</x:v>
      </x:c>
      <x:c r="N1812"/>
    </x:row>
    <x:row r="1813">
      <x:c r="A1813" t="str">
        <x:v>DEU-001812</x:v>
      </x:c>
      <x:c r="B1813" t="str">
        <x:v>USR-00929</x:v>
      </x:c>
      <x:c r="C1813" t="n">
        <x:v>46174</x:v>
      </x:c>
      <x:c r="D1813" t="str">
        <x:v>Financiera D</x:v>
      </x:c>
      <x:c r="E1813" t="str">
        <x:v>Tarjeta de crédito</x:v>
      </x:c>
      <x:c r="F1813" t="n">
        <x:v>8380000</x:v>
      </x:c>
      <x:c r="G1813" s="40" t="n">
        <x:v>0.1429</x:v>
      </x:c>
      <x:c r="H1813" s="40" t="n">
        <x:v>0.011193</x:v>
      </x:c>
      <x:c r="I1813" t="n">
        <x:v>30</x:v>
      </x:c>
      <x:c r="J1813" t="n">
        <x:v>330400</x:v>
      </x:c>
      <x:c r="K1813" t="str">
        <x:v>Bola de nieve</x:v>
      </x:c>
      <x:c r="L1813" t="str">
        <x:v>Vigente</x:v>
      </x:c>
      <x:c r="M1813" t="n">
        <x:v>7417578.02</x:v>
      </x:c>
      <x:c r="N1813"/>
    </x:row>
    <x:row r="1814">
      <x:c r="A1814" t="str">
        <x:v>DEU-001813</x:v>
      </x:c>
      <x:c r="B1814" t="str">
        <x:v>USR-00930</x:v>
      </x:c>
      <x:c r="C1814" t="n">
        <x:v>46174</x:v>
      </x:c>
      <x:c r="D1814" t="str">
        <x:v>Financiera D</x:v>
      </x:c>
      <x:c r="E1814" t="str">
        <x:v>Crédito educativo</x:v>
      </x:c>
      <x:c r="F1814" t="n">
        <x:v>6520000</x:v>
      </x:c>
      <x:c r="G1814" s="40" t="n">
        <x:v>0.191</x:v>
      </x:c>
      <x:c r="H1814" s="40" t="n">
        <x:v>0.014673</x:v>
      </x:c>
      <x:c r="I1814" t="n">
        <x:v>48</x:v>
      </x:c>
      <x:c r="J1814" t="n">
        <x:v>190200</x:v>
      </x:c>
      <x:c r="K1814" t="str">
        <x:v>Avalancha</x:v>
      </x:c>
      <x:c r="L1814" t="str">
        <x:v>Vigente</x:v>
      </x:c>
      <x:c r="M1814" t="n">
        <x:v>6143815.03</x:v>
      </x:c>
      <x:c r="N1814"/>
    </x:row>
    <x:row r="1815">
      <x:c r="A1815" t="str">
        <x:v>DEU-001814</x:v>
      </x:c>
      <x:c r="B1815" t="str">
        <x:v>USR-00931</x:v>
      </x:c>
      <x:c r="C1815" t="n">
        <x:v>46174</x:v>
      </x:c>
      <x:c r="D1815" t="str">
        <x:v>Entidad financiera A</x:v>
      </x:c>
      <x:c r="E1815" t="str">
        <x:v>Crédito comercial</x:v>
      </x:c>
      <x:c r="F1815" t="n">
        <x:v>8230000</x:v>
      </x:c>
      <x:c r="G1815" s="40" t="n">
        <x:v>0.1449</x:v>
      </x:c>
      <x:c r="H1815" s="40" t="n">
        <x:v>0.01134</x:v>
      </x:c>
      <x:c r="I1815" t="n">
        <x:v>36</x:v>
      </x:c>
      <x:c r="J1815" t="n">
        <x:v>279700</x:v>
      </x:c>
      <x:c r="K1815" t="str">
        <x:v>Bola de nieve</x:v>
      </x:c>
      <x:c r="L1815" t="str">
        <x:v>Vigente</x:v>
      </x:c>
      <x:c r="M1815" t="n">
        <x:v>8320395.92</x:v>
      </x:c>
      <x:c r="N1815"/>
    </x:row>
    <x:row r="1816">
      <x:c r="A1816" t="str">
        <x:v>DEU-001815</x:v>
      </x:c>
      <x:c r="B1816" t="str">
        <x:v>USR-00931</x:v>
      </x:c>
      <x:c r="C1816" t="n">
        <x:v>46174</x:v>
      </x:c>
      <x:c r="D1816" t="str">
        <x:v>Entidad financiera B</x:v>
      </x:c>
      <x:c r="E1816" t="str">
        <x:v>Crédito comercial</x:v>
      </x:c>
      <x:c r="F1816" t="n">
        <x:v>31340000</x:v>
      </x:c>
      <x:c r="G1816" s="40" t="n">
        <x:v>0.232</x:v>
      </x:c>
      <x:c r="H1816" s="40" t="n">
        <x:v>0.017539</x:v>
      </x:c>
      <x:c r="I1816" t="n">
        <x:v>24</x:v>
      </x:c>
      <x:c r="J1816" t="n">
        <x:v>1611100</x:v>
      </x:c>
      <x:c r="K1816" t="str">
        <x:v>Bola de nieve</x:v>
      </x:c>
      <x:c r="L1816" t="str">
        <x:v>Vigente</x:v>
      </x:c>
      <x:c r="M1816" t="n">
        <x:v>29822646.66</x:v>
      </x:c>
      <x:c r="N1816"/>
    </x:row>
    <x:row r="1817">
      <x:c r="A1817" t="str">
        <x:v>DEU-001816</x:v>
      </x:c>
      <x:c r="B1817" t="str">
        <x:v>USR-00932</x:v>
      </x:c>
      <x:c r="C1817" t="n">
        <x:v>46174</x:v>
      </x:c>
      <x:c r="D1817" t="str">
        <x:v>Cooperativa C</x:v>
      </x:c>
      <x:c r="E1817" t="str">
        <x:v>Crédito de consumo</x:v>
      </x:c>
      <x:c r="F1817" t="n">
        <x:v>15300000</x:v>
      </x:c>
      <x:c r="G1817" s="40" t="n">
        <x:v>0.3165</x:v>
      </x:c>
      <x:c r="H1817" s="40" t="n">
        <x:v>0.023179</x:v>
      </x:c>
      <x:c r="I1817" t="n">
        <x:v>30</x:v>
      </x:c>
      <x:c r="J1817" t="n">
        <x:v>713400</x:v>
      </x:c>
      <x:c r="K1817" t="str">
        <x:v>Avalancha</x:v>
      </x:c>
      <x:c r="L1817" t="str">
        <x:v>Vigente</x:v>
      </x:c>
      <x:c r="M1817" t="n">
        <x:v>14909010.4</x:v>
      </x:c>
      <x:c r="N1817"/>
    </x:row>
    <x:row r="1818">
      <x:c r="A1818" t="str">
        <x:v>DEU-001817</x:v>
      </x:c>
      <x:c r="B1818" t="str">
        <x:v>USR-00933</x:v>
      </x:c>
      <x:c r="C1818" t="n">
        <x:v>46174</x:v>
      </x:c>
      <x:c r="D1818" t="str">
        <x:v>Cooperativa C</x:v>
      </x:c>
      <x:c r="E1818" t="str">
        <x:v>Tarjeta de crédito</x:v>
      </x:c>
      <x:c r="F1818" t="n">
        <x:v>2790000</x:v>
      </x:c>
      <x:c r="G1818" s="40" t="n">
        <x:v>0.3385</x:v>
      </x:c>
      <x:c r="H1818" s="40" t="n">
        <x:v>0.024593</x:v>
      </x:c>
      <x:c r="I1818" t="n">
        <x:v>12</x:v>
      </x:c>
      <x:c r="J1818" t="n">
        <x:v>271300</x:v>
      </x:c>
      <x:c r="K1818" t="str">
        <x:v>Avalancha</x:v>
      </x:c>
      <x:c r="L1818" t="str">
        <x:v>Vigente</x:v>
      </x:c>
      <x:c r="M1818" t="n">
        <x:v>2530218.72</x:v>
      </x:c>
      <x:c r="N1818"/>
    </x:row>
    <x:row r="1819">
      <x:c r="A1819" t="str">
        <x:v>DEU-001818</x:v>
      </x:c>
      <x:c r="B1819" t="str">
        <x:v>USR-00933</x:v>
      </x:c>
      <x:c r="C1819" t="n">
        <x:v>46174</x:v>
      </x:c>
      <x:c r="D1819" t="str">
        <x:v>Entidad financiera B</x:v>
      </x:c>
      <x:c r="E1819" t="str">
        <x:v>Crédito educativo</x:v>
      </x:c>
      <x:c r="F1819" t="n">
        <x:v>12690000</x:v>
      </x:c>
      <x:c r="G1819" s="40" t="n">
        <x:v>0.241</x:v>
      </x:c>
      <x:c r="H1819" s="40" t="n">
        <x:v>0.018156</x:v>
      </x:c>
      <x:c r="I1819" t="n">
        <x:v>18</x:v>
      </x:c>
      <x:c r="J1819" t="n">
        <x:v>832800</x:v>
      </x:c>
      <x:c r="K1819" t="str">
        <x:v>Bola de nieve</x:v>
      </x:c>
      <x:c r="L1819" t="str">
        <x:v>Vigente</x:v>
      </x:c>
      <x:c r="M1819" t="n">
        <x:v>11778264.27</x:v>
      </x:c>
      <x:c r="N1819"/>
    </x:row>
    <x:row r="1820">
      <x:c r="A1820" t="str">
        <x:v>DEU-001819</x:v>
      </x:c>
      <x:c r="B1820" t="str">
        <x:v>USR-00934</x:v>
      </x:c>
      <x:c r="C1820" t="n">
        <x:v>46174</x:v>
      </x:c>
      <x:c r="D1820" t="str">
        <x:v>Cooperativa C</x:v>
      </x:c>
      <x:c r="E1820" t="str">
        <x:v>Crédito de vehículo</x:v>
      </x:c>
      <x:c r="F1820" t="n">
        <x:v>18120000</x:v>
      </x:c>
      <x:c r="G1820" s="40" t="n">
        <x:v>0.2941</x:v>
      </x:c>
      <x:c r="H1820" s="40" t="n">
        <x:v>0.021717</x:v>
      </x:c>
      <x:c r="I1820" t="n">
        <x:v>12</x:v>
      </x:c>
      <x:c r="J1820" t="n">
        <x:v>1731500</x:v>
      </x:c>
      <x:c r="K1820" t="str">
        <x:v>Avalancha</x:v>
      </x:c>
      <x:c r="L1820" t="str">
        <x:v>Vigente</x:v>
      </x:c>
      <x:c r="M1820" t="n">
        <x:v>11175870.27</x:v>
      </x:c>
      <x:c r="N1820"/>
    </x:row>
    <x:row r="1821">
      <x:c r="A1821" t="str">
        <x:v>DEU-001820</x:v>
      </x:c>
      <x:c r="B1821" t="str">
        <x:v>USR-00934</x:v>
      </x:c>
      <x:c r="C1821" t="n">
        <x:v>46174</x:v>
      </x:c>
      <x:c r="D1821" t="str">
        <x:v>Cooperativa C</x:v>
      </x:c>
      <x:c r="E1821" t="str">
        <x:v>Crédito de consumo</x:v>
      </x:c>
      <x:c r="F1821" t="n">
        <x:v>2200000</x:v>
      </x:c>
      <x:c r="G1821" s="40" t="n">
        <x:v>0.2956</x:v>
      </x:c>
      <x:c r="H1821" s="40" t="n">
        <x:v>0.021816</x:v>
      </x:c>
      <x:c r="I1821" t="n">
        <x:v>24</x:v>
      </x:c>
      <x:c r="J1821" t="n">
        <x:v>118700</x:v>
      </x:c>
      <x:c r="K1821" t="str">
        <x:v>Bola de nieve</x:v>
      </x:c>
      <x:c r="L1821" t="str">
        <x:v>Vigente</x:v>
      </x:c>
      <x:c r="M1821" t="n">
        <x:v>2173062.75</x:v>
      </x:c>
      <x:c r="N1821"/>
    </x:row>
    <x:row r="1822">
      <x:c r="A1822" t="str">
        <x:v>DEU-001821</x:v>
      </x:c>
      <x:c r="B1822" t="str">
        <x:v>USR-00935</x:v>
      </x:c>
      <x:c r="C1822" t="n">
        <x:v>46174</x:v>
      </x:c>
      <x:c r="D1822" t="str">
        <x:v>Cooperativa C</x:v>
      </x:c>
      <x:c r="E1822" t="str">
        <x:v>Crédito de libre inversión</x:v>
      </x:c>
      <x:c r="F1822" t="n">
        <x:v>18330000</x:v>
      </x:c>
      <x:c r="G1822" s="40" t="n">
        <x:v>0.2477</x:v>
      </x:c>
      <x:c r="H1822" s="40" t="n">
        <x:v>0.018613</x:v>
      </x:c>
      <x:c r="I1822" t="n">
        <x:v>24</x:v>
      </x:c>
      <x:c r="J1822" t="n">
        <x:v>954000</x:v>
      </x:c>
      <x:c r="K1822" t="str">
        <x:v>Avalancha</x:v>
      </x:c>
      <x:c r="L1822" t="str">
        <x:v>Vigente</x:v>
      </x:c>
      <x:c r="M1822" t="n">
        <x:v>17771675.3</x:v>
      </x:c>
      <x:c r="N1822"/>
    </x:row>
    <x:row r="1823">
      <x:c r="A1823" t="str">
        <x:v>DEU-001822</x:v>
      </x:c>
      <x:c r="B1823" t="str">
        <x:v>USR-00936</x:v>
      </x:c>
      <x:c r="C1823" t="n">
        <x:v>46174</x:v>
      </x:c>
      <x:c r="D1823" t="str">
        <x:v>Entidad financiera B</x:v>
      </x:c>
      <x:c r="E1823" t="str">
        <x:v>Crédito de consumo</x:v>
      </x:c>
      <x:c r="F1823" t="n">
        <x:v>9850000</x:v>
      </x:c>
      <x:c r="G1823" s="40" t="n">
        <x:v>0.2538</x:v>
      </x:c>
      <x:c r="H1823" s="40" t="n">
        <x:v>0.019027</x:v>
      </x:c>
      <x:c r="I1823" t="n">
        <x:v>18</x:v>
      </x:c>
      <x:c r="J1823" t="n">
        <x:v>651400</x:v>
      </x:c>
      <x:c r="K1823" t="str">
        <x:v>Avalancha</x:v>
      </x:c>
      <x:c r="L1823" t="str">
        <x:v>Vigente</x:v>
      </x:c>
      <x:c r="M1823" t="n">
        <x:v>8762492.88</x:v>
      </x:c>
      <x:c r="N1823"/>
    </x:row>
    <x:row r="1824">
      <x:c r="A1824" t="str">
        <x:v>DEU-001823</x:v>
      </x:c>
      <x:c r="B1824" t="str">
        <x:v>USR-00937</x:v>
      </x:c>
      <x:c r="C1824" t="n">
        <x:v>46174</x:v>
      </x:c>
      <x:c r="D1824" t="str">
        <x:v>Entidad financiera A</x:v>
      </x:c>
      <x:c r="E1824" t="str">
        <x:v>Crédito de consumo</x:v>
      </x:c>
      <x:c r="F1824" t="n">
        <x:v>5160000</x:v>
      </x:c>
      <x:c r="G1824" s="40" t="n">
        <x:v>0.1103</x:v>
      </x:c>
      <x:c r="H1824" s="40" t="n">
        <x:v>0.008757</x:v>
      </x:c>
      <x:c r="I1824" t="n">
        <x:v>18</x:v>
      </x:c>
      <x:c r="J1824" t="n">
        <x:v>311100</x:v>
      </x:c>
      <x:c r="K1824" t="str">
        <x:v>Avalancha</x:v>
      </x:c>
      <x:c r="L1824" t="str">
        <x:v>Vigente</x:v>
      </x:c>
      <x:c r="M1824" t="n">
        <x:v>4724776.77</x:v>
      </x:c>
      <x:c r="N1824"/>
    </x:row>
    <x:row r="1825">
      <x:c r="A1825" t="str">
        <x:v>DEU-001824</x:v>
      </x:c>
      <x:c r="B1825" t="str">
        <x:v>USR-00938</x:v>
      </x:c>
      <x:c r="C1825" t="n">
        <x:v>46174</x:v>
      </x:c>
      <x:c r="D1825" t="str">
        <x:v>Cooperativa C</x:v>
      </x:c>
      <x:c r="E1825" t="str">
        <x:v>Crédito educativo</x:v>
      </x:c>
      <x:c r="F1825" t="n">
        <x:v>19870000</x:v>
      </x:c>
      <x:c r="G1825" s="40" t="n">
        <x:v>0.322</x:v>
      </x:c>
      <x:c r="H1825" s="40" t="n">
        <x:v>0.023535</x:v>
      </x:c>
      <x:c r="I1825" t="n">
        <x:v>36</x:v>
      </x:c>
      <x:c r="J1825" t="n">
        <x:v>824500</x:v>
      </x:c>
      <x:c r="K1825" t="str">
        <x:v>Bola de nieve</x:v>
      </x:c>
      <x:c r="L1825" t="str">
        <x:v>Vigente</x:v>
      </x:c>
      <x:c r="M1825" t="n">
        <x:v>18264748.59</x:v>
      </x:c>
      <x:c r="N1825"/>
    </x:row>
    <x:row r="1826">
      <x:c r="A1826" t="str">
        <x:v>DEU-001825</x:v>
      </x:c>
      <x:c r="B1826" t="str">
        <x:v>USR-00939</x:v>
      </x:c>
      <x:c r="C1826" t="n">
        <x:v>46174</x:v>
      </x:c>
      <x:c r="D1826" t="str">
        <x:v>Entidad financiera B</x:v>
      </x:c>
      <x:c r="E1826" t="str">
        <x:v>Crédito de consumo</x:v>
      </x:c>
      <x:c r="F1826" t="n">
        <x:v>11120000</x:v>
      </x:c>
      <x:c r="G1826" s="40" t="n">
        <x:v>0.2493</x:v>
      </x:c>
      <x:c r="H1826" s="40" t="n">
        <x:v>0.018722</x:v>
      </x:c>
      <x:c r="I1826" t="n">
        <x:v>60</x:v>
      </x:c>
      <x:c r="J1826" t="n">
        <x:v>310100</x:v>
      </x:c>
      <x:c r="K1826" t="str">
        <x:v>Bola de nieve</x:v>
      </x:c>
      <x:c r="L1826" t="str">
        <x:v>Vigente</x:v>
      </x:c>
      <x:c r="M1826" t="n">
        <x:v>11236500.22</x:v>
      </x:c>
      <x:c r="N1826"/>
    </x:row>
    <x:row r="1827">
      <x:c r="A1827" t="str">
        <x:v>DEU-001826</x:v>
      </x:c>
      <x:c r="B1827" t="str">
        <x:v>USR-00940</x:v>
      </x:c>
      <x:c r="C1827" t="n">
        <x:v>46174</x:v>
      </x:c>
      <x:c r="D1827" t="str">
        <x:v>Cooperativa C</x:v>
      </x:c>
      <x:c r="E1827" t="str">
        <x:v>Tarjeta de crédito</x:v>
      </x:c>
      <x:c r="F1827" t="n">
        <x:v>4710000</x:v>
      </x:c>
      <x:c r="G1827" s="40" t="n">
        <x:v>0.149</x:v>
      </x:c>
      <x:c r="H1827" s="40" t="n">
        <x:v>0.011642</x:v>
      </x:c>
      <x:c r="I1827" t="n">
        <x:v>24</x:v>
      </x:c>
      <x:c r="J1827" t="n">
        <x:v>226100</x:v>
      </x:c>
      <x:c r="K1827" t="str">
        <x:v>Avalancha</x:v>
      </x:c>
      <x:c r="L1827" t="str">
        <x:v>Vigente</x:v>
      </x:c>
      <x:c r="M1827" t="n">
        <x:v>4575659.5</x:v>
      </x:c>
      <x:c r="N1827"/>
    </x:row>
    <x:row r="1828">
      <x:c r="A1828" t="str">
        <x:v>DEU-001827</x:v>
      </x:c>
      <x:c r="B1828" t="str">
        <x:v>USR-00940</x:v>
      </x:c>
      <x:c r="C1828" t="n">
        <x:v>46174</x:v>
      </x:c>
      <x:c r="D1828" t="str">
        <x:v>Entidad financiera E</x:v>
      </x:c>
      <x:c r="E1828" t="str">
        <x:v>Crédito de consumo</x:v>
      </x:c>
      <x:c r="F1828" t="n">
        <x:v>12940000</x:v>
      </x:c>
      <x:c r="G1828" s="40" t="n">
        <x:v>0.3018</x:v>
      </x:c>
      <x:c r="H1828" s="40" t="n">
        <x:v>0.022222</x:v>
      </x:c>
      <x:c r="I1828" t="n">
        <x:v>36</x:v>
      </x:c>
      <x:c r="J1828" t="n">
        <x:v>526000</x:v>
      </x:c>
      <x:c r="K1828" t="str">
        <x:v>Avalancha</x:v>
      </x:c>
      <x:c r="L1828" t="str">
        <x:v>Vigente</x:v>
      </x:c>
      <x:c r="M1828" t="n">
        <x:v>12681461.26</x:v>
      </x:c>
      <x:c r="N1828"/>
    </x:row>
    <x:row r="1829">
      <x:c r="A1829" t="str">
        <x:v>DEU-001828</x:v>
      </x:c>
      <x:c r="B1829" t="str">
        <x:v>USR-00941</x:v>
      </x:c>
      <x:c r="C1829" t="n">
        <x:v>46174</x:v>
      </x:c>
      <x:c r="D1829" t="str">
        <x:v>Cooperativa C</x:v>
      </x:c>
      <x:c r="E1829" t="str">
        <x:v>Crédito de consumo</x:v>
      </x:c>
      <x:c r="F1829" t="n">
        <x:v>16290000</x:v>
      </x:c>
      <x:c r="G1829" s="40" t="n">
        <x:v>0.1225</x:v>
      </x:c>
      <x:c r="H1829" s="40" t="n">
        <x:v>0.009676</x:v>
      </x:c>
      <x:c r="I1829" t="n">
        <x:v>18</x:v>
      </x:c>
      <x:c r="J1829" t="n">
        <x:v>990500</x:v>
      </x:c>
      <x:c r="K1829" t="str">
        <x:v>Avalancha</x:v>
      </x:c>
      <x:c r="L1829" t="str">
        <x:v>Vigente</x:v>
      </x:c>
      <x:c r="M1829" t="n">
        <x:v>13720107.78</x:v>
      </x:c>
      <x:c r="N1829"/>
    </x:row>
    <x:row r="1830">
      <x:c r="A1830" t="str">
        <x:v>DEU-001829</x:v>
      </x:c>
      <x:c r="B1830" t="str">
        <x:v>USR-00942</x:v>
      </x:c>
      <x:c r="C1830" t="n">
        <x:v>46174</x:v>
      </x:c>
      <x:c r="D1830" t="str">
        <x:v>Entidad financiera A</x:v>
      </x:c>
      <x:c r="E1830" t="str">
        <x:v>Crédito educativo</x:v>
      </x:c>
      <x:c r="F1830" t="n">
        <x:v>20080000</x:v>
      </x:c>
      <x:c r="G1830" s="40" t="n">
        <x:v>0.1395</x:v>
      </x:c>
      <x:c r="H1830" s="40" t="n">
        <x:v>0.010942</x:v>
      </x:c>
      <x:c r="I1830" t="n">
        <x:v>60</x:v>
      </x:c>
      <x:c r="J1830" t="n">
        <x:v>458200</x:v>
      </x:c>
      <x:c r="K1830" t="str">
        <x:v>Avalancha</x:v>
      </x:c>
      <x:c r="L1830" t="str">
        <x:v>Vigente</x:v>
      </x:c>
      <x:c r="M1830" t="n">
        <x:v>19624114.58</x:v>
      </x:c>
      <x:c r="N1830"/>
    </x:row>
    <x:row r="1831">
      <x:c r="A1831" t="str">
        <x:v>DEU-001830</x:v>
      </x:c>
      <x:c r="B1831" t="str">
        <x:v>USR-00943</x:v>
      </x:c>
      <x:c r="C1831" t="n">
        <x:v>46174</x:v>
      </x:c>
      <x:c r="D1831" t="str">
        <x:v>Entidad financiera B</x:v>
      </x:c>
      <x:c r="E1831" t="str">
        <x:v>Crédito de consumo</x:v>
      </x:c>
      <x:c r="F1831" t="n">
        <x:v>14770000</x:v>
      </x:c>
      <x:c r="G1831" s="40" t="n">
        <x:v>0.2733</x:v>
      </x:c>
      <x:c r="H1831" s="40" t="n">
        <x:v>0.020338</x:v>
      </x:c>
      <x:c r="I1831" t="n">
        <x:v>18</x:v>
      </x:c>
      <x:c r="J1831" t="n">
        <x:v>988100</x:v>
      </x:c>
      <x:c r="K1831" t="str">
        <x:v>Avalancha</x:v>
      </x:c>
      <x:c r="L1831" t="str">
        <x:v>Vigente</x:v>
      </x:c>
      <x:c r="M1831" t="n">
        <x:v>12681262.05</x:v>
      </x:c>
      <x:c r="N1831"/>
    </x:row>
    <x:row r="1832">
      <x:c r="A1832" t="str">
        <x:v>DEU-001831</x:v>
      </x:c>
      <x:c r="B1832" t="str">
        <x:v>USR-00943</x:v>
      </x:c>
      <x:c r="C1832" t="n">
        <x:v>46174</x:v>
      </x:c>
      <x:c r="D1832" t="str">
        <x:v>Entidad financiera E</x:v>
      </x:c>
      <x:c r="E1832" t="str">
        <x:v>Crédito de consumo</x:v>
      </x:c>
      <x:c r="F1832" t="n">
        <x:v>7190000</x:v>
      </x:c>
      <x:c r="G1832" s="40" t="n">
        <x:v>0.3361</x:v>
      </x:c>
      <x:c r="H1832" s="40" t="n">
        <x:v>0.02444</x:v>
      </x:c>
      <x:c r="I1832" t="n">
        <x:v>24</x:v>
      </x:c>
      <x:c r="J1832" t="n">
        <x:v>399500</x:v>
      </x:c>
      <x:c r="K1832" t="str">
        <x:v>Bola de nieve</x:v>
      </x:c>
      <x:c r="L1832" t="str">
        <x:v>Vigente</x:v>
      </x:c>
      <x:c r="M1832" t="n">
        <x:v>6792742.73</x:v>
      </x:c>
      <x:c r="N1832"/>
    </x:row>
    <x:row r="1833">
      <x:c r="A1833" t="str">
        <x:v>DEU-001832</x:v>
      </x:c>
      <x:c r="B1833" t="str">
        <x:v>USR-00943</x:v>
      </x:c>
      <x:c r="C1833" t="n">
        <x:v>46174</x:v>
      </x:c>
      <x:c r="D1833" t="str">
        <x:v>Entidad financiera E</x:v>
      </x:c>
      <x:c r="E1833" t="str">
        <x:v>Crédito de consumo</x:v>
      </x:c>
      <x:c r="F1833" t="n">
        <x:v>15580000</x:v>
      </x:c>
      <x:c r="G1833" s="40" t="n">
        <x:v>0.1281</x:v>
      </x:c>
      <x:c r="H1833" s="40" t="n">
        <x:v>0.010095</x:v>
      </x:c>
      <x:c r="I1833" t="n">
        <x:v>48</x:v>
      </x:c>
      <x:c r="J1833" t="n">
        <x:v>411200</x:v>
      </x:c>
      <x:c r="K1833" t="str">
        <x:v>Avalancha</x:v>
      </x:c>
      <x:c r="L1833" t="str">
        <x:v>Vigente</x:v>
      </x:c>
      <x:c r="M1833" t="n">
        <x:v>15379592.17</x:v>
      </x:c>
      <x:c r="N1833"/>
    </x:row>
    <x:row r="1834">
      <x:c r="A1834" t="str">
        <x:v>DEU-001833</x:v>
      </x:c>
      <x:c r="B1834" t="str">
        <x:v>USR-00944</x:v>
      </x:c>
      <x:c r="C1834" t="n">
        <x:v>46174</x:v>
      </x:c>
      <x:c r="D1834" t="str">
        <x:v>Entidad financiera E</x:v>
      </x:c>
      <x:c r="E1834" t="str">
        <x:v>Crédito de consumo</x:v>
      </x:c>
      <x:c r="F1834" t="n">
        <x:v>9260000</x:v>
      </x:c>
      <x:c r="G1834" s="40" t="n">
        <x:v>0.1178</x:v>
      </x:c>
      <x:c r="H1834" s="40" t="n">
        <x:v>0.009323</x:v>
      </x:c>
      <x:c r="I1834" t="n">
        <x:v>30</x:v>
      </x:c>
      <x:c r="J1834" t="n">
        <x:v>355300</x:v>
      </x:c>
      <x:c r="K1834" t="str">
        <x:v>Avalancha</x:v>
      </x:c>
      <x:c r="L1834" t="str">
        <x:v>Vigente</x:v>
      </x:c>
      <x:c r="M1834" t="n">
        <x:v>9047645.9</x:v>
      </x:c>
      <x:c r="N1834"/>
    </x:row>
    <x:row r="1835">
      <x:c r="A1835" t="str">
        <x:v>DEU-001834</x:v>
      </x:c>
      <x:c r="B1835" t="str">
        <x:v>USR-00944</x:v>
      </x:c>
      <x:c r="C1835" t="n">
        <x:v>46174</x:v>
      </x:c>
      <x:c r="D1835" t="str">
        <x:v>Financiera D</x:v>
      </x:c>
      <x:c r="E1835" t="str">
        <x:v>Crédito educativo</x:v>
      </x:c>
      <x:c r="F1835" t="n">
        <x:v>25860000</x:v>
      </x:c>
      <x:c r="G1835" s="40" t="n">
        <x:v>0.2654</x:v>
      </x:c>
      <x:c r="H1835" s="40" t="n">
        <x:v>0.019809</x:v>
      </x:c>
      <x:c r="I1835" t="n">
        <x:v>18</x:v>
      </x:c>
      <x:c r="J1835" t="n">
        <x:v>1722000</x:v>
      </x:c>
      <x:c r="K1835" t="str">
        <x:v>Avalancha</x:v>
      </x:c>
      <x:c r="L1835" t="str">
        <x:v>Vigente</x:v>
      </x:c>
      <x:c r="M1835" t="n">
        <x:v>23510229.52</x:v>
      </x:c>
      <x:c r="N1835"/>
    </x:row>
    <x:row r="1836">
      <x:c r="A1836" t="str">
        <x:v>DEU-001835</x:v>
      </x:c>
      <x:c r="B1836" t="str">
        <x:v>USR-00945</x:v>
      </x:c>
      <x:c r="C1836" t="n">
        <x:v>46174</x:v>
      </x:c>
      <x:c r="D1836" t="str">
        <x:v>Cooperativa C</x:v>
      </x:c>
      <x:c r="E1836" t="str">
        <x:v>Crédito de consumo</x:v>
      </x:c>
      <x:c r="F1836" t="n">
        <x:v>5610000</x:v>
      </x:c>
      <x:c r="G1836" s="40" t="n">
        <x:v>0.1837</x:v>
      </x:c>
      <x:c r="H1836" s="40" t="n">
        <x:v>0.014153</x:v>
      </x:c>
      <x:c r="I1836" t="n">
        <x:v>30</x:v>
      </x:c>
      <x:c r="J1836" t="n">
        <x:v>230800</x:v>
      </x:c>
      <x:c r="K1836" t="str">
        <x:v>Avalancha</x:v>
      </x:c>
      <x:c r="L1836" t="str">
        <x:v>Vigente</x:v>
      </x:c>
      <x:c r="M1836" t="n">
        <x:v>5700332.5</x:v>
      </x:c>
      <x:c r="N1836"/>
    </x:row>
    <x:row r="1837">
      <x:c r="A1837" t="str">
        <x:v>DEU-001836</x:v>
      </x:c>
      <x:c r="B1837" t="str">
        <x:v>USR-00946</x:v>
      </x:c>
      <x:c r="C1837" t="n">
        <x:v>46174</x:v>
      </x:c>
      <x:c r="D1837" t="str">
        <x:v>Entidad financiera A</x:v>
      </x:c>
      <x:c r="E1837" t="str">
        <x:v>Crédito de consumo</x:v>
      </x:c>
      <x:c r="F1837" t="n">
        <x:v>16880000</x:v>
      </x:c>
      <x:c r="G1837" s="40" t="n">
        <x:v>0.2268</x:v>
      </x:c>
      <x:c r="H1837" s="40" t="n">
        <x:v>0.01718</x:v>
      </x:c>
      <x:c r="I1837" t="n">
        <x:v>60</x:v>
      </x:c>
      <x:c r="J1837" t="n">
        <x:v>453000</x:v>
      </x:c>
      <x:c r="K1837" t="str">
        <x:v>Bola de nieve</x:v>
      </x:c>
      <x:c r="L1837" t="str">
        <x:v>Vigente</x:v>
      </x:c>
      <x:c r="M1837" t="n">
        <x:v>16914448.65</x:v>
      </x:c>
      <x:c r="N1837"/>
    </x:row>
    <x:row r="1838">
      <x:c r="A1838" t="str">
        <x:v>DEU-001837</x:v>
      </x:c>
      <x:c r="B1838" t="str">
        <x:v>USR-00947</x:v>
      </x:c>
      <x:c r="C1838" t="n">
        <x:v>46174</x:v>
      </x:c>
      <x:c r="D1838" t="str">
        <x:v>Entidad financiera A</x:v>
      </x:c>
      <x:c r="E1838" t="str">
        <x:v>Crédito de libre inversión</x:v>
      </x:c>
      <x:c r="F1838" t="n">
        <x:v>21390000</x:v>
      </x:c>
      <x:c r="G1838" s="40" t="n">
        <x:v>0.1513</x:v>
      </x:c>
      <x:c r="H1838" s="40" t="n">
        <x:v>0.01181</x:v>
      </x:c>
      <x:c r="I1838" t="n">
        <x:v>36</x:v>
      </x:c>
      <x:c r="J1838" t="n">
        <x:v>732800</x:v>
      </x:c>
      <x:c r="K1838" t="str">
        <x:v>Bola de nieve</x:v>
      </x:c>
      <x:c r="L1838" t="str">
        <x:v>Vigente</x:v>
      </x:c>
      <x:c r="M1838" t="n">
        <x:v>20328293.91</x:v>
      </x:c>
      <x:c r="N1838"/>
    </x:row>
    <x:row r="1839">
      <x:c r="A1839" t="str">
        <x:v>DEU-001838</x:v>
      </x:c>
      <x:c r="B1839" t="str">
        <x:v>USR-00947</x:v>
      </x:c>
      <x:c r="C1839" t="n">
        <x:v>46174</x:v>
      </x:c>
      <x:c r="D1839" t="str">
        <x:v>Entidad financiera A</x:v>
      </x:c>
      <x:c r="E1839" t="str">
        <x:v>Tarjeta de crédito</x:v>
      </x:c>
      <x:c r="F1839" t="n">
        <x:v>8000000</x:v>
      </x:c>
      <x:c r="G1839" s="40" t="n">
        <x:v>0.2915</x:v>
      </x:c>
      <x:c r="H1839" s="40" t="n">
        <x:v>0.021546</x:v>
      </x:c>
      <x:c r="I1839" t="n">
        <x:v>24</x:v>
      </x:c>
      <x:c r="J1839" t="n">
        <x:v>430400</x:v>
      </x:c>
      <x:c r="K1839" t="str">
        <x:v>Bola de nieve</x:v>
      </x:c>
      <x:c r="L1839" t="str">
        <x:v>Vigente</x:v>
      </x:c>
      <x:c r="M1839" t="n">
        <x:v>7603415.54</x:v>
      </x:c>
      <x:c r="N1839"/>
    </x:row>
    <x:row r="1840">
      <x:c r="A1840" t="str">
        <x:v>DEU-001839</x:v>
      </x:c>
      <x:c r="B1840" t="str">
        <x:v>USR-00947</x:v>
      </x:c>
      <x:c r="C1840" t="n">
        <x:v>46174</x:v>
      </x:c>
      <x:c r="D1840" t="str">
        <x:v>Financiera D</x:v>
      </x:c>
      <x:c r="E1840" t="str">
        <x:v>Crédito de vehículo</x:v>
      </x:c>
      <x:c r="F1840" t="n">
        <x:v>17590000</x:v>
      </x:c>
      <x:c r="G1840" s="40" t="n">
        <x:v>0.1531</x:v>
      </x:c>
      <x:c r="H1840" s="40" t="n">
        <x:v>0.011942</x:v>
      </x:c>
      <x:c r="I1840" t="n">
        <x:v>36</x:v>
      </x:c>
      <x:c r="J1840" t="n">
        <x:v>604000</x:v>
      </x:c>
      <x:c r="K1840" t="str">
        <x:v>Avalancha</x:v>
      </x:c>
      <x:c r="L1840" t="str">
        <x:v>Vigente</x:v>
      </x:c>
      <x:c r="M1840" t="n">
        <x:v>16413616.72</x:v>
      </x:c>
      <x:c r="N1840"/>
    </x:row>
    <x:row r="1841">
      <x:c r="A1841" t="str">
        <x:v>DEU-001840</x:v>
      </x:c>
      <x:c r="B1841" t="str">
        <x:v>USR-00947</x:v>
      </x:c>
      <x:c r="C1841" t="n">
        <x:v>46174</x:v>
      </x:c>
      <x:c r="D1841" t="str">
        <x:v>Entidad financiera A</x:v>
      </x:c>
      <x:c r="E1841" t="str">
        <x:v>Tarjeta de crédito</x:v>
      </x:c>
      <x:c r="F1841" t="n">
        <x:v>7580000</x:v>
      </x:c>
      <x:c r="G1841" s="40" t="n">
        <x:v>0.2448</x:v>
      </x:c>
      <x:c r="H1841" s="40" t="n">
        <x:v>0.018415</x:v>
      </x:c>
      <x:c r="I1841" t="n">
        <x:v>60</x:v>
      </x:c>
      <x:c r="J1841" t="n">
        <x:v>209800</x:v>
      </x:c>
      <x:c r="K1841" t="str">
        <x:v>Bola de nieve</x:v>
      </x:c>
      <x:c r="L1841" t="str">
        <x:v>Vigente</x:v>
      </x:c>
      <x:c r="M1841" t="n">
        <x:v>7546965.5</x:v>
      </x:c>
      <x:c r="N1841"/>
    </x:row>
    <x:row r="1842">
      <x:c r="A1842" t="str">
        <x:v>DEU-001841</x:v>
      </x:c>
      <x:c r="B1842" t="str">
        <x:v>USR-00948</x:v>
      </x:c>
      <x:c r="C1842" t="n">
        <x:v>46174</x:v>
      </x:c>
      <x:c r="D1842" t="str">
        <x:v>Entidad financiera B</x:v>
      </x:c>
      <x:c r="E1842" t="str">
        <x:v>Tarjeta de crédito</x:v>
      </x:c>
      <x:c r="F1842" t="n">
        <x:v>7010000</x:v>
      </x:c>
      <x:c r="G1842" s="40" t="n">
        <x:v>0.1994</x:v>
      </x:c>
      <x:c r="H1842" s="40" t="n">
        <x:v>0.015267</x:v>
      </x:c>
      <x:c r="I1842" t="n">
        <x:v>18</x:v>
      </x:c>
      <x:c r="J1842" t="n">
        <x:v>448400</x:v>
      </x:c>
      <x:c r="K1842" t="str">
        <x:v>Avalancha</x:v>
      </x:c>
      <x:c r="L1842" t="str">
        <x:v>Vigente</x:v>
      </x:c>
      <x:c r="M1842" t="n">
        <x:v>5342403.03</x:v>
      </x:c>
      <x:c r="N1842"/>
    </x:row>
    <x:row r="1843">
      <x:c r="A1843" t="str">
        <x:v>DEU-001842</x:v>
      </x:c>
      <x:c r="B1843" t="str">
        <x:v>USR-00948</x:v>
      </x:c>
      <x:c r="C1843" t="n">
        <x:v>46174</x:v>
      </x:c>
      <x:c r="D1843" t="str">
        <x:v>Entidad financiera B</x:v>
      </x:c>
      <x:c r="E1843" t="str">
        <x:v>Tarjeta de crédito</x:v>
      </x:c>
      <x:c r="F1843" t="n">
        <x:v>5980000</x:v>
      </x:c>
      <x:c r="G1843" s="40" t="n">
        <x:v>0.2016</x:v>
      </x:c>
      <x:c r="H1843" s="40" t="n">
        <x:v>0.015422</x:v>
      </x:c>
      <x:c r="I1843" t="n">
        <x:v>36</x:v>
      </x:c>
      <x:c r="J1843" t="n">
        <x:v>217700</x:v>
      </x:c>
      <x:c r="K1843" t="str">
        <x:v>Avalancha</x:v>
      </x:c>
      <x:c r="L1843" t="str">
        <x:v>Vigente</x:v>
      </x:c>
      <x:c r="M1843" t="n">
        <x:v>5649832.52</x:v>
      </x:c>
      <x:c r="N1843"/>
    </x:row>
    <x:row r="1844">
      <x:c r="A1844" t="str">
        <x:v>DEU-001843</x:v>
      </x:c>
      <x:c r="B1844" t="str">
        <x:v>USR-00948</x:v>
      </x:c>
      <x:c r="C1844" t="n">
        <x:v>46174</x:v>
      </x:c>
      <x:c r="D1844" t="str">
        <x:v>Entidad financiera E</x:v>
      </x:c>
      <x:c r="E1844" t="str">
        <x:v>Crédito educativo</x:v>
      </x:c>
      <x:c r="F1844" t="n">
        <x:v>17000000</x:v>
      </x:c>
      <x:c r="G1844" s="40" t="n">
        <x:v>0.2523</x:v>
      </x:c>
      <x:c r="H1844" s="40" t="n">
        <x:v>0.018925</x:v>
      </x:c>
      <x:c r="I1844" t="n">
        <x:v>36</x:v>
      </x:c>
      <x:c r="J1844" t="n">
        <x:v>655500</x:v>
      </x:c>
      <x:c r="K1844" t="str">
        <x:v>Bola de nieve</x:v>
      </x:c>
      <x:c r="L1844" t="str">
        <x:v>Vigente</x:v>
      </x:c>
      <x:c r="M1844" t="n">
        <x:v>16071499.53</x:v>
      </x:c>
      <x:c r="N1844"/>
    </x:row>
    <x:row r="1845">
      <x:c r="A1845" t="str">
        <x:v>DEU-001844</x:v>
      </x:c>
      <x:c r="B1845" t="str">
        <x:v>USR-00949</x:v>
      </x:c>
      <x:c r="C1845" t="n">
        <x:v>46174</x:v>
      </x:c>
      <x:c r="D1845" t="str">
        <x:v>Cooperativa C</x:v>
      </x:c>
      <x:c r="E1845" t="str">
        <x:v>Tarjeta de crédito</x:v>
      </x:c>
      <x:c r="F1845" t="n">
        <x:v>3880000</x:v>
      </x:c>
      <x:c r="G1845" s="40" t="n">
        <x:v>0.3415</x:v>
      </x:c>
      <x:c r="H1845" s="40" t="n">
        <x:v>0.024785</x:v>
      </x:c>
      <x:c r="I1845" t="n">
        <x:v>18</x:v>
      </x:c>
      <x:c r="J1845" t="n">
        <x:v>269800</x:v>
      </x:c>
      <x:c r="K1845" t="str">
        <x:v>Bola de nieve</x:v>
      </x:c>
      <x:c r="L1845" t="str">
        <x:v>Vigente</x:v>
      </x:c>
      <x:c r="M1845" t="n">
        <x:v>3118705.54</x:v>
      </x:c>
      <x:c r="N1845"/>
    </x:row>
    <x:row r="1846">
      <x:c r="A1846" t="str">
        <x:v>DEU-001845</x:v>
      </x:c>
      <x:c r="B1846" t="str">
        <x:v>USR-00949</x:v>
      </x:c>
      <x:c r="C1846" t="n">
        <x:v>46174</x:v>
      </x:c>
      <x:c r="D1846" t="str">
        <x:v>Cooperativa C</x:v>
      </x:c>
      <x:c r="E1846" t="str">
        <x:v>Tarjeta de crédito</x:v>
      </x:c>
      <x:c r="F1846" t="n">
        <x:v>7740000</x:v>
      </x:c>
      <x:c r="G1846" s="40" t="n">
        <x:v>0.285</x:v>
      </x:c>
      <x:c r="H1846" s="40" t="n">
        <x:v>0.021116</x:v>
      </x:c>
      <x:c r="I1846" t="n">
        <x:v>12</x:v>
      </x:c>
      <x:c r="J1846" t="n">
        <x:v>736900</x:v>
      </x:c>
      <x:c r="K1846" t="str">
        <x:v>Avalancha</x:v>
      </x:c>
      <x:c r="L1846" t="str">
        <x:v>Vigente</x:v>
      </x:c>
      <x:c r="M1846" t="n">
        <x:v>6877729.75</x:v>
      </x:c>
      <x:c r="N1846"/>
    </x:row>
    <x:row r="1847">
      <x:c r="A1847" t="str">
        <x:v>DEU-001846</x:v>
      </x:c>
      <x:c r="B1847" t="str">
        <x:v>USR-00950</x:v>
      </x:c>
      <x:c r="C1847" t="n">
        <x:v>46174</x:v>
      </x:c>
      <x:c r="D1847" t="str">
        <x:v>Financiera D</x:v>
      </x:c>
      <x:c r="E1847" t="str">
        <x:v>Crédito de consumo</x:v>
      </x:c>
      <x:c r="F1847" t="n">
        <x:v>2460000</x:v>
      </x:c>
      <x:c r="G1847" s="40" t="n">
        <x:v>0.2169</x:v>
      </x:c>
      <x:c r="H1847" s="40" t="n">
        <x:v>0.016493</x:v>
      </x:c>
      <x:c r="I1847" t="n">
        <x:v>60</x:v>
      </x:c>
      <x:c r="J1847" t="n">
        <x:v>64900</x:v>
      </x:c>
      <x:c r="K1847" t="str">
        <x:v>Bola de nieve</x:v>
      </x:c>
      <x:c r="L1847" t="str">
        <x:v>Vigente</x:v>
      </x:c>
      <x:c r="M1847" t="n">
        <x:v>2506540.34</x:v>
      </x:c>
      <x:c r="N1847"/>
    </x:row>
    <x:row r="1848">
      <x:c r="A1848" t="str">
        <x:v>DEU-001847</x:v>
      </x:c>
      <x:c r="B1848" t="str">
        <x:v>USR-00950</x:v>
      </x:c>
      <x:c r="C1848" t="n">
        <x:v>46174</x:v>
      </x:c>
      <x:c r="D1848" t="str">
        <x:v>Entidad financiera A</x:v>
      </x:c>
      <x:c r="E1848" t="str">
        <x:v>Tarjeta de crédito</x:v>
      </x:c>
      <x:c r="F1848" t="n">
        <x:v>6750000</x:v>
      </x:c>
      <x:c r="G1848" s="40" t="n">
        <x:v>0.2657</x:v>
      </x:c>
      <x:c r="H1848" s="40" t="n">
        <x:v>0.019829</x:v>
      </x:c>
      <x:c r="I1848" t="n">
        <x:v>36</x:v>
      </x:c>
      <x:c r="J1848" t="n">
        <x:v>264100</x:v>
      </x:c>
      <x:c r="K1848" t="str">
        <x:v>Bola de nieve</x:v>
      </x:c>
      <x:c r="L1848" t="str">
        <x:v>Vigente</x:v>
      </x:c>
      <x:c r="M1848" t="n">
        <x:v>6482630.38</x:v>
      </x:c>
      <x:c r="N1848"/>
    </x:row>
    <x:row r="1849">
      <x:c r="A1849" t="str">
        <x:v>DEU-001848</x:v>
      </x:c>
      <x:c r="B1849" t="str">
        <x:v>USR-00951</x:v>
      </x:c>
      <x:c r="C1849" t="n">
        <x:v>46174</x:v>
      </x:c>
      <x:c r="D1849" t="str">
        <x:v>Entidad financiera B</x:v>
      </x:c>
      <x:c r="E1849" t="str">
        <x:v>Crédito de libre inversión</x:v>
      </x:c>
      <x:c r="F1849" t="n">
        <x:v>2440000</x:v>
      </x:c>
      <x:c r="G1849" s="40" t="n">
        <x:v>0.2298</x:v>
      </x:c>
      <x:c r="H1849" s="40" t="n">
        <x:v>0.017387</x:v>
      </x:c>
      <x:c r="I1849" t="n">
        <x:v>18</x:v>
      </x:c>
      <x:c r="J1849" t="n">
        <x:v>159000</x:v>
      </x:c>
      <x:c r="K1849" t="str">
        <x:v>Avalancha</x:v>
      </x:c>
      <x:c r="L1849" t="str">
        <x:v>Vigente</x:v>
      </x:c>
      <x:c r="M1849" t="n">
        <x:v>2170301.64</x:v>
      </x:c>
      <x:c r="N1849"/>
    </x:row>
    <x:row r="1850">
      <x:c r="A1850" t="str">
        <x:v>DEU-001849</x:v>
      </x:c>
      <x:c r="B1850" t="str">
        <x:v>USR-00952</x:v>
      </x:c>
      <x:c r="C1850" t="n">
        <x:v>46174</x:v>
      </x:c>
      <x:c r="D1850" t="str">
        <x:v>Entidad financiera B</x:v>
      </x:c>
      <x:c r="E1850" t="str">
        <x:v>Crédito de libre inversión</x:v>
      </x:c>
      <x:c r="F1850" t="n">
        <x:v>15310000</x:v>
      </x:c>
      <x:c r="G1850" s="40" t="n">
        <x:v>0.3403</x:v>
      </x:c>
      <x:c r="H1850" s="40" t="n">
        <x:v>0.024708</x:v>
      </x:c>
      <x:c r="I1850" t="n">
        <x:v>30</x:v>
      </x:c>
      <x:c r="J1850" t="n">
        <x:v>728600</x:v>
      </x:c>
      <x:c r="K1850" t="str">
        <x:v>Avalancha</x:v>
      </x:c>
      <x:c r="L1850" t="str">
        <x:v>Vigente</x:v>
      </x:c>
      <x:c r="M1850" t="n">
        <x:v>14525113.28</x:v>
      </x:c>
      <x:c r="N1850"/>
    </x:row>
    <x:row r="1851">
      <x:c r="A1851" t="str">
        <x:v>DEU-001850</x:v>
      </x:c>
      <x:c r="B1851" t="str">
        <x:v>USR-00952</x:v>
      </x:c>
      <x:c r="C1851" t="n">
        <x:v>46174</x:v>
      </x:c>
      <x:c r="D1851" t="str">
        <x:v>Financiera D</x:v>
      </x:c>
      <x:c r="E1851" t="str">
        <x:v>Crédito de consumo</x:v>
      </x:c>
      <x:c r="F1851" t="n">
        <x:v>2610000</x:v>
      </x:c>
      <x:c r="G1851" s="40" t="n">
        <x:v>0.2935</x:v>
      </x:c>
      <x:c r="H1851" s="40" t="n">
        <x:v>0.021678</x:v>
      </x:c>
      <x:c r="I1851" t="n">
        <x:v>18</x:v>
      </x:c>
      <x:c r="J1851" t="n">
        <x:v>176700</x:v>
      </x:c>
      <x:c r="K1851" t="str">
        <x:v>Avalancha</x:v>
      </x:c>
      <x:c r="L1851" t="str">
        <x:v>Vigente</x:v>
      </x:c>
      <x:c r="M1851" t="n">
        <x:v>2377177.93</x:v>
      </x:c>
      <x:c r="N1851"/>
    </x:row>
    <x:row r="1852">
      <x:c r="A1852" t="str">
        <x:v>DEU-001851</x:v>
      </x:c>
      <x:c r="B1852" t="str">
        <x:v>USR-00953</x:v>
      </x:c>
      <x:c r="C1852" t="n">
        <x:v>46174</x:v>
      </x:c>
      <x:c r="D1852" t="str">
        <x:v>Entidad financiera E</x:v>
      </x:c>
      <x:c r="E1852" t="str">
        <x:v>Crédito de consumo</x:v>
      </x:c>
      <x:c r="F1852" t="n">
        <x:v>12100000</x:v>
      </x:c>
      <x:c r="G1852" s="40" t="n">
        <x:v>0.2154</x:v>
      </x:c>
      <x:c r="H1852" s="40" t="n">
        <x:v>0.016389</x:v>
      </x:c>
      <x:c r="I1852" t="n">
        <x:v>12</x:v>
      </x:c>
      <x:c r="J1852" t="n">
        <x:v>1118900</x:v>
      </x:c>
      <x:c r="K1852" t="str">
        <x:v>Bola de nieve</x:v>
      </x:c>
      <x:c r="L1852" t="str">
        <x:v>Vigente</x:v>
      </x:c>
      <x:c r="M1852" t="n">
        <x:v>9445006.79</x:v>
      </x:c>
      <x:c r="N1852"/>
    </x:row>
    <x:row r="1853">
      <x:c r="A1853" t="str">
        <x:v>DEU-001852</x:v>
      </x:c>
      <x:c r="B1853" t="str">
        <x:v>USR-00953</x:v>
      </x:c>
      <x:c r="C1853" t="n">
        <x:v>46174</x:v>
      </x:c>
      <x:c r="D1853" t="str">
        <x:v>Entidad financiera E</x:v>
      </x:c>
      <x:c r="E1853" t="str">
        <x:v>Crédito de consumo</x:v>
      </x:c>
      <x:c r="F1853" t="n">
        <x:v>3160000</x:v>
      </x:c>
      <x:c r="G1853" s="40" t="n">
        <x:v>0.2306</x:v>
      </x:c>
      <x:c r="H1853" s="40" t="n">
        <x:v>0.017442</x:v>
      </x:c>
      <x:c r="I1853" t="n">
        <x:v>60</x:v>
      </x:c>
      <x:c r="J1853" t="n">
        <x:v>85400</x:v>
      </x:c>
      <x:c r="K1853" t="str">
        <x:v>Avalancha</x:v>
      </x:c>
      <x:c r="L1853" t="str">
        <x:v>Vigente</x:v>
      </x:c>
      <x:c r="M1853" t="n">
        <x:v>3247703.91</x:v>
      </x:c>
      <x:c r="N1853"/>
    </x:row>
    <x:row r="1854">
      <x:c r="A1854" t="str">
        <x:v>DEU-001853</x:v>
      </x:c>
      <x:c r="B1854" t="str">
        <x:v>USR-00954</x:v>
      </x:c>
      <x:c r="C1854" t="n">
        <x:v>46174</x:v>
      </x:c>
      <x:c r="D1854" t="str">
        <x:v>Entidad financiera A</x:v>
      </x:c>
      <x:c r="E1854" t="str">
        <x:v>Crédito de consumo</x:v>
      </x:c>
      <x:c r="F1854" t="n">
        <x:v>2610000</x:v>
      </x:c>
      <x:c r="G1854" s="40" t="n">
        <x:v>0.2908</x:v>
      </x:c>
      <x:c r="H1854" s="40" t="n">
        <x:v>0.0215</x:v>
      </x:c>
      <x:c r="I1854" t="n">
        <x:v>18</x:v>
      </x:c>
      <x:c r="J1854" t="n">
        <x:v>176400</x:v>
      </x:c>
      <x:c r="K1854" t="str">
        <x:v>Avalancha</x:v>
      </x:c>
      <x:c r="L1854" t="str">
        <x:v>Vigente</x:v>
      </x:c>
      <x:c r="M1854" t="n">
        <x:v>2199297.23</x:v>
      </x:c>
      <x:c r="N1854"/>
    </x:row>
    <x:row r="1855">
      <x:c r="A1855" t="str">
        <x:v>DEU-001854</x:v>
      </x:c>
      <x:c r="B1855" t="str">
        <x:v>USR-00955</x:v>
      </x:c>
      <x:c r="C1855" t="n">
        <x:v>46174</x:v>
      </x:c>
      <x:c r="D1855" t="str">
        <x:v>Entidad financiera A</x:v>
      </x:c>
      <x:c r="E1855" t="str">
        <x:v>Tarjeta de crédito</x:v>
      </x:c>
      <x:c r="F1855" t="n">
        <x:v>8130000</x:v>
      </x:c>
      <x:c r="G1855" s="40" t="n">
        <x:v>0.2671</x:v>
      </x:c>
      <x:c r="H1855" s="40" t="n">
        <x:v>0.019923</x:v>
      </x:c>
      <x:c r="I1855" t="n">
        <x:v>18</x:v>
      </x:c>
      <x:c r="J1855" t="n">
        <x:v>541900</x:v>
      </x:c>
      <x:c r="K1855" t="str">
        <x:v>Avalancha</x:v>
      </x:c>
      <x:c r="L1855" t="str">
        <x:v>Vigente</x:v>
      </x:c>
      <x:c r="M1855" t="n">
        <x:v>6400068.18</x:v>
      </x:c>
      <x:c r="N1855"/>
    </x:row>
    <x:row r="1856">
      <x:c r="A1856" t="str">
        <x:v>DEU-001855</x:v>
      </x:c>
      <x:c r="B1856" t="str">
        <x:v>USR-00955</x:v>
      </x:c>
      <x:c r="C1856" t="n">
        <x:v>46174</x:v>
      </x:c>
      <x:c r="D1856" t="str">
        <x:v>Cooperativa C</x:v>
      </x:c>
      <x:c r="E1856" t="str">
        <x:v>Crédito de consumo</x:v>
      </x:c>
      <x:c r="F1856" t="n">
        <x:v>9870000</x:v>
      </x:c>
      <x:c r="G1856" s="40" t="n">
        <x:v>0.2947</x:v>
      </x:c>
      <x:c r="H1856" s="40" t="n">
        <x:v>0.021757</x:v>
      </x:c>
      <x:c r="I1856" t="n">
        <x:v>18</x:v>
      </x:c>
      <x:c r="J1856" t="n">
        <x:v>668600</x:v>
      </x:c>
      <x:c r="K1856" t="str">
        <x:v>Avalancha</x:v>
      </x:c>
      <x:c r="L1856" t="str">
        <x:v>Vigente</x:v>
      </x:c>
      <x:c r="M1856" t="n">
        <x:v>9375593.27</x:v>
      </x:c>
      <x:c r="N1856"/>
    </x:row>
    <x:row r="1857">
      <x:c r="A1857" t="str">
        <x:v>DEU-001856</x:v>
      </x:c>
      <x:c r="B1857" t="str">
        <x:v>USR-00955</x:v>
      </x:c>
      <x:c r="C1857" t="n">
        <x:v>46174</x:v>
      </x:c>
      <x:c r="D1857" t="str">
        <x:v>Cooperativa C</x:v>
      </x:c>
      <x:c r="E1857" t="str">
        <x:v>Tarjeta de crédito</x:v>
      </x:c>
      <x:c r="F1857" t="n">
        <x:v>4340000</x:v>
      </x:c>
      <x:c r="G1857" s="40" t="n">
        <x:v>0.2915</x:v>
      </x:c>
      <x:c r="H1857" s="40" t="n">
        <x:v>0.021546</x:v>
      </x:c>
      <x:c r="I1857" t="n">
        <x:v>36</x:v>
      </x:c>
      <x:c r="J1857" t="n">
        <x:v>174500</x:v>
      </x:c>
      <x:c r="K1857" t="str">
        <x:v>Bola de nieve</x:v>
      </x:c>
      <x:c r="L1857" t="str">
        <x:v>Vigente</x:v>
      </x:c>
      <x:c r="M1857" t="n">
        <x:v>4165238.81</x:v>
      </x:c>
      <x:c r="N1857"/>
    </x:row>
    <x:row r="1858">
      <x:c r="A1858" t="str">
        <x:v>DEU-001857</x:v>
      </x:c>
      <x:c r="B1858" t="str">
        <x:v>USR-00955</x:v>
      </x:c>
      <x:c r="C1858" t="n">
        <x:v>46174</x:v>
      </x:c>
      <x:c r="D1858" t="str">
        <x:v>Entidad financiera E</x:v>
      </x:c>
      <x:c r="E1858" t="str">
        <x:v>Tarjeta de crédito</x:v>
      </x:c>
      <x:c r="F1858" t="n">
        <x:v>7800000</x:v>
      </x:c>
      <x:c r="G1858" s="40" t="n">
        <x:v>0.2323</x:v>
      </x:c>
      <x:c r="H1858" s="40" t="n">
        <x:v>0.017559</x:v>
      </x:c>
      <x:c r="I1858" t="n">
        <x:v>12</x:v>
      </x:c>
      <x:c r="J1858" t="n">
        <x:v>726600</x:v>
      </x:c>
      <x:c r="K1858" t="str">
        <x:v>Bola de nieve</x:v>
      </x:c>
      <x:c r="L1858" t="str">
        <x:v>Vigente</x:v>
      </x:c>
      <x:c r="M1858" t="n">
        <x:v>5263753.16</x:v>
      </x:c>
      <x:c r="N1858"/>
    </x:row>
    <x:row r="1859">
      <x:c r="A1859" t="str">
        <x:v>DEU-001858</x:v>
      </x:c>
      <x:c r="B1859" t="str">
        <x:v>USR-00955</x:v>
      </x:c>
      <x:c r="C1859" t="n">
        <x:v>46174</x:v>
      </x:c>
      <x:c r="D1859" t="str">
        <x:v>Entidad financiera E</x:v>
      </x:c>
      <x:c r="E1859" t="str">
        <x:v>Tarjeta de crédito</x:v>
      </x:c>
      <x:c r="F1859" t="n">
        <x:v>8090000</x:v>
      </x:c>
      <x:c r="G1859" s="40" t="n">
        <x:v>0.1303</x:v>
      </x:c>
      <x:c r="H1859" s="40" t="n">
        <x:v>0.010259</x:v>
      </x:c>
      <x:c r="I1859" t="n">
        <x:v>30</x:v>
      </x:c>
      <x:c r="J1859" t="n">
        <x:v>314700</x:v>
      </x:c>
      <x:c r="K1859" t="str">
        <x:v>Avalancha</x:v>
      </x:c>
      <x:c r="L1859" t="str">
        <x:v>Vigente</x:v>
      </x:c>
      <x:c r="M1859" t="n">
        <x:v>7473312.53</x:v>
      </x:c>
      <x:c r="N1859"/>
    </x:row>
    <x:row r="1860">
      <x:c r="A1860" t="str">
        <x:v>DEU-001859</x:v>
      </x:c>
      <x:c r="B1860" t="str">
        <x:v>USR-00956</x:v>
      </x:c>
      <x:c r="C1860" t="n">
        <x:v>46174</x:v>
      </x:c>
      <x:c r="D1860" t="str">
        <x:v>Entidad financiera A</x:v>
      </x:c>
      <x:c r="E1860" t="str">
        <x:v>Crédito de libre inversión</x:v>
      </x:c>
      <x:c r="F1860" t="n">
        <x:v>14040000</x:v>
      </x:c>
      <x:c r="G1860" s="40" t="n">
        <x:v>0.2671</x:v>
      </x:c>
      <x:c r="H1860" s="40" t="n">
        <x:v>0.019923</x:v>
      </x:c>
      <x:c r="I1860" t="n">
        <x:v>24</x:v>
      </x:c>
      <x:c r="J1860" t="n">
        <x:v>741700</x:v>
      </x:c>
      <x:c r="K1860" t="str">
        <x:v>Avalancha</x:v>
      </x:c>
      <x:c r="L1860" t="str">
        <x:v>Vigente</x:v>
      </x:c>
      <x:c r="M1860" t="n">
        <x:v>11904535.28</x:v>
      </x:c>
      <x:c r="N1860"/>
    </x:row>
    <x:row r="1861">
      <x:c r="A1861" t="str">
        <x:v>DEU-001860</x:v>
      </x:c>
      <x:c r="B1861" t="str">
        <x:v>USR-00956</x:v>
      </x:c>
      <x:c r="C1861" t="n">
        <x:v>46174</x:v>
      </x:c>
      <x:c r="D1861" t="str">
        <x:v>Financiera D</x:v>
      </x:c>
      <x:c r="E1861" t="str">
        <x:v>Crédito de libre inversión</x:v>
      </x:c>
      <x:c r="F1861" t="n">
        <x:v>9430000</x:v>
      </x:c>
      <x:c r="G1861" s="40" t="n">
        <x:v>0.237</x:v>
      </x:c>
      <x:c r="H1861" s="40" t="n">
        <x:v>0.017882</x:v>
      </x:c>
      <x:c r="I1861" t="n">
        <x:v>60</x:v>
      </x:c>
      <x:c r="J1861" t="n">
        <x:v>257600</x:v>
      </x:c>
      <x:c r="K1861" t="str">
        <x:v>Bola de nieve</x:v>
      </x:c>
      <x:c r="L1861" t="str">
        <x:v>Vigente</x:v>
      </x:c>
      <x:c r="M1861" t="n">
        <x:v>9905466.43</x:v>
      </x:c>
      <x:c r="N1861"/>
    </x:row>
    <x:row r="1862">
      <x:c r="A1862" t="str">
        <x:v>DEU-001861</x:v>
      </x:c>
      <x:c r="B1862" t="str">
        <x:v>USR-00957</x:v>
      </x:c>
      <x:c r="C1862" t="n">
        <x:v>46174</x:v>
      </x:c>
      <x:c r="D1862" t="str">
        <x:v>Cooperativa C</x:v>
      </x:c>
      <x:c r="E1862" t="str">
        <x:v>Tarjeta de crédito</x:v>
      </x:c>
      <x:c r="F1862" t="n">
        <x:v>1150000</x:v>
      </x:c>
      <x:c r="G1862" s="40" t="n">
        <x:v>0.3004</x:v>
      </x:c>
      <x:c r="H1862" s="40" t="n">
        <x:v>0.022131</x:v>
      </x:c>
      <x:c r="I1862" t="n">
        <x:v>60</x:v>
      </x:c>
      <x:c r="J1862" t="n">
        <x:v>34800</x:v>
      </x:c>
      <x:c r="K1862" t="str">
        <x:v>Bola de nieve</x:v>
      </x:c>
      <x:c r="L1862" t="str">
        <x:v>Vigente</x:v>
      </x:c>
      <x:c r="M1862" t="n">
        <x:v>1235275.77</x:v>
      </x:c>
      <x:c r="N1862"/>
    </x:row>
    <x:row r="1863">
      <x:c r="A1863" t="str">
        <x:v>DEU-001862</x:v>
      </x:c>
      <x:c r="B1863" t="str">
        <x:v>USR-00958</x:v>
      </x:c>
      <x:c r="C1863" t="n">
        <x:v>46174</x:v>
      </x:c>
      <x:c r="D1863" t="str">
        <x:v>Cooperativa C</x:v>
      </x:c>
      <x:c r="E1863" t="str">
        <x:v>Crédito educativo</x:v>
      </x:c>
      <x:c r="F1863" t="n">
        <x:v>22260000</x:v>
      </x:c>
      <x:c r="G1863" s="40" t="n">
        <x:v>0.1948</x:v>
      </x:c>
      <x:c r="H1863" s="40" t="n">
        <x:v>0.014942</x:v>
      </x:c>
      <x:c r="I1863" t="n">
        <x:v>36</x:v>
      </x:c>
      <x:c r="J1863" t="n">
        <x:v>804000</x:v>
      </x:c>
      <x:c r="K1863" t="str">
        <x:v>Bola de nieve</x:v>
      </x:c>
      <x:c r="L1863" t="str">
        <x:v>Vigente</x:v>
      </x:c>
      <x:c r="M1863" t="n">
        <x:v>22487992.23</x:v>
      </x:c>
      <x:c r="N1863"/>
    </x:row>
    <x:row r="1864">
      <x:c r="A1864" t="str">
        <x:v>DEU-001863</x:v>
      </x:c>
      <x:c r="B1864" t="str">
        <x:v>USR-00959</x:v>
      </x:c>
      <x:c r="C1864" t="n">
        <x:v>46174</x:v>
      </x:c>
      <x:c r="D1864" t="str">
        <x:v>Cooperativa C</x:v>
      </x:c>
      <x:c r="E1864" t="str">
        <x:v>Tarjeta de crédito</x:v>
      </x:c>
      <x:c r="F1864" t="n">
        <x:v>1820000</x:v>
      </x:c>
      <x:c r="G1864" s="40" t="n">
        <x:v>0.2905</x:v>
      </x:c>
      <x:c r="H1864" s="40" t="n">
        <x:v>0.02148</x:v>
      </x:c>
      <x:c r="I1864" t="n">
        <x:v>12</x:v>
      </x:c>
      <x:c r="J1864" t="n">
        <x:v>173700</x:v>
      </x:c>
      <x:c r="K1864" t="str">
        <x:v>Bola de nieve</x:v>
      </x:c>
      <x:c r="L1864" t="str">
        <x:v>Vigente</x:v>
      </x:c>
      <x:c r="M1864" t="n">
        <x:v>1210642.75</x:v>
      </x:c>
      <x:c r="N1864"/>
    </x:row>
    <x:row r="1865">
      <x:c r="A1865" t="str">
        <x:v>DEU-001864</x:v>
      </x:c>
      <x:c r="B1865" t="str">
        <x:v>USR-00959</x:v>
      </x:c>
      <x:c r="C1865" t="n">
        <x:v>46174</x:v>
      </x:c>
      <x:c r="D1865" t="str">
        <x:v>Cooperativa C</x:v>
      </x:c>
      <x:c r="E1865" t="str">
        <x:v>Tarjeta de crédito</x:v>
      </x:c>
      <x:c r="F1865" t="n">
        <x:v>760000</x:v>
      </x:c>
      <x:c r="G1865" s="40" t="n">
        <x:v>0.1092</x:v>
      </x:c>
      <x:c r="H1865" s="40" t="n">
        <x:v>0.008674</x:v>
      </x:c>
      <x:c r="I1865" t="n">
        <x:v>48</x:v>
      </x:c>
      <x:c r="J1865" t="n">
        <x:v>19400</x:v>
      </x:c>
      <x:c r="K1865" t="str">
        <x:v>Avalancha</x:v>
      </x:c>
      <x:c r="L1865" t="str">
        <x:v>Vigente</x:v>
      </x:c>
      <x:c r="M1865" t="n">
        <x:v>728007.71</x:v>
      </x:c>
      <x:c r="N1865"/>
    </x:row>
    <x:row r="1866">
      <x:c r="A1866" t="str">
        <x:v>DEU-001865</x:v>
      </x:c>
      <x:c r="B1866" t="str">
        <x:v>USR-00960</x:v>
      </x:c>
      <x:c r="C1866" t="n">
        <x:v>46174</x:v>
      </x:c>
      <x:c r="D1866" t="str">
        <x:v>Entidad financiera E</x:v>
      </x:c>
      <x:c r="E1866" t="str">
        <x:v>Tarjeta de crédito</x:v>
      </x:c>
      <x:c r="F1866" t="n">
        <x:v>2220000</x:v>
      </x:c>
      <x:c r="G1866" s="40" t="n">
        <x:v>0.3228</x:v>
      </x:c>
      <x:c r="H1866" s="40" t="n">
        <x:v>0.023586</x:v>
      </x:c>
      <x:c r="I1866" t="n">
        <x:v>60</x:v>
      </x:c>
      <x:c r="J1866" t="n">
        <x:v>69500</x:v>
      </x:c>
      <x:c r="K1866" t="str">
        <x:v>Avalancha</x:v>
      </x:c>
      <x:c r="L1866" t="str">
        <x:v>Vigente</x:v>
      </x:c>
      <x:c r="M1866" t="n">
        <x:v>2339620.05</x:v>
      </x:c>
      <x:c r="N1866"/>
    </x:row>
    <x:row r="1867">
      <x:c r="A1867" t="str">
        <x:v>DEU-001866</x:v>
      </x:c>
      <x:c r="B1867" t="str">
        <x:v>USR-00961</x:v>
      </x:c>
      <x:c r="C1867" t="n">
        <x:v>46174</x:v>
      </x:c>
      <x:c r="D1867" t="str">
        <x:v>Cooperativa C</x:v>
      </x:c>
      <x:c r="E1867" t="str">
        <x:v>Tarjeta de crédito</x:v>
      </x:c>
      <x:c r="F1867" t="n">
        <x:v>7190000</x:v>
      </x:c>
      <x:c r="G1867" s="40" t="n">
        <x:v>0.291</x:v>
      </x:c>
      <x:c r="H1867" s="40" t="n">
        <x:v>0.021513</x:v>
      </x:c>
      <x:c r="I1867" t="n">
        <x:v>12</x:v>
      </x:c>
      <x:c r="J1867" t="n">
        <x:v>686200</x:v>
      </x:c>
      <x:c r="K1867" t="str">
        <x:v>Bola de nieve</x:v>
      </x:c>
      <x:c r="L1867" t="str">
        <x:v>Vigente</x:v>
      </x:c>
      <x:c r="M1867" t="n">
        <x:v>6214464.71</x:v>
      </x:c>
      <x:c r="N1867"/>
    </x:row>
    <x:row r="1868">
      <x:c r="A1868" t="str">
        <x:v>DEU-001867</x:v>
      </x:c>
      <x:c r="B1868" t="str">
        <x:v>USR-00962</x:v>
      </x:c>
      <x:c r="C1868" t="n">
        <x:v>46174</x:v>
      </x:c>
      <x:c r="D1868" t="str">
        <x:v>Cooperativa C</x:v>
      </x:c>
      <x:c r="E1868" t="str">
        <x:v>Crédito de vehículo</x:v>
      </x:c>
      <x:c r="F1868" t="n">
        <x:v>48360000</x:v>
      </x:c>
      <x:c r="G1868" s="40" t="n">
        <x:v>0.3413</x:v>
      </x:c>
      <x:c r="H1868" s="40" t="n">
        <x:v>0.024772</x:v>
      </x:c>
      <x:c r="I1868" t="n">
        <x:v>24</x:v>
      </x:c>
      <x:c r="J1868" t="n">
        <x:v>2697100</x:v>
      </x:c>
      <x:c r="K1868" t="str">
        <x:v>Avalancha</x:v>
      </x:c>
      <x:c r="L1868" t="str">
        <x:v>Vigente</x:v>
      </x:c>
      <x:c r="M1868" t="n">
        <x:v>47230994.29</x:v>
      </x:c>
      <x:c r="N1868"/>
    </x:row>
    <x:row r="1869">
      <x:c r="A1869" t="str">
        <x:v>DEU-001868</x:v>
      </x:c>
      <x:c r="B1869" t="str">
        <x:v>USR-00962</x:v>
      </x:c>
      <x:c r="C1869" t="n">
        <x:v>46174</x:v>
      </x:c>
      <x:c r="D1869" t="str">
        <x:v>Entidad financiera B</x:v>
      </x:c>
      <x:c r="E1869" t="str">
        <x:v>Crédito educativo</x:v>
      </x:c>
      <x:c r="F1869" t="n">
        <x:v>18080000</x:v>
      </x:c>
      <x:c r="G1869" s="40" t="n">
        <x:v>0.2832</x:v>
      </x:c>
      <x:c r="H1869" s="40" t="n">
        <x:v>0.020997</x:v>
      </x:c>
      <x:c r="I1869" t="n">
        <x:v>36</x:v>
      </x:c>
      <x:c r="J1869" t="n">
        <x:v>720700</x:v>
      </x:c>
      <x:c r="K1869" t="str">
        <x:v>Bola de nieve</x:v>
      </x:c>
      <x:c r="L1869" t="str">
        <x:v>Vigente</x:v>
      </x:c>
      <x:c r="M1869" t="n">
        <x:v>17315323</x:v>
      </x:c>
      <x:c r="N1869"/>
    </x:row>
    <x:row r="1870">
      <x:c r="A1870" t="str">
        <x:v>DEU-001869</x:v>
      </x:c>
      <x:c r="B1870" t="str">
        <x:v>USR-00963</x:v>
      </x:c>
      <x:c r="C1870" t="n">
        <x:v>46174</x:v>
      </x:c>
      <x:c r="D1870" t="str">
        <x:v>Entidad financiera A</x:v>
      </x:c>
      <x:c r="E1870" t="str">
        <x:v>Tarjeta de crédito</x:v>
      </x:c>
      <x:c r="F1870" t="n">
        <x:v>5910000</x:v>
      </x:c>
      <x:c r="G1870" s="40" t="n">
        <x:v>0.1689</x:v>
      </x:c>
      <x:c r="H1870" s="40" t="n">
        <x:v>0.01309</x:v>
      </x:c>
      <x:c r="I1870" t="n">
        <x:v>12</x:v>
      </x:c>
      <x:c r="J1870" t="n">
        <x:v>535400</x:v>
      </x:c>
      <x:c r="K1870" t="str">
        <x:v>Avalancha</x:v>
      </x:c>
      <x:c r="L1870" t="str">
        <x:v>Vigente</x:v>
      </x:c>
      <x:c r="M1870" t="n">
        <x:v>5066422.03</x:v>
      </x:c>
      <x:c r="N1870"/>
    </x:row>
    <x:row r="1871">
      <x:c r="A1871" t="str">
        <x:v>DEU-001870</x:v>
      </x:c>
      <x:c r="B1871" t="str">
        <x:v>USR-00963</x:v>
      </x:c>
      <x:c r="C1871" t="n">
        <x:v>46174</x:v>
      </x:c>
      <x:c r="D1871" t="str">
        <x:v>Entidad financiera A</x:v>
      </x:c>
      <x:c r="E1871" t="str">
        <x:v>Tarjeta de crédito</x:v>
      </x:c>
      <x:c r="F1871" t="n">
        <x:v>7770000</x:v>
      </x:c>
      <x:c r="G1871" s="40" t="n">
        <x:v>0.2731</x:v>
      </x:c>
      <x:c r="H1871" s="40" t="n">
        <x:v>0.020325</x:v>
      </x:c>
      <x:c r="I1871" t="n">
        <x:v>60</x:v>
      </x:c>
      <x:c r="J1871" t="n">
        <x:v>225300</x:v>
      </x:c>
      <x:c r="K1871" t="str">
        <x:v>Avalancha</x:v>
      </x:c>
      <x:c r="L1871" t="str">
        <x:v>Vigente</x:v>
      </x:c>
      <x:c r="M1871" t="n">
        <x:v>7617162.04</x:v>
      </x:c>
      <x:c r="N1871"/>
    </x:row>
    <x:row r="1872">
      <x:c r="A1872" t="str">
        <x:v>DEU-001871</x:v>
      </x:c>
      <x:c r="B1872" t="str">
        <x:v>USR-00964</x:v>
      </x:c>
      <x:c r="C1872" t="n">
        <x:v>46174</x:v>
      </x:c>
      <x:c r="D1872" t="str">
        <x:v>Financiera D</x:v>
      </x:c>
      <x:c r="E1872" t="str">
        <x:v>Crédito de libre inversión</x:v>
      </x:c>
      <x:c r="F1872" t="n">
        <x:v>3590000</x:v>
      </x:c>
      <x:c r="G1872" s="40" t="n">
        <x:v>0.2347</x:v>
      </x:c>
      <x:c r="H1872" s="40" t="n">
        <x:v>0.017724</x:v>
      </x:c>
      <x:c r="I1872" t="n">
        <x:v>36</x:v>
      </x:c>
      <x:c r="J1872" t="n">
        <x:v>135800</x:v>
      </x:c>
      <x:c r="K1872" t="str">
        <x:v>Bola de nieve</x:v>
      </x:c>
      <x:c r="L1872" t="str">
        <x:v>Vigente</x:v>
      </x:c>
      <x:c r="M1872" t="n">
        <x:v>3476674.15</x:v>
      </x:c>
      <x:c r="N1872"/>
    </x:row>
    <x:row r="1873">
      <x:c r="A1873" t="str">
        <x:v>DEU-001872</x:v>
      </x:c>
      <x:c r="B1873" t="str">
        <x:v>USR-00965</x:v>
      </x:c>
      <x:c r="C1873" t="n">
        <x:v>46174</x:v>
      </x:c>
      <x:c r="D1873" t="str">
        <x:v>Entidad financiera B</x:v>
      </x:c>
      <x:c r="E1873" t="str">
        <x:v>Tarjeta de crédito</x:v>
      </x:c>
      <x:c r="F1873" t="n">
        <x:v>1780000</x:v>
      </x:c>
      <x:c r="G1873" s="40" t="n">
        <x:v>0.3089</x:v>
      </x:c>
      <x:c r="H1873" s="40" t="n">
        <x:v>0.022686</x:v>
      </x:c>
      <x:c r="I1873" t="n">
        <x:v>24</x:v>
      </x:c>
      <x:c r="J1873" t="n">
        <x:v>97000</x:v>
      </x:c>
      <x:c r="K1873" t="str">
        <x:v>Bola de nieve</x:v>
      </x:c>
      <x:c r="L1873" t="str">
        <x:v>Vigente</x:v>
      </x:c>
      <x:c r="M1873" t="n">
        <x:v>1731285.72</x:v>
      </x:c>
      <x:c r="N1873"/>
    </x:row>
    <x:row r="1874">
      <x:c r="A1874" t="str">
        <x:v>DEU-001873</x:v>
      </x:c>
      <x:c r="B1874" t="str">
        <x:v>USR-00965</x:v>
      </x:c>
      <x:c r="C1874" t="n">
        <x:v>46174</x:v>
      </x:c>
      <x:c r="D1874" t="str">
        <x:v>Financiera D</x:v>
      </x:c>
      <x:c r="E1874" t="str">
        <x:v>Tarjeta de crédito</x:v>
      </x:c>
      <x:c r="F1874" t="n">
        <x:v>7820000</x:v>
      </x:c>
      <x:c r="G1874" s="40" t="n">
        <x:v>0.3407</x:v>
      </x:c>
      <x:c r="H1874" s="40" t="n">
        <x:v>0.024734</x:v>
      </x:c>
      <x:c r="I1874" t="n">
        <x:v>18</x:v>
      </x:c>
      <x:c r="J1874" t="n">
        <x:v>543600</x:v>
      </x:c>
      <x:c r="K1874" t="str">
        <x:v>Bola de nieve</x:v>
      </x:c>
      <x:c r="L1874" t="str">
        <x:v>Vigente</x:v>
      </x:c>
      <x:c r="M1874" t="n">
        <x:v>7753022.96</x:v>
      </x:c>
      <x:c r="N1874"/>
    </x:row>
    <x:row r="1875">
      <x:c r="A1875" t="str">
        <x:v>DEU-001874</x:v>
      </x:c>
      <x:c r="B1875" t="str">
        <x:v>USR-00966</x:v>
      </x:c>
      <x:c r="C1875" t="n">
        <x:v>46174</x:v>
      </x:c>
      <x:c r="D1875" t="str">
        <x:v>Entidad financiera A</x:v>
      </x:c>
      <x:c r="E1875" t="str">
        <x:v>Crédito de consumo</x:v>
      </x:c>
      <x:c r="F1875" t="n">
        <x:v>2720000</x:v>
      </x:c>
      <x:c r="G1875" s="40" t="n">
        <x:v>0.3032</x:v>
      </x:c>
      <x:c r="H1875" s="40" t="n">
        <x:v>0.022314</x:v>
      </x:c>
      <x:c r="I1875" t="n">
        <x:v>48</x:v>
      </x:c>
      <x:c r="J1875" t="n">
        <x:v>92900</x:v>
      </x:c>
      <x:c r="K1875" t="str">
        <x:v>Avalancha</x:v>
      </x:c>
      <x:c r="L1875" t="str">
        <x:v>Vigente</x:v>
      </x:c>
      <x:c r="M1875" t="n">
        <x:v>2625347.12</x:v>
      </x:c>
      <x:c r="N1875"/>
    </x:row>
    <x:row r="1876">
      <x:c r="A1876" t="str">
        <x:v>DEU-001875</x:v>
      </x:c>
      <x:c r="B1876" t="str">
        <x:v>USR-00966</x:v>
      </x:c>
      <x:c r="C1876" t="n">
        <x:v>46174</x:v>
      </x:c>
      <x:c r="D1876" t="str">
        <x:v>Entidad financiera A</x:v>
      </x:c>
      <x:c r="E1876" t="str">
        <x:v>Crédito comercial</x:v>
      </x:c>
      <x:c r="F1876" t="n">
        <x:v>34340000</x:v>
      </x:c>
      <x:c r="G1876" s="40" t="n">
        <x:v>0.229</x:v>
      </x:c>
      <x:c r="H1876" s="40" t="n">
        <x:v>0.017332</x:v>
      </x:c>
      <x:c r="I1876" t="n">
        <x:v>24</x:v>
      </x:c>
      <x:c r="J1876" t="n">
        <x:v>1761200</x:v>
      </x:c>
      <x:c r="K1876" t="str">
        <x:v>Avalancha</x:v>
      </x:c>
      <x:c r="L1876" t="str">
        <x:v>Vigente</x:v>
      </x:c>
      <x:c r="M1876" t="n">
        <x:v>32903548.33</x:v>
      </x:c>
      <x:c r="N1876"/>
    </x:row>
    <x:row r="1877">
      <x:c r="A1877" t="str">
        <x:v>DEU-001876</x:v>
      </x:c>
      <x:c r="B1877" t="str">
        <x:v>USR-00966</x:v>
      </x:c>
      <x:c r="C1877" t="n">
        <x:v>46174</x:v>
      </x:c>
      <x:c r="D1877" t="str">
        <x:v>Financiera D</x:v>
      </x:c>
      <x:c r="E1877" t="str">
        <x:v>Tarjeta de crédito</x:v>
      </x:c>
      <x:c r="F1877" t="n">
        <x:v>8350000</x:v>
      </x:c>
      <x:c r="G1877" s="40" t="n">
        <x:v>0.2662</x:v>
      </x:c>
      <x:c r="H1877" s="40" t="n">
        <x:v>0.019863</x:v>
      </x:c>
      <x:c r="I1877" t="n">
        <x:v>12</x:v>
      </x:c>
      <x:c r="J1877" t="n">
        <x:v>788900</x:v>
      </x:c>
      <x:c r="K1877" t="str">
        <x:v>Bola de nieve</x:v>
      </x:c>
      <x:c r="L1877" t="str">
        <x:v>Vigente</x:v>
      </x:c>
      <x:c r="M1877" t="n">
        <x:v>7321685.59</x:v>
      </x:c>
      <x:c r="N1877"/>
    </x:row>
    <x:row r="1878">
      <x:c r="A1878" t="str">
        <x:v>DEU-001877</x:v>
      </x:c>
      <x:c r="B1878" t="str">
        <x:v>USR-00966</x:v>
      </x:c>
      <x:c r="C1878" t="n">
        <x:v>46174</x:v>
      </x:c>
      <x:c r="D1878" t="str">
        <x:v>Entidad financiera E</x:v>
      </x:c>
      <x:c r="E1878" t="str">
        <x:v>Crédito de consumo</x:v>
      </x:c>
      <x:c r="F1878" t="n">
        <x:v>3120000</x:v>
      </x:c>
      <x:c r="G1878" s="40" t="n">
        <x:v>0.2729</x:v>
      </x:c>
      <x:c r="H1878" s="40" t="n">
        <x:v>0.020312</x:v>
      </x:c>
      <x:c r="I1878" t="n">
        <x:v>18</x:v>
      </x:c>
      <x:c r="J1878" t="n">
        <x:v>208700</x:v>
      </x:c>
      <x:c r="K1878" t="str">
        <x:v>Avalancha</x:v>
      </x:c>
      <x:c r="L1878" t="str">
        <x:v>Vigente</x:v>
      </x:c>
      <x:c r="M1878" t="n">
        <x:v>2423434.68</x:v>
      </x:c>
      <x:c r="N1878"/>
    </x:row>
    <x:row r="1879">
      <x:c r="A1879" t="str">
        <x:v>DEU-001878</x:v>
      </x:c>
      <x:c r="B1879" t="str">
        <x:v>USR-00966</x:v>
      </x:c>
      <x:c r="C1879" t="n">
        <x:v>46174</x:v>
      </x:c>
      <x:c r="D1879" t="str">
        <x:v>Entidad financiera E</x:v>
      </x:c>
      <x:c r="E1879" t="str">
        <x:v>Crédito de libre inversión</x:v>
      </x:c>
      <x:c r="F1879" t="n">
        <x:v>2820000</x:v>
      </x:c>
      <x:c r="G1879" s="40" t="n">
        <x:v>0.3425</x:v>
      </x:c>
      <x:c r="H1879" s="40" t="n">
        <x:v>0.024848</x:v>
      </x:c>
      <x:c r="I1879" t="n">
        <x:v>36</x:v>
      </x:c>
      <x:c r="J1879" t="n">
        <x:v>119400</x:v>
      </x:c>
      <x:c r="K1879" t="str">
        <x:v>Bola de nieve</x:v>
      </x:c>
      <x:c r="L1879" t="str">
        <x:v>Vigente</x:v>
      </x:c>
      <x:c r="M1879" t="n">
        <x:v>2597310.34</x:v>
      </x:c>
      <x:c r="N1879"/>
    </x:row>
    <x:row r="1880">
      <x:c r="A1880" t="str">
        <x:v>DEU-001879</x:v>
      </x:c>
      <x:c r="B1880" t="str">
        <x:v>USR-00967</x:v>
      </x:c>
      <x:c r="C1880" t="n">
        <x:v>46174</x:v>
      </x:c>
      <x:c r="D1880" t="str">
        <x:v>Entidad financiera B</x:v>
      </x:c>
      <x:c r="E1880" t="str">
        <x:v>Crédito educativo</x:v>
      </x:c>
      <x:c r="F1880" t="n">
        <x:v>10150000</x:v>
      </x:c>
      <x:c r="G1880" s="40" t="n">
        <x:v>0.1676</x:v>
      </x:c>
      <x:c r="H1880" s="40" t="n">
        <x:v>0.012996</x:v>
      </x:c>
      <x:c r="I1880" t="n">
        <x:v>18</x:v>
      </x:c>
      <x:c r="J1880" t="n">
        <x:v>636100</x:v>
      </x:c>
      <x:c r="K1880" t="str">
        <x:v>Avalancha</x:v>
      </x:c>
      <x:c r="L1880" t="str">
        <x:v>Vigente</x:v>
      </x:c>
      <x:c r="M1880" t="n">
        <x:v>9418731.07</x:v>
      </x:c>
      <x:c r="N1880"/>
    </x:row>
    <x:row r="1881">
      <x:c r="A1881" t="str">
        <x:v>DEU-001880</x:v>
      </x:c>
      <x:c r="B1881" t="str">
        <x:v>USR-00967</x:v>
      </x:c>
      <x:c r="C1881" t="n">
        <x:v>46174</x:v>
      </x:c>
      <x:c r="D1881" t="str">
        <x:v>Financiera D</x:v>
      </x:c>
      <x:c r="E1881" t="str">
        <x:v>Crédito de consumo</x:v>
      </x:c>
      <x:c r="F1881" t="n">
        <x:v>14290000</x:v>
      </x:c>
      <x:c r="G1881" s="40" t="n">
        <x:v>0.2003</x:v>
      </x:c>
      <x:c r="H1881" s="40" t="n">
        <x:v>0.015331</x:v>
      </x:c>
      <x:c r="I1881" t="n">
        <x:v>30</x:v>
      </x:c>
      <x:c r="J1881" t="n">
        <x:v>597800</x:v>
      </x:c>
      <x:c r="K1881" t="str">
        <x:v>Avalancha</x:v>
      </x:c>
      <x:c r="L1881" t="str">
        <x:v>Vigente</x:v>
      </x:c>
      <x:c r="M1881" t="n">
        <x:v>12861337.81</x:v>
      </x:c>
      <x:c r="N1881"/>
    </x:row>
    <x:row r="1882">
      <x:c r="A1882" t="str">
        <x:v>DEU-001881</x:v>
      </x:c>
      <x:c r="B1882" t="str">
        <x:v>USR-00968</x:v>
      </x:c>
      <x:c r="C1882" t="n">
        <x:v>46174</x:v>
      </x:c>
      <x:c r="D1882" t="str">
        <x:v>Entidad financiera B</x:v>
      </x:c>
      <x:c r="E1882" t="str">
        <x:v>Tarjeta de crédito</x:v>
      </x:c>
      <x:c r="F1882" t="n">
        <x:v>2930000</x:v>
      </x:c>
      <x:c r="G1882" s="40" t="n">
        <x:v>0.1154</x:v>
      </x:c>
      <x:c r="H1882" s="40" t="n">
        <x:v>0.009143</x:v>
      </x:c>
      <x:c r="I1882" t="n">
        <x:v>12</x:v>
      </x:c>
      <x:c r="J1882" t="n">
        <x:v>258900</x:v>
      </x:c>
      <x:c r="K1882" t="str">
        <x:v>Avalancha</x:v>
      </x:c>
      <x:c r="L1882" t="str">
        <x:v>Vigente</x:v>
      </x:c>
      <x:c r="M1882" t="n">
        <x:v>1991130.95</x:v>
      </x:c>
      <x:c r="N1882"/>
    </x:row>
    <x:row r="1883">
      <x:c r="A1883" t="str">
        <x:v>DEU-001882</x:v>
      </x:c>
      <x:c r="B1883" t="str">
        <x:v>USR-00968</x:v>
      </x:c>
      <x:c r="C1883" t="n">
        <x:v>46174</x:v>
      </x:c>
      <x:c r="D1883" t="str">
        <x:v>Entidad financiera A</x:v>
      </x:c>
      <x:c r="E1883" t="str">
        <x:v>Crédito de consumo</x:v>
      </x:c>
      <x:c r="F1883" t="n">
        <x:v>3920000</x:v>
      </x:c>
      <x:c r="G1883" s="40" t="n">
        <x:v>0.2243</x:v>
      </x:c>
      <x:c r="H1883" s="40" t="n">
        <x:v>0.017007</x:v>
      </x:c>
      <x:c r="I1883" t="n">
        <x:v>24</x:v>
      </x:c>
      <x:c r="J1883" t="n">
        <x:v>200300</x:v>
      </x:c>
      <x:c r="K1883" t="str">
        <x:v>Bola de nieve</x:v>
      </x:c>
      <x:c r="L1883" t="str">
        <x:v>Vigente</x:v>
      </x:c>
      <x:c r="M1883" t="n">
        <x:v>3449878.55</x:v>
      </x:c>
      <x:c r="N1883"/>
    </x:row>
    <x:row r="1884">
      <x:c r="A1884" t="str">
        <x:v>DEU-001883</x:v>
      </x:c>
      <x:c r="B1884" t="str">
        <x:v>USR-00968</x:v>
      </x:c>
      <x:c r="C1884" t="n">
        <x:v>46174</x:v>
      </x:c>
      <x:c r="D1884" t="str">
        <x:v>Entidad financiera B</x:v>
      </x:c>
      <x:c r="E1884" t="str">
        <x:v>Crédito de consumo</x:v>
      </x:c>
      <x:c r="F1884" t="n">
        <x:v>2360000</x:v>
      </x:c>
      <x:c r="G1884" s="40" t="n">
        <x:v>0.2841</x:v>
      </x:c>
      <x:c r="H1884" s="40" t="n">
        <x:v>0.021057</x:v>
      </x:c>
      <x:c r="I1884" t="n">
        <x:v>60</x:v>
      </x:c>
      <x:c r="J1884" t="n">
        <x:v>69600</x:v>
      </x:c>
      <x:c r="K1884" t="str">
        <x:v>Avalancha</x:v>
      </x:c>
      <x:c r="L1884" t="str">
        <x:v>Vigente</x:v>
      </x:c>
      <x:c r="M1884" t="n">
        <x:v>2259193.32</x:v>
      </x:c>
      <x:c r="N1884"/>
    </x:row>
    <x:row r="1885">
      <x:c r="A1885" t="str">
        <x:v>DEU-001884</x:v>
      </x:c>
      <x:c r="B1885" t="str">
        <x:v>USR-00969</x:v>
      </x:c>
      <x:c r="C1885" t="n">
        <x:v>46174</x:v>
      </x:c>
      <x:c r="D1885" t="str">
        <x:v>Entidad financiera B</x:v>
      </x:c>
      <x:c r="E1885" t="str">
        <x:v>Crédito de consumo</x:v>
      </x:c>
      <x:c r="F1885" t="n">
        <x:v>2540000</x:v>
      </x:c>
      <x:c r="G1885" s="40" t="n">
        <x:v>0.2835</x:v>
      </x:c>
      <x:c r="H1885" s="40" t="n">
        <x:v>0.021017</x:v>
      </x:c>
      <x:c r="I1885" t="n">
        <x:v>60</x:v>
      </x:c>
      <x:c r="J1885" t="n">
        <x:v>74900</x:v>
      </x:c>
      <x:c r="K1885" t="str">
        <x:v>Avalancha</x:v>
      </x:c>
      <x:c r="L1885" t="str">
        <x:v>Vigente</x:v>
      </x:c>
      <x:c r="M1885" t="n">
        <x:v>2472960.47</x:v>
      </x:c>
      <x:c r="N1885"/>
    </x:row>
    <x:row r="1886">
      <x:c r="A1886" t="str">
        <x:v>DEU-001885</x:v>
      </x:c>
      <x:c r="B1886" t="str">
        <x:v>USR-00970</x:v>
      </x:c>
      <x:c r="C1886" t="n">
        <x:v>46174</x:v>
      </x:c>
      <x:c r="D1886" t="str">
        <x:v>Entidad financiera A</x:v>
      </x:c>
      <x:c r="E1886" t="str">
        <x:v>Crédito educativo</x:v>
      </x:c>
      <x:c r="F1886" t="n">
        <x:v>22790000</x:v>
      </x:c>
      <x:c r="G1886" s="40" t="n">
        <x:v>0.1833</x:v>
      </x:c>
      <x:c r="H1886" s="40" t="n">
        <x:v>0.014124</x:v>
      </x:c>
      <x:c r="I1886" t="n">
        <x:v>36</x:v>
      </x:c>
      <x:c r="J1886" t="n">
        <x:v>812000</x:v>
      </x:c>
      <x:c r="K1886" t="str">
        <x:v>Avalancha</x:v>
      </x:c>
      <x:c r="L1886" t="str">
        <x:v>Vigente</x:v>
      </x:c>
      <x:c r="M1886" t="n">
        <x:v>22297858.61</x:v>
      </x:c>
      <x:c r="N1886"/>
    </x:row>
    <x:row r="1887">
      <x:c r="A1887" t="str">
        <x:v>DEU-001886</x:v>
      </x:c>
      <x:c r="B1887" t="str">
        <x:v>USR-00971</x:v>
      </x:c>
      <x:c r="C1887" t="n">
        <x:v>46174</x:v>
      </x:c>
      <x:c r="D1887" t="str">
        <x:v>Entidad financiera B</x:v>
      </x:c>
      <x:c r="E1887" t="str">
        <x:v>Tarjeta de crédito</x:v>
      </x:c>
      <x:c r="F1887" t="n">
        <x:v>3820000</x:v>
      </x:c>
      <x:c r="G1887" s="40" t="n">
        <x:v>0.1435</x:v>
      </x:c>
      <x:c r="H1887" s="40" t="n">
        <x:v>0.011237</x:v>
      </x:c>
      <x:c r="I1887" t="n">
        <x:v>24</x:v>
      </x:c>
      <x:c r="J1887" t="n">
        <x:v>182500</x:v>
      </x:c>
      <x:c r="K1887" t="str">
        <x:v>Avalancha</x:v>
      </x:c>
      <x:c r="L1887" t="str">
        <x:v>Vigente</x:v>
      </x:c>
      <x:c r="M1887" t="n">
        <x:v>3434722.4</x:v>
      </x:c>
      <x:c r="N1887"/>
    </x:row>
    <x:row r="1888">
      <x:c r="A1888" t="str">
        <x:v>DEU-001887</x:v>
      </x:c>
      <x:c r="B1888" t="str">
        <x:v>USR-00971</x:v>
      </x:c>
      <x:c r="C1888" t="n">
        <x:v>46174</x:v>
      </x:c>
      <x:c r="D1888" t="str">
        <x:v>Financiera D</x:v>
      </x:c>
      <x:c r="E1888" t="str">
        <x:v>Crédito de vehículo</x:v>
      </x:c>
      <x:c r="F1888" t="n">
        <x:v>25410000</x:v>
      </x:c>
      <x:c r="G1888" s="40" t="n">
        <x:v>0.2641</x:v>
      </x:c>
      <x:c r="H1888" s="40" t="n">
        <x:v>0.019722</x:v>
      </x:c>
      <x:c r="I1888" t="n">
        <x:v>24</x:v>
      </x:c>
      <x:c r="J1888" t="n">
        <x:v>1339200</x:v>
      </x:c>
      <x:c r="K1888" t="str">
        <x:v>Bola de nieve</x:v>
      </x:c>
      <x:c r="L1888" t="str">
        <x:v>Vigente</x:v>
      </x:c>
      <x:c r="M1888" t="n">
        <x:v>23655738.52</x:v>
      </x:c>
      <x:c r="N1888"/>
    </x:row>
    <x:row r="1889">
      <x:c r="A1889" t="str">
        <x:v>DEU-001888</x:v>
      </x:c>
      <x:c r="B1889" t="str">
        <x:v>USR-00972</x:v>
      </x:c>
      <x:c r="C1889" t="n">
        <x:v>46174</x:v>
      </x:c>
      <x:c r="D1889" t="str">
        <x:v>Entidad financiera A</x:v>
      </x:c>
      <x:c r="E1889" t="str">
        <x:v>Tarjeta de crédito</x:v>
      </x:c>
      <x:c r="F1889" t="n">
        <x:v>6030000</x:v>
      </x:c>
      <x:c r="G1889" s="40" t="n">
        <x:v>0.2636</x:v>
      </x:c>
      <x:c r="H1889" s="40" t="n">
        <x:v>0.019688</x:v>
      </x:c>
      <x:c r="I1889" t="n">
        <x:v>48</x:v>
      </x:c>
      <x:c r="J1889" t="n">
        <x:v>195300</x:v>
      </x:c>
      <x:c r="K1889" t="str">
        <x:v>Bola de nieve</x:v>
      </x:c>
      <x:c r="L1889" t="str">
        <x:v>Vigente</x:v>
      </x:c>
      <x:c r="M1889" t="n">
        <x:v>6030879.68</x:v>
      </x:c>
      <x:c r="N1889"/>
    </x:row>
    <x:row r="1890">
      <x:c r="A1890" t="str">
        <x:v>DEU-001889</x:v>
      </x:c>
      <x:c r="B1890" t="str">
        <x:v>USR-00973</x:v>
      </x:c>
      <x:c r="C1890" t="n">
        <x:v>46174</x:v>
      </x:c>
      <x:c r="D1890" t="str">
        <x:v>Entidad financiera B</x:v>
      </x:c>
      <x:c r="E1890" t="str">
        <x:v>Crédito educativo</x:v>
      </x:c>
      <x:c r="F1890" t="n">
        <x:v>5690000</x:v>
      </x:c>
      <x:c r="G1890" s="40" t="n">
        <x:v>0.2843</x:v>
      </x:c>
      <x:c r="H1890" s="40" t="n">
        <x:v>0.02107</x:v>
      </x:c>
      <x:c r="I1890" t="n">
        <x:v>30</x:v>
      </x:c>
      <x:c r="J1890" t="n">
        <x:v>257800</x:v>
      </x:c>
      <x:c r="K1890" t="str">
        <x:v>Avalancha</x:v>
      </x:c>
      <x:c r="L1890" t="str">
        <x:v>Vigente</x:v>
      </x:c>
      <x:c r="M1890" t="n">
        <x:v>5316899.41</x:v>
      </x:c>
      <x:c r="N1890"/>
    </x:row>
    <x:row r="1891">
      <x:c r="A1891" t="str">
        <x:v>DEU-001890</x:v>
      </x:c>
      <x:c r="B1891" t="str">
        <x:v>USR-00974</x:v>
      </x:c>
      <x:c r="C1891" t="n">
        <x:v>46174</x:v>
      </x:c>
      <x:c r="D1891" t="str">
        <x:v>Entidad financiera A</x:v>
      </x:c>
      <x:c r="E1891" t="str">
        <x:v>Tarjeta de crédito</x:v>
      </x:c>
      <x:c r="F1891" t="n">
        <x:v>2030000</x:v>
      </x:c>
      <x:c r="G1891" s="40" t="n">
        <x:v>0.3376</x:v>
      </x:c>
      <x:c r="H1891" s="40" t="n">
        <x:v>0.024536</x:v>
      </x:c>
      <x:c r="I1891" t="n">
        <x:v>30</x:v>
      </x:c>
      <x:c r="J1891" t="n">
        <x:v>96400</x:v>
      </x:c>
      <x:c r="K1891" t="str">
        <x:v>Avalancha</x:v>
      </x:c>
      <x:c r="L1891" t="str">
        <x:v>Vigente</x:v>
      </x:c>
      <x:c r="M1891" t="n">
        <x:v>2054021.79</x:v>
      </x:c>
      <x:c r="N1891"/>
    </x:row>
    <x:row r="1892">
      <x:c r="A1892" t="str">
        <x:v>DEU-001891</x:v>
      </x:c>
      <x:c r="B1892" t="str">
        <x:v>USR-00974</x:v>
      </x:c>
      <x:c r="C1892" t="n">
        <x:v>46174</x:v>
      </x:c>
      <x:c r="D1892" t="str">
        <x:v>Cooperativa C</x:v>
      </x:c>
      <x:c r="E1892" t="str">
        <x:v>Crédito de consumo</x:v>
      </x:c>
      <x:c r="F1892" t="n">
        <x:v>6200000</x:v>
      </x:c>
      <x:c r="G1892" s="40" t="n">
        <x:v>0.3179</x:v>
      </x:c>
      <x:c r="H1892" s="40" t="n">
        <x:v>0.02327</x:v>
      </x:c>
      <x:c r="I1892" t="n">
        <x:v>12</x:v>
      </x:c>
      <x:c r="J1892" t="n">
        <x:v>598100</x:v>
      </x:c>
      <x:c r="K1892" t="str">
        <x:v>Avalancha</x:v>
      </x:c>
      <x:c r="L1892" t="str">
        <x:v>Vigente</x:v>
      </x:c>
      <x:c r="M1892" t="n">
        <x:v>5217277.85</x:v>
      </x:c>
      <x:c r="N1892"/>
    </x:row>
    <x:row r="1893">
      <x:c r="A1893" t="str">
        <x:v>DEU-001892</x:v>
      </x:c>
      <x:c r="B1893" t="str">
        <x:v>USR-00975</x:v>
      </x:c>
      <x:c r="C1893" t="n">
        <x:v>46174</x:v>
      </x:c>
      <x:c r="D1893" t="str">
        <x:v>Cooperativa C</x:v>
      </x:c>
      <x:c r="E1893" t="str">
        <x:v>Tarjeta de crédito</x:v>
      </x:c>
      <x:c r="F1893" t="n">
        <x:v>1350000</x:v>
      </x:c>
      <x:c r="G1893" s="40" t="n">
        <x:v>0.1385</x:v>
      </x:c>
      <x:c r="H1893" s="40" t="n">
        <x:v>0.010868</x:v>
      </x:c>
      <x:c r="I1893" t="n">
        <x:v>30</x:v>
      </x:c>
      <x:c r="J1893" t="n">
        <x:v>53000</x:v>
      </x:c>
      <x:c r="K1893" t="str">
        <x:v>Avalancha</x:v>
      </x:c>
      <x:c r="L1893" t="str">
        <x:v>Vigente</x:v>
      </x:c>
      <x:c r="M1893" t="n">
        <x:v>1226495.31</x:v>
      </x:c>
      <x:c r="N1893"/>
    </x:row>
    <x:row r="1894">
      <x:c r="A1894" t="str">
        <x:v>DEU-001893</x:v>
      </x:c>
      <x:c r="B1894" t="str">
        <x:v>USR-00975</x:v>
      </x:c>
      <x:c r="C1894" t="n">
        <x:v>46174</x:v>
      </x:c>
      <x:c r="D1894" t="str">
        <x:v>Financiera D</x:v>
      </x:c>
      <x:c r="E1894" t="str">
        <x:v>Crédito de consumo</x:v>
      </x:c>
      <x:c r="F1894" t="n">
        <x:v>9370000</x:v>
      </x:c>
      <x:c r="G1894" s="40" t="n">
        <x:v>0.1461</x:v>
      </x:c>
      <x:c r="H1894" s="40" t="n">
        <x:v>0.011429</x:v>
      </x:c>
      <x:c r="I1894" t="n">
        <x:v>30</x:v>
      </x:c>
      <x:c r="J1894" t="n">
        <x:v>370700</x:v>
      </x:c>
      <x:c r="K1894" t="str">
        <x:v>Avalancha</x:v>
      </x:c>
      <x:c r="L1894" t="str">
        <x:v>Vigente</x:v>
      </x:c>
      <x:c r="M1894" t="n">
        <x:v>8349721.35</x:v>
      </x:c>
      <x:c r="N1894"/>
    </x:row>
    <x:row r="1895">
      <x:c r="A1895" t="str">
        <x:v>DEU-001894</x:v>
      </x:c>
      <x:c r="B1895" t="str">
        <x:v>USR-00976</x:v>
      </x:c>
      <x:c r="C1895" t="n">
        <x:v>46174</x:v>
      </x:c>
      <x:c r="D1895" t="str">
        <x:v>Entidad financiera A</x:v>
      </x:c>
      <x:c r="E1895" t="str">
        <x:v>Tarjeta de crédito</x:v>
      </x:c>
      <x:c r="F1895" t="n">
        <x:v>2260000</x:v>
      </x:c>
      <x:c r="G1895" s="40" t="n">
        <x:v>0.2837</x:v>
      </x:c>
      <x:c r="H1895" s="40" t="n">
        <x:v>0.02103</x:v>
      </x:c>
      <x:c r="I1895" t="n">
        <x:v>18</x:v>
      </x:c>
      <x:c r="J1895" t="n">
        <x:v>152100</x:v>
      </x:c>
      <x:c r="K1895" t="str">
        <x:v>Bola de nieve</x:v>
      </x:c>
      <x:c r="L1895" t="str">
        <x:v>Vigente</x:v>
      </x:c>
      <x:c r="M1895" t="n">
        <x:v>1835103.27</x:v>
      </x:c>
      <x:c r="N1895"/>
    </x:row>
    <x:row r="1896">
      <x:c r="A1896" t="str">
        <x:v>DEU-001895</x:v>
      </x:c>
      <x:c r="B1896" t="str">
        <x:v>USR-00976</x:v>
      </x:c>
      <x:c r="C1896" t="n">
        <x:v>46174</x:v>
      </x:c>
      <x:c r="D1896" t="str">
        <x:v>Cooperativa C</x:v>
      </x:c>
      <x:c r="E1896" t="str">
        <x:v>Crédito educativo</x:v>
      </x:c>
      <x:c r="F1896" t="n">
        <x:v>4960000</x:v>
      </x:c>
      <x:c r="G1896" s="40" t="n">
        <x:v>0.1125</x:v>
      </x:c>
      <x:c r="H1896" s="40" t="n">
        <x:v>0.008924</x:v>
      </x:c>
      <x:c r="I1896" t="n">
        <x:v>48</x:v>
      </x:c>
      <x:c r="J1896" t="n">
        <x:v>127500</x:v>
      </x:c>
      <x:c r="K1896" t="str">
        <x:v>Bola de nieve</x:v>
      </x:c>
      <x:c r="L1896" t="str">
        <x:v>Vigente</x:v>
      </x:c>
      <x:c r="M1896" t="n">
        <x:v>4667658.04</x:v>
      </x:c>
      <x:c r="N1896"/>
    </x:row>
    <x:row r="1897">
      <x:c r="A1897" t="str">
        <x:v>DEU-001896</x:v>
      </x:c>
      <x:c r="B1897" t="str">
        <x:v>USR-00977</x:v>
      </x:c>
      <x:c r="C1897" t="n">
        <x:v>46174</x:v>
      </x:c>
      <x:c r="D1897" t="str">
        <x:v>Entidad financiera E</x:v>
      </x:c>
      <x:c r="E1897" t="str">
        <x:v>Tarjeta de crédito</x:v>
      </x:c>
      <x:c r="F1897" t="n">
        <x:v>2220000</x:v>
      </x:c>
      <x:c r="G1897" s="40" t="n">
        <x:v>0.2516</x:v>
      </x:c>
      <x:c r="H1897" s="40" t="n">
        <x:v>0.018878</x:v>
      </x:c>
      <x:c r="I1897" t="n">
        <x:v>48</x:v>
      </x:c>
      <x:c r="J1897" t="n">
        <x:v>70700</x:v>
      </x:c>
      <x:c r="K1897" t="str">
        <x:v>Bola de nieve</x:v>
      </x:c>
      <x:c r="L1897" t="str">
        <x:v>Vigente</x:v>
      </x:c>
      <x:c r="M1897" t="n">
        <x:v>2190413.21</x:v>
      </x:c>
      <x:c r="N1897"/>
    </x:row>
    <x:row r="1898">
      <x:c r="A1898" t="str">
        <x:v>DEU-001897</x:v>
      </x:c>
      <x:c r="B1898" t="str">
        <x:v>USR-00977</x:v>
      </x:c>
      <x:c r="C1898" t="n">
        <x:v>46174</x:v>
      </x:c>
      <x:c r="D1898" t="str">
        <x:v>Entidad financiera A</x:v>
      </x:c>
      <x:c r="E1898" t="str">
        <x:v>Crédito educativo</x:v>
      </x:c>
      <x:c r="F1898" t="n">
        <x:v>17210000</x:v>
      </x:c>
      <x:c r="G1898" s="40" t="n">
        <x:v>0.1213</x:v>
      </x:c>
      <x:c r="H1898" s="40" t="n">
        <x:v>0.009586</x:v>
      </x:c>
      <x:c r="I1898" t="n">
        <x:v>18</x:v>
      </x:c>
      <x:c r="J1898" t="n">
        <x:v>1045500</x:v>
      </x:c>
      <x:c r="K1898" t="str">
        <x:v>Avalancha</x:v>
      </x:c>
      <x:c r="L1898" t="str">
        <x:v>Vigente</x:v>
      </x:c>
      <x:c r="M1898" t="n">
        <x:v>14531126.14</x:v>
      </x:c>
      <x:c r="N1898"/>
    </x:row>
    <x:row r="1899">
      <x:c r="A1899" t="str">
        <x:v>DEU-001898</x:v>
      </x:c>
      <x:c r="B1899" t="str">
        <x:v>USR-00978</x:v>
      </x:c>
      <x:c r="C1899" t="n">
        <x:v>46174</x:v>
      </x:c>
      <x:c r="D1899" t="str">
        <x:v>Entidad financiera B</x:v>
      </x:c>
      <x:c r="E1899" t="str">
        <x:v>Crédito de consumo</x:v>
      </x:c>
      <x:c r="F1899" t="n">
        <x:v>15550000</x:v>
      </x:c>
      <x:c r="G1899" s="40" t="n">
        <x:v>0.2246</x:v>
      </x:c>
      <x:c r="H1899" s="40" t="n">
        <x:v>0.017028</x:v>
      </x:c>
      <x:c r="I1899" t="n">
        <x:v>36</x:v>
      </x:c>
      <x:c r="J1899" t="n">
        <x:v>581300</x:v>
      </x:c>
      <x:c r="K1899" t="str">
        <x:v>Avalancha</x:v>
      </x:c>
      <x:c r="L1899" t="str">
        <x:v>Vigente</x:v>
      </x:c>
      <x:c r="M1899" t="n">
        <x:v>14862730.7</x:v>
      </x:c>
      <x:c r="N1899"/>
    </x:row>
    <x:row r="1900">
      <x:c r="A1900" t="str">
        <x:v>DEU-001899</x:v>
      </x:c>
      <x:c r="B1900" t="str">
        <x:v>USR-00978</x:v>
      </x:c>
      <x:c r="C1900" t="n">
        <x:v>46174</x:v>
      </x:c>
      <x:c r="D1900" t="str">
        <x:v>Entidad financiera E</x:v>
      </x:c>
      <x:c r="E1900" t="str">
        <x:v>Crédito de libre inversión</x:v>
      </x:c>
      <x:c r="F1900" t="n">
        <x:v>12960000</x:v>
      </x:c>
      <x:c r="G1900" s="40" t="n">
        <x:v>0.2629</x:v>
      </x:c>
      <x:c r="H1900" s="40" t="n">
        <x:v>0.019641</x:v>
      </x:c>
      <x:c r="I1900" t="n">
        <x:v>60</x:v>
      </x:c>
      <x:c r="J1900" t="n">
        <x:v>369600</x:v>
      </x:c>
      <x:c r="K1900" t="str">
        <x:v>Avalancha</x:v>
      </x:c>
      <x:c r="L1900" t="str">
        <x:v>Vigente</x:v>
      </x:c>
      <x:c r="M1900" t="n">
        <x:v>12844492.1</x:v>
      </x:c>
      <x:c r="N1900"/>
    </x:row>
    <x:row r="1901">
      <x:c r="A1901" t="str">
        <x:v>DEU-001900</x:v>
      </x:c>
      <x:c r="B1901" t="str">
        <x:v>USR-00979</x:v>
      </x:c>
      <x:c r="C1901" t="n">
        <x:v>46174</x:v>
      </x:c>
      <x:c r="D1901" t="str">
        <x:v>Entidad financiera B</x:v>
      </x:c>
      <x:c r="E1901" t="str">
        <x:v>Crédito de consumo</x:v>
      </x:c>
      <x:c r="F1901" t="n">
        <x:v>9090000</x:v>
      </x:c>
      <x:c r="G1901" s="40" t="n">
        <x:v>0.1578</x:v>
      </x:c>
      <x:c r="H1901" s="40" t="n">
        <x:v>0.012285</x:v>
      </x:c>
      <x:c r="I1901" t="n">
        <x:v>30</x:v>
      </x:c>
      <x:c r="J1901" t="n">
        <x:v>364100</x:v>
      </x:c>
      <x:c r="K1901" t="str">
        <x:v>Avalancha</x:v>
      </x:c>
      <x:c r="L1901" t="str">
        <x:v>Vigente</x:v>
      </x:c>
      <x:c r="M1901" t="n">
        <x:v>8268115.69</x:v>
      </x:c>
      <x:c r="N1901"/>
    </x:row>
    <x:row r="1902">
      <x:c r="A1902" t="str">
        <x:v>DEU-001901</x:v>
      </x:c>
      <x:c r="B1902" t="str">
        <x:v>USR-00979</x:v>
      </x:c>
      <x:c r="C1902" t="n">
        <x:v>46174</x:v>
      </x:c>
      <x:c r="D1902" t="str">
        <x:v>Entidad financiera E</x:v>
      </x:c>
      <x:c r="E1902" t="str">
        <x:v>Crédito educativo</x:v>
      </x:c>
      <x:c r="F1902" t="n">
        <x:v>25020000</x:v>
      </x:c>
      <x:c r="G1902" s="40" t="n">
        <x:v>0.269</x:v>
      </x:c>
      <x:c r="H1902" s="40" t="n">
        <x:v>0.020051</x:v>
      </x:c>
      <x:c r="I1902" t="n">
        <x:v>30</x:v>
      </x:c>
      <x:c r="J1902" t="n">
        <x:v>1117900</x:v>
      </x:c>
      <x:c r="K1902" t="str">
        <x:v>Bola de nieve</x:v>
      </x:c>
      <x:c r="L1902" t="str">
        <x:v>Vigente</x:v>
      </x:c>
      <x:c r="M1902" t="n">
        <x:v>24783446.87</x:v>
      </x:c>
      <x:c r="N1902"/>
    </x:row>
    <x:row r="1903">
      <x:c r="A1903" t="str">
        <x:v>DEU-001902</x:v>
      </x:c>
      <x:c r="B1903" t="str">
        <x:v>USR-00980</x:v>
      </x:c>
      <x:c r="C1903" t="n">
        <x:v>46174</x:v>
      </x:c>
      <x:c r="D1903" t="str">
        <x:v>Entidad financiera B</x:v>
      </x:c>
      <x:c r="E1903" t="str">
        <x:v>Tarjeta de crédito</x:v>
      </x:c>
      <x:c r="F1903" t="n">
        <x:v>8040000</x:v>
      </x:c>
      <x:c r="G1903" s="40" t="n">
        <x:v>0.123</x:v>
      </x:c>
      <x:c r="H1903" s="40" t="n">
        <x:v>0.009714</x:v>
      </x:c>
      <x:c r="I1903" t="n">
        <x:v>30</x:v>
      </x:c>
      <x:c r="J1903" t="n">
        <x:v>310200</x:v>
      </x:c>
      <x:c r="K1903" t="str">
        <x:v>Avalancha</x:v>
      </x:c>
      <x:c r="L1903" t="str">
        <x:v>Vigente</x:v>
      </x:c>
      <x:c r="M1903" t="n">
        <x:v>7189713.74</x:v>
      </x:c>
      <x:c r="N1903"/>
    </x:row>
    <x:row r="1904">
      <x:c r="A1904" t="str">
        <x:v>DEU-001903</x:v>
      </x:c>
      <x:c r="B1904" t="str">
        <x:v>USR-00980</x:v>
      </x:c>
      <x:c r="C1904" t="n">
        <x:v>46174</x:v>
      </x:c>
      <x:c r="D1904" t="str">
        <x:v>Entidad financiera B</x:v>
      </x:c>
      <x:c r="E1904" t="str">
        <x:v>Tarjeta de crédito</x:v>
      </x:c>
      <x:c r="F1904" t="n">
        <x:v>1990000</x:v>
      </x:c>
      <x:c r="G1904" s="40" t="n">
        <x:v>0.238</x:v>
      </x:c>
      <x:c r="H1904" s="40" t="n">
        <x:v>0.017951</x:v>
      </x:c>
      <x:c r="I1904" t="n">
        <x:v>36</x:v>
      </x:c>
      <x:c r="J1904" t="n">
        <x:v>75500</x:v>
      </x:c>
      <x:c r="K1904" t="str">
        <x:v>Avalancha</x:v>
      </x:c>
      <x:c r="L1904" t="str">
        <x:v>Vigente</x:v>
      </x:c>
      <x:c r="M1904" t="n">
        <x:v>1997569.34</x:v>
      </x:c>
      <x:c r="N1904"/>
    </x:row>
    <x:row r="1905">
      <x:c r="A1905" t="str">
        <x:v>DEU-001904</x:v>
      </x:c>
      <x:c r="B1905" t="str">
        <x:v>USR-00006</x:v>
      </x:c>
      <x:c r="C1905" t="n">
        <x:v>46204</x:v>
      </x:c>
      <x:c r="D1905" t="str">
        <x:v>Cooperativa C</x:v>
      </x:c>
      <x:c r="E1905" t="str">
        <x:v>Crédito de consumo</x:v>
      </x:c>
      <x:c r="F1905" t="n">
        <x:v>18260000</x:v>
      </x:c>
      <x:c r="G1905" s="40" t="n">
        <x:v>0.2705</x:v>
      </x:c>
      <x:c r="H1905" s="40" t="n">
        <x:v>0.020151</x:v>
      </x:c>
      <x:c r="I1905" t="n">
        <x:v>30</x:v>
      </x:c>
      <x:c r="J1905" t="n">
        <x:v>817000</x:v>
      </x:c>
      <x:c r="K1905" t="str">
        <x:v>Avalancha</x:v>
      </x:c>
      <x:c r="L1905" t="str">
        <x:v>Vigente</x:v>
      </x:c>
      <x:c r="M1905" t="n">
        <x:v>17719019.33</x:v>
      </x:c>
      <x:c r="N1905"/>
    </x:row>
    <x:row r="1906">
      <x:c r="A1906" t="str">
        <x:v>DEU-001905</x:v>
      </x:c>
      <x:c r="B1906" t="str">
        <x:v>USR-00087</x:v>
      </x:c>
      <x:c r="C1906" t="n">
        <x:v>46204</x:v>
      </x:c>
      <x:c r="D1906" t="str">
        <x:v>Cooperativa C</x:v>
      </x:c>
      <x:c r="E1906" t="str">
        <x:v>Crédito de consumo</x:v>
      </x:c>
      <x:c r="F1906" t="n">
        <x:v>3790000</x:v>
      </x:c>
      <x:c r="G1906" s="40" t="n">
        <x:v>0.2536</x:v>
      </x:c>
      <x:c r="H1906" s="40" t="n">
        <x:v>0.019013</x:v>
      </x:c>
      <x:c r="I1906" t="n">
        <x:v>24</x:v>
      </x:c>
      <x:c r="J1906" t="n">
        <x:v>198100</x:v>
      </x:c>
      <x:c r="K1906" t="str">
        <x:v>Avalancha</x:v>
      </x:c>
      <x:c r="L1906" t="str">
        <x:v>Vigente</x:v>
      </x:c>
      <x:c r="M1906" t="n">
        <x:v>3374383.33</x:v>
      </x:c>
      <x:c r="N1906"/>
    </x:row>
    <x:row r="1907">
      <x:c r="A1907" t="str">
        <x:v>DEU-001906</x:v>
      </x:c>
      <x:c r="B1907" t="str">
        <x:v>USR-00104</x:v>
      </x:c>
      <x:c r="C1907" t="n">
        <x:v>46204</x:v>
      </x:c>
      <x:c r="D1907" t="str">
        <x:v>Entidad financiera E</x:v>
      </x:c>
      <x:c r="E1907" t="str">
        <x:v>Tarjeta de crédito</x:v>
      </x:c>
      <x:c r="F1907" t="n">
        <x:v>6260000</x:v>
      </x:c>
      <x:c r="G1907" s="40" t="n">
        <x:v>0.1661</x:v>
      </x:c>
      <x:c r="H1907" s="40" t="n">
        <x:v>0.012888</x:v>
      </x:c>
      <x:c r="I1907" t="n">
        <x:v>48</x:v>
      </x:c>
      <x:c r="J1907" t="n">
        <x:v>175700</x:v>
      </x:c>
      <x:c r="K1907" t="str">
        <x:v>Avalancha</x:v>
      </x:c>
      <x:c r="L1907" t="str">
        <x:v>Vigente</x:v>
      </x:c>
      <x:c r="M1907" t="n">
        <x:v>5918101.93</x:v>
      </x:c>
      <x:c r="N1907"/>
    </x:row>
    <x:row r="1908">
      <x:c r="A1908" t="str">
        <x:v>DEU-001907</x:v>
      </x:c>
      <x:c r="B1908" t="str">
        <x:v>USR-00106</x:v>
      </x:c>
      <x:c r="C1908" t="n">
        <x:v>46204</x:v>
      </x:c>
      <x:c r="D1908" t="str">
        <x:v>Entidad financiera A</x:v>
      </x:c>
      <x:c r="E1908" t="str">
        <x:v>Crédito de libre inversión</x:v>
      </x:c>
      <x:c r="F1908" t="n">
        <x:v>16780000</x:v>
      </x:c>
      <x:c r="G1908" s="40" t="n">
        <x:v>0.2479</x:v>
      </x:c>
      <x:c r="H1908" s="40" t="n">
        <x:v>0.018627</x:v>
      </x:c>
      <x:c r="I1908" t="n">
        <x:v>18</x:v>
      </x:c>
      <x:c r="J1908" t="n">
        <x:v>1105800</x:v>
      </x:c>
      <x:c r="K1908" t="str">
        <x:v>Avalancha</x:v>
      </x:c>
      <x:c r="L1908" t="str">
        <x:v>Vigente</x:v>
      </x:c>
      <x:c r="M1908" t="n">
        <x:v>16817372.2</x:v>
      </x:c>
      <x:c r="N1908"/>
    </x:row>
    <x:row r="1909">
      <x:c r="A1909" t="str">
        <x:v>DEU-001908</x:v>
      </x:c>
      <x:c r="B1909" t="str">
        <x:v>USR-00263</x:v>
      </x:c>
      <x:c r="C1909" t="n">
        <x:v>46204</x:v>
      </x:c>
      <x:c r="D1909" t="str">
        <x:v>Entidad financiera B</x:v>
      </x:c>
      <x:c r="E1909" t="str">
        <x:v>Crédito de vehículo</x:v>
      </x:c>
      <x:c r="F1909" t="n">
        <x:v>49460000</x:v>
      </x:c>
      <x:c r="G1909" s="40" t="n">
        <x:v>0.2593</x:v>
      </x:c>
      <x:c r="H1909" s="40" t="n">
        <x:v>0.019399</x:v>
      </x:c>
      <x:c r="I1909" t="n">
        <x:v>12</x:v>
      </x:c>
      <x:c r="J1909" t="n">
        <x:v>4659700</x:v>
      </x:c>
      <x:c r="K1909" t="str">
        <x:v>Bola de nieve</x:v>
      </x:c>
      <x:c r="L1909" t="str">
        <x:v>Vigente</x:v>
      </x:c>
      <x:c r="M1909" t="n">
        <x:v>39330301.65</x:v>
      </x:c>
      <x:c r="N1909"/>
    </x:row>
    <x:row r="1910">
      <x:c r="A1910" t="str">
        <x:v>DEU-001909</x:v>
      </x:c>
      <x:c r="B1910" t="str">
        <x:v>USR-00379</x:v>
      </x:c>
      <x:c r="C1910" t="n">
        <x:v>46204</x:v>
      </x:c>
      <x:c r="D1910" t="str">
        <x:v>Entidad financiera A</x:v>
      </x:c>
      <x:c r="E1910" t="str">
        <x:v>Crédito educativo</x:v>
      </x:c>
      <x:c r="F1910" t="n">
        <x:v>17590000</x:v>
      </x:c>
      <x:c r="G1910" s="40" t="n">
        <x:v>0.1462</x:v>
      </x:c>
      <x:c r="H1910" s="40" t="n">
        <x:v>0.011436</x:v>
      </x:c>
      <x:c r="I1910" t="n">
        <x:v>24</x:v>
      </x:c>
      <x:c r="J1910" t="n">
        <x:v>842200</x:v>
      </x:c>
      <x:c r="K1910" t="str">
        <x:v>Avalancha</x:v>
      </x:c>
      <x:c r="L1910" t="str">
        <x:v>Vigente</x:v>
      </x:c>
      <x:c r="M1910" t="n">
        <x:v>16359251.86</x:v>
      </x:c>
      <x:c r="N1910"/>
    </x:row>
    <x:row r="1911">
      <x:c r="A1911" t="str">
        <x:v>DEU-001910</x:v>
      </x:c>
      <x:c r="B1911" t="str">
        <x:v>USR-00500</x:v>
      </x:c>
      <x:c r="C1911" t="n">
        <x:v>46204</x:v>
      </x:c>
      <x:c r="D1911" t="str">
        <x:v>Entidad financiera E</x:v>
      </x:c>
      <x:c r="E1911" t="str">
        <x:v>Crédito de consumo</x:v>
      </x:c>
      <x:c r="F1911" t="n">
        <x:v>6490000</x:v>
      </x:c>
      <x:c r="G1911" s="40" t="n">
        <x:v>0.3215</x:v>
      </x:c>
      <x:c r="H1911" s="40" t="n">
        <x:v>0.023503</x:v>
      </x:c>
      <x:c r="I1911" t="n">
        <x:v>60</x:v>
      </x:c>
      <x:c r="J1911" t="n">
        <x:v>202900</x:v>
      </x:c>
      <x:c r="K1911" t="str">
        <x:v>Avalancha</x:v>
      </x:c>
      <x:c r="L1911" t="str">
        <x:v>Vigente</x:v>
      </x:c>
      <x:c r="M1911" t="n">
        <x:v>6228988.45</x:v>
      </x:c>
      <x:c r="N1911"/>
    </x:row>
    <x:row r="1912">
      <x:c r="A1912" t="str">
        <x:v>DEU-001911</x:v>
      </x:c>
      <x:c r="B1912" t="str">
        <x:v>USR-00548</x:v>
      </x:c>
      <x:c r="C1912" t="n">
        <x:v>46204</x:v>
      </x:c>
      <x:c r="D1912" t="str">
        <x:v>Cooperativa C</x:v>
      </x:c>
      <x:c r="E1912" t="str">
        <x:v>Tarjeta de crédito</x:v>
      </x:c>
      <x:c r="F1912" t="n">
        <x:v>4140000</x:v>
      </x:c>
      <x:c r="G1912" s="40" t="n">
        <x:v>0.1217</x:v>
      </x:c>
      <x:c r="H1912" s="40" t="n">
        <x:v>0.009616</x:v>
      </x:c>
      <x:c r="I1912" t="n">
        <x:v>12</x:v>
      </x:c>
      <x:c r="J1912" t="n">
        <x:v>366900</x:v>
      </x:c>
      <x:c r="K1912" t="str">
        <x:v>Avalancha</x:v>
      </x:c>
      <x:c r="L1912" t="str">
        <x:v>Vigente</x:v>
      </x:c>
      <x:c r="M1912" t="n">
        <x:v>3223374.96</x:v>
      </x:c>
      <x:c r="N1912"/>
    </x:row>
    <x:row r="1913">
      <x:c r="A1913" t="str">
        <x:v>DEU-001912</x:v>
      </x:c>
      <x:c r="B1913" t="str">
        <x:v>USR-00581</x:v>
      </x:c>
      <x:c r="C1913" t="n">
        <x:v>46204</x:v>
      </x:c>
      <x:c r="D1913" t="str">
        <x:v>Cooperativa C</x:v>
      </x:c>
      <x:c r="E1913" t="str">
        <x:v>Crédito de vehículo</x:v>
      </x:c>
      <x:c r="F1913" t="n">
        <x:v>50160000</x:v>
      </x:c>
      <x:c r="G1913" s="40" t="n">
        <x:v>0.1311</x:v>
      </x:c>
      <x:c r="H1913" s="40" t="n">
        <x:v>0.010319</x:v>
      </x:c>
      <x:c r="I1913" t="n">
        <x:v>60</x:v>
      </x:c>
      <x:c r="J1913" t="n">
        <x:v>1125500</x:v>
      </x:c>
      <x:c r="K1913" t="str">
        <x:v>Avalancha</x:v>
      </x:c>
      <x:c r="L1913" t="str">
        <x:v>Vigente</x:v>
      </x:c>
      <x:c r="M1913" t="n">
        <x:v>48146841.68</x:v>
      </x:c>
      <x:c r="N1913"/>
    </x:row>
    <x:row r="1914">
      <x:c r="A1914" t="str">
        <x:v>DEU-001913</x:v>
      </x:c>
      <x:c r="B1914" t="str">
        <x:v>USR-00594</x:v>
      </x:c>
      <x:c r="C1914" t="n">
        <x:v>46204</x:v>
      </x:c>
      <x:c r="D1914" t="str">
        <x:v>Entidad financiera B</x:v>
      </x:c>
      <x:c r="E1914" t="str">
        <x:v>Tarjeta de crédito</x:v>
      </x:c>
      <x:c r="F1914" t="n">
        <x:v>1860000</x:v>
      </x:c>
      <x:c r="G1914" s="40" t="n">
        <x:v>0.1485</x:v>
      </x:c>
      <x:c r="H1914" s="40" t="n">
        <x:v>0.011605</x:v>
      </x:c>
      <x:c r="I1914" t="n">
        <x:v>12</x:v>
      </x:c>
      <x:c r="J1914" t="n">
        <x:v>166900</x:v>
      </x:c>
      <x:c r="K1914" t="str">
        <x:v>Bola de nieve</x:v>
      </x:c>
      <x:c r="L1914" t="str">
        <x:v>Vigente</x:v>
      </x:c>
      <x:c r="M1914" t="n">
        <x:v>1562813.44</x:v>
      </x:c>
      <x:c r="N1914"/>
    </x:row>
    <x:row r="1915">
      <x:c r="A1915" t="str">
        <x:v>DEU-001914</x:v>
      </x:c>
      <x:c r="B1915" t="str">
        <x:v>USR-00601</x:v>
      </x:c>
      <x:c r="C1915" t="n">
        <x:v>46204</x:v>
      </x:c>
      <x:c r="D1915" t="str">
        <x:v>Entidad financiera A</x:v>
      </x:c>
      <x:c r="E1915" t="str">
        <x:v>Tarjeta de crédito</x:v>
      </x:c>
      <x:c r="F1915" t="n">
        <x:v>1710000</x:v>
      </x:c>
      <x:c r="G1915" s="40" t="n">
        <x:v>0.2643</x:v>
      </x:c>
      <x:c r="H1915" s="40" t="n">
        <x:v>0.019735</x:v>
      </x:c>
      <x:c r="I1915" t="n">
        <x:v>24</x:v>
      </x:c>
      <x:c r="J1915" t="n">
        <x:v>90100</x:v>
      </x:c>
      <x:c r="K1915" t="str">
        <x:v>Bola de nieve</x:v>
      </x:c>
      <x:c r="L1915" t="str">
        <x:v>Vigente</x:v>
      </x:c>
      <x:c r="M1915" t="n">
        <x:v>1523818</x:v>
      </x:c>
      <x:c r="N1915"/>
    </x:row>
    <x:row r="1916">
      <x:c r="A1916" t="str">
        <x:v>DEU-001915</x:v>
      </x:c>
      <x:c r="B1916" t="str">
        <x:v>USR-00637</x:v>
      </x:c>
      <x:c r="C1916" t="n">
        <x:v>46204</x:v>
      </x:c>
      <x:c r="D1916" t="str">
        <x:v>Financiera D</x:v>
      </x:c>
      <x:c r="E1916" t="str">
        <x:v>Crédito de consumo</x:v>
      </x:c>
      <x:c r="F1916" t="n">
        <x:v>3510000</x:v>
      </x:c>
      <x:c r="G1916" s="40" t="n">
        <x:v>0.2308</x:v>
      </x:c>
      <x:c r="H1916" s="40" t="n">
        <x:v>0.017456</x:v>
      </x:c>
      <x:c r="I1916" t="n">
        <x:v>12</x:v>
      </x:c>
      <x:c r="J1916" t="n">
        <x:v>326700</x:v>
      </x:c>
      <x:c r="K1916" t="str">
        <x:v>Bola de nieve</x:v>
      </x:c>
      <x:c r="L1916" t="str">
        <x:v>Vigente</x:v>
      </x:c>
      <x:c r="M1916" t="n">
        <x:v>2767330.13</x:v>
      </x:c>
      <x:c r="N1916"/>
    </x:row>
    <x:row r="1917">
      <x:c r="A1917" t="str">
        <x:v>DEU-001916</x:v>
      </x:c>
      <x:c r="B1917" t="str">
        <x:v>USR-00680</x:v>
      </x:c>
      <x:c r="C1917" t="n">
        <x:v>46204</x:v>
      </x:c>
      <x:c r="D1917" t="str">
        <x:v>Entidad financiera B</x:v>
      </x:c>
      <x:c r="E1917" t="str">
        <x:v>Crédito de libre inversión</x:v>
      </x:c>
      <x:c r="F1917" t="n">
        <x:v>22300000</x:v>
      </x:c>
      <x:c r="G1917" s="40" t="n">
        <x:v>0.1123</x:v>
      </x:c>
      <x:c r="H1917" s="40" t="n">
        <x:v>0.008909</x:v>
      </x:c>
      <x:c r="I1917" t="n">
        <x:v>24</x:v>
      </x:c>
      <x:c r="J1917" t="n">
        <x:v>1036200</x:v>
      </x:c>
      <x:c r="K1917" t="str">
        <x:v>Bola de nieve</x:v>
      </x:c>
      <x:c r="L1917" t="str">
        <x:v>Vigente</x:v>
      </x:c>
      <x:c r="M1917" t="n">
        <x:v>18935028.23</x:v>
      </x:c>
      <x:c r="N1917"/>
    </x:row>
    <x:row r="1918">
      <x:c r="A1918" t="str">
        <x:v>DEU-001917</x:v>
      </x:c>
      <x:c r="B1918" t="str">
        <x:v>USR-00689</x:v>
      </x:c>
      <x:c r="C1918" t="n">
        <x:v>46204</x:v>
      </x:c>
      <x:c r="D1918" t="str">
        <x:v>Entidad financiera A</x:v>
      </x:c>
      <x:c r="E1918" t="str">
        <x:v>Tarjeta de crédito</x:v>
      </x:c>
      <x:c r="F1918" t="n">
        <x:v>6570000</x:v>
      </x:c>
      <x:c r="G1918" s="40" t="n">
        <x:v>0.2782</x:v>
      </x:c>
      <x:c r="H1918" s="40" t="n">
        <x:v>0.020665</x:v>
      </x:c>
      <x:c r="I1918" t="n">
        <x:v>18</x:v>
      </x:c>
      <x:c r="J1918" t="n">
        <x:v>440800</x:v>
      </x:c>
      <x:c r="K1918" t="str">
        <x:v>Bola de nieve</x:v>
      </x:c>
      <x:c r="L1918" t="str">
        <x:v>Vigente</x:v>
      </x:c>
      <x:c r="M1918" t="n">
        <x:v>6177659.15</x:v>
      </x:c>
      <x:c r="N1918"/>
    </x:row>
    <x:row r="1919">
      <x:c r="A1919" t="str">
        <x:v>DEU-001918</x:v>
      </x:c>
      <x:c r="B1919" t="str">
        <x:v>USR-00694</x:v>
      </x:c>
      <x:c r="C1919" t="n">
        <x:v>46204</x:v>
      </x:c>
      <x:c r="D1919" t="str">
        <x:v>Cooperativa C</x:v>
      </x:c>
      <x:c r="E1919" t="str">
        <x:v>Crédito de consumo</x:v>
      </x:c>
      <x:c r="F1919" t="n">
        <x:v>8100000</x:v>
      </x:c>
      <x:c r="G1919" s="40" t="n">
        <x:v>0.1444</x:v>
      </x:c>
      <x:c r="H1919" s="40" t="n">
        <x:v>0.011303</x:v>
      </x:c>
      <x:c r="I1919" t="n">
        <x:v>12</x:v>
      </x:c>
      <x:c r="J1919" t="n">
        <x:v>725600</x:v>
      </x:c>
      <x:c r="K1919" t="str">
        <x:v>Bola de nieve</x:v>
      </x:c>
      <x:c r="L1919" t="str">
        <x:v>Vigente</x:v>
      </x:c>
      <x:c r="M1919" t="n">
        <x:v>7050290.97</x:v>
      </x:c>
      <x:c r="N1919"/>
    </x:row>
    <x:row r="1920">
      <x:c r="A1920" t="str">
        <x:v>DEU-001919</x:v>
      </x:c>
      <x:c r="B1920" t="str">
        <x:v>USR-00732</x:v>
      </x:c>
      <x:c r="C1920" t="n">
        <x:v>46204</x:v>
      </x:c>
      <x:c r="D1920" t="str">
        <x:v>Financiera D</x:v>
      </x:c>
      <x:c r="E1920" t="str">
        <x:v>Tarjeta de crédito</x:v>
      </x:c>
      <x:c r="F1920" t="n">
        <x:v>2260000</x:v>
      </x:c>
      <x:c r="G1920" s="40" t="n">
        <x:v>0.1515</x:v>
      </x:c>
      <x:c r="H1920" s="40" t="n">
        <x:v>0.011825</x:v>
      </x:c>
      <x:c r="I1920" t="n">
        <x:v>30</x:v>
      </x:c>
      <x:c r="J1920" t="n">
        <x:v>89900</x:v>
      </x:c>
      <x:c r="K1920" t="str">
        <x:v>Avalancha</x:v>
      </x:c>
      <x:c r="L1920" t="str">
        <x:v>Vigente</x:v>
      </x:c>
      <x:c r="M1920" t="n">
        <x:v>2160260.98</x:v>
      </x:c>
      <x:c r="N1920"/>
    </x:row>
    <x:row r="1921">
      <x:c r="A1921" t="str">
        <x:v>DEU-001920</x:v>
      </x:c>
      <x:c r="B1921" t="str">
        <x:v>USR-00926</x:v>
      </x:c>
      <x:c r="C1921" t="n">
        <x:v>46204</x:v>
      </x:c>
      <x:c r="D1921" t="str">
        <x:v>Entidad financiera B</x:v>
      </x:c>
      <x:c r="E1921" t="str">
        <x:v>Crédito de consumo</x:v>
      </x:c>
      <x:c r="F1921" t="n">
        <x:v>3980000</x:v>
      </x:c>
      <x:c r="G1921" s="40" t="n">
        <x:v>0.2331</x:v>
      </x:c>
      <x:c r="H1921" s="40" t="n">
        <x:v>0.017614</x:v>
      </x:c>
      <x:c r="I1921" t="n">
        <x:v>30</x:v>
      </x:c>
      <x:c r="J1921" t="n">
        <x:v>171900</x:v>
      </x:c>
      <x:c r="K1921" t="str">
        <x:v>Avalancha</x:v>
      </x:c>
      <x:c r="L1921" t="str">
        <x:v>Vigente</x:v>
      </x:c>
      <x:c r="M1921" t="n">
        <x:v>3927078.85</x:v>
      </x:c>
      <x:c r="N1921"/>
    </x:row>
    <x:row r="1922">
      <x:c r="A1922" t="str">
        <x:v>DEU-001921</x:v>
      </x:c>
      <x:c r="B1922" t="str">
        <x:v>USR-00929</x:v>
      </x:c>
      <x:c r="C1922" t="n">
        <x:v>46204</x:v>
      </x:c>
      <x:c r="D1922" t="str">
        <x:v>Entidad financiera A</x:v>
      </x:c>
      <x:c r="E1922" t="str">
        <x:v>Crédito de libre inversión</x:v>
      </x:c>
      <x:c r="F1922" t="n">
        <x:v>15130000</x:v>
      </x:c>
      <x:c r="G1922" s="40" t="n">
        <x:v>0.1113</x:v>
      </x:c>
      <x:c r="H1922" s="40" t="n">
        <x:v>0.008833</x:v>
      </x:c>
      <x:c r="I1922" t="n">
        <x:v>36</x:v>
      </x:c>
      <x:c r="J1922" t="n">
        <x:v>492500</x:v>
      </x:c>
      <x:c r="K1922" t="str">
        <x:v>Avalancha</x:v>
      </x:c>
      <x:c r="L1922" t="str">
        <x:v>Vigente</x:v>
      </x:c>
      <x:c r="M1922" t="n">
        <x:v>13994164.36</x:v>
      </x:c>
      <x:c r="N1922"/>
    </x:row>
    <x:row r="1923">
      <x:c r="A1923" t="str">
        <x:v>DEU-001922</x:v>
      </x:c>
      <x:c r="B1923" t="str">
        <x:v>USR-00938</x:v>
      </x:c>
      <x:c r="C1923" t="n">
        <x:v>46204</x:v>
      </x:c>
      <x:c r="D1923" t="str">
        <x:v>Cooperativa C</x:v>
      </x:c>
      <x:c r="E1923" t="str">
        <x:v>Crédito de libre inversión</x:v>
      </x:c>
      <x:c r="F1923" t="n">
        <x:v>7510000</x:v>
      </x:c>
      <x:c r="G1923" s="40" t="n">
        <x:v>0.2945</x:v>
      </x:c>
      <x:c r="H1923" s="40" t="n">
        <x:v>0.021743</x:v>
      </x:c>
      <x:c r="I1923" t="n">
        <x:v>12</x:v>
      </x:c>
      <x:c r="J1923" t="n">
        <x:v>717800</x:v>
      </x:c>
      <x:c r="K1923" t="str">
        <x:v>Bola de nieve</x:v>
      </x:c>
      <x:c r="L1923" t="str">
        <x:v>Vigente</x:v>
      </x:c>
      <x:c r="M1923" t="n">
        <x:v>6543453.29</x:v>
      </x:c>
      <x:c r="N1923"/>
    </x:row>
    <x:row r="1924">
      <x:c r="A1924" t="str">
        <x:v>DEU-001923</x:v>
      </x:c>
      <x:c r="B1924" t="str">
        <x:v>USR-00981</x:v>
      </x:c>
      <x:c r="C1924" t="n">
        <x:v>46204</x:v>
      </x:c>
      <x:c r="D1924" t="str">
        <x:v>Entidad financiera E</x:v>
      </x:c>
      <x:c r="E1924" t="str">
        <x:v>Crédito de consumo</x:v>
      </x:c>
      <x:c r="F1924" t="n">
        <x:v>8360000</x:v>
      </x:c>
      <x:c r="G1924" s="40" t="n">
        <x:v>0.2856</x:v>
      </x:c>
      <x:c r="H1924" s="40" t="n">
        <x:v>0.021156</x:v>
      </x:c>
      <x:c r="I1924" t="n">
        <x:v>60</x:v>
      </x:c>
      <x:c r="J1924" t="n">
        <x:v>247300</x:v>
      </x:c>
      <x:c r="K1924" t="str">
        <x:v>Bola de nieve</x:v>
      </x:c>
      <x:c r="L1924" t="str">
        <x:v>Vigente</x:v>
      </x:c>
      <x:c r="M1924" t="n">
        <x:v>8017877.21</x:v>
      </x:c>
      <x:c r="N1924"/>
    </x:row>
    <x:row r="1925">
      <x:c r="A1925" t="str">
        <x:v>DEU-001924</x:v>
      </x:c>
      <x:c r="B1925" t="str">
        <x:v>USR-00981</x:v>
      </x:c>
      <x:c r="C1925" t="n">
        <x:v>46204</x:v>
      </x:c>
      <x:c r="D1925" t="str">
        <x:v>Cooperativa C</x:v>
      </x:c>
      <x:c r="E1925" t="str">
        <x:v>Tarjeta de crédito</x:v>
      </x:c>
      <x:c r="F1925" t="n">
        <x:v>8350000</x:v>
      </x:c>
      <x:c r="G1925" s="40" t="n">
        <x:v>0.2293</x:v>
      </x:c>
      <x:c r="H1925" s="40" t="n">
        <x:v>0.017353</x:v>
      </x:c>
      <x:c r="I1925" t="n">
        <x:v>18</x:v>
      </x:c>
      <x:c r="J1925" t="n">
        <x:v>544100</x:v>
      </x:c>
      <x:c r="K1925" t="str">
        <x:v>Bola de nieve</x:v>
      </x:c>
      <x:c r="L1925" t="str">
        <x:v>Vigente</x:v>
      </x:c>
      <x:c r="M1925" t="n">
        <x:v>7048464.16</x:v>
      </x:c>
      <x:c r="N1925"/>
    </x:row>
    <x:row r="1926">
      <x:c r="A1926" t="str">
        <x:v>DEU-001925</x:v>
      </x:c>
      <x:c r="B1926" t="str">
        <x:v>USR-00982</x:v>
      </x:c>
      <x:c r="C1926" t="n">
        <x:v>46204</x:v>
      </x:c>
      <x:c r="D1926" t="str">
        <x:v>Entidad financiera A</x:v>
      </x:c>
      <x:c r="E1926" t="str">
        <x:v>Tarjeta de crédito</x:v>
      </x:c>
      <x:c r="F1926" t="n">
        <x:v>4020000</x:v>
      </x:c>
      <x:c r="G1926" s="40" t="n">
        <x:v>0.228</x:v>
      </x:c>
      <x:c r="H1926" s="40" t="n">
        <x:v>0.017263</x:v>
      </x:c>
      <x:c r="I1926" t="n">
        <x:v>36</x:v>
      </x:c>
      <x:c r="J1926" t="n">
        <x:v>150900</x:v>
      </x:c>
      <x:c r="K1926" t="str">
        <x:v>Avalancha</x:v>
      </x:c>
      <x:c r="L1926" t="str">
        <x:v>Vigente</x:v>
      </x:c>
      <x:c r="M1926" t="n">
        <x:v>3779366.45</x:v>
      </x:c>
      <x:c r="N1926"/>
    </x:row>
    <x:row r="1927">
      <x:c r="A1927" t="str">
        <x:v>DEU-001926</x:v>
      </x:c>
      <x:c r="B1927" t="str">
        <x:v>USR-00982</x:v>
      </x:c>
      <x:c r="C1927" t="n">
        <x:v>46204</x:v>
      </x:c>
      <x:c r="D1927" t="str">
        <x:v>Entidad financiera B</x:v>
      </x:c>
      <x:c r="E1927" t="str">
        <x:v>Crédito de consumo</x:v>
      </x:c>
      <x:c r="F1927" t="n">
        <x:v>15150000</x:v>
      </x:c>
      <x:c r="G1927" s="40" t="n">
        <x:v>0.1923</x:v>
      </x:c>
      <x:c r="H1927" s="40" t="n">
        <x:v>0.014765</x:v>
      </x:c>
      <x:c r="I1927" t="n">
        <x:v>48</x:v>
      </x:c>
      <x:c r="J1927" t="n">
        <x:v>442800</x:v>
      </x:c>
      <x:c r="K1927" t="str">
        <x:v>Avalancha</x:v>
      </x:c>
      <x:c r="L1927" t="str">
        <x:v>Vigente</x:v>
      </x:c>
      <x:c r="M1927" t="n">
        <x:v>14805106.1</x:v>
      </x:c>
      <x:c r="N1927"/>
    </x:row>
    <x:row r="1928">
      <x:c r="A1928" t="str">
        <x:v>DEU-001927</x:v>
      </x:c>
      <x:c r="B1928" t="str">
        <x:v>USR-00983</x:v>
      </x:c>
      <x:c r="C1928" t="n">
        <x:v>46204</x:v>
      </x:c>
      <x:c r="D1928" t="str">
        <x:v>Cooperativa C</x:v>
      </x:c>
      <x:c r="E1928" t="str">
        <x:v>Crédito educativo</x:v>
      </x:c>
      <x:c r="F1928" t="n">
        <x:v>6180000</x:v>
      </x:c>
      <x:c r="G1928" s="40" t="n">
        <x:v>0.3029</x:v>
      </x:c>
      <x:c r="H1928" s="40" t="n">
        <x:v>0.022294</x:v>
      </x:c>
      <x:c r="I1928" t="n">
        <x:v>18</x:v>
      </x:c>
      <x:c r="J1928" t="n">
        <x:v>420600</x:v>
      </x:c>
      <x:c r="K1928" t="str">
        <x:v>Bola de nieve</x:v>
      </x:c>
      <x:c r="L1928" t="str">
        <x:v>Vigente</x:v>
      </x:c>
      <x:c r="M1928" t="n">
        <x:v>5819054.13</x:v>
      </x:c>
      <x:c r="N1928"/>
    </x:row>
    <x:row r="1929">
      <x:c r="A1929" t="str">
        <x:v>DEU-001928</x:v>
      </x:c>
      <x:c r="B1929" t="str">
        <x:v>USR-00983</x:v>
      </x:c>
      <x:c r="C1929" t="n">
        <x:v>46204</x:v>
      </x:c>
      <x:c r="D1929" t="str">
        <x:v>Entidad financiera B</x:v>
      </x:c>
      <x:c r="E1929" t="str">
        <x:v>Crédito de vehículo</x:v>
      </x:c>
      <x:c r="F1929" t="n">
        <x:v>17260000</x:v>
      </x:c>
      <x:c r="G1929" s="40" t="n">
        <x:v>0.21</x:v>
      </x:c>
      <x:c r="H1929" s="40" t="n">
        <x:v>0.016012</x:v>
      </x:c>
      <x:c r="I1929" t="n">
        <x:v>30</x:v>
      </x:c>
      <x:c r="J1929" t="n">
        <x:v>729000</x:v>
      </x:c>
      <x:c r="K1929" t="str">
        <x:v>Bola de nieve</x:v>
      </x:c>
      <x:c r="L1929" t="str">
        <x:v>Vigente</x:v>
      </x:c>
      <x:c r="M1929" t="n">
        <x:v>16632768.08</x:v>
      </x:c>
      <x:c r="N1929"/>
    </x:row>
    <x:row r="1930">
      <x:c r="A1930" t="str">
        <x:v>DEU-001929</x:v>
      </x:c>
      <x:c r="B1930" t="str">
        <x:v>USR-00984</x:v>
      </x:c>
      <x:c r="C1930" t="n">
        <x:v>46204</x:v>
      </x:c>
      <x:c r="D1930" t="str">
        <x:v>Entidad financiera E</x:v>
      </x:c>
      <x:c r="E1930" t="str">
        <x:v>Crédito de consumo</x:v>
      </x:c>
      <x:c r="F1930" t="n">
        <x:v>17650000</x:v>
      </x:c>
      <x:c r="G1930" s="40" t="n">
        <x:v>0.1854</x:v>
      </x:c>
      <x:c r="H1930" s="40" t="n">
        <x:v>0.014274</x:v>
      </x:c>
      <x:c r="I1930" t="n">
        <x:v>30</x:v>
      </x:c>
      <x:c r="J1930" t="n">
        <x:v>727400</x:v>
      </x:c>
      <x:c r="K1930" t="str">
        <x:v>Bola de nieve</x:v>
      </x:c>
      <x:c r="L1930" t="str">
        <x:v>Vigente</x:v>
      </x:c>
      <x:c r="M1930" t="n">
        <x:v>17099056.77</x:v>
      </x:c>
      <x:c r="N1930"/>
    </x:row>
    <x:row r="1931">
      <x:c r="A1931" t="str">
        <x:v>DEU-001930</x:v>
      </x:c>
      <x:c r="B1931" t="str">
        <x:v>USR-00984</x:v>
      </x:c>
      <x:c r="C1931" t="n">
        <x:v>46204</x:v>
      </x:c>
      <x:c r="D1931" t="str">
        <x:v>Cooperativa C</x:v>
      </x:c>
      <x:c r="E1931" t="str">
        <x:v>Crédito educativo</x:v>
      </x:c>
      <x:c r="F1931" t="n">
        <x:v>25640000</x:v>
      </x:c>
      <x:c r="G1931" s="40" t="n">
        <x:v>0.1362</x:v>
      </x:c>
      <x:c r="H1931" s="40" t="n">
        <x:v>0.010698</x:v>
      </x:c>
      <x:c r="I1931" t="n">
        <x:v>60</x:v>
      </x:c>
      <x:c r="J1931" t="n">
        <x:v>581300</x:v>
      </x:c>
      <x:c r="K1931" t="str">
        <x:v>Avalancha</x:v>
      </x:c>
      <x:c r="L1931" t="str">
        <x:v>Vigente</x:v>
      </x:c>
      <x:c r="M1931" t="n">
        <x:v>24856039.65</x:v>
      </x:c>
      <x:c r="N1931"/>
    </x:row>
    <x:row r="1932">
      <x:c r="A1932" t="str">
        <x:v>DEU-001931</x:v>
      </x:c>
      <x:c r="B1932" t="str">
        <x:v>USR-00985</x:v>
      </x:c>
      <x:c r="C1932" t="n">
        <x:v>46204</x:v>
      </x:c>
      <x:c r="D1932" t="str">
        <x:v>Entidad financiera A</x:v>
      </x:c>
      <x:c r="E1932" t="str">
        <x:v>Tarjeta de crédito</x:v>
      </x:c>
      <x:c r="F1932" t="n">
        <x:v>8440000</x:v>
      </x:c>
      <x:c r="G1932" s="40" t="n">
        <x:v>0.2858</x:v>
      </x:c>
      <x:c r="H1932" s="40" t="n">
        <x:v>0.021169</x:v>
      </x:c>
      <x:c r="I1932" t="n">
        <x:v>18</x:v>
      </x:c>
      <x:c r="J1932" t="n">
        <x:v>568800</x:v>
      </x:c>
      <x:c r="K1932" t="str">
        <x:v>Bola de nieve</x:v>
      </x:c>
      <x:c r="L1932" t="str">
        <x:v>Vigente</x:v>
      </x:c>
      <x:c r="M1932" t="n">
        <x:v>8674635.82</x:v>
      </x:c>
      <x:c r="N1932"/>
    </x:row>
    <x:row r="1933">
      <x:c r="A1933" t="str">
        <x:v>DEU-001932</x:v>
      </x:c>
      <x:c r="B1933" t="str">
        <x:v>USR-00985</x:v>
      </x:c>
      <x:c r="C1933" t="n">
        <x:v>46204</x:v>
      </x:c>
      <x:c r="D1933" t="str">
        <x:v>Entidad financiera A</x:v>
      </x:c>
      <x:c r="E1933" t="str">
        <x:v>Crédito de vehículo</x:v>
      </x:c>
      <x:c r="F1933" t="n">
        <x:v>41980000</x:v>
      </x:c>
      <x:c r="G1933" s="40" t="n">
        <x:v>0.2481</x:v>
      </x:c>
      <x:c r="H1933" s="40" t="n">
        <x:v>0.01864</x:v>
      </x:c>
      <x:c r="I1933" t="n">
        <x:v>12</x:v>
      </x:c>
      <x:c r="J1933" t="n">
        <x:v>3936500</x:v>
      </x:c>
      <x:c r="K1933" t="str">
        <x:v>Avalancha</x:v>
      </x:c>
      <x:c r="L1933" t="str">
        <x:v>Vigente</x:v>
      </x:c>
      <x:c r="M1933" t="n">
        <x:v>37137746.9</x:v>
      </x:c>
      <x:c r="N1933"/>
    </x:row>
    <x:row r="1934">
      <x:c r="A1934" t="str">
        <x:v>DEU-001933</x:v>
      </x:c>
      <x:c r="B1934" t="str">
        <x:v>USR-00986</x:v>
      </x:c>
      <x:c r="C1934" t="n">
        <x:v>46204</x:v>
      </x:c>
      <x:c r="D1934" t="str">
        <x:v>Entidad financiera A</x:v>
      </x:c>
      <x:c r="E1934" t="str">
        <x:v>Crédito de consumo</x:v>
      </x:c>
      <x:c r="F1934" t="n">
        <x:v>8420000</x:v>
      </x:c>
      <x:c r="G1934" s="40" t="n">
        <x:v>0.268</x:v>
      </x:c>
      <x:c r="H1934" s="40" t="n">
        <x:v>0.019984</x:v>
      </x:c>
      <x:c r="I1934" t="n">
        <x:v>24</x:v>
      </x:c>
      <x:c r="J1934" t="n">
        <x:v>445100</x:v>
      </x:c>
      <x:c r="K1934" t="str">
        <x:v>Bola de nieve</x:v>
      </x:c>
      <x:c r="L1934" t="str">
        <x:v>Vigente</x:v>
      </x:c>
      <x:c r="M1934" t="n">
        <x:v>8035850.66</x:v>
      </x:c>
      <x:c r="N1934"/>
    </x:row>
    <x:row r="1935">
      <x:c r="A1935" t="str">
        <x:v>DEU-001934</x:v>
      </x:c>
      <x:c r="B1935" t="str">
        <x:v>USR-00986</x:v>
      </x:c>
      <x:c r="C1935" t="n">
        <x:v>46204</x:v>
      </x:c>
      <x:c r="D1935" t="str">
        <x:v>Entidad financiera B</x:v>
      </x:c>
      <x:c r="E1935" t="str">
        <x:v>Crédito de libre inversión</x:v>
      </x:c>
      <x:c r="F1935" t="n">
        <x:v>7410000</x:v>
      </x:c>
      <x:c r="G1935" s="40" t="n">
        <x:v>0.2929</x:v>
      </x:c>
      <x:c r="H1935" s="40" t="n">
        <x:v>0.021638</x:v>
      </x:c>
      <x:c r="I1935" t="n">
        <x:v>30</x:v>
      </x:c>
      <x:c r="J1935" t="n">
        <x:v>338400</x:v>
      </x:c>
      <x:c r="K1935" t="str">
        <x:v>Bola de nieve</x:v>
      </x:c>
      <x:c r="L1935" t="str">
        <x:v>Vigente</x:v>
      </x:c>
      <x:c r="M1935" t="n">
        <x:v>6933337.6</x:v>
      </x:c>
      <x:c r="N1935"/>
    </x:row>
    <x:row r="1936">
      <x:c r="A1936" t="str">
        <x:v>DEU-001935</x:v>
      </x:c>
      <x:c r="B1936" t="str">
        <x:v>USR-00987</x:v>
      </x:c>
      <x:c r="C1936" t="n">
        <x:v>46204</x:v>
      </x:c>
      <x:c r="D1936" t="str">
        <x:v>Financiera D</x:v>
      </x:c>
      <x:c r="E1936" t="str">
        <x:v>Crédito de consumo</x:v>
      </x:c>
      <x:c r="F1936" t="n">
        <x:v>10010000</x:v>
      </x:c>
      <x:c r="G1936" s="40" t="n">
        <x:v>0.1782</x:v>
      </x:c>
      <x:c r="H1936" s="40" t="n">
        <x:v>0.013759</x:v>
      </x:c>
      <x:c r="I1936" t="n">
        <x:v>18</x:v>
      </x:c>
      <x:c r="J1936" t="n">
        <x:v>631600</x:v>
      </x:c>
      <x:c r="K1936" t="str">
        <x:v>Avalancha</x:v>
      </x:c>
      <x:c r="L1936" t="str">
        <x:v>Vigente</x:v>
      </x:c>
      <x:c r="M1936" t="n">
        <x:v>9481507.89</x:v>
      </x:c>
      <x:c r="N1936"/>
    </x:row>
    <x:row r="1937">
      <x:c r="A1937" t="str">
        <x:v>DEU-001936</x:v>
      </x:c>
      <x:c r="B1937" t="str">
        <x:v>USR-00987</x:v>
      </x:c>
      <x:c r="C1937" t="n">
        <x:v>46204</x:v>
      </x:c>
      <x:c r="D1937" t="str">
        <x:v>Cooperativa C</x:v>
      </x:c>
      <x:c r="E1937" t="str">
        <x:v>Tarjeta de crédito</x:v>
      </x:c>
      <x:c r="F1937" t="n">
        <x:v>6500000</x:v>
      </x:c>
      <x:c r="G1937" s="40" t="n">
        <x:v>0.2661</x:v>
      </x:c>
      <x:c r="H1937" s="40" t="n">
        <x:v>0.019856</x:v>
      </x:c>
      <x:c r="I1937" t="n">
        <x:v>48</x:v>
      </x:c>
      <x:c r="J1937" t="n">
        <x:v>211300</x:v>
      </x:c>
      <x:c r="K1937" t="str">
        <x:v>Bola de nieve</x:v>
      </x:c>
      <x:c r="L1937" t="str">
        <x:v>Vigente</x:v>
      </x:c>
      <x:c r="M1937" t="n">
        <x:v>6183066.81</x:v>
      </x:c>
      <x:c r="N1937"/>
    </x:row>
    <x:row r="1938">
      <x:c r="A1938" t="str">
        <x:v>DEU-001937</x:v>
      </x:c>
      <x:c r="B1938" t="str">
        <x:v>USR-00988</x:v>
      </x:c>
      <x:c r="C1938" t="n">
        <x:v>46204</x:v>
      </x:c>
      <x:c r="D1938" t="str">
        <x:v>Entidad financiera A</x:v>
      </x:c>
      <x:c r="E1938" t="str">
        <x:v>Crédito de consumo</x:v>
      </x:c>
      <x:c r="F1938" t="n">
        <x:v>3170000</x:v>
      </x:c>
      <x:c r="G1938" s="40" t="n">
        <x:v>0.2737</x:v>
      </x:c>
      <x:c r="H1938" s="40" t="n">
        <x:v>0.020365</x:v>
      </x:c>
      <x:c r="I1938" t="n">
        <x:v>30</x:v>
      </x:c>
      <x:c r="J1938" t="n">
        <x:v>142300</x:v>
      </x:c>
      <x:c r="K1938" t="str">
        <x:v>Avalancha</x:v>
      </x:c>
      <x:c r="L1938" t="str">
        <x:v>Vigente</x:v>
      </x:c>
      <x:c r="M1938" t="n">
        <x:v>2938756.37</x:v>
      </x:c>
      <x:c r="N1938"/>
    </x:row>
    <x:row r="1939">
      <x:c r="A1939" t="str">
        <x:v>DEU-001938</x:v>
      </x:c>
      <x:c r="B1939" t="str">
        <x:v>USR-00989</x:v>
      </x:c>
      <x:c r="C1939" t="n">
        <x:v>46204</x:v>
      </x:c>
      <x:c r="D1939" t="str">
        <x:v>Entidad financiera A</x:v>
      </x:c>
      <x:c r="E1939" t="str">
        <x:v>Crédito de vehículo</x:v>
      </x:c>
      <x:c r="F1939" t="n">
        <x:v>21190000</x:v>
      </x:c>
      <x:c r="G1939" s="40" t="n">
        <x:v>0.234</x:v>
      </x:c>
      <x:c r="H1939" s="40" t="n">
        <x:v>0.017676</x:v>
      </x:c>
      <x:c r="I1939" t="n">
        <x:v>36</x:v>
      </x:c>
      <x:c r="J1939" t="n">
        <x:v>800600</x:v>
      </x:c>
      <x:c r="K1939" t="str">
        <x:v>Bola de nieve</x:v>
      </x:c>
      <x:c r="L1939" t="str">
        <x:v>Vigente</x:v>
      </x:c>
      <x:c r="M1939" t="n">
        <x:v>19807593.99</x:v>
      </x:c>
      <x:c r="N1939"/>
    </x:row>
    <x:row r="1940">
      <x:c r="A1940" t="str">
        <x:v>DEU-001939</x:v>
      </x:c>
      <x:c r="B1940" t="str">
        <x:v>USR-00989</x:v>
      </x:c>
      <x:c r="C1940" t="n">
        <x:v>46204</x:v>
      </x:c>
      <x:c r="D1940" t="str">
        <x:v>Entidad financiera A</x:v>
      </x:c>
      <x:c r="E1940" t="str">
        <x:v>Crédito de libre inversión</x:v>
      </x:c>
      <x:c r="F1940" t="n">
        <x:v>19910000</x:v>
      </x:c>
      <x:c r="G1940" s="40" t="n">
        <x:v>0.1068</x:v>
      </x:c>
      <x:c r="H1940" s="40" t="n">
        <x:v>0.008492</x:v>
      </x:c>
      <x:c r="I1940" t="n">
        <x:v>30</x:v>
      </x:c>
      <x:c r="J1940" t="n">
        <x:v>754600</x:v>
      </x:c>
      <x:c r="K1940" t="str">
        <x:v>Bola de nieve</x:v>
      </x:c>
      <x:c r="L1940" t="str">
        <x:v>Vigente</x:v>
      </x:c>
      <x:c r="M1940" t="n">
        <x:v>18942673.43</x:v>
      </x:c>
      <x:c r="N1940"/>
    </x:row>
    <x:row r="1941">
      <x:c r="A1941" t="str">
        <x:v>DEU-001940</x:v>
      </x:c>
      <x:c r="B1941" t="str">
        <x:v>USR-00990</x:v>
      </x:c>
      <x:c r="C1941" t="n">
        <x:v>46204</x:v>
      </x:c>
      <x:c r="D1941" t="str">
        <x:v>Entidad financiera E</x:v>
      </x:c>
      <x:c r="E1941" t="str">
        <x:v>Tarjeta de crédito</x:v>
      </x:c>
      <x:c r="F1941" t="n">
        <x:v>3030000</x:v>
      </x:c>
      <x:c r="G1941" s="40" t="n">
        <x:v>0.1897</x:v>
      </x:c>
      <x:c r="H1941" s="40" t="n">
        <x:v>0.01458</x:v>
      </x:c>
      <x:c r="I1941" t="n">
        <x:v>48</x:v>
      </x:c>
      <x:c r="J1941" t="n">
        <x:v>88200</x:v>
      </x:c>
      <x:c r="K1941" t="str">
        <x:v>Bola de nieve</x:v>
      </x:c>
      <x:c r="L1941" t="str">
        <x:v>Vigente</x:v>
      </x:c>
      <x:c r="M1941" t="n">
        <x:v>3002057.27</x:v>
      </x:c>
      <x:c r="N1941"/>
    </x:row>
    <x:row r="1942">
      <x:c r="A1942" t="str">
        <x:v>DEU-001941</x:v>
      </x:c>
      <x:c r="B1942" t="str">
        <x:v>USR-00990</x:v>
      </x:c>
      <x:c r="C1942" t="n">
        <x:v>46204</x:v>
      </x:c>
      <x:c r="D1942" t="str">
        <x:v>Entidad financiera A</x:v>
      </x:c>
      <x:c r="E1942" t="str">
        <x:v>Crédito de vehículo</x:v>
      </x:c>
      <x:c r="F1942" t="n">
        <x:v>13380000</x:v>
      </x:c>
      <x:c r="G1942" s="40" t="n">
        <x:v>0.2551</x:v>
      </x:c>
      <x:c r="H1942" s="40" t="n">
        <x:v>0.019115</x:v>
      </x:c>
      <x:c r="I1942" t="n">
        <x:v>30</x:v>
      </x:c>
      <x:c r="J1942" t="n">
        <x:v>590200</x:v>
      </x:c>
      <x:c r="K1942" t="str">
        <x:v>Avalancha</x:v>
      </x:c>
      <x:c r="L1942" t="str">
        <x:v>Vigente</x:v>
      </x:c>
      <x:c r="M1942" t="n">
        <x:v>13470362.71</x:v>
      </x:c>
      <x:c r="N1942"/>
    </x:row>
    <x:row r="1943">
      <x:c r="A1943" t="str">
        <x:v>DEU-001942</x:v>
      </x:c>
      <x:c r="B1943" t="str">
        <x:v>USR-00991</x:v>
      </x:c>
      <x:c r="C1943" t="n">
        <x:v>46204</x:v>
      </x:c>
      <x:c r="D1943" t="str">
        <x:v>Entidad financiera B</x:v>
      </x:c>
      <x:c r="E1943" t="str">
        <x:v>Crédito de consumo</x:v>
      </x:c>
      <x:c r="F1943" t="n">
        <x:v>6900000</x:v>
      </x:c>
      <x:c r="G1943" s="40" t="n">
        <x:v>0.1529</x:v>
      </x:c>
      <x:c r="H1943" s="40" t="n">
        <x:v>0.011927</x:v>
      </x:c>
      <x:c r="I1943" t="n">
        <x:v>60</x:v>
      </x:c>
      <x:c r="J1943" t="n">
        <x:v>161700</x:v>
      </x:c>
      <x:c r="K1943" t="str">
        <x:v>Bola de nieve</x:v>
      </x:c>
      <x:c r="L1943" t="str">
        <x:v>Vigente</x:v>
      </x:c>
      <x:c r="M1943" t="n">
        <x:v>6988151.15</x:v>
      </x:c>
      <x:c r="N1943"/>
    </x:row>
    <x:row r="1944">
      <x:c r="A1944" t="str">
        <x:v>DEU-001943</x:v>
      </x:c>
      <x:c r="B1944" t="str">
        <x:v>USR-00992</x:v>
      </x:c>
      <x:c r="C1944" t="n">
        <x:v>46204</x:v>
      </x:c>
      <x:c r="D1944" t="str">
        <x:v>Entidad financiera E</x:v>
      </x:c>
      <x:c r="E1944" t="str">
        <x:v>Crédito de consumo</x:v>
      </x:c>
      <x:c r="F1944" t="n">
        <x:v>11900000</x:v>
      </x:c>
      <x:c r="G1944" s="40" t="n">
        <x:v>0.2801</x:v>
      </x:c>
      <x:c r="H1944" s="40" t="n">
        <x:v>0.020791</x:v>
      </x:c>
      <x:c r="I1944" t="n">
        <x:v>30</x:v>
      </x:c>
      <x:c r="J1944" t="n">
        <x:v>537100</x:v>
      </x:c>
      <x:c r="K1944" t="str">
        <x:v>Bola de nieve</x:v>
      </x:c>
      <x:c r="L1944" t="str">
        <x:v>Vigente</x:v>
      </x:c>
      <x:c r="M1944" t="n">
        <x:v>11175496.99</x:v>
      </x:c>
      <x:c r="N1944"/>
    </x:row>
    <x:row r="1945">
      <x:c r="A1945" t="str">
        <x:v>DEU-001944</x:v>
      </x:c>
      <x:c r="B1945" t="str">
        <x:v>USR-00993</x:v>
      </x:c>
      <x:c r="C1945" t="n">
        <x:v>46204</x:v>
      </x:c>
      <x:c r="D1945" t="str">
        <x:v>Entidad financiera A</x:v>
      </x:c>
      <x:c r="E1945" t="str">
        <x:v>Tarjeta de crédito</x:v>
      </x:c>
      <x:c r="F1945" t="n">
        <x:v>7910000</x:v>
      </x:c>
      <x:c r="G1945" s="40" t="n">
        <x:v>0.2622</x:v>
      </x:c>
      <x:c r="H1945" s="40" t="n">
        <x:v>0.019594</x:v>
      </x:c>
      <x:c r="I1945" t="n">
        <x:v>30</x:v>
      </x:c>
      <x:c r="J1945" t="n">
        <x:v>351200</x:v>
      </x:c>
      <x:c r="K1945" t="str">
        <x:v>Avalancha</x:v>
      </x:c>
      <x:c r="L1945" t="str">
        <x:v>Vigente</x:v>
      </x:c>
      <x:c r="M1945" t="n">
        <x:v>7896788.78</x:v>
      </x:c>
      <x:c r="N1945"/>
    </x:row>
    <x:row r="1946">
      <x:c r="A1946" t="str">
        <x:v>DEU-001945</x:v>
      </x:c>
      <x:c r="B1946" t="str">
        <x:v>USR-00994</x:v>
      </x:c>
      <x:c r="C1946" t="n">
        <x:v>46204</x:v>
      </x:c>
      <x:c r="D1946" t="str">
        <x:v>Entidad financiera E</x:v>
      </x:c>
      <x:c r="E1946" t="str">
        <x:v>Crédito comercial</x:v>
      </x:c>
      <x:c r="F1946" t="n">
        <x:v>19510000</x:v>
      </x:c>
      <x:c r="G1946" s="40" t="n">
        <x:v>0.146</x:v>
      </x:c>
      <x:c r="H1946" s="40" t="n">
        <x:v>0.011421</x:v>
      </x:c>
      <x:c r="I1946" t="n">
        <x:v>12</x:v>
      </x:c>
      <x:c r="J1946" t="n">
        <x:v>1749000</x:v>
      </x:c>
      <x:c r="K1946" t="str">
        <x:v>Avalancha</x:v>
      </x:c>
      <x:c r="L1946" t="str">
        <x:v>Vigente</x:v>
      </x:c>
      <x:c r="M1946" t="n">
        <x:v>16385667.15</x:v>
      </x:c>
      <x:c r="N1946"/>
    </x:row>
    <x:row r="1947">
      <x:c r="A1947" t="str">
        <x:v>DEU-001946</x:v>
      </x:c>
      <x:c r="B1947" t="str">
        <x:v>USR-00994</x:v>
      </x:c>
      <x:c r="C1947" t="n">
        <x:v>46204</x:v>
      </x:c>
      <x:c r="D1947" t="str">
        <x:v>Entidad financiera E</x:v>
      </x:c>
      <x:c r="E1947" t="str">
        <x:v>Tarjeta de crédito</x:v>
      </x:c>
      <x:c r="F1947" t="n">
        <x:v>4540000</x:v>
      </x:c>
      <x:c r="G1947" s="40" t="n">
        <x:v>0.1138</x:v>
      </x:c>
      <x:c r="H1947" s="40" t="n">
        <x:v>0.009022</x:v>
      </x:c>
      <x:c r="I1947" t="n">
        <x:v>12</x:v>
      </x:c>
      <x:c r="J1947" t="n">
        <x:v>400900</x:v>
      </x:c>
      <x:c r="K1947" t="str">
        <x:v>Avalancha</x:v>
      </x:c>
      <x:c r="L1947" t="str">
        <x:v>Vigente</x:v>
      </x:c>
      <x:c r="M1947" t="n">
        <x:v>3185630.87</x:v>
      </x:c>
      <x:c r="N1947"/>
    </x:row>
    <x:row r="1948">
      <x:c r="A1948" t="str">
        <x:v>DEU-001947</x:v>
      </x:c>
      <x:c r="B1948" t="str">
        <x:v>USR-00995</x:v>
      </x:c>
      <x:c r="C1948" t="n">
        <x:v>46204</x:v>
      </x:c>
      <x:c r="D1948" t="str">
        <x:v>Entidad financiera A</x:v>
      </x:c>
      <x:c r="E1948" t="str">
        <x:v>Tarjeta de crédito</x:v>
      </x:c>
      <x:c r="F1948" t="n">
        <x:v>6440000</x:v>
      </x:c>
      <x:c r="G1948" s="40" t="n">
        <x:v>0.1497</x:v>
      </x:c>
      <x:c r="H1948" s="40" t="n">
        <x:v>0.011693</x:v>
      </x:c>
      <x:c r="I1948" t="n">
        <x:v>24</x:v>
      </x:c>
      <x:c r="J1948" t="n">
        <x:v>309300</x:v>
      </x:c>
      <x:c r="K1948" t="str">
        <x:v>Bola de nieve</x:v>
      </x:c>
      <x:c r="L1948" t="str">
        <x:v>Vigente</x:v>
      </x:c>
      <x:c r="M1948" t="n">
        <x:v>5948792.06</x:v>
      </x:c>
      <x:c r="N1948"/>
    </x:row>
    <x:row r="1949">
      <x:c r="A1949" t="str">
        <x:v>DEU-001948</x:v>
      </x:c>
      <x:c r="B1949" t="str">
        <x:v>USR-00996</x:v>
      </x:c>
      <x:c r="C1949" t="n">
        <x:v>46204</x:v>
      </x:c>
      <x:c r="D1949" t="str">
        <x:v>Financiera D</x:v>
      </x:c>
      <x:c r="E1949" t="str">
        <x:v>Crédito comercial</x:v>
      </x:c>
      <x:c r="F1949" t="n">
        <x:v>23840000</x:v>
      </x:c>
      <x:c r="G1949" s="40" t="n">
        <x:v>0.1072</x:v>
      </x:c>
      <x:c r="H1949" s="40" t="n">
        <x:v>0.008522</x:v>
      </x:c>
      <x:c r="I1949" t="n">
        <x:v>24</x:v>
      </x:c>
      <x:c r="J1949" t="n">
        <x:v>1102600</x:v>
      </x:c>
      <x:c r="K1949" t="str">
        <x:v>Avalancha</x:v>
      </x:c>
      <x:c r="L1949" t="str">
        <x:v>Vigente</x:v>
      </x:c>
      <x:c r="M1949" t="n">
        <x:v>22062419.61</x:v>
      </x:c>
      <x:c r="N1949"/>
    </x:row>
    <x:row r="1950">
      <x:c r="A1950" t="str">
        <x:v>DEU-001949</x:v>
      </x:c>
      <x:c r="B1950" t="str">
        <x:v>USR-00996</x:v>
      </x:c>
      <x:c r="C1950" t="n">
        <x:v>46204</x:v>
      </x:c>
      <x:c r="D1950" t="str">
        <x:v>Entidad financiera A</x:v>
      </x:c>
      <x:c r="E1950" t="str">
        <x:v>Crédito de libre inversión</x:v>
      </x:c>
      <x:c r="F1950" t="n">
        <x:v>19400000</x:v>
      </x:c>
      <x:c r="G1950" s="40" t="n">
        <x:v>0.3146</x:v>
      </x:c>
      <x:c r="H1950" s="40" t="n">
        <x:v>0.023056</x:v>
      </x:c>
      <x:c r="I1950" t="n">
        <x:v>12</x:v>
      </x:c>
      <x:c r="J1950" t="n">
        <x:v>1869100</x:v>
      </x:c>
      <x:c r="K1950" t="str">
        <x:v>Bola de nieve</x:v>
      </x:c>
      <x:c r="L1950" t="str">
        <x:v>Vigente</x:v>
      </x:c>
      <x:c r="M1950" t="n">
        <x:v>15628934.7</x:v>
      </x:c>
      <x:c r="N1950"/>
    </x:row>
    <x:row r="1951">
      <x:c r="A1951" t="str">
        <x:v>DEU-001950</x:v>
      </x:c>
      <x:c r="B1951" t="str">
        <x:v>USR-00997</x:v>
      </x:c>
      <x:c r="C1951" t="n">
        <x:v>46204</x:v>
      </x:c>
      <x:c r="D1951" t="str">
        <x:v>Entidad financiera B</x:v>
      </x:c>
      <x:c r="E1951" t="str">
        <x:v>Tarjeta de crédito</x:v>
      </x:c>
      <x:c r="F1951" t="n">
        <x:v>5620000</x:v>
      </x:c>
      <x:c r="G1951" s="40" t="n">
        <x:v>0.137</x:v>
      </x:c>
      <x:c r="H1951" s="40" t="n">
        <x:v>0.010757</x:v>
      </x:c>
      <x:c r="I1951" t="n">
        <x:v>30</x:v>
      </x:c>
      <x:c r="J1951" t="n">
        <x:v>220200</x:v>
      </x:c>
      <x:c r="K1951" t="str">
        <x:v>Avalancha</x:v>
      </x:c>
      <x:c r="L1951" t="str">
        <x:v>Vigente</x:v>
      </x:c>
      <x:c r="M1951" t="n">
        <x:v>5327550.18</x:v>
      </x:c>
      <x:c r="N1951"/>
    </x:row>
    <x:row r="1952">
      <x:c r="A1952" t="str">
        <x:v>DEU-001951</x:v>
      </x:c>
      <x:c r="B1952" t="str">
        <x:v>USR-00998</x:v>
      </x:c>
      <x:c r="C1952" t="n">
        <x:v>46204</x:v>
      </x:c>
      <x:c r="D1952" t="str">
        <x:v>Entidad financiera B</x:v>
      </x:c>
      <x:c r="E1952" t="str">
        <x:v>Crédito de consumo</x:v>
      </x:c>
      <x:c r="F1952" t="n">
        <x:v>14150000</x:v>
      </x:c>
      <x:c r="G1952" s="40" t="n">
        <x:v>0.2795</x:v>
      </x:c>
      <x:c r="H1952" s="40" t="n">
        <x:v>0.020751</x:v>
      </x:c>
      <x:c r="I1952" t="n">
        <x:v>48</x:v>
      </x:c>
      <x:c r="J1952" t="n">
        <x:v>468400</x:v>
      </x:c>
      <x:c r="K1952" t="str">
        <x:v>Bola de nieve</x:v>
      </x:c>
      <x:c r="L1952" t="str">
        <x:v>Vigente</x:v>
      </x:c>
      <x:c r="M1952" t="n">
        <x:v>13956294.85</x:v>
      </x:c>
      <x:c r="N1952"/>
    </x:row>
    <x:row r="1953">
      <x:c r="A1953" t="str">
        <x:v>DEU-001952</x:v>
      </x:c>
      <x:c r="B1953" t="str">
        <x:v>USR-00998</x:v>
      </x:c>
      <x:c r="C1953" t="n">
        <x:v>46204</x:v>
      </x:c>
      <x:c r="D1953" t="str">
        <x:v>Cooperativa C</x:v>
      </x:c>
      <x:c r="E1953" t="str">
        <x:v>Crédito de consumo</x:v>
      </x:c>
      <x:c r="F1953" t="n">
        <x:v>13480000</x:v>
      </x:c>
      <x:c r="G1953" s="40" t="n">
        <x:v>0.2826</x:v>
      </x:c>
      <x:c r="H1953" s="40" t="n">
        <x:v>0.020957</x:v>
      </x:c>
      <x:c r="I1953" t="n">
        <x:v>60</x:v>
      </x:c>
      <x:c r="J1953" t="n">
        <x:v>396800</x:v>
      </x:c>
      <x:c r="K1953" t="str">
        <x:v>Avalancha</x:v>
      </x:c>
      <x:c r="L1953" t="str">
        <x:v>Vigente</x:v>
      </x:c>
      <x:c r="M1953" t="n">
        <x:v>13703949.41</x:v>
      </x:c>
      <x:c r="N1953"/>
    </x:row>
    <x:row r="1954">
      <x:c r="A1954" t="str">
        <x:v>DEU-001953</x:v>
      </x:c>
      <x:c r="B1954" t="str">
        <x:v>USR-00999</x:v>
      </x:c>
      <x:c r="C1954" t="n">
        <x:v>46204</x:v>
      </x:c>
      <x:c r="D1954" t="str">
        <x:v>Cooperativa C</x:v>
      </x:c>
      <x:c r="E1954" t="str">
        <x:v>Crédito de consumo</x:v>
      </x:c>
      <x:c r="F1954" t="n">
        <x:v>3290000</x:v>
      </x:c>
      <x:c r="G1954" s="40" t="n">
        <x:v>0.179</x:v>
      </x:c>
      <x:c r="H1954" s="40" t="n">
        <x:v>0.013817</x:v>
      </x:c>
      <x:c r="I1954" t="n">
        <x:v>24</x:v>
      </x:c>
      <x:c r="J1954" t="n">
        <x:v>162000</x:v>
      </x:c>
      <x:c r="K1954" t="str">
        <x:v>Bola de nieve</x:v>
      </x:c>
      <x:c r="L1954" t="str">
        <x:v>Vigente</x:v>
      </x:c>
      <x:c r="M1954" t="n">
        <x:v>3072883.08</x:v>
      </x:c>
      <x:c r="N1954"/>
    </x:row>
    <x:row r="1955">
      <x:c r="A1955" t="str">
        <x:v>DEU-001954</x:v>
      </x:c>
      <x:c r="B1955" t="str">
        <x:v>USR-00999</x:v>
      </x:c>
      <x:c r="C1955" t="n">
        <x:v>46204</x:v>
      </x:c>
      <x:c r="D1955" t="str">
        <x:v>Financiera D</x:v>
      </x:c>
      <x:c r="E1955" t="str">
        <x:v>Tarjeta de crédito</x:v>
      </x:c>
      <x:c r="F1955" t="n">
        <x:v>3030000</x:v>
      </x:c>
      <x:c r="G1955" s="40" t="n">
        <x:v>0.1142</x:v>
      </x:c>
      <x:c r="H1955" s="40" t="n">
        <x:v>0.009052</x:v>
      </x:c>
      <x:c r="I1955" t="n">
        <x:v>48</x:v>
      </x:c>
      <x:c r="J1955" t="n">
        <x:v>78100</x:v>
      </x:c>
      <x:c r="K1955" t="str">
        <x:v>Bola de nieve</x:v>
      </x:c>
      <x:c r="L1955" t="str">
        <x:v>Vigente</x:v>
      </x:c>
      <x:c r="M1955" t="n">
        <x:v>2887984.79</x:v>
      </x:c>
      <x:c r="N1955"/>
    </x:row>
    <x:row r="1956">
      <x:c r="A1956" t="str">
        <x:v>DEU-001955</x:v>
      </x:c>
      <x:c r="B1956" t="str">
        <x:v>USR-01000</x:v>
      </x:c>
      <x:c r="C1956" t="n">
        <x:v>46204</x:v>
      </x:c>
      <x:c r="D1956" t="str">
        <x:v>Financiera D</x:v>
      </x:c>
      <x:c r="E1956" t="str">
        <x:v>Tarjeta de crédito</x:v>
      </x:c>
      <x:c r="F1956" t="n">
        <x:v>2130000</x:v>
      </x:c>
      <x:c r="G1956" s="40" t="n">
        <x:v>0.1439</x:v>
      </x:c>
      <x:c r="H1956" s="40" t="n">
        <x:v>0.011267</x:v>
      </x:c>
      <x:c r="I1956" t="n">
        <x:v>12</x:v>
      </x:c>
      <x:c r="J1956" t="n">
        <x:v>190800</x:v>
      </x:c>
      <x:c r="K1956" t="str">
        <x:v>Avalancha</x:v>
      </x:c>
      <x:c r="L1956" t="str">
        <x:v>Vigente</x:v>
      </x:c>
      <x:c r="M1956" t="n">
        <x:v>1717172.86</x:v>
      </x:c>
      <x:c r="N1956"/>
    </x:row>
    <x:row r="1957">
      <x:c r="A1957" t="str">
        <x:v>DEU-001956</x:v>
      </x:c>
      <x:c r="B1957" t="str">
        <x:v>USR-01000</x:v>
      </x:c>
      <x:c r="C1957" t="n">
        <x:v>46204</x:v>
      </x:c>
      <x:c r="D1957" t="str">
        <x:v>Cooperativa C</x:v>
      </x:c>
      <x:c r="E1957" t="str">
        <x:v>Crédito de consumo</x:v>
      </x:c>
      <x:c r="F1957" t="n">
        <x:v>4510000</x:v>
      </x:c>
      <x:c r="G1957" s="40" t="n">
        <x:v>0.1468</x:v>
      </x:c>
      <x:c r="H1957" s="40" t="n">
        <x:v>0.01148</x:v>
      </x:c>
      <x:c r="I1957" t="n">
        <x:v>48</x:v>
      </x:c>
      <x:c r="J1957" t="n">
        <x:v>122700</x:v>
      </x:c>
      <x:c r="K1957" t="str">
        <x:v>Bola de nieve</x:v>
      </x:c>
      <x:c r="L1957" t="str">
        <x:v>Vigente</x:v>
      </x:c>
      <x:c r="M1957" t="n">
        <x:v>4349972.6</x:v>
      </x:c>
      <x:c r="N1957"/>
    </x:row>
    <x:row r="1958">
      <x:c r="A1958" t="str">
        <x:v>DEU-001957</x:v>
      </x:c>
      <x:c r="B1958" t="str">
        <x:v>USR-01000</x:v>
      </x:c>
      <x:c r="C1958" t="n">
        <x:v>46204</x:v>
      </x:c>
      <x:c r="D1958" t="str">
        <x:v>Cooperativa C</x:v>
      </x:c>
      <x:c r="E1958" t="str">
        <x:v>Crédito de vehículo</x:v>
      </x:c>
      <x:c r="F1958" t="n">
        <x:v>21930000</x:v>
      </x:c>
      <x:c r="G1958" s="40" t="n">
        <x:v>0.16</x:v>
      </x:c>
      <x:c r="H1958" s="40" t="n">
        <x:v>0.012445</x:v>
      </x:c>
      <x:c r="I1958" t="n">
        <x:v>24</x:v>
      </x:c>
      <x:c r="J1958" t="n">
        <x:v>1062600</x:v>
      </x:c>
      <x:c r="K1958" t="str">
        <x:v>Bola de nieve</x:v>
      </x:c>
      <x:c r="L1958" t="str">
        <x:v>Vigente</x:v>
      </x:c>
      <x:c r="M1958" t="n">
        <x:v>20607184.56</x:v>
      </x:c>
      <x:c r="N1958"/>
    </x:row>
    <x:row r="1959">
      <x:c r="A1959" t="str">
        <x:v>DEU-001958</x:v>
      </x:c>
      <x:c r="B1959" t="str">
        <x:v>USR-01000</x:v>
      </x:c>
      <x:c r="C1959" t="n">
        <x:v>46204</x:v>
      </x:c>
      <x:c r="D1959" t="str">
        <x:v>Cooperativa C</x:v>
      </x:c>
      <x:c r="E1959" t="str">
        <x:v>Crédito educativo</x:v>
      </x:c>
      <x:c r="F1959" t="n">
        <x:v>3410000</x:v>
      </x:c>
      <x:c r="G1959" s="40" t="n">
        <x:v>0.1955</x:v>
      </x:c>
      <x:c r="H1959" s="40" t="n">
        <x:v>0.014992</x:v>
      </x:c>
      <x:c r="I1959" t="n">
        <x:v>48</x:v>
      </x:c>
      <x:c r="J1959" t="n">
        <x:v>100200</x:v>
      </x:c>
      <x:c r="K1959" t="str">
        <x:v>Avalancha</x:v>
      </x:c>
      <x:c r="L1959" t="str">
        <x:v>Vigente</x:v>
      </x:c>
      <x:c r="M1959" t="n">
        <x:v>3245093.02</x:v>
      </x:c>
      <x:c r="N1959"/>
    </x:row>
    <x:row r="1960">
      <x:c r="A1960" t="str">
        <x:v>DEU-001959</x:v>
      </x:c>
      <x:c r="B1960" t="str">
        <x:v>USR-01001</x:v>
      </x:c>
      <x:c r="C1960" t="n">
        <x:v>46204</x:v>
      </x:c>
      <x:c r="D1960" t="str">
        <x:v>Financiera D</x:v>
      </x:c>
      <x:c r="E1960" t="str">
        <x:v>Crédito de libre inversión</x:v>
      </x:c>
      <x:c r="F1960" t="n">
        <x:v>11910000</x:v>
      </x:c>
      <x:c r="G1960" s="40" t="n">
        <x:v>0.1703</x:v>
      </x:c>
      <x:c r="H1960" s="40" t="n">
        <x:v>0.013191</x:v>
      </x:c>
      <x:c r="I1960" t="n">
        <x:v>48</x:v>
      </x:c>
      <x:c r="J1960" t="n">
        <x:v>336500</x:v>
      </x:c>
      <x:c r="K1960" t="str">
        <x:v>Bola de nieve</x:v>
      </x:c>
      <x:c r="L1960" t="str">
        <x:v>Vigente</x:v>
      </x:c>
      <x:c r="M1960" t="n">
        <x:v>11382614.29</x:v>
      </x:c>
      <x:c r="N1960"/>
    </x:row>
    <x:row r="1961">
      <x:c r="A1961" t="str">
        <x:v>DEU-001960</x:v>
      </x:c>
      <x:c r="B1961" t="str">
        <x:v>USR-01001</x:v>
      </x:c>
      <x:c r="C1961" t="n">
        <x:v>46204</x:v>
      </x:c>
      <x:c r="D1961" t="str">
        <x:v>Entidad financiera B</x:v>
      </x:c>
      <x:c r="E1961" t="str">
        <x:v>Crédito de vehículo</x:v>
      </x:c>
      <x:c r="F1961" t="n">
        <x:v>26880000</x:v>
      </x:c>
      <x:c r="G1961" s="40" t="n">
        <x:v>0.2883</x:v>
      </x:c>
      <x:c r="H1961" s="40" t="n">
        <x:v>0.021335</x:v>
      </x:c>
      <x:c r="I1961" t="n">
        <x:v>18</x:v>
      </x:c>
      <x:c r="J1961" t="n">
        <x:v>1814100</x:v>
      </x:c>
      <x:c r="K1961" t="str">
        <x:v>Avalancha</x:v>
      </x:c>
      <x:c r="L1961" t="str">
        <x:v>Vigente</x:v>
      </x:c>
      <x:c r="M1961" t="n">
        <x:v>27639595.41</x:v>
      </x:c>
      <x:c r="N1961"/>
    </x:row>
    <x:row r="1962">
      <x:c r="A1962" t="str">
        <x:v>DEU-001961</x:v>
      </x:c>
      <x:c r="B1962" t="str">
        <x:v>USR-01001</x:v>
      </x:c>
      <x:c r="C1962" t="n">
        <x:v>46204</x:v>
      </x:c>
      <x:c r="D1962" t="str">
        <x:v>Cooperativa C</x:v>
      </x:c>
      <x:c r="E1962" t="str">
        <x:v>Crédito de libre inversión</x:v>
      </x:c>
      <x:c r="F1962" t="n">
        <x:v>1610000</x:v>
      </x:c>
      <x:c r="G1962" s="40" t="n">
        <x:v>0.1605</x:v>
      </x:c>
      <x:c r="H1962" s="40" t="n">
        <x:v>0.012481</x:v>
      </x:c>
      <x:c r="I1962" t="n">
        <x:v>12</x:v>
      </x:c>
      <x:c r="J1962" t="n">
        <x:v>145300</x:v>
      </x:c>
      <x:c r="K1962" t="str">
        <x:v>Bola de nieve</x:v>
      </x:c>
      <x:c r="L1962" t="str">
        <x:v>Vigente</x:v>
      </x:c>
      <x:c r="M1962" t="n">
        <x:v>1385655.56</x:v>
      </x:c>
      <x:c r="N1962"/>
    </x:row>
    <x:row r="1963">
      <x:c r="A1963" t="str">
        <x:v>DEU-001962</x:v>
      </x:c>
      <x:c r="B1963" t="str">
        <x:v>USR-01002</x:v>
      </x:c>
      <x:c r="C1963" t="n">
        <x:v>46204</x:v>
      </x:c>
      <x:c r="D1963" t="str">
        <x:v>Cooperativa C</x:v>
      </x:c>
      <x:c r="E1963" t="str">
        <x:v>Crédito de consumo</x:v>
      </x:c>
      <x:c r="F1963" t="n">
        <x:v>13090000</x:v>
      </x:c>
      <x:c r="G1963" s="40" t="n">
        <x:v>0.1914</x:v>
      </x:c>
      <x:c r="H1963" s="40" t="n">
        <x:v>0.014701</x:v>
      </x:c>
      <x:c r="I1963" t="n">
        <x:v>60</x:v>
      </x:c>
      <x:c r="J1963" t="n">
        <x:v>329900</x:v>
      </x:c>
      <x:c r="K1963" t="str">
        <x:v>Avalancha</x:v>
      </x:c>
      <x:c r="L1963" t="str">
        <x:v>Vigente</x:v>
      </x:c>
      <x:c r="M1963" t="n">
        <x:v>13345941.08</x:v>
      </x:c>
      <x:c r="N1963"/>
    </x:row>
    <x:row r="1964">
      <x:c r="A1964" t="str">
        <x:v>DEU-001963</x:v>
      </x:c>
      <x:c r="B1964" t="str">
        <x:v>USR-01003</x:v>
      </x:c>
      <x:c r="C1964" t="n">
        <x:v>46204</x:v>
      </x:c>
      <x:c r="D1964" t="str">
        <x:v>Entidad financiera B</x:v>
      </x:c>
      <x:c r="E1964" t="str">
        <x:v>Tarjeta de crédito</x:v>
      </x:c>
      <x:c r="F1964" t="n">
        <x:v>6570000</x:v>
      </x:c>
      <x:c r="G1964" s="40" t="n">
        <x:v>0.2946</x:v>
      </x:c>
      <x:c r="H1964" s="40" t="n">
        <x:v>0.02175</x:v>
      </x:c>
      <x:c r="I1964" t="n">
        <x:v>48</x:v>
      </x:c>
      <x:c r="J1964" t="n">
        <x:v>221900</x:v>
      </x:c>
      <x:c r="K1964" t="str">
        <x:v>Avalancha</x:v>
      </x:c>
      <x:c r="L1964" t="str">
        <x:v>Vigente</x:v>
      </x:c>
      <x:c r="M1964" t="n">
        <x:v>6554525.93</x:v>
      </x:c>
      <x:c r="N1964"/>
    </x:row>
    <x:row r="1965">
      <x:c r="A1965" t="str">
        <x:v>DEU-001964</x:v>
      </x:c>
      <x:c r="B1965" t="str">
        <x:v>USR-01003</x:v>
      </x:c>
      <x:c r="C1965" t="n">
        <x:v>46204</x:v>
      </x:c>
      <x:c r="D1965" t="str">
        <x:v>Financiera D</x:v>
      </x:c>
      <x:c r="E1965" t="str">
        <x:v>Crédito de consumo</x:v>
      </x:c>
      <x:c r="F1965" t="n">
        <x:v>17960000</x:v>
      </x:c>
      <x:c r="G1965" s="40" t="n">
        <x:v>0.2647</x:v>
      </x:c>
      <x:c r="H1965" s="40" t="n">
        <x:v>0.019762</x:v>
      </x:c>
      <x:c r="I1965" t="n">
        <x:v>18</x:v>
      </x:c>
      <x:c r="J1965" t="n">
        <x:v>1195500</x:v>
      </x:c>
      <x:c r="K1965" t="str">
        <x:v>Avalancha</x:v>
      </x:c>
      <x:c r="L1965" t="str">
        <x:v>Vigente</x:v>
      </x:c>
      <x:c r="M1965" t="n">
        <x:v>14587273.33</x:v>
      </x:c>
      <x:c r="N1965"/>
    </x:row>
    <x:row r="1966">
      <x:c r="A1966" t="str">
        <x:v>DEU-001965</x:v>
      </x:c>
      <x:c r="B1966" t="str">
        <x:v>USR-01004</x:v>
      </x:c>
      <x:c r="C1966" t="n">
        <x:v>46204</x:v>
      </x:c>
      <x:c r="D1966" t="str">
        <x:v>Entidad financiera B</x:v>
      </x:c>
      <x:c r="E1966" t="str">
        <x:v>Crédito de libre inversión</x:v>
      </x:c>
      <x:c r="F1966" t="n">
        <x:v>23100000</x:v>
      </x:c>
      <x:c r="G1966" s="40" t="n">
        <x:v>0.2081</x:v>
      </x:c>
      <x:c r="H1966" s="40" t="n">
        <x:v>0.015879</x:v>
      </x:c>
      <x:c r="I1966" t="n">
        <x:v>36</x:v>
      </x:c>
      <x:c r="J1966" t="n">
        <x:v>847400</x:v>
      </x:c>
      <x:c r="K1966" t="str">
        <x:v>Avalancha</x:v>
      </x:c>
      <x:c r="L1966" t="str">
        <x:v>Vigente</x:v>
      </x:c>
      <x:c r="M1966" t="n">
        <x:v>24217968</x:v>
      </x:c>
      <x:c r="N1966"/>
    </x:row>
    <x:row r="1967">
      <x:c r="A1967" t="str">
        <x:v>DEU-001966</x:v>
      </x:c>
      <x:c r="B1967" t="str">
        <x:v>USR-01005</x:v>
      </x:c>
      <x:c r="C1967" t="n">
        <x:v>46204</x:v>
      </x:c>
      <x:c r="D1967" t="str">
        <x:v>Financiera D</x:v>
      </x:c>
      <x:c r="E1967" t="str">
        <x:v>Crédito de consumo</x:v>
      </x:c>
      <x:c r="F1967" t="n">
        <x:v>13480000</x:v>
      </x:c>
      <x:c r="G1967" s="40" t="n">
        <x:v>0.1582</x:v>
      </x:c>
      <x:c r="H1967" s="40" t="n">
        <x:v>0.012314</x:v>
      </x:c>
      <x:c r="I1967" t="n">
        <x:v>24</x:v>
      </x:c>
      <x:c r="J1967" t="n">
        <x:v>652200</x:v>
      </x:c>
      <x:c r="K1967" t="str">
        <x:v>Avalancha</x:v>
      </x:c>
      <x:c r="L1967" t="str">
        <x:v>Vigente</x:v>
      </x:c>
      <x:c r="M1967" t="n">
        <x:v>11571367.18</x:v>
      </x:c>
      <x:c r="N1967"/>
    </x:row>
    <x:row r="1968">
      <x:c r="A1968" t="str">
        <x:v>DEU-001967</x:v>
      </x:c>
      <x:c r="B1968" t="str">
        <x:v>USR-01005</x:v>
      </x:c>
      <x:c r="C1968" t="n">
        <x:v>46204</x:v>
      </x:c>
      <x:c r="D1968" t="str">
        <x:v>Entidad financiera E</x:v>
      </x:c>
      <x:c r="E1968" t="str">
        <x:v>Tarjeta de crédito</x:v>
      </x:c>
      <x:c r="F1968" t="n">
        <x:v>2330000</x:v>
      </x:c>
      <x:c r="G1968" s="40" t="n">
        <x:v>0.1409</x:v>
      </x:c>
      <x:c r="H1968" s="40" t="n">
        <x:v>0.011045</x:v>
      </x:c>
      <x:c r="I1968" t="n">
        <x:v>60</x:v>
      </x:c>
      <x:c r="J1968" t="n">
        <x:v>53300</x:v>
      </x:c>
      <x:c r="K1968" t="str">
        <x:v>Avalancha</x:v>
      </x:c>
      <x:c r="L1968" t="str">
        <x:v>Vigente</x:v>
      </x:c>
      <x:c r="M1968" t="n">
        <x:v>2284101.2</x:v>
      </x:c>
      <x:c r="N1968"/>
    </x:row>
    <x:row r="1969">
      <x:c r="A1969" t="str">
        <x:v>DEU-001968</x:v>
      </x:c>
      <x:c r="B1969" t="str">
        <x:v>USR-01005</x:v>
      </x:c>
      <x:c r="C1969" t="n">
        <x:v>46204</x:v>
      </x:c>
      <x:c r="D1969" t="str">
        <x:v>Cooperativa C</x:v>
      </x:c>
      <x:c r="E1969" t="str">
        <x:v>Tarjeta de crédito</x:v>
      </x:c>
      <x:c r="F1969" t="n">
        <x:v>5990000</x:v>
      </x:c>
      <x:c r="G1969" s="40" t="n">
        <x:v>0.3409</x:v>
      </x:c>
      <x:c r="H1969" s="40" t="n">
        <x:v>0.024746</x:v>
      </x:c>
      <x:c r="I1969" t="n">
        <x:v>18</x:v>
      </x:c>
      <x:c r="J1969" t="n">
        <x:v>416400</x:v>
      </x:c>
      <x:c r="K1969" t="str">
        <x:v>Bola de nieve</x:v>
      </x:c>
      <x:c r="L1969" t="str">
        <x:v>Vigente</x:v>
      </x:c>
      <x:c r="M1969" t="n">
        <x:v>5609791.26</x:v>
      </x:c>
      <x:c r="N1969"/>
    </x:row>
    <x:row r="1970">
      <x:c r="A1970" t="str">
        <x:v>DEU-001969</x:v>
      </x:c>
      <x:c r="B1970" t="str">
        <x:v>USR-01005</x:v>
      </x:c>
      <x:c r="C1970" t="n">
        <x:v>46204</x:v>
      </x:c>
      <x:c r="D1970" t="str">
        <x:v>Entidad financiera B</x:v>
      </x:c>
      <x:c r="E1970" t="str">
        <x:v>Crédito de consumo</x:v>
      </x:c>
      <x:c r="F1970" t="n">
        <x:v>3700000</x:v>
      </x:c>
      <x:c r="G1970" s="40" t="n">
        <x:v>0.231</x:v>
      </x:c>
      <x:c r="H1970" s="40" t="n">
        <x:v>0.01747</x:v>
      </x:c>
      <x:c r="I1970" t="n">
        <x:v>48</x:v>
      </x:c>
      <x:c r="J1970" t="n">
        <x:v>114500</x:v>
      </x:c>
      <x:c r="K1970" t="str">
        <x:v>Bola de nieve</x:v>
      </x:c>
      <x:c r="L1970" t="str">
        <x:v>Vigente</x:v>
      </x:c>
      <x:c r="M1970" t="n">
        <x:v>3535379.04</x:v>
      </x:c>
      <x:c r="N1970"/>
    </x:row>
    <x:row r="1971">
      <x:c r="A1971" t="str">
        <x:v>DEU-001970</x:v>
      </x:c>
      <x:c r="B1971" t="str">
        <x:v>USR-01005</x:v>
      </x:c>
      <x:c r="C1971" t="n">
        <x:v>46204</x:v>
      </x:c>
      <x:c r="D1971" t="str">
        <x:v>Entidad financiera E</x:v>
      </x:c>
      <x:c r="E1971" t="str">
        <x:v>Crédito de consumo</x:v>
      </x:c>
      <x:c r="F1971" t="n">
        <x:v>16610000</x:v>
      </x:c>
      <x:c r="G1971" s="40" t="n">
        <x:v>0.2988</x:v>
      </x:c>
      <x:c r="H1971" s="40" t="n">
        <x:v>0.022026</x:v>
      </x:c>
      <x:c r="I1971" t="n">
        <x:v>24</x:v>
      </x:c>
      <x:c r="J1971" t="n">
        <x:v>898500</x:v>
      </x:c>
      <x:c r="K1971" t="str">
        <x:v>Bola de nieve</x:v>
      </x:c>
      <x:c r="L1971" t="str">
        <x:v>Vigente</x:v>
      </x:c>
      <x:c r="M1971" t="n">
        <x:v>16082584.11</x:v>
      </x:c>
      <x:c r="N1971"/>
    </x:row>
    <x:row r="1972">
      <x:c r="A1972" t="str">
        <x:v>DEU-001971</x:v>
      </x:c>
      <x:c r="B1972" t="str">
        <x:v>USR-01006</x:v>
      </x:c>
      <x:c r="C1972" t="n">
        <x:v>46204</x:v>
      </x:c>
      <x:c r="D1972" t="str">
        <x:v>Cooperativa C</x:v>
      </x:c>
      <x:c r="E1972" t="str">
        <x:v>Crédito de consumo</x:v>
      </x:c>
      <x:c r="F1972" t="n">
        <x:v>15000000</x:v>
      </x:c>
      <x:c r="G1972" s="40" t="n">
        <x:v>0.276</x:v>
      </x:c>
      <x:c r="H1972" s="40" t="n">
        <x:v>0.020519</x:v>
      </x:c>
      <x:c r="I1972" t="n">
        <x:v>18</x:v>
      </x:c>
      <x:c r="J1972" t="n">
        <x:v>1005100</x:v>
      </x:c>
      <x:c r="K1972" t="str">
        <x:v>Avalancha</x:v>
      </x:c>
      <x:c r="L1972" t="str">
        <x:v>Vigente</x:v>
      </x:c>
      <x:c r="M1972" t="n">
        <x:v>14091538.82</x:v>
      </x:c>
      <x:c r="N1972"/>
    </x:row>
    <x:row r="1973">
      <x:c r="A1973" t="str">
        <x:v>DEU-001972</x:v>
      </x:c>
      <x:c r="B1973" t="str">
        <x:v>USR-01006</x:v>
      </x:c>
      <x:c r="C1973" t="n">
        <x:v>46204</x:v>
      </x:c>
      <x:c r="D1973" t="str">
        <x:v>Entidad financiera B</x:v>
      </x:c>
      <x:c r="E1973" t="str">
        <x:v>Tarjeta de crédito</x:v>
      </x:c>
      <x:c r="F1973" t="n">
        <x:v>1860000</x:v>
      </x:c>
      <x:c r="G1973" s="40" t="n">
        <x:v>0.3269</x:v>
      </x:c>
      <x:c r="H1973" s="40" t="n">
        <x:v>0.02385</x:v>
      </x:c>
      <x:c r="I1973" t="n">
        <x:v>18</x:v>
      </x:c>
      <x:c r="J1973" t="n">
        <x:v>128300</x:v>
      </x:c>
      <x:c r="K1973" t="str">
        <x:v>Bola de nieve</x:v>
      </x:c>
      <x:c r="L1973" t="str">
        <x:v>Vigente</x:v>
      </x:c>
      <x:c r="M1973" t="n">
        <x:v>1742666.83</x:v>
      </x:c>
      <x:c r="N1973"/>
    </x:row>
    <x:row r="1974">
      <x:c r="A1974" t="str">
        <x:v>DEU-001973</x:v>
      </x:c>
      <x:c r="B1974" t="str">
        <x:v>USR-01007</x:v>
      </x:c>
      <x:c r="C1974" t="n">
        <x:v>46204</x:v>
      </x:c>
      <x:c r="D1974" t="str">
        <x:v>Entidad financiera E</x:v>
      </x:c>
      <x:c r="E1974" t="str">
        <x:v>Crédito educativo</x:v>
      </x:c>
      <x:c r="F1974" t="n">
        <x:v>19910000</x:v>
      </x:c>
      <x:c r="G1974" s="40" t="n">
        <x:v>0.1945</x:v>
      </x:c>
      <x:c r="H1974" s="40" t="n">
        <x:v>0.014921</x:v>
      </x:c>
      <x:c r="I1974" t="n">
        <x:v>30</x:v>
      </x:c>
      <x:c r="J1974" t="n">
        <x:v>828100</x:v>
      </x:c>
      <x:c r="K1974" t="str">
        <x:v>Bola de nieve</x:v>
      </x:c>
      <x:c r="L1974" t="str">
        <x:v>Vigente</x:v>
      </x:c>
      <x:c r="M1974" t="n">
        <x:v>18993200.77</x:v>
      </x:c>
      <x:c r="N1974"/>
    </x:row>
    <x:row r="1975">
      <x:c r="A1975" t="str">
        <x:v>DEU-001974</x:v>
      </x:c>
      <x:c r="B1975" t="str">
        <x:v>USR-01008</x:v>
      </x:c>
      <x:c r="C1975" t="n">
        <x:v>46204</x:v>
      </x:c>
      <x:c r="D1975" t="str">
        <x:v>Entidad financiera A</x:v>
      </x:c>
      <x:c r="E1975" t="str">
        <x:v>Crédito de vehículo</x:v>
      </x:c>
      <x:c r="F1975" t="n">
        <x:v>21640000</x:v>
      </x:c>
      <x:c r="G1975" s="40" t="n">
        <x:v>0.201</x:v>
      </x:c>
      <x:c r="H1975" s="40" t="n">
        <x:v>0.01538</x:v>
      </x:c>
      <x:c r="I1975" t="n">
        <x:v>12</x:v>
      </x:c>
      <x:c r="J1975" t="n">
        <x:v>1988700</x:v>
      </x:c>
      <x:c r="K1975" t="str">
        <x:v>Avalancha</x:v>
      </x:c>
      <x:c r="L1975" t="str">
        <x:v>Vigente</x:v>
      </x:c>
      <x:c r="M1975" t="n">
        <x:v>20603558.89</x:v>
      </x:c>
      <x:c r="N1975"/>
    </x:row>
    <x:row r="1976">
      <x:c r="A1976" t="str">
        <x:v>DEU-001975</x:v>
      </x:c>
      <x:c r="B1976" t="str">
        <x:v>USR-01008</x:v>
      </x:c>
      <x:c r="C1976" t="n">
        <x:v>46204</x:v>
      </x:c>
      <x:c r="D1976" t="str">
        <x:v>Entidad financiera B</x:v>
      </x:c>
      <x:c r="E1976" t="str">
        <x:v>Crédito de libre inversión</x:v>
      </x:c>
      <x:c r="F1976" t="n">
        <x:v>13250000</x:v>
      </x:c>
      <x:c r="G1976" s="40" t="n">
        <x:v>0.293</x:v>
      </x:c>
      <x:c r="H1976" s="40" t="n">
        <x:v>0.021645</x:v>
      </x:c>
      <x:c r="I1976" t="n">
        <x:v>12</x:v>
      </x:c>
      <x:c r="J1976" t="n">
        <x:v>1265600</x:v>
      </x:c>
      <x:c r="K1976" t="str">
        <x:v>Avalancha</x:v>
      </x:c>
      <x:c r="L1976" t="str">
        <x:v>Vigente</x:v>
      </x:c>
      <x:c r="M1976" t="n">
        <x:v>10766982.79</x:v>
      </x:c>
      <x:c r="N1976"/>
    </x:row>
    <x:row r="1977">
      <x:c r="A1977" t="str">
        <x:v>DEU-001976</x:v>
      </x:c>
      <x:c r="B1977" t="str">
        <x:v>USR-01009</x:v>
      </x:c>
      <x:c r="C1977" t="n">
        <x:v>46204</x:v>
      </x:c>
      <x:c r="D1977" t="str">
        <x:v>Entidad financiera A</x:v>
      </x:c>
      <x:c r="E1977" t="str">
        <x:v>Crédito de libre inversión</x:v>
      </x:c>
      <x:c r="F1977" t="n">
        <x:v>8160000</x:v>
      </x:c>
      <x:c r="G1977" s="40" t="n">
        <x:v>0.2654</x:v>
      </x:c>
      <x:c r="H1977" s="40" t="n">
        <x:v>0.019809</x:v>
      </x:c>
      <x:c r="I1977" t="n">
        <x:v>18</x:v>
      </x:c>
      <x:c r="J1977" t="n">
        <x:v>543400</x:v>
      </x:c>
      <x:c r="K1977" t="str">
        <x:v>Bola de nieve</x:v>
      </x:c>
      <x:c r="L1977" t="str">
        <x:v>Vigente</x:v>
      </x:c>
      <x:c r="M1977" t="n">
        <x:v>6825634.99</x:v>
      </x:c>
      <x:c r="N1977"/>
    </x:row>
    <x:row r="1978">
      <x:c r="A1978" t="str">
        <x:v>DEU-001977</x:v>
      </x:c>
      <x:c r="B1978" t="str">
        <x:v>USR-01009</x:v>
      </x:c>
      <x:c r="C1978" t="n">
        <x:v>46204</x:v>
      </x:c>
      <x:c r="D1978" t="str">
        <x:v>Financiera D</x:v>
      </x:c>
      <x:c r="E1978" t="str">
        <x:v>Tarjeta de crédito</x:v>
      </x:c>
      <x:c r="F1978" t="n">
        <x:v>2580000</x:v>
      </x:c>
      <x:c r="G1978" s="40" t="n">
        <x:v>0.2332</x:v>
      </x:c>
      <x:c r="H1978" s="40" t="n">
        <x:v>0.017621</x:v>
      </x:c>
      <x:c r="I1978" t="n">
        <x:v>12</x:v>
      </x:c>
      <x:c r="J1978" t="n">
        <x:v>240400</x:v>
      </x:c>
      <x:c r="K1978" t="str">
        <x:v>Bola de nieve</x:v>
      </x:c>
      <x:c r="L1978" t="str">
        <x:v>Vigente</x:v>
      </x:c>
      <x:c r="M1978" t="n">
        <x:v>2057545.29</x:v>
      </x:c>
      <x:c r="N1978"/>
    </x:row>
    <x:row r="1979">
      <x:c r="A1979" t="str">
        <x:v>DEU-001978</x:v>
      </x:c>
      <x:c r="B1979" t="str">
        <x:v>USR-01010</x:v>
      </x:c>
      <x:c r="C1979" t="n">
        <x:v>46204</x:v>
      </x:c>
      <x:c r="D1979" t="str">
        <x:v>Entidad financiera E</x:v>
      </x:c>
      <x:c r="E1979" t="str">
        <x:v>Crédito de libre inversión</x:v>
      </x:c>
      <x:c r="F1979" t="n">
        <x:v>10830000</x:v>
      </x:c>
      <x:c r="G1979" s="40" t="n">
        <x:v>0.116</x:v>
      </x:c>
      <x:c r="H1979" s="40" t="n">
        <x:v>0.009188</x:v>
      </x:c>
      <x:c r="I1979" t="n">
        <x:v>36</x:v>
      </x:c>
      <x:c r="J1979" t="n">
        <x:v>354700</x:v>
      </x:c>
      <x:c r="K1979" t="str">
        <x:v>Bola de nieve</x:v>
      </x:c>
      <x:c r="L1979" t="str">
        <x:v>Vigente</x:v>
      </x:c>
      <x:c r="M1979" t="n">
        <x:v>10432034.69</x:v>
      </x:c>
      <x:c r="N1979"/>
    </x:row>
    <x:row r="1980">
      <x:c r="A1980" t="str">
        <x:v>DEU-001979</x:v>
      </x:c>
      <x:c r="B1980" t="str">
        <x:v>USR-01010</x:v>
      </x:c>
      <x:c r="C1980" t="n">
        <x:v>46204</x:v>
      </x:c>
      <x:c r="D1980" t="str">
        <x:v>Entidad financiera A</x:v>
      </x:c>
      <x:c r="E1980" t="str">
        <x:v>Crédito educativo</x:v>
      </x:c>
      <x:c r="F1980" t="n">
        <x:v>12220000</x:v>
      </x:c>
      <x:c r="G1980" s="40" t="n">
        <x:v>0.1547</x:v>
      </x:c>
      <x:c r="H1980" s="40" t="n">
        <x:v>0.012059</x:v>
      </x:c>
      <x:c r="I1980" t="n">
        <x:v>30</x:v>
      </x:c>
      <x:c r="J1980" t="n">
        <x:v>487900</x:v>
      </x:c>
      <x:c r="K1980" t="str">
        <x:v>Bola de nieve</x:v>
      </x:c>
      <x:c r="L1980" t="str">
        <x:v>Vigente</x:v>
      </x:c>
      <x:c r="M1980" t="n">
        <x:v>11111925.36</x:v>
      </x:c>
      <x:c r="N1980"/>
    </x:row>
    <x:row r="1981">
      <x:c r="A1981" t="str">
        <x:v>DEU-001980</x:v>
      </x:c>
      <x:c r="B1981" t="str">
        <x:v>USR-01011</x:v>
      </x:c>
      <x:c r="C1981" t="n">
        <x:v>46204</x:v>
      </x:c>
      <x:c r="D1981" t="str">
        <x:v>Entidad financiera A</x:v>
      </x:c>
      <x:c r="E1981" t="str">
        <x:v>Crédito educativo</x:v>
      </x:c>
      <x:c r="F1981" t="n">
        <x:v>23560000</x:v>
      </x:c>
      <x:c r="G1981" s="40" t="n">
        <x:v>0.1307</x:v>
      </x:c>
      <x:c r="H1981" s="40" t="n">
        <x:v>0.010289</x:v>
      </x:c>
      <x:c r="I1981" t="n">
        <x:v>60</x:v>
      </x:c>
      <x:c r="J1981" t="n">
        <x:v>528200</x:v>
      </x:c>
      <x:c r="K1981" t="str">
        <x:v>Avalancha</x:v>
      </x:c>
      <x:c r="L1981" t="str">
        <x:v>Vigente</x:v>
      </x:c>
      <x:c r="M1981" t="n">
        <x:v>22614573.37</x:v>
      </x:c>
      <x:c r="N1981"/>
    </x:row>
    <x:row r="1982">
      <x:c r="A1982" t="str">
        <x:v>DEU-001981</x:v>
      </x:c>
      <x:c r="B1982" t="str">
        <x:v>USR-01011</x:v>
      </x:c>
      <x:c r="C1982" t="n">
        <x:v>46204</x:v>
      </x:c>
      <x:c r="D1982" t="str">
        <x:v>Cooperativa C</x:v>
      </x:c>
      <x:c r="E1982" t="str">
        <x:v>Tarjeta de crédito</x:v>
      </x:c>
      <x:c r="F1982" t="n">
        <x:v>1990000</x:v>
      </x:c>
      <x:c r="G1982" s="40" t="n">
        <x:v>0.2393</x:v>
      </x:c>
      <x:c r="H1982" s="40" t="n">
        <x:v>0.01804</x:v>
      </x:c>
      <x:c r="I1982" t="n">
        <x:v>60</x:v>
      </x:c>
      <x:c r="J1982" t="n">
        <x:v>54600</x:v>
      </x:c>
      <x:c r="K1982" t="str">
        <x:v>Bola de nieve</x:v>
      </x:c>
      <x:c r="L1982" t="str">
        <x:v>Vigente</x:v>
      </x:c>
      <x:c r="M1982" t="n">
        <x:v>1987210.18</x:v>
      </x:c>
      <x:c r="N1982"/>
    </x:row>
    <x:row r="1983">
      <x:c r="A1983" t="str">
        <x:v>DEU-001982</x:v>
      </x:c>
      <x:c r="B1983" t="str">
        <x:v>USR-01012</x:v>
      </x:c>
      <x:c r="C1983" t="n">
        <x:v>46204</x:v>
      </x:c>
      <x:c r="D1983" t="str">
        <x:v>Entidad financiera A</x:v>
      </x:c>
      <x:c r="E1983" t="str">
        <x:v>Tarjeta de crédito</x:v>
      </x:c>
      <x:c r="F1983" t="n">
        <x:v>1230000</x:v>
      </x:c>
      <x:c r="G1983" s="40" t="n">
        <x:v>0.3126</x:v>
      </x:c>
      <x:c r="H1983" s="40" t="n">
        <x:v>0.022926</x:v>
      </x:c>
      <x:c r="I1983" t="n">
        <x:v>18</x:v>
      </x:c>
      <x:c r="J1983" t="n">
        <x:v>84200</x:v>
      </x:c>
      <x:c r="K1983" t="str">
        <x:v>Avalancha</x:v>
      </x:c>
      <x:c r="L1983" t="str">
        <x:v>Vigente</x:v>
      </x:c>
      <x:c r="M1983" t="n">
        <x:v>1129132.76</x:v>
      </x:c>
      <x:c r="N1983"/>
    </x:row>
    <x:row r="1984">
      <x:c r="A1984" t="str">
        <x:v>DEU-001983</x:v>
      </x:c>
      <x:c r="B1984" t="str">
        <x:v>USR-01013</x:v>
      </x:c>
      <x:c r="C1984" t="n">
        <x:v>46204</x:v>
      </x:c>
      <x:c r="D1984" t="str">
        <x:v>Cooperativa C</x:v>
      </x:c>
      <x:c r="E1984" t="str">
        <x:v>Crédito de libre inversión</x:v>
      </x:c>
      <x:c r="F1984" t="n">
        <x:v>23950000</x:v>
      </x:c>
      <x:c r="G1984" s="40" t="n">
        <x:v>0.2929</x:v>
      </x:c>
      <x:c r="H1984" s="40" t="n">
        <x:v>0.021638</x:v>
      </x:c>
      <x:c r="I1984" t="n">
        <x:v>30</x:v>
      </x:c>
      <x:c r="J1984" t="n">
        <x:v>1093600</x:v>
      </x:c>
      <x:c r="K1984" t="str">
        <x:v>Avalancha</x:v>
      </x:c>
      <x:c r="L1984" t="str">
        <x:v>Vigente</x:v>
      </x:c>
      <x:c r="M1984" t="n">
        <x:v>23211906.72</x:v>
      </x:c>
      <x:c r="N1984"/>
    </x:row>
    <x:row r="1985">
      <x:c r="A1985" t="str">
        <x:v>DEU-001984</x:v>
      </x:c>
      <x:c r="B1985" t="str">
        <x:v>USR-01014</x:v>
      </x:c>
      <x:c r="C1985" t="n">
        <x:v>46204</x:v>
      </x:c>
      <x:c r="D1985" t="str">
        <x:v>Entidad financiera A</x:v>
      </x:c>
      <x:c r="E1985" t="str">
        <x:v>Tarjeta de crédito</x:v>
      </x:c>
      <x:c r="F1985" t="n">
        <x:v>3110000</x:v>
      </x:c>
      <x:c r="G1985" s="40" t="n">
        <x:v>0.2783</x:v>
      </x:c>
      <x:c r="H1985" s="40" t="n">
        <x:v>0.020672</x:v>
      </x:c>
      <x:c r="I1985" t="n">
        <x:v>60</x:v>
      </x:c>
      <x:c r="J1985" t="n">
        <x:v>90900</x:v>
      </x:c>
      <x:c r="K1985" t="str">
        <x:v>Bola de nieve</x:v>
      </x:c>
      <x:c r="L1985" t="str">
        <x:v>Vigente</x:v>
      </x:c>
      <x:c r="M1985" t="n">
        <x:v>3076761.53</x:v>
      </x:c>
      <x:c r="N1985"/>
    </x:row>
    <x:row r="1986">
      <x:c r="A1986" t="str">
        <x:v>DEU-001985</x:v>
      </x:c>
      <x:c r="B1986" t="str">
        <x:v>USR-01015</x:v>
      </x:c>
      <x:c r="C1986" t="n">
        <x:v>46204</x:v>
      </x:c>
      <x:c r="D1986" t="str">
        <x:v>Financiera D</x:v>
      </x:c>
      <x:c r="E1986" t="str">
        <x:v>Crédito comercial</x:v>
      </x:c>
      <x:c r="F1986" t="n">
        <x:v>4370000</x:v>
      </x:c>
      <x:c r="G1986" s="40" t="n">
        <x:v>0.2319</x:v>
      </x:c>
      <x:c r="H1986" s="40" t="n">
        <x:v>0.017532</x:v>
      </x:c>
      <x:c r="I1986" t="n">
        <x:v>18</x:v>
      </x:c>
      <x:c r="J1986" t="n">
        <x:v>285200</x:v>
      </x:c>
      <x:c r="K1986" t="str">
        <x:v>Bola de nieve</x:v>
      </x:c>
      <x:c r="L1986" t="str">
        <x:v>Vigente</x:v>
      </x:c>
      <x:c r="M1986" t="n">
        <x:v>4018406.05</x:v>
      </x:c>
      <x:c r="N1986"/>
    </x:row>
    <x:row r="1987">
      <x:c r="A1987" t="str">
        <x:v>DEU-001986</x:v>
      </x:c>
      <x:c r="B1987" t="str">
        <x:v>USR-01016</x:v>
      </x:c>
      <x:c r="C1987" t="n">
        <x:v>46204</x:v>
      </x:c>
      <x:c r="D1987" t="str">
        <x:v>Cooperativa C</x:v>
      </x:c>
      <x:c r="E1987" t="str">
        <x:v>Tarjeta de crédito</x:v>
      </x:c>
      <x:c r="F1987" t="n">
        <x:v>4840000</x:v>
      </x:c>
      <x:c r="G1987" s="40" t="n">
        <x:v>0.3254</x:v>
      </x:c>
      <x:c r="H1987" s="40" t="n">
        <x:v>0.023754</x:v>
      </x:c>
      <x:c r="I1987" t="n">
        <x:v>36</x:v>
      </x:c>
      <x:c r="J1987" t="n">
        <x:v>201500</x:v>
      </x:c>
      <x:c r="K1987" t="str">
        <x:v>Bola de nieve</x:v>
      </x:c>
      <x:c r="L1987" t="str">
        <x:v>Vigente</x:v>
      </x:c>
      <x:c r="M1987" t="n">
        <x:v>4639051.98</x:v>
      </x:c>
      <x:c r="N1987"/>
    </x:row>
    <x:row r="1988">
      <x:c r="A1988" t="str">
        <x:v>DEU-001987</x:v>
      </x:c>
      <x:c r="B1988" t="str">
        <x:v>USR-01017</x:v>
      </x:c>
      <x:c r="C1988" t="n">
        <x:v>46204</x:v>
      </x:c>
      <x:c r="D1988" t="str">
        <x:v>Financiera D</x:v>
      </x:c>
      <x:c r="E1988" t="str">
        <x:v>Crédito comercial</x:v>
      </x:c>
      <x:c r="F1988" t="n">
        <x:v>23320000</x:v>
      </x:c>
      <x:c r="G1988" s="40" t="n">
        <x:v>0.2495</x:v>
      </x:c>
      <x:c r="H1988" s="40" t="n">
        <x:v>0.018735</x:v>
      </x:c>
      <x:c r="I1988" t="n">
        <x:v>60</x:v>
      </x:c>
      <x:c r="J1988" t="n">
        <x:v>650500</x:v>
      </x:c>
      <x:c r="K1988" t="str">
        <x:v>Avalancha</x:v>
      </x:c>
      <x:c r="L1988" t="str">
        <x:v>Vigente</x:v>
      </x:c>
      <x:c r="M1988" t="n">
        <x:v>22335746.84</x:v>
      </x:c>
      <x:c r="N1988"/>
    </x:row>
    <x:row r="1989">
      <x:c r="A1989" t="str">
        <x:v>DEU-001988</x:v>
      </x:c>
      <x:c r="B1989" t="str">
        <x:v>USR-01017</x:v>
      </x:c>
      <x:c r="C1989" t="n">
        <x:v>46204</x:v>
      </x:c>
      <x:c r="D1989" t="str">
        <x:v>Entidad financiera B</x:v>
      </x:c>
      <x:c r="E1989" t="str">
        <x:v>Crédito de vehículo</x:v>
      </x:c>
      <x:c r="F1989" t="n">
        <x:v>13240000</x:v>
      </x:c>
      <x:c r="G1989" s="40" t="n">
        <x:v>0.1714</x:v>
      </x:c>
      <x:c r="H1989" s="40" t="n">
        <x:v>0.013271</x:v>
      </x:c>
      <x:c r="I1989" t="n">
        <x:v>48</x:v>
      </x:c>
      <x:c r="J1989" t="n">
        <x:v>374700</x:v>
      </x:c>
      <x:c r="K1989" t="str">
        <x:v>Bola de nieve</x:v>
      </x:c>
      <x:c r="L1989" t="str">
        <x:v>Vigente</x:v>
      </x:c>
      <x:c r="M1989" t="n">
        <x:v>12447750.11</x:v>
      </x:c>
      <x:c r="N1989"/>
    </x:row>
    <x:row r="1990">
      <x:c r="A1990" t="str">
        <x:v>DEU-001989</x:v>
      </x:c>
      <x:c r="B1990" t="str">
        <x:v>USR-01018</x:v>
      </x:c>
      <x:c r="C1990" t="n">
        <x:v>46204</x:v>
      </x:c>
      <x:c r="D1990" t="str">
        <x:v>Cooperativa C</x:v>
      </x:c>
      <x:c r="E1990" t="str">
        <x:v>Crédito de consumo</x:v>
      </x:c>
      <x:c r="F1990" t="n">
        <x:v>14620000</x:v>
      </x:c>
      <x:c r="G1990" s="40" t="n">
        <x:v>0.1451</x:v>
      </x:c>
      <x:c r="H1990" s="40" t="n">
        <x:v>0.011355</x:v>
      </x:c>
      <x:c r="I1990" t="n">
        <x:v>30</x:v>
      </x:c>
      <x:c r="J1990" t="n">
        <x:v>577800</x:v>
      </x:c>
      <x:c r="K1990" t="str">
        <x:v>Avalancha</x:v>
      </x:c>
      <x:c r="L1990" t="str">
        <x:v>Vigente</x:v>
      </x:c>
      <x:c r="M1990" t="n">
        <x:v>13672645.1</x:v>
      </x:c>
      <x:c r="N1990"/>
    </x:row>
    <x:row r="1991">
      <x:c r="A1991" t="str">
        <x:v>DEU-001990</x:v>
      </x:c>
      <x:c r="B1991" t="str">
        <x:v>USR-01018</x:v>
      </x:c>
      <x:c r="C1991" t="n">
        <x:v>46204</x:v>
      </x:c>
      <x:c r="D1991" t="str">
        <x:v>Entidad financiera B</x:v>
      </x:c>
      <x:c r="E1991" t="str">
        <x:v>Crédito de libre inversión</x:v>
      </x:c>
      <x:c r="F1991" t="n">
        <x:v>17370000</x:v>
      </x:c>
      <x:c r="G1991" s="40" t="n">
        <x:v>0.1883</x:v>
      </x:c>
      <x:c r="H1991" s="40" t="n">
        <x:v>0.014481</x:v>
      </x:c>
      <x:c r="I1991" t="n">
        <x:v>24</x:v>
      </x:c>
      <x:c r="J1991" t="n">
        <x:v>862000</x:v>
      </x:c>
      <x:c r="K1991" t="str">
        <x:v>Bola de nieve</x:v>
      </x:c>
      <x:c r="L1991" t="str">
        <x:v>Vigente</x:v>
      </x:c>
      <x:c r="M1991" t="n">
        <x:v>14945406.15</x:v>
      </x:c>
      <x:c r="N1991"/>
    </x:row>
    <x:row r="1992">
      <x:c r="A1992" t="str">
        <x:v>DEU-001991</x:v>
      </x:c>
      <x:c r="B1992" t="str">
        <x:v>USR-01019</x:v>
      </x:c>
      <x:c r="C1992" t="n">
        <x:v>46204</x:v>
      </x:c>
      <x:c r="D1992" t="str">
        <x:v>Financiera D</x:v>
      </x:c>
      <x:c r="E1992" t="str">
        <x:v>Crédito de libre inversión</x:v>
      </x:c>
      <x:c r="F1992" t="n">
        <x:v>16890000</x:v>
      </x:c>
      <x:c r="G1992" s="40" t="n">
        <x:v>0.2966</x:v>
      </x:c>
      <x:c r="H1992" s="40" t="n">
        <x:v>0.021881</x:v>
      </x:c>
      <x:c r="I1992" t="n">
        <x:v>30</x:v>
      </x:c>
      <x:c r="J1992" t="n">
        <x:v>773800</x:v>
      </x:c>
      <x:c r="K1992" t="str">
        <x:v>Avalancha</x:v>
      </x:c>
      <x:c r="L1992" t="str">
        <x:v>Vigente</x:v>
      </x:c>
      <x:c r="M1992" t="n">
        <x:v>15255237.02</x:v>
      </x:c>
      <x:c r="N1992"/>
    </x:row>
    <x:row r="1993">
      <x:c r="A1993" t="str">
        <x:v>DEU-001992</x:v>
      </x:c>
      <x:c r="B1993" t="str">
        <x:v>USR-01019</x:v>
      </x:c>
      <x:c r="C1993" t="n">
        <x:v>46204</x:v>
      </x:c>
      <x:c r="D1993" t="str">
        <x:v>Entidad financiera E</x:v>
      </x:c>
      <x:c r="E1993" t="str">
        <x:v>Tarjeta de crédito</x:v>
      </x:c>
      <x:c r="F1993" t="n">
        <x:v>2010000</x:v>
      </x:c>
      <x:c r="G1993" s="40" t="n">
        <x:v>0.2946</x:v>
      </x:c>
      <x:c r="H1993" s="40" t="n">
        <x:v>0.02175</x:v>
      </x:c>
      <x:c r="I1993" t="n">
        <x:v>12</x:v>
      </x:c>
      <x:c r="J1993" t="n">
        <x:v>192100</x:v>
      </x:c>
      <x:c r="K1993" t="str">
        <x:v>Avalancha</x:v>
      </x:c>
      <x:c r="L1993" t="str">
        <x:v>Vigente</x:v>
      </x:c>
      <x:c r="M1993" t="n">
        <x:v>1456910</x:v>
      </x:c>
      <x:c r="N1993"/>
    </x:row>
    <x:row r="1994">
      <x:c r="A1994" t="str">
        <x:v>DEU-001993</x:v>
      </x:c>
      <x:c r="B1994" t="str">
        <x:v>USR-01019</x:v>
      </x:c>
      <x:c r="C1994" t="n">
        <x:v>46204</x:v>
      </x:c>
      <x:c r="D1994" t="str">
        <x:v>Entidad financiera E</x:v>
      </x:c>
      <x:c r="E1994" t="str">
        <x:v>Tarjeta de crédito</x:v>
      </x:c>
      <x:c r="F1994" t="n">
        <x:v>2150000</x:v>
      </x:c>
      <x:c r="G1994" s="40" t="n">
        <x:v>0.3103</x:v>
      </x:c>
      <x:c r="H1994" s="40" t="n">
        <x:v>0.022777</x:v>
      </x:c>
      <x:c r="I1994" t="n">
        <x:v>24</x:v>
      </x:c>
      <x:c r="J1994" t="n">
        <x:v>117300</x:v>
      </x:c>
      <x:c r="K1994" t="str">
        <x:v>Bola de nieve</x:v>
      </x:c>
      <x:c r="L1994" t="str">
        <x:v>Vigente</x:v>
      </x:c>
      <x:c r="M1994" t="n">
        <x:v>2002973.61</x:v>
      </x:c>
      <x:c r="N1994"/>
    </x:row>
    <x:row r="1995">
      <x:c r="A1995" t="str">
        <x:v>DEU-001994</x:v>
      </x:c>
      <x:c r="B1995" t="str">
        <x:v>USR-01020</x:v>
      </x:c>
      <x:c r="C1995" t="n">
        <x:v>46204</x:v>
      </x:c>
      <x:c r="D1995" t="str">
        <x:v>Entidad financiera B</x:v>
      </x:c>
      <x:c r="E1995" t="str">
        <x:v>Tarjeta de crédito</x:v>
      </x:c>
      <x:c r="F1995" t="n">
        <x:v>5400000</x:v>
      </x:c>
      <x:c r="G1995" s="40" t="n">
        <x:v>0.2193</x:v>
      </x:c>
      <x:c r="H1995" s="40" t="n">
        <x:v>0.01666</x:v>
      </x:c>
      <x:c r="I1995" t="n">
        <x:v>60</x:v>
      </x:c>
      <x:c r="J1995" t="n">
        <x:v>143000</x:v>
      </x:c>
      <x:c r="K1995" t="str">
        <x:v>Bola de nieve</x:v>
      </x:c>
      <x:c r="L1995" t="str">
        <x:v>Vigente</x:v>
      </x:c>
      <x:c r="M1995" t="n">
        <x:v>5307329.77</x:v>
      </x:c>
      <x:c r="N1995"/>
    </x:row>
    <x:row r="1996">
      <x:c r="A1996" t="str">
        <x:v>DEU-001995</x:v>
      </x:c>
      <x:c r="B1996" t="str">
        <x:v>USR-01021</x:v>
      </x:c>
      <x:c r="C1996" t="n">
        <x:v>46204</x:v>
      </x:c>
      <x:c r="D1996" t="str">
        <x:v>Entidad financiera B</x:v>
      </x:c>
      <x:c r="E1996" t="str">
        <x:v>Crédito de consumo</x:v>
      </x:c>
      <x:c r="F1996" t="n">
        <x:v>15880000</x:v>
      </x:c>
      <x:c r="G1996" s="40" t="n">
        <x:v>0.1861</x:v>
      </x:c>
      <x:c r="H1996" s="40" t="n">
        <x:v>0.014324</x:v>
      </x:c>
      <x:c r="I1996" t="n">
        <x:v>12</x:v>
      </x:c>
      <x:c r="J1996" t="n">
        <x:v>1449800</x:v>
      </x:c>
      <x:c r="K1996" t="str">
        <x:v>Avalancha</x:v>
      </x:c>
      <x:c r="L1996" t="str">
        <x:v>Vigente</x:v>
      </x:c>
      <x:c r="M1996" t="n">
        <x:v>13904180.11</x:v>
      </x:c>
      <x:c r="N1996"/>
    </x:row>
    <x:row r="1997">
      <x:c r="A1997" t="str">
        <x:v>DEU-001996</x:v>
      </x:c>
      <x:c r="B1997" t="str">
        <x:v>USR-01021</x:v>
      </x:c>
      <x:c r="C1997" t="n">
        <x:v>46204</x:v>
      </x:c>
      <x:c r="D1997" t="str">
        <x:v>Entidad financiera E</x:v>
      </x:c>
      <x:c r="E1997" t="str">
        <x:v>Tarjeta de crédito</x:v>
      </x:c>
      <x:c r="F1997" t="n">
        <x:v>3020000</x:v>
      </x:c>
      <x:c r="G1997" s="40" t="n">
        <x:v>0.2555</x:v>
      </x:c>
      <x:c r="H1997" s="40" t="n">
        <x:v>0.019142</x:v>
      </x:c>
      <x:c r="I1997" t="n">
        <x:v>30</x:v>
      </x:c>
      <x:c r="J1997" t="n">
        <x:v>133300</x:v>
      </x:c>
      <x:c r="K1997" t="str">
        <x:v>Avalancha</x:v>
      </x:c>
      <x:c r="L1997" t="str">
        <x:v>Vigente</x:v>
      </x:c>
      <x:c r="M1997" t="n">
        <x:v>2789164.27</x:v>
      </x:c>
      <x:c r="N1997"/>
    </x:row>
    <x:row r="1998">
      <x:c r="A1998" t="str">
        <x:v>DEU-001997</x:v>
      </x:c>
      <x:c r="B1998" t="str">
        <x:v>USR-01022</x:v>
      </x:c>
      <x:c r="C1998" t="n">
        <x:v>46204</x:v>
      </x:c>
      <x:c r="D1998" t="str">
        <x:v>Entidad financiera E</x:v>
      </x:c>
      <x:c r="E1998" t="str">
        <x:v>Crédito de consumo</x:v>
      </x:c>
      <x:c r="F1998" t="n">
        <x:v>6210000</x:v>
      </x:c>
      <x:c r="G1998" s="40" t="n">
        <x:v>0.2585</x:v>
      </x:c>
      <x:c r="H1998" s="40" t="n">
        <x:v>0.019345</x:v>
      </x:c>
      <x:c r="I1998" t="n">
        <x:v>48</x:v>
      </x:c>
      <x:c r="J1998" t="n">
        <x:v>199800</x:v>
      </x:c>
      <x:c r="K1998" t="str">
        <x:v>Avalancha</x:v>
      </x:c>
      <x:c r="L1998" t="str">
        <x:v>Vigente</x:v>
      </x:c>
      <x:c r="M1998" t="n">
        <x:v>5936339.83</x:v>
      </x:c>
      <x:c r="N1998"/>
    </x:row>
    <x:row r="1999">
      <x:c r="A1999" t="str">
        <x:v>DEU-001998</x:v>
      </x:c>
      <x:c r="B1999" t="str">
        <x:v>USR-01023</x:v>
      </x:c>
      <x:c r="C1999" t="n">
        <x:v>46204</x:v>
      </x:c>
      <x:c r="D1999" t="str">
        <x:v>Financiera D</x:v>
      </x:c>
      <x:c r="E1999" t="str">
        <x:v>Crédito de libre inversión</x:v>
      </x:c>
      <x:c r="F1999" t="n">
        <x:v>4150000</x:v>
      </x:c>
      <x:c r="G1999" s="40" t="n">
        <x:v>0.2869</x:v>
      </x:c>
      <x:c r="H1999" s="40" t="n">
        <x:v>0.021242</x:v>
      </x:c>
      <x:c r="I1999" t="n">
        <x:v>36</x:v>
      </x:c>
      <x:c r="J1999" t="n">
        <x:v>166100</x:v>
      </x:c>
      <x:c r="K1999" t="str">
        <x:v>Bola de nieve</x:v>
      </x:c>
      <x:c r="L1999" t="str">
        <x:v>Vigente</x:v>
      </x:c>
      <x:c r="M1999" t="n">
        <x:v>4068822.87</x:v>
      </x:c>
      <x:c r="N1999"/>
    </x:row>
    <x:row r="2000">
      <x:c r="A2000" t="str">
        <x:v>DEU-001999</x:v>
      </x:c>
      <x:c r="B2000" t="str">
        <x:v>USR-01024</x:v>
      </x:c>
      <x:c r="C2000" t="n">
        <x:v>46204</x:v>
      </x:c>
      <x:c r="D2000" t="str">
        <x:v>Entidad financiera E</x:v>
      </x:c>
      <x:c r="E2000" t="str">
        <x:v>Crédito educativo</x:v>
      </x:c>
      <x:c r="F2000" t="n">
        <x:v>22360000</x:v>
      </x:c>
      <x:c r="G2000" s="40" t="n">
        <x:v>0.1689</x:v>
      </x:c>
      <x:c r="H2000" s="40" t="n">
        <x:v>0.01309</x:v>
      </x:c>
      <x:c r="I2000" t="n">
        <x:v>18</x:v>
      </x:c>
      <x:c r="J2000" t="n">
        <x:v>1402400</x:v>
      </x:c>
      <x:c r="K2000" t="str">
        <x:v>Bola de nieve</x:v>
      </x:c>
      <x:c r="L2000" t="str">
        <x:v>Vigente</x:v>
      </x:c>
      <x:c r="M2000" t="n">
        <x:v>19275013.26</x:v>
      </x:c>
      <x:c r="N2000"/>
    </x:row>
    <x:row r="2001">
      <x:c r="A2001" t="str">
        <x:v>DEU-002000</x:v>
      </x:c>
      <x:c r="B2001" t="str">
        <x:v>USR-01024</x:v>
      </x:c>
      <x:c r="C2001" t="n">
        <x:v>46204</x:v>
      </x:c>
      <x:c r="D2001" t="str">
        <x:v>Cooperativa C</x:v>
      </x:c>
      <x:c r="E2001" t="str">
        <x:v>Tarjeta de crédito</x:v>
      </x:c>
      <x:c r="F2001" t="n">
        <x:v>7230000</x:v>
      </x:c>
      <x:c r="G2001" s="40" t="n">
        <x:v>0.2825</x:v>
      </x:c>
      <x:c r="H2001" s="40" t="n">
        <x:v>0.020951</x:v>
      </x:c>
      <x:c r="I2001" t="n">
        <x:v>12</x:v>
      </x:c>
      <x:c r="J2001" t="n">
        <x:v>687700</x:v>
      </x:c>
      <x:c r="K2001" t="str">
        <x:v>Avalancha</x:v>
      </x:c>
      <x:c r="L2001" t="str">
        <x:v>Vigente</x:v>
      </x:c>
      <x:c r="M2001" t="n">
        <x:v>6582081.04</x:v>
      </x:c>
      <x:c r="N2001"/>
    </x:row>
    <x:row r="2002">
      <x:c r="A2002" t="str">
        <x:v>DEU-002001</x:v>
      </x:c>
      <x:c r="B2002" t="str">
        <x:v>USR-01025</x:v>
      </x:c>
      <x:c r="C2002" t="n">
        <x:v>46204</x:v>
      </x:c>
      <x:c r="D2002" t="str">
        <x:v>Entidad financiera A</x:v>
      </x:c>
      <x:c r="E2002" t="str">
        <x:v>Crédito de libre inversión</x:v>
      </x:c>
      <x:c r="F2002" t="n">
        <x:v>21740000</x:v>
      </x:c>
      <x:c r="G2002" s="40" t="n">
        <x:v>0.1392</x:v>
      </x:c>
      <x:c r="H2002" s="40" t="n">
        <x:v>0.01092</x:v>
      </x:c>
      <x:c r="I2002" t="n">
        <x:v>36</x:v>
      </x:c>
      <x:c r="J2002" t="n">
        <x:v>733600</x:v>
      </x:c>
      <x:c r="K2002" t="str">
        <x:v>Bola de nieve</x:v>
      </x:c>
      <x:c r="L2002" t="str">
        <x:v>Vigente</x:v>
      </x:c>
      <x:c r="M2002" t="n">
        <x:v>20125069.14</x:v>
      </x:c>
      <x:c r="N2002"/>
    </x:row>
    <x:row r="2003">
      <x:c r="A2003" t="str">
        <x:v>DEU-002002</x:v>
      </x:c>
      <x:c r="B2003" t="str">
        <x:v>USR-01025</x:v>
      </x:c>
      <x:c r="C2003" t="n">
        <x:v>46204</x:v>
      </x:c>
      <x:c r="D2003" t="str">
        <x:v>Entidad financiera A</x:v>
      </x:c>
      <x:c r="E2003" t="str">
        <x:v>Tarjeta de crédito</x:v>
      </x:c>
      <x:c r="F2003" t="n">
        <x:v>6680000</x:v>
      </x:c>
      <x:c r="G2003" s="40" t="n">
        <x:v>0.1953</x:v>
      </x:c>
      <x:c r="H2003" s="40" t="n">
        <x:v>0.014977</x:v>
      </x:c>
      <x:c r="I2003" t="n">
        <x:v>30</x:v>
      </x:c>
      <x:c r="J2003" t="n">
        <x:v>278100</x:v>
      </x:c>
      <x:c r="K2003" t="str">
        <x:v>Avalancha</x:v>
      </x:c>
      <x:c r="L2003" t="str">
        <x:v>Vigente</x:v>
      </x:c>
      <x:c r="M2003" t="n">
        <x:v>6554875.98</x:v>
      </x:c>
      <x:c r="N2003"/>
    </x:row>
    <x:row r="2004">
      <x:c r="A2004" t="str">
        <x:v>DEU-002003</x:v>
      </x:c>
      <x:c r="B2004" t="str">
        <x:v>USR-01026</x:v>
      </x:c>
      <x:c r="C2004" t="n">
        <x:v>46204</x:v>
      </x:c>
      <x:c r="D2004" t="str">
        <x:v>Cooperativa C</x:v>
      </x:c>
      <x:c r="E2004" t="str">
        <x:v>Crédito de consumo</x:v>
      </x:c>
      <x:c r="F2004" t="n">
        <x:v>10150000</x:v>
      </x:c>
      <x:c r="G2004" s="40" t="n">
        <x:v>0.221</x:v>
      </x:c>
      <x:c r="H2004" s="40" t="n">
        <x:v>0.016778</x:v>
      </x:c>
      <x:c r="I2004" t="n">
        <x:v>36</x:v>
      </x:c>
      <x:c r="J2004" t="n">
        <x:v>377900</x:v>
      </x:c>
      <x:c r="K2004" t="str">
        <x:v>Bola de nieve</x:v>
      </x:c>
      <x:c r="L2004" t="str">
        <x:v>Vigente</x:v>
      </x:c>
      <x:c r="M2004" t="n">
        <x:v>9537200.68</x:v>
      </x:c>
      <x:c r="N2004"/>
    </x:row>
    <x:row r="2005">
      <x:c r="A2005" t="str">
        <x:v>DEU-002004</x:v>
      </x:c>
      <x:c r="B2005" t="str">
        <x:v>USR-01026</x:v>
      </x:c>
      <x:c r="C2005" t="n">
        <x:v>46204</x:v>
      </x:c>
      <x:c r="D2005" t="str">
        <x:v>Financiera D</x:v>
      </x:c>
      <x:c r="E2005" t="str">
        <x:v>Crédito de libre inversión</x:v>
      </x:c>
      <x:c r="F2005" t="n">
        <x:v>2100000</x:v>
      </x:c>
      <x:c r="G2005" s="40" t="n">
        <x:v>0.1877</x:v>
      </x:c>
      <x:c r="H2005" s="40" t="n">
        <x:v>0.014438</x:v>
      </x:c>
      <x:c r="I2005" t="n">
        <x:v>60</x:v>
      </x:c>
      <x:c r="J2005" t="n">
        <x:v>52600</x:v>
      </x:c>
      <x:c r="K2005" t="str">
        <x:v>Bola de nieve</x:v>
      </x:c>
      <x:c r="L2005" t="str">
        <x:v>Vigente</x:v>
      </x:c>
      <x:c r="M2005" t="n">
        <x:v>2139679.8</x:v>
      </x:c>
      <x:c r="N2005"/>
    </x:row>
    <x:row r="2006">
      <x:c r="A2006" t="str">
        <x:v>DEU-002005</x:v>
      </x:c>
      <x:c r="B2006" t="str">
        <x:v>USR-01027</x:v>
      </x:c>
      <x:c r="C2006" t="n">
        <x:v>46204</x:v>
      </x:c>
      <x:c r="D2006" t="str">
        <x:v>Entidad financiera A</x:v>
      </x:c>
      <x:c r="E2006" t="str">
        <x:v>Crédito educativo</x:v>
      </x:c>
      <x:c r="F2006" t="n">
        <x:v>9750000</x:v>
      </x:c>
      <x:c r="G2006" s="40" t="n">
        <x:v>0.1392</x:v>
      </x:c>
      <x:c r="H2006" s="40" t="n">
        <x:v>0.01092</x:v>
      </x:c>
      <x:c r="I2006" t="n">
        <x:v>18</x:v>
      </x:c>
      <x:c r="J2006" t="n">
        <x:v>599600</x:v>
      </x:c>
      <x:c r="K2006" t="str">
        <x:v>Bola de nieve</x:v>
      </x:c>
      <x:c r="L2006" t="str">
        <x:v>Vigente</x:v>
      </x:c>
      <x:c r="M2006" t="n">
        <x:v>9173502.03</x:v>
      </x:c>
      <x:c r="N2006"/>
    </x:row>
    <x:row r="2007">
      <x:c r="A2007" t="str">
        <x:v>DEU-002006</x:v>
      </x:c>
      <x:c r="B2007" t="str">
        <x:v>USR-01028</x:v>
      </x:c>
      <x:c r="C2007" t="n">
        <x:v>46204</x:v>
      </x:c>
      <x:c r="D2007" t="str">
        <x:v>Financiera D</x:v>
      </x:c>
      <x:c r="E2007" t="str">
        <x:v>Crédito de consumo</x:v>
      </x:c>
      <x:c r="F2007" t="n">
        <x:v>8790000</x:v>
      </x:c>
      <x:c r="G2007" s="40" t="n">
        <x:v>0.1535</x:v>
      </x:c>
      <x:c r="H2007" s="40" t="n">
        <x:v>0.011971</x:v>
      </x:c>
      <x:c r="I2007" t="n">
        <x:v>18</x:v>
      </x:c>
      <x:c r="J2007" t="n">
        <x:v>545700</x:v>
      </x:c>
      <x:c r="K2007" t="str">
        <x:v>Bola de nieve</x:v>
      </x:c>
      <x:c r="L2007" t="str">
        <x:v>Vigente</x:v>
      </x:c>
      <x:c r="M2007" t="n">
        <x:v>7368824.66</x:v>
      </x:c>
      <x:c r="N2007"/>
    </x:row>
    <x:row r="2008">
      <x:c r="A2008" t="str">
        <x:v>DEU-002007</x:v>
      </x:c>
      <x:c r="B2008" t="str">
        <x:v>USR-01029</x:v>
      </x:c>
      <x:c r="C2008" t="n">
        <x:v>46204</x:v>
      </x:c>
      <x:c r="D2008" t="str">
        <x:v>Financiera D</x:v>
      </x:c>
      <x:c r="E2008" t="str">
        <x:v>Crédito de libre inversión</x:v>
      </x:c>
      <x:c r="F2008" t="n">
        <x:v>6620000</x:v>
      </x:c>
      <x:c r="G2008" s="40" t="n">
        <x:v>0.2429</x:v>
      </x:c>
      <x:c r="H2008" s="40" t="n">
        <x:v>0.018286</x:v>
      </x:c>
      <x:c r="I2008" t="n">
        <x:v>24</x:v>
      </x:c>
      <x:c r="J2008" t="n">
        <x:v>343200</x:v>
      </x:c>
      <x:c r="K2008" t="str">
        <x:v>Avalancha</x:v>
      </x:c>
      <x:c r="L2008" t="str">
        <x:v>Vigente</x:v>
      </x:c>
      <x:c r="M2008" t="n">
        <x:v>6297161.12</x:v>
      </x:c>
      <x:c r="N2008"/>
    </x:row>
    <x:row r="2009">
      <x:c r="A2009" t="str">
        <x:v>DEU-002008</x:v>
      </x:c>
      <x:c r="B2009" t="str">
        <x:v>USR-01029</x:v>
      </x:c>
      <x:c r="C2009" t="n">
        <x:v>46204</x:v>
      </x:c>
      <x:c r="D2009" t="str">
        <x:v>Entidad financiera A</x:v>
      </x:c>
      <x:c r="E2009" t="str">
        <x:v>Tarjeta de crédito</x:v>
      </x:c>
      <x:c r="F2009" t="n">
        <x:v>5990000</x:v>
      </x:c>
      <x:c r="G2009" s="40" t="n">
        <x:v>0.109</x:v>
      </x:c>
      <x:c r="H2009" s="40" t="n">
        <x:v>0.008659</x:v>
      </x:c>
      <x:c r="I2009" t="n">
        <x:v>36</x:v>
      </x:c>
      <x:c r="J2009" t="n">
        <x:v>194400</x:v>
      </x:c>
      <x:c r="K2009" t="str">
        <x:v>Bola de nieve</x:v>
      </x:c>
      <x:c r="L2009" t="str">
        <x:v>Vigente</x:v>
      </x:c>
      <x:c r="M2009" t="n">
        <x:v>5727267.12</x:v>
      </x:c>
      <x:c r="N2009"/>
    </x:row>
    <x:row r="2010">
      <x:c r="A2010" t="str">
        <x:v>DEU-002009</x:v>
      </x:c>
      <x:c r="B2010" t="str">
        <x:v>USR-01030</x:v>
      </x:c>
      <x:c r="C2010" t="n">
        <x:v>46204</x:v>
      </x:c>
      <x:c r="D2010" t="str">
        <x:v>Entidad financiera A</x:v>
      </x:c>
      <x:c r="E2010" t="str">
        <x:v>Crédito de libre inversión</x:v>
      </x:c>
      <x:c r="F2010" t="n">
        <x:v>7640000</x:v>
      </x:c>
      <x:c r="G2010" s="40" t="n">
        <x:v>0.2539</x:v>
      </x:c>
      <x:c r="H2010" s="40" t="n">
        <x:v>0.019034</x:v>
      </x:c>
      <x:c r="I2010" t="n">
        <x:v>18</x:v>
      </x:c>
      <x:c r="J2010" t="n">
        <x:v>505300</x:v>
      </x:c>
      <x:c r="K2010" t="str">
        <x:v>Avalancha</x:v>
      </x:c>
      <x:c r="L2010" t="str">
        <x:v>Vigente</x:v>
      </x:c>
      <x:c r="M2010" t="n">
        <x:v>6803037.09</x:v>
      </x:c>
      <x:c r="N2010"/>
    </x:row>
    <x:row r="2011">
      <x:c r="A2011" t="str">
        <x:v>DEU-002010</x:v>
      </x:c>
      <x:c r="B2011" t="str">
        <x:v>USR-01031</x:v>
      </x:c>
      <x:c r="C2011" t="n">
        <x:v>46204</x:v>
      </x:c>
      <x:c r="D2011" t="str">
        <x:v>Financiera D</x:v>
      </x:c>
      <x:c r="E2011" t="str">
        <x:v>Crédito de libre inversión</x:v>
      </x:c>
      <x:c r="F2011" t="n">
        <x:v>23750000</x:v>
      </x:c>
      <x:c r="G2011" s="40" t="n">
        <x:v>0.1486</x:v>
      </x:c>
      <x:c r="H2011" s="40" t="n">
        <x:v>0.011612</x:v>
      </x:c>
      <x:c r="I2011" t="n">
        <x:v>36</x:v>
      </x:c>
      <x:c r="J2011" t="n">
        <x:v>811000</x:v>
      </x:c>
      <x:c r="K2011" t="str">
        <x:v>Avalancha</x:v>
      </x:c>
      <x:c r="L2011" t="str">
        <x:v>Vigente</x:v>
      </x:c>
      <x:c r="M2011" t="n">
        <x:v>22654637.22</x:v>
      </x:c>
      <x:c r="N2011"/>
    </x:row>
    <x:row r="2012">
      <x:c r="A2012" t="str">
        <x:v>DEU-002011</x:v>
      </x:c>
      <x:c r="B2012" t="str">
        <x:v>USR-01031</x:v>
      </x:c>
      <x:c r="C2012" t="n">
        <x:v>46204</x:v>
      </x:c>
      <x:c r="D2012" t="str">
        <x:v>Cooperativa C</x:v>
      </x:c>
      <x:c r="E2012" t="str">
        <x:v>Crédito de consumo</x:v>
      </x:c>
      <x:c r="F2012" t="n">
        <x:v>6950000</x:v>
      </x:c>
      <x:c r="G2012" s="40" t="n">
        <x:v>0.2913</x:v>
      </x:c>
      <x:c r="H2012" s="40" t="n">
        <x:v>0.021533</x:v>
      </x:c>
      <x:c r="I2012" t="n">
        <x:v>12</x:v>
      </x:c>
      <x:c r="J2012" t="n">
        <x:v>663400</x:v>
      </x:c>
      <x:c r="K2012" t="str">
        <x:v>Avalancha</x:v>
      </x:c>
      <x:c r="L2012" t="str">
        <x:v>Vigente</x:v>
      </x:c>
      <x:c r="M2012" t="n">
        <x:v>5572188.46</x:v>
      </x:c>
      <x:c r="N2012"/>
    </x:row>
    <x:row r="2013">
      <x:c r="A2013" t="str">
        <x:v>DEU-002012</x:v>
      </x:c>
      <x:c r="B2013" t="str">
        <x:v>USR-01032</x:v>
      </x:c>
      <x:c r="C2013" t="n">
        <x:v>46204</x:v>
      </x:c>
      <x:c r="D2013" t="str">
        <x:v>Entidad financiera B</x:v>
      </x:c>
      <x:c r="E2013" t="str">
        <x:v>Tarjeta de crédito</x:v>
      </x:c>
      <x:c r="F2013" t="n">
        <x:v>3650000</x:v>
      </x:c>
      <x:c r="G2013" s="40" t="n">
        <x:v>0.1814</x:v>
      </x:c>
      <x:c r="H2013" s="40" t="n">
        <x:v>0.013989</x:v>
      </x:c>
      <x:c r="I2013" t="n">
        <x:v>24</x:v>
      </x:c>
      <x:c r="J2013" t="n">
        <x:v>180100</x:v>
      </x:c>
      <x:c r="K2013" t="str">
        <x:v>Avalancha</x:v>
      </x:c>
      <x:c r="L2013" t="str">
        <x:v>Vigente</x:v>
      </x:c>
      <x:c r="M2013" t="n">
        <x:v>3330449.02</x:v>
      </x:c>
      <x:c r="N2013"/>
    </x:row>
    <x:row r="2014">
      <x:c r="A2014" t="str">
        <x:v>DEU-002013</x:v>
      </x:c>
      <x:c r="B2014" t="str">
        <x:v>USR-01032</x:v>
      </x:c>
      <x:c r="C2014" t="n">
        <x:v>46204</x:v>
      </x:c>
      <x:c r="D2014" t="str">
        <x:v>Entidad financiera E</x:v>
      </x:c>
      <x:c r="E2014" t="str">
        <x:v>Crédito comercial</x:v>
      </x:c>
      <x:c r="F2014" t="n">
        <x:v>19410000</x:v>
      </x:c>
      <x:c r="G2014" s="40" t="n">
        <x:v>0.2253</x:v>
      </x:c>
      <x:c r="H2014" s="40" t="n">
        <x:v>0.017076</x:v>
      </x:c>
      <x:c r="I2014" t="n">
        <x:v>48</x:v>
      </x:c>
      <x:c r="J2014" t="n">
        <x:v>595700</x:v>
      </x:c>
      <x:c r="K2014" t="str">
        <x:v>Avalancha</x:v>
      </x:c>
      <x:c r="L2014" t="str">
        <x:v>Vigente</x:v>
      </x:c>
      <x:c r="M2014" t="n">
        <x:v>18214812.31</x:v>
      </x:c>
      <x:c r="N2014"/>
    </x:row>
    <x:row r="2015">
      <x:c r="A2015" t="str">
        <x:v>DEU-002014</x:v>
      </x:c>
      <x:c r="B2015" t="str">
        <x:v>USR-01033</x:v>
      </x:c>
      <x:c r="C2015" t="n">
        <x:v>46204</x:v>
      </x:c>
      <x:c r="D2015" t="str">
        <x:v>Entidad financiera E</x:v>
      </x:c>
      <x:c r="E2015" t="str">
        <x:v>Crédito de libre inversión</x:v>
      </x:c>
      <x:c r="F2015" t="n">
        <x:v>18700000</x:v>
      </x:c>
      <x:c r="G2015" s="40" t="n">
        <x:v>0.212</x:v>
      </x:c>
      <x:c r="H2015" s="40" t="n">
        <x:v>0.016152</x:v>
      </x:c>
      <x:c r="I2015" t="n">
        <x:v>36</x:v>
      </x:c>
      <x:c r="J2015" t="n">
        <x:v>689100</x:v>
      </x:c>
      <x:c r="K2015" t="str">
        <x:v>Avalancha</x:v>
      </x:c>
      <x:c r="L2015" t="str">
        <x:v>Vigente</x:v>
      </x:c>
      <x:c r="M2015" t="n">
        <x:v>17617144.92</x:v>
      </x:c>
      <x:c r="N2015"/>
    </x:row>
    <x:row r="2016">
      <x:c r="A2016" t="str">
        <x:v>DEU-002015</x:v>
      </x:c>
      <x:c r="B2016" t="str">
        <x:v>USR-01034</x:v>
      </x:c>
      <x:c r="C2016" t="n">
        <x:v>46204</x:v>
      </x:c>
      <x:c r="D2016" t="str">
        <x:v>Entidad financiera E</x:v>
      </x:c>
      <x:c r="E2016" t="str">
        <x:v>Crédito educativo</x:v>
      </x:c>
      <x:c r="F2016" t="n">
        <x:v>6930000</x:v>
      </x:c>
      <x:c r="G2016" s="40" t="n">
        <x:v>0.1128</x:v>
      </x:c>
      <x:c r="H2016" s="40" t="n">
        <x:v>0.008946</x:v>
      </x:c>
      <x:c r="I2016" t="n">
        <x:v>12</x:v>
      </x:c>
      <x:c r="J2016" t="n">
        <x:v>611600</x:v>
      </x:c>
      <x:c r="K2016" t="str">
        <x:v>Avalancha</x:v>
      </x:c>
      <x:c r="L2016" t="str">
        <x:v>Vigente</x:v>
      </x:c>
      <x:c r="M2016" t="n">
        <x:v>7117664.51</x:v>
      </x:c>
      <x:c r="N2016"/>
    </x:row>
    <x:row r="2017">
      <x:c r="A2017" t="str">
        <x:v>DEU-002016</x:v>
      </x:c>
      <x:c r="B2017" t="str">
        <x:v>USR-01034</x:v>
      </x:c>
      <x:c r="C2017" t="n">
        <x:v>46204</x:v>
      </x:c>
      <x:c r="D2017" t="str">
        <x:v>Financiera D</x:v>
      </x:c>
      <x:c r="E2017" t="str">
        <x:v>Crédito de consumo</x:v>
      </x:c>
      <x:c r="F2017" t="n">
        <x:v>17370000</x:v>
      </x:c>
      <x:c r="G2017" s="40" t="n">
        <x:v>0.2257</x:v>
      </x:c>
      <x:c r="H2017" s="40" t="n">
        <x:v>0.017104</x:v>
      </x:c>
      <x:c r="I2017" t="n">
        <x:v>30</x:v>
      </x:c>
      <x:c r="J2017" t="n">
        <x:v>745000</x:v>
      </x:c>
      <x:c r="K2017" t="str">
        <x:v>Avalancha</x:v>
      </x:c>
      <x:c r="L2017" t="str">
        <x:v>Vigente</x:v>
      </x:c>
      <x:c r="M2017" t="n">
        <x:v>16533662.7</x:v>
      </x:c>
      <x:c r="N2017"/>
    </x:row>
    <x:row r="2018">
      <x:c r="A2018" t="str">
        <x:v>DEU-002017</x:v>
      </x:c>
      <x:c r="B2018" t="str">
        <x:v>USR-01035</x:v>
      </x:c>
      <x:c r="C2018" t="n">
        <x:v>46204</x:v>
      </x:c>
      <x:c r="D2018" t="str">
        <x:v>Entidad financiera E</x:v>
      </x:c>
      <x:c r="E2018" t="str">
        <x:v>Tarjeta de crédito</x:v>
      </x:c>
      <x:c r="F2018" t="n">
        <x:v>1790000</x:v>
      </x:c>
      <x:c r="G2018" s="40" t="n">
        <x:v>0.2062</x:v>
      </x:c>
      <x:c r="H2018" s="40" t="n">
        <x:v>0.015746</x:v>
      </x:c>
      <x:c r="I2018" t="n">
        <x:v>24</x:v>
      </x:c>
      <x:c r="J2018" t="n">
        <x:v>90100</x:v>
      </x:c>
      <x:c r="K2018" t="str">
        <x:v>Avalancha</x:v>
      </x:c>
      <x:c r="L2018" t="str">
        <x:v>Vigente</x:v>
      </x:c>
      <x:c r="M2018" t="n">
        <x:v>1734773.46</x:v>
      </x:c>
      <x:c r="N2018"/>
    </x:row>
    <x:row r="2019">
      <x:c r="A2019" t="str">
        <x:v>DEU-002018</x:v>
      </x:c>
      <x:c r="B2019" t="str">
        <x:v>USR-01035</x:v>
      </x:c>
      <x:c r="C2019" t="n">
        <x:v>46204</x:v>
      </x:c>
      <x:c r="D2019" t="str">
        <x:v>Financiera D</x:v>
      </x:c>
      <x:c r="E2019" t="str">
        <x:v>Tarjeta de crédito</x:v>
      </x:c>
      <x:c r="F2019" t="n">
        <x:v>2430000</x:v>
      </x:c>
      <x:c r="G2019" s="40" t="n">
        <x:v>0.2122</x:v>
      </x:c>
      <x:c r="H2019" s="40" t="n">
        <x:v>0.016166</x:v>
      </x:c>
      <x:c r="I2019" t="n">
        <x:v>36</x:v>
      </x:c>
      <x:c r="J2019" t="n">
        <x:v>89600</x:v>
      </x:c>
      <x:c r="K2019" t="str">
        <x:v>Avalancha</x:v>
      </x:c>
      <x:c r="L2019" t="str">
        <x:v>Vigente</x:v>
      </x:c>
      <x:c r="M2019" t="n">
        <x:v>2369114.72</x:v>
      </x:c>
      <x:c r="N2019"/>
    </x:row>
    <x:row r="2020">
      <x:c r="A2020" t="str">
        <x:v>DEU-002019</x:v>
      </x:c>
      <x:c r="B2020" t="str">
        <x:v>USR-01036</x:v>
      </x:c>
      <x:c r="C2020" t="n">
        <x:v>46204</x:v>
      </x:c>
      <x:c r="D2020" t="str">
        <x:v>Financiera D</x:v>
      </x:c>
      <x:c r="E2020" t="str">
        <x:v>Crédito de libre inversión</x:v>
      </x:c>
      <x:c r="F2020" t="n">
        <x:v>7420000</x:v>
      </x:c>
      <x:c r="G2020" s="40" t="n">
        <x:v>0.3106</x:v>
      </x:c>
      <x:c r="H2020" s="40" t="n">
        <x:v>0.022796</x:v>
      </x:c>
      <x:c r="I2020" t="n">
        <x:v>30</x:v>
      </x:c>
      <x:c r="J2020" t="n">
        <x:v>344200</x:v>
      </x:c>
      <x:c r="K2020" t="str">
        <x:v>Avalancha</x:v>
      </x:c>
      <x:c r="L2020" t="str">
        <x:v>Vigente</x:v>
      </x:c>
      <x:c r="M2020" t="n">
        <x:v>6480682.12</x:v>
      </x:c>
      <x:c r="N2020"/>
    </x:row>
    <x:row r="2021">
      <x:c r="A2021" t="str">
        <x:v>DEU-002020</x:v>
      </x:c>
      <x:c r="B2021" t="str">
        <x:v>USR-01036</x:v>
      </x:c>
      <x:c r="C2021" t="n">
        <x:v>46204</x:v>
      </x:c>
      <x:c r="D2021" t="str">
        <x:v>Financiera D</x:v>
      </x:c>
      <x:c r="E2021" t="str">
        <x:v>Tarjeta de crédito</x:v>
      </x:c>
      <x:c r="F2021" t="n">
        <x:v>1610000</x:v>
      </x:c>
      <x:c r="G2021" s="40" t="n">
        <x:v>0.2406</x:v>
      </x:c>
      <x:c r="H2021" s="40" t="n">
        <x:v>0.018129</x:v>
      </x:c>
      <x:c r="I2021" t="n">
        <x:v>30</x:v>
      </x:c>
      <x:c r="J2021" t="n">
        <x:v>70000</x:v>
      </x:c>
      <x:c r="K2021" t="str">
        <x:v>Bola de nieve</x:v>
      </x:c>
      <x:c r="L2021" t="str">
        <x:v>Vigente</x:v>
      </x:c>
      <x:c r="M2021" t="n">
        <x:v>1521597.2</x:v>
      </x:c>
      <x:c r="N2021"/>
    </x:row>
    <x:row r="2022">
      <x:c r="A2022" t="str">
        <x:v>DEU-002021</x:v>
      </x:c>
      <x:c r="B2022" t="str">
        <x:v>USR-01036</x:v>
      </x:c>
      <x:c r="C2022" t="n">
        <x:v>46204</x:v>
      </x:c>
      <x:c r="D2022" t="str">
        <x:v>Financiera D</x:v>
      </x:c>
      <x:c r="E2022" t="str">
        <x:v>Crédito de consumo</x:v>
      </x:c>
      <x:c r="F2022" t="n">
        <x:v>11570000</x:v>
      </x:c>
      <x:c r="G2022" s="40" t="n">
        <x:v>0.2668</x:v>
      </x:c>
      <x:c r="H2022" s="40" t="n">
        <x:v>0.019903</x:v>
      </x:c>
      <x:c r="I2022" t="n">
        <x:v>60</x:v>
      </x:c>
      <x:c r="J2022" t="n">
        <x:v>332100</x:v>
      </x:c>
      <x:c r="K2022" t="str">
        <x:v>Bola de nieve</x:v>
      </x:c>
      <x:c r="L2022" t="str">
        <x:v>Vigente</x:v>
      </x:c>
      <x:c r="M2022" t="n">
        <x:v>11727315.29</x:v>
      </x:c>
      <x:c r="N2022"/>
    </x:row>
    <x:row r="2023">
      <x:c r="A2023" t="str">
        <x:v>DEU-002022</x:v>
      </x:c>
      <x:c r="B2023" t="str">
        <x:v>USR-01036</x:v>
      </x:c>
      <x:c r="C2023" t="n">
        <x:v>46204</x:v>
      </x:c>
      <x:c r="D2023" t="str">
        <x:v>Financiera D</x:v>
      </x:c>
      <x:c r="E2023" t="str">
        <x:v>Crédito de consumo</x:v>
      </x:c>
      <x:c r="F2023" t="n">
        <x:v>17920000</x:v>
      </x:c>
      <x:c r="G2023" s="40" t="n">
        <x:v>0.1986</x:v>
      </x:c>
      <x:c r="H2023" s="40" t="n">
        <x:v>0.015211</x:v>
      </x:c>
      <x:c r="I2023" t="n">
        <x:v>60</x:v>
      </x:c>
      <x:c r="J2023" t="n">
        <x:v>457500</x:v>
      </x:c>
      <x:c r="K2023" t="str">
        <x:v>Bola de nieve</x:v>
      </x:c>
      <x:c r="L2023" t="str">
        <x:v>Vigente</x:v>
      </x:c>
      <x:c r="M2023" t="n">
        <x:v>17635442.85</x:v>
      </x:c>
      <x:c r="N2023"/>
    </x:row>
    <x:row r="2024">
      <x:c r="A2024" t="str">
        <x:v>DEU-002023</x:v>
      </x:c>
      <x:c r="B2024" t="str">
        <x:v>USR-01037</x:v>
      </x:c>
      <x:c r="C2024" t="n">
        <x:v>46204</x:v>
      </x:c>
      <x:c r="D2024" t="str">
        <x:v>Cooperativa C</x:v>
      </x:c>
      <x:c r="E2024" t="str">
        <x:v>Crédito de consumo</x:v>
      </x:c>
      <x:c r="F2024" t="n">
        <x:v>16280000</x:v>
      </x:c>
      <x:c r="G2024" s="40" t="n">
        <x:v>0.2296</x:v>
      </x:c>
      <x:c r="H2024" s="40" t="n">
        <x:v>0.017373</x:v>
      </x:c>
      <x:c r="I2024" t="n">
        <x:v>60</x:v>
      </x:c>
      <x:c r="J2024" t="n">
        <x:v>439000</x:v>
      </x:c>
      <x:c r="K2024" t="str">
        <x:v>Bola de nieve</x:v>
      </x:c>
      <x:c r="L2024" t="str">
        <x:v>Vigente</x:v>
      </x:c>
      <x:c r="M2024" t="n">
        <x:v>16142877.24</x:v>
      </x:c>
      <x:c r="N2024"/>
    </x:row>
    <x:row r="2025">
      <x:c r="A2025" t="str">
        <x:v>DEU-002024</x:v>
      </x:c>
      <x:c r="B2025" t="str">
        <x:v>USR-01038</x:v>
      </x:c>
      <x:c r="C2025" t="n">
        <x:v>46204</x:v>
      </x:c>
      <x:c r="D2025" t="str">
        <x:v>Entidad financiera B</x:v>
      </x:c>
      <x:c r="E2025" t="str">
        <x:v>Crédito de consumo</x:v>
      </x:c>
      <x:c r="F2025" t="n">
        <x:v>11260000</x:v>
      </x:c>
      <x:c r="G2025" s="40" t="n">
        <x:v>0.329</x:v>
      </x:c>
      <x:c r="H2025" s="40" t="n">
        <x:v>0.023985</x:v>
      </x:c>
      <x:c r="I2025" t="n">
        <x:v>18</x:v>
      </x:c>
      <x:c r="J2025" t="n">
        <x:v>777600</x:v>
      </x:c>
      <x:c r="K2025" t="str">
        <x:v>Bola de nieve</x:v>
      </x:c>
      <x:c r="L2025" t="str">
        <x:v>Vigente</x:v>
      </x:c>
      <x:c r="M2025" t="n">
        <x:v>9733853.59</x:v>
      </x:c>
      <x:c r="N2025"/>
    </x:row>
    <x:row r="2026">
      <x:c r="A2026" t="str">
        <x:v>DEU-002025</x:v>
      </x:c>
      <x:c r="B2026" t="str">
        <x:v>USR-01038</x:v>
      </x:c>
      <x:c r="C2026" t="n">
        <x:v>46204</x:v>
      </x:c>
      <x:c r="D2026" t="str">
        <x:v>Entidad financiera E</x:v>
      </x:c>
      <x:c r="E2026" t="str">
        <x:v>Crédito educativo</x:v>
      </x:c>
      <x:c r="F2026" t="n">
        <x:v>24980000</x:v>
      </x:c>
      <x:c r="G2026" s="40" t="n">
        <x:v>0.3387</x:v>
      </x:c>
      <x:c r="H2026" s="40" t="n">
        <x:v>0.024606</x:v>
      </x:c>
      <x:c r="I2026" t="n">
        <x:v>36</x:v>
      </x:c>
      <x:c r="J2026" t="n">
        <x:v>1054000</x:v>
      </x:c>
      <x:c r="K2026" t="str">
        <x:v>Avalancha</x:v>
      </x:c>
      <x:c r="L2026" t="str">
        <x:v>Vigente</x:v>
      </x:c>
      <x:c r="M2026" t="n">
        <x:v>23629284.1</x:v>
      </x:c>
      <x:c r="N2026"/>
    </x:row>
    <x:row r="2027">
      <x:c r="A2027" t="str">
        <x:v>DEU-002026</x:v>
      </x:c>
      <x:c r="B2027" t="str">
        <x:v>USR-01039</x:v>
      </x:c>
      <x:c r="C2027" t="n">
        <x:v>46204</x:v>
      </x:c>
      <x:c r="D2027" t="str">
        <x:v>Entidad financiera E</x:v>
      </x:c>
      <x:c r="E2027" t="str">
        <x:v>Tarjeta de crédito</x:v>
      </x:c>
      <x:c r="F2027" t="n">
        <x:v>6040000</x:v>
      </x:c>
      <x:c r="G2027" s="40" t="n">
        <x:v>0.1384</x:v>
      </x:c>
      <x:c r="H2027" s="40" t="n">
        <x:v>0.010861</x:v>
      </x:c>
      <x:c r="I2027" t="n">
        <x:v>60</x:v>
      </x:c>
      <x:c r="J2027" t="n">
        <x:v>137500</x:v>
      </x:c>
      <x:c r="K2027" t="str">
        <x:v>Avalancha</x:v>
      </x:c>
      <x:c r="L2027" t="str">
        <x:v>Vigente</x:v>
      </x:c>
      <x:c r="M2027" t="n">
        <x:v>5850042.25</x:v>
      </x:c>
      <x:c r="N2027"/>
    </x:row>
    <x:row r="2028">
      <x:c r="A2028" t="str">
        <x:v>DEU-002027</x:v>
      </x:c>
      <x:c r="B2028" t="str">
        <x:v>USR-01040</x:v>
      </x:c>
      <x:c r="C2028" t="n">
        <x:v>46204</x:v>
      </x:c>
      <x:c r="D2028" t="str">
        <x:v>Entidad financiera B</x:v>
      </x:c>
      <x:c r="E2028" t="str">
        <x:v>Tarjeta de crédito</x:v>
      </x:c>
      <x:c r="F2028" t="n">
        <x:v>4250000</x:v>
      </x:c>
      <x:c r="G2028" s="40" t="n">
        <x:v>0.3224</x:v>
      </x:c>
      <x:c r="H2028" s="40" t="n">
        <x:v>0.023561</x:v>
      </x:c>
      <x:c r="I2028" t="n">
        <x:v>12</x:v>
      </x:c>
      <x:c r="J2028" t="n">
        <x:v>410700</x:v>
      </x:c>
      <x:c r="K2028" t="str">
        <x:v>Avalancha</x:v>
      </x:c>
      <x:c r="L2028" t="str">
        <x:v>Vigente</x:v>
      </x:c>
      <x:c r="M2028" t="n">
        <x:v>3233122.74</x:v>
      </x:c>
      <x:c r="N2028"/>
    </x:row>
    <x:row r="2029">
      <x:c r="A2029" t="str">
        <x:v>DEU-002028</x:v>
      </x:c>
      <x:c r="B2029" t="str">
        <x:v>USR-01041</x:v>
      </x:c>
      <x:c r="C2029" t="n">
        <x:v>46204</x:v>
      </x:c>
      <x:c r="D2029" t="str">
        <x:v>Entidad financiera A</x:v>
      </x:c>
      <x:c r="E2029" t="str">
        <x:v>Tarjeta de crédito</x:v>
      </x:c>
      <x:c r="F2029" t="n">
        <x:v>5140000</x:v>
      </x:c>
      <x:c r="G2029" s="40" t="n">
        <x:v>0.1969</x:v>
      </x:c>
      <x:c r="H2029" s="40" t="n">
        <x:v>0.015091</x:v>
      </x:c>
      <x:c r="I2029" t="n">
        <x:v>12</x:v>
      </x:c>
      <x:c r="J2029" t="n">
        <x:v>471500</x:v>
      </x:c>
      <x:c r="K2029" t="str">
        <x:v>Avalancha</x:v>
      </x:c>
      <x:c r="L2029" t="str">
        <x:v>Vigente</x:v>
      </x:c>
      <x:c r="M2029" t="n">
        <x:v>4346039.09</x:v>
      </x:c>
      <x:c r="N2029"/>
    </x:row>
    <x:row r="2030">
      <x:c r="A2030" t="str">
        <x:v>DEU-002029</x:v>
      </x:c>
      <x:c r="B2030" t="str">
        <x:v>USR-01042</x:v>
      </x:c>
      <x:c r="C2030" t="n">
        <x:v>46204</x:v>
      </x:c>
      <x:c r="D2030" t="str">
        <x:v>Cooperativa C</x:v>
      </x:c>
      <x:c r="E2030" t="str">
        <x:v>Crédito de consumo</x:v>
      </x:c>
      <x:c r="F2030" t="n">
        <x:v>12870000</x:v>
      </x:c>
      <x:c r="G2030" s="40" t="n">
        <x:v>0.2102</x:v>
      </x:c>
      <x:c r="H2030" s="40" t="n">
        <x:v>0.016026</x:v>
      </x:c>
      <x:c r="I2030" t="n">
        <x:v>60</x:v>
      </x:c>
      <x:c r="J2030" t="n">
        <x:v>335500</x:v>
      </x:c>
      <x:c r="K2030" t="str">
        <x:v>Bola de nieve</x:v>
      </x:c>
      <x:c r="L2030" t="str">
        <x:v>Vigente</x:v>
      </x:c>
      <x:c r="M2030" t="n">
        <x:v>12973350.95</x:v>
      </x:c>
      <x:c r="N2030"/>
    </x:row>
    <x:row r="2031">
      <x:c r="A2031" t="str">
        <x:v>DEU-002030</x:v>
      </x:c>
      <x:c r="B2031" t="str">
        <x:v>USR-01043</x:v>
      </x:c>
      <x:c r="C2031" t="n">
        <x:v>46204</x:v>
      </x:c>
      <x:c r="D2031" t="str">
        <x:v>Entidad financiera E</x:v>
      </x:c>
      <x:c r="E2031" t="str">
        <x:v>Crédito de consumo</x:v>
      </x:c>
      <x:c r="F2031" t="n">
        <x:v>16920000</x:v>
      </x:c>
      <x:c r="G2031" s="40" t="n">
        <x:v>0.2864</x:v>
      </x:c>
      <x:c r="H2031" s="40" t="n">
        <x:v>0.021209</x:v>
      </x:c>
      <x:c r="I2031" t="n">
        <x:v>24</x:v>
      </x:c>
      <x:c r="J2031" t="n">
        <x:v>906900</x:v>
      </x:c>
      <x:c r="K2031" t="str">
        <x:v>Avalancha</x:v>
      </x:c>
      <x:c r="L2031" t="str">
        <x:v>Vigente</x:v>
      </x:c>
      <x:c r="M2031" t="n">
        <x:v>16166890.66</x:v>
      </x:c>
      <x:c r="N2031"/>
    </x:row>
    <x:row r="2032">
      <x:c r="A2032" t="str">
        <x:v>DEU-002031</x:v>
      </x:c>
      <x:c r="B2032" t="str">
        <x:v>USR-01044</x:v>
      </x:c>
      <x:c r="C2032" t="n">
        <x:v>46204</x:v>
      </x:c>
      <x:c r="D2032" t="str">
        <x:v>Cooperativa C</x:v>
      </x:c>
      <x:c r="E2032" t="str">
        <x:v>Crédito comercial</x:v>
      </x:c>
      <x:c r="F2032" t="n">
        <x:v>33770000</x:v>
      </x:c>
      <x:c r="G2032" s="40" t="n">
        <x:v>0.1897</x:v>
      </x:c>
      <x:c r="H2032" s="40" t="n">
        <x:v>0.01458</x:v>
      </x:c>
      <x:c r="I2032" t="n">
        <x:v>24</x:v>
      </x:c>
      <x:c r="J2032" t="n">
        <x:v>1677700</x:v>
      </x:c>
      <x:c r="K2032" t="str">
        <x:v>Avalancha</x:v>
      </x:c>
      <x:c r="L2032" t="str">
        <x:v>Vigente</x:v>
      </x:c>
      <x:c r="M2032" t="n">
        <x:v>29902844.73</x:v>
      </x:c>
      <x:c r="N2032"/>
    </x:row>
    <x:row r="2033">
      <x:c r="A2033" t="str">
        <x:v>DEU-002032</x:v>
      </x:c>
      <x:c r="B2033" t="str">
        <x:v>USR-01044</x:v>
      </x:c>
      <x:c r="C2033" t="n">
        <x:v>46204</x:v>
      </x:c>
      <x:c r="D2033" t="str">
        <x:v>Cooperativa C</x:v>
      </x:c>
      <x:c r="E2033" t="str">
        <x:v>Tarjeta de crédito</x:v>
      </x:c>
      <x:c r="F2033" t="n">
        <x:v>7110000</x:v>
      </x:c>
      <x:c r="G2033" s="40" t="n">
        <x:v>0.1599</x:v>
      </x:c>
      <x:c r="H2033" s="40" t="n">
        <x:v>0.012438</x:v>
      </x:c>
      <x:c r="I2033" t="n">
        <x:v>24</x:v>
      </x:c>
      <x:c r="J2033" t="n">
        <x:v>344500</x:v>
      </x:c>
      <x:c r="K2033" t="str">
        <x:v>Bola de nieve</x:v>
      </x:c>
      <x:c r="L2033" t="str">
        <x:v>Vigente</x:v>
      </x:c>
      <x:c r="M2033" t="n">
        <x:v>6701885.21</x:v>
      </x:c>
      <x:c r="N2033"/>
    </x:row>
    <x:row r="2034">
      <x:c r="A2034" t="str">
        <x:v>DEU-002033</x:v>
      </x:c>
      <x:c r="B2034" t="str">
        <x:v>USR-01045</x:v>
      </x:c>
      <x:c r="C2034" t="n">
        <x:v>46204</x:v>
      </x:c>
      <x:c r="D2034" t="str">
        <x:v>Entidad financiera A</x:v>
      </x:c>
      <x:c r="E2034" t="str">
        <x:v>Tarjeta de crédito</x:v>
      </x:c>
      <x:c r="F2034" t="n">
        <x:v>8170000</x:v>
      </x:c>
      <x:c r="G2034" s="40" t="n">
        <x:v>0.1681</x:v>
      </x:c>
      <x:c r="H2034" s="40" t="n">
        <x:v>0.013032</x:v>
      </x:c>
      <x:c r="I2034" t="n">
        <x:v>12</x:v>
      </x:c>
      <x:c r="J2034" t="n">
        <x:v>739900</x:v>
      </x:c>
      <x:c r="K2034" t="str">
        <x:v>Avalancha</x:v>
      </x:c>
      <x:c r="L2034" t="str">
        <x:v>Vigente</x:v>
      </x:c>
      <x:c r="M2034" t="n">
        <x:v>7020768.11</x:v>
      </x:c>
      <x:c r="N2034"/>
    </x:row>
    <x:row r="2035">
      <x:c r="A2035" t="str">
        <x:v>DEU-002034</x:v>
      </x:c>
      <x:c r="B2035" t="str">
        <x:v>USR-01045</x:v>
      </x:c>
      <x:c r="C2035" t="n">
        <x:v>46204</x:v>
      </x:c>
      <x:c r="D2035" t="str">
        <x:v>Entidad financiera E</x:v>
      </x:c>
      <x:c r="E2035" t="str">
        <x:v>Crédito de consumo</x:v>
      </x:c>
      <x:c r="F2035" t="n">
        <x:v>12990000</x:v>
      </x:c>
      <x:c r="G2035" s="40" t="n">
        <x:v>0.1529</x:v>
      </x:c>
      <x:c r="H2035" s="40" t="n">
        <x:v>0.011927</x:v>
      </x:c>
      <x:c r="I2035" t="n">
        <x:v>36</x:v>
      </x:c>
      <x:c r="J2035" t="n">
        <x:v>445900</x:v>
      </x:c>
      <x:c r="K2035" t="str">
        <x:v>Avalancha</x:v>
      </x:c>
      <x:c r="L2035" t="str">
        <x:v>Vigente</x:v>
      </x:c>
      <x:c r="M2035" t="n">
        <x:v>12128411.92</x:v>
      </x:c>
      <x:c r="N2035"/>
    </x:row>
    <x:row r="2036">
      <x:c r="A2036" t="str">
        <x:v>DEU-002035</x:v>
      </x:c>
      <x:c r="B2036" t="str">
        <x:v>USR-01046</x:v>
      </x:c>
      <x:c r="C2036" t="n">
        <x:v>46204</x:v>
      </x:c>
      <x:c r="D2036" t="str">
        <x:v>Financiera D</x:v>
      </x:c>
      <x:c r="E2036" t="str">
        <x:v>Crédito educativo</x:v>
      </x:c>
      <x:c r="F2036" t="n">
        <x:v>23790000</x:v>
      </x:c>
      <x:c r="G2036" s="40" t="n">
        <x:v>0.1206</x:v>
      </x:c>
      <x:c r="H2036" s="40" t="n">
        <x:v>0.009534</x:v>
      </x:c>
      <x:c r="I2036" t="n">
        <x:v>18</x:v>
      </x:c>
      <x:c r="J2036" t="n">
        <x:v>1444600</x:v>
      </x:c>
      <x:c r="K2036" t="str">
        <x:v>Avalancha</x:v>
      </x:c>
      <x:c r="L2036" t="str">
        <x:v>Vigente</x:v>
      </x:c>
      <x:c r="M2036" t="n">
        <x:v>19823178.41</x:v>
      </x:c>
      <x:c r="N2036"/>
    </x:row>
    <x:row r="2037">
      <x:c r="A2037" t="str">
        <x:v>DEU-002036</x:v>
      </x:c>
      <x:c r="B2037" t="str">
        <x:v>USR-01046</x:v>
      </x:c>
      <x:c r="C2037" t="n">
        <x:v>46204</x:v>
      </x:c>
      <x:c r="D2037" t="str">
        <x:v>Entidad financiera E</x:v>
      </x:c>
      <x:c r="E2037" t="str">
        <x:v>Crédito de consumo</x:v>
      </x:c>
      <x:c r="F2037" t="n">
        <x:v>15510000</x:v>
      </x:c>
      <x:c r="G2037" s="40" t="n">
        <x:v>0.263</x:v>
      </x:c>
      <x:c r="H2037" s="40" t="n">
        <x:v>0.019648</x:v>
      </x:c>
      <x:c r="I2037" t="n">
        <x:v>48</x:v>
      </x:c>
      <x:c r="J2037" t="n">
        <x:v>502000</x:v>
      </x:c>
      <x:c r="K2037" t="str">
        <x:v>Bola de nieve</x:v>
      </x:c>
      <x:c r="L2037" t="str">
        <x:v>Vigente</x:v>
      </x:c>
      <x:c r="M2037" t="n">
        <x:v>15236802.93</x:v>
      </x:c>
      <x:c r="N2037"/>
    </x:row>
    <x:row r="2038">
      <x:c r="A2038" t="str">
        <x:v>DEU-002037</x:v>
      </x:c>
      <x:c r="B2038" t="str">
        <x:v>USR-01047</x:v>
      </x:c>
      <x:c r="C2038" t="n">
        <x:v>46204</x:v>
      </x:c>
      <x:c r="D2038" t="str">
        <x:v>Entidad financiera B</x:v>
      </x:c>
      <x:c r="E2038" t="str">
        <x:v>Tarjeta de crédito</x:v>
      </x:c>
      <x:c r="F2038" t="n">
        <x:v>2050000</x:v>
      </x:c>
      <x:c r="G2038" s="40" t="n">
        <x:v>0.1115</x:v>
      </x:c>
      <x:c r="H2038" s="40" t="n">
        <x:v>0.008848</x:v>
      </x:c>
      <x:c r="I2038" t="n">
        <x:v>48</x:v>
      </x:c>
      <x:c r="J2038" t="n">
        <x:v>52600</x:v>
      </x:c>
      <x:c r="K2038" t="str">
        <x:v>Avalancha</x:v>
      </x:c>
      <x:c r="L2038" t="str">
        <x:v>Vigente</x:v>
      </x:c>
      <x:c r="M2038" t="n">
        <x:v>1948250.98</x:v>
      </x:c>
      <x:c r="N2038"/>
    </x:row>
    <x:row r="2039">
      <x:c r="A2039" t="str">
        <x:v>DEU-002038</x:v>
      </x:c>
      <x:c r="B2039" t="str">
        <x:v>USR-01047</x:v>
      </x:c>
      <x:c r="C2039" t="n">
        <x:v>46204</x:v>
      </x:c>
      <x:c r="D2039" t="str">
        <x:v>Cooperativa C</x:v>
      </x:c>
      <x:c r="E2039" t="str">
        <x:v>Crédito de consumo</x:v>
      </x:c>
      <x:c r="F2039" t="n">
        <x:v>6610000</x:v>
      </x:c>
      <x:c r="G2039" s="40" t="n">
        <x:v>0.3143</x:v>
      </x:c>
      <x:c r="H2039" s="40" t="n">
        <x:v>0.023037</x:v>
      </x:c>
      <x:c r="I2039" t="n">
        <x:v>30</x:v>
      </x:c>
      <x:c r="J2039" t="n">
        <x:v>307600</x:v>
      </x:c>
      <x:c r="K2039" t="str">
        <x:v>Avalancha</x:v>
      </x:c>
      <x:c r="L2039" t="str">
        <x:v>Vigente</x:v>
      </x:c>
      <x:c r="M2039" t="n">
        <x:v>6099289.97</x:v>
      </x:c>
      <x:c r="N2039"/>
    </x:row>
    <x:row r="2040">
      <x:c r="A2040" t="str">
        <x:v>DEU-002039</x:v>
      </x:c>
      <x:c r="B2040" t="str">
        <x:v>USR-01047</x:v>
      </x:c>
      <x:c r="C2040" t="n">
        <x:v>46204</x:v>
      </x:c>
      <x:c r="D2040" t="str">
        <x:v>Entidad financiera A</x:v>
      </x:c>
      <x:c r="E2040" t="str">
        <x:v>Crédito comercial</x:v>
      </x:c>
      <x:c r="F2040" t="n">
        <x:v>12960000</x:v>
      </x:c>
      <x:c r="G2040" s="40" t="n">
        <x:v>0.1208</x:v>
      </x:c>
      <x:c r="H2040" s="40" t="n">
        <x:v>0.009549</x:v>
      </x:c>
      <x:c r="I2040" t="n">
        <x:v>60</x:v>
      </x:c>
      <x:c r="J2040" t="n">
        <x:v>284800</x:v>
      </x:c>
      <x:c r="K2040" t="str">
        <x:v>Bola de nieve</x:v>
      </x:c>
      <x:c r="L2040" t="str">
        <x:v>Vigente</x:v>
      </x:c>
      <x:c r="M2040" t="n">
        <x:v>12713512.26</x:v>
      </x:c>
      <x:c r="N2040"/>
    </x:row>
    <x:row r="2041">
      <x:c r="A2041" t="str">
        <x:v>DEU-002040</x:v>
      </x:c>
      <x:c r="B2041" t="str">
        <x:v>USR-01048</x:v>
      </x:c>
      <x:c r="C2041" t="n">
        <x:v>46204</x:v>
      </x:c>
      <x:c r="D2041" t="str">
        <x:v>Entidad financiera A</x:v>
      </x:c>
      <x:c r="E2041" t="str">
        <x:v>Tarjeta de crédito</x:v>
      </x:c>
      <x:c r="F2041" t="n">
        <x:v>7220000</x:v>
      </x:c>
      <x:c r="G2041" s="40" t="n">
        <x:v>0.2347</x:v>
      </x:c>
      <x:c r="H2041" s="40" t="n">
        <x:v>0.017724</x:v>
      </x:c>
      <x:c r="I2041" t="n">
        <x:v>18</x:v>
      </x:c>
      <x:c r="J2041" t="n">
        <x:v>472000</x:v>
      </x:c>
      <x:c r="K2041" t="str">
        <x:v>Bola de nieve</x:v>
      </x:c>
      <x:c r="L2041" t="str">
        <x:v>Vigente</x:v>
      </x:c>
      <x:c r="M2041" t="n">
        <x:v>7226459.13</x:v>
      </x:c>
      <x:c r="N2041"/>
    </x:row>
    <x:row r="2042">
      <x:c r="A2042" t="str">
        <x:v>DEU-002041</x:v>
      </x:c>
      <x:c r="B2042" t="str">
        <x:v>USR-01049</x:v>
      </x:c>
      <x:c r="C2042" t="n">
        <x:v>46204</x:v>
      </x:c>
      <x:c r="D2042" t="str">
        <x:v>Entidad financiera E</x:v>
      </x:c>
      <x:c r="E2042" t="str">
        <x:v>Crédito educativo</x:v>
      </x:c>
      <x:c r="F2042" t="n">
        <x:v>4720000</x:v>
      </x:c>
      <x:c r="G2042" s="40" t="n">
        <x:v>0.1524</x:v>
      </x:c>
      <x:c r="H2042" s="40" t="n">
        <x:v>0.011891</x:v>
      </x:c>
      <x:c r="I2042" t="n">
        <x:v>60</x:v>
      </x:c>
      <x:c r="J2042" t="n">
        <x:v>110500</x:v>
      </x:c>
      <x:c r="K2042" t="str">
        <x:v>Bola de nieve</x:v>
      </x:c>
      <x:c r="L2042" t="str">
        <x:v>Vigente</x:v>
      </x:c>
      <x:c r="M2042" t="n">
        <x:v>4890382.31</x:v>
      </x:c>
      <x:c r="N2042"/>
    </x:row>
    <x:row r="2043">
      <x:c r="A2043" t="str">
        <x:v>DEU-002042</x:v>
      </x:c>
      <x:c r="B2043" t="str">
        <x:v>USR-01049</x:v>
      </x:c>
      <x:c r="C2043" t="n">
        <x:v>46204</x:v>
      </x:c>
      <x:c r="D2043" t="str">
        <x:v>Cooperativa C</x:v>
      </x:c>
      <x:c r="E2043" t="str">
        <x:v>Crédito de consumo</x:v>
      </x:c>
      <x:c r="F2043" t="n">
        <x:v>7670000</x:v>
      </x:c>
      <x:c r="G2043" s="40" t="n">
        <x:v>0.1175</x:v>
      </x:c>
      <x:c r="H2043" s="40" t="n">
        <x:v>0.009301</x:v>
      </x:c>
      <x:c r="I2043" t="n">
        <x:v>24</x:v>
      </x:c>
      <x:c r="J2043" t="n">
        <x:v>358100</x:v>
      </x:c>
      <x:c r="K2043" t="str">
        <x:v>Avalancha</x:v>
      </x:c>
      <x:c r="L2043" t="str">
        <x:v>Vigente</x:v>
      </x:c>
      <x:c r="M2043" t="n">
        <x:v>7163116.39</x:v>
      </x:c>
      <x:c r="N2043"/>
    </x:row>
    <x:row r="2044">
      <x:c r="A2044" t="str">
        <x:v>DEU-002043</x:v>
      </x:c>
      <x:c r="B2044" t="str">
        <x:v>USR-01050</x:v>
      </x:c>
      <x:c r="C2044" t="n">
        <x:v>46204</x:v>
      </x:c>
      <x:c r="D2044" t="str">
        <x:v>Entidad financiera A</x:v>
      </x:c>
      <x:c r="E2044" t="str">
        <x:v>Crédito educativo</x:v>
      </x:c>
      <x:c r="F2044" t="n">
        <x:v>6210000</x:v>
      </x:c>
      <x:c r="G2044" s="40" t="n">
        <x:v>0.2557</x:v>
      </x:c>
      <x:c r="H2044" s="40" t="n">
        <x:v>0.019156</x:v>
      </x:c>
      <x:c r="I2044" t="n">
        <x:v>48</x:v>
      </x:c>
      <x:c r="J2044" t="n">
        <x:v>199000</x:v>
      </x:c>
      <x:c r="K2044" t="str">
        <x:v>Bola de nieve</x:v>
      </x:c>
      <x:c r="L2044" t="str">
        <x:v>Vigente</x:v>
      </x:c>
      <x:c r="M2044" t="n">
        <x:v>6023786.82</x:v>
      </x:c>
      <x:c r="N2044"/>
    </x:row>
    <x:row r="2045">
      <x:c r="A2045" t="str">
        <x:v>DEU-002044</x:v>
      </x:c>
      <x:c r="B2045" t="str">
        <x:v>USR-01051</x:v>
      </x:c>
      <x:c r="C2045" t="n">
        <x:v>46204</x:v>
      </x:c>
      <x:c r="D2045" t="str">
        <x:v>Cooperativa C</x:v>
      </x:c>
      <x:c r="E2045" t="str">
        <x:v>Crédito de libre inversión</x:v>
      </x:c>
      <x:c r="F2045" t="n">
        <x:v>15410000</x:v>
      </x:c>
      <x:c r="G2045" s="40" t="n">
        <x:v>0.17</x:v>
      </x:c>
      <x:c r="H2045" s="40" t="n">
        <x:v>0.01317</x:v>
      </x:c>
      <x:c r="I2045" t="n">
        <x:v>36</x:v>
      </x:c>
      <x:c r="J2045" t="n">
        <x:v>540300</x:v>
      </x:c>
      <x:c r="K2045" t="str">
        <x:v>Avalancha</x:v>
      </x:c>
      <x:c r="L2045" t="str">
        <x:v>Vigente</x:v>
      </x:c>
      <x:c r="M2045" t="n">
        <x:v>14939168.85</x:v>
      </x:c>
      <x:c r="N2045"/>
    </x:row>
    <x:row r="2046">
      <x:c r="A2046" t="str">
        <x:v>DEU-002045</x:v>
      </x:c>
      <x:c r="B2046" t="str">
        <x:v>USR-01052</x:v>
      </x:c>
      <x:c r="C2046" t="n">
        <x:v>46204</x:v>
      </x:c>
      <x:c r="D2046" t="str">
        <x:v>Entidad financiera B</x:v>
      </x:c>
      <x:c r="E2046" t="str">
        <x:v>Tarjeta de crédito</x:v>
      </x:c>
      <x:c r="F2046" t="n">
        <x:v>2290000</x:v>
      </x:c>
      <x:c r="G2046" s="40" t="n">
        <x:v>0.2661</x:v>
      </x:c>
      <x:c r="H2046" s="40" t="n">
        <x:v>0.019856</x:v>
      </x:c>
      <x:c r="I2046" t="n">
        <x:v>48</x:v>
      </x:c>
      <x:c r="J2046" t="n">
        <x:v>74400</x:v>
      </x:c>
      <x:c r="K2046" t="str">
        <x:v>Avalancha</x:v>
      </x:c>
      <x:c r="L2046" t="str">
        <x:v>Vigente</x:v>
      </x:c>
      <x:c r="M2046" t="n">
        <x:v>2256239.95</x:v>
      </x:c>
      <x:c r="N2046"/>
    </x:row>
    <x:row r="2047">
      <x:c r="A2047" t="str">
        <x:v>DEU-002046</x:v>
      </x:c>
      <x:c r="B2047" t="str">
        <x:v>USR-01052</x:v>
      </x:c>
      <x:c r="C2047" t="n">
        <x:v>46204</x:v>
      </x:c>
      <x:c r="D2047" t="str">
        <x:v>Entidad financiera E</x:v>
      </x:c>
      <x:c r="E2047" t="str">
        <x:v>Crédito de consumo</x:v>
      </x:c>
      <x:c r="F2047" t="n">
        <x:v>14360000</x:v>
      </x:c>
      <x:c r="G2047" s="40" t="n">
        <x:v>0.3183</x:v>
      </x:c>
      <x:c r="H2047" s="40" t="n">
        <x:v>0.023296</x:v>
      </x:c>
      <x:c r="I2047" t="n">
        <x:v>48</x:v>
      </x:c>
      <x:c r="J2047" t="n">
        <x:v>500100</x:v>
      </x:c>
      <x:c r="K2047" t="str">
        <x:v>Avalancha</x:v>
      </x:c>
      <x:c r="L2047" t="str">
        <x:v>Vigente</x:v>
      </x:c>
      <x:c r="M2047" t="n">
        <x:v>14384836.54</x:v>
      </x:c>
      <x:c r="N2047"/>
    </x:row>
    <x:row r="2048">
      <x:c r="A2048" t="str">
        <x:v>DEU-002047</x:v>
      </x:c>
      <x:c r="B2048" t="str">
        <x:v>USR-01053</x:v>
      </x:c>
      <x:c r="C2048" t="n">
        <x:v>46204</x:v>
      </x:c>
      <x:c r="D2048" t="str">
        <x:v>Entidad financiera E</x:v>
      </x:c>
      <x:c r="E2048" t="str">
        <x:v>Tarjeta de crédito</x:v>
      </x:c>
      <x:c r="F2048" t="n">
        <x:v>3060000</x:v>
      </x:c>
      <x:c r="G2048" s="40" t="n">
        <x:v>0.2159</x:v>
      </x:c>
      <x:c r="H2048" s="40" t="n">
        <x:v>0.016424</x:v>
      </x:c>
      <x:c r="I2048" t="n">
        <x:v>48</x:v>
      </x:c>
      <x:c r="J2048" t="n">
        <x:v>92600</x:v>
      </x:c>
      <x:c r="K2048" t="str">
        <x:v>Bola de nieve</x:v>
      </x:c>
      <x:c r="L2048" t="str">
        <x:v>Vigente</x:v>
      </x:c>
      <x:c r="M2048" t="n">
        <x:v>3065857.54</x:v>
      </x:c>
      <x:c r="N2048"/>
    </x:row>
    <x:row r="2049">
      <x:c r="A2049" t="str">
        <x:v>DEU-002048</x:v>
      </x:c>
      <x:c r="B2049" t="str">
        <x:v>USR-01053</x:v>
      </x:c>
      <x:c r="C2049" t="n">
        <x:v>46204</x:v>
      </x:c>
      <x:c r="D2049" t="str">
        <x:v>Entidad financiera E</x:v>
      </x:c>
      <x:c r="E2049" t="str">
        <x:v>Crédito comercial</x:v>
      </x:c>
      <x:c r="F2049" t="n">
        <x:v>9370000</x:v>
      </x:c>
      <x:c r="G2049" s="40" t="n">
        <x:v>0.1296</x:v>
      </x:c>
      <x:c r="H2049" s="40" t="n">
        <x:v>0.010207</x:v>
      </x:c>
      <x:c r="I2049" t="n">
        <x:v>48</x:v>
      </x:c>
      <x:c r="J2049" t="n">
        <x:v>247900</x:v>
      </x:c>
      <x:c r="K2049" t="str">
        <x:v>Avalancha</x:v>
      </x:c>
      <x:c r="L2049" t="str">
        <x:v>Vigente</x:v>
      </x:c>
      <x:c r="M2049" t="n">
        <x:v>9659858.44</x:v>
      </x:c>
      <x:c r="N2049"/>
    </x:row>
    <x:row r="2050">
      <x:c r="A2050" t="str">
        <x:v>DEU-002049</x:v>
      </x:c>
      <x:c r="B2050" t="str">
        <x:v>USR-01054</x:v>
      </x:c>
      <x:c r="C2050" t="n">
        <x:v>46204</x:v>
      </x:c>
      <x:c r="D2050" t="str">
        <x:v>Cooperativa C</x:v>
      </x:c>
      <x:c r="E2050" t="str">
        <x:v>Tarjeta de crédito</x:v>
      </x:c>
      <x:c r="F2050" t="n">
        <x:v>2750000</x:v>
      </x:c>
      <x:c r="G2050" s="40" t="n">
        <x:v>0.1725</x:v>
      </x:c>
      <x:c r="H2050" s="40" t="n">
        <x:v>0.01335</x:v>
      </x:c>
      <x:c r="I2050" t="n">
        <x:v>12</x:v>
      </x:c>
      <x:c r="J2050" t="n">
        <x:v>249500</x:v>
      </x:c>
      <x:c r="K2050" t="str">
        <x:v>Avalancha</x:v>
      </x:c>
      <x:c r="L2050" t="str">
        <x:v>Vigente</x:v>
      </x:c>
      <x:c r="M2050" t="n">
        <x:v>2612113.05</x:v>
      </x:c>
      <x:c r="N2050"/>
    </x:row>
    <x:row r="2051">
      <x:c r="A2051" t="str">
        <x:v>DEU-002050</x:v>
      </x:c>
      <x:c r="B2051" t="str">
        <x:v>USR-01055</x:v>
      </x:c>
      <x:c r="C2051" t="n">
        <x:v>46204</x:v>
      </x:c>
      <x:c r="D2051" t="str">
        <x:v>Financiera D</x:v>
      </x:c>
      <x:c r="E2051" t="str">
        <x:v>Crédito de consumo</x:v>
      </x:c>
      <x:c r="F2051" t="n">
        <x:v>18130000</x:v>
      </x:c>
      <x:c r="G2051" s="40" t="n">
        <x:v>0.2999</x:v>
      </x:c>
      <x:c r="H2051" s="40" t="n">
        <x:v>0.022098</x:v>
      </x:c>
      <x:c r="I2051" t="n">
        <x:v>12</x:v>
      </x:c>
      <x:c r="J2051" t="n">
        <x:v>1736500</x:v>
      </x:c>
      <x:c r="K2051" t="str">
        <x:v>Avalancha</x:v>
      </x:c>
      <x:c r="L2051" t="str">
        <x:v>Vigente</x:v>
      </x:c>
      <x:c r="M2051" t="n">
        <x:v>13963560.24</x:v>
      </x:c>
      <x:c r="N2051"/>
    </x:row>
    <x:row r="2052">
      <x:c r="A2052" t="str">
        <x:v>DEU-002051</x:v>
      </x:c>
      <x:c r="B2052" t="str">
        <x:v>USR-01056</x:v>
      </x:c>
      <x:c r="C2052" t="n">
        <x:v>46204</x:v>
      </x:c>
      <x:c r="D2052" t="str">
        <x:v>Cooperativa C</x:v>
      </x:c>
      <x:c r="E2052" t="str">
        <x:v>Crédito de consumo</x:v>
      </x:c>
      <x:c r="F2052" t="n">
        <x:v>18080000</x:v>
      </x:c>
      <x:c r="G2052" s="40" t="n">
        <x:v>0.2464</x:v>
      </x:c>
      <x:c r="H2052" s="40" t="n">
        <x:v>0.018524</x:v>
      </x:c>
      <x:c r="I2052" t="n">
        <x:v>18</x:v>
      </x:c>
      <x:c r="J2052" t="n">
        <x:v>1190400</x:v>
      </x:c>
      <x:c r="K2052" t="str">
        <x:v>Avalancha</x:v>
      </x:c>
      <x:c r="L2052" t="str">
        <x:v>Vigente</x:v>
      </x:c>
      <x:c r="M2052" t="n">
        <x:v>14495626.19</x:v>
      </x:c>
      <x:c r="N2052"/>
    </x:row>
    <x:row r="2053">
      <x:c r="A2053" t="str">
        <x:v>DEU-002052</x:v>
      </x:c>
      <x:c r="B2053" t="str">
        <x:v>USR-01056</x:v>
      </x:c>
      <x:c r="C2053" t="n">
        <x:v>46204</x:v>
      </x:c>
      <x:c r="D2053" t="str">
        <x:v>Entidad financiera B</x:v>
      </x:c>
      <x:c r="E2053" t="str">
        <x:v>Crédito de consumo</x:v>
      </x:c>
      <x:c r="F2053" t="n">
        <x:v>17270000</x:v>
      </x:c>
      <x:c r="G2053" s="40" t="n">
        <x:v>0.1191</x:v>
      </x:c>
      <x:c r="H2053" s="40" t="n">
        <x:v>0.009421</x:v>
      </x:c>
      <x:c r="I2053" t="n">
        <x:v>12</x:v>
      </x:c>
      <x:c r="J2053" t="n">
        <x:v>1528800</x:v>
      </x:c>
      <x:c r="K2053" t="str">
        <x:v>Avalancha</x:v>
      </x:c>
      <x:c r="L2053" t="str">
        <x:v>Vigente</x:v>
      </x:c>
      <x:c r="M2053" t="n">
        <x:v>12670037.91</x:v>
      </x:c>
      <x:c r="N2053"/>
    </x:row>
    <x:row r="2054">
      <x:c r="A2054" t="str">
        <x:v>DEU-002053</x:v>
      </x:c>
      <x:c r="B2054" t="str">
        <x:v>USR-01057</x:v>
      </x:c>
      <x:c r="C2054" t="n">
        <x:v>46204</x:v>
      </x:c>
      <x:c r="D2054" t="str">
        <x:v>Financiera D</x:v>
      </x:c>
      <x:c r="E2054" t="str">
        <x:v>Crédito de vehículo</x:v>
      </x:c>
      <x:c r="F2054" t="n">
        <x:v>20980000</x:v>
      </x:c>
      <x:c r="G2054" s="40" t="n">
        <x:v>0.3226</x:v>
      </x:c>
      <x:c r="H2054" s="40" t="n">
        <x:v>0.023574</x:v>
      </x:c>
      <x:c r="I2054" t="n">
        <x:v>48</x:v>
      </x:c>
      <x:c r="J2054" t="n">
        <x:v>734700</x:v>
      </x:c>
      <x:c r="K2054" t="str">
        <x:v>Bola de nieve</x:v>
      </x:c>
      <x:c r="L2054" t="str">
        <x:v>Vigente</x:v>
      </x:c>
      <x:c r="M2054" t="n">
        <x:v>20465438.68</x:v>
      </x:c>
      <x:c r="N2054"/>
    </x:row>
    <x:row r="2055">
      <x:c r="A2055" t="str">
        <x:v>DEU-002054</x:v>
      </x:c>
      <x:c r="B2055" t="str">
        <x:v>USR-01057</x:v>
      </x:c>
      <x:c r="C2055" t="n">
        <x:v>46204</x:v>
      </x:c>
      <x:c r="D2055" t="str">
        <x:v>Entidad financiera A</x:v>
      </x:c>
      <x:c r="E2055" t="str">
        <x:v>Crédito de vehículo</x:v>
      </x:c>
      <x:c r="F2055" t="n">
        <x:v>26120000</x:v>
      </x:c>
      <x:c r="G2055" s="40" t="n">
        <x:v>0.2166</x:v>
      </x:c>
      <x:c r="H2055" s="40" t="n">
        <x:v>0.016473</x:v>
      </x:c>
      <x:c r="I2055" t="n">
        <x:v>36</x:v>
      </x:c>
      <x:c r="J2055" t="n">
        <x:v>967600</x:v>
      </x:c>
      <x:c r="K2055" t="str">
        <x:v>Avalancha</x:v>
      </x:c>
      <x:c r="L2055" t="str">
        <x:v>Vigente</x:v>
      </x:c>
      <x:c r="M2055" t="n">
        <x:v>24194176.01</x:v>
      </x:c>
      <x:c r="N2055"/>
    </x:row>
    <x:row r="2056">
      <x:c r="A2056" t="str">
        <x:v>DEU-002055</x:v>
      </x:c>
      <x:c r="B2056" t="str">
        <x:v>USR-01058</x:v>
      </x:c>
      <x:c r="C2056" t="n">
        <x:v>46204</x:v>
      </x:c>
      <x:c r="D2056" t="str">
        <x:v>Entidad financiera E</x:v>
      </x:c>
      <x:c r="E2056" t="str">
        <x:v>Crédito comercial</x:v>
      </x:c>
      <x:c r="F2056" t="n">
        <x:v>24100000</x:v>
      </x:c>
      <x:c r="G2056" s="40" t="n">
        <x:v>0.1993</x:v>
      </x:c>
      <x:c r="H2056" s="40" t="n">
        <x:v>0.01526</x:v>
      </x:c>
      <x:c r="I2056" t="n">
        <x:v>24</x:v>
      </x:c>
      <x:c r="J2056" t="n">
        <x:v>1206800</x:v>
      </x:c>
      <x:c r="K2056" t="str">
        <x:v>Bola de nieve</x:v>
      </x:c>
      <x:c r="L2056" t="str">
        <x:v>Vigente</x:v>
      </x:c>
      <x:c r="M2056" t="n">
        <x:v>23302486.63</x:v>
      </x:c>
      <x:c r="N2056"/>
    </x:row>
    <x:row r="2057">
      <x:c r="A2057" t="str">
        <x:v>DEU-002056</x:v>
      </x:c>
      <x:c r="B2057" t="str">
        <x:v>USR-01059</x:v>
      </x:c>
      <x:c r="C2057" t="n">
        <x:v>46204</x:v>
      </x:c>
      <x:c r="D2057" t="str">
        <x:v>Entidad financiera E</x:v>
      </x:c>
      <x:c r="E2057" t="str">
        <x:v>Crédito de consumo</x:v>
      </x:c>
      <x:c r="F2057" t="n">
        <x:v>13000000</x:v>
      </x:c>
      <x:c r="G2057" s="40" t="n">
        <x:v>0.2572</x:v>
      </x:c>
      <x:c r="H2057" s="40" t="n">
        <x:v>0.019257</x:v>
      </x:c>
      <x:c r="I2057" t="n">
        <x:v>48</x:v>
      </x:c>
      <x:c r="J2057" t="n">
        <x:v>417400</x:v>
      </x:c>
      <x:c r="K2057" t="str">
        <x:v>Avalancha</x:v>
      </x:c>
      <x:c r="L2057" t="str">
        <x:v>Vigente</x:v>
      </x:c>
      <x:c r="M2057" t="n">
        <x:v>12851947.29</x:v>
      </x:c>
      <x:c r="N2057"/>
    </x:row>
    <x:row r="2058">
      <x:c r="A2058" t="str">
        <x:v>DEU-002057</x:v>
      </x:c>
      <x:c r="B2058" t="str">
        <x:v>USR-01059</x:v>
      </x:c>
      <x:c r="C2058" t="n">
        <x:v>46204</x:v>
      </x:c>
      <x:c r="D2058" t="str">
        <x:v>Financiera D</x:v>
      </x:c>
      <x:c r="E2058" t="str">
        <x:v>Crédito de libre inversión</x:v>
      </x:c>
      <x:c r="F2058" t="n">
        <x:v>8720000</x:v>
      </x:c>
      <x:c r="G2058" s="40" t="n">
        <x:v>0.1577</x:v>
      </x:c>
      <x:c r="H2058" s="40" t="n">
        <x:v>0.012278</x:v>
      </x:c>
      <x:c r="I2058" t="n">
        <x:v>24</x:v>
      </x:c>
      <x:c r="J2058" t="n">
        <x:v>421700</x:v>
      </x:c>
      <x:c r="K2058" t="str">
        <x:v>Bola de nieve</x:v>
      </x:c>
      <x:c r="L2058" t="str">
        <x:v>Vigente</x:v>
      </x:c>
      <x:c r="M2058" t="n">
        <x:v>7784670.9</x:v>
      </x:c>
      <x:c r="N2058"/>
    </x:row>
    <x:row r="2059">
      <x:c r="A2059" t="str">
        <x:v>DEU-002058</x:v>
      </x:c>
      <x:c r="B2059" t="str">
        <x:v>USR-01060</x:v>
      </x:c>
      <x:c r="C2059" t="n">
        <x:v>46204</x:v>
      </x:c>
      <x:c r="D2059" t="str">
        <x:v>Entidad financiera B</x:v>
      </x:c>
      <x:c r="E2059" t="str">
        <x:v>Tarjeta de crédito</x:v>
      </x:c>
      <x:c r="F2059" t="n">
        <x:v>3650000</x:v>
      </x:c>
      <x:c r="G2059" s="40" t="n">
        <x:v>0.32</x:v>
      </x:c>
      <x:c r="H2059" s="40" t="n">
        <x:v>0.023406</x:v>
      </x:c>
      <x:c r="I2059" t="n">
        <x:v>48</x:v>
      </x:c>
      <x:c r="J2059" t="n">
        <x:v>127400</x:v>
      </x:c>
      <x:c r="K2059" t="str">
        <x:v>Bola de nieve</x:v>
      </x:c>
      <x:c r="L2059" t="str">
        <x:v>Vigente</x:v>
      </x:c>
      <x:c r="M2059" t="n">
        <x:v>3527075.31</x:v>
      </x:c>
      <x:c r="N2059"/>
    </x:row>
    <x:row r="2060">
      <x:c r="A2060" t="str">
        <x:v>DEU-002059</x:v>
      </x:c>
      <x:c r="B2060" t="str">
        <x:v>USR-00301</x:v>
      </x:c>
      <x:c r="C2060" t="n">
        <x:v>46235</x:v>
      </x:c>
      <x:c r="D2060" t="str">
        <x:v>Entidad financiera E</x:v>
      </x:c>
      <x:c r="E2060" t="str">
        <x:v>Crédito de consumo</x:v>
      </x:c>
      <x:c r="F2060" t="n">
        <x:v>5730000</x:v>
      </x:c>
      <x:c r="G2060" s="40" t="n">
        <x:v>0.1822</x:v>
      </x:c>
      <x:c r="H2060" s="40" t="n">
        <x:v>0.014046</x:v>
      </x:c>
      <x:c r="I2060" t="n">
        <x:v>48</x:v>
      </x:c>
      <x:c r="J2060" t="n">
        <x:v>164900</x:v>
      </x:c>
      <x:c r="K2060" t="str">
        <x:v>Avalancha</x:v>
      </x:c>
      <x:c r="L2060" t="str">
        <x:v>Vigente</x:v>
      </x:c>
      <x:c r="M2060" t="n">
        <x:v>5559979.39</x:v>
      </x:c>
      <x:c r="N2060"/>
    </x:row>
    <x:row r="2061">
      <x:c r="A2061" t="str">
        <x:v>DEU-002060</x:v>
      </x:c>
      <x:c r="B2061" t="str">
        <x:v>USR-00444</x:v>
      </x:c>
      <x:c r="C2061" t="n">
        <x:v>46235</x:v>
      </x:c>
      <x:c r="D2061" t="str">
        <x:v>Entidad financiera E</x:v>
      </x:c>
      <x:c r="E2061" t="str">
        <x:v>Crédito educativo</x:v>
      </x:c>
      <x:c r="F2061" t="n">
        <x:v>13620000</x:v>
      </x:c>
      <x:c r="G2061" s="40" t="n">
        <x:v>0.1942</x:v>
      </x:c>
      <x:c r="H2061" s="40" t="n">
        <x:v>0.0149</x:v>
      </x:c>
      <x:c r="I2061" t="n">
        <x:v>24</x:v>
      </x:c>
      <x:c r="J2061" t="n">
        <x:v>679200</x:v>
      </x:c>
      <x:c r="K2061" t="str">
        <x:v>Bola de nieve</x:v>
      </x:c>
      <x:c r="L2061" t="str">
        <x:v>Vigente</x:v>
      </x:c>
      <x:c r="M2061" t="n">
        <x:v>12660369.38</x:v>
      </x:c>
      <x:c r="N2061"/>
    </x:row>
    <x:row r="2062">
      <x:c r="A2062" t="str">
        <x:v>DEU-002061</x:v>
      </x:c>
      <x:c r="B2062" t="str">
        <x:v>USR-00516</x:v>
      </x:c>
      <x:c r="C2062" t="n">
        <x:v>46235</x:v>
      </x:c>
      <x:c r="D2062" t="str">
        <x:v>Cooperativa C</x:v>
      </x:c>
      <x:c r="E2062" t="str">
        <x:v>Tarjeta de crédito</x:v>
      </x:c>
      <x:c r="F2062" t="n">
        <x:v>5700000</x:v>
      </x:c>
      <x:c r="G2062" s="40" t="n">
        <x:v>0.2459</x:v>
      </x:c>
      <x:c r="H2062" s="40" t="n">
        <x:v>0.01849</x:v>
      </x:c>
      <x:c r="I2062" t="n">
        <x:v>18</x:v>
      </x:c>
      <x:c r="J2062" t="n">
        <x:v>375200</x:v>
      </x:c>
      <x:c r="K2062" t="str">
        <x:v>Bola de nieve</x:v>
      </x:c>
      <x:c r="L2062" t="str">
        <x:v>Vigente</x:v>
      </x:c>
      <x:c r="M2062" t="n">
        <x:v>5327322.74</x:v>
      </x:c>
      <x:c r="N2062"/>
    </x:row>
    <x:row r="2063">
      <x:c r="A2063" t="str">
        <x:v>DEU-002062</x:v>
      </x:c>
      <x:c r="B2063" t="str">
        <x:v>USR-00639</x:v>
      </x:c>
      <x:c r="C2063" t="n">
        <x:v>46235</x:v>
      </x:c>
      <x:c r="D2063" t="str">
        <x:v>Cooperativa C</x:v>
      </x:c>
      <x:c r="E2063" t="str">
        <x:v>Tarjeta de crédito</x:v>
      </x:c>
      <x:c r="F2063" t="n">
        <x:v>3420000</x:v>
      </x:c>
      <x:c r="G2063" s="40" t="n">
        <x:v>0.329</x:v>
      </x:c>
      <x:c r="H2063" s="40" t="n">
        <x:v>0.023985</x:v>
      </x:c>
      <x:c r="I2063" t="n">
        <x:v>30</x:v>
      </x:c>
      <x:c r="J2063" t="n">
        <x:v>161200</x:v>
      </x:c>
      <x:c r="K2063" t="str">
        <x:v>Avalancha</x:v>
      </x:c>
      <x:c r="L2063" t="str">
        <x:v>Vigente</x:v>
      </x:c>
      <x:c r="M2063" t="n">
        <x:v>3291960.96</x:v>
      </x:c>
      <x:c r="N2063"/>
    </x:row>
    <x:row r="2064">
      <x:c r="A2064" t="str">
        <x:v>DEU-002063</x:v>
      </x:c>
      <x:c r="B2064" t="str">
        <x:v>USR-00719</x:v>
      </x:c>
      <x:c r="C2064" t="n">
        <x:v>46235</x:v>
      </x:c>
      <x:c r="D2064" t="str">
        <x:v>Entidad financiera B</x:v>
      </x:c>
      <x:c r="E2064" t="str">
        <x:v>Crédito de consumo</x:v>
      </x:c>
      <x:c r="F2064" t="n">
        <x:v>12420000</x:v>
      </x:c>
      <x:c r="G2064" s="40" t="n">
        <x:v>0.1237</x:v>
      </x:c>
      <x:c r="H2064" s="40" t="n">
        <x:v>0.009766</x:v>
      </x:c>
      <x:c r="I2064" t="n">
        <x:v>48</x:v>
      </x:c>
      <x:c r="J2064" t="n">
        <x:v>325400</x:v>
      </x:c>
      <x:c r="K2064" t="str">
        <x:v>Avalancha</x:v>
      </x:c>
      <x:c r="L2064" t="str">
        <x:v>Vigente</x:v>
      </x:c>
      <x:c r="M2064" t="n">
        <x:v>12289579.09</x:v>
      </x:c>
      <x:c r="N2064"/>
    </x:row>
    <x:row r="2065">
      <x:c r="A2065" t="str">
        <x:v>DEU-002064</x:v>
      </x:c>
      <x:c r="B2065" t="str">
        <x:v>USR-00755</x:v>
      </x:c>
      <x:c r="C2065" t="n">
        <x:v>46235</x:v>
      </x:c>
      <x:c r="D2065" t="str">
        <x:v>Cooperativa C</x:v>
      </x:c>
      <x:c r="E2065" t="str">
        <x:v>Crédito educativo</x:v>
      </x:c>
      <x:c r="F2065" t="n">
        <x:v>10410000</x:v>
      </x:c>
      <x:c r="G2065" s="40" t="n">
        <x:v>0.3278</x:v>
      </x:c>
      <x:c r="H2065" s="40" t="n">
        <x:v>0.023908</x:v>
      </x:c>
      <x:c r="I2065" t="n">
        <x:v>12</x:v>
      </x:c>
      <x:c r="J2065" t="n">
        <x:v>1008100</x:v>
      </x:c>
      <x:c r="K2065" t="str">
        <x:v>Avalancha</x:v>
      </x:c>
      <x:c r="L2065" t="str">
        <x:v>Vigente</x:v>
      </x:c>
      <x:c r="M2065" t="n">
        <x:v>9075018.88</x:v>
      </x:c>
      <x:c r="N2065"/>
    </x:row>
    <x:row r="2066">
      <x:c r="A2066" t="str">
        <x:v>DEU-002065</x:v>
      </x:c>
      <x:c r="B2066" t="str">
        <x:v>USR-00769</x:v>
      </x:c>
      <x:c r="C2066" t="n">
        <x:v>46235</x:v>
      </x:c>
      <x:c r="D2066" t="str">
        <x:v>Entidad financiera B</x:v>
      </x:c>
      <x:c r="E2066" t="str">
        <x:v>Tarjeta de crédito</x:v>
      </x:c>
      <x:c r="F2066" t="n">
        <x:v>8120000</x:v>
      </x:c>
      <x:c r="G2066" s="40" t="n">
        <x:v>0.2584</x:v>
      </x:c>
      <x:c r="H2066" s="40" t="n">
        <x:v>0.019338</x:v>
      </x:c>
      <x:c r="I2066" t="n">
        <x:v>12</x:v>
      </x:c>
      <x:c r="J2066" t="n">
        <x:v>764700</x:v>
      </x:c>
      <x:c r="K2066" t="str">
        <x:v>Bola de nieve</x:v>
      </x:c>
      <x:c r="L2066" t="str">
        <x:v>Vigente</x:v>
      </x:c>
      <x:c r="M2066" t="n">
        <x:v>6892898.3</x:v>
      </x:c>
      <x:c r="N2066"/>
    </x:row>
    <x:row r="2067">
      <x:c r="A2067" t="str">
        <x:v>DEU-002066</x:v>
      </x:c>
      <x:c r="B2067" t="str">
        <x:v>USR-00817</x:v>
      </x:c>
      <x:c r="C2067" t="n">
        <x:v>46235</x:v>
      </x:c>
      <x:c r="D2067" t="str">
        <x:v>Entidad financiera B</x:v>
      </x:c>
      <x:c r="E2067" t="str">
        <x:v>Tarjeta de crédito</x:v>
      </x:c>
      <x:c r="F2067" t="n">
        <x:v>6460000</x:v>
      </x:c>
      <x:c r="G2067" s="40" t="n">
        <x:v>0.1812</x:v>
      </x:c>
      <x:c r="H2067" s="40" t="n">
        <x:v>0.013974</x:v>
      </x:c>
      <x:c r="I2067" t="n">
        <x:v>48</x:v>
      </x:c>
      <x:c r="J2067" t="n">
        <x:v>185600</x:v>
      </x:c>
      <x:c r="K2067" t="str">
        <x:v>Bola de nieve</x:v>
      </x:c>
      <x:c r="L2067" t="str">
        <x:v>Vigente</x:v>
      </x:c>
      <x:c r="M2067" t="n">
        <x:v>6147027.52</x:v>
      </x:c>
      <x:c r="N2067"/>
    </x:row>
    <x:row r="2068">
      <x:c r="A2068" t="str">
        <x:v>DEU-002067</x:v>
      </x:c>
      <x:c r="B2068" t="str">
        <x:v>USR-00951</x:v>
      </x:c>
      <x:c r="C2068" t="n">
        <x:v>46235</x:v>
      </x:c>
      <x:c r="D2068" t="str">
        <x:v>Entidad financiera E</x:v>
      </x:c>
      <x:c r="E2068" t="str">
        <x:v>Crédito educativo</x:v>
      </x:c>
      <x:c r="F2068" t="n">
        <x:v>13560000</x:v>
      </x:c>
      <x:c r="G2068" s="40" t="n">
        <x:v>0.2385</x:v>
      </x:c>
      <x:c r="H2068" s="40" t="n">
        <x:v>0.017985</x:v>
      </x:c>
      <x:c r="I2068" t="n">
        <x:v>36</x:v>
      </x:c>
      <x:c r="J2068" t="n">
        <x:v>514900</x:v>
      </x:c>
      <x:c r="K2068" t="str">
        <x:v>Avalancha</x:v>
      </x:c>
      <x:c r="L2068" t="str">
        <x:v>Vigente</x:v>
      </x:c>
      <x:c r="M2068" t="n">
        <x:v>13248943.12</x:v>
      </x:c>
      <x:c r="N2068"/>
    </x:row>
    <x:row r="2069">
      <x:c r="A2069" t="str">
        <x:v>DEU-002068</x:v>
      </x:c>
      <x:c r="B2069" t="str">
        <x:v>USR-00973</x:v>
      </x:c>
      <x:c r="C2069" t="n">
        <x:v>46235</x:v>
      </x:c>
      <x:c r="D2069" t="str">
        <x:v>Entidad financiera B</x:v>
      </x:c>
      <x:c r="E2069" t="str">
        <x:v>Crédito de consumo</x:v>
      </x:c>
      <x:c r="F2069" t="n">
        <x:v>15920000</x:v>
      </x:c>
      <x:c r="G2069" s="40" t="n">
        <x:v>0.1663</x:v>
      </x:c>
      <x:c r="H2069" s="40" t="n">
        <x:v>0.012902</x:v>
      </x:c>
      <x:c r="I2069" t="n">
        <x:v>36</x:v>
      </x:c>
      <x:c r="J2069" t="n">
        <x:v>555600</x:v>
      </x:c>
      <x:c r="K2069" t="str">
        <x:v>Avalancha</x:v>
      </x:c>
      <x:c r="L2069" t="str">
        <x:v>Vigente</x:v>
      </x:c>
      <x:c r="M2069" t="n">
        <x:v>15190513.92</x:v>
      </x:c>
      <x:c r="N2069"/>
    </x:row>
    <x:row r="2070">
      <x:c r="A2070" t="str">
        <x:v>DEU-002069</x:v>
      </x:c>
      <x:c r="B2070" t="str">
        <x:v>USR-01061</x:v>
      </x:c>
      <x:c r="C2070" t="n">
        <x:v>46235</x:v>
      </x:c>
      <x:c r="D2070" t="str">
        <x:v>Cooperativa C</x:v>
      </x:c>
      <x:c r="E2070" t="str">
        <x:v>Crédito de consumo</x:v>
      </x:c>
      <x:c r="F2070" t="n">
        <x:v>8000000</x:v>
      </x:c>
      <x:c r="G2070" s="40" t="n">
        <x:v>0.1378</x:v>
      </x:c>
      <x:c r="H2070" s="40" t="n">
        <x:v>0.010816</x:v>
      </x:c>
      <x:c r="I2070" t="n">
        <x:v>24</x:v>
      </x:c>
      <x:c r="J2070" t="n">
        <x:v>380300</x:v>
      </x:c>
      <x:c r="K2070" t="str">
        <x:v>Bola de nieve</x:v>
      </x:c>
      <x:c r="L2070" t="str">
        <x:v>Vigente</x:v>
      </x:c>
      <x:c r="M2070" t="n">
        <x:v>7409280.52</x:v>
      </x:c>
      <x:c r="N2070"/>
    </x:row>
    <x:row r="2071">
      <x:c r="A2071" t="str">
        <x:v>DEU-002070</x:v>
      </x:c>
      <x:c r="B2071" t="str">
        <x:v>USR-01061</x:v>
      </x:c>
      <x:c r="C2071" t="n">
        <x:v>46235</x:v>
      </x:c>
      <x:c r="D2071" t="str">
        <x:v>Financiera D</x:v>
      </x:c>
      <x:c r="E2071" t="str">
        <x:v>Tarjeta de crédito</x:v>
      </x:c>
      <x:c r="F2071" t="n">
        <x:v>720000</x:v>
      </x:c>
      <x:c r="G2071" s="40" t="n">
        <x:v>0.3301</x:v>
      </x:c>
      <x:c r="H2071" s="40" t="n">
        <x:v>0.024056</x:v>
      </x:c>
      <x:c r="I2071" t="n">
        <x:v>30</x:v>
      </x:c>
      <x:c r="J2071" t="n">
        <x:v>34000</x:v>
      </x:c>
      <x:c r="K2071" t="str">
        <x:v>Bola de nieve</x:v>
      </x:c>
      <x:c r="L2071" t="str">
        <x:v>Vigente</x:v>
      </x:c>
      <x:c r="M2071" t="n">
        <x:v>721057.24</x:v>
      </x:c>
      <x:c r="N2071"/>
    </x:row>
    <x:row r="2072">
      <x:c r="A2072" t="str">
        <x:v>DEU-002071</x:v>
      </x:c>
      <x:c r="B2072" t="str">
        <x:v>USR-01061</x:v>
      </x:c>
      <x:c r="C2072" t="n">
        <x:v>46235</x:v>
      </x:c>
      <x:c r="D2072" t="str">
        <x:v>Entidad financiera B</x:v>
      </x:c>
      <x:c r="E2072" t="str">
        <x:v>Tarjeta de crédito</x:v>
      </x:c>
      <x:c r="F2072" t="n">
        <x:v>4810000</x:v>
      </x:c>
      <x:c r="G2072" s="40" t="n">
        <x:v>0.3314</x:v>
      </x:c>
      <x:c r="H2072" s="40" t="n">
        <x:v>0.024139</x:v>
      </x:c>
      <x:c r="I2072" t="n">
        <x:v>30</x:v>
      </x:c>
      <x:c r="J2072" t="n">
        <x:v>227200</x:v>
      </x:c>
      <x:c r="K2072" t="str">
        <x:v>Bola de nieve</x:v>
      </x:c>
      <x:c r="L2072" t="str">
        <x:v>Vigente</x:v>
      </x:c>
      <x:c r="M2072" t="n">
        <x:v>4631634.67</x:v>
      </x:c>
      <x:c r="N2072"/>
    </x:row>
    <x:row r="2073">
      <x:c r="A2073" t="str">
        <x:v>DEU-002072</x:v>
      </x:c>
      <x:c r="B2073" t="str">
        <x:v>USR-01061</x:v>
      </x:c>
      <x:c r="C2073" t="n">
        <x:v>46235</x:v>
      </x:c>
      <x:c r="D2073" t="str">
        <x:v>Financiera D</x:v>
      </x:c>
      <x:c r="E2073" t="str">
        <x:v>Crédito de consumo</x:v>
      </x:c>
      <x:c r="F2073" t="n">
        <x:v>11000000</x:v>
      </x:c>
      <x:c r="G2073" s="40" t="n">
        <x:v>0.3226</x:v>
      </x:c>
      <x:c r="H2073" s="40" t="n">
        <x:v>0.023574</x:v>
      </x:c>
      <x:c r="I2073" t="n">
        <x:v>60</x:v>
      </x:c>
      <x:c r="J2073" t="n">
        <x:v>344400</x:v>
      </x:c>
      <x:c r="K2073" t="str">
        <x:v>Bola de nieve</x:v>
      </x:c>
      <x:c r="L2073" t="str">
        <x:v>Vigente</x:v>
      </x:c>
      <x:c r="M2073" t="n">
        <x:v>10602692.85</x:v>
      </x:c>
      <x:c r="N2073"/>
    </x:row>
    <x:row r="2074">
      <x:c r="A2074" t="str">
        <x:v>DEU-002073</x:v>
      </x:c>
      <x:c r="B2074" t="str">
        <x:v>USR-01062</x:v>
      </x:c>
      <x:c r="C2074" t="n">
        <x:v>46235</x:v>
      </x:c>
      <x:c r="D2074" t="str">
        <x:v>Entidad financiera B</x:v>
      </x:c>
      <x:c r="E2074" t="str">
        <x:v>Tarjeta de crédito</x:v>
      </x:c>
      <x:c r="F2074" t="n">
        <x:v>6880000</x:v>
      </x:c>
      <x:c r="G2074" s="40" t="n">
        <x:v>0.2219</x:v>
      </x:c>
      <x:c r="H2074" s="40" t="n">
        <x:v>0.016841</x:v>
      </x:c>
      <x:c r="I2074" t="n">
        <x:v>48</x:v>
      </x:c>
      <x:c r="J2074" t="n">
        <x:v>210100</x:v>
      </x:c>
      <x:c r="K2074" t="str">
        <x:v>Bola de nieve</x:v>
      </x:c>
      <x:c r="L2074" t="str">
        <x:v>Vigente</x:v>
      </x:c>
      <x:c r="M2074" t="n">
        <x:v>6900042.68</x:v>
      </x:c>
      <x:c r="N2074"/>
    </x:row>
    <x:row r="2075">
      <x:c r="A2075" t="str">
        <x:v>DEU-002074</x:v>
      </x:c>
      <x:c r="B2075" t="str">
        <x:v>USR-01063</x:v>
      </x:c>
      <x:c r="C2075" t="n">
        <x:v>46235</x:v>
      </x:c>
      <x:c r="D2075" t="str">
        <x:v>Entidad financiera A</x:v>
      </x:c>
      <x:c r="E2075" t="str">
        <x:v>Crédito de consumo</x:v>
      </x:c>
      <x:c r="F2075" t="n">
        <x:v>12410000</x:v>
      </x:c>
      <x:c r="G2075" s="40" t="n">
        <x:v>0.1769</x:v>
      </x:c>
      <x:c r="H2075" s="40" t="n">
        <x:v>0.013666</x:v>
      </x:c>
      <x:c r="I2075" t="n">
        <x:v>12</x:v>
      </x:c>
      <x:c r="J2075" t="n">
        <x:v>1128300</x:v>
      </x:c>
      <x:c r="K2075" t="str">
        <x:v>Avalancha</x:v>
      </x:c>
      <x:c r="L2075" t="str">
        <x:v>Vigente</x:v>
      </x:c>
      <x:c r="M2075" t="n">
        <x:v>10708277.62</x:v>
      </x:c>
      <x:c r="N2075"/>
    </x:row>
    <x:row r="2076">
      <x:c r="A2076" t="str">
        <x:v>DEU-002075</x:v>
      </x:c>
      <x:c r="B2076" t="str">
        <x:v>USR-01063</x:v>
      </x:c>
      <x:c r="C2076" t="n">
        <x:v>46235</x:v>
      </x:c>
      <x:c r="D2076" t="str">
        <x:v>Cooperativa C</x:v>
      </x:c>
      <x:c r="E2076" t="str">
        <x:v>Crédito de consumo</x:v>
      </x:c>
      <x:c r="F2076" t="n">
        <x:v>5740000</x:v>
      </x:c>
      <x:c r="G2076" s="40" t="n">
        <x:v>0.31</x:v>
      </x:c>
      <x:c r="H2076" s="40" t="n">
        <x:v>0.022757</x:v>
      </x:c>
      <x:c r="I2076" t="n">
        <x:v>36</x:v>
      </x:c>
      <x:c r="J2076" t="n">
        <x:v>235300</x:v>
      </x:c>
      <x:c r="K2076" t="str">
        <x:v>Avalancha</x:v>
      </x:c>
      <x:c r="L2076" t="str">
        <x:v>Vigente</x:v>
      </x:c>
      <x:c r="M2076" t="n">
        <x:v>5816027.07</x:v>
      </x:c>
      <x:c r="N2076"/>
    </x:row>
    <x:row r="2077">
      <x:c r="A2077" t="str">
        <x:v>DEU-002076</x:v>
      </x:c>
      <x:c r="B2077" t="str">
        <x:v>USR-01064</x:v>
      </x:c>
      <x:c r="C2077" t="n">
        <x:v>46235</x:v>
      </x:c>
      <x:c r="D2077" t="str">
        <x:v>Entidad financiera E</x:v>
      </x:c>
      <x:c r="E2077" t="str">
        <x:v>Crédito de consumo</x:v>
      </x:c>
      <x:c r="F2077" t="n">
        <x:v>10390000</x:v>
      </x:c>
      <x:c r="G2077" s="40" t="n">
        <x:v>0.2395</x:v>
      </x:c>
      <x:c r="H2077" s="40" t="n">
        <x:v>0.018053</x:v>
      </x:c>
      <x:c r="I2077" t="n">
        <x:v>18</x:v>
      </x:c>
      <x:c r="J2077" t="n">
        <x:v>681200</x:v>
      </x:c>
      <x:c r="K2077" t="str">
        <x:v>Avalancha</x:v>
      </x:c>
      <x:c r="L2077" t="str">
        <x:v>Vigente</x:v>
      </x:c>
      <x:c r="M2077" t="n">
        <x:v>10768535.31</x:v>
      </x:c>
      <x:c r="N2077"/>
    </x:row>
    <x:row r="2078">
      <x:c r="A2078" t="str">
        <x:v>DEU-002077</x:v>
      </x:c>
      <x:c r="B2078" t="str">
        <x:v>USR-01065</x:v>
      </x:c>
      <x:c r="C2078" t="n">
        <x:v>46235</x:v>
      </x:c>
      <x:c r="D2078" t="str">
        <x:v>Cooperativa C</x:v>
      </x:c>
      <x:c r="E2078" t="str">
        <x:v>Crédito de consumo</x:v>
      </x:c>
      <x:c r="F2078" t="n">
        <x:v>14200000</x:v>
      </x:c>
      <x:c r="G2078" s="40" t="n">
        <x:v>0.2843</x:v>
      </x:c>
      <x:c r="H2078" s="40" t="n">
        <x:v>0.02107</x:v>
      </x:c>
      <x:c r="I2078" t="n">
        <x:v>36</x:v>
      </x:c>
      <x:c r="J2078" t="n">
        <x:v>566700</x:v>
      </x:c>
      <x:c r="K2078" t="str">
        <x:v>Avalancha</x:v>
      </x:c>
      <x:c r="L2078" t="str">
        <x:v>Vigente</x:v>
      </x:c>
      <x:c r="M2078" t="n">
        <x:v>13659353.25</x:v>
      </x:c>
      <x:c r="N2078"/>
    </x:row>
    <x:row r="2079">
      <x:c r="A2079" t="str">
        <x:v>DEU-002078</x:v>
      </x:c>
      <x:c r="B2079" t="str">
        <x:v>USR-01065</x:v>
      </x:c>
      <x:c r="C2079" t="n">
        <x:v>46235</x:v>
      </x:c>
      <x:c r="D2079" t="str">
        <x:v>Entidad financiera B</x:v>
      </x:c>
      <x:c r="E2079" t="str">
        <x:v>Tarjeta de crédito</x:v>
      </x:c>
      <x:c r="F2079" t="n">
        <x:v>790000</x:v>
      </x:c>
      <x:c r="G2079" s="40" t="n">
        <x:v>0.2882</x:v>
      </x:c>
      <x:c r="H2079" s="40" t="n">
        <x:v>0.021328</x:v>
      </x:c>
      <x:c r="I2079" t="n">
        <x:v>18</x:v>
      </x:c>
      <x:c r="J2079" t="n">
        <x:v>53300</x:v>
      </x:c>
      <x:c r="K2079" t="str">
        <x:v>Bola de nieve</x:v>
      </x:c>
      <x:c r="L2079" t="str">
        <x:v>Vigente</x:v>
      </x:c>
      <x:c r="M2079" t="n">
        <x:v>824057.74</x:v>
      </x:c>
      <x:c r="N2079"/>
    </x:row>
    <x:row r="2080">
      <x:c r="A2080" t="str">
        <x:v>DEU-002079</x:v>
      </x:c>
      <x:c r="B2080" t="str">
        <x:v>USR-01065</x:v>
      </x:c>
      <x:c r="C2080" t="n">
        <x:v>46235</x:v>
      </x:c>
      <x:c r="D2080" t="str">
        <x:v>Entidad financiera A</x:v>
      </x:c>
      <x:c r="E2080" t="str">
        <x:v>Crédito de vehículo</x:v>
      </x:c>
      <x:c r="F2080" t="n">
        <x:v>24400000</x:v>
      </x:c>
      <x:c r="G2080" s="40" t="n">
        <x:v>0.2084</x:v>
      </x:c>
      <x:c r="H2080" s="40" t="n">
        <x:v>0.0159</x:v>
      </x:c>
      <x:c r="I2080" t="n">
        <x:v>24</x:v>
      </x:c>
      <x:c r="J2080" t="n">
        <x:v>1230900</x:v>
      </x:c>
      <x:c r="K2080" t="str">
        <x:v>Avalancha</x:v>
      </x:c>
      <x:c r="L2080" t="str">
        <x:v>Vigente</x:v>
      </x:c>
      <x:c r="M2080" t="n">
        <x:v>24181724.19</x:v>
      </x:c>
      <x:c r="N2080"/>
    </x:row>
    <x:row r="2081">
      <x:c r="A2081" t="str">
        <x:v>DEU-002080</x:v>
      </x:c>
      <x:c r="B2081" t="str">
        <x:v>USR-01066</x:v>
      </x:c>
      <x:c r="C2081" t="n">
        <x:v>46235</x:v>
      </x:c>
      <x:c r="D2081" t="str">
        <x:v>Financiera D</x:v>
      </x:c>
      <x:c r="E2081" t="str">
        <x:v>Crédito de libre inversión</x:v>
      </x:c>
      <x:c r="F2081" t="n">
        <x:v>9970000</x:v>
      </x:c>
      <x:c r="G2081" s="40" t="n">
        <x:v>0.1361</x:v>
      </x:c>
      <x:c r="H2081" s="40" t="n">
        <x:v>0.01069</x:v>
      </x:c>
      <x:c r="I2081" t="n">
        <x:v>12</x:v>
      </x:c>
      <x:c r="J2081" t="n">
        <x:v>889700</x:v>
      </x:c>
      <x:c r="K2081" t="str">
        <x:v>Bola de nieve</x:v>
      </x:c>
      <x:c r="L2081" t="str">
        <x:v>Vigente</x:v>
      </x:c>
      <x:c r="M2081" t="n">
        <x:v>8260463.4</x:v>
      </x:c>
      <x:c r="N2081"/>
    </x:row>
    <x:row r="2082">
      <x:c r="A2082" t="str">
        <x:v>DEU-002081</x:v>
      </x:c>
      <x:c r="B2082" t="str">
        <x:v>USR-01066</x:v>
      </x:c>
      <x:c r="C2082" t="n">
        <x:v>46235</x:v>
      </x:c>
      <x:c r="D2082" t="str">
        <x:v>Entidad financiera A</x:v>
      </x:c>
      <x:c r="E2082" t="str">
        <x:v>Tarjeta de crédito</x:v>
      </x:c>
      <x:c r="F2082" t="n">
        <x:v>7990000</x:v>
      </x:c>
      <x:c r="G2082" s="40" t="n">
        <x:v>0.1668</x:v>
      </x:c>
      <x:c r="H2082" s="40" t="n">
        <x:v>0.012938</x:v>
      </x:c>
      <x:c r="I2082" t="n">
        <x:v>18</x:v>
      </x:c>
      <x:c r="J2082" t="n">
        <x:v>500400</x:v>
      </x:c>
      <x:c r="K2082" t="str">
        <x:v>Avalancha</x:v>
      </x:c>
      <x:c r="L2082" t="str">
        <x:v>Vigente</x:v>
      </x:c>
      <x:c r="M2082" t="n">
        <x:v>6862281.6</x:v>
      </x:c>
      <x:c r="N2082"/>
    </x:row>
    <x:row r="2083">
      <x:c r="A2083" t="str">
        <x:v>DEU-002082</x:v>
      </x:c>
      <x:c r="B2083" t="str">
        <x:v>USR-01066</x:v>
      </x:c>
      <x:c r="C2083" t="n">
        <x:v>46235</x:v>
      </x:c>
      <x:c r="D2083" t="str">
        <x:v>Cooperativa C</x:v>
      </x:c>
      <x:c r="E2083" t="str">
        <x:v>Tarjeta de crédito</x:v>
      </x:c>
      <x:c r="F2083" t="n">
        <x:v>6880000</x:v>
      </x:c>
      <x:c r="G2083" s="40" t="n">
        <x:v>0.1615</x:v>
      </x:c>
      <x:c r="H2083" s="40" t="n">
        <x:v>0.012554</x:v>
      </x:c>
      <x:c r="I2083" t="n">
        <x:v>12</x:v>
      </x:c>
      <x:c r="J2083" t="n">
        <x:v>621200</x:v>
      </x:c>
      <x:c r="K2083" t="str">
        <x:v>Avalancha</x:v>
      </x:c>
      <x:c r="L2083" t="str">
        <x:v>Vigente</x:v>
      </x:c>
      <x:c r="M2083" t="n">
        <x:v>5710431.11</x:v>
      </x:c>
      <x:c r="N2083"/>
    </x:row>
    <x:row r="2084">
      <x:c r="A2084" t="str">
        <x:v>DEU-002083</x:v>
      </x:c>
      <x:c r="B2084" t="str">
        <x:v>USR-01067</x:v>
      </x:c>
      <x:c r="C2084" t="n">
        <x:v>46235</x:v>
      </x:c>
      <x:c r="D2084" t="str">
        <x:v>Financiera D</x:v>
      </x:c>
      <x:c r="E2084" t="str">
        <x:v>Tarjeta de crédito</x:v>
      </x:c>
      <x:c r="F2084" t="n">
        <x:v>4530000</x:v>
      </x:c>
      <x:c r="G2084" s="40" t="n">
        <x:v>0.1473</x:v>
      </x:c>
      <x:c r="H2084" s="40" t="n">
        <x:v>0.011517</x:v>
      </x:c>
      <x:c r="I2084" t="n">
        <x:v>18</x:v>
      </x:c>
      <x:c r="J2084" t="n">
        <x:v>280100</x:v>
      </x:c>
      <x:c r="K2084" t="str">
        <x:v>Avalancha</x:v>
      </x:c>
      <x:c r="L2084" t="str">
        <x:v>Vigente</x:v>
      </x:c>
      <x:c r="M2084" t="n">
        <x:v>3985803.34</x:v>
      </x:c>
      <x:c r="N2084"/>
    </x:row>
    <x:row r="2085">
      <x:c r="A2085" t="str">
        <x:v>DEU-002084</x:v>
      </x:c>
      <x:c r="B2085" t="str">
        <x:v>USR-01067</x:v>
      </x:c>
      <x:c r="C2085" t="n">
        <x:v>46235</x:v>
      </x:c>
      <x:c r="D2085" t="str">
        <x:v>Financiera D</x:v>
      </x:c>
      <x:c r="E2085" t="str">
        <x:v>Tarjeta de crédito</x:v>
      </x:c>
      <x:c r="F2085" t="n">
        <x:v>5570000</x:v>
      </x:c>
      <x:c r="G2085" s="40" t="n">
        <x:v>0.3118</x:v>
      </x:c>
      <x:c r="H2085" s="40" t="n">
        <x:v>0.022874</x:v>
      </x:c>
      <x:c r="I2085" t="n">
        <x:v>30</x:v>
      </x:c>
      <x:c r="J2085" t="n">
        <x:v>258600</x:v>
      </x:c>
      <x:c r="K2085" t="str">
        <x:v>Bola de nieve</x:v>
      </x:c>
      <x:c r="L2085" t="str">
        <x:v>Vigente</x:v>
      </x:c>
      <x:c r="M2085" t="n">
        <x:v>5264932.21</x:v>
      </x:c>
      <x:c r="N2085"/>
    </x:row>
    <x:row r="2086">
      <x:c r="A2086" t="str">
        <x:v>DEU-002085</x:v>
      </x:c>
      <x:c r="B2086" t="str">
        <x:v>USR-01068</x:v>
      </x:c>
      <x:c r="C2086" t="n">
        <x:v>46235</x:v>
      </x:c>
      <x:c r="D2086" t="str">
        <x:v>Entidad financiera E</x:v>
      </x:c>
      <x:c r="E2086" t="str">
        <x:v>Tarjeta de crédito</x:v>
      </x:c>
      <x:c r="F2086" t="n">
        <x:v>6880000</x:v>
      </x:c>
      <x:c r="G2086" s="40" t="n">
        <x:v>0.2752</x:v>
      </x:c>
      <x:c r="H2086" s="40" t="n">
        <x:v>0.020465</x:v>
      </x:c>
      <x:c r="I2086" t="n">
        <x:v>48</x:v>
      </x:c>
      <x:c r="J2086" t="n">
        <x:v>226400</x:v>
      </x:c>
      <x:c r="K2086" t="str">
        <x:v>Avalancha</x:v>
      </x:c>
      <x:c r="L2086" t="str">
        <x:v>Vigente</x:v>
      </x:c>
      <x:c r="M2086" t="n">
        <x:v>6672353.3</x:v>
      </x:c>
      <x:c r="N2086"/>
    </x:row>
    <x:row r="2087">
      <x:c r="A2087" t="str">
        <x:v>DEU-002086</x:v>
      </x:c>
      <x:c r="B2087" t="str">
        <x:v>USR-01068</x:v>
      </x:c>
      <x:c r="C2087" t="n">
        <x:v>46235</x:v>
      </x:c>
      <x:c r="D2087" t="str">
        <x:v>Financiera D</x:v>
      </x:c>
      <x:c r="E2087" t="str">
        <x:v>Tarjeta de crédito</x:v>
      </x:c>
      <x:c r="F2087" t="n">
        <x:v>1210000</x:v>
      </x:c>
      <x:c r="G2087" s="40" t="n">
        <x:v>0.1572</x:v>
      </x:c>
      <x:c r="H2087" s="40" t="n">
        <x:v>0.012241</x:v>
      </x:c>
      <x:c r="I2087" t="n">
        <x:v>30</x:v>
      </x:c>
      <x:c r="J2087" t="n">
        <x:v>48400</x:v>
      </x:c>
      <x:c r="K2087" t="str">
        <x:v>Avalancha</x:v>
      </x:c>
      <x:c r="L2087" t="str">
        <x:v>Vigente</x:v>
      </x:c>
      <x:c r="M2087" t="n">
        <x:v>1239805.16</x:v>
      </x:c>
      <x:c r="N2087"/>
    </x:row>
    <x:row r="2088">
      <x:c r="A2088" t="str">
        <x:v>DEU-002087</x:v>
      </x:c>
      <x:c r="B2088" t="str">
        <x:v>USR-01069</x:v>
      </x:c>
      <x:c r="C2088" t="n">
        <x:v>46235</x:v>
      </x:c>
      <x:c r="D2088" t="str">
        <x:v>Entidad financiera E</x:v>
      </x:c>
      <x:c r="E2088" t="str">
        <x:v>Tarjeta de crédito</x:v>
      </x:c>
      <x:c r="F2088" t="n">
        <x:v>2850000</x:v>
      </x:c>
      <x:c r="G2088" s="40" t="n">
        <x:v>0.2109</x:v>
      </x:c>
      <x:c r="H2088" s="40" t="n">
        <x:v>0.016075</x:v>
      </x:c>
      <x:c r="I2088" t="n">
        <x:v>30</x:v>
      </x:c>
      <x:c r="J2088" t="n">
        <x:v>120500</x:v>
      </x:c>
      <x:c r="K2088" t="str">
        <x:v>Avalancha</x:v>
      </x:c>
      <x:c r="L2088" t="str">
        <x:v>Vigente</x:v>
      </x:c>
      <x:c r="M2088" t="n">
        <x:v>2723913.31</x:v>
      </x:c>
      <x:c r="N2088"/>
    </x:row>
    <x:row r="2089">
      <x:c r="A2089" t="str">
        <x:v>DEU-002088</x:v>
      </x:c>
      <x:c r="B2089" t="str">
        <x:v>USR-01069</x:v>
      </x:c>
      <x:c r="C2089" t="n">
        <x:v>46235</x:v>
      </x:c>
      <x:c r="D2089" t="str">
        <x:v>Entidad financiera E</x:v>
      </x:c>
      <x:c r="E2089" t="str">
        <x:v>Tarjeta de crédito</x:v>
      </x:c>
      <x:c r="F2089" t="n">
        <x:v>7480000</x:v>
      </x:c>
      <x:c r="G2089" s="40" t="n">
        <x:v>0.3076</x:v>
      </x:c>
      <x:c r="H2089" s="40" t="n">
        <x:v>0.022601</x:v>
      </x:c>
      <x:c r="I2089" t="n">
        <x:v>60</x:v>
      </x:c>
      <x:c r="J2089" t="n">
        <x:v>228900</x:v>
      </x:c>
      <x:c r="K2089" t="str">
        <x:v>Avalancha</x:v>
      </x:c>
      <x:c r="L2089" t="str">
        <x:v>Vigente</x:v>
      </x:c>
      <x:c r="M2089" t="n">
        <x:v>7289584.25</x:v>
      </x:c>
      <x:c r="N2089"/>
    </x:row>
    <x:row r="2090">
      <x:c r="A2090" t="str">
        <x:v>DEU-002089</x:v>
      </x:c>
      <x:c r="B2090" t="str">
        <x:v>USR-01070</x:v>
      </x:c>
      <x:c r="C2090" t="n">
        <x:v>46235</x:v>
      </x:c>
      <x:c r="D2090" t="str">
        <x:v>Financiera D</x:v>
      </x:c>
      <x:c r="E2090" t="str">
        <x:v>Crédito de consumo</x:v>
      </x:c>
      <x:c r="F2090" t="n">
        <x:v>2040000</x:v>
      </x:c>
      <x:c r="G2090" s="40" t="n">
        <x:v>0.2521</x:v>
      </x:c>
      <x:c r="H2090" s="40" t="n">
        <x:v>0.018912</x:v>
      </x:c>
      <x:c r="I2090" t="n">
        <x:v>30</x:v>
      </x:c>
      <x:c r="J2090" t="n">
        <x:v>89700</x:v>
      </x:c>
      <x:c r="K2090" t="str">
        <x:v>Avalancha</x:v>
      </x:c>
      <x:c r="L2090" t="str">
        <x:v>Vigente</x:v>
      </x:c>
      <x:c r="M2090" t="n">
        <x:v>2018357.34</x:v>
      </x:c>
      <x:c r="N2090"/>
    </x:row>
    <x:row r="2091">
      <x:c r="A2091" t="str">
        <x:v>DEU-002090</x:v>
      </x:c>
      <x:c r="B2091" t="str">
        <x:v>USR-01070</x:v>
      </x:c>
      <x:c r="C2091" t="n">
        <x:v>46235</x:v>
      </x:c>
      <x:c r="D2091" t="str">
        <x:v>Entidad financiera A</x:v>
      </x:c>
      <x:c r="E2091" t="str">
        <x:v>Tarjeta de crédito</x:v>
      </x:c>
      <x:c r="F2091" t="n">
        <x:v>8350000</x:v>
      </x:c>
      <x:c r="G2091" s="40" t="n">
        <x:v>0.2658</x:v>
      </x:c>
      <x:c r="H2091" s="40" t="n">
        <x:v>0.019836</x:v>
      </x:c>
      <x:c r="I2091" t="n">
        <x:v>24</x:v>
      </x:c>
      <x:c r="J2091" t="n">
        <x:v>440700</x:v>
      </x:c>
      <x:c r="K2091" t="str">
        <x:v>Avalancha</x:v>
      </x:c>
      <x:c r="L2091" t="str">
        <x:v>Vigente</x:v>
      </x:c>
      <x:c r="M2091" t="n">
        <x:v>8331950.08</x:v>
      </x:c>
      <x:c r="N2091"/>
    </x:row>
    <x:row r="2092">
      <x:c r="A2092" t="str">
        <x:v>DEU-002091</x:v>
      </x:c>
      <x:c r="B2092" t="str">
        <x:v>USR-01071</x:v>
      </x:c>
      <x:c r="C2092" t="n">
        <x:v>46235</x:v>
      </x:c>
      <x:c r="D2092" t="str">
        <x:v>Entidad financiera A</x:v>
      </x:c>
      <x:c r="E2092" t="str">
        <x:v>Crédito de vehículo</x:v>
      </x:c>
      <x:c r="F2092" t="n">
        <x:v>48900000</x:v>
      </x:c>
      <x:c r="G2092" s="40" t="n">
        <x:v>0.2703</x:v>
      </x:c>
      <x:c r="H2092" s="40" t="n">
        <x:v>0.020138</x:v>
      </x:c>
      <x:c r="I2092" t="n">
        <x:v>48</x:v>
      </x:c>
      <x:c r="J2092" t="n">
        <x:v>1598700</x:v>
      </x:c>
      <x:c r="K2092" t="str">
        <x:v>Bola de nieve</x:v>
      </x:c>
      <x:c r="L2092" t="str">
        <x:v>Vigente</x:v>
      </x:c>
      <x:c r="M2092" t="n">
        <x:v>50010011.53</x:v>
      </x:c>
      <x:c r="N2092"/>
    </x:row>
    <x:row r="2093">
      <x:c r="A2093" t="str">
        <x:v>DEU-002092</x:v>
      </x:c>
      <x:c r="B2093" t="str">
        <x:v>USR-01071</x:v>
      </x:c>
      <x:c r="C2093" t="n">
        <x:v>46235</x:v>
      </x:c>
      <x:c r="D2093" t="str">
        <x:v>Cooperativa C</x:v>
      </x:c>
      <x:c r="E2093" t="str">
        <x:v>Crédito de consumo</x:v>
      </x:c>
      <x:c r="F2093" t="n">
        <x:v>8390000</x:v>
      </x:c>
      <x:c r="G2093" s="40" t="n">
        <x:v>0.116</x:v>
      </x:c>
      <x:c r="H2093" s="40" t="n">
        <x:v>0.009188</x:v>
      </x:c>
      <x:c r="I2093" t="n">
        <x:v>24</x:v>
      </x:c>
      <x:c r="J2093" t="n">
        <x:v>391100</x:v>
      </x:c>
      <x:c r="K2093" t="str">
        <x:v>Bola de nieve</x:v>
      </x:c>
      <x:c r="L2093" t="str">
        <x:v>Vigente</x:v>
      </x:c>
      <x:c r="M2093" t="n">
        <x:v>7503090.9</x:v>
      </x:c>
      <x:c r="N2093"/>
    </x:row>
    <x:row r="2094">
      <x:c r="A2094" t="str">
        <x:v>DEU-002093</x:v>
      </x:c>
      <x:c r="B2094" t="str">
        <x:v>USR-01072</x:v>
      </x:c>
      <x:c r="C2094" t="n">
        <x:v>46235</x:v>
      </x:c>
      <x:c r="D2094" t="str">
        <x:v>Financiera D</x:v>
      </x:c>
      <x:c r="E2094" t="str">
        <x:v>Crédito de consumo</x:v>
      </x:c>
      <x:c r="F2094" t="n">
        <x:v>10690000</x:v>
      </x:c>
      <x:c r="G2094" s="40" t="n">
        <x:v>0.3209</x:v>
      </x:c>
      <x:c r="H2094" s="40" t="n">
        <x:v>0.023464</x:v>
      </x:c>
      <x:c r="I2094" t="n">
        <x:v>60</x:v>
      </x:c>
      <x:c r="J2094" t="n">
        <x:v>333900</x:v>
      </x:c>
      <x:c r="K2094" t="str">
        <x:v>Bola de nieve</x:v>
      </x:c>
      <x:c r="L2094" t="str">
        <x:v>Vigente</x:v>
      </x:c>
      <x:c r="M2094" t="n">
        <x:v>10813541.87</x:v>
      </x:c>
      <x:c r="N2094"/>
    </x:row>
    <x:row r="2095">
      <x:c r="A2095" t="str">
        <x:v>DEU-002094</x:v>
      </x:c>
      <x:c r="B2095" t="str">
        <x:v>USR-01072</x:v>
      </x:c>
      <x:c r="C2095" t="n">
        <x:v>46235</x:v>
      </x:c>
      <x:c r="D2095" t="str">
        <x:v>Entidad financiera B</x:v>
      </x:c>
      <x:c r="E2095" t="str">
        <x:v>Crédito de libre inversión</x:v>
      </x:c>
      <x:c r="F2095" t="n">
        <x:v>6150000</x:v>
      </x:c>
      <x:c r="G2095" s="40" t="n">
        <x:v>0.2002</x:v>
      </x:c>
      <x:c r="H2095" s="40" t="n">
        <x:v>0.015324</x:v>
      </x:c>
      <x:c r="I2095" t="n">
        <x:v>18</x:v>
      </x:c>
      <x:c r="J2095" t="n">
        <x:v>393500</x:v>
      </x:c>
      <x:c r="K2095" t="str">
        <x:v>Bola de nieve</x:v>
      </x:c>
      <x:c r="L2095" t="str">
        <x:v>Vigente</x:v>
      </x:c>
      <x:c r="M2095" t="n">
        <x:v>5150480.04</x:v>
      </x:c>
      <x:c r="N2095"/>
    </x:row>
    <x:row r="2096">
      <x:c r="A2096" t="str">
        <x:v>DEU-002095</x:v>
      </x:c>
      <x:c r="B2096" t="str">
        <x:v>USR-01072</x:v>
      </x:c>
      <x:c r="C2096" t="n">
        <x:v>46235</x:v>
      </x:c>
      <x:c r="D2096" t="str">
        <x:v>Entidad financiera A</x:v>
      </x:c>
      <x:c r="E2096" t="str">
        <x:v>Crédito de consumo</x:v>
      </x:c>
      <x:c r="F2096" t="n">
        <x:v>2660000</x:v>
      </x:c>
      <x:c r="G2096" s="40" t="n">
        <x:v>0.2382</x:v>
      </x:c>
      <x:c r="H2096" s="40" t="n">
        <x:v>0.017964</x:v>
      </x:c>
      <x:c r="I2096" t="n">
        <x:v>18</x:v>
      </x:c>
      <x:c r="J2096" t="n">
        <x:v>174300</x:v>
      </x:c>
      <x:c r="K2096" t="str">
        <x:v>Bola de nieve</x:v>
      </x:c>
      <x:c r="L2096" t="str">
        <x:v>Vigente</x:v>
      </x:c>
      <x:c r="M2096" t="n">
        <x:v>2484505.97</x:v>
      </x:c>
      <x:c r="N2096"/>
    </x:row>
    <x:row r="2097">
      <x:c r="A2097" t="str">
        <x:v>DEU-002096</x:v>
      </x:c>
      <x:c r="B2097" t="str">
        <x:v>USR-01072</x:v>
      </x:c>
      <x:c r="C2097" t="n">
        <x:v>46235</x:v>
      </x:c>
      <x:c r="D2097" t="str">
        <x:v>Cooperativa C</x:v>
      </x:c>
      <x:c r="E2097" t="str">
        <x:v>Crédito de libre inversión</x:v>
      </x:c>
      <x:c r="F2097" t="n">
        <x:v>19190000</x:v>
      </x:c>
      <x:c r="G2097" s="40" t="n">
        <x:v>0.2477</x:v>
      </x:c>
      <x:c r="H2097" s="40" t="n">
        <x:v>0.018613</x:v>
      </x:c>
      <x:c r="I2097" t="n">
        <x:v>18</x:v>
      </x:c>
      <x:c r="J2097" t="n">
        <x:v>1264500</x:v>
      </x:c>
      <x:c r="K2097" t="str">
        <x:v>Bola de nieve</x:v>
      </x:c>
      <x:c r="L2097" t="str">
        <x:v>Vigente</x:v>
      </x:c>
      <x:c r="M2097" t="n">
        <x:v>16532945.23</x:v>
      </x:c>
      <x:c r="N2097"/>
    </x:row>
    <x:row r="2098">
      <x:c r="A2098" t="str">
        <x:v>DEU-002097</x:v>
      </x:c>
      <x:c r="B2098" t="str">
        <x:v>USR-01072</x:v>
      </x:c>
      <x:c r="C2098" t="n">
        <x:v>46235</x:v>
      </x:c>
      <x:c r="D2098" t="str">
        <x:v>Entidad financiera B</x:v>
      </x:c>
      <x:c r="E2098" t="str">
        <x:v>Crédito de consumo</x:v>
      </x:c>
      <x:c r="F2098" t="n">
        <x:v>12090000</x:v>
      </x:c>
      <x:c r="G2098" s="40" t="n">
        <x:v>0.1126</x:v>
      </x:c>
      <x:c r="H2098" s="40" t="n">
        <x:v>0.008931</x:v>
      </x:c>
      <x:c r="I2098" t="n">
        <x:v>36</x:v>
      </x:c>
      <x:c r="J2098" t="n">
        <x:v>394200</x:v>
      </x:c>
      <x:c r="K2098" t="str">
        <x:v>Avalancha</x:v>
      </x:c>
      <x:c r="L2098" t="str">
        <x:v>Vigente</x:v>
      </x:c>
      <x:c r="M2098" t="n">
        <x:v>11912722.81</x:v>
      </x:c>
      <x:c r="N2098"/>
    </x:row>
    <x:row r="2099">
      <x:c r="A2099" t="str">
        <x:v>DEU-002098</x:v>
      </x:c>
      <x:c r="B2099" t="str">
        <x:v>USR-01073</x:v>
      </x:c>
      <x:c r="C2099" t="n">
        <x:v>46235</x:v>
      </x:c>
      <x:c r="D2099" t="str">
        <x:v>Cooperativa C</x:v>
      </x:c>
      <x:c r="E2099" t="str">
        <x:v>Crédito de libre inversión</x:v>
      </x:c>
      <x:c r="F2099" t="n">
        <x:v>6870000</x:v>
      </x:c>
      <x:c r="G2099" s="40" t="n">
        <x:v>0.1732</x:v>
      </x:c>
      <x:c r="H2099" s="40" t="n">
        <x:v>0.0134</x:v>
      </x:c>
      <x:c r="I2099" t="n">
        <x:v>24</x:v>
      </x:c>
      <x:c r="J2099" t="n">
        <x:v>336600</x:v>
      </x:c>
      <x:c r="K2099" t="str">
        <x:v>Bola de nieve</x:v>
      </x:c>
      <x:c r="L2099" t="str">
        <x:v>Vigente</x:v>
      </x:c>
      <x:c r="M2099" t="n">
        <x:v>7055352.98</x:v>
      </x:c>
      <x:c r="N2099"/>
    </x:row>
    <x:row r="2100">
      <x:c r="A2100" t="str">
        <x:v>DEU-002099</x:v>
      </x:c>
      <x:c r="B2100" t="str">
        <x:v>USR-01074</x:v>
      </x:c>
      <x:c r="C2100" t="n">
        <x:v>46235</x:v>
      </x:c>
      <x:c r="D2100" t="str">
        <x:v>Financiera D</x:v>
      </x:c>
      <x:c r="E2100" t="str">
        <x:v>Tarjeta de crédito</x:v>
      </x:c>
      <x:c r="F2100" t="n">
        <x:v>8290000</x:v>
      </x:c>
      <x:c r="G2100" s="40" t="n">
        <x:v>0.1098</x:v>
      </x:c>
      <x:c r="H2100" s="40" t="n">
        <x:v>0.008719</x:v>
      </x:c>
      <x:c r="I2100" t="n">
        <x:v>48</x:v>
      </x:c>
      <x:c r="J2100" t="n">
        <x:v>212100</x:v>
      </x:c>
      <x:c r="K2100" t="str">
        <x:v>Avalancha</x:v>
      </x:c>
      <x:c r="L2100" t="str">
        <x:v>Vigente</x:v>
      </x:c>
      <x:c r="M2100" t="n">
        <x:v>8051549.3</x:v>
      </x:c>
      <x:c r="N2100"/>
    </x:row>
    <x:row r="2101">
      <x:c r="A2101" t="str">
        <x:v>DEU-002100</x:v>
      </x:c>
      <x:c r="B2101" t="str">
        <x:v>USR-01074</x:v>
      </x:c>
      <x:c r="C2101" t="n">
        <x:v>46235</x:v>
      </x:c>
      <x:c r="D2101" t="str">
        <x:v>Financiera D</x:v>
      </x:c>
      <x:c r="E2101" t="str">
        <x:v>Tarjeta de crédito</x:v>
      </x:c>
      <x:c r="F2101" t="n">
        <x:v>2670000</x:v>
      </x:c>
      <x:c r="G2101" s="40" t="n">
        <x:v>0.2757</x:v>
      </x:c>
      <x:c r="H2101" s="40" t="n">
        <x:v>0.020499</x:v>
      </x:c>
      <x:c r="I2101" t="n">
        <x:v>18</x:v>
      </x:c>
      <x:c r="J2101" t="n">
        <x:v>178900</x:v>
      </x:c>
      <x:c r="K2101" t="str">
        <x:v>Avalancha</x:v>
      </x:c>
      <x:c r="L2101" t="str">
        <x:v>Vigente</x:v>
      </x:c>
      <x:c r="M2101" t="n">
        <x:v>2364967.46</x:v>
      </x:c>
      <x:c r="N2101"/>
    </x:row>
    <x:row r="2102">
      <x:c r="A2102" t="str">
        <x:v>DEU-002101</x:v>
      </x:c>
      <x:c r="B2102" t="str">
        <x:v>USR-01075</x:v>
      </x:c>
      <x:c r="C2102" t="n">
        <x:v>46235</x:v>
      </x:c>
      <x:c r="D2102" t="str">
        <x:v>Entidad financiera A</x:v>
      </x:c>
      <x:c r="E2102" t="str">
        <x:v>Crédito educativo</x:v>
      </x:c>
      <x:c r="F2102" t="n">
        <x:v>6110000</x:v>
      </x:c>
      <x:c r="G2102" s="40" t="n">
        <x:v>0.1983</x:v>
      </x:c>
      <x:c r="H2102" s="40" t="n">
        <x:v>0.01519</x:v>
      </x:c>
      <x:c r="I2102" t="n">
        <x:v>30</x:v>
      </x:c>
      <x:c r="J2102" t="n">
        <x:v>255100</x:v>
      </x:c>
      <x:c r="K2102" t="str">
        <x:v>Bola de nieve</x:v>
      </x:c>
      <x:c r="L2102" t="str">
        <x:v>Vigente</x:v>
      </x:c>
      <x:c r="M2102" t="n">
        <x:v>5744069.16</x:v>
      </x:c>
      <x:c r="N2102"/>
    </x:row>
    <x:row r="2103">
      <x:c r="A2103" t="str">
        <x:v>DEU-002102</x:v>
      </x:c>
      <x:c r="B2103" t="str">
        <x:v>USR-01076</x:v>
      </x:c>
      <x:c r="C2103" t="n">
        <x:v>46235</x:v>
      </x:c>
      <x:c r="D2103" t="str">
        <x:v>Entidad financiera A</x:v>
      </x:c>
      <x:c r="E2103" t="str">
        <x:v>Crédito educativo</x:v>
      </x:c>
      <x:c r="F2103" t="n">
        <x:v>8830000</x:v>
      </x:c>
      <x:c r="G2103" s="40" t="n">
        <x:v>0.1183</x:v>
      </x:c>
      <x:c r="H2103" s="40" t="n">
        <x:v>0.009361</x:v>
      </x:c>
      <x:c r="I2103" t="n">
        <x:v>60</x:v>
      </x:c>
      <x:c r="J2103" t="n">
        <x:v>193000</x:v>
      </x:c>
      <x:c r="K2103" t="str">
        <x:v>Bola de nieve</x:v>
      </x:c>
      <x:c r="L2103" t="str">
        <x:v>Vigente</x:v>
      </x:c>
      <x:c r="M2103" t="n">
        <x:v>8996089.3</x:v>
      </x:c>
      <x:c r="N2103"/>
    </x:row>
    <x:row r="2104">
      <x:c r="A2104" t="str">
        <x:v>DEU-002103</x:v>
      </x:c>
      <x:c r="B2104" t="str">
        <x:v>USR-01076</x:v>
      </x:c>
      <x:c r="C2104" t="n">
        <x:v>46235</x:v>
      </x:c>
      <x:c r="D2104" t="str">
        <x:v>Financiera D</x:v>
      </x:c>
      <x:c r="E2104" t="str">
        <x:v>Crédito de consumo</x:v>
      </x:c>
      <x:c r="F2104" t="n">
        <x:v>14430000</x:v>
      </x:c>
      <x:c r="G2104" s="40" t="n">
        <x:v>0.3074</x:v>
      </x:c>
      <x:c r="H2104" s="40" t="n">
        <x:v>0.022588</x:v>
      </x:c>
      <x:c r="I2104" t="n">
        <x:v>24</x:v>
      </x:c>
      <x:c r="J2104" t="n">
        <x:v>785500</x:v>
      </x:c>
      <x:c r="K2104" t="str">
        <x:v>Bola de nieve</x:v>
      </x:c>
      <x:c r="L2104" t="str">
        <x:v>Vigente</x:v>
      </x:c>
      <x:c r="M2104" t="n">
        <x:v>15089253.14</x:v>
      </x:c>
      <x:c r="N2104"/>
    </x:row>
    <x:row r="2105">
      <x:c r="A2105" t="str">
        <x:v>DEU-002104</x:v>
      </x:c>
      <x:c r="B2105" t="str">
        <x:v>USR-01077</x:v>
      </x:c>
      <x:c r="C2105" t="n">
        <x:v>46235</x:v>
      </x:c>
      <x:c r="D2105" t="str">
        <x:v>Entidad financiera B</x:v>
      </x:c>
      <x:c r="E2105" t="str">
        <x:v>Tarjeta de crédito</x:v>
      </x:c>
      <x:c r="F2105" t="n">
        <x:v>1730000</x:v>
      </x:c>
      <x:c r="G2105" s="40" t="n">
        <x:v>0.235</x:v>
      </x:c>
      <x:c r="H2105" s="40" t="n">
        <x:v>0.017745</x:v>
      </x:c>
      <x:c r="I2105" t="n">
        <x:v>30</x:v>
      </x:c>
      <x:c r="J2105" t="n">
        <x:v>74900</x:v>
      </x:c>
      <x:c r="K2105" t="str">
        <x:v>Bola de nieve</x:v>
      </x:c>
      <x:c r="L2105" t="str">
        <x:v>Vigente</x:v>
      </x:c>
      <x:c r="M2105" t="n">
        <x:v>1640812.83</x:v>
      </x:c>
      <x:c r="N2105"/>
    </x:row>
    <x:row r="2106">
      <x:c r="A2106" t="str">
        <x:v>DEU-002105</x:v>
      </x:c>
      <x:c r="B2106" t="str">
        <x:v>USR-01077</x:v>
      </x:c>
      <x:c r="C2106" t="n">
        <x:v>46235</x:v>
      </x:c>
      <x:c r="D2106" t="str">
        <x:v>Entidad financiera E</x:v>
      </x:c>
      <x:c r="E2106" t="str">
        <x:v>Crédito de consumo</x:v>
      </x:c>
      <x:c r="F2106" t="n">
        <x:v>7190000</x:v>
      </x:c>
      <x:c r="G2106" s="40" t="n">
        <x:v>0.1888</x:v>
      </x:c>
      <x:c r="H2106" s="40" t="n">
        <x:v>0.014516</x:v>
      </x:c>
      <x:c r="I2106" t="n">
        <x:v>30</x:v>
      </x:c>
      <x:c r="J2106" t="n">
        <x:v>297300</x:v>
      </x:c>
      <x:c r="K2106" t="str">
        <x:v>Avalancha</x:v>
      </x:c>
      <x:c r="L2106" t="str">
        <x:v>Vigente</x:v>
      </x:c>
      <x:c r="M2106" t="n">
        <x:v>7234387.33</x:v>
      </x:c>
      <x:c r="N2106"/>
    </x:row>
    <x:row r="2107">
      <x:c r="A2107" t="str">
        <x:v>DEU-002106</x:v>
      </x:c>
      <x:c r="B2107" t="str">
        <x:v>USR-01077</x:v>
      </x:c>
      <x:c r="C2107" t="n">
        <x:v>46235</x:v>
      </x:c>
      <x:c r="D2107" t="str">
        <x:v>Cooperativa C</x:v>
      </x:c>
      <x:c r="E2107" t="str">
        <x:v>Crédito de vehículo</x:v>
      </x:c>
      <x:c r="F2107" t="n">
        <x:v>30000000</x:v>
      </x:c>
      <x:c r="G2107" s="40" t="n">
        <x:v>0.1783</x:v>
      </x:c>
      <x:c r="H2107" s="40" t="n">
        <x:v>0.013767</x:v>
      </x:c>
      <x:c r="I2107" t="n">
        <x:v>30</x:v>
      </x:c>
      <x:c r="J2107" t="n">
        <x:v>1227400</x:v>
      </x:c>
      <x:c r="K2107" t="str">
        <x:v>Bola de nieve</x:v>
      </x:c>
      <x:c r="L2107" t="str">
        <x:v>Vigente</x:v>
      </x:c>
      <x:c r="M2107" t="n">
        <x:v>28919889.31</x:v>
      </x:c>
      <x:c r="N2107"/>
    </x:row>
    <x:row r="2108">
      <x:c r="A2108" t="str">
        <x:v>DEU-002107</x:v>
      </x:c>
      <x:c r="B2108" t="str">
        <x:v>USR-01078</x:v>
      </x:c>
      <x:c r="C2108" t="n">
        <x:v>46235</x:v>
      </x:c>
      <x:c r="D2108" t="str">
        <x:v>Financiera D</x:v>
      </x:c>
      <x:c r="E2108" t="str">
        <x:v>Crédito de consumo</x:v>
      </x:c>
      <x:c r="F2108" t="n">
        <x:v>15170000</x:v>
      </x:c>
      <x:c r="G2108" s="40" t="n">
        <x:v>0.2074</x:v>
      </x:c>
      <x:c r="H2108" s="40" t="n">
        <x:v>0.01583</x:v>
      </x:c>
      <x:c r="I2108" t="n">
        <x:v>36</x:v>
      </x:c>
      <x:c r="J2108" t="n">
        <x:v>556000</x:v>
      </x:c>
      <x:c r="K2108" t="str">
        <x:v>Avalancha</x:v>
      </x:c>
      <x:c r="L2108" t="str">
        <x:v>Vigente</x:v>
      </x:c>
      <x:c r="M2108" t="n">
        <x:v>15098076.17</x:v>
      </x:c>
      <x:c r="N2108"/>
    </x:row>
    <x:row r="2109">
      <x:c r="A2109" t="str">
        <x:v>DEU-002108</x:v>
      </x:c>
      <x:c r="B2109" t="str">
        <x:v>USR-01078</x:v>
      </x:c>
      <x:c r="C2109" t="n">
        <x:v>46235</x:v>
      </x:c>
      <x:c r="D2109" t="str">
        <x:v>Cooperativa C</x:v>
      </x:c>
      <x:c r="E2109" t="str">
        <x:v>Tarjeta de crédito</x:v>
      </x:c>
      <x:c r="F2109" t="n">
        <x:v>3120000</x:v>
      </x:c>
      <x:c r="G2109" s="40" t="n">
        <x:v>0.2959</x:v>
      </x:c>
      <x:c r="H2109" s="40" t="n">
        <x:v>0.021835</x:v>
      </x:c>
      <x:c r="I2109" t="n">
        <x:v>60</x:v>
      </x:c>
      <x:c r="J2109" t="n">
        <x:v>93800</x:v>
      </x:c>
      <x:c r="K2109" t="str">
        <x:v>Bola de nieve</x:v>
      </x:c>
      <x:c r="L2109" t="str">
        <x:v>Vigente</x:v>
      </x:c>
      <x:c r="M2109" t="n">
        <x:v>3053684.63</x:v>
      </x:c>
      <x:c r="N2109"/>
    </x:row>
    <x:row r="2110">
      <x:c r="A2110" t="str">
        <x:v>DEU-002109</x:v>
      </x:c>
      <x:c r="B2110" t="str">
        <x:v>USR-01079</x:v>
      </x:c>
      <x:c r="C2110" t="n">
        <x:v>46235</x:v>
      </x:c>
      <x:c r="D2110" t="str">
        <x:v>Entidad financiera A</x:v>
      </x:c>
      <x:c r="E2110" t="str">
        <x:v>Crédito de libre inversión</x:v>
      </x:c>
      <x:c r="F2110" t="n">
        <x:v>5730000</x:v>
      </x:c>
      <x:c r="G2110" s="40" t="n">
        <x:v>0.2313</x:v>
      </x:c>
      <x:c r="H2110" s="40" t="n">
        <x:v>0.01749</x:v>
      </x:c>
      <x:c r="I2110" t="n">
        <x:v>48</x:v>
      </x:c>
      <x:c r="J2110" t="n">
        <x:v>177400</x:v>
      </x:c>
      <x:c r="K2110" t="str">
        <x:v>Bola de nieve</x:v>
      </x:c>
      <x:c r="L2110" t="str">
        <x:v>Vigente</x:v>
      </x:c>
      <x:c r="M2110" t="n">
        <x:v>5484038.75</x:v>
      </x:c>
      <x:c r="N2110"/>
    </x:row>
    <x:row r="2111">
      <x:c r="A2111" t="str">
        <x:v>DEU-002110</x:v>
      </x:c>
      <x:c r="B2111" t="str">
        <x:v>USR-01079</x:v>
      </x:c>
      <x:c r="C2111" t="n">
        <x:v>46235</x:v>
      </x:c>
      <x:c r="D2111" t="str">
        <x:v>Entidad financiera B</x:v>
      </x:c>
      <x:c r="E2111" t="str">
        <x:v>Crédito de consumo</x:v>
      </x:c>
      <x:c r="F2111" t="n">
        <x:v>11840000</x:v>
      </x:c>
      <x:c r="G2111" s="40" t="n">
        <x:v>0.2733</x:v>
      </x:c>
      <x:c r="H2111" s="40" t="n">
        <x:v>0.020338</x:v>
      </x:c>
      <x:c r="I2111" t="n">
        <x:v>48</x:v>
      </x:c>
      <x:c r="J2111" t="n">
        <x:v>388700</x:v>
      </x:c>
      <x:c r="K2111" t="str">
        <x:v>Avalancha</x:v>
      </x:c>
      <x:c r="L2111" t="str">
        <x:v>Vigente</x:v>
      </x:c>
      <x:c r="M2111" t="n">
        <x:v>11716105.22</x:v>
      </x:c>
      <x:c r="N2111"/>
    </x:row>
    <x:row r="2112">
      <x:c r="A2112" t="str">
        <x:v>DEU-002111</x:v>
      </x:c>
      <x:c r="B2112" t="str">
        <x:v>USR-01080</x:v>
      </x:c>
      <x:c r="C2112" t="n">
        <x:v>46235</x:v>
      </x:c>
      <x:c r="D2112" t="str">
        <x:v>Cooperativa C</x:v>
      </x:c>
      <x:c r="E2112" t="str">
        <x:v>Tarjeta de crédito</x:v>
      </x:c>
      <x:c r="F2112" t="n">
        <x:v>8260000</x:v>
      </x:c>
      <x:c r="G2112" s="40" t="n">
        <x:v>0.2284</x:v>
      </x:c>
      <x:c r="H2112" s="40" t="n">
        <x:v>0.01729</x:v>
      </x:c>
      <x:c r="I2112" t="n">
        <x:v>30</x:v>
      </x:c>
      <x:c r="J2112" t="n">
        <x:v>355200</x:v>
      </x:c>
      <x:c r="K2112" t="str">
        <x:v>Avalancha</x:v>
      </x:c>
      <x:c r="L2112" t="str">
        <x:v>Vigente</x:v>
      </x:c>
      <x:c r="M2112" t="n">
        <x:v>8258994.34</x:v>
      </x:c>
      <x:c r="N2112"/>
    </x:row>
    <x:row r="2113">
      <x:c r="A2113" t="str">
        <x:v>DEU-002112</x:v>
      </x:c>
      <x:c r="B2113" t="str">
        <x:v>USR-01080</x:v>
      </x:c>
      <x:c r="C2113" t="n">
        <x:v>46235</x:v>
      </x:c>
      <x:c r="D2113" t="str">
        <x:v>Entidad financiera E</x:v>
      </x:c>
      <x:c r="E2113" t="str">
        <x:v>Crédito de libre inversión</x:v>
      </x:c>
      <x:c r="F2113" t="n">
        <x:v>23410000</x:v>
      </x:c>
      <x:c r="G2113" s="40" t="n">
        <x:v>0.1291</x:v>
      </x:c>
      <x:c r="H2113" s="40" t="n">
        <x:v>0.01017</x:v>
      </x:c>
      <x:c r="I2113" t="n">
        <x:v>36</x:v>
      </x:c>
      <x:c r="J2113" t="n">
        <x:v>779800</x:v>
      </x:c>
      <x:c r="K2113" t="str">
        <x:v>Bola de nieve</x:v>
      </x:c>
      <x:c r="L2113" t="str">
        <x:v>Vigente</x:v>
      </x:c>
      <x:c r="M2113" t="n">
        <x:v>22278074.16</x:v>
      </x:c>
      <x:c r="N2113"/>
    </x:row>
    <x:row r="2114">
      <x:c r="A2114" t="str">
        <x:v>DEU-002113</x:v>
      </x:c>
      <x:c r="B2114" t="str">
        <x:v>USR-01081</x:v>
      </x:c>
      <x:c r="C2114" t="n">
        <x:v>46235</x:v>
      </x:c>
      <x:c r="D2114" t="str">
        <x:v>Entidad financiera A</x:v>
      </x:c>
      <x:c r="E2114" t="str">
        <x:v>Crédito educativo</x:v>
      </x:c>
      <x:c r="F2114" t="n">
        <x:v>5680000</x:v>
      </x:c>
      <x:c r="G2114" s="40" t="n">
        <x:v>0.3188</x:v>
      </x:c>
      <x:c r="H2114" s="40" t="n">
        <x:v>0.023328</x:v>
      </x:c>
      <x:c r="I2114" t="n">
        <x:v>30</x:v>
      </x:c>
      <x:c r="J2114" t="n">
        <x:v>265400</x:v>
      </x:c>
      <x:c r="K2114" t="str">
        <x:v>Bola de nieve</x:v>
      </x:c>
      <x:c r="L2114" t="str">
        <x:v>Vigente</x:v>
      </x:c>
      <x:c r="M2114" t="n">
        <x:v>5237678.86</x:v>
      </x:c>
      <x:c r="N2114"/>
    </x:row>
    <x:row r="2115">
      <x:c r="A2115" t="str">
        <x:v>DEU-002114</x:v>
      </x:c>
      <x:c r="B2115" t="str">
        <x:v>USR-01082</x:v>
      </x:c>
      <x:c r="C2115" t="n">
        <x:v>46235</x:v>
      </x:c>
      <x:c r="D2115" t="str">
        <x:v>Entidad financiera E</x:v>
      </x:c>
      <x:c r="E2115" t="str">
        <x:v>Crédito de vehículo</x:v>
      </x:c>
      <x:c r="F2115" t="n">
        <x:v>31790000</x:v>
      </x:c>
      <x:c r="G2115" s="40" t="n">
        <x:v>0.242</x:v>
      </x:c>
      <x:c r="H2115" s="40" t="n">
        <x:v>0.018224</x:v>
      </x:c>
      <x:c r="I2115" t="n">
        <x:v>36</x:v>
      </x:c>
      <x:c r="J2115" t="n">
        <x:v>1211900</x:v>
      </x:c>
      <x:c r="K2115" t="str">
        <x:v>Bola de nieve</x:v>
      </x:c>
      <x:c r="L2115" t="str">
        <x:v>Vigente</x:v>
      </x:c>
      <x:c r="M2115" t="n">
        <x:v>30138832.45</x:v>
      </x:c>
      <x:c r="N2115"/>
    </x:row>
    <x:row r="2116">
      <x:c r="A2116" t="str">
        <x:v>DEU-002115</x:v>
      </x:c>
      <x:c r="B2116" t="str">
        <x:v>USR-01082</x:v>
      </x:c>
      <x:c r="C2116" t="n">
        <x:v>46235</x:v>
      </x:c>
      <x:c r="D2116" t="str">
        <x:v>Entidad financiera B</x:v>
      </x:c>
      <x:c r="E2116" t="str">
        <x:v>Crédito de consumo</x:v>
      </x:c>
      <x:c r="F2116" t="n">
        <x:v>15800000</x:v>
      </x:c>
      <x:c r="G2116" s="40" t="n">
        <x:v>0.2531</x:v>
      </x:c>
      <x:c r="H2116" s="40" t="n">
        <x:v>0.01898</x:v>
      </x:c>
      <x:c r="I2116" t="n">
        <x:v>48</x:v>
      </x:c>
      <x:c r="J2116" t="n">
        <x:v>504500</x:v>
      </x:c>
      <x:c r="K2116" t="str">
        <x:v>Bola de nieve</x:v>
      </x:c>
      <x:c r="L2116" t="str">
        <x:v>Vigente</x:v>
      </x:c>
      <x:c r="M2116" t="n">
        <x:v>15386870.81</x:v>
      </x:c>
      <x:c r="N2116"/>
    </x:row>
    <x:row r="2117">
      <x:c r="A2117" t="str">
        <x:v>DEU-002116</x:v>
      </x:c>
      <x:c r="B2117" t="str">
        <x:v>USR-01082</x:v>
      </x:c>
      <x:c r="C2117" t="n">
        <x:v>46235</x:v>
      </x:c>
      <x:c r="D2117" t="str">
        <x:v>Financiera D</x:v>
      </x:c>
      <x:c r="E2117" t="str">
        <x:v>Tarjeta de crédito</x:v>
      </x:c>
      <x:c r="F2117" t="n">
        <x:v>6500000</x:v>
      </x:c>
      <x:c r="G2117" s="40" t="n">
        <x:v>0.2674</x:v>
      </x:c>
      <x:c r="H2117" s="40" t="n">
        <x:v>0.019944</x:v>
      </x:c>
      <x:c r="I2117" t="n">
        <x:v>12</x:v>
      </x:c>
      <x:c r="J2117" t="n">
        <x:v>614400</x:v>
      </x:c>
      <x:c r="K2117" t="str">
        <x:v>Bola de nieve</x:v>
      </x:c>
      <x:c r="L2117" t="str">
        <x:v>Vigente</x:v>
      </x:c>
      <x:c r="M2117" t="n">
        <x:v>5646149.42</x:v>
      </x:c>
      <x:c r="N2117"/>
    </x:row>
    <x:row r="2118">
      <x:c r="A2118" t="str">
        <x:v>DEU-002117</x:v>
      </x:c>
      <x:c r="B2118" t="str">
        <x:v>USR-01083</x:v>
      </x:c>
      <x:c r="C2118" t="n">
        <x:v>46235</x:v>
      </x:c>
      <x:c r="D2118" t="str">
        <x:v>Entidad financiera B</x:v>
      </x:c>
      <x:c r="E2118" t="str">
        <x:v>Crédito de vehículo</x:v>
      </x:c>
      <x:c r="F2118" t="n">
        <x:v>19710000</x:v>
      </x:c>
      <x:c r="G2118" s="40" t="n">
        <x:v>0.1717</x:v>
      </x:c>
      <x:c r="H2118" s="40" t="n">
        <x:v>0.013292</x:v>
      </x:c>
      <x:c r="I2118" t="n">
        <x:v>12</x:v>
      </x:c>
      <x:c r="J2118" t="n">
        <x:v>1787800</x:v>
      </x:c>
      <x:c r="K2118" t="str">
        <x:v>Bola de nieve</x:v>
      </x:c>
      <x:c r="L2118" t="str">
        <x:v>Vigente</x:v>
      </x:c>
      <x:c r="M2118" t="n">
        <x:v>18449661.2</x:v>
      </x:c>
      <x:c r="N2118"/>
    </x:row>
    <x:row r="2119">
      <x:c r="A2119" t="str">
        <x:v>DEU-002118</x:v>
      </x:c>
      <x:c r="B2119" t="str">
        <x:v>USR-01083</x:v>
      </x:c>
      <x:c r="C2119" t="n">
        <x:v>46235</x:v>
      </x:c>
      <x:c r="D2119" t="str">
        <x:v>Entidad financiera E</x:v>
      </x:c>
      <x:c r="E2119" t="str">
        <x:v>Crédito de consumo</x:v>
      </x:c>
      <x:c r="F2119" t="n">
        <x:v>7330000</x:v>
      </x:c>
      <x:c r="G2119" s="40" t="n">
        <x:v>0.3318</x:v>
      </x:c>
      <x:c r="H2119" s="40" t="n">
        <x:v>0.024165</x:v>
      </x:c>
      <x:c r="I2119" t="n">
        <x:v>24</x:v>
      </x:c>
      <x:c r="J2119" t="n">
        <x:v>406100</x:v>
      </x:c>
      <x:c r="K2119" t="str">
        <x:v>Bola de nieve</x:v>
      </x:c>
      <x:c r="L2119" t="str">
        <x:v>Vigente</x:v>
      </x:c>
      <x:c r="M2119" t="n">
        <x:v>6805625.39</x:v>
      </x:c>
      <x:c r="N2119"/>
    </x:row>
    <x:row r="2120">
      <x:c r="A2120" t="str">
        <x:v>DEU-002119</x:v>
      </x:c>
      <x:c r="B2120" t="str">
        <x:v>USR-01084</x:v>
      </x:c>
      <x:c r="C2120" t="n">
        <x:v>46235</x:v>
      </x:c>
      <x:c r="D2120" t="str">
        <x:v>Entidad financiera B</x:v>
      </x:c>
      <x:c r="E2120" t="str">
        <x:v>Crédito educativo</x:v>
      </x:c>
      <x:c r="F2120" t="n">
        <x:v>5530000</x:v>
      </x:c>
      <x:c r="G2120" s="40" t="n">
        <x:v>0.1788</x:v>
      </x:c>
      <x:c r="H2120" s="40" t="n">
        <x:v>0.013802</x:v>
      </x:c>
      <x:c r="I2120" t="n">
        <x:v>30</x:v>
      </x:c>
      <x:c r="J2120" t="n">
        <x:v>226400</x:v>
      </x:c>
      <x:c r="K2120" t="str">
        <x:v>Avalancha</x:v>
      </x:c>
      <x:c r="L2120" t="str">
        <x:v>Vigente</x:v>
      </x:c>
      <x:c r="M2120" t="n">
        <x:v>5375609.18</x:v>
      </x:c>
      <x:c r="N2120"/>
    </x:row>
    <x:row r="2121">
      <x:c r="A2121" t="str">
        <x:v>DEU-002120</x:v>
      </x:c>
      <x:c r="B2121" t="str">
        <x:v>USR-01085</x:v>
      </x:c>
      <x:c r="C2121" t="n">
        <x:v>46235</x:v>
      </x:c>
      <x:c r="D2121" t="str">
        <x:v>Financiera D</x:v>
      </x:c>
      <x:c r="E2121" t="str">
        <x:v>Crédito de vehículo</x:v>
      </x:c>
      <x:c r="F2121" t="n">
        <x:v>40540000</x:v>
      </x:c>
      <x:c r="G2121" s="40" t="n">
        <x:v>0.1171</x:v>
      </x:c>
      <x:c r="H2121" s="40" t="n">
        <x:v>0.009271</x:v>
      </x:c>
      <x:c r="I2121" t="n">
        <x:v>48</x:v>
      </x:c>
      <x:c r="J2121" t="n">
        <x:v>1050200</x:v>
      </x:c>
      <x:c r="K2121" t="str">
        <x:v>Bola de nieve</x:v>
      </x:c>
      <x:c r="L2121" t="str">
        <x:v>Vigente</x:v>
      </x:c>
      <x:c r="M2121" t="n">
        <x:v>38868557.41</x:v>
      </x:c>
      <x:c r="N2121"/>
    </x:row>
    <x:row r="2122">
      <x:c r="A2122" t="str">
        <x:v>DEU-002121</x:v>
      </x:c>
      <x:c r="B2122" t="str">
        <x:v>USR-01085</x:v>
      </x:c>
      <x:c r="C2122" t="n">
        <x:v>46235</x:v>
      </x:c>
      <x:c r="D2122" t="str">
        <x:v>Financiera D</x:v>
      </x:c>
      <x:c r="E2122" t="str">
        <x:v>Tarjeta de crédito</x:v>
      </x:c>
      <x:c r="F2122" t="n">
        <x:v>6810000</x:v>
      </x:c>
      <x:c r="G2122" s="40" t="n">
        <x:v>0.3016</x:v>
      </x:c>
      <x:c r="H2122" s="40" t="n">
        <x:v>0.022209</x:v>
      </x:c>
      <x:c r="I2122" t="n">
        <x:v>30</x:v>
      </x:c>
      <x:c r="J2122" t="n">
        <x:v>313400</x:v>
      </x:c>
      <x:c r="K2122" t="str">
        <x:v>Bola de nieve</x:v>
      </x:c>
      <x:c r="L2122" t="str">
        <x:v>Vigente</x:v>
      </x:c>
      <x:c r="M2122" t="n">
        <x:v>6579219.78</x:v>
      </x:c>
      <x:c r="N2122"/>
    </x:row>
    <x:row r="2123">
      <x:c r="A2123" t="str">
        <x:v>DEU-002122</x:v>
      </x:c>
      <x:c r="B2123" t="str">
        <x:v>USR-01086</x:v>
      </x:c>
      <x:c r="C2123" t="n">
        <x:v>46235</x:v>
      </x:c>
      <x:c r="D2123" t="str">
        <x:v>Financiera D</x:v>
      </x:c>
      <x:c r="E2123" t="str">
        <x:v>Crédito de consumo</x:v>
      </x:c>
      <x:c r="F2123" t="n">
        <x:v>12840000</x:v>
      </x:c>
      <x:c r="G2123" s="40" t="n">
        <x:v>0.1758</x:v>
      </x:c>
      <x:c r="H2123" s="40" t="n">
        <x:v>0.013587</x:v>
      </x:c>
      <x:c r="I2123" t="n">
        <x:v>24</x:v>
      </x:c>
      <x:c r="J2123" t="n">
        <x:v>630600</x:v>
      </x:c>
      <x:c r="K2123" t="str">
        <x:v>Avalancha</x:v>
      </x:c>
      <x:c r="L2123" t="str">
        <x:v>Vigente</x:v>
      </x:c>
      <x:c r="M2123" t="n">
        <x:v>11921521.85</x:v>
      </x:c>
      <x:c r="N2123"/>
    </x:row>
    <x:row r="2124">
      <x:c r="A2124" t="str">
        <x:v>DEU-002123</x:v>
      </x:c>
      <x:c r="B2124" t="str">
        <x:v>USR-01086</x:v>
      </x:c>
      <x:c r="C2124" t="n">
        <x:v>46235</x:v>
      </x:c>
      <x:c r="D2124" t="str">
        <x:v>Cooperativa C</x:v>
      </x:c>
      <x:c r="E2124" t="str">
        <x:v>Crédito de consumo</x:v>
      </x:c>
      <x:c r="F2124" t="n">
        <x:v>18100000</x:v>
      </x:c>
      <x:c r="G2124" s="40" t="n">
        <x:v>0.1605</x:v>
      </x:c>
      <x:c r="H2124" s="40" t="n">
        <x:v>0.012481</x:v>
      </x:c>
      <x:c r="I2124" t="n">
        <x:v>48</x:v>
      </x:c>
      <x:c r="J2124" t="n">
        <x:v>503500</x:v>
      </x:c>
      <x:c r="K2124" t="str">
        <x:v>Avalancha</x:v>
      </x:c>
      <x:c r="L2124" t="str">
        <x:v>Vigente</x:v>
      </x:c>
      <x:c r="M2124" t="n">
        <x:v>17391622.41</x:v>
      </x:c>
      <x:c r="N2124"/>
    </x:row>
    <x:row r="2125">
      <x:c r="A2125" t="str">
        <x:v>DEU-002124</x:v>
      </x:c>
      <x:c r="B2125" t="str">
        <x:v>USR-01087</x:v>
      </x:c>
      <x:c r="C2125" t="n">
        <x:v>46235</x:v>
      </x:c>
      <x:c r="D2125" t="str">
        <x:v>Cooperativa C</x:v>
      </x:c>
      <x:c r="E2125" t="str">
        <x:v>Crédito de consumo</x:v>
      </x:c>
      <x:c r="F2125" t="n">
        <x:v>18980000</x:v>
      </x:c>
      <x:c r="G2125" s="40" t="n">
        <x:v>0.2772</x:v>
      </x:c>
      <x:c r="H2125" s="40" t="n">
        <x:v>0.020598</x:v>
      </x:c>
      <x:c r="I2125" t="n">
        <x:v>60</x:v>
      </x:c>
      <x:c r="J2125" t="n">
        <x:v>554000</x:v>
      </x:c>
      <x:c r="K2125" t="str">
        <x:v>Avalancha</x:v>
      </x:c>
      <x:c r="L2125" t="str">
        <x:v>Vigente</x:v>
      </x:c>
      <x:c r="M2125" t="n">
        <x:v>18650559.18</x:v>
      </x:c>
      <x:c r="N2125"/>
    </x:row>
    <x:row r="2126">
      <x:c r="A2126" t="str">
        <x:v>DEU-002125</x:v>
      </x:c>
      <x:c r="B2126" t="str">
        <x:v>USR-01087</x:v>
      </x:c>
      <x:c r="C2126" t="n">
        <x:v>46235</x:v>
      </x:c>
      <x:c r="D2126" t="str">
        <x:v>Entidad financiera A</x:v>
      </x:c>
      <x:c r="E2126" t="str">
        <x:v>Crédito de consumo</x:v>
      </x:c>
      <x:c r="F2126" t="n">
        <x:v>6980000</x:v>
      </x:c>
      <x:c r="G2126" s="40" t="n">
        <x:v>0.1421</x:v>
      </x:c>
      <x:c r="H2126" s="40" t="n">
        <x:v>0.011134</x:v>
      </x:c>
      <x:c r="I2126" t="n">
        <x:v>48</x:v>
      </x:c>
      <x:c r="J2126" t="n">
        <x:v>188500</x:v>
      </x:c>
      <x:c r="K2126" t="str">
        <x:v>Bola de nieve</x:v>
      </x:c>
      <x:c r="L2126" t="str">
        <x:v>Vigente</x:v>
      </x:c>
      <x:c r="M2126" t="n">
        <x:v>6945695.98</x:v>
      </x:c>
      <x:c r="N2126"/>
    </x:row>
    <x:row r="2127">
      <x:c r="A2127" t="str">
        <x:v>DEU-002126</x:v>
      </x:c>
      <x:c r="B2127" t="str">
        <x:v>USR-01088</x:v>
      </x:c>
      <x:c r="C2127" t="n">
        <x:v>46235</x:v>
      </x:c>
      <x:c r="D2127" t="str">
        <x:v>Cooperativa C</x:v>
      </x:c>
      <x:c r="E2127" t="str">
        <x:v>Crédito de vehículo</x:v>
      </x:c>
      <x:c r="F2127" t="n">
        <x:v>14000000</x:v>
      </x:c>
      <x:c r="G2127" s="40" t="n">
        <x:v>0.1958</x:v>
      </x:c>
      <x:c r="H2127" s="40" t="n">
        <x:v>0.015013</x:v>
      </x:c>
      <x:c r="I2127" t="n">
        <x:v>18</x:v>
      </x:c>
      <x:c r="J2127" t="n">
        <x:v>893400</x:v>
      </x:c>
      <x:c r="K2127" t="str">
        <x:v>Bola de nieve</x:v>
      </x:c>
      <x:c r="L2127" t="str">
        <x:v>Vigente</x:v>
      </x:c>
      <x:c r="M2127" t="n">
        <x:v>12804685.86</x:v>
      </x:c>
      <x:c r="N2127"/>
    </x:row>
    <x:row r="2128">
      <x:c r="A2128" t="str">
        <x:v>DEU-002127</x:v>
      </x:c>
      <x:c r="B2128" t="str">
        <x:v>USR-01089</x:v>
      </x:c>
      <x:c r="C2128" t="n">
        <x:v>46235</x:v>
      </x:c>
      <x:c r="D2128" t="str">
        <x:v>Entidad financiera A</x:v>
      </x:c>
      <x:c r="E2128" t="str">
        <x:v>Crédito educativo</x:v>
      </x:c>
      <x:c r="F2128" t="n">
        <x:v>14940000</x:v>
      </x:c>
      <x:c r="G2128" s="40" t="n">
        <x:v>0.1186</x:v>
      </x:c>
      <x:c r="H2128" s="40" t="n">
        <x:v>0.009384</x:v>
      </x:c>
      <x:c r="I2128" t="n">
        <x:v>12</x:v>
      </x:c>
      <x:c r="J2128" t="n">
        <x:v>1322200</x:v>
      </x:c>
      <x:c r="K2128" t="str">
        <x:v>Bola de nieve</x:v>
      </x:c>
      <x:c r="L2128" t="str">
        <x:v>Vigente</x:v>
      </x:c>
      <x:c r="M2128" t="n">
        <x:v>11699286.34</x:v>
      </x:c>
      <x:c r="N2128"/>
    </x:row>
    <x:row r="2129">
      <x:c r="A2129" t="str">
        <x:v>DEU-002128</x:v>
      </x:c>
      <x:c r="B2129" t="str">
        <x:v>USR-01090</x:v>
      </x:c>
      <x:c r="C2129" t="n">
        <x:v>46235</x:v>
      </x:c>
      <x:c r="D2129" t="str">
        <x:v>Entidad financiera E</x:v>
      </x:c>
      <x:c r="E2129" t="str">
        <x:v>Tarjeta de crédito</x:v>
      </x:c>
      <x:c r="F2129" t="n">
        <x:v>4590000</x:v>
      </x:c>
      <x:c r="G2129" s="40" t="n">
        <x:v>0.3027</x:v>
      </x:c>
      <x:c r="H2129" s="40" t="n">
        <x:v>0.022281</x:v>
      </x:c>
      <x:c r="I2129" t="n">
        <x:v>48</x:v>
      </x:c>
      <x:c r="J2129" t="n">
        <x:v>156700</x:v>
      </x:c>
      <x:c r="K2129" t="str">
        <x:v>Avalancha</x:v>
      </x:c>
      <x:c r="L2129" t="str">
        <x:v>Vigente</x:v>
      </x:c>
      <x:c r="M2129" t="n">
        <x:v>4456428.53</x:v>
      </x:c>
      <x:c r="N2129"/>
    </x:row>
    <x:row r="2130">
      <x:c r="A2130" t="str">
        <x:v>DEU-002129</x:v>
      </x:c>
      <x:c r="B2130" t="str">
        <x:v>USR-01090</x:v>
      </x:c>
      <x:c r="C2130" t="n">
        <x:v>46235</x:v>
      </x:c>
      <x:c r="D2130" t="str">
        <x:v>Financiera D</x:v>
      </x:c>
      <x:c r="E2130" t="str">
        <x:v>Tarjeta de crédito</x:v>
      </x:c>
      <x:c r="F2130" t="n">
        <x:v>6870000</x:v>
      </x:c>
      <x:c r="G2130" s="40" t="n">
        <x:v>0.1087</x:v>
      </x:c>
      <x:c r="H2130" s="40" t="n">
        <x:v>0.008636</x:v>
      </x:c>
      <x:c r="I2130" t="n">
        <x:v>18</x:v>
      </x:c>
      <x:c r="J2130" t="n">
        <x:v>413700</x:v>
      </x:c>
      <x:c r="K2130" t="str">
        <x:v>Avalancha</x:v>
      </x:c>
      <x:c r="L2130" t="str">
        <x:v>Vigente</x:v>
      </x:c>
      <x:c r="M2130" t="n">
        <x:v>6989172.26</x:v>
      </x:c>
      <x:c r="N2130"/>
    </x:row>
    <x:row r="2131">
      <x:c r="A2131" t="str">
        <x:v>DEU-002130</x:v>
      </x:c>
      <x:c r="B2131" t="str">
        <x:v>USR-01091</x:v>
      </x:c>
      <x:c r="C2131" t="n">
        <x:v>46235</x:v>
      </x:c>
      <x:c r="D2131" t="str">
        <x:v>Entidad financiera A</x:v>
      </x:c>
      <x:c r="E2131" t="str">
        <x:v>Tarjeta de crédito</x:v>
      </x:c>
      <x:c r="F2131" t="n">
        <x:v>7150000</x:v>
      </x:c>
      <x:c r="G2131" s="40" t="n">
        <x:v>0.2172</x:v>
      </x:c>
      <x:c r="H2131" s="40" t="n">
        <x:v>0.016514</x:v>
      </x:c>
      <x:c r="I2131" t="n">
        <x:v>36</x:v>
      </x:c>
      <x:c r="J2131" t="n">
        <x:v>265100</x:v>
      </x:c>
      <x:c r="K2131" t="str">
        <x:v>Bola de nieve</x:v>
      </x:c>
      <x:c r="L2131" t="str">
        <x:v>Vigente</x:v>
      </x:c>
      <x:c r="M2131" t="n">
        <x:v>7083204.55</x:v>
      </x:c>
      <x:c r="N2131"/>
    </x:row>
    <x:row r="2132">
      <x:c r="A2132" t="str">
        <x:v>DEU-002131</x:v>
      </x:c>
      <x:c r="B2132" t="str">
        <x:v>USR-01092</x:v>
      </x:c>
      <x:c r="C2132" t="n">
        <x:v>46235</x:v>
      </x:c>
      <x:c r="D2132" t="str">
        <x:v>Financiera D</x:v>
      </x:c>
      <x:c r="E2132" t="str">
        <x:v>Crédito comercial</x:v>
      </x:c>
      <x:c r="F2132" t="n">
        <x:v>35810000</x:v>
      </x:c>
      <x:c r="G2132" s="40" t="n">
        <x:v>0.236</x:v>
      </x:c>
      <x:c r="H2132" s="40" t="n">
        <x:v>0.017813</x:v>
      </x:c>
      <x:c r="I2132" t="n">
        <x:v>12</x:v>
      </x:c>
      <x:c r="J2132" t="n">
        <x:v>3340900</x:v>
      </x:c>
      <x:c r="K2132" t="str">
        <x:v>Bola de nieve</x:v>
      </x:c>
      <x:c r="L2132" t="str">
        <x:v>Vigente</x:v>
      </x:c>
      <x:c r="M2132" t="n">
        <x:v>33756265.95</x:v>
      </x:c>
      <x:c r="N2132"/>
    </x:row>
    <x:row r="2133">
      <x:c r="A2133" t="str">
        <x:v>DEU-002132</x:v>
      </x:c>
      <x:c r="B2133" t="str">
        <x:v>USR-01093</x:v>
      </x:c>
      <x:c r="C2133" t="n">
        <x:v>46235</x:v>
      </x:c>
      <x:c r="D2133" t="str">
        <x:v>Entidad financiera A</x:v>
      </x:c>
      <x:c r="E2133" t="str">
        <x:v>Crédito de consumo</x:v>
      </x:c>
      <x:c r="F2133" t="n">
        <x:v>8280000</x:v>
      </x:c>
      <x:c r="G2133" s="40" t="n">
        <x:v>0.1406</x:v>
      </x:c>
      <x:c r="H2133" s="40" t="n">
        <x:v>0.011023</x:v>
      </x:c>
      <x:c r="I2133" t="n">
        <x:v>48</x:v>
      </x:c>
      <x:c r="J2133" t="n">
        <x:v>223100</x:v>
      </x:c>
      <x:c r="K2133" t="str">
        <x:v>Avalancha</x:v>
      </x:c>
      <x:c r="L2133" t="str">
        <x:v>Vigente</x:v>
      </x:c>
      <x:c r="M2133" t="n">
        <x:v>8059490.74</x:v>
      </x:c>
      <x:c r="N2133"/>
    </x:row>
    <x:row r="2134">
      <x:c r="A2134" t="str">
        <x:v>DEU-002133</x:v>
      </x:c>
      <x:c r="B2134" t="str">
        <x:v>USR-01093</x:v>
      </x:c>
      <x:c r="C2134" t="n">
        <x:v>46235</x:v>
      </x:c>
      <x:c r="D2134" t="str">
        <x:v>Entidad financiera E</x:v>
      </x:c>
      <x:c r="E2134" t="str">
        <x:v>Crédito educativo</x:v>
      </x:c>
      <x:c r="F2134" t="n">
        <x:v>7490000</x:v>
      </x:c>
      <x:c r="G2134" s="40" t="n">
        <x:v>0.2842</x:v>
      </x:c>
      <x:c r="H2134" s="40" t="n">
        <x:v>0.021063</x:v>
      </x:c>
      <x:c r="I2134" t="n">
        <x:v>24</x:v>
      </x:c>
      <x:c r="J2134" t="n">
        <x:v>400800</x:v>
      </x:c>
      <x:c r="K2134" t="str">
        <x:v>Bola de nieve</x:v>
      </x:c>
      <x:c r="L2134" t="str">
        <x:v>Vigente</x:v>
      </x:c>
      <x:c r="M2134" t="n">
        <x:v>7080700.32</x:v>
      </x:c>
      <x:c r="N2134"/>
    </x:row>
    <x:row r="2135">
      <x:c r="A2135" t="str">
        <x:v>DEU-002134</x:v>
      </x:c>
      <x:c r="B2135" t="str">
        <x:v>USR-01093</x:v>
      </x:c>
      <x:c r="C2135" t="n">
        <x:v>46235</x:v>
      </x:c>
      <x:c r="D2135" t="str">
        <x:v>Entidad financiera B</x:v>
      </x:c>
      <x:c r="E2135" t="str">
        <x:v>Crédito de vehículo</x:v>
      </x:c>
      <x:c r="F2135" t="n">
        <x:v>51210000</x:v>
      </x:c>
      <x:c r="G2135" s="40" t="n">
        <x:v>0.1882</x:v>
      </x:c>
      <x:c r="H2135" s="40" t="n">
        <x:v>0.014474</x:v>
      </x:c>
      <x:c r="I2135" t="n">
        <x:v>24</x:v>
      </x:c>
      <x:c r="J2135" t="n">
        <x:v>2541000</x:v>
      </x:c>
      <x:c r="K2135" t="str">
        <x:v>Avalancha</x:v>
      </x:c>
      <x:c r="L2135" t="str">
        <x:v>Vigente</x:v>
      </x:c>
      <x:c r="M2135" t="n">
        <x:v>47718702.84</x:v>
      </x:c>
      <x:c r="N2135"/>
    </x:row>
    <x:row r="2136">
      <x:c r="A2136" t="str">
        <x:v>DEU-002135</x:v>
      </x:c>
      <x:c r="B2136" t="str">
        <x:v>USR-01093</x:v>
      </x:c>
      <x:c r="C2136" t="n">
        <x:v>46235</x:v>
      </x:c>
      <x:c r="D2136" t="str">
        <x:v>Financiera D</x:v>
      </x:c>
      <x:c r="E2136" t="str">
        <x:v>Crédito educativo</x:v>
      </x:c>
      <x:c r="F2136" t="n">
        <x:v>12050000</x:v>
      </x:c>
      <x:c r="G2136" s="40" t="n">
        <x:v>0.267</x:v>
      </x:c>
      <x:c r="H2136" s="40" t="n">
        <x:v>0.019917</x:v>
      </x:c>
      <x:c r="I2136" t="n">
        <x:v>30</x:v>
      </x:c>
      <x:c r="J2136" t="n">
        <x:v>537400</x:v>
      </x:c>
      <x:c r="K2136" t="str">
        <x:v>Avalancha</x:v>
      </x:c>
      <x:c r="L2136" t="str">
        <x:v>Vigente</x:v>
      </x:c>
      <x:c r="M2136" t="n">
        <x:v>12104873.27</x:v>
      </x:c>
      <x:c r="N2136"/>
    </x:row>
    <x:row r="2137">
      <x:c r="A2137" t="str">
        <x:v>DEU-002136</x:v>
      </x:c>
      <x:c r="B2137" t="str">
        <x:v>USR-01094</x:v>
      </x:c>
      <x:c r="C2137" t="n">
        <x:v>46235</x:v>
      </x:c>
      <x:c r="D2137" t="str">
        <x:v>Entidad financiera E</x:v>
      </x:c>
      <x:c r="E2137" t="str">
        <x:v>Tarjeta de crédito</x:v>
      </x:c>
      <x:c r="F2137" t="n">
        <x:v>8460000</x:v>
      </x:c>
      <x:c r="G2137" s="40" t="n">
        <x:v>0.108</x:v>
      </x:c>
      <x:c r="H2137" s="40" t="n">
        <x:v>0.008583</x:v>
      </x:c>
      <x:c r="I2137" t="n">
        <x:v>48</x:v>
      </x:c>
      <x:c r="J2137" t="n">
        <x:v>215800</x:v>
      </x:c>
      <x:c r="K2137" t="str">
        <x:v>Avalancha</x:v>
      </x:c>
      <x:c r="L2137" t="str">
        <x:v>Vigente</x:v>
      </x:c>
      <x:c r="M2137" t="n">
        <x:v>8388195.5</x:v>
      </x:c>
      <x:c r="N2137"/>
    </x:row>
    <x:row r="2138">
      <x:c r="A2138" t="str">
        <x:v>DEU-002137</x:v>
      </x:c>
      <x:c r="B2138" t="str">
        <x:v>USR-01094</x:v>
      </x:c>
      <x:c r="C2138" t="n">
        <x:v>46235</x:v>
      </x:c>
      <x:c r="D2138" t="str">
        <x:v>Entidad financiera E</x:v>
      </x:c>
      <x:c r="E2138" t="str">
        <x:v>Crédito de consumo</x:v>
      </x:c>
      <x:c r="F2138" t="n">
        <x:v>16690000</x:v>
      </x:c>
      <x:c r="G2138" s="40" t="n">
        <x:v>0.3201</x:v>
      </x:c>
      <x:c r="H2138" s="40" t="n">
        <x:v>0.023412</x:v>
      </x:c>
      <x:c r="I2138" t="n">
        <x:v>60</x:v>
      </x:c>
      <x:c r="J2138" t="n">
        <x:v>520600</x:v>
      </x:c>
      <x:c r="K2138" t="str">
        <x:v>Avalancha</x:v>
      </x:c>
      <x:c r="L2138" t="str">
        <x:v>Vigente</x:v>
      </x:c>
      <x:c r="M2138" t="n">
        <x:v>16349157.52</x:v>
      </x:c>
      <x:c r="N2138"/>
    </x:row>
    <x:row r="2139">
      <x:c r="A2139" t="str">
        <x:v>DEU-002138</x:v>
      </x:c>
      <x:c r="B2139" t="str">
        <x:v>USR-01095</x:v>
      </x:c>
      <x:c r="C2139" t="n">
        <x:v>46235</x:v>
      </x:c>
      <x:c r="D2139" t="str">
        <x:v>Cooperativa C</x:v>
      </x:c>
      <x:c r="E2139" t="str">
        <x:v>Crédito de libre inversión</x:v>
      </x:c>
      <x:c r="F2139" t="n">
        <x:v>18040000</x:v>
      </x:c>
      <x:c r="G2139" s="40" t="n">
        <x:v>0.222</x:v>
      </x:c>
      <x:c r="H2139" s="40" t="n">
        <x:v>0.016848</x:v>
      </x:c>
      <x:c r="I2139" t="n">
        <x:v>24</x:v>
      </x:c>
      <x:c r="J2139" t="n">
        <x:v>920100</x:v>
      </x:c>
      <x:c r="K2139" t="str">
        <x:v>Avalancha</x:v>
      </x:c>
      <x:c r="L2139" t="str">
        <x:v>Vigente</x:v>
      </x:c>
      <x:c r="M2139" t="n">
        <x:v>17717385.96</x:v>
      </x:c>
      <x:c r="N2139"/>
    </x:row>
    <x:row r="2140">
      <x:c r="A2140" t="str">
        <x:v>DEU-002139</x:v>
      </x:c>
      <x:c r="B2140" t="str">
        <x:v>USR-01095</x:v>
      </x:c>
      <x:c r="C2140" t="n">
        <x:v>46235</x:v>
      </x:c>
      <x:c r="D2140" t="str">
        <x:v>Financiera D</x:v>
      </x:c>
      <x:c r="E2140" t="str">
        <x:v>Tarjeta de crédito</x:v>
      </x:c>
      <x:c r="F2140" t="n">
        <x:v>4530000</x:v>
      </x:c>
      <x:c r="G2140" s="40" t="n">
        <x:v>0.3131</x:v>
      </x:c>
      <x:c r="H2140" s="40" t="n">
        <x:v>0.022959</x:v>
      </x:c>
      <x:c r="I2140" t="n">
        <x:v>48</x:v>
      </x:c>
      <x:c r="J2140" t="n">
        <x:v>156700</x:v>
      </x:c>
      <x:c r="K2140" t="str">
        <x:v>Bola de nieve</x:v>
      </x:c>
      <x:c r="L2140" t="str">
        <x:v>Vigente</x:v>
      </x:c>
      <x:c r="M2140" t="n">
        <x:v>4505394.68</x:v>
      </x:c>
      <x:c r="N2140"/>
    </x:row>
    <x:row r="2141">
      <x:c r="A2141" t="str">
        <x:v>DEU-002140</x:v>
      </x:c>
      <x:c r="B2141" t="str">
        <x:v>USR-01096</x:v>
      </x:c>
      <x:c r="C2141" t="n">
        <x:v>46235</x:v>
      </x:c>
      <x:c r="D2141" t="str">
        <x:v>Entidad financiera A</x:v>
      </x:c>
      <x:c r="E2141" t="str">
        <x:v>Tarjeta de crédito</x:v>
      </x:c>
      <x:c r="F2141" t="n">
        <x:v>7860000</x:v>
      </x:c>
      <x:c r="G2141" s="40" t="n">
        <x:v>0.2245</x:v>
      </x:c>
      <x:c r="H2141" s="40" t="n">
        <x:v>0.017021</x:v>
      </x:c>
      <x:c r="I2141" t="n">
        <x:v>24</x:v>
      </x:c>
      <x:c r="J2141" t="n">
        <x:v>401700</x:v>
      </x:c>
      <x:c r="K2141" t="str">
        <x:v>Avalancha</x:v>
      </x:c>
      <x:c r="L2141" t="str">
        <x:v>Vigente</x:v>
      </x:c>
      <x:c r="M2141" t="n">
        <x:v>7503486.55</x:v>
      </x:c>
      <x:c r="N2141"/>
    </x:row>
    <x:row r="2142">
      <x:c r="A2142" t="str">
        <x:v>DEU-002141</x:v>
      </x:c>
      <x:c r="B2142" t="str">
        <x:v>USR-01097</x:v>
      </x:c>
      <x:c r="C2142" t="n">
        <x:v>46235</x:v>
      </x:c>
      <x:c r="D2142" t="str">
        <x:v>Entidad financiera A</x:v>
      </x:c>
      <x:c r="E2142" t="str">
        <x:v>Crédito de libre inversión</x:v>
      </x:c>
      <x:c r="F2142" t="n">
        <x:v>6510000</x:v>
      </x:c>
      <x:c r="G2142" s="40" t="n">
        <x:v>0.1865</x:v>
      </x:c>
      <x:c r="H2142" s="40" t="n">
        <x:v>0.014353</x:v>
      </x:c>
      <x:c r="I2142" t="n">
        <x:v>60</x:v>
      </x:c>
      <x:c r="J2142" t="n">
        <x:v>162600</x:v>
      </x:c>
      <x:c r="K2142" t="str">
        <x:v>Bola de nieve</x:v>
      </x:c>
      <x:c r="L2142" t="str">
        <x:v>Vigente</x:v>
      </x:c>
      <x:c r="M2142" t="n">
        <x:v>6379245.59</x:v>
      </x:c>
      <x:c r="N2142"/>
    </x:row>
    <x:row r="2143">
      <x:c r="A2143" t="str">
        <x:v>DEU-002142</x:v>
      </x:c>
      <x:c r="B2143" t="str">
        <x:v>USR-01097</x:v>
      </x:c>
      <x:c r="C2143" t="n">
        <x:v>46235</x:v>
      </x:c>
      <x:c r="D2143" t="str">
        <x:v>Entidad financiera E</x:v>
      </x:c>
      <x:c r="E2143" t="str">
        <x:v>Crédito de vehículo</x:v>
      </x:c>
      <x:c r="F2143" t="n">
        <x:v>47740000</x:v>
      </x:c>
      <x:c r="G2143" s="40" t="n">
        <x:v>0.1075</x:v>
      </x:c>
      <x:c r="H2143" s="40" t="n">
        <x:v>0.008545</x:v>
      </x:c>
      <x:c r="I2143" t="n">
        <x:v>36</x:v>
      </x:c>
      <x:c r="J2143" t="n">
        <x:v>1546100</x:v>
      </x:c>
      <x:c r="K2143" t="str">
        <x:v>Bola de nieve</x:v>
      </x:c>
      <x:c r="L2143" t="str">
        <x:v>Vigente</x:v>
      </x:c>
      <x:c r="M2143" t="n">
        <x:v>46220351.54</x:v>
      </x:c>
      <x:c r="N2143"/>
    </x:row>
    <x:row r="2144">
      <x:c r="A2144" t="str">
        <x:v>DEU-002143</x:v>
      </x:c>
      <x:c r="B2144" t="str">
        <x:v>USR-01098</x:v>
      </x:c>
      <x:c r="C2144" t="n">
        <x:v>46235</x:v>
      </x:c>
      <x:c r="D2144" t="str">
        <x:v>Financiera D</x:v>
      </x:c>
      <x:c r="E2144" t="str">
        <x:v>Crédito de vehículo</x:v>
      </x:c>
      <x:c r="F2144" t="n">
        <x:v>15200000</x:v>
      </x:c>
      <x:c r="G2144" s="40" t="n">
        <x:v>0.2568</x:v>
      </x:c>
      <x:c r="H2144" s="40" t="n">
        <x:v>0.01923</x:v>
      </x:c>
      <x:c r="I2144" t="n">
        <x:v>24</x:v>
      </x:c>
      <x:c r="J2144" t="n">
        <x:v>796600</x:v>
      </x:c>
      <x:c r="K2144" t="str">
        <x:v>Bola de nieve</x:v>
      </x:c>
      <x:c r="L2144" t="str">
        <x:v>Vigente</x:v>
      </x:c>
      <x:c r="M2144" t="n">
        <x:v>13775733.73</x:v>
      </x:c>
      <x:c r="N2144"/>
    </x:row>
    <x:row r="2145">
      <x:c r="A2145" t="str">
        <x:v>DEU-002144</x:v>
      </x:c>
      <x:c r="B2145" t="str">
        <x:v>USR-01098</x:v>
      </x:c>
      <x:c r="C2145" t="n">
        <x:v>46235</x:v>
      </x:c>
      <x:c r="D2145" t="str">
        <x:v>Entidad financiera E</x:v>
      </x:c>
      <x:c r="E2145" t="str">
        <x:v>Crédito de libre inversión</x:v>
      </x:c>
      <x:c r="F2145" t="n">
        <x:v>12080000</x:v>
      </x:c>
      <x:c r="G2145" s="40" t="n">
        <x:v>0.1692</x:v>
      </x:c>
      <x:c r="H2145" s="40" t="n">
        <x:v>0.013112</x:v>
      </x:c>
      <x:c r="I2145" t="n">
        <x:v>18</x:v>
      </x:c>
      <x:c r="J2145" t="n">
        <x:v>757800</x:v>
      </x:c>
      <x:c r="K2145" t="str">
        <x:v>Bola de nieve</x:v>
      </x:c>
      <x:c r="L2145" t="str">
        <x:v>Vigente</x:v>
      </x:c>
      <x:c r="M2145" t="n">
        <x:v>11641059.4</x:v>
      </x:c>
      <x:c r="N2145"/>
    </x:row>
    <x:row r="2146">
      <x:c r="A2146" t="str">
        <x:v>DEU-002145</x:v>
      </x:c>
      <x:c r="B2146" t="str">
        <x:v>USR-01099</x:v>
      </x:c>
      <x:c r="C2146" t="n">
        <x:v>46235</x:v>
      </x:c>
      <x:c r="D2146" t="str">
        <x:v>Entidad financiera A</x:v>
      </x:c>
      <x:c r="E2146" t="str">
        <x:v>Crédito de vehículo</x:v>
      </x:c>
      <x:c r="F2146" t="n">
        <x:v>15480000</x:v>
      </x:c>
      <x:c r="G2146" s="40" t="n">
        <x:v>0.277</x:v>
      </x:c>
      <x:c r="H2146" s="40" t="n">
        <x:v>0.020585</x:v>
      </x:c>
      <x:c r="I2146" t="n">
        <x:v>24</x:v>
      </x:c>
      <x:c r="J2146" t="n">
        <x:v>823900</x:v>
      </x:c>
      <x:c r="K2146" t="str">
        <x:v>Bola de nieve</x:v>
      </x:c>
      <x:c r="L2146" t="str">
        <x:v>Vigente</x:v>
      </x:c>
      <x:c r="M2146" t="n">
        <x:v>14459115.52</x:v>
      </x:c>
      <x:c r="N2146"/>
    </x:row>
    <x:row r="2147">
      <x:c r="A2147" t="str">
        <x:v>DEU-002146</x:v>
      </x:c>
      <x:c r="B2147" t="str">
        <x:v>USR-01099</x:v>
      </x:c>
      <x:c r="C2147" t="n">
        <x:v>46235</x:v>
      </x:c>
      <x:c r="D2147" t="str">
        <x:v>Entidad financiera E</x:v>
      </x:c>
      <x:c r="E2147" t="str">
        <x:v>Tarjeta de crédito</x:v>
      </x:c>
      <x:c r="F2147" t="n">
        <x:v>800000</x:v>
      </x:c>
      <x:c r="G2147" s="40" t="n">
        <x:v>0.2714</x:v>
      </x:c>
      <x:c r="H2147" s="40" t="n">
        <x:v>0.020211</x:v>
      </x:c>
      <x:c r="I2147" t="n">
        <x:v>36</x:v>
      </x:c>
      <x:c r="J2147" t="n">
        <x:v>31500</x:v>
      </x:c>
      <x:c r="K2147" t="str">
        <x:v>Bola de nieve</x:v>
      </x:c>
      <x:c r="L2147" t="str">
        <x:v>Vigente</x:v>
      </x:c>
      <x:c r="M2147" t="n">
        <x:v>801165.08</x:v>
      </x:c>
      <x:c r="N2147"/>
    </x:row>
    <x:row r="2148">
      <x:c r="A2148" t="str">
        <x:v>DEU-002147</x:v>
      </x:c>
      <x:c r="B2148" t="str">
        <x:v>USR-01100</x:v>
      </x:c>
      <x:c r="C2148" t="n">
        <x:v>46235</x:v>
      </x:c>
      <x:c r="D2148" t="str">
        <x:v>Entidad financiera A</x:v>
      </x:c>
      <x:c r="E2148" t="str">
        <x:v>Crédito de consumo</x:v>
      </x:c>
      <x:c r="F2148" t="n">
        <x:v>2010000</x:v>
      </x:c>
      <x:c r="G2148" s="40" t="n">
        <x:v>0.1921</x:v>
      </x:c>
      <x:c r="H2148" s="40" t="n">
        <x:v>0.014751</x:v>
      </x:c>
      <x:c r="I2148" t="n">
        <x:v>30</x:v>
      </x:c>
      <x:c r="J2148" t="n">
        <x:v>83400</x:v>
      </x:c>
      <x:c r="K2148" t="str">
        <x:v>Bola de nieve</x:v>
      </x:c>
      <x:c r="L2148" t="str">
        <x:v>Vigente</x:v>
      </x:c>
      <x:c r="M2148" t="n">
        <x:v>1901705.23</x:v>
      </x:c>
      <x:c r="N2148"/>
    </x:row>
    <x:row r="2149">
      <x:c r="A2149" t="str">
        <x:v>DEU-002148</x:v>
      </x:c>
      <x:c r="B2149" t="str">
        <x:v>USR-01100</x:v>
      </x:c>
      <x:c r="C2149" t="n">
        <x:v>46235</x:v>
      </x:c>
      <x:c r="D2149" t="str">
        <x:v>Entidad financiera A</x:v>
      </x:c>
      <x:c r="E2149" t="str">
        <x:v>Crédito educativo</x:v>
      </x:c>
      <x:c r="F2149" t="n">
        <x:v>9900000</x:v>
      </x:c>
      <x:c r="G2149" s="40" t="n">
        <x:v>0.1159</x:v>
      </x:c>
      <x:c r="H2149" s="40" t="n">
        <x:v>0.00918</x:v>
      </x:c>
      <x:c r="I2149" t="n">
        <x:v>24</x:v>
      </x:c>
      <x:c r="J2149" t="n">
        <x:v>461500</x:v>
      </x:c>
      <x:c r="K2149" t="str">
        <x:v>Bola de nieve</x:v>
      </x:c>
      <x:c r="L2149" t="str">
        <x:v>Vigente</x:v>
      </x:c>
      <x:c r="M2149" t="n">
        <x:v>9155367.99</x:v>
      </x:c>
      <x:c r="N2149"/>
    </x:row>
    <x:row r="2150">
      <x:c r="A2150" t="str">
        <x:v>DEU-002149</x:v>
      </x:c>
      <x:c r="B2150" t="str">
        <x:v>USR-01101</x:v>
      </x:c>
      <x:c r="C2150" t="n">
        <x:v>46235</x:v>
      </x:c>
      <x:c r="D2150" t="str">
        <x:v>Cooperativa C</x:v>
      </x:c>
      <x:c r="E2150" t="str">
        <x:v>Crédito de libre inversión</x:v>
      </x:c>
      <x:c r="F2150" t="n">
        <x:v>17540000</x:v>
      </x:c>
      <x:c r="G2150" s="40" t="n">
        <x:v>0.3163</x:v>
      </x:c>
      <x:c r="H2150" s="40" t="n">
        <x:v>0.023166</x:v>
      </x:c>
      <x:c r="I2150" t="n">
        <x:v>24</x:v>
      </x:c>
      <x:c r="J2150" t="n">
        <x:v>961000</x:v>
      </x:c>
      <x:c r="K2150" t="str">
        <x:v>Avalancha</x:v>
      </x:c>
      <x:c r="L2150" t="str">
        <x:v>Vigente</x:v>
      </x:c>
      <x:c r="M2150" t="n">
        <x:v>17833488.21</x:v>
      </x:c>
      <x:c r="N2150"/>
    </x:row>
    <x:row r="2151">
      <x:c r="A2151" t="str">
        <x:v>DEU-002150</x:v>
      </x:c>
      <x:c r="B2151" t="str">
        <x:v>USR-01101</x:v>
      </x:c>
      <x:c r="C2151" t="n">
        <x:v>46235</x:v>
      </x:c>
      <x:c r="D2151" t="str">
        <x:v>Entidad financiera A</x:v>
      </x:c>
      <x:c r="E2151" t="str">
        <x:v>Crédito de vehículo</x:v>
      </x:c>
      <x:c r="F2151" t="n">
        <x:v>27480000</x:v>
      </x:c>
      <x:c r="G2151" s="40" t="n">
        <x:v>0.1521</x:v>
      </x:c>
      <x:c r="H2151" s="40" t="n">
        <x:v>0.011869</x:v>
      </x:c>
      <x:c r="I2151" t="n">
        <x:v>18</x:v>
      </x:c>
      <x:c r="J2151" t="n">
        <x:v>1704600</x:v>
      </x:c>
      <x:c r="K2151" t="str">
        <x:v>Bola de nieve</x:v>
      </x:c>
      <x:c r="L2151" t="str">
        <x:v>Vigente</x:v>
      </x:c>
      <x:c r="M2151" t="n">
        <x:v>26411345.78</x:v>
      </x:c>
      <x:c r="N2151"/>
    </x:row>
    <x:row r="2152">
      <x:c r="A2152" t="str">
        <x:v>DEU-002151</x:v>
      </x:c>
      <x:c r="B2152" t="str">
        <x:v>USR-01102</x:v>
      </x:c>
      <x:c r="C2152" t="n">
        <x:v>46235</x:v>
      </x:c>
      <x:c r="D2152" t="str">
        <x:v>Entidad financiera B</x:v>
      </x:c>
      <x:c r="E2152" t="str">
        <x:v>Crédito de consumo</x:v>
      </x:c>
      <x:c r="F2152" t="n">
        <x:v>10510000</x:v>
      </x:c>
      <x:c r="G2152" s="40" t="n">
        <x:v>0.2512</x:v>
      </x:c>
      <x:c r="H2152" s="40" t="n">
        <x:v>0.018851</x:v>
      </x:c>
      <x:c r="I2152" t="n">
        <x:v>30</x:v>
      </x:c>
      <x:c r="J2152" t="n">
        <x:v>461900</x:v>
      </x:c>
      <x:c r="K2152" t="str">
        <x:v>Bola de nieve</x:v>
      </x:c>
      <x:c r="L2152" t="str">
        <x:v>Vigente</x:v>
      </x:c>
      <x:c r="M2152" t="n">
        <x:v>9908169.94</x:v>
      </x:c>
      <x:c r="N2152"/>
    </x:row>
    <x:row r="2153">
      <x:c r="A2153" t="str">
        <x:v>DEU-002152</x:v>
      </x:c>
      <x:c r="B2153" t="str">
        <x:v>USR-01103</x:v>
      </x:c>
      <x:c r="C2153" t="n">
        <x:v>46235</x:v>
      </x:c>
      <x:c r="D2153" t="str">
        <x:v>Entidad financiera B</x:v>
      </x:c>
      <x:c r="E2153" t="str">
        <x:v>Crédito de vehículo</x:v>
      </x:c>
      <x:c r="F2153" t="n">
        <x:v>32440000</x:v>
      </x:c>
      <x:c r="G2153" s="40" t="n">
        <x:v>0.2772</x:v>
      </x:c>
      <x:c r="H2153" s="40" t="n">
        <x:v>0.020598</x:v>
      </x:c>
      <x:c r="I2153" t="n">
        <x:v>12</x:v>
      </x:c>
      <x:c r="J2153" t="n">
        <x:v>3078800</x:v>
      </x:c>
      <x:c r="K2153" t="str">
        <x:v>Bola de nieve</x:v>
      </x:c>
      <x:c r="L2153" t="str">
        <x:v>Vigente</x:v>
      </x:c>
      <x:c r="M2153" t="n">
        <x:v>27443812.97</x:v>
      </x:c>
      <x:c r="N2153"/>
    </x:row>
    <x:row r="2154">
      <x:c r="A2154" t="str">
        <x:v>DEU-002153</x:v>
      </x:c>
      <x:c r="B2154" t="str">
        <x:v>USR-01103</x:v>
      </x:c>
      <x:c r="C2154" t="n">
        <x:v>46235</x:v>
      </x:c>
      <x:c r="D2154" t="str">
        <x:v>Entidad financiera E</x:v>
      </x:c>
      <x:c r="E2154" t="str">
        <x:v>Tarjeta de crédito</x:v>
      </x:c>
      <x:c r="F2154" t="n">
        <x:v>6340000</x:v>
      </x:c>
      <x:c r="G2154" s="40" t="n">
        <x:v>0.2197</x:v>
      </x:c>
      <x:c r="H2154" s="40" t="n">
        <x:v>0.016688</x:v>
      </x:c>
      <x:c r="I2154" t="n">
        <x:v>24</x:v>
      </x:c>
      <x:c r="J2154" t="n">
        <x:v>322800</x:v>
      </x:c>
      <x:c r="K2154" t="str">
        <x:v>Avalancha</x:v>
      </x:c>
      <x:c r="L2154" t="str">
        <x:v>Vigente</x:v>
      </x:c>
      <x:c r="M2154" t="n">
        <x:v>6182171.11</x:v>
      </x:c>
      <x:c r="N2154"/>
    </x:row>
    <x:row r="2155">
      <x:c r="A2155" t="str">
        <x:v>DEU-002154</x:v>
      </x:c>
      <x:c r="B2155" t="str">
        <x:v>USR-01104</x:v>
      </x:c>
      <x:c r="C2155" t="n">
        <x:v>46235</x:v>
      </x:c>
      <x:c r="D2155" t="str">
        <x:v>Cooperativa C</x:v>
      </x:c>
      <x:c r="E2155" t="str">
        <x:v>Crédito de consumo</x:v>
      </x:c>
      <x:c r="F2155" t="n">
        <x:v>16380000</x:v>
      </x:c>
      <x:c r="G2155" s="40" t="n">
        <x:v>0.2601</x:v>
      </x:c>
      <x:c r="H2155" s="40" t="n">
        <x:v>0.019453</x:v>
      </x:c>
      <x:c r="I2155" t="n">
        <x:v>36</x:v>
      </x:c>
      <x:c r="J2155" t="n">
        <x:v>637000</x:v>
      </x:c>
      <x:c r="K2155" t="str">
        <x:v>Avalancha</x:v>
      </x:c>
      <x:c r="L2155" t="str">
        <x:v>Vigente</x:v>
      </x:c>
      <x:c r="M2155" t="n">
        <x:v>15864477.69</x:v>
      </x:c>
      <x:c r="N2155"/>
    </x:row>
    <x:row r="2156">
      <x:c r="A2156" t="str">
        <x:v>DEU-002155</x:v>
      </x:c>
      <x:c r="B2156" t="str">
        <x:v>USR-01104</x:v>
      </x:c>
      <x:c r="C2156" t="n">
        <x:v>46235</x:v>
      </x:c>
      <x:c r="D2156" t="str">
        <x:v>Entidad financiera B</x:v>
      </x:c>
      <x:c r="E2156" t="str">
        <x:v>Crédito educativo</x:v>
      </x:c>
      <x:c r="F2156" t="n">
        <x:v>11440000</x:v>
      </x:c>
      <x:c r="G2156" s="40" t="n">
        <x:v>0.1543</x:v>
      </x:c>
      <x:c r="H2156" s="40" t="n">
        <x:v>0.01203</x:v>
      </x:c>
      <x:c r="I2156" t="n">
        <x:v>36</x:v>
      </x:c>
      <x:c r="J2156" t="n">
        <x:v>393400</x:v>
      </x:c>
      <x:c r="K2156" t="str">
        <x:v>Avalancha</x:v>
      </x:c>
      <x:c r="L2156" t="str">
        <x:v>Vigente</x:v>
      </x:c>
      <x:c r="M2156" t="n">
        <x:v>11119694.58</x:v>
      </x:c>
      <x:c r="N2156"/>
    </x:row>
    <x:row r="2157">
      <x:c r="A2157" t="str">
        <x:v>DEU-002156</x:v>
      </x:c>
      <x:c r="B2157" t="str">
        <x:v>USR-01104</x:v>
      </x:c>
      <x:c r="C2157" t="n">
        <x:v>46235</x:v>
      </x:c>
      <x:c r="D2157" t="str">
        <x:v>Financiera D</x:v>
      </x:c>
      <x:c r="E2157" t="str">
        <x:v>Crédito de consumo</x:v>
      </x:c>
      <x:c r="F2157" t="n">
        <x:v>14030000</x:v>
      </x:c>
      <x:c r="G2157" s="40" t="n">
        <x:v>0.327</x:v>
      </x:c>
      <x:c r="H2157" s="40" t="n">
        <x:v>0.023857</x:v>
      </x:c>
      <x:c r="I2157" t="n">
        <x:v>36</x:v>
      </x:c>
      <x:c r="J2157" t="n">
        <x:v>585100</x:v>
      </x:c>
      <x:c r="K2157" t="str">
        <x:v>Bola de nieve</x:v>
      </x:c>
      <x:c r="L2157" t="str">
        <x:v>Vigente</x:v>
      </x:c>
      <x:c r="M2157" t="n">
        <x:v>13345555.33</x:v>
      </x:c>
      <x:c r="N2157"/>
    </x:row>
    <x:row r="2158">
      <x:c r="A2158" t="str">
        <x:v>DEU-002157</x:v>
      </x:c>
      <x:c r="B2158" t="str">
        <x:v>USR-01104</x:v>
      </x:c>
      <x:c r="C2158" t="n">
        <x:v>46235</x:v>
      </x:c>
      <x:c r="D2158" t="str">
        <x:v>Entidad financiera E</x:v>
      </x:c>
      <x:c r="E2158" t="str">
        <x:v>Crédito de consumo</x:v>
      </x:c>
      <x:c r="F2158" t="n">
        <x:v>12480000</x:v>
      </x:c>
      <x:c r="G2158" s="40" t="n">
        <x:v>0.2757</x:v>
      </x:c>
      <x:c r="H2158" s="40" t="n">
        <x:v>0.020499</x:v>
      </x:c>
      <x:c r="I2158" t="n">
        <x:v>48</x:v>
      </x:c>
      <x:c r="J2158" t="n">
        <x:v>411000</x:v>
      </x:c>
      <x:c r="K2158" t="str">
        <x:v>Bola de nieve</x:v>
      </x:c>
      <x:c r="L2158" t="str">
        <x:v>Vigente</x:v>
      </x:c>
      <x:c r="M2158" t="n">
        <x:v>12435247.13</x:v>
      </x:c>
      <x:c r="N2158"/>
    </x:row>
    <x:row r="2159">
      <x:c r="A2159" t="str">
        <x:v>DEU-002158</x:v>
      </x:c>
      <x:c r="B2159" t="str">
        <x:v>USR-01105</x:v>
      </x:c>
      <x:c r="C2159" t="n">
        <x:v>46235</x:v>
      </x:c>
      <x:c r="D2159" t="str">
        <x:v>Entidad financiera B</x:v>
      </x:c>
      <x:c r="E2159" t="str">
        <x:v>Tarjeta de crédito</x:v>
      </x:c>
      <x:c r="F2159" t="n">
        <x:v>4560000</x:v>
      </x:c>
      <x:c r="G2159" s="40" t="n">
        <x:v>0.1113</x:v>
      </x:c>
      <x:c r="H2159" s="40" t="n">
        <x:v>0.008833</x:v>
      </x:c>
      <x:c r="I2159" t="n">
        <x:v>18</x:v>
      </x:c>
      <x:c r="J2159" t="n">
        <x:v>275100</x:v>
      </x:c>
      <x:c r="K2159" t="str">
        <x:v>Bola de nieve</x:v>
      </x:c>
      <x:c r="L2159" t="str">
        <x:v>Vigente</x:v>
      </x:c>
      <x:c r="M2159" t="n">
        <x:v>4046982.7</x:v>
      </x:c>
      <x:c r="N2159"/>
    </x:row>
    <x:row r="2160">
      <x:c r="A2160" t="str">
        <x:v>DEU-002159</x:v>
      </x:c>
      <x:c r="B2160" t="str">
        <x:v>USR-01105</x:v>
      </x:c>
      <x:c r="C2160" t="n">
        <x:v>46235</x:v>
      </x:c>
      <x:c r="D2160" t="str">
        <x:v>Cooperativa C</x:v>
      </x:c>
      <x:c r="E2160" t="str">
        <x:v>Crédito de libre inversión</x:v>
      </x:c>
      <x:c r="F2160" t="n">
        <x:v>3310000</x:v>
      </x:c>
      <x:c r="G2160" s="40" t="n">
        <x:v>0.2123</x:v>
      </x:c>
      <x:c r="H2160" s="40" t="n">
        <x:v>0.016173</x:v>
      </x:c>
      <x:c r="I2160" t="n">
        <x:v>24</x:v>
      </x:c>
      <x:c r="J2160" t="n">
        <x:v>167500</x:v>
      </x:c>
      <x:c r="K2160" t="str">
        <x:v>Bola de nieve</x:v>
      </x:c>
      <x:c r="L2160" t="str">
        <x:v>Vigente</x:v>
      </x:c>
      <x:c r="M2160" t="n">
        <x:v>3222213.95</x:v>
      </x:c>
      <x:c r="N2160"/>
    </x:row>
    <x:row r="2161">
      <x:c r="A2161" t="str">
        <x:v>DEU-002160</x:v>
      </x:c>
      <x:c r="B2161" t="str">
        <x:v>USR-01106</x:v>
      </x:c>
      <x:c r="C2161" t="n">
        <x:v>46235</x:v>
      </x:c>
      <x:c r="D2161" t="str">
        <x:v>Entidad financiera B</x:v>
      </x:c>
      <x:c r="E2161" t="str">
        <x:v>Crédito de consumo</x:v>
      </x:c>
      <x:c r="F2161" t="n">
        <x:v>14110000</x:v>
      </x:c>
      <x:c r="G2161" s="40" t="n">
        <x:v>0.1978</x:v>
      </x:c>
      <x:c r="H2161" s="40" t="n">
        <x:v>0.015154</x:v>
      </x:c>
      <x:c r="I2161" t="n">
        <x:v>18</x:v>
      </x:c>
      <x:c r="J2161" t="n">
        <x:v>901500</x:v>
      </x:c>
      <x:c r="K2161" t="str">
        <x:v>Bola de nieve</x:v>
      </x:c>
      <x:c r="L2161" t="str">
        <x:v>Vigente</x:v>
      </x:c>
      <x:c r="M2161" t="n">
        <x:v>12724231.02</x:v>
      </x:c>
      <x:c r="N2161"/>
    </x:row>
    <x:row r="2162">
      <x:c r="A2162" t="str">
        <x:v>DEU-002161</x:v>
      </x:c>
      <x:c r="B2162" t="str">
        <x:v>USR-01106</x:v>
      </x:c>
      <x:c r="C2162" t="n">
        <x:v>46235</x:v>
      </x:c>
      <x:c r="D2162" t="str">
        <x:v>Cooperativa C</x:v>
      </x:c>
      <x:c r="E2162" t="str">
        <x:v>Crédito de consumo</x:v>
      </x:c>
      <x:c r="F2162" t="n">
        <x:v>9650000</x:v>
      </x:c>
      <x:c r="G2162" s="40" t="n">
        <x:v>0.1104</x:v>
      </x:c>
      <x:c r="H2162" s="40" t="n">
        <x:v>0.008765</x:v>
      </x:c>
      <x:c r="I2162" t="n">
        <x:v>30</x:v>
      </x:c>
      <x:c r="J2162" t="n">
        <x:v>367200</x:v>
      </x:c>
      <x:c r="K2162" t="str">
        <x:v>Avalancha</x:v>
      </x:c>
      <x:c r="L2162" t="str">
        <x:v>Vigente</x:v>
      </x:c>
      <x:c r="M2162" t="n">
        <x:v>9101228.42</x:v>
      </x:c>
      <x:c r="N2162"/>
    </x:row>
    <x:row r="2163">
      <x:c r="A2163" t="str">
        <x:v>DEU-002162</x:v>
      </x:c>
      <x:c r="B2163" t="str">
        <x:v>USR-01106</x:v>
      </x:c>
      <x:c r="C2163" t="n">
        <x:v>46235</x:v>
      </x:c>
      <x:c r="D2163" t="str">
        <x:v>Cooperativa C</x:v>
      </x:c>
      <x:c r="E2163" t="str">
        <x:v>Tarjeta de crédito</x:v>
      </x:c>
      <x:c r="F2163" t="n">
        <x:v>7350000</x:v>
      </x:c>
      <x:c r="G2163" s="40" t="n">
        <x:v>0.2551</x:v>
      </x:c>
      <x:c r="H2163" s="40" t="n">
        <x:v>0.019115</x:v>
      </x:c>
      <x:c r="I2163" t="n">
        <x:v>30</x:v>
      </x:c>
      <x:c r="J2163" t="n">
        <x:v>324200</x:v>
      </x:c>
      <x:c r="K2163" t="str">
        <x:v>Bola de nieve</x:v>
      </x:c>
      <x:c r="L2163" t="str">
        <x:v>Vigente</x:v>
      </x:c>
      <x:c r="M2163" t="n">
        <x:v>6813880.45</x:v>
      </x:c>
      <x:c r="N2163"/>
    </x:row>
    <x:row r="2164">
      <x:c r="A2164" t="str">
        <x:v>DEU-002163</x:v>
      </x:c>
      <x:c r="B2164" t="str">
        <x:v>USR-01107</x:v>
      </x:c>
      <x:c r="C2164" t="n">
        <x:v>46235</x:v>
      </x:c>
      <x:c r="D2164" t="str">
        <x:v>Cooperativa C</x:v>
      </x:c>
      <x:c r="E2164" t="str">
        <x:v>Tarjeta de crédito</x:v>
      </x:c>
      <x:c r="F2164" t="n">
        <x:v>4390000</x:v>
      </x:c>
      <x:c r="G2164" s="40" t="n">
        <x:v>0.1562</x:v>
      </x:c>
      <x:c r="H2164" s="40" t="n">
        <x:v>0.012168</x:v>
      </x:c>
      <x:c r="I2164" t="n">
        <x:v>12</x:v>
      </x:c>
      <x:c r="J2164" t="n">
        <x:v>395400</x:v>
      </x:c>
      <x:c r="K2164" t="str">
        <x:v>Bola de nieve</x:v>
      </x:c>
      <x:c r="L2164" t="str">
        <x:v>Vigente</x:v>
      </x:c>
      <x:c r="M2164" t="n">
        <x:v>4097276.66</x:v>
      </x:c>
      <x:c r="N2164"/>
    </x:row>
    <x:row r="2165">
      <x:c r="A2165" t="str">
        <x:v>DEU-002164</x:v>
      </x:c>
      <x:c r="B2165" t="str">
        <x:v>USR-01108</x:v>
      </x:c>
      <x:c r="C2165" t="n">
        <x:v>46235</x:v>
      </x:c>
      <x:c r="D2165" t="str">
        <x:v>Entidad financiera A</x:v>
      </x:c>
      <x:c r="E2165" t="str">
        <x:v>Tarjeta de crédito</x:v>
      </x:c>
      <x:c r="F2165" t="n">
        <x:v>8340000</x:v>
      </x:c>
      <x:c r="G2165" s="40" t="n">
        <x:v>0.1342</x:v>
      </x:c>
      <x:c r="H2165" s="40" t="n">
        <x:v>0.010549</x:v>
      </x:c>
      <x:c r="I2165" t="n">
        <x:v>18</x:v>
      </x:c>
      <x:c r="J2165" t="n">
        <x:v>511100</x:v>
      </x:c>
      <x:c r="K2165" t="str">
        <x:v>Avalancha</x:v>
      </x:c>
      <x:c r="L2165" t="str">
        <x:v>Vigente</x:v>
      </x:c>
      <x:c r="M2165" t="n">
        <x:v>8516889.08</x:v>
      </x:c>
      <x:c r="N2165"/>
    </x:row>
    <x:row r="2166">
      <x:c r="A2166" t="str">
        <x:v>DEU-002165</x:v>
      </x:c>
      <x:c r="B2166" t="str">
        <x:v>USR-01108</x:v>
      </x:c>
      <x:c r="C2166" t="n">
        <x:v>46235</x:v>
      </x:c>
      <x:c r="D2166" t="str">
        <x:v>Entidad financiera A</x:v>
      </x:c>
      <x:c r="E2166" t="str">
        <x:v>Tarjeta de crédito</x:v>
      </x:c>
      <x:c r="F2166" t="n">
        <x:v>6280000</x:v>
      </x:c>
      <x:c r="G2166" s="40" t="n">
        <x:v>0.2165</x:v>
      </x:c>
      <x:c r="H2166" s="40" t="n">
        <x:v>0.016466</x:v>
      </x:c>
      <x:c r="I2166" t="n">
        <x:v>30</x:v>
      </x:c>
      <x:c r="J2166" t="n">
        <x:v>267000</x:v>
      </x:c>
      <x:c r="K2166" t="str">
        <x:v>Avalancha</x:v>
      </x:c>
      <x:c r="L2166" t="str">
        <x:v>Vigente</x:v>
      </x:c>
      <x:c r="M2166" t="n">
        <x:v>6339293.12</x:v>
      </x:c>
      <x:c r="N2166"/>
    </x:row>
    <x:row r="2167">
      <x:c r="A2167" t="str">
        <x:v>DEU-002166</x:v>
      </x:c>
      <x:c r="B2167" t="str">
        <x:v>USR-01109</x:v>
      </x:c>
      <x:c r="C2167" t="n">
        <x:v>46235</x:v>
      </x:c>
      <x:c r="D2167" t="str">
        <x:v>Entidad financiera A</x:v>
      </x:c>
      <x:c r="E2167" t="str">
        <x:v>Crédito educativo</x:v>
      </x:c>
      <x:c r="F2167" t="n">
        <x:v>5730000</x:v>
      </x:c>
      <x:c r="G2167" s="40" t="n">
        <x:v>0.3221</x:v>
      </x:c>
      <x:c r="H2167" s="40" t="n">
        <x:v>0.023541</x:v>
      </x:c>
      <x:c r="I2167" t="n">
        <x:v>48</x:v>
      </x:c>
      <x:c r="J2167" t="n">
        <x:v>200500</x:v>
      </x:c>
      <x:c r="K2167" t="str">
        <x:v>Avalancha</x:v>
      </x:c>
      <x:c r="L2167" t="str">
        <x:v>Vigente</x:v>
      </x:c>
      <x:c r="M2167" t="n">
        <x:v>5802458.48</x:v>
      </x:c>
      <x:c r="N2167"/>
    </x:row>
    <x:row r="2168">
      <x:c r="A2168" t="str">
        <x:v>DEU-002167</x:v>
      </x:c>
      <x:c r="B2168" t="str">
        <x:v>USR-01110</x:v>
      </x:c>
      <x:c r="C2168" t="n">
        <x:v>46235</x:v>
      </x:c>
      <x:c r="D2168" t="str">
        <x:v>Entidad financiera B</x:v>
      </x:c>
      <x:c r="E2168" t="str">
        <x:v>Tarjeta de crédito</x:v>
      </x:c>
      <x:c r="F2168" t="n">
        <x:v>3960000</x:v>
      </x:c>
      <x:c r="G2168" s="40" t="n">
        <x:v>0.3106</x:v>
      </x:c>
      <x:c r="H2168" s="40" t="n">
        <x:v>0.022796</x:v>
      </x:c>
      <x:c r="I2168" t="n">
        <x:v>36</x:v>
      </x:c>
      <x:c r="J2168" t="n">
        <x:v>162400</x:v>
      </x:c>
      <x:c r="K2168" t="str">
        <x:v>Bola de nieve</x:v>
      </x:c>
      <x:c r="L2168" t="str">
        <x:v>Vigente</x:v>
      </x:c>
      <x:c r="M2168" t="n">
        <x:v>3706652.01</x:v>
      </x:c>
      <x:c r="N2168"/>
    </x:row>
    <x:row r="2169">
      <x:c r="A2169" t="str">
        <x:v>DEU-002168</x:v>
      </x:c>
      <x:c r="B2169" t="str">
        <x:v>USR-01111</x:v>
      </x:c>
      <x:c r="C2169" t="n">
        <x:v>46235</x:v>
      </x:c>
      <x:c r="D2169" t="str">
        <x:v>Entidad financiera B</x:v>
      </x:c>
      <x:c r="E2169" t="str">
        <x:v>Crédito de consumo</x:v>
      </x:c>
      <x:c r="F2169" t="n">
        <x:v>15300000</x:v>
      </x:c>
      <x:c r="G2169" s="40" t="n">
        <x:v>0.2666</x:v>
      </x:c>
      <x:c r="H2169" s="40" t="n">
        <x:v>0.01989</x:v>
      </x:c>
      <x:c r="I2169" t="n">
        <x:v>48</x:v>
      </x:c>
      <x:c r="J2169" t="n">
        <x:v>497700</x:v>
      </x:c>
      <x:c r="K2169" t="str">
        <x:v>Avalancha</x:v>
      </x:c>
      <x:c r="L2169" t="str">
        <x:v>Vigente</x:v>
      </x:c>
      <x:c r="M2169" t="n">
        <x:v>15416983.7</x:v>
      </x:c>
      <x:c r="N2169"/>
    </x:row>
    <x:row r="2170">
      <x:c r="A2170" t="str">
        <x:v>DEU-002169</x:v>
      </x:c>
      <x:c r="B2170" t="str">
        <x:v>USR-01112</x:v>
      </x:c>
      <x:c r="C2170" t="n">
        <x:v>46235</x:v>
      </x:c>
      <x:c r="D2170" t="str">
        <x:v>Cooperativa C</x:v>
      </x:c>
      <x:c r="E2170" t="str">
        <x:v>Tarjeta de crédito</x:v>
      </x:c>
      <x:c r="F2170" t="n">
        <x:v>7470000</x:v>
      </x:c>
      <x:c r="G2170" s="40" t="n">
        <x:v>0.2298</x:v>
      </x:c>
      <x:c r="H2170" s="40" t="n">
        <x:v>0.017387</x:v>
      </x:c>
      <x:c r="I2170" t="n">
        <x:v>36</x:v>
      </x:c>
      <x:c r="J2170" t="n">
        <x:v>280900</x:v>
      </x:c>
      <x:c r="K2170" t="str">
        <x:v>Avalancha</x:v>
      </x:c>
      <x:c r="L2170" t="str">
        <x:v>Vigente</x:v>
      </x:c>
      <x:c r="M2170" t="n">
        <x:v>7451120.85</x:v>
      </x:c>
      <x:c r="N2170"/>
    </x:row>
    <x:row r="2171">
      <x:c r="A2171" t="str">
        <x:v>DEU-002170</x:v>
      </x:c>
      <x:c r="B2171" t="str">
        <x:v>USR-01113</x:v>
      </x:c>
      <x:c r="C2171" t="n">
        <x:v>46235</x:v>
      </x:c>
      <x:c r="D2171" t="str">
        <x:v>Entidad financiera E</x:v>
      </x:c>
      <x:c r="E2171" t="str">
        <x:v>Tarjeta de crédito</x:v>
      </x:c>
      <x:c r="F2171" t="n">
        <x:v>6960000</x:v>
      </x:c>
      <x:c r="G2171" s="40" t="n">
        <x:v>0.3081</x:v>
      </x:c>
      <x:c r="H2171" s="40" t="n">
        <x:v>0.022634</x:v>
      </x:c>
      <x:c r="I2171" t="n">
        <x:v>30</x:v>
      </x:c>
      <x:c r="J2171" t="n">
        <x:v>322100</x:v>
      </x:c>
      <x:c r="K2171" t="str">
        <x:v>Bola de nieve</x:v>
      </x:c>
      <x:c r="L2171" t="str">
        <x:v>Vigente</x:v>
      </x:c>
      <x:c r="M2171" t="n">
        <x:v>6772035.58</x:v>
      </x:c>
      <x:c r="N2171"/>
    </x:row>
    <x:row r="2172">
      <x:c r="A2172" t="str">
        <x:v>DEU-002171</x:v>
      </x:c>
      <x:c r="B2172" t="str">
        <x:v>USR-01113</x:v>
      </x:c>
      <x:c r="C2172" t="n">
        <x:v>46235</x:v>
      </x:c>
      <x:c r="D2172" t="str">
        <x:v>Cooperativa C</x:v>
      </x:c>
      <x:c r="E2172" t="str">
        <x:v>Tarjeta de crédito</x:v>
      </x:c>
      <x:c r="F2172" t="n">
        <x:v>8430000</x:v>
      </x:c>
      <x:c r="G2172" s="40" t="n">
        <x:v>0.2227</x:v>
      </x:c>
      <x:c r="H2172" s="40" t="n">
        <x:v>0.016896</x:v>
      </x:c>
      <x:c r="I2172" t="n">
        <x:v>36</x:v>
      </x:c>
      <x:c r="J2172" t="n">
        <x:v>314500</x:v>
      </x:c>
      <x:c r="K2172" t="str">
        <x:v>Bola de nieve</x:v>
      </x:c>
      <x:c r="L2172" t="str">
        <x:v>Vigente</x:v>
      </x:c>
      <x:c r="M2172" t="n">
        <x:v>8237506.28</x:v>
      </x:c>
      <x:c r="N2172"/>
    </x:row>
    <x:row r="2173">
      <x:c r="A2173" t="str">
        <x:v>DEU-002172</x:v>
      </x:c>
      <x:c r="B2173" t="str">
        <x:v>USR-01114</x:v>
      </x:c>
      <x:c r="C2173" t="n">
        <x:v>46235</x:v>
      </x:c>
      <x:c r="D2173" t="str">
        <x:v>Financiera D</x:v>
      </x:c>
      <x:c r="E2173" t="str">
        <x:v>Tarjeta de crédito</x:v>
      </x:c>
      <x:c r="F2173" t="n">
        <x:v>7240000</x:v>
      </x:c>
      <x:c r="G2173" s="40" t="n">
        <x:v>0.1217</x:v>
      </x:c>
      <x:c r="H2173" s="40" t="n">
        <x:v>0.009616</x:v>
      </x:c>
      <x:c r="I2173" t="n">
        <x:v>12</x:v>
      </x:c>
      <x:c r="J2173" t="n">
        <x:v>641700</x:v>
      </x:c>
      <x:c r="K2173" t="str">
        <x:v>Avalancha</x:v>
      </x:c>
      <x:c r="L2173" t="str">
        <x:v>Vigente</x:v>
      </x:c>
      <x:c r="M2173" t="n">
        <x:v>6121417.98</x:v>
      </x:c>
      <x:c r="N2173"/>
    </x:row>
    <x:row r="2174">
      <x:c r="A2174" t="str">
        <x:v>DEU-002173</x:v>
      </x:c>
      <x:c r="B2174" t="str">
        <x:v>USR-01115</x:v>
      </x:c>
      <x:c r="C2174" t="n">
        <x:v>46235</x:v>
      </x:c>
      <x:c r="D2174" t="str">
        <x:v>Entidad financiera A</x:v>
      </x:c>
      <x:c r="E2174" t="str">
        <x:v>Crédito de libre inversión</x:v>
      </x:c>
      <x:c r="F2174" t="n">
        <x:v>4940000</x:v>
      </x:c>
      <x:c r="G2174" s="40" t="n">
        <x:v>0.284</x:v>
      </x:c>
      <x:c r="H2174" s="40" t="n">
        <x:v>0.02105</x:v>
      </x:c>
      <x:c r="I2174" t="n">
        <x:v>24</x:v>
      </x:c>
      <x:c r="J2174" t="n">
        <x:v>264300</x:v>
      </x:c>
      <x:c r="K2174" t="str">
        <x:v>Avalancha</x:v>
      </x:c>
      <x:c r="L2174" t="str">
        <x:v>Vigente</x:v>
      </x:c>
      <x:c r="M2174" t="n">
        <x:v>4885864.72</x:v>
      </x:c>
      <x:c r="N2174"/>
    </x:row>
    <x:row r="2175">
      <x:c r="A2175" t="str">
        <x:v>DEU-002174</x:v>
      </x:c>
      <x:c r="B2175" t="str">
        <x:v>USR-01115</x:v>
      </x:c>
      <x:c r="C2175" t="n">
        <x:v>46235</x:v>
      </x:c>
      <x:c r="D2175" t="str">
        <x:v>Entidad financiera E</x:v>
      </x:c>
      <x:c r="E2175" t="str">
        <x:v>Crédito educativo</x:v>
      </x:c>
      <x:c r="F2175" t="n">
        <x:v>23030000</x:v>
      </x:c>
      <x:c r="G2175" s="40" t="n">
        <x:v>0.2064</x:v>
      </x:c>
      <x:c r="H2175" s="40" t="n">
        <x:v>0.01576</x:v>
      </x:c>
      <x:c r="I2175" t="n">
        <x:v>30</x:v>
      </x:c>
      <x:c r="J2175" t="n">
        <x:v>969300</x:v>
      </x:c>
      <x:c r="K2175" t="str">
        <x:v>Bola de nieve</x:v>
      </x:c>
      <x:c r="L2175" t="str">
        <x:v>Vigente</x:v>
      </x:c>
      <x:c r="M2175" t="n">
        <x:v>22004687.95</x:v>
      </x:c>
      <x:c r="N2175"/>
    </x:row>
    <x:row r="2176">
      <x:c r="A2176" t="str">
        <x:v>DEU-002175</x:v>
      </x:c>
      <x:c r="B2176" t="str">
        <x:v>USR-01115</x:v>
      </x:c>
      <x:c r="C2176" t="n">
        <x:v>46235</x:v>
      </x:c>
      <x:c r="D2176" t="str">
        <x:v>Entidad financiera B</x:v>
      </x:c>
      <x:c r="E2176" t="str">
        <x:v>Tarjeta de crédito</x:v>
      </x:c>
      <x:c r="F2176" t="n">
        <x:v>2970000</x:v>
      </x:c>
      <x:c r="G2176" s="40" t="n">
        <x:v>0.2228</x:v>
      </x:c>
      <x:c r="H2176" s="40" t="n">
        <x:v>0.016903</x:v>
      </x:c>
      <x:c r="I2176" t="n">
        <x:v>18</x:v>
      </x:c>
      <x:c r="J2176" t="n">
        <x:v>192800</x:v>
      </x:c>
      <x:c r="K2176" t="str">
        <x:v>Bola de nieve</x:v>
      </x:c>
      <x:c r="L2176" t="str">
        <x:v>Vigente</x:v>
      </x:c>
      <x:c r="M2176" t="n">
        <x:v>2875194.72</x:v>
      </x:c>
      <x:c r="N2176"/>
    </x:row>
    <x:row r="2177">
      <x:c r="A2177" t="str">
        <x:v>DEU-002176</x:v>
      </x:c>
      <x:c r="B2177" t="str">
        <x:v>USR-01115</x:v>
      </x:c>
      <x:c r="C2177" t="n">
        <x:v>46235</x:v>
      </x:c>
      <x:c r="D2177" t="str">
        <x:v>Financiera D</x:v>
      </x:c>
      <x:c r="E2177" t="str">
        <x:v>Tarjeta de crédito</x:v>
      </x:c>
      <x:c r="F2177" t="n">
        <x:v>2790000</x:v>
      </x:c>
      <x:c r="G2177" s="40" t="n">
        <x:v>0.261</x:v>
      </x:c>
      <x:c r="H2177" s="40" t="n">
        <x:v>0.019513</x:v>
      </x:c>
      <x:c r="I2177" t="n">
        <x:v>60</x:v>
      </x:c>
      <x:c r="J2177" t="n">
        <x:v>79300</x:v>
      </x:c>
      <x:c r="K2177" t="str">
        <x:v>Bola de nieve</x:v>
      </x:c>
      <x:c r="L2177" t="str">
        <x:v>Vigente</x:v>
      </x:c>
      <x:c r="M2177" t="n">
        <x:v>2727667.31</x:v>
      </x:c>
      <x:c r="N2177"/>
    </x:row>
    <x:row r="2178">
      <x:c r="A2178" t="str">
        <x:v>DEU-002177</x:v>
      </x:c>
      <x:c r="B2178" t="str">
        <x:v>USR-01116</x:v>
      </x:c>
      <x:c r="C2178" t="n">
        <x:v>46235</x:v>
      </x:c>
      <x:c r="D2178" t="str">
        <x:v>Financiera D</x:v>
      </x:c>
      <x:c r="E2178" t="str">
        <x:v>Tarjeta de crédito</x:v>
      </x:c>
      <x:c r="F2178" t="n">
        <x:v>6090000</x:v>
      </x:c>
      <x:c r="G2178" s="40" t="n">
        <x:v>0.3206</x:v>
      </x:c>
      <x:c r="H2178" s="40" t="n">
        <x:v>0.023444</x:v>
      </x:c>
      <x:c r="I2178" t="n">
        <x:v>30</x:v>
      </x:c>
      <x:c r="J2178" t="n">
        <x:v>285000</x:v>
      </x:c>
      <x:c r="K2178" t="str">
        <x:v>Bola de nieve</x:v>
      </x:c>
      <x:c r="L2178" t="str">
        <x:v>Vigente</x:v>
      </x:c>
      <x:c r="M2178" t="n">
        <x:v>6222100.7</x:v>
      </x:c>
      <x:c r="N2178"/>
    </x:row>
    <x:row r="2179">
      <x:c r="A2179" t="str">
        <x:v>DEU-002178</x:v>
      </x:c>
      <x:c r="B2179" t="str">
        <x:v>USR-01117</x:v>
      </x:c>
      <x:c r="C2179" t="n">
        <x:v>46235</x:v>
      </x:c>
      <x:c r="D2179" t="str">
        <x:v>Entidad financiera E</x:v>
      </x:c>
      <x:c r="E2179" t="str">
        <x:v>Crédito de consumo</x:v>
      </x:c>
      <x:c r="F2179" t="n">
        <x:v>12160000</x:v>
      </x:c>
      <x:c r="G2179" s="40" t="n">
        <x:v>0.1166</x:v>
      </x:c>
      <x:c r="H2179" s="40" t="n">
        <x:v>0.009233</x:v>
      </x:c>
      <x:c r="I2179" t="n">
        <x:v>12</x:v>
      </x:c>
      <x:c r="J2179" t="n">
        <x:v>1075200</x:v>
      </x:c>
      <x:c r="K2179" t="str">
        <x:v>Bola de nieve</x:v>
      </x:c>
      <x:c r="L2179" t="str">
        <x:v>Vigente</x:v>
      </x:c>
      <x:c r="M2179" t="n">
        <x:v>9687657.27</x:v>
      </x:c>
      <x:c r="N2179"/>
    </x:row>
    <x:row r="2180">
      <x:c r="A2180" t="str">
        <x:v>DEU-002179</x:v>
      </x:c>
      <x:c r="B2180" t="str">
        <x:v>USR-01117</x:v>
      </x:c>
      <x:c r="C2180" t="n">
        <x:v>46235</x:v>
      </x:c>
      <x:c r="D2180" t="str">
        <x:v>Entidad financiera B</x:v>
      </x:c>
      <x:c r="E2180" t="str">
        <x:v>Tarjeta de crédito</x:v>
      </x:c>
      <x:c r="F2180" t="n">
        <x:v>3710000</x:v>
      </x:c>
      <x:c r="G2180" s="40" t="n">
        <x:v>0.2834</x:v>
      </x:c>
      <x:c r="H2180" s="40" t="n">
        <x:v>0.02101</x:v>
      </x:c>
      <x:c r="I2180" t="n">
        <x:v>60</x:v>
      </x:c>
      <x:c r="J2180" t="n">
        <x:v>109400</x:v>
      </x:c>
      <x:c r="K2180" t="str">
        <x:v>Avalancha</x:v>
      </x:c>
      <x:c r="L2180" t="str">
        <x:v>Vigente</x:v>
      </x:c>
      <x:c r="M2180" t="n">
        <x:v>3696670.14</x:v>
      </x:c>
      <x:c r="N2180"/>
    </x:row>
    <x:row r="2181">
      <x:c r="A2181" t="str">
        <x:v>DEU-002180</x:v>
      </x:c>
      <x:c r="B2181" t="str">
        <x:v>USR-01117</x:v>
      </x:c>
      <x:c r="C2181" t="n">
        <x:v>46235</x:v>
      </x:c>
      <x:c r="D2181" t="str">
        <x:v>Cooperativa C</x:v>
      </x:c>
      <x:c r="E2181" t="str">
        <x:v>Crédito de libre inversión</x:v>
      </x:c>
      <x:c r="F2181" t="n">
        <x:v>19650000</x:v>
      </x:c>
      <x:c r="G2181" s="40" t="n">
        <x:v>0.2868</x:v>
      </x:c>
      <x:c r="H2181" s="40" t="n">
        <x:v>0.021236</x:v>
      </x:c>
      <x:c r="I2181" t="n">
        <x:v>30</x:v>
      </x:c>
      <x:c r="J2181" t="n">
        <x:v>892300</x:v>
      </x:c>
      <x:c r="K2181" t="str">
        <x:v>Bola de nieve</x:v>
      </x:c>
      <x:c r="L2181" t="str">
        <x:v>Vigente</x:v>
      </x:c>
      <x:c r="M2181" t="n">
        <x:v>18738360</x:v>
      </x:c>
      <x:c r="N2181"/>
    </x:row>
    <x:row r="2182">
      <x:c r="A2182" t="str">
        <x:v>DEU-002181</x:v>
      </x:c>
      <x:c r="B2182" t="str">
        <x:v>USR-01117</x:v>
      </x:c>
      <x:c r="C2182" t="n">
        <x:v>46235</x:v>
      </x:c>
      <x:c r="D2182" t="str">
        <x:v>Financiera D</x:v>
      </x:c>
      <x:c r="E2182" t="str">
        <x:v>Crédito de vehículo</x:v>
      </x:c>
      <x:c r="F2182" t="n">
        <x:v>13810000</x:v>
      </x:c>
      <x:c r="G2182" s="40" t="n">
        <x:v>0.2922</x:v>
      </x:c>
      <x:c r="H2182" s="40" t="n">
        <x:v>0.021592</x:v>
      </x:c>
      <x:c r="I2182" t="n">
        <x:v>30</x:v>
      </x:c>
      <x:c r="J2182" t="n">
        <x:v>630200</x:v>
      </x:c>
      <x:c r="K2182" t="str">
        <x:v>Avalancha</x:v>
      </x:c>
      <x:c r="L2182" t="str">
        <x:v>Vigente</x:v>
      </x:c>
      <x:c r="M2182" t="n">
        <x:v>13138801.84</x:v>
      </x:c>
      <x:c r="N2182"/>
    </x:row>
    <x:row r="2183">
      <x:c r="A2183" t="str">
        <x:v>DEU-002182</x:v>
      </x:c>
      <x:c r="B2183" t="str">
        <x:v>USR-01117</x:v>
      </x:c>
      <x:c r="C2183" t="n">
        <x:v>46235</x:v>
      </x:c>
      <x:c r="D2183" t="str">
        <x:v>Cooperativa C</x:v>
      </x:c>
      <x:c r="E2183" t="str">
        <x:v>Crédito de libre inversión</x:v>
      </x:c>
      <x:c r="F2183" t="n">
        <x:v>2620000</x:v>
      </x:c>
      <x:c r="G2183" s="40" t="n">
        <x:v>0.243</x:v>
      </x:c>
      <x:c r="H2183" s="40" t="n">
        <x:v>0.018293</x:v>
      </x:c>
      <x:c r="I2183" t="n">
        <x:v>24</x:v>
      </x:c>
      <x:c r="J2183" t="n">
        <x:v>135900</x:v>
      </x:c>
      <x:c r="K2183" t="str">
        <x:v>Bola de nieve</x:v>
      </x:c>
      <x:c r="L2183" t="str">
        <x:v>Vigente</x:v>
      </x:c>
      <x:c r="M2183" t="n">
        <x:v>2422044.04</x:v>
      </x:c>
      <x:c r="N2183"/>
    </x:row>
    <x:row r="2184">
      <x:c r="A2184" t="str">
        <x:v>DEU-002183</x:v>
      </x:c>
      <x:c r="B2184" t="str">
        <x:v>USR-01118</x:v>
      </x:c>
      <x:c r="C2184" t="n">
        <x:v>46235</x:v>
      </x:c>
      <x:c r="D2184" t="str">
        <x:v>Financiera D</x:v>
      </x:c>
      <x:c r="E2184" t="str">
        <x:v>Crédito de consumo</x:v>
      </x:c>
      <x:c r="F2184" t="n">
        <x:v>9980000</x:v>
      </x:c>
      <x:c r="G2184" s="40" t="n">
        <x:v>0.2565</x:v>
      </x:c>
      <x:c r="H2184" s="40" t="n">
        <x:v>0.01921</x:v>
      </x:c>
      <x:c r="I2184" t="n">
        <x:v>36</x:v>
      </x:c>
      <x:c r="J2184" t="n">
        <x:v>386600</x:v>
      </x:c>
      <x:c r="K2184" t="str">
        <x:v>Bola de nieve</x:v>
      </x:c>
      <x:c r="L2184" t="str">
        <x:v>Vigente</x:v>
      </x:c>
      <x:c r="M2184" t="n">
        <x:v>9469367.39</x:v>
      </x:c>
      <x:c r="N2184"/>
    </x:row>
    <x:row r="2185">
      <x:c r="A2185" t="str">
        <x:v>DEU-002184</x:v>
      </x:c>
      <x:c r="B2185" t="str">
        <x:v>USR-01118</x:v>
      </x:c>
      <x:c r="C2185" t="n">
        <x:v>46235</x:v>
      </x:c>
      <x:c r="D2185" t="str">
        <x:v>Entidad financiera E</x:v>
      </x:c>
      <x:c r="E2185" t="str">
        <x:v>Crédito de libre inversión</x:v>
      </x:c>
      <x:c r="F2185" t="n">
        <x:v>23120000</x:v>
      </x:c>
      <x:c r="G2185" s="40" t="n">
        <x:v>0.1499</x:v>
      </x:c>
      <x:c r="H2185" s="40" t="n">
        <x:v>0.011708</x:v>
      </x:c>
      <x:c r="I2185" t="n">
        <x:v>60</x:v>
      </x:c>
      <x:c r="J2185" t="n">
        <x:v>538600</x:v>
      </x:c>
      <x:c r="K2185" t="str">
        <x:v>Avalancha</x:v>
      </x:c>
      <x:c r="L2185" t="str">
        <x:v>Vigente</x:v>
      </x:c>
      <x:c r="M2185" t="n">
        <x:v>23368327.75</x:v>
      </x:c>
      <x:c r="N2185"/>
    </x:row>
    <x:row r="2186">
      <x:c r="A2186" t="str">
        <x:v>DEU-002185</x:v>
      </x:c>
      <x:c r="B2186" t="str">
        <x:v>USR-01119</x:v>
      </x:c>
      <x:c r="C2186" t="n">
        <x:v>46235</x:v>
      </x:c>
      <x:c r="D2186" t="str">
        <x:v>Entidad financiera B</x:v>
      </x:c>
      <x:c r="E2186" t="str">
        <x:v>Crédito de consumo</x:v>
      </x:c>
      <x:c r="F2186" t="n">
        <x:v>13690000</x:v>
      </x:c>
      <x:c r="G2186" s="40" t="n">
        <x:v>0.255</x:v>
      </x:c>
      <x:c r="H2186" s="40" t="n">
        <x:v>0.019108</x:v>
      </x:c>
      <x:c r="I2186" t="n">
        <x:v>24</x:v>
      </x:c>
      <x:c r="J2186" t="n">
        <x:v>716500</x:v>
      </x:c>
      <x:c r="K2186" t="str">
        <x:v>Bola de nieve</x:v>
      </x:c>
      <x:c r="L2186" t="str">
        <x:v>Vigente</x:v>
      </x:c>
      <x:c r="M2186" t="n">
        <x:v>13644982</x:v>
      </x:c>
      <x:c r="N2186"/>
    </x:row>
    <x:row r="2187">
      <x:c r="A2187" t="str">
        <x:v>DEU-002186</x:v>
      </x:c>
      <x:c r="B2187" t="str">
        <x:v>USR-01119</x:v>
      </x:c>
      <x:c r="C2187" t="n">
        <x:v>46235</x:v>
      </x:c>
      <x:c r="D2187" t="str">
        <x:v>Financiera D</x:v>
      </x:c>
      <x:c r="E2187" t="str">
        <x:v>Crédito de vehículo</x:v>
      </x:c>
      <x:c r="F2187" t="n">
        <x:v>36730000</x:v>
      </x:c>
      <x:c r="G2187" s="40" t="n">
        <x:v>0.2802</x:v>
      </x:c>
      <x:c r="H2187" s="40" t="n">
        <x:v>0.020798</x:v>
      </x:c>
      <x:c r="I2187" t="n">
        <x:v>24</x:v>
      </x:c>
      <x:c r="J2187" t="n">
        <x:v>1959600</x:v>
      </x:c>
      <x:c r="K2187" t="str">
        <x:v>Avalancha</x:v>
      </x:c>
      <x:c r="L2187" t="str">
        <x:v>Vigente</x:v>
      </x:c>
      <x:c r="M2187" t="n">
        <x:v>36273354.52</x:v>
      </x:c>
      <x:c r="N2187"/>
    </x:row>
    <x:row r="2188">
      <x:c r="A2188" t="str">
        <x:v>DEU-002187</x:v>
      </x:c>
      <x:c r="B2188" t="str">
        <x:v>USR-01120</x:v>
      </x:c>
      <x:c r="C2188" t="n">
        <x:v>46235</x:v>
      </x:c>
      <x:c r="D2188" t="str">
        <x:v>Entidad financiera B</x:v>
      </x:c>
      <x:c r="E2188" t="str">
        <x:v>Tarjeta de crédito</x:v>
      </x:c>
      <x:c r="F2188" t="n">
        <x:v>2780000</x:v>
      </x:c>
      <x:c r="G2188" s="40" t="n">
        <x:v>0.1117</x:v>
      </x:c>
      <x:c r="H2188" s="40" t="n">
        <x:v>0.008863</x:v>
      </x:c>
      <x:c r="I2188" t="n">
        <x:v>18</x:v>
      </x:c>
      <x:c r="J2188" t="n">
        <x:v>167800</x:v>
      </x:c>
      <x:c r="K2188" t="str">
        <x:v>Avalancha</x:v>
      </x:c>
      <x:c r="L2188" t="str">
        <x:v>Vigente</x:v>
      </x:c>
      <x:c r="M2188" t="n">
        <x:v>2829498.03</x:v>
      </x:c>
      <x:c r="N2188"/>
    </x:row>
    <x:row r="2189">
      <x:c r="A2189" t="str">
        <x:v>DEU-002188</x:v>
      </x:c>
      <x:c r="B2189" t="str">
        <x:v>USR-01120</x:v>
      </x:c>
      <x:c r="C2189" t="n">
        <x:v>46235</x:v>
      </x:c>
      <x:c r="D2189" t="str">
        <x:v>Cooperativa C</x:v>
      </x:c>
      <x:c r="E2189" t="str">
        <x:v>Crédito comercial</x:v>
      </x:c>
      <x:c r="F2189" t="n">
        <x:v>18470000</x:v>
      </x:c>
      <x:c r="G2189" s="40" t="n">
        <x:v>0.3253</x:v>
      </x:c>
      <x:c r="H2189" s="40" t="n">
        <x:v>0.023747</x:v>
      </x:c>
      <x:c r="I2189" t="n">
        <x:v>48</x:v>
      </x:c>
      <x:c r="J2189" t="n">
        <x:v>649000</x:v>
      </x:c>
      <x:c r="K2189" t="str">
        <x:v>Bola de nieve</x:v>
      </x:c>
      <x:c r="L2189" t="str">
        <x:v>Vigente</x:v>
      </x:c>
      <x:c r="M2189" t="n">
        <x:v>18693236.18</x:v>
      </x:c>
      <x:c r="N2189"/>
    </x:row>
    <x:row r="2190">
      <x:c r="A2190" t="str">
        <x:v>DEU-002189</x:v>
      </x:c>
      <x:c r="B2190" t="str">
        <x:v>USR-01121</x:v>
      </x:c>
      <x:c r="C2190" t="n">
        <x:v>46235</x:v>
      </x:c>
      <x:c r="D2190" t="str">
        <x:v>Entidad financiera E</x:v>
      </x:c>
      <x:c r="E2190" t="str">
        <x:v>Crédito de consumo</x:v>
      </x:c>
      <x:c r="F2190" t="n">
        <x:v>17270000</x:v>
      </x:c>
      <x:c r="G2190" s="40" t="n">
        <x:v>0.285</x:v>
      </x:c>
      <x:c r="H2190" s="40" t="n">
        <x:v>0.021116</x:v>
      </x:c>
      <x:c r="I2190" t="n">
        <x:v>24</x:v>
      </x:c>
      <x:c r="J2190" t="n">
        <x:v>924700</x:v>
      </x:c>
      <x:c r="K2190" t="str">
        <x:v>Avalancha</x:v>
      </x:c>
      <x:c r="L2190" t="str">
        <x:v>Vigente</x:v>
      </x:c>
      <x:c r="M2190" t="n">
        <x:v>16138135.6</x:v>
      </x:c>
      <x:c r="N2190"/>
    </x:row>
    <x:row r="2191">
      <x:c r="A2191" t="str">
        <x:v>DEU-002190</x:v>
      </x:c>
      <x:c r="B2191" t="str">
        <x:v>USR-01121</x:v>
      </x:c>
      <x:c r="C2191" t="n">
        <x:v>46235</x:v>
      </x:c>
      <x:c r="D2191" t="str">
        <x:v>Entidad financiera B</x:v>
      </x:c>
      <x:c r="E2191" t="str">
        <x:v>Tarjeta de crédito</x:v>
      </x:c>
      <x:c r="F2191" t="n">
        <x:v>3000000</x:v>
      </x:c>
      <x:c r="G2191" s="40" t="n">
        <x:v>0.1093</x:v>
      </x:c>
      <x:c r="H2191" s="40" t="n">
        <x:v>0.008682</x:v>
      </x:c>
      <x:c r="I2191" t="n">
        <x:v>24</x:v>
      </x:c>
      <x:c r="J2191" t="n">
        <x:v>139000</x:v>
      </x:c>
      <x:c r="K2191" t="str">
        <x:v>Bola de nieve</x:v>
      </x:c>
      <x:c r="L2191" t="str">
        <x:v>Vigente</x:v>
      </x:c>
      <x:c r="M2191" t="n">
        <x:v>2773108.77</x:v>
      </x:c>
      <x:c r="N2191"/>
    </x:row>
    <x:row r="2192">
      <x:c r="A2192" t="str">
        <x:v>DEU-002191</x:v>
      </x:c>
      <x:c r="B2192" t="str">
        <x:v>USR-01121</x:v>
      </x:c>
      <x:c r="C2192" t="n">
        <x:v>46235</x:v>
      </x:c>
      <x:c r="D2192" t="str">
        <x:v>Entidad financiera A</x:v>
      </x:c>
      <x:c r="E2192" t="str">
        <x:v>Tarjeta de crédito</x:v>
      </x:c>
      <x:c r="F2192" t="n">
        <x:v>7140000</x:v>
      </x:c>
      <x:c r="G2192" s="40" t="n">
        <x:v>0.2334</x:v>
      </x:c>
      <x:c r="H2192" s="40" t="n">
        <x:v>0.017635</x:v>
      </x:c>
      <x:c r="I2192" t="n">
        <x:v>30</x:v>
      </x:c>
      <x:c r="J2192" t="n">
        <x:v>308500</x:v>
      </x:c>
      <x:c r="K2192" t="str">
        <x:v>Avalancha</x:v>
      </x:c>
      <x:c r="L2192" t="str">
        <x:v>Vigente</x:v>
      </x:c>
      <x:c r="M2192" t="n">
        <x:v>6771606.56</x:v>
      </x:c>
      <x:c r="N2192"/>
    </x:row>
    <x:row r="2193">
      <x:c r="A2193" t="str">
        <x:v>DEU-002192</x:v>
      </x:c>
      <x:c r="B2193" t="str">
        <x:v>USR-01122</x:v>
      </x:c>
      <x:c r="C2193" t="n">
        <x:v>46235</x:v>
      </x:c>
      <x:c r="D2193" t="str">
        <x:v>Entidad financiera B</x:v>
      </x:c>
      <x:c r="E2193" t="str">
        <x:v>Crédito de consumo</x:v>
      </x:c>
      <x:c r="F2193" t="n">
        <x:v>9990000</x:v>
      </x:c>
      <x:c r="G2193" s="40" t="n">
        <x:v>0.2343</x:v>
      </x:c>
      <x:c r="H2193" s="40" t="n">
        <x:v>0.017697</x:v>
      </x:c>
      <x:c r="I2193" t="n">
        <x:v>30</x:v>
      </x:c>
      <x:c r="J2193" t="n">
        <x:v>432100</x:v>
      </x:c>
      <x:c r="K2193" t="str">
        <x:v>Avalancha</x:v>
      </x:c>
      <x:c r="L2193" t="str">
        <x:v>Vigente</x:v>
      </x:c>
      <x:c r="M2193" t="n">
        <x:v>9906963.22</x:v>
      </x:c>
      <x:c r="N2193"/>
    </x:row>
    <x:row r="2194">
      <x:c r="A2194" t="str">
        <x:v>DEU-002193</x:v>
      </x:c>
      <x:c r="B2194" t="str">
        <x:v>USR-01123</x:v>
      </x:c>
      <x:c r="C2194" t="n">
        <x:v>46235</x:v>
      </x:c>
      <x:c r="D2194" t="str">
        <x:v>Entidad financiera E</x:v>
      </x:c>
      <x:c r="E2194" t="str">
        <x:v>Crédito educativo</x:v>
      </x:c>
      <x:c r="F2194" t="n">
        <x:v>23910000</x:v>
      </x:c>
      <x:c r="G2194" s="40" t="n">
        <x:v>0.2817</x:v>
      </x:c>
      <x:c r="H2194" s="40" t="n">
        <x:v>0.020898</x:v>
      </x:c>
      <x:c r="I2194" t="n">
        <x:v>24</x:v>
      </x:c>
      <x:c r="J2194" t="n">
        <x:v>1277000</x:v>
      </x:c>
      <x:c r="K2194" t="str">
        <x:v>Bola de nieve</x:v>
      </x:c>
      <x:c r="L2194" t="str">
        <x:v>Vigente</x:v>
      </x:c>
      <x:c r="M2194" t="n">
        <x:v>23642766.78</x:v>
      </x:c>
      <x:c r="N2194"/>
    </x:row>
    <x:row r="2195">
      <x:c r="A2195" t="str">
        <x:v>DEU-002194</x:v>
      </x:c>
      <x:c r="B2195" t="str">
        <x:v>USR-01124</x:v>
      </x:c>
      <x:c r="C2195" t="n">
        <x:v>46235</x:v>
      </x:c>
      <x:c r="D2195" t="str">
        <x:v>Entidad financiera E</x:v>
      </x:c>
      <x:c r="E2195" t="str">
        <x:v>Crédito de consumo</x:v>
      </x:c>
      <x:c r="F2195" t="n">
        <x:v>14840000</x:v>
      </x:c>
      <x:c r="G2195" s="40" t="n">
        <x:v>0.2066</x:v>
      </x:c>
      <x:c r="H2195" s="40" t="n">
        <x:v>0.015774</x:v>
      </x:c>
      <x:c r="I2195" t="n">
        <x:v>36</x:v>
      </x:c>
      <x:c r="J2195" t="n">
        <x:v>543400</x:v>
      </x:c>
      <x:c r="K2195" t="str">
        <x:v>Bola de nieve</x:v>
      </x:c>
      <x:c r="L2195" t="str">
        <x:v>Vigente</x:v>
      </x:c>
      <x:c r="M2195" t="n">
        <x:v>14460982.89</x:v>
      </x:c>
      <x:c r="N2195"/>
    </x:row>
    <x:row r="2196">
      <x:c r="A2196" t="str">
        <x:v>DEU-002195</x:v>
      </x:c>
      <x:c r="B2196" t="str">
        <x:v>USR-01124</x:v>
      </x:c>
      <x:c r="C2196" t="n">
        <x:v>46235</x:v>
      </x:c>
      <x:c r="D2196" t="str">
        <x:v>Entidad financiera B</x:v>
      </x:c>
      <x:c r="E2196" t="str">
        <x:v>Tarjeta de crédito</x:v>
      </x:c>
      <x:c r="F2196" t="n">
        <x:v>4700000</x:v>
      </x:c>
      <x:c r="G2196" s="40" t="n">
        <x:v>0.2028</x:v>
      </x:c>
      <x:c r="H2196" s="40" t="n">
        <x:v>0.015507</x:v>
      </x:c>
      <x:c r="I2196" t="n">
        <x:v>48</x:v>
      </x:c>
      <x:c r="J2196" t="n">
        <x:v>139600</x:v>
      </x:c>
      <x:c r="K2196" t="str">
        <x:v>Avalancha</x:v>
      </x:c>
      <x:c r="L2196" t="str">
        <x:v>Vigente</x:v>
      </x:c>
      <x:c r="M2196" t="n">
        <x:v>4705128.22</x:v>
      </x:c>
      <x:c r="N2196"/>
    </x:row>
    <x:row r="2197">
      <x:c r="A2197" t="str">
        <x:v>DEU-002196</x:v>
      </x:c>
      <x:c r="B2197" t="str">
        <x:v>USR-01125</x:v>
      </x:c>
      <x:c r="C2197" t="n">
        <x:v>46235</x:v>
      </x:c>
      <x:c r="D2197" t="str">
        <x:v>Entidad financiera E</x:v>
      </x:c>
      <x:c r="E2197" t="str">
        <x:v>Crédito de consumo</x:v>
      </x:c>
      <x:c r="F2197" t="n">
        <x:v>10410000</x:v>
      </x:c>
      <x:c r="G2197" s="40" t="n">
        <x:v>0.223</x:v>
      </x:c>
      <x:c r="H2197" s="40" t="n">
        <x:v>0.016917</x:v>
      </x:c>
      <x:c r="I2197" t="n">
        <x:v>60</x:v>
      </x:c>
      <x:c r="J2197" t="n">
        <x:v>277500</x:v>
      </x:c>
      <x:c r="K2197" t="str">
        <x:v>Avalancha</x:v>
      </x:c>
      <x:c r="L2197" t="str">
        <x:v>Vigente</x:v>
      </x:c>
      <x:c r="M2197" t="n">
        <x:v>10487692.63</x:v>
      </x:c>
      <x:c r="N2197"/>
    </x:row>
    <x:row r="2198">
      <x:c r="A2198" t="str">
        <x:v>DEU-002197</x:v>
      </x:c>
      <x:c r="B2198" t="str">
        <x:v>USR-01125</x:v>
      </x:c>
      <x:c r="C2198" t="n">
        <x:v>46235</x:v>
      </x:c>
      <x:c r="D2198" t="str">
        <x:v>Entidad financiera A</x:v>
      </x:c>
      <x:c r="E2198" t="str">
        <x:v>Crédito de consumo</x:v>
      </x:c>
      <x:c r="F2198" t="n">
        <x:v>8340000</x:v>
      </x:c>
      <x:c r="G2198" s="40" t="n">
        <x:v>0.1591</x:v>
      </x:c>
      <x:c r="H2198" s="40" t="n">
        <x:v>0.01238</x:v>
      </x:c>
      <x:c r="I2198" t="n">
        <x:v>60</x:v>
      </x:c>
      <x:c r="J2198" t="n">
        <x:v>197800</x:v>
      </x:c>
      <x:c r="K2198" t="str">
        <x:v>Avalancha</x:v>
      </x:c>
      <x:c r="L2198" t="str">
        <x:v>Vigente</x:v>
      </x:c>
      <x:c r="M2198" t="n">
        <x:v>8547770.79</x:v>
      </x:c>
      <x:c r="N2198"/>
    </x:row>
    <x:row r="2199">
      <x:c r="A2199" t="str">
        <x:v>DEU-002198</x:v>
      </x:c>
      <x:c r="B2199" t="str">
        <x:v>USR-01126</x:v>
      </x:c>
      <x:c r="C2199" t="n">
        <x:v>46235</x:v>
      </x:c>
      <x:c r="D2199" t="str">
        <x:v>Entidad financiera B</x:v>
      </x:c>
      <x:c r="E2199" t="str">
        <x:v>Crédito de libre inversión</x:v>
      </x:c>
      <x:c r="F2199" t="n">
        <x:v>22140000</x:v>
      </x:c>
      <x:c r="G2199" s="40" t="n">
        <x:v>0.3287</x:v>
      </x:c>
      <x:c r="H2199" s="40" t="n">
        <x:v>0.023966</x:v>
      </x:c>
      <x:c r="I2199" t="n">
        <x:v>36</x:v>
      </x:c>
      <x:c r="J2199" t="n">
        <x:v>924900</x:v>
      </x:c>
      <x:c r="K2199" t="str">
        <x:v>Avalancha</x:v>
      </x:c>
      <x:c r="L2199" t="str">
        <x:v>Vigente</x:v>
      </x:c>
      <x:c r="M2199" t="n">
        <x:v>21826535.44</x:v>
      </x:c>
      <x:c r="N2199"/>
    </x:row>
    <x:row r="2200">
      <x:c r="A2200" t="str">
        <x:v>DEU-002199</x:v>
      </x:c>
      <x:c r="B2200" t="str">
        <x:v>USR-01126</x:v>
      </x:c>
      <x:c r="C2200" t="n">
        <x:v>46235</x:v>
      </x:c>
      <x:c r="D2200" t="str">
        <x:v>Financiera D</x:v>
      </x:c>
      <x:c r="E2200" t="str">
        <x:v>Crédito de consumo</x:v>
      </x:c>
      <x:c r="F2200" t="n">
        <x:v>5460000</x:v>
      </x:c>
      <x:c r="G2200" s="40" t="n">
        <x:v>0.272</x:v>
      </x:c>
      <x:c r="H2200" s="40" t="n">
        <x:v>0.020252</x:v>
      </x:c>
      <x:c r="I2200" t="n">
        <x:v>48</x:v>
      </x:c>
      <x:c r="J2200" t="n">
        <x:v>178900</x:v>
      </x:c>
      <x:c r="K2200" t="str">
        <x:v>Avalancha</x:v>
      </x:c>
      <x:c r="L2200" t="str">
        <x:v>Vigente</x:v>
      </x:c>
      <x:c r="M2200" t="n">
        <x:v>5537388.11</x:v>
      </x:c>
      <x:c r="N2200"/>
    </x:row>
    <x:row r="2201">
      <x:c r="A2201" t="str">
        <x:v>DEU-002200</x:v>
      </x:c>
      <x:c r="B2201" t="str">
        <x:v>USR-01126</x:v>
      </x:c>
      <x:c r="C2201" t="n">
        <x:v>46235</x:v>
      </x:c>
      <x:c r="D2201" t="str">
        <x:v>Cooperativa C</x:v>
      </x:c>
      <x:c r="E2201" t="str">
        <x:v>Crédito de consumo</x:v>
      </x:c>
      <x:c r="F2201" t="n">
        <x:v>5800000</x:v>
      </x:c>
      <x:c r="G2201" s="40" t="n">
        <x:v>0.1074</x:v>
      </x:c>
      <x:c r="H2201" s="40" t="n">
        <x:v>0.008537</x:v>
      </x:c>
      <x:c r="I2201" t="n">
        <x:v>30</x:v>
      </x:c>
      <x:c r="J2201" t="n">
        <x:v>220000</x:v>
      </x:c>
      <x:c r="K2201" t="str">
        <x:v>Bola de nieve</x:v>
      </x:c>
      <x:c r="L2201" t="str">
        <x:v>Vigente</x:v>
      </x:c>
      <x:c r="M2201" t="n">
        <x:v>5721954.95</x:v>
      </x:c>
      <x:c r="N2201"/>
    </x:row>
    <x:row r="2202">
      <x:c r="A2202" t="str">
        <x:v>DEU-002201</x:v>
      </x:c>
      <x:c r="B2202" t="str">
        <x:v>USR-01126</x:v>
      </x:c>
      <x:c r="C2202" t="n">
        <x:v>46235</x:v>
      </x:c>
      <x:c r="D2202" t="str">
        <x:v>Entidad financiera B</x:v>
      </x:c>
      <x:c r="E2202" t="str">
        <x:v>Crédito educativo</x:v>
      </x:c>
      <x:c r="F2202" t="n">
        <x:v>26380000</x:v>
      </x:c>
      <x:c r="G2202" s="40" t="n">
        <x:v>0.1585</x:v>
      </x:c>
      <x:c r="H2202" s="40" t="n">
        <x:v>0.012336</x:v>
      </x:c>
      <x:c r="I2202" t="n">
        <x:v>48</x:v>
      </x:c>
      <x:c r="J2202" t="n">
        <x:v>731500</x:v>
      </x:c>
      <x:c r="K2202" t="str">
        <x:v>Bola de nieve</x:v>
      </x:c>
      <x:c r="L2202" t="str">
        <x:v>Vigente</x:v>
      </x:c>
      <x:c r="M2202" t="n">
        <x:v>26183283.35</x:v>
      </x:c>
      <x:c r="N2202"/>
    </x:row>
    <x:row r="2203">
      <x:c r="A2203" t="str">
        <x:v>DEU-002202</x:v>
      </x:c>
      <x:c r="B2203" t="str">
        <x:v>USR-01127</x:v>
      </x:c>
      <x:c r="C2203" t="n">
        <x:v>46235</x:v>
      </x:c>
      <x:c r="D2203" t="str">
        <x:v>Entidad financiera E</x:v>
      </x:c>
      <x:c r="E2203" t="str">
        <x:v>Tarjeta de crédito</x:v>
      </x:c>
      <x:c r="F2203" t="n">
        <x:v>6440000</x:v>
      </x:c>
      <x:c r="G2203" s="40" t="n">
        <x:v>0.1239</x:v>
      </x:c>
      <x:c r="H2203" s="40" t="n">
        <x:v>0.009781</x:v>
      </x:c>
      <x:c r="I2203" t="n">
        <x:v>12</x:v>
      </x:c>
      <x:c r="J2203" t="n">
        <x:v>571400</x:v>
      </x:c>
      <x:c r="K2203" t="str">
        <x:v>Bola de nieve</x:v>
      </x:c>
      <x:c r="L2203" t="str">
        <x:v>Vigente</x:v>
      </x:c>
      <x:c r="M2203" t="n">
        <x:v>5675309.73</x:v>
      </x:c>
      <x:c r="N2203"/>
    </x:row>
    <x:row r="2204">
      <x:c r="A2204" t="str">
        <x:v>DEU-002203</x:v>
      </x:c>
      <x:c r="B2204" t="str">
        <x:v>USR-01127</x:v>
      </x:c>
      <x:c r="C2204" t="n">
        <x:v>46235</x:v>
      </x:c>
      <x:c r="D2204" t="str">
        <x:v>Cooperativa C</x:v>
      </x:c>
      <x:c r="E2204" t="str">
        <x:v>Crédito educativo</x:v>
      </x:c>
      <x:c r="F2204" t="n">
        <x:v>23110000</x:v>
      </x:c>
      <x:c r="G2204" s="40" t="n">
        <x:v>0.2734</x:v>
      </x:c>
      <x:c r="H2204" s="40" t="n">
        <x:v>0.020345</x:v>
      </x:c>
      <x:c r="I2204" t="n">
        <x:v>18</x:v>
      </x:c>
      <x:c r="J2204" t="n">
        <x:v>1546200</x:v>
      </x:c>
      <x:c r="K2204" t="str">
        <x:v>Avalancha</x:v>
      </x:c>
      <x:c r="L2204" t="str">
        <x:v>Vigente</x:v>
      </x:c>
      <x:c r="M2204" t="n">
        <x:v>20704157.33</x:v>
      </x:c>
      <x:c r="N2204"/>
    </x:row>
    <x:row r="2205">
      <x:c r="A2205" t="str">
        <x:v>DEU-002204</x:v>
      </x:c>
      <x:c r="B2205" t="str">
        <x:v>USR-01128</x:v>
      </x:c>
      <x:c r="C2205" t="n">
        <x:v>46235</x:v>
      </x:c>
      <x:c r="D2205" t="str">
        <x:v>Entidad financiera B</x:v>
      </x:c>
      <x:c r="E2205" t="str">
        <x:v>Crédito de consumo</x:v>
      </x:c>
      <x:c r="F2205" t="n">
        <x:v>13090000</x:v>
      </x:c>
      <x:c r="G2205" s="40" t="n">
        <x:v>0.1944</x:v>
      </x:c>
      <x:c r="H2205" s="40" t="n">
        <x:v>0.014914</x:v>
      </x:c>
      <x:c r="I2205" t="n">
        <x:v>60</x:v>
      </x:c>
      <x:c r="J2205" t="n">
        <x:v>331700</x:v>
      </x:c>
      <x:c r="K2205" t="str">
        <x:v>Avalancha</x:v>
      </x:c>
      <x:c r="L2205" t="str">
        <x:v>Vigente</x:v>
      </x:c>
      <x:c r="M2205" t="n">
        <x:v>13096164.66</x:v>
      </x:c>
      <x:c r="N2205"/>
    </x:row>
    <x:row r="2206">
      <x:c r="A2206" t="str">
        <x:v>DEU-002205</x:v>
      </x:c>
      <x:c r="B2206" t="str">
        <x:v>USR-01128</x:v>
      </x:c>
      <x:c r="C2206" t="n">
        <x:v>46235</x:v>
      </x:c>
      <x:c r="D2206" t="str">
        <x:v>Entidad financiera E</x:v>
      </x:c>
      <x:c r="E2206" t="str">
        <x:v>Crédito de vehículo</x:v>
      </x:c>
      <x:c r="F2206" t="n">
        <x:v>46850000</x:v>
      </x:c>
      <x:c r="G2206" s="40" t="n">
        <x:v>0.1068</x:v>
      </x:c>
      <x:c r="H2206" s="40" t="n">
        <x:v>0.008492</x:v>
      </x:c>
      <x:c r="I2206" t="n">
        <x:v>36</x:v>
      </x:c>
      <x:c r="J2206" t="n">
        <x:v>1515900</x:v>
      </x:c>
      <x:c r="K2206" t="str">
        <x:v>Avalancha</x:v>
      </x:c>
      <x:c r="L2206" t="str">
        <x:v>Vigente</x:v>
      </x:c>
      <x:c r="M2206" t="n">
        <x:v>46120299.82</x:v>
      </x:c>
      <x:c r="N2206"/>
    </x:row>
    <x:row r="2207">
      <x:c r="A2207" t="str">
        <x:v>DEU-002206</x:v>
      </x:c>
      <x:c r="B2207" t="str">
        <x:v>USR-01129</x:v>
      </x:c>
      <x:c r="C2207" t="n">
        <x:v>46235</x:v>
      </x:c>
      <x:c r="D2207" t="str">
        <x:v>Entidad financiera E</x:v>
      </x:c>
      <x:c r="E2207" t="str">
        <x:v>Crédito educativo</x:v>
      </x:c>
      <x:c r="F2207" t="n">
        <x:v>4160000</x:v>
      </x:c>
      <x:c r="G2207" s="40" t="n">
        <x:v>0.278</x:v>
      </x:c>
      <x:c r="H2207" s="40" t="n">
        <x:v>0.020652</x:v>
      </x:c>
      <x:c r="I2207" t="n">
        <x:v>48</x:v>
      </x:c>
      <x:c r="J2207" t="n">
        <x:v>137400</x:v>
      </x:c>
      <x:c r="K2207" t="str">
        <x:v>Bola de nieve</x:v>
      </x:c>
      <x:c r="L2207" t="str">
        <x:v>Vigente</x:v>
      </x:c>
      <x:c r="M2207" t="n">
        <x:v>4111526.89</x:v>
      </x:c>
      <x:c r="N2207"/>
    </x:row>
    <x:row r="2208">
      <x:c r="A2208" t="str">
        <x:v>DEU-002207</x:v>
      </x:c>
      <x:c r="B2208" t="str">
        <x:v>USR-01129</x:v>
      </x:c>
      <x:c r="C2208" t="n">
        <x:v>46235</x:v>
      </x:c>
      <x:c r="D2208" t="str">
        <x:v>Entidad financiera A</x:v>
      </x:c>
      <x:c r="E2208" t="str">
        <x:v>Crédito de consumo</x:v>
      </x:c>
      <x:c r="F2208" t="n">
        <x:v>14450000</x:v>
      </x:c>
      <x:c r="G2208" s="40" t="n">
        <x:v>0.2715</x:v>
      </x:c>
      <x:c r="H2208" s="40" t="n">
        <x:v>0.020218</x:v>
      </x:c>
      <x:c r="I2208" t="n">
        <x:v>18</x:v>
      </x:c>
      <x:c r="J2208" t="n">
        <x:v>965700</x:v>
      </x:c>
      <x:c r="K2208" t="str">
        <x:v>Avalancha</x:v>
      </x:c>
      <x:c r="L2208" t="str">
        <x:v>Vigente</x:v>
      </x:c>
      <x:c r="M2208" t="n">
        <x:v>14054985.63</x:v>
      </x:c>
      <x:c r="N2208"/>
    </x:row>
    <x:row r="2209">
      <x:c r="A2209" t="str">
        <x:v>DEU-002208</x:v>
      </x:c>
      <x:c r="B2209" t="str">
        <x:v>USR-01130</x:v>
      </x:c>
      <x:c r="C2209" t="n">
        <x:v>46235</x:v>
      </x:c>
      <x:c r="D2209" t="str">
        <x:v>Financiera D</x:v>
      </x:c>
      <x:c r="E2209" t="str">
        <x:v>Crédito de consumo</x:v>
      </x:c>
      <x:c r="F2209" t="n">
        <x:v>3300000</x:v>
      </x:c>
      <x:c r="G2209" s="40" t="n">
        <x:v>0.3352</x:v>
      </x:c>
      <x:c r="H2209" s="40" t="n">
        <x:v>0.024383</x:v>
      </x:c>
      <x:c r="I2209" t="n">
        <x:v>24</x:v>
      </x:c>
      <x:c r="J2209" t="n">
        <x:v>183300</x:v>
      </x:c>
      <x:c r="K2209" t="str">
        <x:v>Avalancha</x:v>
      </x:c>
      <x:c r="L2209" t="str">
        <x:v>Vigente</x:v>
      </x:c>
      <x:c r="M2209" t="n">
        <x:v>3091817.72</x:v>
      </x:c>
      <x:c r="N2209"/>
    </x:row>
    <x:row r="2210">
      <x:c r="A2210" t="str">
        <x:v>DEU-002209</x:v>
      </x:c>
      <x:c r="B2210" t="str">
        <x:v>USR-01130</x:v>
      </x:c>
      <x:c r="C2210" t="n">
        <x:v>46235</x:v>
      </x:c>
      <x:c r="D2210" t="str">
        <x:v>Entidad financiera A</x:v>
      </x:c>
      <x:c r="E2210" t="str">
        <x:v>Crédito de consumo</x:v>
      </x:c>
      <x:c r="F2210" t="n">
        <x:v>10480000</x:v>
      </x:c>
      <x:c r="G2210" s="40" t="n">
        <x:v>0.2405</x:v>
      </x:c>
      <x:c r="H2210" s="40" t="n">
        <x:v>0.018122</x:v>
      </x:c>
      <x:c r="I2210" t="n">
        <x:v>24</x:v>
      </x:c>
      <x:c r="J2210" t="n">
        <x:v>542400</x:v>
      </x:c>
      <x:c r="K2210" t="str">
        <x:v>Avalancha</x:v>
      </x:c>
      <x:c r="L2210" t="str">
        <x:v>Vigente</x:v>
      </x:c>
      <x:c r="M2210" t="n">
        <x:v>9768645</x:v>
      </x:c>
      <x:c r="N2210"/>
    </x:row>
    <x:row r="2211">
      <x:c r="A2211" t="str">
        <x:v>DEU-002210</x:v>
      </x:c>
      <x:c r="B2211" t="str">
        <x:v>USR-01131</x:v>
      </x:c>
      <x:c r="C2211" t="n">
        <x:v>46235</x:v>
      </x:c>
      <x:c r="D2211" t="str">
        <x:v>Cooperativa C</x:v>
      </x:c>
      <x:c r="E2211" t="str">
        <x:v>Crédito de consumo</x:v>
      </x:c>
      <x:c r="F2211" t="n">
        <x:v>2770000</x:v>
      </x:c>
      <x:c r="G2211" s="40" t="n">
        <x:v>0.1869</x:v>
      </x:c>
      <x:c r="H2211" s="40" t="n">
        <x:v>0.014381</x:v>
      </x:c>
      <x:c r="I2211" t="n">
        <x:v>24</x:v>
      </x:c>
      <x:c r="J2211" t="n">
        <x:v>137300</x:v>
      </x:c>
      <x:c r="K2211" t="str">
        <x:v>Bola de nieve</x:v>
      </x:c>
      <x:c r="L2211" t="str">
        <x:v>Vigente</x:v>
      </x:c>
      <x:c r="M2211" t="n">
        <x:v>2580273.76</x:v>
      </x:c>
      <x:c r="N2211"/>
    </x:row>
    <x:row r="2212">
      <x:c r="A2212" t="str">
        <x:v>DEU-002211</x:v>
      </x:c>
      <x:c r="B2212" t="str">
        <x:v>USR-01132</x:v>
      </x:c>
      <x:c r="C2212" t="n">
        <x:v>46235</x:v>
      </x:c>
      <x:c r="D2212" t="str">
        <x:v>Cooperativa C</x:v>
      </x:c>
      <x:c r="E2212" t="str">
        <x:v>Tarjeta de crédito</x:v>
      </x:c>
      <x:c r="F2212" t="n">
        <x:v>4190000</x:v>
      </x:c>
      <x:c r="G2212" s="40" t="n">
        <x:v>0.2383</x:v>
      </x:c>
      <x:c r="H2212" s="40" t="n">
        <x:v>0.017971</x:v>
      </x:c>
      <x:c r="I2212" t="n">
        <x:v>30</x:v>
      </x:c>
      <x:c r="J2212" t="n">
        <x:v>181900</x:v>
      </x:c>
      <x:c r="K2212" t="str">
        <x:v>Bola de nieve</x:v>
      </x:c>
      <x:c r="L2212" t="str">
        <x:v>Vigente</x:v>
      </x:c>
      <x:c r="M2212" t="n">
        <x:v>4156782.88</x:v>
      </x:c>
      <x:c r="N2212"/>
    </x:row>
    <x:row r="2213">
      <x:c r="A2213" t="str">
        <x:v>DEU-002212</x:v>
      </x:c>
      <x:c r="B2213" t="str">
        <x:v>USR-01132</x:v>
      </x:c>
      <x:c r="C2213" t="n">
        <x:v>46235</x:v>
      </x:c>
      <x:c r="D2213" t="str">
        <x:v>Entidad financiera E</x:v>
      </x:c>
      <x:c r="E2213" t="str">
        <x:v>Crédito de vehículo</x:v>
      </x:c>
      <x:c r="F2213" t="n">
        <x:v>16910000</x:v>
      </x:c>
      <x:c r="G2213" s="40" t="n">
        <x:v>0.3219</x:v>
      </x:c>
      <x:c r="H2213" s="40" t="n">
        <x:v>0.023528</x:v>
      </x:c>
      <x:c r="I2213" t="n">
        <x:v>48</x:v>
      </x:c>
      <x:c r="J2213" t="n">
        <x:v>591600</x:v>
      </x:c>
      <x:c r="K2213" t="str">
        <x:v>Avalancha</x:v>
      </x:c>
      <x:c r="L2213" t="str">
        <x:v>Vigente</x:v>
      </x:c>
      <x:c r="M2213" t="n">
        <x:v>17715090.47</x:v>
      </x:c>
      <x:c r="N2213"/>
    </x:row>
    <x:row r="2214">
      <x:c r="A2214" t="str">
        <x:v>DEU-002213</x:v>
      </x:c>
      <x:c r="B2214" t="str">
        <x:v>USR-01133</x:v>
      </x:c>
      <x:c r="C2214" t="n">
        <x:v>46235</x:v>
      </x:c>
      <x:c r="D2214" t="str">
        <x:v>Financiera D</x:v>
      </x:c>
      <x:c r="E2214" t="str">
        <x:v>Crédito de consumo</x:v>
      </x:c>
      <x:c r="F2214" t="n">
        <x:v>3890000</x:v>
      </x:c>
      <x:c r="G2214" s="40" t="n">
        <x:v>0.3306</x:v>
      </x:c>
      <x:c r="H2214" s="40" t="n">
        <x:v>0.024088</x:v>
      </x:c>
      <x:c r="I2214" t="n">
        <x:v>24</x:v>
      </x:c>
      <x:c r="J2214" t="n">
        <x:v>215300</x:v>
      </x:c>
      <x:c r="K2214" t="str">
        <x:v>Avalancha</x:v>
      </x:c>
      <x:c r="L2214" t="str">
        <x:v>Vigente</x:v>
      </x:c>
      <x:c r="M2214" t="n">
        <x:v>3611575.89</x:v>
      </x:c>
      <x:c r="N2214"/>
    </x:row>
    <x:row r="2215">
      <x:c r="A2215" t="str">
        <x:v>DEU-002214</x:v>
      </x:c>
      <x:c r="B2215" t="str">
        <x:v>USR-01134</x:v>
      </x:c>
      <x:c r="C2215" t="n">
        <x:v>46235</x:v>
      </x:c>
      <x:c r="D2215" t="str">
        <x:v>Entidad financiera B</x:v>
      </x:c>
      <x:c r="E2215" t="str">
        <x:v>Tarjeta de crédito</x:v>
      </x:c>
      <x:c r="F2215" t="n">
        <x:v>2850000</x:v>
      </x:c>
      <x:c r="G2215" s="40" t="n">
        <x:v>0.1157</x:v>
      </x:c>
      <x:c r="H2215" s="40" t="n">
        <x:v>0.009165</x:v>
      </x:c>
      <x:c r="I2215" t="n">
        <x:v>36</x:v>
      </x:c>
      <x:c r="J2215" t="n">
        <x:v>93300</x:v>
      </x:c>
      <x:c r="K2215" t="str">
        <x:v>Avalancha</x:v>
      </x:c>
      <x:c r="L2215" t="str">
        <x:v>Vigente</x:v>
      </x:c>
      <x:c r="M2215" t="n">
        <x:v>2757411.13</x:v>
      </x:c>
      <x:c r="N2215"/>
    </x:row>
    <x:row r="2216">
      <x:c r="A2216" t="str">
        <x:v>DEU-002215</x:v>
      </x:c>
      <x:c r="B2216" t="str">
        <x:v>USR-01134</x:v>
      </x:c>
      <x:c r="C2216" t="n">
        <x:v>46235</x:v>
      </x:c>
      <x:c r="D2216" t="str">
        <x:v>Cooperativa C</x:v>
      </x:c>
      <x:c r="E2216" t="str">
        <x:v>Crédito de consumo</x:v>
      </x:c>
      <x:c r="F2216" t="n">
        <x:v>13030000</x:v>
      </x:c>
      <x:c r="G2216" s="40" t="n">
        <x:v>0.2778</x:v>
      </x:c>
      <x:c r="H2216" s="40" t="n">
        <x:v>0.020638</x:v>
      </x:c>
      <x:c r="I2216" t="n">
        <x:v>60</x:v>
      </x:c>
      <x:c r="J2216" t="n">
        <x:v>380700</x:v>
      </x:c>
      <x:c r="K2216" t="str">
        <x:v>Bola de nieve</x:v>
      </x:c>
      <x:c r="L2216" t="str">
        <x:v>Vigente</x:v>
      </x:c>
      <x:c r="M2216" t="n">
        <x:v>13262500.47</x:v>
      </x:c>
      <x:c r="N2216"/>
    </x:row>
    <x:row r="2217">
      <x:c r="A2217" t="str">
        <x:v>DEU-002216</x:v>
      </x:c>
      <x:c r="B2217" t="str">
        <x:v>USR-01135</x:v>
      </x:c>
      <x:c r="C2217" t="n">
        <x:v>46235</x:v>
      </x:c>
      <x:c r="D2217" t="str">
        <x:v>Cooperativa C</x:v>
      </x:c>
      <x:c r="E2217" t="str">
        <x:v>Tarjeta de crédito</x:v>
      </x:c>
      <x:c r="F2217" t="n">
        <x:v>6310000</x:v>
      </x:c>
      <x:c r="G2217" s="40" t="n">
        <x:v>0.3186</x:v>
      </x:c>
      <x:c r="H2217" s="40" t="n">
        <x:v>0.023315</x:v>
      </x:c>
      <x:c r="I2217" t="n">
        <x:v>48</x:v>
      </x:c>
      <x:c r="J2217" t="n">
        <x:v>219800</x:v>
      </x:c>
      <x:c r="K2217" t="str">
        <x:v>Bola de nieve</x:v>
      </x:c>
      <x:c r="L2217" t="str">
        <x:v>Vigente</x:v>
      </x:c>
      <x:c r="M2217" t="n">
        <x:v>6162943.18</x:v>
      </x:c>
      <x:c r="N2217"/>
    </x:row>
    <x:row r="2218">
      <x:c r="A2218" t="str">
        <x:v>DEU-002217</x:v>
      </x:c>
      <x:c r="B2218" t="str">
        <x:v>USR-01135</x:v>
      </x:c>
      <x:c r="C2218" t="n">
        <x:v>46235</x:v>
      </x:c>
      <x:c r="D2218" t="str">
        <x:v>Financiera D</x:v>
      </x:c>
      <x:c r="E2218" t="str">
        <x:v>Crédito de vehículo</x:v>
      </x:c>
      <x:c r="F2218" t="n">
        <x:v>43320000</x:v>
      </x:c>
      <x:c r="G2218" s="40" t="n">
        <x:v>0.3394</x:v>
      </x:c>
      <x:c r="H2218" s="40" t="n">
        <x:v>0.024651</x:v>
      </x:c>
      <x:c r="I2218" t="n">
        <x:v>30</x:v>
      </x:c>
      <x:c r="J2218" t="n">
        <x:v>2060100</x:v>
      </x:c>
      <x:c r="K2218" t="str">
        <x:v>Avalancha</x:v>
      </x:c>
      <x:c r="L2218" t="str">
        <x:v>Vigente</x:v>
      </x:c>
      <x:c r="M2218" t="n">
        <x:v>43371180.88</x:v>
      </x:c>
      <x:c r="N2218"/>
    </x:row>
    <x:row r="2219">
      <x:c r="A2219" t="str">
        <x:v>DEU-002218</x:v>
      </x:c>
      <x:c r="B2219" t="str">
        <x:v>USR-01136</x:v>
      </x:c>
      <x:c r="C2219" t="n">
        <x:v>46235</x:v>
      </x:c>
      <x:c r="D2219" t="str">
        <x:v>Cooperativa C</x:v>
      </x:c>
      <x:c r="E2219" t="str">
        <x:v>Crédito de consumo</x:v>
      </x:c>
      <x:c r="F2219" t="n">
        <x:v>13970000</x:v>
      </x:c>
      <x:c r="G2219" s="40" t="n">
        <x:v>0.1389</x:v>
      </x:c>
      <x:c r="H2219" s="40" t="n">
        <x:v>0.010898</x:v>
      </x:c>
      <x:c r="I2219" t="n">
        <x:v>36</x:v>
      </x:c>
      <x:c r="J2219" t="n">
        <x:v>471200</x:v>
      </x:c>
      <x:c r="K2219" t="str">
        <x:v>Avalancha</x:v>
      </x:c>
      <x:c r="L2219" t="str">
        <x:v>Vigente</x:v>
      </x:c>
      <x:c r="M2219" t="n">
        <x:v>13804935.84</x:v>
      </x:c>
      <x:c r="N2219"/>
    </x:row>
    <x:row r="2220">
      <x:c r="A2220" t="str">
        <x:v>DEU-002219</x:v>
      </x:c>
      <x:c r="B2220" t="str">
        <x:v>USR-01137</x:v>
      </x:c>
      <x:c r="C2220" t="n">
        <x:v>46235</x:v>
      </x:c>
      <x:c r="D2220" t="str">
        <x:v>Entidad financiera E</x:v>
      </x:c>
      <x:c r="E2220" t="str">
        <x:v>Crédito de consumo</x:v>
      </x:c>
      <x:c r="F2220" t="n">
        <x:v>3770000</x:v>
      </x:c>
      <x:c r="G2220" s="40" t="n">
        <x:v>0.1141</x:v>
      </x:c>
      <x:c r="H2220" s="40" t="n">
        <x:v>0.009045</x:v>
      </x:c>
      <x:c r="I2220" t="n">
        <x:v>12</x:v>
      </x:c>
      <x:c r="J2220" t="n">
        <x:v>332900</x:v>
      </x:c>
      <x:c r="K2220" t="str">
        <x:v>Avalancha</x:v>
      </x:c>
      <x:c r="L2220" t="str">
        <x:v>Vigente</x:v>
      </x:c>
      <x:c r="M2220" t="n">
        <x:v>2951787.57</x:v>
      </x:c>
      <x:c r="N2220"/>
    </x:row>
    <x:row r="2221">
      <x:c r="A2221" t="str">
        <x:v>DEU-002220</x:v>
      </x:c>
      <x:c r="B2221" t="str">
        <x:v>USR-01138</x:v>
      </x:c>
      <x:c r="C2221" t="n">
        <x:v>46235</x:v>
      </x:c>
      <x:c r="D2221" t="str">
        <x:v>Entidad financiera B</x:v>
      </x:c>
      <x:c r="E2221" t="str">
        <x:v>Tarjeta de crédito</x:v>
      </x:c>
      <x:c r="F2221" t="n">
        <x:v>6590000</x:v>
      </x:c>
      <x:c r="G2221" s="40" t="n">
        <x:v>0.2983</x:v>
      </x:c>
      <x:c r="H2221" s="40" t="n">
        <x:v>0.021993</x:v>
      </x:c>
      <x:c r="I2221" t="n">
        <x:v>12</x:v>
      </x:c>
      <x:c r="J2221" t="n">
        <x:v>630800</x:v>
      </x:c>
      <x:c r="K2221" t="str">
        <x:v>Bola de nieve</x:v>
      </x:c>
      <x:c r="L2221" t="str">
        <x:v>Vigente</x:v>
      </x:c>
      <x:c r="M2221" t="n">
        <x:v>5607582.09</x:v>
      </x:c>
      <x:c r="N2221"/>
    </x:row>
    <x:row r="2222">
      <x:c r="A2222" t="str">
        <x:v>DEU-002221</x:v>
      </x:c>
      <x:c r="B2222" t="str">
        <x:v>USR-01139</x:v>
      </x:c>
      <x:c r="C2222" t="n">
        <x:v>46235</x:v>
      </x:c>
      <x:c r="D2222" t="str">
        <x:v>Entidad financiera A</x:v>
      </x:c>
      <x:c r="E2222" t="str">
        <x:v>Crédito educativo</x:v>
      </x:c>
      <x:c r="F2222" t="n">
        <x:v>4430000</x:v>
      </x:c>
      <x:c r="G2222" s="40" t="n">
        <x:v>0.2533</x:v>
      </x:c>
      <x:c r="H2222" s="40" t="n">
        <x:v>0.018993</x:v>
      </x:c>
      <x:c r="I2222" t="n">
        <x:v>48</x:v>
      </x:c>
      <x:c r="J2222" t="n">
        <x:v>141500</x:v>
      </x:c>
      <x:c r="K2222" t="str">
        <x:v>Bola de nieve</x:v>
      </x:c>
      <x:c r="L2222" t="str">
        <x:v>Vigente</x:v>
      </x:c>
      <x:c r="M2222" t="n">
        <x:v>4383646.81</x:v>
      </x:c>
      <x:c r="N2222"/>
    </x:row>
    <x:row r="2223">
      <x:c r="A2223" t="str">
        <x:v>DEU-002222</x:v>
      </x:c>
      <x:c r="B2223" t="str">
        <x:v>USR-01139</x:v>
      </x:c>
      <x:c r="C2223" t="n">
        <x:v>46235</x:v>
      </x:c>
      <x:c r="D2223" t="str">
        <x:v>Entidad financiera A</x:v>
      </x:c>
      <x:c r="E2223" t="str">
        <x:v>Crédito de libre inversión</x:v>
      </x:c>
      <x:c r="F2223" t="n">
        <x:v>6720000</x:v>
      </x:c>
      <x:c r="G2223" s="40" t="n">
        <x:v>0.1095</x:v>
      </x:c>
      <x:c r="H2223" s="40" t="n">
        <x:v>0.008697</x:v>
      </x:c>
      <x:c r="I2223" t="n">
        <x:v>36</x:v>
      </x:c>
      <x:c r="J2223" t="n">
        <x:v>218200</x:v>
      </x:c>
      <x:c r="K2223" t="str">
        <x:v>Bola de nieve</x:v>
      </x:c>
      <x:c r="L2223" t="str">
        <x:v>Vigente</x:v>
      </x:c>
      <x:c r="M2223" t="n">
        <x:v>6333973.73</x:v>
      </x:c>
      <x:c r="N2223"/>
    </x:row>
    <x:row r="2224">
      <x:c r="A2224" t="str">
        <x:v>DEU-002223</x:v>
      </x:c>
      <x:c r="B2224" t="str">
        <x:v>USR-01139</x:v>
      </x:c>
      <x:c r="C2224" t="n">
        <x:v>46235</x:v>
      </x:c>
      <x:c r="D2224" t="str">
        <x:v>Entidad financiera B</x:v>
      </x:c>
      <x:c r="E2224" t="str">
        <x:v>Crédito de consumo</x:v>
      </x:c>
      <x:c r="F2224" t="n">
        <x:v>7720000</x:v>
      </x:c>
      <x:c r="G2224" s="40" t="n">
        <x:v>0.1909</x:v>
      </x:c>
      <x:c r="H2224" s="40" t="n">
        <x:v>0.014666</x:v>
      </x:c>
      <x:c r="I2224" t="n">
        <x:v>30</x:v>
      </x:c>
      <x:c r="J2224" t="n">
        <x:v>319900</x:v>
      </x:c>
      <x:c r="K2224" t="str">
        <x:v>Bola de nieve</x:v>
      </x:c>
      <x:c r="L2224" t="str">
        <x:v>Vigente</x:v>
      </x:c>
      <x:c r="M2224" t="n">
        <x:v>7303605.91</x:v>
      </x:c>
      <x:c r="N2224"/>
    </x:row>
    <x:row r="2225">
      <x:c r="A2225" t="str">
        <x:v>DEU-002224</x:v>
      </x:c>
      <x:c r="B2225" t="str">
        <x:v>USR-01140</x:v>
      </x:c>
      <x:c r="C2225" t="n">
        <x:v>46235</x:v>
      </x:c>
      <x:c r="D2225" t="str">
        <x:v>Entidad financiera A</x:v>
      </x:c>
      <x:c r="E2225" t="str">
        <x:v>Crédito de consumo</x:v>
      </x:c>
      <x:c r="F2225" t="n">
        <x:v>17150000</x:v>
      </x:c>
      <x:c r="G2225" s="40" t="n">
        <x:v>0.2253</x:v>
      </x:c>
      <x:c r="H2225" s="40" t="n">
        <x:v>0.017076</x:v>
      </x:c>
      <x:c r="I2225" t="n">
        <x:v>12</x:v>
      </x:c>
      <x:c r="J2225" t="n">
        <x:v>1592700</x:v>
      </x:c>
      <x:c r="K2225" t="str">
        <x:v>Avalancha</x:v>
      </x:c>
      <x:c r="L2225" t="str">
        <x:v>Vigente</x:v>
      </x:c>
      <x:c r="M2225" t="n">
        <x:v>14289220.74</x:v>
      </x:c>
      <x:c r="N2225"/>
    </x:row>
    <x:row r="2226">
      <x:c r="A2226" t="str">
        <x:v>DEU-002225</x:v>
      </x:c>
      <x:c r="B2226" t="str">
        <x:v>USR-01140</x:v>
      </x:c>
      <x:c r="C2226" t="n">
        <x:v>46235</x:v>
      </x:c>
      <x:c r="D2226" t="str">
        <x:v>Cooperativa C</x:v>
      </x:c>
      <x:c r="E2226" t="str">
        <x:v>Tarjeta de crédito</x:v>
      </x:c>
      <x:c r="F2226" t="n">
        <x:v>1280000</x:v>
      </x:c>
      <x:c r="G2226" s="40" t="n">
        <x:v>0.3143</x:v>
      </x:c>
      <x:c r="H2226" s="40" t="n">
        <x:v>0.023037</x:v>
      </x:c>
      <x:c r="I2226" t="n">
        <x:v>60</x:v>
      </x:c>
      <x:c r="J2226" t="n">
        <x:v>39600</x:v>
      </x:c>
      <x:c r="K2226" t="str">
        <x:v>Avalancha</x:v>
      </x:c>
      <x:c r="L2226" t="str">
        <x:v>Vigente</x:v>
      </x:c>
      <x:c r="M2226" t="n">
        <x:v>1339653.2</x:v>
      </x:c>
      <x:c r="N2226"/>
    </x:row>
    <x:row r="2227">
      <x:c r="A2227" t="str">
        <x:v>DEU-002226</x:v>
      </x:c>
      <x:c r="B2227" t="str">
        <x:v>USR-01141</x:v>
      </x:c>
      <x:c r="C2227" t="n">
        <x:v>46235</x:v>
      </x:c>
      <x:c r="D2227" t="str">
        <x:v>Entidad financiera B</x:v>
      </x:c>
      <x:c r="E2227" t="str">
        <x:v>Crédito de libre inversión</x:v>
      </x:c>
      <x:c r="F2227" t="n">
        <x:v>14380000</x:v>
      </x:c>
      <x:c r="G2227" s="40" t="n">
        <x:v>0.1438</x:v>
      </x:c>
      <x:c r="H2227" s="40" t="n">
        <x:v>0.011259</x:v>
      </x:c>
      <x:c r="I2227" t="n">
        <x:v>18</x:v>
      </x:c>
      <x:c r="J2227" t="n">
        <x:v>887000</x:v>
      </x:c>
      <x:c r="K2227" t="str">
        <x:v>Bola de nieve</x:v>
      </x:c>
      <x:c r="L2227" t="str">
        <x:v>Vigente</x:v>
      </x:c>
      <x:c r="M2227" t="n">
        <x:v>12473158.59</x:v>
      </x:c>
      <x:c r="N2227"/>
    </x:row>
    <x:row r="2228">
      <x:c r="A2228" t="str">
        <x:v>DEU-002227</x:v>
      </x:c>
      <x:c r="B2228" t="str">
        <x:v>USR-01141</x:v>
      </x:c>
      <x:c r="C2228" t="n">
        <x:v>46235</x:v>
      </x:c>
      <x:c r="D2228" t="str">
        <x:v>Cooperativa C</x:v>
      </x:c>
      <x:c r="E2228" t="str">
        <x:v>Tarjeta de crédito</x:v>
      </x:c>
      <x:c r="F2228" t="n">
        <x:v>4570000</x:v>
      </x:c>
      <x:c r="G2228" s="40" t="n">
        <x:v>0.2369</x:v>
      </x:c>
      <x:c r="H2228" s="40" t="n">
        <x:v>0.017875</x:v>
      </x:c>
      <x:c r="I2228" t="n">
        <x:v>12</x:v>
      </x:c>
      <x:c r="J2228" t="n">
        <x:v>426500</x:v>
      </x:c>
      <x:c r="K2228" t="str">
        <x:v>Avalancha</x:v>
      </x:c>
      <x:c r="L2228" t="str">
        <x:v>Vigente</x:v>
      </x:c>
      <x:c r="M2228" t="n">
        <x:v>3874216.11</x:v>
      </x:c>
      <x:c r="N2228"/>
    </x:row>
    <x:row r="2229">
      <x:c r="A2229" t="str">
        <x:v>DEU-002228</x:v>
      </x:c>
      <x:c r="B2229" t="str">
        <x:v>USR-01142</x:v>
      </x:c>
      <x:c r="C2229" t="n">
        <x:v>46235</x:v>
      </x:c>
      <x:c r="D2229" t="str">
        <x:v>Entidad financiera E</x:v>
      </x:c>
      <x:c r="E2229" t="str">
        <x:v>Crédito de vehículo</x:v>
      </x:c>
      <x:c r="F2229" t="n">
        <x:v>37630000</x:v>
      </x:c>
      <x:c r="G2229" s="40" t="n">
        <x:v>0.2294</x:v>
      </x:c>
      <x:c r="H2229" s="40" t="n">
        <x:v>0.017359</x:v>
      </x:c>
      <x:c r="I2229" t="n">
        <x:v>12</x:v>
      </x:c>
      <x:c r="J2229" t="n">
        <x:v>3500800</x:v>
      </x:c>
      <x:c r="K2229" t="str">
        <x:v>Avalancha</x:v>
      </x:c>
      <x:c r="L2229" t="str">
        <x:v>Vigente</x:v>
      </x:c>
      <x:c r="M2229" t="n">
        <x:v>35386241.88</x:v>
      </x:c>
      <x:c r="N2229"/>
    </x:row>
    <x:row r="2230">
      <x:c r="A2230" t="str">
        <x:v>DEU-002229</x:v>
      </x:c>
      <x:c r="B2230" t="str">
        <x:v>USR-01142</x:v>
      </x:c>
      <x:c r="C2230" t="n">
        <x:v>46235</x:v>
      </x:c>
      <x:c r="D2230" t="str">
        <x:v>Entidad financiera E</x:v>
      </x:c>
      <x:c r="E2230" t="str">
        <x:v>Tarjeta de crédito</x:v>
      </x:c>
      <x:c r="F2230" t="n">
        <x:v>5380000</x:v>
      </x:c>
      <x:c r="G2230" s="40" t="n">
        <x:v>0.2196</x:v>
      </x:c>
      <x:c r="H2230" s="40" t="n">
        <x:v>0.016681</x:v>
      </x:c>
      <x:c r="I2230" t="n">
        <x:v>60</x:v>
      </x:c>
      <x:c r="J2230" t="n">
        <x:v>142600</x:v>
      </x:c>
      <x:c r="K2230" t="str">
        <x:v>Avalancha</x:v>
      </x:c>
      <x:c r="L2230" t="str">
        <x:v>Vigente</x:v>
      </x:c>
      <x:c r="M2230" t="n">
        <x:v>5302383.23</x:v>
      </x:c>
      <x:c r="N2230"/>
    </x:row>
    <x:row r="2231">
      <x:c r="A2231" t="str">
        <x:v>DEU-002230</x:v>
      </x:c>
      <x:c r="B2231" t="str">
        <x:v>USR-01143</x:v>
      </x:c>
      <x:c r="C2231" t="n">
        <x:v>46235</x:v>
      </x:c>
      <x:c r="D2231" t="str">
        <x:v>Entidad financiera B</x:v>
      </x:c>
      <x:c r="E2231" t="str">
        <x:v>Crédito de consumo</x:v>
      </x:c>
      <x:c r="F2231" t="n">
        <x:v>11130000</x:v>
      </x:c>
      <x:c r="G2231" s="40" t="n">
        <x:v>0.2417</x:v>
      </x:c>
      <x:c r="H2231" s="40" t="n">
        <x:v>0.018204</x:v>
      </x:c>
      <x:c r="I2231" t="n">
        <x:v>30</x:v>
      </x:c>
      <x:c r="J2231" t="n">
        <x:v>484800</x:v>
      </x:c>
      <x:c r="K2231" t="str">
        <x:v>Avalancha</x:v>
      </x:c>
      <x:c r="L2231" t="str">
        <x:v>Vigente</x:v>
      </x:c>
      <x:c r="M2231" t="n">
        <x:v>10560480.14</x:v>
      </x:c>
      <x:c r="N2231"/>
    </x:row>
    <x:row r="2232">
      <x:c r="A2232" t="str">
        <x:v>DEU-002231</x:v>
      </x:c>
      <x:c r="B2232" t="str">
        <x:v>USR-01143</x:v>
      </x:c>
      <x:c r="C2232" t="n">
        <x:v>46235</x:v>
      </x:c>
      <x:c r="D2232" t="str">
        <x:v>Financiera D</x:v>
      </x:c>
      <x:c r="E2232" t="str">
        <x:v>Crédito de consumo</x:v>
      </x:c>
      <x:c r="F2232" t="n">
        <x:v>3830000</x:v>
      </x:c>
      <x:c r="G2232" s="40" t="n">
        <x:v>0.1078</x:v>
      </x:c>
      <x:c r="H2232" s="40" t="n">
        <x:v>0.008568</x:v>
      </x:c>
      <x:c r="I2232" t="n">
        <x:v>24</x:v>
      </x:c>
      <x:c r="J2232" t="n">
        <x:v>177200</x:v>
      </x:c>
      <x:c r="K2232" t="str">
        <x:v>Avalancha</x:v>
      </x:c>
      <x:c r="L2232" t="str">
        <x:v>Vigente</x:v>
      </x:c>
      <x:c r="M2232" t="n">
        <x:v>3718710.77</x:v>
      </x:c>
      <x:c r="N2232"/>
    </x:row>
    <x:row r="2233">
      <x:c r="A2233" t="str">
        <x:v>DEU-002232</x:v>
      </x:c>
      <x:c r="B2233" t="str">
        <x:v>USR-01144</x:v>
      </x:c>
      <x:c r="C2233" t="n">
        <x:v>46235</x:v>
      </x:c>
      <x:c r="D2233" t="str">
        <x:v>Entidad financiera E</x:v>
      </x:c>
      <x:c r="E2233" t="str">
        <x:v>Crédito de consumo</x:v>
      </x:c>
      <x:c r="F2233" t="n">
        <x:v>9750000</x:v>
      </x:c>
      <x:c r="G2233" s="40" t="n">
        <x:v>0.2802</x:v>
      </x:c>
      <x:c r="H2233" s="40" t="n">
        <x:v>0.020798</x:v>
      </x:c>
      <x:c r="I2233" t="n">
        <x:v>36</x:v>
      </x:c>
      <x:c r="J2233" t="n">
        <x:v>387400</x:v>
      </x:c>
      <x:c r="K2233" t="str">
        <x:v>Avalancha</x:v>
      </x:c>
      <x:c r="L2233" t="str">
        <x:v>Vigente</x:v>
      </x:c>
      <x:c r="M2233" t="n">
        <x:v>9454421.66</x:v>
      </x:c>
      <x:c r="N2233"/>
    </x:row>
    <x:row r="2234">
      <x:c r="A2234" t="str">
        <x:v>DEU-002233</x:v>
      </x:c>
      <x:c r="B2234" t="str">
        <x:v>USR-01144</x:v>
      </x:c>
      <x:c r="C2234" t="n">
        <x:v>46235</x:v>
      </x:c>
      <x:c r="D2234" t="str">
        <x:v>Cooperativa C</x:v>
      </x:c>
      <x:c r="E2234" t="str">
        <x:v>Crédito comercial</x:v>
      </x:c>
      <x:c r="F2234" t="n">
        <x:v>12540000</x:v>
      </x:c>
      <x:c r="G2234" s="40" t="n">
        <x:v>0.2802</x:v>
      </x:c>
      <x:c r="H2234" s="40" t="n">
        <x:v>0.020798</x:v>
      </x:c>
      <x:c r="I2234" t="n">
        <x:v>24</x:v>
      </x:c>
      <x:c r="J2234" t="n">
        <x:v>669000</x:v>
      </x:c>
      <x:c r="K2234" t="str">
        <x:v>Avalancha</x:v>
      </x:c>
      <x:c r="L2234" t="str">
        <x:v>Vigente</x:v>
      </x:c>
      <x:c r="M2234" t="n">
        <x:v>11612738.67</x:v>
      </x:c>
      <x:c r="N2234"/>
    </x:row>
    <x:row r="2235">
      <x:c r="A2235" t="str">
        <x:v>DEU-002234</x:v>
      </x:c>
      <x:c r="B2235" t="str">
        <x:v>USR-01144</x:v>
      </x:c>
      <x:c r="C2235" t="n">
        <x:v>46235</x:v>
      </x:c>
      <x:c r="D2235" t="str">
        <x:v>Cooperativa C</x:v>
      </x:c>
      <x:c r="E2235" t="str">
        <x:v>Crédito de vehículo</x:v>
      </x:c>
      <x:c r="F2235" t="n">
        <x:v>33710000</x:v>
      </x:c>
      <x:c r="G2235" s="40" t="n">
        <x:v>0.2181</x:v>
      </x:c>
      <x:c r="H2235" s="40" t="n">
        <x:v>0.016577</x:v>
      </x:c>
      <x:c r="I2235" t="n">
        <x:v>48</x:v>
      </x:c>
      <x:c r="J2235" t="n">
        <x:v>1023900</x:v>
      </x:c>
      <x:c r="K2235" t="str">
        <x:v>Avalancha</x:v>
      </x:c>
      <x:c r="L2235" t="str">
        <x:v>Vigente</x:v>
      </x:c>
      <x:c r="M2235" t="n">
        <x:v>32826701.08</x:v>
      </x:c>
      <x:c r="N2235"/>
    </x:row>
    <x:row r="2236">
      <x:c r="A2236" t="str">
        <x:v>DEU-002235</x:v>
      </x:c>
      <x:c r="B2236" t="str">
        <x:v>USR-01145</x:v>
      </x:c>
      <x:c r="C2236" t="n">
        <x:v>46235</x:v>
      </x:c>
      <x:c r="D2236" t="str">
        <x:v>Financiera D</x:v>
      </x:c>
      <x:c r="E2236" t="str">
        <x:v>Crédito educativo</x:v>
      </x:c>
      <x:c r="F2236" t="n">
        <x:v>7600000</x:v>
      </x:c>
      <x:c r="G2236" s="40" t="n">
        <x:v>0.3229</x:v>
      </x:c>
      <x:c r="H2236" s="40" t="n">
        <x:v>0.023593</x:v>
      </x:c>
      <x:c r="I2236" t="n">
        <x:v>12</x:v>
      </x:c>
      <x:c r="J2236" t="n">
        <x:v>734600</x:v>
      </x:c>
      <x:c r="K2236" t="str">
        <x:v>Avalancha</x:v>
      </x:c>
      <x:c r="L2236" t="str">
        <x:v>Vigente</x:v>
      </x:c>
      <x:c r="M2236" t="n">
        <x:v>6100344.96</x:v>
      </x:c>
      <x:c r="N2236"/>
    </x:row>
    <x:row r="2237">
      <x:c r="A2237" t="str">
        <x:v>DEU-002236</x:v>
      </x:c>
      <x:c r="B2237" t="str">
        <x:v>USR-01145</x:v>
      </x:c>
      <x:c r="C2237" t="n">
        <x:v>46235</x:v>
      </x:c>
      <x:c r="D2237" t="str">
        <x:v>Entidad financiera B</x:v>
      </x:c>
      <x:c r="E2237" t="str">
        <x:v>Tarjeta de crédito</x:v>
      </x:c>
      <x:c r="F2237" t="n">
        <x:v>5210000</x:v>
      </x:c>
      <x:c r="G2237" s="40" t="n">
        <x:v>0.2977</x:v>
      </x:c>
      <x:c r="H2237" s="40" t="n">
        <x:v>0.021954</x:v>
      </x:c>
      <x:c r="I2237" t="n">
        <x:v>48</x:v>
      </x:c>
      <x:c r="J2237" t="n">
        <x:v>176700</x:v>
      </x:c>
      <x:c r="K2237" t="str">
        <x:v>Bola de nieve</x:v>
      </x:c>
      <x:c r="L2237" t="str">
        <x:v>Vigente</x:v>
      </x:c>
      <x:c r="M2237" t="n">
        <x:v>5092206.9</x:v>
      </x:c>
      <x:c r="N2237"/>
    </x:row>
    <x:row r="2238">
      <x:c r="A2238" t="str">
        <x:v>DEU-002237</x:v>
      </x:c>
      <x:c r="B2238" t="str">
        <x:v>USR-01146</x:v>
      </x:c>
      <x:c r="C2238" t="n">
        <x:v>46235</x:v>
      </x:c>
      <x:c r="D2238" t="str">
        <x:v>Cooperativa C</x:v>
      </x:c>
      <x:c r="E2238" t="str">
        <x:v>Crédito de libre inversión</x:v>
      </x:c>
      <x:c r="F2238" t="n">
        <x:v>2870000</x:v>
      </x:c>
      <x:c r="G2238" s="40" t="n">
        <x:v>0.3379</x:v>
      </x:c>
      <x:c r="H2238" s="40" t="n">
        <x:v>0.024555</x:v>
      </x:c>
      <x:c r="I2238" t="n">
        <x:v>60</x:v>
      </x:c>
      <x:c r="J2238" t="n">
        <x:v>91900</x:v>
      </x:c>
      <x:c r="K2238" t="str">
        <x:v>Bola de nieve</x:v>
      </x:c>
      <x:c r="L2238" t="str">
        <x:v>Vigente</x:v>
      </x:c>
      <x:c r="M2238" t="n">
        <x:v>2920776.55</x:v>
      </x:c>
      <x:c r="N2238"/>
    </x:row>
    <x:row r="2239">
      <x:c r="A2239" t="str">
        <x:v>DEU-002238</x:v>
      </x:c>
      <x:c r="B2239" t="str">
        <x:v>USR-01147</x:v>
      </x:c>
      <x:c r="C2239" t="n">
        <x:v>46235</x:v>
      </x:c>
      <x:c r="D2239" t="str">
        <x:v>Cooperativa C</x:v>
      </x:c>
      <x:c r="E2239" t="str">
        <x:v>Crédito de consumo</x:v>
      </x:c>
      <x:c r="F2239" t="n">
        <x:v>7120000</x:v>
      </x:c>
      <x:c r="G2239" s="40" t="n">
        <x:v>0.185</x:v>
      </x:c>
      <x:c r="H2239" s="40" t="n">
        <x:v>0.014246</x:v>
      </x:c>
      <x:c r="I2239" t="n">
        <x:v>36</x:v>
      </x:c>
      <x:c r="J2239" t="n">
        <x:v>254200</x:v>
      </x:c>
      <x:c r="K2239" t="str">
        <x:v>Bola de nieve</x:v>
      </x:c>
      <x:c r="L2239" t="str">
        <x:v>Vigente</x:v>
      </x:c>
      <x:c r="M2239" t="n">
        <x:v>7324304.4</x:v>
      </x:c>
      <x:c r="N2239"/>
    </x:row>
    <x:row r="2240">
      <x:c r="A2240" t="str">
        <x:v>DEU-002239</x:v>
      </x:c>
      <x:c r="B2240" t="str">
        <x:v>USR-01148</x:v>
      </x:c>
      <x:c r="C2240" t="n">
        <x:v>46235</x:v>
      </x:c>
      <x:c r="D2240" t="str">
        <x:v>Entidad financiera E</x:v>
      </x:c>
      <x:c r="E2240" t="str">
        <x:v>Tarjeta de crédito</x:v>
      </x:c>
      <x:c r="F2240" t="n">
        <x:v>2860000</x:v>
      </x:c>
      <x:c r="G2240" s="40" t="n">
        <x:v>0.1094</x:v>
      </x:c>
      <x:c r="H2240" s="40" t="n">
        <x:v>0.008689</x:v>
      </x:c>
      <x:c r="I2240" t="n">
        <x:v>12</x:v>
      </x:c>
      <x:c r="J2240" t="n">
        <x:v>252000</x:v>
      </x:c>
      <x:c r="K2240" t="str">
        <x:v>Bola de nieve</x:v>
      </x:c>
      <x:c r="L2240" t="str">
        <x:v>Vigente</x:v>
      </x:c>
      <x:c r="M2240" t="n">
        <x:v>2478999.72</x:v>
      </x:c>
      <x:c r="N2240"/>
    </x:row>
    <x:row r="2241">
      <x:c r="A2241" t="str">
        <x:v>DEU-002240</x:v>
      </x:c>
      <x:c r="B2241" t="str">
        <x:v>USR-01148</x:v>
      </x:c>
      <x:c r="C2241" t="n">
        <x:v>46235</x:v>
      </x:c>
      <x:c r="D2241" t="str">
        <x:v>Entidad financiera E</x:v>
      </x:c>
      <x:c r="E2241" t="str">
        <x:v>Crédito de libre inversión</x:v>
      </x:c>
      <x:c r="F2241" t="n">
        <x:v>22660000</x:v>
      </x:c>
      <x:c r="G2241" s="40" t="n">
        <x:v>0.241</x:v>
      </x:c>
      <x:c r="H2241" s="40" t="n">
        <x:v>0.018156</x:v>
      </x:c>
      <x:c r="I2241" t="n">
        <x:v>30</x:v>
      </x:c>
      <x:c r="J2241" t="n">
        <x:v>986300</x:v>
      </x:c>
      <x:c r="K2241" t="str">
        <x:v>Bola de nieve</x:v>
      </x:c>
      <x:c r="L2241" t="str">
        <x:v>Vigente</x:v>
      </x:c>
      <x:c r="M2241" t="n">
        <x:v>21700673.45</x:v>
      </x:c>
      <x:c r="N2241"/>
    </x:row>
    <x:row r="2242">
      <x:c r="A2242" t="str">
        <x:v>DEU-002241</x:v>
      </x:c>
      <x:c r="B2242" t="str">
        <x:v>USR-01149</x:v>
      </x:c>
      <x:c r="C2242" t="n">
        <x:v>46235</x:v>
      </x:c>
      <x:c r="D2242" t="str">
        <x:v>Cooperativa C</x:v>
      </x:c>
      <x:c r="E2242" t="str">
        <x:v>Tarjeta de crédito</x:v>
      </x:c>
      <x:c r="F2242" t="n">
        <x:v>4480000</x:v>
      </x:c>
      <x:c r="G2242" s="40" t="n">
        <x:v>0.2425</x:v>
      </x:c>
      <x:c r="H2242" s="40" t="n">
        <x:v>0.018258</x:v>
      </x:c>
      <x:c r="I2242" t="n">
        <x:v>60</x:v>
      </x:c>
      <x:c r="J2242" t="n">
        <x:v>123500</x:v>
      </x:c>
      <x:c r="K2242" t="str">
        <x:v>Avalancha</x:v>
      </x:c>
      <x:c r="L2242" t="str">
        <x:v>Vigente</x:v>
      </x:c>
      <x:c r="M2242" t="n">
        <x:v>4358496.73</x:v>
      </x:c>
      <x:c r="N2242"/>
    </x:row>
    <x:row r="2243">
      <x:c r="A2243" t="str">
        <x:v>DEU-002242</x:v>
      </x:c>
      <x:c r="B2243" t="str">
        <x:v>USR-01149</x:v>
      </x:c>
      <x:c r="C2243" t="n">
        <x:v>46235</x:v>
      </x:c>
      <x:c r="D2243" t="str">
        <x:v>Entidad financiera A</x:v>
      </x:c>
      <x:c r="E2243" t="str">
        <x:v>Crédito de libre inversión</x:v>
      </x:c>
      <x:c r="F2243" t="n">
        <x:v>23870000</x:v>
      </x:c>
      <x:c r="G2243" s="40" t="n">
        <x:v>0.1306</x:v>
      </x:c>
      <x:c r="H2243" s="40" t="n">
        <x:v>0.010282</x:v>
      </x:c>
      <x:c r="I2243" t="n">
        <x:v>18</x:v>
      </x:c>
      <x:c r="J2243" t="n">
        <x:v>1459400</x:v>
      </x:c>
      <x:c r="K2243" t="str">
        <x:v>Bola de nieve</x:v>
      </x:c>
      <x:c r="L2243" t="str">
        <x:v>Vigente</x:v>
      </x:c>
      <x:c r="M2243" t="n">
        <x:v>21500308.24</x:v>
      </x:c>
      <x:c r="N2243"/>
    </x:row>
    <x:row r="2244">
      <x:c r="A2244" t="str">
        <x:v>DEU-002243</x:v>
      </x:c>
      <x:c r="B2244" t="str">
        <x:v>USR-01150</x:v>
      </x:c>
      <x:c r="C2244" t="n">
        <x:v>46235</x:v>
      </x:c>
      <x:c r="D2244" t="str">
        <x:v>Entidad financiera B</x:v>
      </x:c>
      <x:c r="E2244" t="str">
        <x:v>Crédito de consumo</x:v>
      </x:c>
      <x:c r="F2244" t="n">
        <x:v>16620000</x:v>
      </x:c>
      <x:c r="G2244" s="40" t="n">
        <x:v>0.1508</x:v>
      </x:c>
      <x:c r="H2244" s="40" t="n">
        <x:v>0.011774</x:v>
      </x:c>
      <x:c r="I2244" t="n">
        <x:v>60</x:v>
      </x:c>
      <x:c r="J2244" t="n">
        <x:v>387800</x:v>
      </x:c>
      <x:c r="K2244" t="str">
        <x:v>Bola de nieve</x:v>
      </x:c>
      <x:c r="L2244" t="str">
        <x:v>Vigente</x:v>
      </x:c>
      <x:c r="M2244" t="n">
        <x:v>16621290.77</x:v>
      </x:c>
      <x:c r="N2244"/>
    </x:row>
    <x:row r="2245">
      <x:c r="A2245" t="str">
        <x:v>DEU-002244</x:v>
      </x:c>
      <x:c r="B2245" t="str">
        <x:v>USR-01150</x:v>
      </x:c>
      <x:c r="C2245" t="n">
        <x:v>46235</x:v>
      </x:c>
      <x:c r="D2245" t="str">
        <x:v>Financiera D</x:v>
      </x:c>
      <x:c r="E2245" t="str">
        <x:v>Crédito de libre inversión</x:v>
      </x:c>
      <x:c r="F2245" t="n">
        <x:v>6730000</x:v>
      </x:c>
      <x:c r="G2245" s="40" t="n">
        <x:v>0.3166</x:v>
      </x:c>
      <x:c r="H2245" s="40" t="n">
        <x:v>0.023186</x:v>
      </x:c>
      <x:c r="I2245" t="n">
        <x:v>18</x:v>
      </x:c>
      <x:c r="J2245" t="n">
        <x:v>461600</x:v>
      </x:c>
      <x:c r="K2245" t="str">
        <x:v>Bola de nieve</x:v>
      </x:c>
      <x:c r="L2245" t="str">
        <x:v>Vigente</x:v>
      </x:c>
      <x:c r="M2245" t="n">
        <x:v>6667835.75</x:v>
      </x:c>
      <x:c r="N2245"/>
    </x:row>
    <x:row r="2246">
      <x:c r="A2246" t="str">
        <x:v>DEU-002245</x:v>
      </x:c>
      <x:c r="B2246" t="str">
        <x:v>USR-01151</x:v>
      </x:c>
      <x:c r="C2246" t="n">
        <x:v>46235</x:v>
      </x:c>
      <x:c r="D2246" t="str">
        <x:v>Cooperativa C</x:v>
      </x:c>
      <x:c r="E2246" t="str">
        <x:v>Tarjeta de crédito</x:v>
      </x:c>
      <x:c r="F2246" t="n">
        <x:v>6250000</x:v>
      </x:c>
      <x:c r="G2246" s="40" t="n">
        <x:v>0.2827</x:v>
      </x:c>
      <x:c r="H2246" s="40" t="n">
        <x:v>0.020964</x:v>
      </x:c>
      <x:c r="I2246" t="n">
        <x:v>24</x:v>
      </x:c>
      <x:c r="J2246" t="n">
        <x:v>334100</x:v>
      </x:c>
      <x:c r="K2246" t="str">
        <x:v>Avalancha</x:v>
      </x:c>
      <x:c r="L2246" t="str">
        <x:v>Vigente</x:v>
      </x:c>
      <x:c r="M2246" t="n">
        <x:v>6173692.61</x:v>
      </x:c>
      <x:c r="N2246"/>
    </x:row>
    <x:row r="2247">
      <x:c r="A2247" t="str">
        <x:v>DEU-002246</x:v>
      </x:c>
      <x:c r="B2247" t="str">
        <x:v>USR-00177</x:v>
      </x:c>
      <x:c r="C2247" t="n">
        <x:v>46266</x:v>
      </x:c>
      <x:c r="D2247" t="str">
        <x:v>Entidad financiera E</x:v>
      </x:c>
      <x:c r="E2247" t="str">
        <x:v>Tarjeta de crédito</x:v>
      </x:c>
      <x:c r="F2247" t="n">
        <x:v>2240000</x:v>
      </x:c>
      <x:c r="G2247" s="40" t="n">
        <x:v>0.3391</x:v>
      </x:c>
      <x:c r="H2247" s="40" t="n">
        <x:v>0.024632</x:v>
      </x:c>
      <x:c r="I2247" t="n">
        <x:v>12</x:v>
      </x:c>
      <x:c r="J2247" t="n">
        <x:v>217900</x:v>
      </x:c>
      <x:c r="K2247" t="str">
        <x:v>Bola de nieve</x:v>
      </x:c>
      <x:c r="L2247" t="str">
        <x:v>Vigente</x:v>
      </x:c>
      <x:c r="M2247" t="n">
        <x:v>2077274.81</x:v>
      </x:c>
      <x:c r="N2247"/>
    </x:row>
    <x:row r="2248">
      <x:c r="A2248" t="str">
        <x:v>DEU-002247</x:v>
      </x:c>
      <x:c r="B2248" t="str">
        <x:v>USR-00230</x:v>
      </x:c>
      <x:c r="C2248" t="n">
        <x:v>46266</x:v>
      </x:c>
      <x:c r="D2248" t="str">
        <x:v>Entidad financiera E</x:v>
      </x:c>
      <x:c r="E2248" t="str">
        <x:v>Crédito de consumo</x:v>
      </x:c>
      <x:c r="F2248" t="n">
        <x:v>16140000</x:v>
      </x:c>
      <x:c r="G2248" s="40" t="n">
        <x:v>0.2571</x:v>
      </x:c>
      <x:c r="H2248" s="40" t="n">
        <x:v>0.01925</x:v>
      </x:c>
      <x:c r="I2248" t="n">
        <x:v>48</x:v>
      </x:c>
      <x:c r="J2248" t="n">
        <x:v>518200</x:v>
      </x:c>
      <x:c r="K2248" t="str">
        <x:v>Avalancha</x:v>
      </x:c>
      <x:c r="L2248" t="str">
        <x:v>Vigente</x:v>
      </x:c>
      <x:c r="M2248" t="n">
        <x:v>15673398.74</x:v>
      </x:c>
      <x:c r="N2248"/>
    </x:row>
    <x:row r="2249">
      <x:c r="A2249" t="str">
        <x:v>DEU-002248</x:v>
      </x:c>
      <x:c r="B2249" t="str">
        <x:v>USR-00256</x:v>
      </x:c>
      <x:c r="C2249" t="n">
        <x:v>46266</x:v>
      </x:c>
      <x:c r="D2249" t="str">
        <x:v>Entidad financiera A</x:v>
      </x:c>
      <x:c r="E2249" t="str">
        <x:v>Crédito educativo</x:v>
      </x:c>
      <x:c r="F2249" t="n">
        <x:v>14860000</x:v>
      </x:c>
      <x:c r="G2249" s="40" t="n">
        <x:v>0.2378</x:v>
      </x:c>
      <x:c r="H2249" s="40" t="n">
        <x:v>0.017937</x:v>
      </x:c>
      <x:c r="I2249" t="n">
        <x:v>30</x:v>
      </x:c>
      <x:c r="J2249" t="n">
        <x:v>644800</x:v>
      </x:c>
      <x:c r="K2249" t="str">
        <x:v>Bola de nieve</x:v>
      </x:c>
      <x:c r="L2249" t="str">
        <x:v>Vigente</x:v>
      </x:c>
      <x:c r="M2249" t="n">
        <x:v>15126542.87</x:v>
      </x:c>
      <x:c r="N2249"/>
    </x:row>
    <x:row r="2250">
      <x:c r="A2250" t="str">
        <x:v>DEU-002249</x:v>
      </x:c>
      <x:c r="B2250" t="str">
        <x:v>USR-00362</x:v>
      </x:c>
      <x:c r="C2250" t="n">
        <x:v>46266</x:v>
      </x:c>
      <x:c r="D2250" t="str">
        <x:v>Entidad financiera E</x:v>
      </x:c>
      <x:c r="E2250" t="str">
        <x:v>Crédito de consumo</x:v>
      </x:c>
      <x:c r="F2250" t="n">
        <x:v>11640000</x:v>
      </x:c>
      <x:c r="G2250" s="40" t="n">
        <x:v>0.3013</x:v>
      </x:c>
      <x:c r="H2250" s="40" t="n">
        <x:v>0.02219</x:v>
      </x:c>
      <x:c r="I2250" t="n">
        <x:v>12</x:v>
      </x:c>
      <x:c r="J2250" t="n">
        <x:v>1115500</x:v>
      </x:c>
      <x:c r="K2250" t="str">
        <x:v>Bola de nieve</x:v>
      </x:c>
      <x:c r="L2250" t="str">
        <x:v>Vigente</x:v>
      </x:c>
      <x:c r="M2250" t="n">
        <x:v>11898286.79</x:v>
      </x:c>
      <x:c r="N2250"/>
    </x:row>
    <x:row r="2251">
      <x:c r="A2251" t="str">
        <x:v>DEU-002250</x:v>
      </x:c>
      <x:c r="B2251" t="str">
        <x:v>USR-00558</x:v>
      </x:c>
      <x:c r="C2251" t="n">
        <x:v>46266</x:v>
      </x:c>
      <x:c r="D2251" t="str">
        <x:v>Entidad financiera B</x:v>
      </x:c>
      <x:c r="E2251" t="str">
        <x:v>Tarjeta de crédito</x:v>
      </x:c>
      <x:c r="F2251" t="n">
        <x:v>1890000</x:v>
      </x:c>
      <x:c r="G2251" s="40" t="n">
        <x:v>0.2249</x:v>
      </x:c>
      <x:c r="H2251" s="40" t="n">
        <x:v>0.017049</x:v>
      </x:c>
      <x:c r="I2251" t="n">
        <x:v>30</x:v>
      </x:c>
      <x:c r="J2251" t="n">
        <x:v>81000</x:v>
      </x:c>
      <x:c r="K2251" t="str">
        <x:v>Bola de nieve</x:v>
      </x:c>
      <x:c r="L2251" t="str">
        <x:v>Vigente</x:v>
      </x:c>
      <x:c r="M2251" t="n">
        <x:v>1841221.91</x:v>
      </x:c>
      <x:c r="N2251"/>
    </x:row>
    <x:row r="2252">
      <x:c r="A2252" t="str">
        <x:v>DEU-002251</x:v>
      </x:c>
      <x:c r="B2252" t="str">
        <x:v>USR-00572</x:v>
      </x:c>
      <x:c r="C2252" t="n">
        <x:v>46266</x:v>
      </x:c>
      <x:c r="D2252" t="str">
        <x:v>Cooperativa C</x:v>
      </x:c>
      <x:c r="E2252" t="str">
        <x:v>Crédito educativo</x:v>
      </x:c>
      <x:c r="F2252" t="n">
        <x:v>25730000</x:v>
      </x:c>
      <x:c r="G2252" s="40" t="n">
        <x:v>0.3118</x:v>
      </x:c>
      <x:c r="H2252" s="40" t="n">
        <x:v>0.022874</x:v>
      </x:c>
      <x:c r="I2252" t="n">
        <x:v>12</x:v>
      </x:c>
      <x:c r="J2252" t="n">
        <x:v>2476200</x:v>
      </x:c>
      <x:c r="K2252" t="str">
        <x:v>Bola de nieve</x:v>
      </x:c>
      <x:c r="L2252" t="str">
        <x:v>Vigente</x:v>
      </x:c>
      <x:c r="M2252" t="n">
        <x:v>23470957.87</x:v>
      </x:c>
      <x:c r="N2252"/>
    </x:row>
    <x:row r="2253">
      <x:c r="A2253" t="str">
        <x:v>DEU-002252</x:v>
      </x:c>
      <x:c r="B2253" t="str">
        <x:v>USR-00630</x:v>
      </x:c>
      <x:c r="C2253" t="n">
        <x:v>46266</x:v>
      </x:c>
      <x:c r="D2253" t="str">
        <x:v>Entidad financiera B</x:v>
      </x:c>
      <x:c r="E2253" t="str">
        <x:v>Crédito de consumo</x:v>
      </x:c>
      <x:c r="F2253" t="n">
        <x:v>16000000</x:v>
      </x:c>
      <x:c r="G2253" s="40" t="n">
        <x:v>0.1766</x:v>
      </x:c>
      <x:c r="H2253" s="40" t="n">
        <x:v>0.013645</x:v>
      </x:c>
      <x:c r="I2253" t="n">
        <x:v>18</x:v>
      </x:c>
      <x:c r="J2253" t="n">
        <x:v>1008500</x:v>
      </x:c>
      <x:c r="K2253" t="str">
        <x:v>Avalancha</x:v>
      </x:c>
      <x:c r="L2253" t="str">
        <x:v>Vigente</x:v>
      </x:c>
      <x:c r="M2253" t="n">
        <x:v>15209814.57</x:v>
      </x:c>
      <x:c r="N2253"/>
    </x:row>
    <x:row r="2254">
      <x:c r="A2254" t="str">
        <x:v>DEU-002253</x:v>
      </x:c>
      <x:c r="B2254" t="str">
        <x:v>USR-00841</x:v>
      </x:c>
      <x:c r="C2254" t="n">
        <x:v>46266</x:v>
      </x:c>
      <x:c r="D2254" t="str">
        <x:v>Cooperativa C</x:v>
      </x:c>
      <x:c r="E2254" t="str">
        <x:v>Crédito de consumo</x:v>
      </x:c>
      <x:c r="F2254" t="n">
        <x:v>13060000</x:v>
      </x:c>
      <x:c r="G2254" s="40" t="n">
        <x:v>0.3254</x:v>
      </x:c>
      <x:c r="H2254" s="40" t="n">
        <x:v>0.023754</x:v>
      </x:c>
      <x:c r="I2254" t="n">
        <x:v>36</x:v>
      </x:c>
      <x:c r="J2254" t="n">
        <x:v>543800</x:v>
      </x:c>
      <x:c r="K2254" t="str">
        <x:v>Bola de nieve</x:v>
      </x:c>
      <x:c r="L2254" t="str">
        <x:v>Vigente</x:v>
      </x:c>
      <x:c r="M2254" t="n">
        <x:v>12554526.28</x:v>
      </x:c>
      <x:c r="N2254"/>
    </x:row>
    <x:row r="2255">
      <x:c r="A2255" t="str">
        <x:v>DEU-002254</x:v>
      </x:c>
      <x:c r="B2255" t="str">
        <x:v>USR-00879</x:v>
      </x:c>
      <x:c r="C2255" t="n">
        <x:v>46266</x:v>
      </x:c>
      <x:c r="D2255" t="str">
        <x:v>Entidad financiera E</x:v>
      </x:c>
      <x:c r="E2255" t="str">
        <x:v>Tarjeta de crédito</x:v>
      </x:c>
      <x:c r="F2255" t="n">
        <x:v>3140000</x:v>
      </x:c>
      <x:c r="G2255" s="40" t="n">
        <x:v>0.1309</x:v>
      </x:c>
      <x:c r="H2255" s="40" t="n">
        <x:v>0.010304</x:v>
      </x:c>
      <x:c r="I2255" t="n">
        <x:v>24</x:v>
      </x:c>
      <x:c r="J2255" t="n">
        <x:v>148300</x:v>
      </x:c>
      <x:c r="K2255" t="str">
        <x:v>Bola de nieve</x:v>
      </x:c>
      <x:c r="L2255" t="str">
        <x:v>Vigente</x:v>
      </x:c>
      <x:c r="M2255" t="n">
        <x:v>3024054.15</x:v>
      </x:c>
      <x:c r="N2255"/>
    </x:row>
    <x:row r="2256">
      <x:c r="A2256" t="str">
        <x:v>DEU-002255</x:v>
      </x:c>
      <x:c r="B2256" t="str">
        <x:v>USR-00914</x:v>
      </x:c>
      <x:c r="C2256" t="n">
        <x:v>46266</x:v>
      </x:c>
      <x:c r="D2256" t="str">
        <x:v>Entidad financiera E</x:v>
      </x:c>
      <x:c r="E2256" t="str">
        <x:v>Crédito de consumo</x:v>
      </x:c>
      <x:c r="F2256" t="n">
        <x:v>7190000</x:v>
      </x:c>
      <x:c r="G2256" s="40" t="n">
        <x:v>0.2129</x:v>
      </x:c>
      <x:c r="H2256" s="40" t="n">
        <x:v>0.016215</x:v>
      </x:c>
      <x:c r="I2256" t="n">
        <x:v>60</x:v>
      </x:c>
      <x:c r="J2256" t="n">
        <x:v>188300</x:v>
      </x:c>
      <x:c r="K2256" t="str">
        <x:v>Bola de nieve</x:v>
      </x:c>
      <x:c r="L2256" t="str">
        <x:v>Vigente</x:v>
      </x:c>
      <x:c r="M2256" t="n">
        <x:v>7090082.74</x:v>
      </x:c>
      <x:c r="N2256"/>
    </x:row>
    <x:row r="2257">
      <x:c r="A2257" t="str">
        <x:v>DEU-002256</x:v>
      </x:c>
      <x:c r="B2257" t="str">
        <x:v>USR-00924</x:v>
      </x:c>
      <x:c r="C2257" t="n">
        <x:v>46266</x:v>
      </x:c>
      <x:c r="D2257" t="str">
        <x:v>Financiera D</x:v>
      </x:c>
      <x:c r="E2257" t="str">
        <x:v>Crédito de consumo</x:v>
      </x:c>
      <x:c r="F2257" t="n">
        <x:v>14420000</x:v>
      </x:c>
      <x:c r="G2257" s="40" t="n">
        <x:v>0.1078</x:v>
      </x:c>
      <x:c r="H2257" s="40" t="n">
        <x:v>0.008568</x:v>
      </x:c>
      <x:c r="I2257" t="n">
        <x:v>12</x:v>
      </x:c>
      <x:c r="J2257" t="n">
        <x:v>1269600</x:v>
      </x:c>
      <x:c r="K2257" t="str">
        <x:v>Avalancha</x:v>
      </x:c>
      <x:c r="L2257" t="str">
        <x:v>Vigente</x:v>
      </x:c>
      <x:c r="M2257" t="n">
        <x:v>13083548.17</x:v>
      </x:c>
      <x:c r="N2257"/>
    </x:row>
    <x:row r="2258">
      <x:c r="A2258" t="str">
        <x:v>DEU-002257</x:v>
      </x:c>
      <x:c r="B2258" t="str">
        <x:v>USR-01028</x:v>
      </x:c>
      <x:c r="C2258" t="n">
        <x:v>46266</x:v>
      </x:c>
      <x:c r="D2258" t="str">
        <x:v>Entidad financiera A</x:v>
      </x:c>
      <x:c r="E2258" t="str">
        <x:v>Crédito de consumo</x:v>
      </x:c>
      <x:c r="F2258" t="n">
        <x:v>14290000</x:v>
      </x:c>
      <x:c r="G2258" s="40" t="n">
        <x:v>0.3128</x:v>
      </x:c>
      <x:c r="H2258" s="40" t="n">
        <x:v>0.022939</x:v>
      </x:c>
      <x:c r="I2258" t="n">
        <x:v>48</x:v>
      </x:c>
      <x:c r="J2258" t="n">
        <x:v>494200</x:v>
      </x:c>
      <x:c r="K2258" t="str">
        <x:v>Bola de nieve</x:v>
      </x:c>
      <x:c r="L2258" t="str">
        <x:v>Vigente</x:v>
      </x:c>
      <x:c r="M2258" t="n">
        <x:v>13876503.16</x:v>
      </x:c>
      <x:c r="N2258"/>
    </x:row>
    <x:row r="2259">
      <x:c r="A2259" t="str">
        <x:v>DEU-002258</x:v>
      </x:c>
      <x:c r="B2259" t="str">
        <x:v>USR-01137</x:v>
      </x:c>
      <x:c r="C2259" t="n">
        <x:v>46266</x:v>
      </x:c>
      <x:c r="D2259" t="str">
        <x:v>Entidad financiera E</x:v>
      </x:c>
      <x:c r="E2259" t="str">
        <x:v>Crédito educativo</x:v>
      </x:c>
      <x:c r="F2259" t="n">
        <x:v>13700000</x:v>
      </x:c>
      <x:c r="G2259" s="40" t="n">
        <x:v>0.2231</x:v>
      </x:c>
      <x:c r="H2259" s="40" t="n">
        <x:v>0.016924</x:v>
      </x:c>
      <x:c r="I2259" t="n">
        <x:v>30</x:v>
      </x:c>
      <x:c r="J2259" t="n">
        <x:v>586100</x:v>
      </x:c>
      <x:c r="K2259" t="str">
        <x:v>Bola de nieve</x:v>
      </x:c>
      <x:c r="L2259" t="str">
        <x:v>Vigente</x:v>
      </x:c>
      <x:c r="M2259" t="n">
        <x:v>13345758.8</x:v>
      </x:c>
      <x:c r="N2259"/>
    </x:row>
    <x:row r="2260">
      <x:c r="A2260" t="str">
        <x:v>DEU-002259</x:v>
      </x:c>
      <x:c r="B2260" t="str">
        <x:v>USR-01140</x:v>
      </x:c>
      <x:c r="C2260" t="n">
        <x:v>46266</x:v>
      </x:c>
      <x:c r="D2260" t="str">
        <x:v>Entidad financiera E</x:v>
      </x:c>
      <x:c r="E2260" t="str">
        <x:v>Crédito de libre inversión</x:v>
      </x:c>
      <x:c r="F2260" t="n">
        <x:v>5650000</x:v>
      </x:c>
      <x:c r="G2260" s="40" t="n">
        <x:v>0.3447</x:v>
      </x:c>
      <x:c r="H2260" s="40" t="n">
        <x:v>0.024988</x:v>
      </x:c>
      <x:c r="I2260" t="n">
        <x:v>12</x:v>
      </x:c>
      <x:c r="J2260" t="n">
        <x:v>550800</x:v>
      </x:c>
      <x:c r="K2260" t="str">
        <x:v>Bola de nieve</x:v>
      </x:c>
      <x:c r="L2260" t="str">
        <x:v>Vigente</x:v>
      </x:c>
      <x:c r="M2260" t="n">
        <x:v>5240382.24</x:v>
      </x:c>
      <x:c r="N2260"/>
    </x:row>
    <x:row r="2261">
      <x:c r="A2261" t="str">
        <x:v>DEU-002260</x:v>
      </x:c>
      <x:c r="B2261" t="str">
        <x:v>USR-01152</x:v>
      </x:c>
      <x:c r="C2261" t="n">
        <x:v>46266</x:v>
      </x:c>
      <x:c r="D2261" t="str">
        <x:v>Entidad financiera E</x:v>
      </x:c>
      <x:c r="E2261" t="str">
        <x:v>Tarjeta de crédito</x:v>
      </x:c>
      <x:c r="F2261" t="n">
        <x:v>3110000</x:v>
      </x:c>
      <x:c r="G2261" s="40" t="n">
        <x:v>0.2922</x:v>
      </x:c>
      <x:c r="H2261" s="40" t="n">
        <x:v>0.021592</x:v>
      </x:c>
      <x:c r="I2261" t="n">
        <x:v>48</x:v>
      </x:c>
      <x:c r="J2261" t="n">
        <x:v>104700</x:v>
      </x:c>
      <x:c r="K2261" t="str">
        <x:v>Bola de nieve</x:v>
      </x:c>
      <x:c r="L2261" t="str">
        <x:v>Vigente</x:v>
      </x:c>
      <x:c r="M2261" t="n">
        <x:v>3072451.08</x:v>
      </x:c>
      <x:c r="N2261"/>
    </x:row>
    <x:row r="2262">
      <x:c r="A2262" t="str">
        <x:v>DEU-002261</x:v>
      </x:c>
      <x:c r="B2262" t="str">
        <x:v>USR-01153</x:v>
      </x:c>
      <x:c r="C2262" t="n">
        <x:v>46266</x:v>
      </x:c>
      <x:c r="D2262" t="str">
        <x:v>Entidad financiera A</x:v>
      </x:c>
      <x:c r="E2262" t="str">
        <x:v>Tarjeta de crédito</x:v>
      </x:c>
      <x:c r="F2262" t="n">
        <x:v>5870000</x:v>
      </x:c>
      <x:c r="G2262" s="40" t="n">
        <x:v>0.2802</x:v>
      </x:c>
      <x:c r="H2262" s="40" t="n">
        <x:v>0.020798</x:v>
      </x:c>
      <x:c r="I2262" t="n">
        <x:v>24</x:v>
      </x:c>
      <x:c r="J2262" t="n">
        <x:v>313200</x:v>
      </x:c>
      <x:c r="K2262" t="str">
        <x:v>Avalancha</x:v>
      </x:c>
      <x:c r="L2262" t="str">
        <x:v>Vigente</x:v>
      </x:c>
      <x:c r="M2262" t="n">
        <x:v>5678884.37</x:v>
      </x:c>
      <x:c r="N2262"/>
    </x:row>
    <x:row r="2263">
      <x:c r="A2263" t="str">
        <x:v>DEU-002262</x:v>
      </x:c>
      <x:c r="B2263" t="str">
        <x:v>USR-01153</x:v>
      </x:c>
      <x:c r="C2263" t="n">
        <x:v>46266</x:v>
      </x:c>
      <x:c r="D2263" t="str">
        <x:v>Entidad financiera A</x:v>
      </x:c>
      <x:c r="E2263" t="str">
        <x:v>Crédito educativo</x:v>
      </x:c>
      <x:c r="F2263" t="n">
        <x:v>14670000</x:v>
      </x:c>
      <x:c r="G2263" s="40" t="n">
        <x:v>0.2815</x:v>
      </x:c>
      <x:c r="H2263" s="40" t="n">
        <x:v>0.020884</x:v>
      </x:c>
      <x:c r="I2263" t="n">
        <x:v>30</x:v>
      </x:c>
      <x:c r="J2263" t="n">
        <x:v>663000</x:v>
      </x:c>
      <x:c r="K2263" t="str">
        <x:v>Avalancha</x:v>
      </x:c>
      <x:c r="L2263" t="str">
        <x:v>Vigente</x:v>
      </x:c>
      <x:c r="M2263" t="n">
        <x:v>14976373.58</x:v>
      </x:c>
      <x:c r="N2263"/>
    </x:row>
    <x:row r="2264">
      <x:c r="A2264" t="str">
        <x:v>DEU-002263</x:v>
      </x:c>
      <x:c r="B2264" t="str">
        <x:v>USR-01154</x:v>
      </x:c>
      <x:c r="C2264" t="n">
        <x:v>46266</x:v>
      </x:c>
      <x:c r="D2264" t="str">
        <x:v>Entidad financiera B</x:v>
      </x:c>
      <x:c r="E2264" t="str">
        <x:v>Crédito de vehículo</x:v>
      </x:c>
      <x:c r="F2264" t="n">
        <x:v>55320000</x:v>
      </x:c>
      <x:c r="G2264" s="40" t="n">
        <x:v>0.124</x:v>
      </x:c>
      <x:c r="H2264" s="40" t="n">
        <x:v>0.009789</x:v>
      </x:c>
      <x:c r="I2264" t="n">
        <x:v>30</x:v>
      </x:c>
      <x:c r="J2264" t="n">
        <x:v>2136900</x:v>
      </x:c>
      <x:c r="K2264" t="str">
        <x:v>Bola de nieve</x:v>
      </x:c>
      <x:c r="L2264" t="str">
        <x:v>Vigente</x:v>
      </x:c>
      <x:c r="M2264" t="n">
        <x:v>54686213.39</x:v>
      </x:c>
      <x:c r="N2264"/>
    </x:row>
    <x:row r="2265">
      <x:c r="A2265" t="str">
        <x:v>DEU-002264</x:v>
      </x:c>
      <x:c r="B2265" t="str">
        <x:v>USR-01154</x:v>
      </x:c>
      <x:c r="C2265" t="n">
        <x:v>46266</x:v>
      </x:c>
      <x:c r="D2265" t="str">
        <x:v>Entidad financiera B</x:v>
      </x:c>
      <x:c r="E2265" t="str">
        <x:v>Crédito de vehículo</x:v>
      </x:c>
      <x:c r="F2265" t="n">
        <x:v>16930000</x:v>
      </x:c>
      <x:c r="G2265" s="40" t="n">
        <x:v>0.2814</x:v>
      </x:c>
      <x:c r="H2265" s="40" t="n">
        <x:v>0.020878</x:v>
      </x:c>
      <x:c r="I2265" t="n">
        <x:v>36</x:v>
      </x:c>
      <x:c r="J2265" t="n">
        <x:v>673600</x:v>
      </x:c>
      <x:c r="K2265" t="str">
        <x:v>Avalancha</x:v>
      </x:c>
      <x:c r="L2265" t="str">
        <x:v>Vigente</x:v>
      </x:c>
      <x:c r="M2265" t="n">
        <x:v>16508859.84</x:v>
      </x:c>
      <x:c r="N2265"/>
    </x:row>
    <x:row r="2266">
      <x:c r="A2266" t="str">
        <x:v>DEU-002265</x:v>
      </x:c>
      <x:c r="B2266" t="str">
        <x:v>USR-01154</x:v>
      </x:c>
      <x:c r="C2266" t="n">
        <x:v>46266</x:v>
      </x:c>
      <x:c r="D2266" t="str">
        <x:v>Entidad financiera B</x:v>
      </x:c>
      <x:c r="E2266" t="str">
        <x:v>Crédito educativo</x:v>
      </x:c>
      <x:c r="F2266" t="n">
        <x:v>16490000</x:v>
      </x:c>
      <x:c r="G2266" s="40" t="n">
        <x:v>0.34</x:v>
      </x:c>
      <x:c r="H2266" s="40" t="n">
        <x:v>0.024689</x:v>
      </x:c>
      <x:c r="I2266" t="n">
        <x:v>48</x:v>
      </x:c>
      <x:c r="J2266" t="n">
        <x:v>590200</x:v>
      </x:c>
      <x:c r="K2266" t="str">
        <x:v>Avalancha</x:v>
      </x:c>
      <x:c r="L2266" t="str">
        <x:v>Vigente</x:v>
      </x:c>
      <x:c r="M2266" t="n">
        <x:v>16218421.32</x:v>
      </x:c>
      <x:c r="N2266"/>
    </x:row>
    <x:row r="2267">
      <x:c r="A2267" t="str">
        <x:v>DEU-002266</x:v>
      </x:c>
      <x:c r="B2267" t="str">
        <x:v>USR-01154</x:v>
      </x:c>
      <x:c r="C2267" t="n">
        <x:v>46266</x:v>
      </x:c>
      <x:c r="D2267" t="str">
        <x:v>Entidad financiera B</x:v>
      </x:c>
      <x:c r="E2267" t="str">
        <x:v>Crédito de consumo</x:v>
      </x:c>
      <x:c r="F2267" t="n">
        <x:v>6890000</x:v>
      </x:c>
      <x:c r="G2267" s="40" t="n">
        <x:v>0.2325</x:v>
      </x:c>
      <x:c r="H2267" s="40" t="n">
        <x:v>0.017573</x:v>
      </x:c>
      <x:c r="I2267" t="n">
        <x:v>12</x:v>
      </x:c>
      <x:c r="J2267" t="n">
        <x:v>641800</x:v>
      </x:c>
      <x:c r="K2267" t="str">
        <x:v>Bola de nieve</x:v>
      </x:c>
      <x:c r="L2267" t="str">
        <x:v>Vigente</x:v>
      </x:c>
      <x:c r="M2267" t="n">
        <x:v>6369278.01</x:v>
      </x:c>
      <x:c r="N2267"/>
    </x:row>
    <x:row r="2268">
      <x:c r="A2268" t="str">
        <x:v>DEU-002267</x:v>
      </x:c>
      <x:c r="B2268" t="str">
        <x:v>USR-01154</x:v>
      </x:c>
      <x:c r="C2268" t="n">
        <x:v>46266</x:v>
      </x:c>
      <x:c r="D2268" t="str">
        <x:v>Financiera D</x:v>
      </x:c>
      <x:c r="E2268" t="str">
        <x:v>Crédito de consumo</x:v>
      </x:c>
      <x:c r="F2268" t="n">
        <x:v>2330000</x:v>
      </x:c>
      <x:c r="G2268" s="40" t="n">
        <x:v>0.3449</x:v>
      </x:c>
      <x:c r="H2268" s="40" t="n">
        <x:v>0.025001</x:v>
      </x:c>
      <x:c r="I2268" t="n">
        <x:v>12</x:v>
      </x:c>
      <x:c r="J2268" t="n">
        <x:v>227100</x:v>
      </x:c>
      <x:c r="K2268" t="str">
        <x:v>Bola de nieve</x:v>
      </x:c>
      <x:c r="L2268" t="str">
        <x:v>Vigente</x:v>
      </x:c>
      <x:c r="M2268" t="n">
        <x:v>2161151.65</x:v>
      </x:c>
      <x:c r="N2268"/>
    </x:row>
    <x:row r="2269">
      <x:c r="A2269" t="str">
        <x:v>DEU-002268</x:v>
      </x:c>
      <x:c r="B2269" t="str">
        <x:v>USR-01155</x:v>
      </x:c>
      <x:c r="C2269" t="n">
        <x:v>46266</x:v>
      </x:c>
      <x:c r="D2269" t="str">
        <x:v>Financiera D</x:v>
      </x:c>
      <x:c r="E2269" t="str">
        <x:v>Crédito de libre inversión</x:v>
      </x:c>
      <x:c r="F2269" t="n">
        <x:v>9980000</x:v>
      </x:c>
      <x:c r="G2269" s="40" t="n">
        <x:v>0.2625</x:v>
      </x:c>
      <x:c r="H2269" s="40" t="n">
        <x:v>0.019614</x:v>
      </x:c>
      <x:c r="I2269" t="n">
        <x:v>60</x:v>
      </x:c>
      <x:c r="J2269" t="n">
        <x:v>284400</x:v>
      </x:c>
      <x:c r="K2269" t="str">
        <x:v>Bola de nieve</x:v>
      </x:c>
      <x:c r="L2269" t="str">
        <x:v>Vigente</x:v>
      </x:c>
      <x:c r="M2269" t="n">
        <x:v>9848651.44</x:v>
      </x:c>
      <x:c r="N2269"/>
    </x:row>
    <x:row r="2270">
      <x:c r="A2270" t="str">
        <x:v>DEU-002269</x:v>
      </x:c>
      <x:c r="B2270" t="str">
        <x:v>USR-01156</x:v>
      </x:c>
      <x:c r="C2270" t="n">
        <x:v>46266</x:v>
      </x:c>
      <x:c r="D2270" t="str">
        <x:v>Cooperativa C</x:v>
      </x:c>
      <x:c r="E2270" t="str">
        <x:v>Crédito educativo</x:v>
      </x:c>
      <x:c r="F2270" t="n">
        <x:v>7870000</x:v>
      </x:c>
      <x:c r="G2270" s="40" t="n">
        <x:v>0.2801</x:v>
      </x:c>
      <x:c r="H2270" s="40" t="n">
        <x:v>0.020791</x:v>
      </x:c>
      <x:c r="I2270" t="n">
        <x:v>60</x:v>
      </x:c>
      <x:c r="J2270" t="n">
        <x:v>230800</x:v>
      </x:c>
      <x:c r="K2270" t="str">
        <x:v>Bola de nieve</x:v>
      </x:c>
      <x:c r="L2270" t="str">
        <x:v>Vigente</x:v>
      </x:c>
      <x:c r="M2270" t="n">
        <x:v>7687428.11</x:v>
      </x:c>
      <x:c r="N2270"/>
    </x:row>
    <x:row r="2271">
      <x:c r="A2271" t="str">
        <x:v>DEU-002270</x:v>
      </x:c>
      <x:c r="B2271" t="str">
        <x:v>USR-01156</x:v>
      </x:c>
      <x:c r="C2271" t="n">
        <x:v>46266</x:v>
      </x:c>
      <x:c r="D2271" t="str">
        <x:v>Entidad financiera B</x:v>
      </x:c>
      <x:c r="E2271" t="str">
        <x:v>Tarjeta de crédito</x:v>
      </x:c>
      <x:c r="F2271" t="n">
        <x:v>7510000</x:v>
      </x:c>
      <x:c r="G2271" s="40" t="n">
        <x:v>0.154</x:v>
      </x:c>
      <x:c r="H2271" s="40" t="n">
        <x:v>0.012008</x:v>
      </x:c>
      <x:c r="I2271" t="n">
        <x:v>18</x:v>
      </x:c>
      <x:c r="J2271" t="n">
        <x:v>466400</x:v>
      </x:c>
      <x:c r="K2271" t="str">
        <x:v>Avalancha</x:v>
      </x:c>
      <x:c r="L2271" t="str">
        <x:v>Vigente</x:v>
      </x:c>
      <x:c r="M2271" t="n">
        <x:v>7133777.84</x:v>
      </x:c>
      <x:c r="N2271"/>
    </x:row>
    <x:row r="2272">
      <x:c r="A2272" t="str">
        <x:v>DEU-002271</x:v>
      </x:c>
      <x:c r="B2272" t="str">
        <x:v>USR-01157</x:v>
      </x:c>
      <x:c r="C2272" t="n">
        <x:v>46266</x:v>
      </x:c>
      <x:c r="D2272" t="str">
        <x:v>Financiera D</x:v>
      </x:c>
      <x:c r="E2272" t="str">
        <x:v>Crédito de consumo</x:v>
      </x:c>
      <x:c r="F2272" t="n">
        <x:v>11560000</x:v>
      </x:c>
      <x:c r="G2272" s="40" t="n">
        <x:v>0.265</x:v>
      </x:c>
      <x:c r="H2272" s="40" t="n">
        <x:v>0.019782</x:v>
      </x:c>
      <x:c r="I2272" t="n">
        <x:v>12</x:v>
      </x:c>
      <x:c r="J2272" t="n">
        <x:v>1091600</x:v>
      </x:c>
      <x:c r="K2272" t="str">
        <x:v>Avalancha</x:v>
      </x:c>
      <x:c r="L2272" t="str">
        <x:v>Vigente</x:v>
      </x:c>
      <x:c r="M2272" t="n">
        <x:v>11788685.4</x:v>
      </x:c>
      <x:c r="N2272"/>
    </x:row>
    <x:row r="2273">
      <x:c r="A2273" t="str">
        <x:v>DEU-002272</x:v>
      </x:c>
      <x:c r="B2273" t="str">
        <x:v>USR-01157</x:v>
      </x:c>
      <x:c r="C2273" t="n">
        <x:v>46266</x:v>
      </x:c>
      <x:c r="D2273" t="str">
        <x:v>Entidad financiera E</x:v>
      </x:c>
      <x:c r="E2273" t="str">
        <x:v>Tarjeta de crédito</x:v>
      </x:c>
      <x:c r="F2273" t="n">
        <x:v>690000</x:v>
      </x:c>
      <x:c r="G2273" s="40" t="n">
        <x:v>0.1198</x:v>
      </x:c>
      <x:c r="H2273" s="40" t="n">
        <x:v>0.009474</x:v>
      </x:c>
      <x:c r="I2273" t="n">
        <x:v>30</x:v>
      </x:c>
      <x:c r="J2273" t="n">
        <x:v>26500</x:v>
      </x:c>
      <x:c r="K2273" t="str">
        <x:v>Avalancha</x:v>
      </x:c>
      <x:c r="L2273" t="str">
        <x:v>Vigente</x:v>
      </x:c>
      <x:c r="M2273" t="n">
        <x:v>675336.9</x:v>
      </x:c>
      <x:c r="N2273"/>
    </x:row>
    <x:row r="2274">
      <x:c r="A2274" t="str">
        <x:v>DEU-002273</x:v>
      </x:c>
      <x:c r="B2274" t="str">
        <x:v>USR-01158</x:v>
      </x:c>
      <x:c r="C2274" t="n">
        <x:v>46266</x:v>
      </x:c>
      <x:c r="D2274" t="str">
        <x:v>Entidad financiera B</x:v>
      </x:c>
      <x:c r="E2274" t="str">
        <x:v>Crédito de consumo</x:v>
      </x:c>
      <x:c r="F2274" t="n">
        <x:v>18560000</x:v>
      </x:c>
      <x:c r="G2274" s="40" t="n">
        <x:v>0.1519</x:v>
      </x:c>
      <x:c r="H2274" s="40" t="n">
        <x:v>0.011854</x:v>
      </x:c>
      <x:c r="I2274" t="n">
        <x:v>18</x:v>
      </x:c>
      <x:c r="J2274" t="n">
        <x:v>1151100</x:v>
      </x:c>
      <x:c r="K2274" t="str">
        <x:v>Bola de nieve</x:v>
      </x:c>
      <x:c r="L2274" t="str">
        <x:v>Vigente</x:v>
      </x:c>
      <x:c r="M2274" t="n">
        <x:v>17628912.2</x:v>
      </x:c>
      <x:c r="N2274"/>
    </x:row>
    <x:row r="2275">
      <x:c r="A2275" t="str">
        <x:v>DEU-002274</x:v>
      </x:c>
      <x:c r="B2275" t="str">
        <x:v>USR-01159</x:v>
      </x:c>
      <x:c r="C2275" t="n">
        <x:v>46266</x:v>
      </x:c>
      <x:c r="D2275" t="str">
        <x:v>Entidad financiera A</x:v>
      </x:c>
      <x:c r="E2275" t="str">
        <x:v>Crédito educativo</x:v>
      </x:c>
      <x:c r="F2275" t="n">
        <x:v>21780000</x:v>
      </x:c>
      <x:c r="G2275" s="40" t="n">
        <x:v>0.1098</x:v>
      </x:c>
      <x:c r="H2275" s="40" t="n">
        <x:v>0.008719</x:v>
      </x:c>
      <x:c r="I2275" t="n">
        <x:v>30</x:v>
      </x:c>
      <x:c r="J2275" t="n">
        <x:v>828200</x:v>
      </x:c>
      <x:c r="K2275" t="str">
        <x:v>Avalancha</x:v>
      </x:c>
      <x:c r="L2275" t="str">
        <x:v>Vigente</x:v>
      </x:c>
      <x:c r="M2275" t="n">
        <x:v>21969909.54</x:v>
      </x:c>
      <x:c r="N2275"/>
    </x:row>
    <x:row r="2276">
      <x:c r="A2276" t="str">
        <x:v>DEU-002275</x:v>
      </x:c>
      <x:c r="B2276" t="str">
        <x:v>USR-01159</x:v>
      </x:c>
      <x:c r="C2276" t="n">
        <x:v>46266</x:v>
      </x:c>
      <x:c r="D2276" t="str">
        <x:v>Entidad financiera A</x:v>
      </x:c>
      <x:c r="E2276" t="str">
        <x:v>Crédito comercial</x:v>
      </x:c>
      <x:c r="F2276" t="n">
        <x:v>35300000</x:v>
      </x:c>
      <x:c r="G2276" s="40" t="n">
        <x:v>0.119</x:v>
      </x:c>
      <x:c r="H2276" s="40" t="n">
        <x:v>0.009414</x:v>
      </x:c>
      <x:c r="I2276" t="n">
        <x:v>18</x:v>
      </x:c>
      <x:c r="J2276" t="n">
        <x:v>2141100</x:v>
      </x:c>
      <x:c r="K2276" t="str">
        <x:v>Bola de nieve</x:v>
      </x:c>
      <x:c r="L2276" t="str">
        <x:v>Vigente</x:v>
      </x:c>
      <x:c r="M2276" t="n">
        <x:v>33491201.89</x:v>
      </x:c>
      <x:c r="N2276"/>
    </x:row>
    <x:row r="2277">
      <x:c r="A2277" t="str">
        <x:v>DEU-002276</x:v>
      </x:c>
      <x:c r="B2277" t="str">
        <x:v>USR-01159</x:v>
      </x:c>
      <x:c r="C2277" t="n">
        <x:v>46266</x:v>
      </x:c>
      <x:c r="D2277" t="str">
        <x:v>Entidad financiera A</x:v>
      </x:c>
      <x:c r="E2277" t="str">
        <x:v>Tarjeta de crédito</x:v>
      </x:c>
      <x:c r="F2277" t="n">
        <x:v>3200000</x:v>
      </x:c>
      <x:c r="G2277" s="40" t="n">
        <x:v>0.3166</x:v>
      </x:c>
      <x:c r="H2277" s="40" t="n">
        <x:v>0.023186</x:v>
      </x:c>
      <x:c r="I2277" t="n">
        <x:v>36</x:v>
      </x:c>
      <x:c r="J2277" t="n">
        <x:v>132100</x:v>
      </x:c>
      <x:c r="K2277" t="str">
        <x:v>Bola de nieve</x:v>
      </x:c>
      <x:c r="L2277" t="str">
        <x:v>Vigente</x:v>
      </x:c>
      <x:c r="M2277" t="n">
        <x:v>3142094.43</x:v>
      </x:c>
      <x:c r="N2277"/>
    </x:row>
    <x:row r="2278">
      <x:c r="A2278" t="str">
        <x:v>DEU-002277</x:v>
      </x:c>
      <x:c r="B2278" t="str">
        <x:v>USR-01159</x:v>
      </x:c>
      <x:c r="C2278" t="n">
        <x:v>46266</x:v>
      </x:c>
      <x:c r="D2278" t="str">
        <x:v>Cooperativa C</x:v>
      </x:c>
      <x:c r="E2278" t="str">
        <x:v>Crédito educativo</x:v>
      </x:c>
      <x:c r="F2278" t="n">
        <x:v>4780000</x:v>
      </x:c>
      <x:c r="G2278" s="40" t="n">
        <x:v>0.188</x:v>
      </x:c>
      <x:c r="H2278" s="40" t="n">
        <x:v>0.014459</x:v>
      </x:c>
      <x:c r="I2278" t="n">
        <x:v>24</x:v>
      </x:c>
      <x:c r="J2278" t="n">
        <x:v>237100</x:v>
      </x:c>
      <x:c r="K2278" t="str">
        <x:v>Avalancha</x:v>
      </x:c>
      <x:c r="L2278" t="str">
        <x:v>Vigente</x:v>
      </x:c>
      <x:c r="M2278" t="n">
        <x:v>4849116.3</x:v>
      </x:c>
      <x:c r="N2278"/>
    </x:row>
    <x:row r="2279">
      <x:c r="A2279" t="str">
        <x:v>DEU-002278</x:v>
      </x:c>
      <x:c r="B2279" t="str">
        <x:v>USR-01159</x:v>
      </x:c>
      <x:c r="C2279" t="n">
        <x:v>46266</x:v>
      </x:c>
      <x:c r="D2279" t="str">
        <x:v>Financiera D</x:v>
      </x:c>
      <x:c r="E2279" t="str">
        <x:v>Tarjeta de crédito</x:v>
      </x:c>
      <x:c r="F2279" t="n">
        <x:v>3980000</x:v>
      </x:c>
      <x:c r="G2279" s="40" t="n">
        <x:v>0.1786</x:v>
      </x:c>
      <x:c r="H2279" s="40" t="n">
        <x:v>0.013788</x:v>
      </x:c>
      <x:c r="I2279" t="n">
        <x:v>12</x:v>
      </x:c>
      <x:c r="J2279" t="n">
        <x:v>362100</x:v>
      </x:c>
      <x:c r="K2279" t="str">
        <x:v>Bola de nieve</x:v>
      </x:c>
      <x:c r="L2279" t="str">
        <x:v>Vigente</x:v>
      </x:c>
      <x:c r="M2279" t="n">
        <x:v>3618476.77</x:v>
      </x:c>
      <x:c r="N2279"/>
    </x:row>
    <x:row r="2280">
      <x:c r="A2280" t="str">
        <x:v>DEU-002279</x:v>
      </x:c>
      <x:c r="B2280" t="str">
        <x:v>USR-01160</x:v>
      </x:c>
      <x:c r="C2280" t="n">
        <x:v>46266</x:v>
      </x:c>
      <x:c r="D2280" t="str">
        <x:v>Entidad financiera E</x:v>
      </x:c>
      <x:c r="E2280" t="str">
        <x:v>Tarjeta de crédito</x:v>
      </x:c>
      <x:c r="F2280" t="n">
        <x:v>3870000</x:v>
      </x:c>
      <x:c r="G2280" s="40" t="n">
        <x:v>0.2094</x:v>
      </x:c>
      <x:c r="H2280" s="40" t="n">
        <x:v>0.01597</x:v>
      </x:c>
      <x:c r="I2280" t="n">
        <x:v>30</x:v>
      </x:c>
      <x:c r="J2280" t="n">
        <x:v>163400</x:v>
      </x:c>
      <x:c r="K2280" t="str">
        <x:v>Bola de nieve</x:v>
      </x:c>
      <x:c r="L2280" t="str">
        <x:v>Vigente</x:v>
      </x:c>
      <x:c r="M2280" t="n">
        <x:v>3768403.41</x:v>
      </x:c>
      <x:c r="N2280"/>
    </x:row>
    <x:row r="2281">
      <x:c r="A2281" t="str">
        <x:v>DEU-002280</x:v>
      </x:c>
      <x:c r="B2281" t="str">
        <x:v>USR-01160</x:v>
      </x:c>
      <x:c r="C2281" t="n">
        <x:v>46266</x:v>
      </x:c>
      <x:c r="D2281" t="str">
        <x:v>Entidad financiera E</x:v>
      </x:c>
      <x:c r="E2281" t="str">
        <x:v>Tarjeta de crédito</x:v>
      </x:c>
      <x:c r="F2281" t="n">
        <x:v>4110000</x:v>
      </x:c>
      <x:c r="G2281" s="40" t="n">
        <x:v>0.1855</x:v>
      </x:c>
      <x:c r="H2281" s="40" t="n">
        <x:v>0.014281</x:v>
      </x:c>
      <x:c r="I2281" t="n">
        <x:v>60</x:v>
      </x:c>
      <x:c r="J2281" t="n">
        <x:v>102400</x:v>
      </x:c>
      <x:c r="K2281" t="str">
        <x:v>Avalancha</x:v>
      </x:c>
      <x:c r="L2281" t="str">
        <x:v>Vigente</x:v>
      </x:c>
      <x:c r="M2281" t="n">
        <x:v>4050896.57</x:v>
      </x:c>
      <x:c r="N2281"/>
    </x:row>
    <x:row r="2282">
      <x:c r="A2282" t="str">
        <x:v>DEU-002281</x:v>
      </x:c>
      <x:c r="B2282" t="str">
        <x:v>USR-01161</x:v>
      </x:c>
      <x:c r="C2282" t="n">
        <x:v>46266</x:v>
      </x:c>
      <x:c r="D2282" t="str">
        <x:v>Entidad financiera B</x:v>
      </x:c>
      <x:c r="E2282" t="str">
        <x:v>Tarjeta de crédito</x:v>
      </x:c>
      <x:c r="F2282" t="n">
        <x:v>940000</x:v>
      </x:c>
      <x:c r="G2282" s="40" t="n">
        <x:v>0.3213</x:v>
      </x:c>
      <x:c r="H2282" s="40" t="n">
        <x:v>0.02349</x:v>
      </x:c>
      <x:c r="I2282" t="n">
        <x:v>12</x:v>
      </x:c>
      <x:c r="J2282" t="n">
        <x:v>90800</x:v>
      </x:c>
      <x:c r="K2282" t="str">
        <x:v>Avalancha</x:v>
      </x:c>
      <x:c r="L2282" t="str">
        <x:v>Vigente</x:v>
      </x:c>
      <x:c r="M2282" t="n">
        <x:v>825880.27</x:v>
      </x:c>
      <x:c r="N2282"/>
    </x:row>
    <x:row r="2283">
      <x:c r="A2283" t="str">
        <x:v>DEU-002282</x:v>
      </x:c>
      <x:c r="B2283" t="str">
        <x:v>USR-01162</x:v>
      </x:c>
      <x:c r="C2283" t="n">
        <x:v>46266</x:v>
      </x:c>
      <x:c r="D2283" t="str">
        <x:v>Cooperativa C</x:v>
      </x:c>
      <x:c r="E2283" t="str">
        <x:v>Tarjeta de crédito</x:v>
      </x:c>
      <x:c r="F2283" t="n">
        <x:v>6600000</x:v>
      </x:c>
      <x:c r="G2283" s="40" t="n">
        <x:v>0.1252</x:v>
      </x:c>
      <x:c r="H2283" s="40" t="n">
        <x:v>0.009879</x:v>
      </x:c>
      <x:c r="I2283" t="n">
        <x:v>30</x:v>
      </x:c>
      <x:c r="J2283" t="n">
        <x:v>255300</x:v>
      </x:c>
      <x:c r="K2283" t="str">
        <x:v>Avalancha</x:v>
      </x:c>
      <x:c r="L2283" t="str">
        <x:v>Vigente</x:v>
      </x:c>
      <x:c r="M2283" t="n">
        <x:v>6665198.37</x:v>
      </x:c>
      <x:c r="N2283"/>
    </x:row>
    <x:row r="2284">
      <x:c r="A2284" t="str">
        <x:v>DEU-002283</x:v>
      </x:c>
      <x:c r="B2284" t="str">
        <x:v>USR-01163</x:v>
      </x:c>
      <x:c r="C2284" t="n">
        <x:v>46266</x:v>
      </x:c>
      <x:c r="D2284" t="str">
        <x:v>Financiera D</x:v>
      </x:c>
      <x:c r="E2284" t="str">
        <x:v>Tarjeta de crédito</x:v>
      </x:c>
      <x:c r="F2284" t="n">
        <x:v>3010000</x:v>
      </x:c>
      <x:c r="G2284" s="40" t="n">
        <x:v>0.1634</x:v>
      </x:c>
      <x:c r="H2284" s="40" t="n">
        <x:v>0.012692</x:v>
      </x:c>
      <x:c r="I2284" t="n">
        <x:v>36</x:v>
      </x:c>
      <x:c r="J2284" t="n">
        <x:v>104700</x:v>
      </x:c>
      <x:c r="K2284" t="str">
        <x:v>Bola de nieve</x:v>
      </x:c>
      <x:c r="L2284" t="str">
        <x:v>Vigente</x:v>
      </x:c>
      <x:c r="M2284" t="n">
        <x:v>2927803.22</x:v>
      </x:c>
      <x:c r="N2284"/>
    </x:row>
    <x:row r="2285">
      <x:c r="A2285" t="str">
        <x:v>DEU-002284</x:v>
      </x:c>
      <x:c r="B2285" t="str">
        <x:v>USR-01164</x:v>
      </x:c>
      <x:c r="C2285" t="n">
        <x:v>46266</x:v>
      </x:c>
      <x:c r="D2285" t="str">
        <x:v>Entidad financiera B</x:v>
      </x:c>
      <x:c r="E2285" t="str">
        <x:v>Crédito de consumo</x:v>
      </x:c>
      <x:c r="F2285" t="n">
        <x:v>14020000</x:v>
      </x:c>
      <x:c r="G2285" s="40" t="n">
        <x:v>0.159</x:v>
      </x:c>
      <x:c r="H2285" s="40" t="n">
        <x:v>0.012372</x:v>
      </x:c>
      <x:c r="I2285" t="n">
        <x:v>60</x:v>
      </x:c>
      <x:c r="J2285" t="n">
        <x:v>332400</x:v>
      </x:c>
      <x:c r="K2285" t="str">
        <x:v>Avalancha</x:v>
      </x:c>
      <x:c r="L2285" t="str">
        <x:v>Vigente</x:v>
      </x:c>
      <x:c r="M2285" t="n">
        <x:v>13927560.71</x:v>
      </x:c>
      <x:c r="N2285"/>
    </x:row>
    <x:row r="2286">
      <x:c r="A2286" t="str">
        <x:v>DEU-002285</x:v>
      </x:c>
      <x:c r="B2286" t="str">
        <x:v>USR-01164</x:v>
      </x:c>
      <x:c r="C2286" t="n">
        <x:v>46266</x:v>
      </x:c>
      <x:c r="D2286" t="str">
        <x:v>Entidad financiera B</x:v>
      </x:c>
      <x:c r="E2286" t="str">
        <x:v>Crédito de vehículo</x:v>
      </x:c>
      <x:c r="F2286" t="n">
        <x:v>37680000</x:v>
      </x:c>
      <x:c r="G2286" s="40" t="n">
        <x:v>0.2035</x:v>
      </x:c>
      <x:c r="H2286" s="40" t="n">
        <x:v>0.015556</x:v>
      </x:c>
      <x:c r="I2286" t="n">
        <x:v>30</x:v>
      </x:c>
      <x:c r="J2286" t="n">
        <x:v>1581400</x:v>
      </x:c>
      <x:c r="K2286" t="str">
        <x:v>Avalancha</x:v>
      </x:c>
      <x:c r="L2286" t="str">
        <x:v>Vigente</x:v>
      </x:c>
      <x:c r="M2286" t="n">
        <x:v>38266146.98</x:v>
      </x:c>
      <x:c r="N2286"/>
    </x:row>
    <x:row r="2287">
      <x:c r="A2287" t="str">
        <x:v>DEU-002286</x:v>
      </x:c>
      <x:c r="B2287" t="str">
        <x:v>USR-01165</x:v>
      </x:c>
      <x:c r="C2287" t="n">
        <x:v>46266</x:v>
      </x:c>
      <x:c r="D2287" t="str">
        <x:v>Entidad financiera E</x:v>
      </x:c>
      <x:c r="E2287" t="str">
        <x:v>Crédito de vehículo</x:v>
      </x:c>
      <x:c r="F2287" t="n">
        <x:v>48280000</x:v>
      </x:c>
      <x:c r="G2287" s="40" t="n">
        <x:v>0.1388</x:v>
      </x:c>
      <x:c r="H2287" s="40" t="n">
        <x:v>0.01089</x:v>
      </x:c>
      <x:c r="I2287" t="n">
        <x:v>60</x:v>
      </x:c>
      <x:c r="J2287" t="n">
        <x:v>1100200</x:v>
      </x:c>
      <x:c r="K2287" t="str">
        <x:v>Avalancha</x:v>
      </x:c>
      <x:c r="L2287" t="str">
        <x:v>Vigente</x:v>
      </x:c>
      <x:c r="M2287" t="n">
        <x:v>47705575.32</x:v>
      </x:c>
      <x:c r="N2287"/>
    </x:row>
    <x:row r="2288">
      <x:c r="A2288" t="str">
        <x:v>DEU-002287</x:v>
      </x:c>
      <x:c r="B2288" t="str">
        <x:v>USR-01165</x:v>
      </x:c>
      <x:c r="C2288" t="n">
        <x:v>46266</x:v>
      </x:c>
      <x:c r="D2288" t="str">
        <x:v>Financiera D</x:v>
      </x:c>
      <x:c r="E2288" t="str">
        <x:v>Tarjeta de crédito</x:v>
      </x:c>
      <x:c r="F2288" t="n">
        <x:v>640000</x:v>
      </x:c>
      <x:c r="G2288" s="40" t="n">
        <x:v>0.2054</x:v>
      </x:c>
      <x:c r="H2288" s="40" t="n">
        <x:v>0.015689</x:v>
      </x:c>
      <x:c r="I2288" t="n">
        <x:v>24</x:v>
      </x:c>
      <x:c r="J2288" t="n">
        <x:v>32200</x:v>
      </x:c>
      <x:c r="K2288" t="str">
        <x:v>Bola de nieve</x:v>
      </x:c>
      <x:c r="L2288" t="str">
        <x:v>Vigente</x:v>
      </x:c>
      <x:c r="M2288" t="n">
        <x:v>624241.23</x:v>
      </x:c>
      <x:c r="N2288"/>
    </x:row>
    <x:row r="2289">
      <x:c r="A2289" t="str">
        <x:v>DEU-002288</x:v>
      </x:c>
      <x:c r="B2289" t="str">
        <x:v>USR-01165</x:v>
      </x:c>
      <x:c r="C2289" t="n">
        <x:v>46266</x:v>
      </x:c>
      <x:c r="D2289" t="str">
        <x:v>Financiera D</x:v>
      </x:c>
      <x:c r="E2289" t="str">
        <x:v>Tarjeta de crédito</x:v>
      </x:c>
      <x:c r="F2289" t="n">
        <x:v>5950000</x:v>
      </x:c>
      <x:c r="G2289" s="40" t="n">
        <x:v>0.2478</x:v>
      </x:c>
      <x:c r="H2289" s="40" t="n">
        <x:v>0.01862</x:v>
      </x:c>
      <x:c r="I2289" t="n">
        <x:v>24</x:v>
      </x:c>
      <x:c r="J2289" t="n">
        <x:v>309700</x:v>
      </x:c>
      <x:c r="K2289" t="str">
        <x:v>Bola de nieve</x:v>
      </x:c>
      <x:c r="L2289" t="str">
        <x:v>Vigente</x:v>
      </x:c>
      <x:c r="M2289" t="n">
        <x:v>5812987.36</x:v>
      </x:c>
      <x:c r="N2289"/>
    </x:row>
    <x:row r="2290">
      <x:c r="A2290" t="str">
        <x:v>DEU-002289</x:v>
      </x:c>
      <x:c r="B2290" t="str">
        <x:v>USR-01166</x:v>
      </x:c>
      <x:c r="C2290" t="n">
        <x:v>46266</x:v>
      </x:c>
      <x:c r="D2290" t="str">
        <x:v>Financiera D</x:v>
      </x:c>
      <x:c r="E2290" t="str">
        <x:v>Crédito educativo</x:v>
      </x:c>
      <x:c r="F2290" t="n">
        <x:v>5110000</x:v>
      </x:c>
      <x:c r="G2290" s="40" t="n">
        <x:v>0.329</x:v>
      </x:c>
      <x:c r="H2290" s="40" t="n">
        <x:v>0.023985</x:v>
      </x:c>
      <x:c r="I2290" t="n">
        <x:v>18</x:v>
      </x:c>
      <x:c r="J2290" t="n">
        <x:v>352900</x:v>
      </x:c>
      <x:c r="K2290" t="str">
        <x:v>Avalancha</x:v>
      </x:c>
      <x:c r="L2290" t="str">
        <x:v>Vigente</x:v>
      </x:c>
      <x:c r="M2290" t="n">
        <x:v>4879665.2</x:v>
      </x:c>
      <x:c r="N2290"/>
    </x:row>
    <x:row r="2291">
      <x:c r="A2291" t="str">
        <x:v>DEU-002290</x:v>
      </x:c>
      <x:c r="B2291" t="str">
        <x:v>USR-01166</x:v>
      </x:c>
      <x:c r="C2291" t="n">
        <x:v>46266</x:v>
      </x:c>
      <x:c r="D2291" t="str">
        <x:v>Entidad financiera B</x:v>
      </x:c>
      <x:c r="E2291" t="str">
        <x:v>Tarjeta de crédito</x:v>
      </x:c>
      <x:c r="F2291" t="n">
        <x:v>3160000</x:v>
      </x:c>
      <x:c r="G2291" s="40" t="n">
        <x:v>0.1124</x:v>
      </x:c>
      <x:c r="H2291" s="40" t="n">
        <x:v>0.008916</x:v>
      </x:c>
      <x:c r="I2291" t="n">
        <x:v>48</x:v>
      </x:c>
      <x:c r="J2291" t="n">
        <x:v>81200</x:v>
      </x:c>
      <x:c r="K2291" t="str">
        <x:v>Bola de nieve</x:v>
      </x:c>
      <x:c r="L2291" t="str">
        <x:v>Vigente</x:v>
      </x:c>
      <x:c r="M2291" t="n">
        <x:v>3123175.09</x:v>
      </x:c>
      <x:c r="N2291"/>
    </x:row>
    <x:row r="2292">
      <x:c r="A2292" t="str">
        <x:v>DEU-002291</x:v>
      </x:c>
      <x:c r="B2292" t="str">
        <x:v>USR-01166</x:v>
      </x:c>
      <x:c r="C2292" t="n">
        <x:v>46266</x:v>
      </x:c>
      <x:c r="D2292" t="str">
        <x:v>Entidad financiera A</x:v>
      </x:c>
      <x:c r="E2292" t="str">
        <x:v>Crédito de vehículo</x:v>
      </x:c>
      <x:c r="F2292" t="n">
        <x:v>53290000</x:v>
      </x:c>
      <x:c r="G2292" s="40" t="n">
        <x:v>0.2073</x:v>
      </x:c>
      <x:c r="H2292" s="40" t="n">
        <x:v>0.015823</x:v>
      </x:c>
      <x:c r="I2292" t="n">
        <x:v>36</x:v>
      </x:c>
      <x:c r="J2292" t="n">
        <x:v>1953100</x:v>
      </x:c>
      <x:c r="K2292" t="str">
        <x:v>Avalancha</x:v>
      </x:c>
      <x:c r="L2292" t="str">
        <x:v>Vigente</x:v>
      </x:c>
      <x:c r="M2292" t="n">
        <x:v>52180094.16</x:v>
      </x:c>
      <x:c r="N2292"/>
    </x:row>
    <x:row r="2293">
      <x:c r="A2293" t="str">
        <x:v>DEU-002292</x:v>
      </x:c>
      <x:c r="B2293" t="str">
        <x:v>USR-01166</x:v>
      </x:c>
      <x:c r="C2293" t="n">
        <x:v>46266</x:v>
      </x:c>
      <x:c r="D2293" t="str">
        <x:v>Entidad financiera B</x:v>
      </x:c>
      <x:c r="E2293" t="str">
        <x:v>Crédito de consumo</x:v>
      </x:c>
      <x:c r="F2293" t="n">
        <x:v>18860000</x:v>
      </x:c>
      <x:c r="G2293" s="40" t="n">
        <x:v>0.163</x:v>
      </x:c>
      <x:c r="H2293" s="40" t="n">
        <x:v>0.012663</x:v>
      </x:c>
      <x:c r="I2293" t="n">
        <x:v>12</x:v>
      </x:c>
      <x:c r="J2293" t="n">
        <x:v>1704000</x:v>
      </x:c>
      <x:c r="K2293" t="str">
        <x:v>Avalancha</x:v>
      </x:c>
      <x:c r="L2293" t="str">
        <x:v>Vigente</x:v>
      </x:c>
      <x:c r="M2293" t="n">
        <x:v>17735625.67</x:v>
      </x:c>
      <x:c r="N2293"/>
    </x:row>
    <x:row r="2294">
      <x:c r="A2294" t="str">
        <x:v>DEU-002293</x:v>
      </x:c>
      <x:c r="B2294" t="str">
        <x:v>USR-01167</x:v>
      </x:c>
      <x:c r="C2294" t="n">
        <x:v>46266</x:v>
      </x:c>
      <x:c r="D2294" t="str">
        <x:v>Cooperativa C</x:v>
      </x:c>
      <x:c r="E2294" t="str">
        <x:v>Crédito de consumo</x:v>
      </x:c>
      <x:c r="F2294" t="n">
        <x:v>10410000</x:v>
      </x:c>
      <x:c r="G2294" s="40" t="n">
        <x:v>0.1236</x:v>
      </x:c>
      <x:c r="H2294" s="40" t="n">
        <x:v>0.009759</x:v>
      </x:c>
      <x:c r="I2294" t="n">
        <x:v>48</x:v>
      </x:c>
      <x:c r="J2294" t="n">
        <x:v>272700</x:v>
      </x:c>
      <x:c r="K2294" t="str">
        <x:v>Avalancha</x:v>
      </x:c>
      <x:c r="L2294" t="str">
        <x:v>Vigente</x:v>
      </x:c>
      <x:c r="M2294" t="n">
        <x:v>10511589.05</x:v>
      </x:c>
      <x:c r="N2294"/>
    </x:row>
    <x:row r="2295">
      <x:c r="A2295" t="str">
        <x:v>DEU-002294</x:v>
      </x:c>
      <x:c r="B2295" t="str">
        <x:v>USR-01168</x:v>
      </x:c>
      <x:c r="C2295" t="n">
        <x:v>46266</x:v>
      </x:c>
      <x:c r="D2295" t="str">
        <x:v>Entidad financiera B</x:v>
      </x:c>
      <x:c r="E2295" t="str">
        <x:v>Crédito de vehículo</x:v>
      </x:c>
      <x:c r="F2295" t="n">
        <x:v>21090000</x:v>
      </x:c>
      <x:c r="G2295" s="40" t="n">
        <x:v>0.2968</x:v>
      </x:c>
      <x:c r="H2295" s="40" t="n">
        <x:v>0.021895</x:v>
      </x:c>
      <x:c r="I2295" t="n">
        <x:v>12</x:v>
      </x:c>
      <x:c r="J2295" t="n">
        <x:v>2017500</x:v>
      </x:c>
      <x:c r="K2295" t="str">
        <x:v>Bola de nieve</x:v>
      </x:c>
      <x:c r="L2295" t="str">
        <x:v>Vigente</x:v>
      </x:c>
      <x:c r="M2295" t="n">
        <x:v>19937756.09</x:v>
      </x:c>
      <x:c r="N2295"/>
    </x:row>
    <x:row r="2296">
      <x:c r="A2296" t="str">
        <x:v>DEU-002295</x:v>
      </x:c>
      <x:c r="B2296" t="str">
        <x:v>USR-01169</x:v>
      </x:c>
      <x:c r="C2296" t="n">
        <x:v>46266</x:v>
      </x:c>
      <x:c r="D2296" t="str">
        <x:v>Financiera D</x:v>
      </x:c>
      <x:c r="E2296" t="str">
        <x:v>Crédito de consumo</x:v>
      </x:c>
      <x:c r="F2296" t="n">
        <x:v>7070000</x:v>
      </x:c>
      <x:c r="G2296" s="40" t="n">
        <x:v>0.1956</x:v>
      </x:c>
      <x:c r="H2296" s="40" t="n">
        <x:v>0.014999</x:v>
      </x:c>
      <x:c r="I2296" t="n">
        <x:v>24</x:v>
      </x:c>
      <x:c r="J2296" t="n">
        <x:v>353000</x:v>
      </x:c>
      <x:c r="K2296" t="str">
        <x:v>Avalancha</x:v>
      </x:c>
      <x:c r="L2296" t="str">
        <x:v>Vigente</x:v>
      </x:c>
      <x:c r="M2296" t="n">
        <x:v>7176040.91</x:v>
      </x:c>
      <x:c r="N2296"/>
    </x:row>
    <x:row r="2297">
      <x:c r="A2297" t="str">
        <x:v>DEU-002296</x:v>
      </x:c>
      <x:c r="B2297" t="str">
        <x:v>USR-01169</x:v>
      </x:c>
      <x:c r="C2297" t="n">
        <x:v>46266</x:v>
      </x:c>
      <x:c r="D2297" t="str">
        <x:v>Entidad financiera A</x:v>
      </x:c>
      <x:c r="E2297" t="str">
        <x:v>Crédito de consumo</x:v>
      </x:c>
      <x:c r="F2297" t="n">
        <x:v>3690000</x:v>
      </x:c>
      <x:c r="G2297" s="40" t="n">
        <x:v>0.2315</x:v>
      </x:c>
      <x:c r="H2297" s="40" t="n">
        <x:v>0.017504</x:v>
      </x:c>
      <x:c r="I2297" t="n">
        <x:v>24</x:v>
      </x:c>
      <x:c r="J2297" t="n">
        <x:v>189600</x:v>
      </x:c>
      <x:c r="K2297" t="str">
        <x:v>Bola de nieve</x:v>
      </x:c>
      <x:c r="L2297" t="str">
        <x:v>Vigente</x:v>
      </x:c>
      <x:c r="M2297" t="n">
        <x:v>3754590.42</x:v>
      </x:c>
      <x:c r="N2297"/>
    </x:row>
    <x:row r="2298">
      <x:c r="A2298" t="str">
        <x:v>DEU-002297</x:v>
      </x:c>
      <x:c r="B2298" t="str">
        <x:v>USR-01170</x:v>
      </x:c>
      <x:c r="C2298" t="n">
        <x:v>46266</x:v>
      </x:c>
      <x:c r="D2298" t="str">
        <x:v>Entidad financiera E</x:v>
      </x:c>
      <x:c r="E2298" t="str">
        <x:v>Tarjeta de crédito</x:v>
      </x:c>
      <x:c r="F2298" t="n">
        <x:v>7280000</x:v>
      </x:c>
      <x:c r="G2298" s="40" t="n">
        <x:v>0.1097</x:v>
      </x:c>
      <x:c r="H2298" s="40" t="n">
        <x:v>0.008712</x:v>
      </x:c>
      <x:c r="I2298" t="n">
        <x:v>48</x:v>
      </x:c>
      <x:c r="J2298" t="n">
        <x:v>186200</x:v>
      </x:c>
      <x:c r="K2298" t="str">
        <x:v>Avalancha</x:v>
      </x:c>
      <x:c r="L2298" t="str">
        <x:v>Vigente</x:v>
      </x:c>
      <x:c r="M2298" t="n">
        <x:v>7129322.43</x:v>
      </x:c>
      <x:c r="N2298"/>
    </x:row>
    <x:row r="2299">
      <x:c r="A2299" t="str">
        <x:v>DEU-002298</x:v>
      </x:c>
      <x:c r="B2299" t="str">
        <x:v>USR-01170</x:v>
      </x:c>
      <x:c r="C2299" t="n">
        <x:v>46266</x:v>
      </x:c>
      <x:c r="D2299" t="str">
        <x:v>Entidad financiera A</x:v>
      </x:c>
      <x:c r="E2299" t="str">
        <x:v>Crédito educativo</x:v>
      </x:c>
      <x:c r="F2299" t="n">
        <x:v>23750000</x:v>
      </x:c>
      <x:c r="G2299" s="40" t="n">
        <x:v>0.3397</x:v>
      </x:c>
      <x:c r="H2299" s="40" t="n">
        <x:v>0.02467</x:v>
      </x:c>
      <x:c r="I2299" t="n">
        <x:v>48</x:v>
      </x:c>
      <x:c r="J2299" t="n">
        <x:v>849700</x:v>
      </x:c>
      <x:c r="K2299" t="str">
        <x:v>Avalancha</x:v>
      </x:c>
      <x:c r="L2299" t="str">
        <x:v>Vigente</x:v>
      </x:c>
      <x:c r="M2299" t="n">
        <x:v>23358709.24</x:v>
      </x:c>
      <x:c r="N2299"/>
    </x:row>
    <x:row r="2300">
      <x:c r="A2300" t="str">
        <x:v>DEU-002299</x:v>
      </x:c>
      <x:c r="B2300" t="str">
        <x:v>USR-01171</x:v>
      </x:c>
      <x:c r="C2300" t="n">
        <x:v>46266</x:v>
      </x:c>
      <x:c r="D2300" t="str">
        <x:v>Cooperativa C</x:v>
      </x:c>
      <x:c r="E2300" t="str">
        <x:v>Crédito de consumo</x:v>
      </x:c>
      <x:c r="F2300" t="n">
        <x:v>2380000</x:v>
      </x:c>
      <x:c r="G2300" s="40" t="n">
        <x:v>0.1285</x:v>
      </x:c>
      <x:c r="H2300" s="40" t="n">
        <x:v>0.010125</x:v>
      </x:c>
      <x:c r="I2300" t="n">
        <x:v>18</x:v>
      </x:c>
      <x:c r="J2300" t="n">
        <x:v>145300</x:v>
      </x:c>
      <x:c r="K2300" t="str">
        <x:v>Avalancha</x:v>
      </x:c>
      <x:c r="L2300" t="str">
        <x:v>Vigente</x:v>
      </x:c>
      <x:c r="M2300" t="n">
        <x:v>2236997.56</x:v>
      </x:c>
      <x:c r="N2300"/>
    </x:row>
    <x:row r="2301">
      <x:c r="A2301" t="str">
        <x:v>DEU-002300</x:v>
      </x:c>
      <x:c r="B2301" t="str">
        <x:v>USR-01171</x:v>
      </x:c>
      <x:c r="C2301" t="n">
        <x:v>46266</x:v>
      </x:c>
      <x:c r="D2301" t="str">
        <x:v>Entidad financiera B</x:v>
      </x:c>
      <x:c r="E2301" t="str">
        <x:v>Crédito de consumo</x:v>
      </x:c>
      <x:c r="F2301" t="n">
        <x:v>11050000</x:v>
      </x:c>
      <x:c r="G2301" s="40" t="n">
        <x:v>0.3401</x:v>
      </x:c>
      <x:c r="H2301" s="40" t="n">
        <x:v>0.024695</x:v>
      </x:c>
      <x:c r="I2301" t="n">
        <x:v>60</x:v>
      </x:c>
      <x:c r="J2301" t="n">
        <x:v>355000</x:v>
      </x:c>
      <x:c r="K2301" t="str">
        <x:v>Avalancha</x:v>
      </x:c>
      <x:c r="L2301" t="str">
        <x:v>Vigente</x:v>
      </x:c>
      <x:c r="M2301" t="n">
        <x:v>11038883.67</x:v>
      </x:c>
      <x:c r="N2301"/>
    </x:row>
    <x:row r="2302">
      <x:c r="A2302" t="str">
        <x:v>DEU-002301</x:v>
      </x:c>
      <x:c r="B2302" t="str">
        <x:v>USR-01172</x:v>
      </x:c>
      <x:c r="C2302" t="n">
        <x:v>46266</x:v>
      </x:c>
      <x:c r="D2302" t="str">
        <x:v>Financiera D</x:v>
      </x:c>
      <x:c r="E2302" t="str">
        <x:v>Crédito educativo</x:v>
      </x:c>
      <x:c r="F2302" t="n">
        <x:v>4620000</x:v>
      </x:c>
      <x:c r="G2302" s="40" t="n">
        <x:v>0.1402</x:v>
      </x:c>
      <x:c r="H2302" s="40" t="n">
        <x:v>0.010994</x:v>
      </x:c>
      <x:c r="I2302" t="n">
        <x:v>12</x:v>
      </x:c>
      <x:c r="J2302" t="n">
        <x:v>413100</x:v>
      </x:c>
      <x:c r="K2302" t="str">
        <x:v>Bola de nieve</x:v>
      </x:c>
      <x:c r="L2302" t="str">
        <x:v>Vigente</x:v>
      </x:c>
      <x:c r="M2302" t="n">
        <x:v>4257690.58</x:v>
      </x:c>
      <x:c r="N2302"/>
    </x:row>
    <x:row r="2303">
      <x:c r="A2303" t="str">
        <x:v>DEU-002302</x:v>
      </x:c>
      <x:c r="B2303" t="str">
        <x:v>USR-01172</x:v>
      </x:c>
      <x:c r="C2303" t="n">
        <x:v>46266</x:v>
      </x:c>
      <x:c r="D2303" t="str">
        <x:v>Cooperativa C</x:v>
      </x:c>
      <x:c r="E2303" t="str">
        <x:v>Tarjeta de crédito</x:v>
      </x:c>
      <x:c r="F2303" t="n">
        <x:v>6020000</x:v>
      </x:c>
      <x:c r="G2303" s="40" t="n">
        <x:v>0.2999</x:v>
      </x:c>
      <x:c r="H2303" s="40" t="n">
        <x:v>0.022098</x:v>
      </x:c>
      <x:c r="I2303" t="n">
        <x:v>48</x:v>
      </x:c>
      <x:c r="J2303" t="n">
        <x:v>204700</x:v>
      </x:c>
      <x:c r="K2303" t="str">
        <x:v>Avalancha</x:v>
      </x:c>
      <x:c r="L2303" t="str">
        <x:v>Vigente</x:v>
      </x:c>
      <x:c r="M2303" t="n">
        <x:v>6153029.35</x:v>
      </x:c>
      <x:c r="N2303"/>
    </x:row>
    <x:row r="2304">
      <x:c r="A2304" t="str">
        <x:v>DEU-002303</x:v>
      </x:c>
      <x:c r="B2304" t="str">
        <x:v>USR-01173</x:v>
      </x:c>
      <x:c r="C2304" t="n">
        <x:v>46266</x:v>
      </x:c>
      <x:c r="D2304" t="str">
        <x:v>Cooperativa C</x:v>
      </x:c>
      <x:c r="E2304" t="str">
        <x:v>Tarjeta de crédito</x:v>
      </x:c>
      <x:c r="F2304" t="n">
        <x:v>6050000</x:v>
      </x:c>
      <x:c r="G2304" s="40" t="n">
        <x:v>0.1596</x:v>
      </x:c>
      <x:c r="H2304" s="40" t="n">
        <x:v>0.012416</x:v>
      </x:c>
      <x:c r="I2304" t="n">
        <x:v>18</x:v>
      </x:c>
      <x:c r="J2304" t="n">
        <x:v>377100</x:v>
      </x:c>
      <x:c r="K2304" t="str">
        <x:v>Bola de nieve</x:v>
      </x:c>
      <x:c r="L2304" t="str">
        <x:v>Vigente</x:v>
      </x:c>
      <x:c r="M2304" t="n">
        <x:v>5691417.04</x:v>
      </x:c>
      <x:c r="N2304"/>
    </x:row>
    <x:row r="2305">
      <x:c r="A2305" t="str">
        <x:v>DEU-002304</x:v>
      </x:c>
      <x:c r="B2305" t="str">
        <x:v>USR-01173</x:v>
      </x:c>
      <x:c r="C2305" t="n">
        <x:v>46266</x:v>
      </x:c>
      <x:c r="D2305" t="str">
        <x:v>Entidad financiera A</x:v>
      </x:c>
      <x:c r="E2305" t="str">
        <x:v>Tarjeta de crédito</x:v>
      </x:c>
      <x:c r="F2305" t="n">
        <x:v>7350000</x:v>
      </x:c>
      <x:c r="G2305" s="40" t="n">
        <x:v>0.3094</x:v>
      </x:c>
      <x:c r="H2305" s="40" t="n">
        <x:v>0.022718</x:v>
      </x:c>
      <x:c r="I2305" t="n">
        <x:v>60</x:v>
      </x:c>
      <x:c r="J2305" t="n">
        <x:v>225600</x:v>
      </x:c>
      <x:c r="K2305" t="str">
        <x:v>Avalancha</x:v>
      </x:c>
      <x:c r="L2305" t="str">
        <x:v>Vigente</x:v>
      </x:c>
      <x:c r="M2305" t="n">
        <x:v>7291379.52</x:v>
      </x:c>
      <x:c r="N2305"/>
    </x:row>
    <x:row r="2306">
      <x:c r="A2306" t="str">
        <x:v>DEU-002305</x:v>
      </x:c>
      <x:c r="B2306" t="str">
        <x:v>USR-01174</x:v>
      </x:c>
      <x:c r="C2306" t="n">
        <x:v>46266</x:v>
      </x:c>
      <x:c r="D2306" t="str">
        <x:v>Entidad financiera B</x:v>
      </x:c>
      <x:c r="E2306" t="str">
        <x:v>Crédito educativo</x:v>
      </x:c>
      <x:c r="F2306" t="n">
        <x:v>21180000</x:v>
      </x:c>
      <x:c r="G2306" s="40" t="n">
        <x:v>0.2726</x:v>
      </x:c>
      <x:c r="H2306" s="40" t="n">
        <x:v>0.020292</x:v>
      </x:c>
      <x:c r="I2306" t="n">
        <x:v>36</x:v>
      </x:c>
      <x:c r="J2306" t="n">
        <x:v>834800</x:v>
      </x:c>
      <x:c r="K2306" t="str">
        <x:v>Avalancha</x:v>
      </x:c>
      <x:c r="L2306" t="str">
        <x:v>Vigente</x:v>
      </x:c>
      <x:c r="M2306" t="n">
        <x:v>20774976.86</x:v>
      </x:c>
      <x:c r="N2306"/>
    </x:row>
    <x:row r="2307">
      <x:c r="A2307" t="str">
        <x:v>DEU-002306</x:v>
      </x:c>
      <x:c r="B2307" t="str">
        <x:v>USR-01174</x:v>
      </x:c>
      <x:c r="C2307" t="n">
        <x:v>46266</x:v>
      </x:c>
      <x:c r="D2307" t="str">
        <x:v>Cooperativa C</x:v>
      </x:c>
      <x:c r="E2307" t="str">
        <x:v>Tarjeta de crédito</x:v>
      </x:c>
      <x:c r="F2307" t="n">
        <x:v>6170000</x:v>
      </x:c>
      <x:c r="G2307" s="40" t="n">
        <x:v>0.1577</x:v>
      </x:c>
      <x:c r="H2307" s="40" t="n">
        <x:v>0.012278</x:v>
      </x:c>
      <x:c r="I2307" t="n">
        <x:v>30</x:v>
      </x:c>
      <x:c r="J2307" t="n">
        <x:v>247100</x:v>
      </x:c>
      <x:c r="K2307" t="str">
        <x:v>Avalancha</x:v>
      </x:c>
      <x:c r="L2307" t="str">
        <x:v>Vigente</x:v>
      </x:c>
      <x:c r="M2307" t="n">
        <x:v>5998653.41</x:v>
      </x:c>
      <x:c r="N2307"/>
    </x:row>
    <x:row r="2308">
      <x:c r="A2308" t="str">
        <x:v>DEU-002307</x:v>
      </x:c>
      <x:c r="B2308" t="str">
        <x:v>USR-01175</x:v>
      </x:c>
      <x:c r="C2308" t="n">
        <x:v>46266</x:v>
      </x:c>
      <x:c r="D2308" t="str">
        <x:v>Entidad financiera B</x:v>
      </x:c>
      <x:c r="E2308" t="str">
        <x:v>Crédito de consumo</x:v>
      </x:c>
      <x:c r="F2308" t="n">
        <x:v>16960000</x:v>
      </x:c>
      <x:c r="G2308" s="40" t="n">
        <x:v>0.2735</x:v>
      </x:c>
      <x:c r="H2308" s="40" t="n">
        <x:v>0.020352</x:v>
      </x:c>
      <x:c r="I2308" t="n">
        <x:v>12</x:v>
      </x:c>
      <x:c r="J2308" t="n">
        <x:v>1607200</x:v>
      </x:c>
      <x:c r="K2308" t="str">
        <x:v>Avalancha</x:v>
      </x:c>
      <x:c r="L2308" t="str">
        <x:v>Vigente</x:v>
      </x:c>
      <x:c r="M2308" t="n">
        <x:v>17305165.63</x:v>
      </x:c>
      <x:c r="N2308"/>
    </x:row>
    <x:row r="2309">
      <x:c r="A2309" t="str">
        <x:v>DEU-002308</x:v>
      </x:c>
      <x:c r="B2309" t="str">
        <x:v>USR-01175</x:v>
      </x:c>
      <x:c r="C2309" t="n">
        <x:v>46266</x:v>
      </x:c>
      <x:c r="D2309" t="str">
        <x:v>Entidad financiera A</x:v>
      </x:c>
      <x:c r="E2309" t="str">
        <x:v>Tarjeta de crédito</x:v>
      </x:c>
      <x:c r="F2309" t="n">
        <x:v>4520000</x:v>
      </x:c>
      <x:c r="G2309" s="40" t="n">
        <x:v>0.3083</x:v>
      </x:c>
      <x:c r="H2309" s="40" t="n">
        <x:v>0.022647</x:v>
      </x:c>
      <x:c r="I2309" t="n">
        <x:v>48</x:v>
      </x:c>
      <x:c r="J2309" t="n">
        <x:v>155400</x:v>
      </x:c>
      <x:c r="K2309" t="str">
        <x:v>Bola de nieve</x:v>
      </x:c>
      <x:c r="L2309" t="str">
        <x:v>Vigente</x:v>
      </x:c>
      <x:c r="M2309" t="n">
        <x:v>4536862.98</x:v>
      </x:c>
      <x:c r="N2309"/>
    </x:row>
    <x:row r="2310">
      <x:c r="A2310" t="str">
        <x:v>DEU-002309</x:v>
      </x:c>
      <x:c r="B2310" t="str">
        <x:v>USR-01175</x:v>
      </x:c>
      <x:c r="C2310" t="n">
        <x:v>46266</x:v>
      </x:c>
      <x:c r="D2310" t="str">
        <x:v>Entidad financiera B</x:v>
      </x:c>
      <x:c r="E2310" t="str">
        <x:v>Tarjeta de crédito</x:v>
      </x:c>
      <x:c r="F2310" t="n">
        <x:v>4650000</x:v>
      </x:c>
      <x:c r="G2310" s="40" t="n">
        <x:v>0.2232</x:v>
      </x:c>
      <x:c r="H2310" s="40" t="n">
        <x:v>0.016931</x:v>
      </x:c>
      <x:c r="I2310" t="n">
        <x:v>48</x:v>
      </x:c>
      <x:c r="J2310" t="n">
        <x:v>142300</x:v>
      </x:c>
      <x:c r="K2310" t="str">
        <x:v>Bola de nieve</x:v>
      </x:c>
      <x:c r="L2310" t="str">
        <x:v>Vigente</x:v>
      </x:c>
      <x:c r="M2310" t="n">
        <x:v>4614928.82</x:v>
      </x:c>
      <x:c r="N2310"/>
    </x:row>
    <x:row r="2311">
      <x:c r="A2311" t="str">
        <x:v>DEU-002310</x:v>
      </x:c>
      <x:c r="B2311" t="str">
        <x:v>USR-01176</x:v>
      </x:c>
      <x:c r="C2311" t="n">
        <x:v>46266</x:v>
      </x:c>
      <x:c r="D2311" t="str">
        <x:v>Entidad financiera E</x:v>
      </x:c>
      <x:c r="E2311" t="str">
        <x:v>Crédito de consumo</x:v>
      </x:c>
      <x:c r="F2311" t="n">
        <x:v>14160000</x:v>
      </x:c>
      <x:c r="G2311" s="40" t="n">
        <x:v>0.2276</x:v>
      </x:c>
      <x:c r="H2311" s="40" t="n">
        <x:v>0.017235</x:v>
      </x:c>
      <x:c r="I2311" t="n">
        <x:v>18</x:v>
      </x:c>
      <x:c r="J2311" t="n">
        <x:v>921700</x:v>
      </x:c>
      <x:c r="K2311" t="str">
        <x:v>Bola de nieve</x:v>
      </x:c>
      <x:c r="L2311" t="str">
        <x:v>Vigente</x:v>
      </x:c>
      <x:c r="M2311" t="n">
        <x:v>13482351.32</x:v>
      </x:c>
      <x:c r="N2311"/>
    </x:row>
    <x:row r="2312">
      <x:c r="A2312" t="str">
        <x:v>DEU-002311</x:v>
      </x:c>
      <x:c r="B2312" t="str">
        <x:v>USR-01176</x:v>
      </x:c>
      <x:c r="C2312" t="n">
        <x:v>46266</x:v>
      </x:c>
      <x:c r="D2312" t="str">
        <x:v>Cooperativa C</x:v>
      </x:c>
      <x:c r="E2312" t="str">
        <x:v>Crédito de consumo</x:v>
      </x:c>
      <x:c r="F2312" t="n">
        <x:v>2940000</x:v>
      </x:c>
      <x:c r="G2312" s="40" t="n">
        <x:v>0.3225</x:v>
      </x:c>
      <x:c r="H2312" s="40" t="n">
        <x:v>0.023567</x:v>
      </x:c>
      <x:c r="I2312" t="n">
        <x:v>18</x:v>
      </x:c>
      <x:c r="J2312" t="n">
        <x:v>202300</x:v>
      </x:c>
      <x:c r="K2312" t="str">
        <x:v>Avalancha</x:v>
      </x:c>
      <x:c r="L2312" t="str">
        <x:v>Vigente</x:v>
      </x:c>
      <x:c r="M2312" t="n">
        <x:v>2776687.19</x:v>
      </x:c>
      <x:c r="N2312"/>
    </x:row>
    <x:row r="2313">
      <x:c r="A2313" t="str">
        <x:v>DEU-002312</x:v>
      </x:c>
      <x:c r="B2313" t="str">
        <x:v>USR-01176</x:v>
      </x:c>
      <x:c r="C2313" t="n">
        <x:v>46266</x:v>
      </x:c>
      <x:c r="D2313" t="str">
        <x:v>Entidad financiera B</x:v>
      </x:c>
      <x:c r="E2313" t="str">
        <x:v>Crédito de vehículo</x:v>
      </x:c>
      <x:c r="F2313" t="n">
        <x:v>45660000</x:v>
      </x:c>
      <x:c r="G2313" s="40" t="n">
        <x:v>0.2681</x:v>
      </x:c>
      <x:c r="H2313" s="40" t="n">
        <x:v>0.01999</x:v>
      </x:c>
      <x:c r="I2313" t="n">
        <x:v>24</x:v>
      </x:c>
      <x:c r="J2313" t="n">
        <x:v>2413800</x:v>
      </x:c>
      <x:c r="K2313" t="str">
        <x:v>Bola de nieve</x:v>
      </x:c>
      <x:c r="L2313" t="str">
        <x:v>Vigente</x:v>
      </x:c>
      <x:c r="M2313" t="n">
        <x:v>42952066.06</x:v>
      </x:c>
      <x:c r="N2313"/>
    </x:row>
    <x:row r="2314">
      <x:c r="A2314" t="str">
        <x:v>DEU-002313</x:v>
      </x:c>
      <x:c r="B2314" t="str">
        <x:v>USR-01176</x:v>
      </x:c>
      <x:c r="C2314" t="n">
        <x:v>46266</x:v>
      </x:c>
      <x:c r="D2314" t="str">
        <x:v>Entidad financiera A</x:v>
      </x:c>
      <x:c r="E2314" t="str">
        <x:v>Crédito de consumo</x:v>
      </x:c>
      <x:c r="F2314" t="n">
        <x:v>8560000</x:v>
      </x:c>
      <x:c r="G2314" s="40" t="n">
        <x:v>0.3114</x:v>
      </x:c>
      <x:c r="H2314" s="40" t="n">
        <x:v>0.022848</x:v>
      </x:c>
      <x:c r="I2314" t="n">
        <x:v>18</x:v>
      </x:c>
      <x:c r="J2314" t="n">
        <x:v>585400</x:v>
      </x:c>
      <x:c r="K2314" t="str">
        <x:v>Bola de nieve</x:v>
      </x:c>
      <x:c r="L2314" t="str">
        <x:v>Vigente</x:v>
      </x:c>
      <x:c r="M2314" t="n">
        <x:v>8170182.2</x:v>
      </x:c>
      <x:c r="N2314"/>
    </x:row>
    <x:row r="2315">
      <x:c r="A2315" t="str">
        <x:v>DEU-002314</x:v>
      </x:c>
      <x:c r="B2315" t="str">
        <x:v>USR-01176</x:v>
      </x:c>
      <x:c r="C2315" t="n">
        <x:v>46266</x:v>
      </x:c>
      <x:c r="D2315" t="str">
        <x:v>Entidad financiera E</x:v>
      </x:c>
      <x:c r="E2315" t="str">
        <x:v>Crédito de vehículo</x:v>
      </x:c>
      <x:c r="F2315" t="n">
        <x:v>28070000</x:v>
      </x:c>
      <x:c r="G2315" s="40" t="n">
        <x:v>0.1963</x:v>
      </x:c>
      <x:c r="H2315" s="40" t="n">
        <x:v>0.015048</x:v>
      </x:c>
      <x:c r="I2315" t="n">
        <x:v>48</x:v>
      </x:c>
      <x:c r="J2315" t="n">
        <x:v>825400</x:v>
      </x:c>
      <x:c r="K2315" t="str">
        <x:v>Bola de nieve</x:v>
      </x:c>
      <x:c r="L2315" t="str">
        <x:v>Vigente</x:v>
      </x:c>
      <x:c r="M2315" t="n">
        <x:v>27543203.62</x:v>
      </x:c>
      <x:c r="N2315"/>
    </x:row>
    <x:row r="2316">
      <x:c r="A2316" t="str">
        <x:v>DEU-002315</x:v>
      </x:c>
      <x:c r="B2316" t="str">
        <x:v>USR-01177</x:v>
      </x:c>
      <x:c r="C2316" t="n">
        <x:v>46266</x:v>
      </x:c>
      <x:c r="D2316" t="str">
        <x:v>Cooperativa C</x:v>
      </x:c>
      <x:c r="E2316" t="str">
        <x:v>Tarjeta de crédito</x:v>
      </x:c>
      <x:c r="F2316" t="n">
        <x:v>6020000</x:v>
      </x:c>
      <x:c r="G2316" s="40" t="n">
        <x:v>0.1987</x:v>
      </x:c>
      <x:c r="H2316" s="40" t="n">
        <x:v>0.015218</x:v>
      </x:c>
      <x:c r="I2316" t="n">
        <x:v>18</x:v>
      </x:c>
      <x:c r="J2316" t="n">
        <x:v>384900</x:v>
      </x:c>
      <x:c r="K2316" t="str">
        <x:v>Avalancha</x:v>
      </x:c>
      <x:c r="L2316" t="str">
        <x:v>Vigente</x:v>
      </x:c>
      <x:c r="M2316" t="n">
        <x:v>5534210.95</x:v>
      </x:c>
      <x:c r="N2316"/>
    </x:row>
    <x:row r="2317">
      <x:c r="A2317" t="str">
        <x:v>DEU-002316</x:v>
      </x:c>
      <x:c r="B2317" t="str">
        <x:v>USR-01177</x:v>
      </x:c>
      <x:c r="C2317" t="n">
        <x:v>46266</x:v>
      </x:c>
      <x:c r="D2317" t="str">
        <x:v>Cooperativa C</x:v>
      </x:c>
      <x:c r="E2317" t="str">
        <x:v>Crédito de consumo</x:v>
      </x:c>
      <x:c r="F2317" t="n">
        <x:v>12700000</x:v>
      </x:c>
      <x:c r="G2317" s="40" t="n">
        <x:v>0.1961</x:v>
      </x:c>
      <x:c r="H2317" s="40" t="n">
        <x:v>0.015034</x:v>
      </x:c>
      <x:c r="I2317" t="n">
        <x:v>48</x:v>
      </x:c>
      <x:c r="J2317" t="n">
        <x:v>373300</x:v>
      </x:c>
      <x:c r="K2317" t="str">
        <x:v>Avalancha</x:v>
      </x:c>
      <x:c r="L2317" t="str">
        <x:v>Vigente</x:v>
      </x:c>
      <x:c r="M2317" t="n">
        <x:v>12517632.82</x:v>
      </x:c>
      <x:c r="N2317"/>
    </x:row>
    <x:row r="2318">
      <x:c r="A2318" t="str">
        <x:v>DEU-002317</x:v>
      </x:c>
      <x:c r="B2318" t="str">
        <x:v>USR-01178</x:v>
      </x:c>
      <x:c r="C2318" t="n">
        <x:v>46266</x:v>
      </x:c>
      <x:c r="D2318" t="str">
        <x:v>Entidad financiera B</x:v>
      </x:c>
      <x:c r="E2318" t="str">
        <x:v>Crédito de libre inversión</x:v>
      </x:c>
      <x:c r="F2318" t="n">
        <x:v>16890000</x:v>
      </x:c>
      <x:c r="G2318" s="40" t="n">
        <x:v>0.2866</x:v>
      </x:c>
      <x:c r="H2318" s="40" t="n">
        <x:v>0.021222</x:v>
      </x:c>
      <x:c r="I2318" t="n">
        <x:v>60</x:v>
      </x:c>
      <x:c r="J2318" t="n">
        <x:v>500400</x:v>
      </x:c>
      <x:c r="K2318" t="str">
        <x:v>Bola de nieve</x:v>
      </x:c>
      <x:c r="L2318" t="str">
        <x:v>Vigente</x:v>
      </x:c>
      <x:c r="M2318" t="n">
        <x:v>16848144.88</x:v>
      </x:c>
      <x:c r="N2318"/>
    </x:row>
    <x:row r="2319">
      <x:c r="A2319" t="str">
        <x:v>DEU-002318</x:v>
      </x:c>
      <x:c r="B2319" t="str">
        <x:v>USR-01179</x:v>
      </x:c>
      <x:c r="C2319" t="n">
        <x:v>46266</x:v>
      </x:c>
      <x:c r="D2319" t="str">
        <x:v>Entidad financiera A</x:v>
      </x:c>
      <x:c r="E2319" t="str">
        <x:v>Tarjeta de crédito</x:v>
      </x:c>
      <x:c r="F2319" t="n">
        <x:v>4040000</x:v>
      </x:c>
      <x:c r="G2319" s="40" t="n">
        <x:v>0.2314</x:v>
      </x:c>
      <x:c r="H2319" s="40" t="n">
        <x:v>0.017497</x:v>
      </x:c>
      <x:c r="I2319" t="n">
        <x:v>48</x:v>
      </x:c>
      <x:c r="J2319" t="n">
        <x:v>125100</x:v>
      </x:c>
      <x:c r="K2319" t="str">
        <x:v>Avalancha</x:v>
      </x:c>
      <x:c r="L2319" t="str">
        <x:v>Vigente</x:v>
      </x:c>
      <x:c r="M2319" t="n">
        <x:v>4110689.06</x:v>
      </x:c>
      <x:c r="N2319"/>
    </x:row>
    <x:row r="2320">
      <x:c r="A2320" t="str">
        <x:v>DEU-002319</x:v>
      </x:c>
      <x:c r="B2320" t="str">
        <x:v>USR-01179</x:v>
      </x:c>
      <x:c r="C2320" t="n">
        <x:v>46266</x:v>
      </x:c>
      <x:c r="D2320" t="str">
        <x:v>Entidad financiera E</x:v>
      </x:c>
      <x:c r="E2320" t="str">
        <x:v>Crédito de consumo</x:v>
      </x:c>
      <x:c r="F2320" t="n">
        <x:v>18400000</x:v>
      </x:c>
      <x:c r="G2320" s="40" t="n">
        <x:v>0.1701</x:v>
      </x:c>
      <x:c r="H2320" s="40" t="n">
        <x:v>0.013177</x:v>
      </x:c>
      <x:c r="I2320" t="n">
        <x:v>60</x:v>
      </x:c>
      <x:c r="J2320" t="n">
        <x:v>445600</x:v>
      </x:c>
      <x:c r="K2320" t="str">
        <x:v>Avalancha</x:v>
      </x:c>
      <x:c r="L2320" t="str">
        <x:v>Vigente</x:v>
      </x:c>
      <x:c r="M2320" t="n">
        <x:v>18285953.62</x:v>
      </x:c>
      <x:c r="N2320"/>
    </x:row>
    <x:row r="2321">
      <x:c r="A2321" t="str">
        <x:v>DEU-002320</x:v>
      </x:c>
      <x:c r="B2321" t="str">
        <x:v>USR-01180</x:v>
      </x:c>
      <x:c r="C2321" t="n">
        <x:v>46266</x:v>
      </x:c>
      <x:c r="D2321" t="str">
        <x:v>Entidad financiera B</x:v>
      </x:c>
      <x:c r="E2321" t="str">
        <x:v>Crédito de vehículo</x:v>
      </x:c>
      <x:c r="F2321" t="n">
        <x:v>40690000</x:v>
      </x:c>
      <x:c r="G2321" s="40" t="n">
        <x:v>0.1979</x:v>
      </x:c>
      <x:c r="H2321" s="40" t="n">
        <x:v>0.015161</x:v>
      </x:c>
      <x:c r="I2321" t="n">
        <x:v>48</x:v>
      </x:c>
      <x:c r="J2321" t="n">
        <x:v>1199400</x:v>
      </x:c>
      <x:c r="K2321" t="str">
        <x:v>Bola de nieve</x:v>
      </x:c>
      <x:c r="L2321" t="str">
        <x:v>Vigente</x:v>
      </x:c>
      <x:c r="M2321" t="n">
        <x:v>40107512.71</x:v>
      </x:c>
      <x:c r="N2321"/>
    </x:row>
    <x:row r="2322">
      <x:c r="A2322" t="str">
        <x:v>DEU-002321</x:v>
      </x:c>
      <x:c r="B2322" t="str">
        <x:v>USR-01180</x:v>
      </x:c>
      <x:c r="C2322" t="n">
        <x:v>46266</x:v>
      </x:c>
      <x:c r="D2322" t="str">
        <x:v>Financiera D</x:v>
      </x:c>
      <x:c r="E2322" t="str">
        <x:v>Tarjeta de crédito</x:v>
      </x:c>
      <x:c r="F2322" t="n">
        <x:v>6660000</x:v>
      </x:c>
      <x:c r="G2322" s="40" t="n">
        <x:v>0.2021</x:v>
      </x:c>
      <x:c r="H2322" s="40" t="n">
        <x:v>0.015457</x:v>
      </x:c>
      <x:c r="I2322" t="n">
        <x:v>48</x:v>
      </x:c>
      <x:c r="J2322" t="n">
        <x:v>197600</x:v>
      </x:c>
      <x:c r="K2322" t="str">
        <x:v>Bola de nieve</x:v>
      </x:c>
      <x:c r="L2322" t="str">
        <x:v>Vigente</x:v>
      </x:c>
      <x:c r="M2322" t="n">
        <x:v>6565346.4</x:v>
      </x:c>
      <x:c r="N2322"/>
    </x:row>
    <x:row r="2323">
      <x:c r="A2323" t="str">
        <x:v>DEU-002322</x:v>
      </x:c>
      <x:c r="B2323" t="str">
        <x:v>USR-01181</x:v>
      </x:c>
      <x:c r="C2323" t="n">
        <x:v>46266</x:v>
      </x:c>
      <x:c r="D2323" t="str">
        <x:v>Entidad financiera E</x:v>
      </x:c>
      <x:c r="E2323" t="str">
        <x:v>Crédito de libre inversión</x:v>
      </x:c>
      <x:c r="F2323" t="n">
        <x:v>3590000</x:v>
      </x:c>
      <x:c r="G2323" s="40" t="n">
        <x:v>0.1572</x:v>
      </x:c>
      <x:c r="H2323" s="40" t="n">
        <x:v>0.012241</x:v>
      </x:c>
      <x:c r="I2323" t="n">
        <x:v>30</x:v>
      </x:c>
      <x:c r="J2323" t="n">
        <x:v>143700</x:v>
      </x:c>
      <x:c r="K2323" t="str">
        <x:v>Avalancha</x:v>
      </x:c>
      <x:c r="L2323" t="str">
        <x:v>Vigente</x:v>
      </x:c>
      <x:c r="M2323" t="n">
        <x:v>3633946.12</x:v>
      </x:c>
      <x:c r="N2323"/>
    </x:row>
    <x:row r="2324">
      <x:c r="A2324" t="str">
        <x:v>DEU-002323</x:v>
      </x:c>
      <x:c r="B2324" t="str">
        <x:v>USR-01181</x:v>
      </x:c>
      <x:c r="C2324" t="n">
        <x:v>46266</x:v>
      </x:c>
      <x:c r="D2324" t="str">
        <x:v>Entidad financiera E</x:v>
      </x:c>
      <x:c r="E2324" t="str">
        <x:v>Tarjeta de crédito</x:v>
      </x:c>
      <x:c r="F2324" t="n">
        <x:v>2990000</x:v>
      </x:c>
      <x:c r="G2324" s="40" t="n">
        <x:v>0.2714</x:v>
      </x:c>
      <x:c r="H2324" s="40" t="n">
        <x:v>0.020211</x:v>
      </x:c>
      <x:c r="I2324" t="n">
        <x:v>12</x:v>
      </x:c>
      <x:c r="J2324" t="n">
        <x:v>283100</x:v>
      </x:c>
      <x:c r="K2324" t="str">
        <x:v>Avalancha</x:v>
      </x:c>
      <x:c r="L2324" t="str">
        <x:v>Vigente</x:v>
      </x:c>
      <x:c r="M2324" t="n">
        <x:v>2894732.17</x:v>
      </x:c>
      <x:c r="N2324"/>
    </x:row>
    <x:row r="2325">
      <x:c r="A2325" t="str">
        <x:v>DEU-002324</x:v>
      </x:c>
      <x:c r="B2325" t="str">
        <x:v>USR-01182</x:v>
      </x:c>
      <x:c r="C2325" t="n">
        <x:v>46266</x:v>
      </x:c>
      <x:c r="D2325" t="str">
        <x:v>Entidad financiera E</x:v>
      </x:c>
      <x:c r="E2325" t="str">
        <x:v>Tarjeta de crédito</x:v>
      </x:c>
      <x:c r="F2325" t="n">
        <x:v>7950000</x:v>
      </x:c>
      <x:c r="G2325" s="40" t="n">
        <x:v>0.1189</x:v>
      </x:c>
      <x:c r="H2325" s="40" t="n">
        <x:v>0.009406</x:v>
      </x:c>
      <x:c r="I2325" t="n">
        <x:v>48</x:v>
      </x:c>
      <x:c r="J2325" t="n">
        <x:v>206600</x:v>
      </x:c>
      <x:c r="K2325" t="str">
        <x:v>Avalancha</x:v>
      </x:c>
      <x:c r="L2325" t="str">
        <x:v>Vigente</x:v>
      </x:c>
      <x:c r="M2325" t="n">
        <x:v>7818178.76</x:v>
      </x:c>
      <x:c r="N2325"/>
    </x:row>
    <x:row r="2326">
      <x:c r="A2326" t="str">
        <x:v>DEU-002325</x:v>
      </x:c>
      <x:c r="B2326" t="str">
        <x:v>USR-01183</x:v>
      </x:c>
      <x:c r="C2326" t="n">
        <x:v>46266</x:v>
      </x:c>
      <x:c r="D2326" t="str">
        <x:v>Entidad financiera E</x:v>
      </x:c>
      <x:c r="E2326" t="str">
        <x:v>Tarjeta de crédito</x:v>
      </x:c>
      <x:c r="F2326" t="n">
        <x:v>2030000</x:v>
      </x:c>
      <x:c r="G2326" s="40" t="n">
        <x:v>0.2653</x:v>
      </x:c>
      <x:c r="H2326" s="40" t="n">
        <x:v>0.019803</x:v>
      </x:c>
      <x:c r="I2326" t="n">
        <x:v>18</x:v>
      </x:c>
      <x:c r="J2326" t="n">
        <x:v>135200</x:v>
      </x:c>
      <x:c r="K2326" t="str">
        <x:v>Avalancha</x:v>
      </x:c>
      <x:c r="L2326" t="str">
        <x:v>Vigente</x:v>
      </x:c>
      <x:c r="M2326" t="n">
        <x:v>1934999.33</x:v>
      </x:c>
      <x:c r="N2326"/>
    </x:row>
    <x:row r="2327">
      <x:c r="A2327" t="str">
        <x:v>DEU-002326</x:v>
      </x:c>
      <x:c r="B2327" t="str">
        <x:v>USR-01184</x:v>
      </x:c>
      <x:c r="C2327" t="n">
        <x:v>46266</x:v>
      </x:c>
      <x:c r="D2327" t="str">
        <x:v>Financiera D</x:v>
      </x:c>
      <x:c r="E2327" t="str">
        <x:v>Crédito educativo</x:v>
      </x:c>
      <x:c r="F2327" t="n">
        <x:v>24190000</x:v>
      </x:c>
      <x:c r="G2327" s="40" t="n">
        <x:v>0.241</x:v>
      </x:c>
      <x:c r="H2327" s="40" t="n">
        <x:v>0.018156</x:v>
      </x:c>
      <x:c r="I2327" t="n">
        <x:v>60</x:v>
      </x:c>
      <x:c r="J2327" t="n">
        <x:v>665200</x:v>
      </x:c>
      <x:c r="K2327" t="str">
        <x:v>Avalancha</x:v>
      </x:c>
      <x:c r="L2327" t="str">
        <x:v>Vigente</x:v>
      </x:c>
      <x:c r="M2327" t="n">
        <x:v>23963993.09</x:v>
      </x:c>
      <x:c r="N2327"/>
    </x:row>
    <x:row r="2328">
      <x:c r="A2328" t="str">
        <x:v>DEU-002327</x:v>
      </x:c>
      <x:c r="B2328" t="str">
        <x:v>USR-01185</x:v>
      </x:c>
      <x:c r="C2328" t="n">
        <x:v>46266</x:v>
      </x:c>
      <x:c r="D2328" t="str">
        <x:v>Financiera D</x:v>
      </x:c>
      <x:c r="E2328" t="str">
        <x:v>Tarjeta de crédito</x:v>
      </x:c>
      <x:c r="F2328" t="n">
        <x:v>3990000</x:v>
      </x:c>
      <x:c r="G2328" s="40" t="n">
        <x:v>0.2448</x:v>
      </x:c>
      <x:c r="H2328" s="40" t="n">
        <x:v>0.018415</x:v>
      </x:c>
      <x:c r="I2328" t="n">
        <x:v>30</x:v>
      </x:c>
      <x:c r="J2328" t="n">
        <x:v>174300</x:v>
      </x:c>
      <x:c r="K2328" t="str">
        <x:v>Avalancha</x:v>
      </x:c>
      <x:c r="L2328" t="str">
        <x:v>Vigente</x:v>
      </x:c>
      <x:c r="M2328" t="n">
        <x:v>3863077.51</x:v>
      </x:c>
      <x:c r="N2328"/>
    </x:row>
    <x:row r="2329">
      <x:c r="A2329" t="str">
        <x:v>DEU-002328</x:v>
      </x:c>
      <x:c r="B2329" t="str">
        <x:v>USR-01185</x:v>
      </x:c>
      <x:c r="C2329" t="n">
        <x:v>46266</x:v>
      </x:c>
      <x:c r="D2329" t="str">
        <x:v>Entidad financiera E</x:v>
      </x:c>
      <x:c r="E2329" t="str">
        <x:v>Tarjeta de crédito</x:v>
      </x:c>
      <x:c r="F2329" t="n">
        <x:v>2680000</x:v>
      </x:c>
      <x:c r="G2329" s="40" t="n">
        <x:v>0.2768</x:v>
      </x:c>
      <x:c r="H2329" s="40" t="n">
        <x:v>0.020572</x:v>
      </x:c>
      <x:c r="I2329" t="n">
        <x:v>36</x:v>
      </x:c>
      <x:c r="J2329" t="n">
        <x:v>106100</x:v>
      </x:c>
      <x:c r="K2329" t="str">
        <x:v>Avalancha</x:v>
      </x:c>
      <x:c r="L2329" t="str">
        <x:v>Vigente</x:v>
      </x:c>
      <x:c r="M2329" t="n">
        <x:v>2613132.48</x:v>
      </x:c>
      <x:c r="N2329"/>
    </x:row>
    <x:row r="2330">
      <x:c r="A2330" t="str">
        <x:v>DEU-002329</x:v>
      </x:c>
      <x:c r="B2330" t="str">
        <x:v>USR-01186</x:v>
      </x:c>
      <x:c r="C2330" t="n">
        <x:v>46266</x:v>
      </x:c>
      <x:c r="D2330" t="str">
        <x:v>Entidad financiera E</x:v>
      </x:c>
      <x:c r="E2330" t="str">
        <x:v>Tarjeta de crédito</x:v>
      </x:c>
      <x:c r="F2330" t="n">
        <x:v>2890000</x:v>
      </x:c>
      <x:c r="G2330" s="40" t="n">
        <x:v>0.2814</x:v>
      </x:c>
      <x:c r="H2330" s="40" t="n">
        <x:v>0.020878</x:v>
      </x:c>
      <x:c r="I2330" t="n">
        <x:v>18</x:v>
      </x:c>
      <x:c r="J2330" t="n">
        <x:v>194300</x:v>
      </x:c>
      <x:c r="K2330" t="str">
        <x:v>Bola de nieve</x:v>
      </x:c>
      <x:c r="L2330" t="str">
        <x:v>Vigente</x:v>
      </x:c>
      <x:c r="M2330" t="n">
        <x:v>2756036.62</x:v>
      </x:c>
      <x:c r="N2330"/>
    </x:row>
    <x:row r="2331">
      <x:c r="A2331" t="str">
        <x:v>DEU-002330</x:v>
      </x:c>
      <x:c r="B2331" t="str">
        <x:v>USR-01186</x:v>
      </x:c>
      <x:c r="C2331" t="n">
        <x:v>46266</x:v>
      </x:c>
      <x:c r="D2331" t="str">
        <x:v>Financiera D</x:v>
      </x:c>
      <x:c r="E2331" t="str">
        <x:v>Tarjeta de crédito</x:v>
      </x:c>
      <x:c r="F2331" t="n">
        <x:v>3350000</x:v>
      </x:c>
      <x:c r="G2331" s="40" t="n">
        <x:v>0.2792</x:v>
      </x:c>
      <x:c r="H2331" s="40" t="n">
        <x:v>0.020732</x:v>
      </x:c>
      <x:c r="I2331" t="n">
        <x:v>18</x:v>
      </x:c>
      <x:c r="J2331" t="n">
        <x:v>224900</x:v>
      </x:c>
      <x:c r="K2331" t="str">
        <x:v>Avalancha</x:v>
      </x:c>
      <x:c r="L2331" t="str">
        <x:v>Vigente</x:v>
      </x:c>
      <x:c r="M2331" t="n">
        <x:v>3194550.68</x:v>
      </x:c>
      <x:c r="N2331"/>
    </x:row>
    <x:row r="2332">
      <x:c r="A2332" t="str">
        <x:v>DEU-002331</x:v>
      </x:c>
      <x:c r="B2332" t="str">
        <x:v>USR-01187</x:v>
      </x:c>
      <x:c r="C2332" t="n">
        <x:v>46266</x:v>
      </x:c>
      <x:c r="D2332" t="str">
        <x:v>Entidad financiera E</x:v>
      </x:c>
      <x:c r="E2332" t="str">
        <x:v>Crédito de vehículo</x:v>
      </x:c>
      <x:c r="F2332" t="n">
        <x:v>23980000</x:v>
      </x:c>
      <x:c r="G2332" s="40" t="n">
        <x:v>0.1873</x:v>
      </x:c>
      <x:c r="H2332" s="40" t="n">
        <x:v>0.01441</x:v>
      </x:c>
      <x:c r="I2332" t="n">
        <x:v>30</x:v>
      </x:c>
      <x:c r="J2332" t="n">
        <x:v>990200</x:v>
      </x:c>
      <x:c r="K2332" t="str">
        <x:v>Avalancha</x:v>
      </x:c>
      <x:c r="L2332" t="str">
        <x:v>Vigente</x:v>
      </x:c>
      <x:c r="M2332" t="n">
        <x:v>24325543.43</x:v>
      </x:c>
      <x:c r="N2332"/>
    </x:row>
    <x:row r="2333">
      <x:c r="A2333" t="str">
        <x:v>DEU-002332</x:v>
      </x:c>
      <x:c r="B2333" t="str">
        <x:v>USR-01187</x:v>
      </x:c>
      <x:c r="C2333" t="n">
        <x:v>46266</x:v>
      </x:c>
      <x:c r="D2333" t="str">
        <x:v>Entidad financiera A</x:v>
      </x:c>
      <x:c r="E2333" t="str">
        <x:v>Tarjeta de crédito</x:v>
      </x:c>
      <x:c r="F2333" t="n">
        <x:v>5520000</x:v>
      </x:c>
      <x:c r="G2333" s="40" t="n">
        <x:v>0.2491</x:v>
      </x:c>
      <x:c r="H2333" s="40" t="n">
        <x:v>0.018708</x:v>
      </x:c>
      <x:c r="I2333" t="n">
        <x:v>48</x:v>
      </x:c>
      <x:c r="J2333" t="n">
        <x:v>175300</x:v>
      </x:c>
      <x:c r="K2333" t="str">
        <x:v>Bola de nieve</x:v>
      </x:c>
      <x:c r="L2333" t="str">
        <x:v>Vigente</x:v>
      </x:c>
      <x:c r="M2333" t="n">
        <x:v>5447968.82</x:v>
      </x:c>
      <x:c r="N2333"/>
    </x:row>
    <x:row r="2334">
      <x:c r="A2334" t="str">
        <x:v>DEU-002333</x:v>
      </x:c>
      <x:c r="B2334" t="str">
        <x:v>USR-01187</x:v>
      </x:c>
      <x:c r="C2334" t="n">
        <x:v>46266</x:v>
      </x:c>
      <x:c r="D2334" t="str">
        <x:v>Cooperativa C</x:v>
      </x:c>
      <x:c r="E2334" t="str">
        <x:v>Tarjeta de crédito</x:v>
      </x:c>
      <x:c r="F2334" t="n">
        <x:v>1070000</x:v>
      </x:c>
      <x:c r="G2334" s="40" t="n">
        <x:v>0.162</x:v>
      </x:c>
      <x:c r="H2334" s="40" t="n">
        <x:v>0.01259</x:v>
      </x:c>
      <x:c r="I2334" t="n">
        <x:v>30</x:v>
      </x:c>
      <x:c r="J2334" t="n">
        <x:v>43000</x:v>
      </x:c>
      <x:c r="K2334" t="str">
        <x:v>Avalancha</x:v>
      </x:c>
      <x:c r="L2334" t="str">
        <x:v>Vigente</x:v>
      </x:c>
      <x:c r="M2334" t="n">
        <x:v>1049071.82</x:v>
      </x:c>
      <x:c r="N2334"/>
    </x:row>
    <x:row r="2335">
      <x:c r="A2335" t="str">
        <x:v>DEU-002334</x:v>
      </x:c>
      <x:c r="B2335" t="str">
        <x:v>USR-01187</x:v>
      </x:c>
      <x:c r="C2335" t="n">
        <x:v>46266</x:v>
      </x:c>
      <x:c r="D2335" t="str">
        <x:v>Cooperativa C</x:v>
      </x:c>
      <x:c r="E2335" t="str">
        <x:v>Crédito de consumo</x:v>
      </x:c>
      <x:c r="F2335" t="n">
        <x:v>18970000</x:v>
      </x:c>
      <x:c r="G2335" s="40" t="n">
        <x:v>0.1065</x:v>
      </x:c>
      <x:c r="H2335" s="40" t="n">
        <x:v>0.008469</x:v>
      </x:c>
      <x:c r="I2335" t="n">
        <x:v>12</x:v>
      </x:c>
      <x:c r="J2335" t="n">
        <x:v>1669200</x:v>
      </x:c>
      <x:c r="K2335" t="str">
        <x:v>Avalancha</x:v>
      </x:c>
      <x:c r="L2335" t="str">
        <x:v>Vigente</x:v>
      </x:c>
      <x:c r="M2335" t="n">
        <x:v>16626859.82</x:v>
      </x:c>
      <x:c r="N2335"/>
    </x:row>
    <x:row r="2336">
      <x:c r="A2336" t="str">
        <x:v>DEU-002335</x:v>
      </x:c>
      <x:c r="B2336" t="str">
        <x:v>USR-01188</x:v>
      </x:c>
      <x:c r="C2336" t="n">
        <x:v>46266</x:v>
      </x:c>
      <x:c r="D2336" t="str">
        <x:v>Entidad financiera B</x:v>
      </x:c>
      <x:c r="E2336" t="str">
        <x:v>Tarjeta de crédito</x:v>
      </x:c>
      <x:c r="F2336" t="n">
        <x:v>2900000</x:v>
      </x:c>
      <x:c r="G2336" s="40" t="n">
        <x:v>0.2526</x:v>
      </x:c>
      <x:c r="H2336" s="40" t="n">
        <x:v>0.018946</x:v>
      </x:c>
      <x:c r="I2336" t="n">
        <x:v>24</x:v>
      </x:c>
      <x:c r="J2336" t="n">
        <x:v>151500</x:v>
      </x:c>
      <x:c r="K2336" t="str">
        <x:v>Bola de nieve</x:v>
      </x:c>
      <x:c r="L2336" t="str">
        <x:v>Vigente</x:v>
      </x:c>
      <x:c r="M2336" t="n">
        <x:v>2803442.48</x:v>
      </x:c>
      <x:c r="N2336"/>
    </x:row>
    <x:row r="2337">
      <x:c r="A2337" t="str">
        <x:v>DEU-002336</x:v>
      </x:c>
      <x:c r="B2337" t="str">
        <x:v>USR-01189</x:v>
      </x:c>
      <x:c r="C2337" t="n">
        <x:v>46266</x:v>
      </x:c>
      <x:c r="D2337" t="str">
        <x:v>Financiera D</x:v>
      </x:c>
      <x:c r="E2337" t="str">
        <x:v>Crédito de consumo</x:v>
      </x:c>
      <x:c r="F2337" t="n">
        <x:v>9000000</x:v>
      </x:c>
      <x:c r="G2337" s="40" t="n">
        <x:v>0.2507</x:v>
      </x:c>
      <x:c r="H2337" s="40" t="n">
        <x:v>0.018817</x:v>
      </x:c>
      <x:c r="I2337" t="n">
        <x:v>48</x:v>
      </x:c>
      <x:c r="J2337" t="n">
        <x:v>286400</x:v>
      </x:c>
      <x:c r="K2337" t="str">
        <x:v>Avalancha</x:v>
      </x:c>
      <x:c r="L2337" t="str">
        <x:v>Vigente</x:v>
      </x:c>
      <x:c r="M2337" t="n">
        <x:v>8882951.16</x:v>
      </x:c>
      <x:c r="N2337"/>
    </x:row>
    <x:row r="2338">
      <x:c r="A2338" t="str">
        <x:v>DEU-002337</x:v>
      </x:c>
      <x:c r="B2338" t="str">
        <x:v>USR-01189</x:v>
      </x:c>
      <x:c r="C2338" t="n">
        <x:v>46266</x:v>
      </x:c>
      <x:c r="D2338" t="str">
        <x:v>Entidad financiera A</x:v>
      </x:c>
      <x:c r="E2338" t="str">
        <x:v>Tarjeta de crédito</x:v>
      </x:c>
      <x:c r="F2338" t="n">
        <x:v>3420000</x:v>
      </x:c>
      <x:c r="G2338" s="40" t="n">
        <x:v>0.3031</x:v>
      </x:c>
      <x:c r="H2338" s="40" t="n">
        <x:v>0.022307</x:v>
      </x:c>
      <x:c r="I2338" t="n">
        <x:v>48</x:v>
      </x:c>
      <x:c r="J2338" t="n">
        <x:v>116800</x:v>
      </x:c>
      <x:c r="K2338" t="str">
        <x:v>Avalancha</x:v>
      </x:c>
      <x:c r="L2338" t="str">
        <x:v>Vigente</x:v>
      </x:c>
      <x:c r="M2338" t="n">
        <x:v>3432091.1</x:v>
      </x:c>
      <x:c r="N2338"/>
    </x:row>
    <x:row r="2339">
      <x:c r="A2339" t="str">
        <x:v>DEU-002338</x:v>
      </x:c>
      <x:c r="B2339" t="str">
        <x:v>USR-01190</x:v>
      </x:c>
      <x:c r="C2339" t="n">
        <x:v>46266</x:v>
      </x:c>
      <x:c r="D2339" t="str">
        <x:v>Entidad financiera E</x:v>
      </x:c>
      <x:c r="E2339" t="str">
        <x:v>Tarjeta de crédito</x:v>
      </x:c>
      <x:c r="F2339" t="n">
        <x:v>5830000</x:v>
      </x:c>
      <x:c r="G2339" s="40" t="n">
        <x:v>0.1942</x:v>
      </x:c>
      <x:c r="H2339" s="40" t="n">
        <x:v>0.0149</x:v>
      </x:c>
      <x:c r="I2339" t="n">
        <x:v>12</x:v>
      </x:c>
      <x:c r="J2339" t="n">
        <x:v>534200</x:v>
      </x:c>
      <x:c r="K2339" t="str">
        <x:v>Bola de nieve</x:v>
      </x:c>
      <x:c r="L2339" t="str">
        <x:v>Vigente</x:v>
      </x:c>
      <x:c r="M2339" t="n">
        <x:v>5916864.77</x:v>
      </x:c>
      <x:c r="N2339"/>
    </x:row>
    <x:row r="2340">
      <x:c r="A2340" t="str">
        <x:v>DEU-002339</x:v>
      </x:c>
      <x:c r="B2340" t="str">
        <x:v>USR-01190</x:v>
      </x:c>
      <x:c r="C2340" t="n">
        <x:v>46266</x:v>
      </x:c>
      <x:c r="D2340" t="str">
        <x:v>Entidad financiera A</x:v>
      </x:c>
      <x:c r="E2340" t="str">
        <x:v>Tarjeta de crédito</x:v>
      </x:c>
      <x:c r="F2340" t="n">
        <x:v>3470000</x:v>
      </x:c>
      <x:c r="G2340" s="40" t="n">
        <x:v>0.246</x:v>
      </x:c>
      <x:c r="H2340" s="40" t="n">
        <x:v>0.018497</x:v>
      </x:c>
      <x:c r="I2340" t="n">
        <x:v>60</x:v>
      </x:c>
      <x:c r="J2340" t="n">
        <x:v>96200</x:v>
      </x:c>
      <x:c r="K2340" t="str">
        <x:v>Avalancha</x:v>
      </x:c>
      <x:c r="L2340" t="str">
        <x:v>Vigente</x:v>
      </x:c>
      <x:c r="M2340" t="n">
        <x:v>3437985.26</x:v>
      </x:c>
      <x:c r="N2340"/>
    </x:row>
    <x:row r="2341">
      <x:c r="A2341" t="str">
        <x:v>DEU-002340</x:v>
      </x:c>
      <x:c r="B2341" t="str">
        <x:v>USR-01191</x:v>
      </x:c>
      <x:c r="C2341" t="n">
        <x:v>46266</x:v>
      </x:c>
      <x:c r="D2341" t="str">
        <x:v>Cooperativa C</x:v>
      </x:c>
      <x:c r="E2341" t="str">
        <x:v>Crédito de consumo</x:v>
      </x:c>
      <x:c r="F2341" t="n">
        <x:v>14030000</x:v>
      </x:c>
      <x:c r="G2341" s="40" t="n">
        <x:v>0.2275</x:v>
      </x:c>
      <x:c r="H2341" s="40" t="n">
        <x:v>0.017228</x:v>
      </x:c>
      <x:c r="I2341" t="n">
        <x:v>24</x:v>
      </x:c>
      <x:c r="J2341" t="n">
        <x:v>718700</x:v>
      </x:c>
      <x:c r="K2341" t="str">
        <x:v>Bola de nieve</x:v>
      </x:c>
      <x:c r="L2341" t="str">
        <x:v>Vigente</x:v>
      </x:c>
      <x:c r="M2341" t="n">
        <x:v>13193713.85</x:v>
      </x:c>
      <x:c r="N2341"/>
    </x:row>
    <x:row r="2342">
      <x:c r="A2342" t="str">
        <x:v>DEU-002341</x:v>
      </x:c>
      <x:c r="B2342" t="str">
        <x:v>USR-01192</x:v>
      </x:c>
      <x:c r="C2342" t="n">
        <x:v>46266</x:v>
      </x:c>
      <x:c r="D2342" t="str">
        <x:v>Entidad financiera B</x:v>
      </x:c>
      <x:c r="E2342" t="str">
        <x:v>Crédito de consumo</x:v>
      </x:c>
      <x:c r="F2342" t="n">
        <x:v>10840000</x:v>
      </x:c>
      <x:c r="G2342" s="40" t="n">
        <x:v>0.126</x:v>
      </x:c>
      <x:c r="H2342" s="40" t="n">
        <x:v>0.009938</x:v>
      </x:c>
      <x:c r="I2342" t="n">
        <x:v>24</x:v>
      </x:c>
      <x:c r="J2342" t="n">
        <x:v>509900</x:v>
      </x:c>
      <x:c r="K2342" t="str">
        <x:v>Bola de nieve</x:v>
      </x:c>
      <x:c r="L2342" t="str">
        <x:v>Vigente</x:v>
      </x:c>
      <x:c r="M2342" t="n">
        <x:v>10947731.77</x:v>
      </x:c>
      <x:c r="N2342"/>
    </x:row>
    <x:row r="2343">
      <x:c r="A2343" t="str">
        <x:v>DEU-002342</x:v>
      </x:c>
      <x:c r="B2343" t="str">
        <x:v>USR-01193</x:v>
      </x:c>
      <x:c r="C2343" t="n">
        <x:v>46266</x:v>
      </x:c>
      <x:c r="D2343" t="str">
        <x:v>Financiera D</x:v>
      </x:c>
      <x:c r="E2343" t="str">
        <x:v>Crédito de vehículo</x:v>
      </x:c>
      <x:c r="F2343" t="n">
        <x:v>53530000</x:v>
      </x:c>
      <x:c r="G2343" s="40" t="n">
        <x:v>0.1313</x:v>
      </x:c>
      <x:c r="H2343" s="40" t="n">
        <x:v>0.010334</x:v>
      </x:c>
      <x:c r="I2343" t="n">
        <x:v>18</x:v>
      </x:c>
      <x:c r="J2343" t="n">
        <x:v>3274300</x:v>
      </x:c>
      <x:c r="K2343" t="str">
        <x:v>Avalancha</x:v>
      </x:c>
      <x:c r="L2343" t="str">
        <x:v>Vigente</x:v>
      </x:c>
      <x:c r="M2343" t="n">
        <x:v>50317760.01</x:v>
      </x:c>
      <x:c r="N2343"/>
    </x:row>
    <x:row r="2344">
      <x:c r="A2344" t="str">
        <x:v>DEU-002343</x:v>
      </x:c>
      <x:c r="B2344" t="str">
        <x:v>USR-01194</x:v>
      </x:c>
      <x:c r="C2344" t="n">
        <x:v>46266</x:v>
      </x:c>
      <x:c r="D2344" t="str">
        <x:v>Entidad financiera E</x:v>
      </x:c>
      <x:c r="E2344" t="str">
        <x:v>Crédito educativo</x:v>
      </x:c>
      <x:c r="F2344" t="n">
        <x:v>20680000</x:v>
      </x:c>
      <x:c r="G2344" s="40" t="n">
        <x:v>0.1773</x:v>
      </x:c>
      <x:c r="H2344" s="40" t="n">
        <x:v>0.013695</x:v>
      </x:c>
      <x:c r="I2344" t="n">
        <x:v>30</x:v>
      </x:c>
      <x:c r="J2344" t="n">
        <x:v>845300</x:v>
      </x:c>
      <x:c r="K2344" t="str">
        <x:v>Bola de nieve</x:v>
      </x:c>
      <x:c r="L2344" t="str">
        <x:v>Vigente</x:v>
      </x:c>
      <x:c r="M2344" t="n">
        <x:v>20963210.56</x:v>
      </x:c>
      <x:c r="N2344"/>
    </x:row>
    <x:row r="2345">
      <x:c r="A2345" t="str">
        <x:v>DEU-002344</x:v>
      </x:c>
      <x:c r="B2345" t="str">
        <x:v>USR-01194</x:v>
      </x:c>
      <x:c r="C2345" t="n">
        <x:v>46266</x:v>
      </x:c>
      <x:c r="D2345" t="str">
        <x:v>Cooperativa C</x:v>
      </x:c>
      <x:c r="E2345" t="str">
        <x:v>Tarjeta de crédito</x:v>
      </x:c>
      <x:c r="F2345" t="n">
        <x:v>1720000</x:v>
      </x:c>
      <x:c r="G2345" s="40" t="n">
        <x:v>0.2475</x:v>
      </x:c>
      <x:c r="H2345" s="40" t="n">
        <x:v>0.018599</x:v>
      </x:c>
      <x:c r="I2345" t="n">
        <x:v>18</x:v>
      </x:c>
      <x:c r="J2345" t="n">
        <x:v>113300</x:v>
      </x:c>
      <x:c r="K2345" t="str">
        <x:v>Avalancha</x:v>
      </x:c>
      <x:c r="L2345" t="str">
        <x:v>Vigente</x:v>
      </x:c>
      <x:c r="M2345" t="n">
        <x:v>1638690.82</x:v>
      </x:c>
      <x:c r="N2345"/>
    </x:row>
    <x:row r="2346">
      <x:c r="A2346" t="str">
        <x:v>DEU-002345</x:v>
      </x:c>
      <x:c r="B2346" t="str">
        <x:v>USR-01195</x:v>
      </x:c>
      <x:c r="C2346" t="n">
        <x:v>46266</x:v>
      </x:c>
      <x:c r="D2346" t="str">
        <x:v>Entidad financiera E</x:v>
      </x:c>
      <x:c r="E2346" t="str">
        <x:v>Crédito comercial</x:v>
      </x:c>
      <x:c r="F2346" t="n">
        <x:v>25050000</x:v>
      </x:c>
      <x:c r="G2346" s="40" t="n">
        <x:v>0.1416</x:v>
      </x:c>
      <x:c r="H2346" s="40" t="n">
        <x:v>0.011097</x:v>
      </x:c>
      <x:c r="I2346" t="n">
        <x:v>60</x:v>
      </x:c>
      <x:c r="J2346" t="n">
        <x:v>574000</x:v>
      </x:c>
      <x:c r="K2346" t="str">
        <x:v>Bola de nieve</x:v>
      </x:c>
      <x:c r="L2346" t="str">
        <x:v>Vigente</x:v>
      </x:c>
      <x:c r="M2346" t="n">
        <x:v>24753980.33</x:v>
      </x:c>
      <x:c r="N2346"/>
    </x:row>
    <x:row r="2347">
      <x:c r="A2347" t="str">
        <x:v>DEU-002346</x:v>
      </x:c>
      <x:c r="B2347" t="str">
        <x:v>USR-01195</x:v>
      </x:c>
      <x:c r="C2347" t="n">
        <x:v>46266</x:v>
      </x:c>
      <x:c r="D2347" t="str">
        <x:v>Financiera D</x:v>
      </x:c>
      <x:c r="E2347" t="str">
        <x:v>Crédito de consumo</x:v>
      </x:c>
      <x:c r="F2347" t="n">
        <x:v>15020000</x:v>
      </x:c>
      <x:c r="G2347" s="40" t="n">
        <x:v>0.1578</x:v>
      </x:c>
      <x:c r="H2347" s="40" t="n">
        <x:v>0.012285</x:v>
      </x:c>
      <x:c r="I2347" t="n">
        <x:v>30</x:v>
      </x:c>
      <x:c r="J2347" t="n">
        <x:v>601600</x:v>
      </x:c>
      <x:c r="K2347" t="str">
        <x:v>Bola de nieve</x:v>
      </x:c>
      <x:c r="L2347" t="str">
        <x:v>Vigente</x:v>
      </x:c>
      <x:c r="M2347" t="n">
        <x:v>14602920.49</x:v>
      </x:c>
      <x:c r="N2347"/>
    </x:row>
    <x:row r="2348">
      <x:c r="A2348" t="str">
        <x:v>DEU-002347</x:v>
      </x:c>
      <x:c r="B2348" t="str">
        <x:v>USR-01195</x:v>
      </x:c>
      <x:c r="C2348" t="n">
        <x:v>46266</x:v>
      </x:c>
      <x:c r="D2348" t="str">
        <x:v>Entidad financiera E</x:v>
      </x:c>
      <x:c r="E2348" t="str">
        <x:v>Crédito educativo</x:v>
      </x:c>
      <x:c r="F2348" t="n">
        <x:v>4320000</x:v>
      </x:c>
      <x:c r="G2348" s="40" t="n">
        <x:v>0.2622</x:v>
      </x:c>
      <x:c r="H2348" s="40" t="n">
        <x:v>0.019594</x:v>
      </x:c>
      <x:c r="I2348" t="n">
        <x:v>12</x:v>
      </x:c>
      <x:c r="J2348" t="n">
        <x:v>407500</x:v>
      </x:c>
      <x:c r="K2348" t="str">
        <x:v>Avalancha</x:v>
      </x:c>
      <x:c r="L2348" t="str">
        <x:v>Vigente</x:v>
      </x:c>
      <x:c r="M2348" t="n">
        <x:v>4404646.86</x:v>
      </x:c>
      <x:c r="N2348"/>
    </x:row>
    <x:row r="2349">
      <x:c r="A2349" t="str">
        <x:v>DEU-002348</x:v>
      </x:c>
      <x:c r="B2349" t="str">
        <x:v>USR-01195</x:v>
      </x:c>
      <x:c r="C2349" t="n">
        <x:v>46266</x:v>
      </x:c>
      <x:c r="D2349" t="str">
        <x:v>Entidad financiera E</x:v>
      </x:c>
      <x:c r="E2349" t="str">
        <x:v>Crédito de consumo</x:v>
      </x:c>
      <x:c r="F2349" t="n">
        <x:v>7560000</x:v>
      </x:c>
      <x:c r="G2349" s="40" t="n">
        <x:v>0.1868</x:v>
      </x:c>
      <x:c r="H2349" s="40" t="n">
        <x:v>0.014374</x:v>
      </x:c>
      <x:c r="I2349" t="n">
        <x:v>30</x:v>
      </x:c>
      <x:c r="J2349" t="n">
        <x:v>312000</x:v>
      </x:c>
      <x:c r="K2349" t="str">
        <x:v>Bola de nieve</x:v>
      </x:c>
      <x:c r="L2349" t="str">
        <x:v>Vigente</x:v>
      </x:c>
      <x:c r="M2349" t="n">
        <x:v>7356667.78</x:v>
      </x:c>
      <x:c r="N2349"/>
    </x:row>
    <x:row r="2350">
      <x:c r="A2350" t="str">
        <x:v>DEU-002349</x:v>
      </x:c>
      <x:c r="B2350" t="str">
        <x:v>USR-01196</x:v>
      </x:c>
      <x:c r="C2350" t="n">
        <x:v>46266</x:v>
      </x:c>
      <x:c r="D2350" t="str">
        <x:v>Cooperativa C</x:v>
      </x:c>
      <x:c r="E2350" t="str">
        <x:v>Tarjeta de crédito</x:v>
      </x:c>
      <x:c r="F2350" t="n">
        <x:v>6530000</x:v>
      </x:c>
      <x:c r="G2350" s="40" t="n">
        <x:v>0.2909</x:v>
      </x:c>
      <x:c r="H2350" s="40" t="n">
        <x:v>0.021506</x:v>
      </x:c>
      <x:c r="I2350" t="n">
        <x:v>30</x:v>
      </x:c>
      <x:c r="J2350" t="n">
        <x:v>297600</x:v>
      </x:c>
      <x:c r="K2350" t="str">
        <x:v>Bola de nieve</x:v>
      </x:c>
      <x:c r="L2350" t="str">
        <x:v>Vigente</x:v>
      </x:c>
      <x:c r="M2350" t="n">
        <x:v>6328236.15</x:v>
      </x:c>
      <x:c r="N2350"/>
    </x:row>
    <x:row r="2351">
      <x:c r="A2351" t="str">
        <x:v>DEU-002350</x:v>
      </x:c>
      <x:c r="B2351" t="str">
        <x:v>USR-01196</x:v>
      </x:c>
      <x:c r="C2351" t="n">
        <x:v>46266</x:v>
      </x:c>
      <x:c r="D2351" t="str">
        <x:v>Entidad financiera E</x:v>
      </x:c>
      <x:c r="E2351" t="str">
        <x:v>Tarjeta de crédito</x:v>
      </x:c>
      <x:c r="F2351" t="n">
        <x:v>1700000</x:v>
      </x:c>
      <x:c r="G2351" s="40" t="n">
        <x:v>0.2919</x:v>
      </x:c>
      <x:c r="H2351" s="40" t="n">
        <x:v>0.021572</x:v>
      </x:c>
      <x:c r="I2351" t="n">
        <x:v>30</x:v>
      </x:c>
      <x:c r="J2351" t="n">
        <x:v>77600</x:v>
      </x:c>
      <x:c r="K2351" t="str">
        <x:v>Bola de nieve</x:v>
      </x:c>
      <x:c r="L2351" t="str">
        <x:v>Vigente</x:v>
      </x:c>
      <x:c r="M2351" t="n">
        <x:v>1659072.78</x:v>
      </x:c>
      <x:c r="N2351"/>
    </x:row>
    <x:row r="2352">
      <x:c r="A2352" t="str">
        <x:v>DEU-002351</x:v>
      </x:c>
      <x:c r="B2352" t="str">
        <x:v>USR-01197</x:v>
      </x:c>
      <x:c r="C2352" t="n">
        <x:v>46266</x:v>
      </x:c>
      <x:c r="D2352" t="str">
        <x:v>Entidad financiera E</x:v>
      </x:c>
      <x:c r="E2352" t="str">
        <x:v>Crédito de libre inversión</x:v>
      </x:c>
      <x:c r="F2352" t="n">
        <x:v>11620000</x:v>
      </x:c>
      <x:c r="G2352" s="40" t="n">
        <x:v>0.2274</x:v>
      </x:c>
      <x:c r="H2352" s="40" t="n">
        <x:v>0.017221</x:v>
      </x:c>
      <x:c r="I2352" t="n">
        <x:v>60</x:v>
      </x:c>
      <x:c r="J2352" t="n">
        <x:v>312200</x:v>
      </x:c>
      <x:c r="K2352" t="str">
        <x:v>Bola de nieve</x:v>
      </x:c>
      <x:c r="L2352" t="str">
        <x:v>Vigente</x:v>
      </x:c>
      <x:c r="M2352" t="n">
        <x:v>11507913.26</x:v>
      </x:c>
      <x:c r="N2352"/>
    </x:row>
    <x:row r="2353">
      <x:c r="A2353" t="str">
        <x:v>DEU-002352</x:v>
      </x:c>
      <x:c r="B2353" t="str">
        <x:v>USR-01197</x:v>
      </x:c>
      <x:c r="C2353" t="n">
        <x:v>46266</x:v>
      </x:c>
      <x:c r="D2353" t="str">
        <x:v>Cooperativa C</x:v>
      </x:c>
      <x:c r="E2353" t="str">
        <x:v>Tarjeta de crédito</x:v>
      </x:c>
      <x:c r="F2353" t="n">
        <x:v>940000</x:v>
      </x:c>
      <x:c r="G2353" s="40" t="n">
        <x:v>0.1526</x:v>
      </x:c>
      <x:c r="H2353" s="40" t="n">
        <x:v>0.011905</x:v>
      </x:c>
      <x:c r="I2353" t="n">
        <x:v>18</x:v>
      </x:c>
      <x:c r="J2353" t="n">
        <x:v>58300</x:v>
      </x:c>
      <x:c r="K2353" t="str">
        <x:v>Avalancha</x:v>
      </x:c>
      <x:c r="L2353" t="str">
        <x:v>Vigente</x:v>
      </x:c>
      <x:c r="M2353" t="n">
        <x:v>884191.01</x:v>
      </x:c>
      <x:c r="N2353"/>
    </x:row>
    <x:row r="2354">
      <x:c r="A2354" t="str">
        <x:v>DEU-002353</x:v>
      </x:c>
      <x:c r="B2354" t="str">
        <x:v>USR-01198</x:v>
      </x:c>
      <x:c r="C2354" t="n">
        <x:v>46266</x:v>
      </x:c>
      <x:c r="D2354" t="str">
        <x:v>Entidad financiera A</x:v>
      </x:c>
      <x:c r="E2354" t="str">
        <x:v>Tarjeta de crédito</x:v>
      </x:c>
      <x:c r="F2354" t="n">
        <x:v>4440000</x:v>
      </x:c>
      <x:c r="G2354" s="40" t="n">
        <x:v>0.2428</x:v>
      </x:c>
      <x:c r="H2354" s="40" t="n">
        <x:v>0.018279</x:v>
      </x:c>
      <x:c r="I2354" t="n">
        <x:v>12</x:v>
      </x:c>
      <x:c r="J2354" t="n">
        <x:v>415400</x:v>
      </x:c>
      <x:c r="K2354" t="str">
        <x:v>Bola de nieve</x:v>
      </x:c>
      <x:c r="L2354" t="str">
        <x:v>Vigente</x:v>
      </x:c>
      <x:c r="M2354" t="n">
        <x:v>4043458.58</x:v>
      </x:c>
      <x:c r="N2354"/>
    </x:row>
    <x:row r="2355">
      <x:c r="A2355" t="str">
        <x:v>DEU-002354</x:v>
      </x:c>
      <x:c r="B2355" t="str">
        <x:v>USR-01198</x:v>
      </x:c>
      <x:c r="C2355" t="n">
        <x:v>46266</x:v>
      </x:c>
      <x:c r="D2355" t="str">
        <x:v>Cooperativa C</x:v>
      </x:c>
      <x:c r="E2355" t="str">
        <x:v>Crédito de vehículo</x:v>
      </x:c>
      <x:c r="F2355" t="n">
        <x:v>43060000</x:v>
      </x:c>
      <x:c r="G2355" s="40" t="n">
        <x:v>0.2268</x:v>
      </x:c>
      <x:c r="H2355" s="40" t="n">
        <x:v>0.01718</x:v>
      </x:c>
      <x:c r="I2355" t="n">
        <x:v>36</x:v>
      </x:c>
      <x:c r="J2355" t="n">
        <x:v>1613800</x:v>
      </x:c>
      <x:c r="K2355" t="str">
        <x:v>Bola de nieve</x:v>
      </x:c>
      <x:c r="L2355" t="str">
        <x:v>Vigente</x:v>
      </x:c>
      <x:c r="M2355" t="n">
        <x:v>42508770.96</x:v>
      </x:c>
      <x:c r="N2355"/>
    </x:row>
    <x:row r="2356">
      <x:c r="A2356" t="str">
        <x:v>DEU-002355</x:v>
      </x:c>
      <x:c r="B2356" t="str">
        <x:v>USR-01198</x:v>
      </x:c>
      <x:c r="C2356" t="n">
        <x:v>46266</x:v>
      </x:c>
      <x:c r="D2356" t="str">
        <x:v>Entidad financiera E</x:v>
      </x:c>
      <x:c r="E2356" t="str">
        <x:v>Crédito de consumo</x:v>
      </x:c>
      <x:c r="F2356" t="n">
        <x:v>2450000</x:v>
      </x:c>
      <x:c r="G2356" s="40" t="n">
        <x:v>0.1081</x:v>
      </x:c>
      <x:c r="H2356" s="40" t="n">
        <x:v>0.008591</x:v>
      </x:c>
      <x:c r="I2356" t="n">
        <x:v>12</x:v>
      </x:c>
      <x:c r="J2356" t="n">
        <x:v>215700</x:v>
      </x:c>
      <x:c r="K2356" t="str">
        <x:v>Bola de nieve</x:v>
      </x:c>
      <x:c r="L2356" t="str">
        <x:v>Vigente</x:v>
      </x:c>
      <x:c r="M2356" t="n">
        <x:v>2255346.95</x:v>
      </x:c>
      <x:c r="N2356"/>
    </x:row>
    <x:row r="2357">
      <x:c r="A2357" t="str">
        <x:v>DEU-002356</x:v>
      </x:c>
      <x:c r="B2357" t="str">
        <x:v>USR-01198</x:v>
      </x:c>
      <x:c r="C2357" t="n">
        <x:v>46266</x:v>
      </x:c>
      <x:c r="D2357" t="str">
        <x:v>Cooperativa C</x:v>
      </x:c>
      <x:c r="E2357" t="str">
        <x:v>Tarjeta de crédito</x:v>
      </x:c>
      <x:c r="F2357" t="n">
        <x:v>4050000</x:v>
      </x:c>
      <x:c r="G2357" s="40" t="n">
        <x:v>0.3392</x:v>
      </x:c>
      <x:c r="H2357" s="40" t="n">
        <x:v>0.024638</x:v>
      </x:c>
      <x:c r="I2357" t="n">
        <x:v>24</x:v>
      </x:c>
      <x:c r="J2357" t="n">
        <x:v>225500</x:v>
      </x:c>
      <x:c r="K2357" t="str">
        <x:v>Bola de nieve</x:v>
      </x:c>
      <x:c r="L2357" t="str">
        <x:v>Vigente</x:v>
      </x:c>
      <x:c r="M2357" t="n">
        <x:v>3924283.85</x:v>
      </x:c>
      <x:c r="N2357"/>
    </x:row>
    <x:row r="2358">
      <x:c r="A2358" t="str">
        <x:v>DEU-002357</x:v>
      </x:c>
      <x:c r="B2358" t="str">
        <x:v>USR-01199</x:v>
      </x:c>
      <x:c r="C2358" t="n">
        <x:v>46266</x:v>
      </x:c>
      <x:c r="D2358" t="str">
        <x:v>Cooperativa C</x:v>
      </x:c>
      <x:c r="E2358" t="str">
        <x:v>Tarjeta de crédito</x:v>
      </x:c>
      <x:c r="F2358" t="n">
        <x:v>8440000</x:v>
      </x:c>
      <x:c r="G2358" s="40" t="n">
        <x:v>0.1128</x:v>
      </x:c>
      <x:c r="H2358" s="40" t="n">
        <x:v>0.008946</x:v>
      </x:c>
      <x:c r="I2358" t="n">
        <x:v>24</x:v>
      </x:c>
      <x:c r="J2358" t="n">
        <x:v>392300</x:v>
      </x:c>
      <x:c r="K2358" t="str">
        <x:v>Avalancha</x:v>
      </x:c>
      <x:c r="L2358" t="str">
        <x:v>Vigente</x:v>
      </x:c>
      <x:c r="M2358" t="n">
        <x:v>8515507.58</x:v>
      </x:c>
      <x:c r="N2358"/>
    </x:row>
    <x:row r="2359">
      <x:c r="A2359" t="str">
        <x:v>DEU-002358</x:v>
      </x:c>
      <x:c r="B2359" t="str">
        <x:v>USR-01200</x:v>
      </x:c>
      <x:c r="C2359" t="n">
        <x:v>46266</x:v>
      </x:c>
      <x:c r="D2359" t="str">
        <x:v>Entidad financiera A</x:v>
      </x:c>
      <x:c r="E2359" t="str">
        <x:v>Crédito de libre inversión</x:v>
      </x:c>
      <x:c r="F2359" t="n">
        <x:v>9200000</x:v>
      </x:c>
      <x:c r="G2359" s="40" t="n">
        <x:v>0.2974</x:v>
      </x:c>
      <x:c r="H2359" s="40" t="n">
        <x:v>0.021934</x:v>
      </x:c>
      <x:c r="I2359" t="n">
        <x:v>24</x:v>
      </x:c>
      <x:c r="J2359" t="n">
        <x:v>497100</x:v>
      </x:c>
      <x:c r="K2359" t="str">
        <x:v>Avalancha</x:v>
      </x:c>
      <x:c r="L2359" t="str">
        <x:v>Vigente</x:v>
      </x:c>
      <x:c r="M2359" t="n">
        <x:v>8830092.28</x:v>
      </x:c>
      <x:c r="N2359"/>
    </x:row>
    <x:row r="2360">
      <x:c r="A2360" t="str">
        <x:v>DEU-002359</x:v>
      </x:c>
      <x:c r="B2360" t="str">
        <x:v>USR-01201</x:v>
      </x:c>
      <x:c r="C2360" t="n">
        <x:v>46266</x:v>
      </x:c>
      <x:c r="D2360" t="str">
        <x:v>Financiera D</x:v>
      </x:c>
      <x:c r="E2360" t="str">
        <x:v>Crédito de consumo</x:v>
      </x:c>
      <x:c r="F2360" t="n">
        <x:v>8050000</x:v>
      </x:c>
      <x:c r="G2360" s="40" t="n">
        <x:v>0.3044</x:v>
      </x:c>
      <x:c r="H2360" s="40" t="n">
        <x:v>0.022392</x:v>
      </x:c>
      <x:c r="I2360" t="n">
        <x:v>30</x:v>
      </x:c>
      <x:c r="J2360" t="n">
        <x:v>371400</x:v>
      </x:c>
      <x:c r="K2360" t="str">
        <x:v>Avalancha</x:v>
      </x:c>
      <x:c r="L2360" t="str">
        <x:v>Vigente</x:v>
      </x:c>
      <x:c r="M2360" t="n">
        <x:v>7858857.94</x:v>
      </x:c>
      <x:c r="N2360"/>
    </x:row>
    <x:row r="2361">
      <x:c r="A2361" t="str">
        <x:v>DEU-002360</x:v>
      </x:c>
      <x:c r="B2361" t="str">
        <x:v>USR-01201</x:v>
      </x:c>
      <x:c r="C2361" t="n">
        <x:v>46266</x:v>
      </x:c>
      <x:c r="D2361" t="str">
        <x:v>Entidad financiera A</x:v>
      </x:c>
      <x:c r="E2361" t="str">
        <x:v>Crédito de consumo</x:v>
      </x:c>
      <x:c r="F2361" t="n">
        <x:v>7970000</x:v>
      </x:c>
      <x:c r="G2361" s="40" t="n">
        <x:v>0.138</x:v>
      </x:c>
      <x:c r="H2361" s="40" t="n">
        <x:v>0.010831</x:v>
      </x:c>
      <x:c r="I2361" t="n">
        <x:v>30</x:v>
      </x:c>
      <x:c r="J2361" t="n">
        <x:v>312600</x:v>
      </x:c>
      <x:c r="K2361" t="str">
        <x:v>Bola de nieve</x:v>
      </x:c>
      <x:c r="L2361" t="str">
        <x:v>Vigente</x:v>
      </x:c>
      <x:c r="M2361" t="n">
        <x:v>7587422.5</x:v>
      </x:c>
      <x:c r="N2361"/>
    </x:row>
    <x:row r="2362">
      <x:c r="A2362" t="str">
        <x:v>DEU-002361</x:v>
      </x:c>
      <x:c r="B2362" t="str">
        <x:v>USR-01202</x:v>
      </x:c>
      <x:c r="C2362" t="n">
        <x:v>46266</x:v>
      </x:c>
      <x:c r="D2362" t="str">
        <x:v>Entidad financiera E</x:v>
      </x:c>
      <x:c r="E2362" t="str">
        <x:v>Crédito de libre inversión</x:v>
      </x:c>
      <x:c r="F2362" t="n">
        <x:v>20320000</x:v>
      </x:c>
      <x:c r="G2362" s="40" t="n">
        <x:v>0.1643</x:v>
      </x:c>
      <x:c r="H2362" s="40" t="n">
        <x:v>0.012757</x:v>
      </x:c>
      <x:c r="I2362" t="n">
        <x:v>30</x:v>
      </x:c>
      <x:c r="J2362" t="n">
        <x:v>819500</x:v>
      </x:c>
      <x:c r="K2362" t="str">
        <x:v>Avalancha</x:v>
      </x:c>
      <x:c r="L2362" t="str">
        <x:v>Vigente</x:v>
      </x:c>
      <x:c r="M2362" t="n">
        <x:v>19350029.56</x:v>
      </x:c>
      <x:c r="N2362"/>
    </x:row>
    <x:row r="2363">
      <x:c r="A2363" t="str">
        <x:v>DEU-002362</x:v>
      </x:c>
      <x:c r="B2363" t="str">
        <x:v>USR-01203</x:v>
      </x:c>
      <x:c r="C2363" t="n">
        <x:v>46266</x:v>
      </x:c>
      <x:c r="D2363" t="str">
        <x:v>Financiera D</x:v>
      </x:c>
      <x:c r="E2363" t="str">
        <x:v>Tarjeta de crédito</x:v>
      </x:c>
      <x:c r="F2363" t="n">
        <x:v>600000</x:v>
      </x:c>
      <x:c r="G2363" s="40" t="n">
        <x:v>0.1612</x:v>
      </x:c>
      <x:c r="H2363" s="40" t="n">
        <x:v>0.012532</x:v>
      </x:c>
      <x:c r="I2363" t="n">
        <x:v>36</x:v>
      </x:c>
      <x:c r="J2363" t="n">
        <x:v>20800</x:v>
      </x:c>
      <x:c r="K2363" t="str">
        <x:v>Avalancha</x:v>
      </x:c>
      <x:c r="L2363" t="str">
        <x:v>Vigente</x:v>
      </x:c>
      <x:c r="M2363" t="n">
        <x:v>590919.43</x:v>
      </x:c>
      <x:c r="N2363"/>
    </x:row>
    <x:row r="2364">
      <x:c r="A2364" t="str">
        <x:v>DEU-002363</x:v>
      </x:c>
      <x:c r="B2364" t="str">
        <x:v>USR-01203</x:v>
      </x:c>
      <x:c r="C2364" t="n">
        <x:v>46266</x:v>
      </x:c>
      <x:c r="D2364" t="str">
        <x:v>Financiera D</x:v>
      </x:c>
      <x:c r="E2364" t="str">
        <x:v>Crédito de libre inversión</x:v>
      </x:c>
      <x:c r="F2364" t="n">
        <x:v>22170000</x:v>
      </x:c>
      <x:c r="G2364" s="40" t="n">
        <x:v>0.1596</x:v>
      </x:c>
      <x:c r="H2364" s="40" t="n">
        <x:v>0.012416</x:v>
      </x:c>
      <x:c r="I2364" t="n">
        <x:v>60</x:v>
      </x:c>
      <x:c r="J2364" t="n">
        <x:v>526300</x:v>
      </x:c>
      <x:c r="K2364" t="str">
        <x:v>Bola de nieve</x:v>
      </x:c>
      <x:c r="L2364" t="str">
        <x:v>Vigente</x:v>
      </x:c>
      <x:c r="M2364" t="n">
        <x:v>21840063.61</x:v>
      </x:c>
      <x:c r="N2364"/>
    </x:row>
    <x:row r="2365">
      <x:c r="A2365" t="str">
        <x:v>DEU-002364</x:v>
      </x:c>
      <x:c r="B2365" t="str">
        <x:v>USR-01204</x:v>
      </x:c>
      <x:c r="C2365" t="n">
        <x:v>46266</x:v>
      </x:c>
      <x:c r="D2365" t="str">
        <x:v>Cooperativa C</x:v>
      </x:c>
      <x:c r="E2365" t="str">
        <x:v>Crédito de consumo</x:v>
      </x:c>
      <x:c r="F2365" t="n">
        <x:v>2090000</x:v>
      </x:c>
      <x:c r="G2365" s="40" t="n">
        <x:v>0.2831</x:v>
      </x:c>
      <x:c r="H2365" s="40" t="n">
        <x:v>0.020991</x:v>
      </x:c>
      <x:c r="I2365" t="n">
        <x:v>48</x:v>
      </x:c>
      <x:c r="J2365" t="n">
        <x:v>69500</x:v>
      </x:c>
      <x:c r="K2365" t="str">
        <x:v>Avalancha</x:v>
      </x:c>
      <x:c r="L2365" t="str">
        <x:v>Vigente</x:v>
      </x:c>
      <x:c r="M2365" t="n">
        <x:v>2064370.18</x:v>
      </x:c>
      <x:c r="N2365"/>
    </x:row>
    <x:row r="2366">
      <x:c r="A2366" t="str">
        <x:v>DEU-002365</x:v>
      </x:c>
      <x:c r="B2366" t="str">
        <x:v>USR-01204</x:v>
      </x:c>
      <x:c r="C2366" t="n">
        <x:v>46266</x:v>
      </x:c>
      <x:c r="D2366" t="str">
        <x:v>Entidad financiera A</x:v>
      </x:c>
      <x:c r="E2366" t="str">
        <x:v>Crédito de libre inversión</x:v>
      </x:c>
      <x:c r="F2366" t="n">
        <x:v>20970000</x:v>
      </x:c>
      <x:c r="G2366" s="40" t="n">
        <x:v>0.3225</x:v>
      </x:c>
      <x:c r="H2366" s="40" t="n">
        <x:v>0.023567</x:v>
      </x:c>
      <x:c r="I2366" t="n">
        <x:v>12</x:v>
      </x:c>
      <x:c r="J2366" t="n">
        <x:v>2026600</x:v>
      </x:c>
      <x:c r="K2366" t="str">
        <x:v>Bola de nieve</x:v>
      </x:c>
      <x:c r="L2366" t="str">
        <x:v>Vigente</x:v>
      </x:c>
      <x:c r="M2366" t="n">
        <x:v>21464201.52</x:v>
      </x:c>
      <x:c r="N2366"/>
    </x:row>
    <x:row r="2367">
      <x:c r="A2367" t="str">
        <x:v>DEU-002366</x:v>
      </x:c>
      <x:c r="B2367" t="str">
        <x:v>USR-01204</x:v>
      </x:c>
      <x:c r="C2367" t="n">
        <x:v>46266</x:v>
      </x:c>
      <x:c r="D2367" t="str">
        <x:v>Cooperativa C</x:v>
      </x:c>
      <x:c r="E2367" t="str">
        <x:v>Tarjeta de crédito</x:v>
      </x:c>
      <x:c r="F2367" t="n">
        <x:v>6720000</x:v>
      </x:c>
      <x:c r="G2367" s="40" t="n">
        <x:v>0.2961</x:v>
      </x:c>
      <x:c r="H2367" s="40" t="n">
        <x:v>0.021849</x:v>
      </x:c>
      <x:c r="I2367" t="n">
        <x:v>18</x:v>
      </x:c>
      <x:c r="J2367" t="n">
        <x:v>455600</x:v>
      </x:c>
      <x:c r="K2367" t="str">
        <x:v>Avalancha</x:v>
      </x:c>
      <x:c r="L2367" t="str">
        <x:v>Vigente</x:v>
      </x:c>
      <x:c r="M2367" t="n">
        <x:v>6866822.41</x:v>
      </x:c>
      <x:c r="N2367"/>
    </x:row>
    <x:row r="2368">
      <x:c r="A2368" t="str">
        <x:v>DEU-002367</x:v>
      </x:c>
      <x:c r="B2368" t="str">
        <x:v>USR-01204</x:v>
      </x:c>
      <x:c r="C2368" t="n">
        <x:v>46266</x:v>
      </x:c>
      <x:c r="D2368" t="str">
        <x:v>Entidad financiera E</x:v>
      </x:c>
      <x:c r="E2368" t="str">
        <x:v>Tarjeta de crédito</x:v>
      </x:c>
      <x:c r="F2368" t="n">
        <x:v>7200000</x:v>
      </x:c>
      <x:c r="G2368" s="40" t="n">
        <x:v>0.2235</x:v>
      </x:c>
      <x:c r="H2368" s="40" t="n">
        <x:v>0.016952</x:v>
      </x:c>
      <x:c r="I2368" t="n">
        <x:v>60</x:v>
      </x:c>
      <x:c r="J2368" t="n">
        <x:v>192100</x:v>
      </x:c>
      <x:c r="K2368" t="str">
        <x:v>Bola de nieve</x:v>
      </x:c>
      <x:c r="L2368" t="str">
        <x:v>Vigente</x:v>
      </x:c>
      <x:c r="M2368" t="n">
        <x:v>7129952.32</x:v>
      </x:c>
      <x:c r="N2368"/>
    </x:row>
    <x:row r="2369">
      <x:c r="A2369" t="str">
        <x:v>DEU-002368</x:v>
      </x:c>
      <x:c r="B2369" t="str">
        <x:v>USR-01205</x:v>
      </x:c>
      <x:c r="C2369" t="n">
        <x:v>46266</x:v>
      </x:c>
      <x:c r="D2369" t="str">
        <x:v>Entidad financiera E</x:v>
      </x:c>
      <x:c r="E2369" t="str">
        <x:v>Tarjeta de crédito</x:v>
      </x:c>
      <x:c r="F2369" t="n">
        <x:v>2710000</x:v>
      </x:c>
      <x:c r="G2369" s="40" t="n">
        <x:v>0.2815</x:v>
      </x:c>
      <x:c r="H2369" s="40" t="n">
        <x:v>0.020884</x:v>
      </x:c>
      <x:c r="I2369" t="n">
        <x:v>36</x:v>
      </x:c>
      <x:c r="J2369" t="n">
        <x:v>107800</x:v>
      </x:c>
      <x:c r="K2369" t="str">
        <x:v>Avalancha</x:v>
      </x:c>
      <x:c r="L2369" t="str">
        <x:v>Vigente</x:v>
      </x:c>
      <x:c r="M2369" t="n">
        <x:v>2658796.62</x:v>
      </x:c>
      <x:c r="N2369"/>
    </x:row>
    <x:row r="2370">
      <x:c r="A2370" t="str">
        <x:v>DEU-002369</x:v>
      </x:c>
      <x:c r="B2370" t="str">
        <x:v>USR-01206</x:v>
      </x:c>
      <x:c r="C2370" t="n">
        <x:v>46266</x:v>
      </x:c>
      <x:c r="D2370" t="str">
        <x:v>Cooperativa C</x:v>
      </x:c>
      <x:c r="E2370" t="str">
        <x:v>Tarjeta de crédito</x:v>
      </x:c>
      <x:c r="F2370" t="n">
        <x:v>8180000</x:v>
      </x:c>
      <x:c r="G2370" s="40" t="n">
        <x:v>0.3398</x:v>
      </x:c>
      <x:c r="H2370" s="40" t="n">
        <x:v>0.024676</x:v>
      </x:c>
      <x:c r="I2370" t="n">
        <x:v>12</x:v>
      </x:c>
      <x:c r="J2370" t="n">
        <x:v>795900</x:v>
      </x:c>
      <x:c r="K2370" t="str">
        <x:v>Avalancha</x:v>
      </x:c>
      <x:c r="L2370" t="str">
        <x:v>Vigente</x:v>
      </x:c>
      <x:c r="M2370" t="n">
        <x:v>8381851.61</x:v>
      </x:c>
      <x:c r="N2370"/>
    </x:row>
    <x:row r="2371">
      <x:c r="A2371" t="str">
        <x:v>DEU-002370</x:v>
      </x:c>
      <x:c r="B2371" t="str">
        <x:v>USR-01206</x:v>
      </x:c>
      <x:c r="C2371" t="n">
        <x:v>46266</x:v>
      </x:c>
      <x:c r="D2371" t="str">
        <x:v>Entidad financiera E</x:v>
      </x:c>
      <x:c r="E2371" t="str">
        <x:v>Crédito de consumo</x:v>
      </x:c>
      <x:c r="F2371" t="n">
        <x:v>9610000</x:v>
      </x:c>
      <x:c r="G2371" s="40" t="n">
        <x:v>0.2227</x:v>
      </x:c>
      <x:c r="H2371" s="40" t="n">
        <x:v>0.016896</x:v>
      </x:c>
      <x:c r="I2371" t="n">
        <x:v>60</x:v>
      </x:c>
      <x:c r="J2371" t="n">
        <x:v>256100</x:v>
      </x:c>
      <x:c r="K2371" t="str">
        <x:v>Bola de nieve</x:v>
      </x:c>
      <x:c r="L2371" t="str">
        <x:v>Vigente</x:v>
      </x:c>
      <x:c r="M2371" t="n">
        <x:v>9477873.27</x:v>
      </x:c>
      <x:c r="N2371"/>
    </x:row>
    <x:row r="2372">
      <x:c r="A2372" t="str">
        <x:v>DEU-002371</x:v>
      </x:c>
      <x:c r="B2372" t="str">
        <x:v>USR-01207</x:v>
      </x:c>
      <x:c r="C2372" t="n">
        <x:v>46266</x:v>
      </x:c>
      <x:c r="D2372" t="str">
        <x:v>Cooperativa C</x:v>
      </x:c>
      <x:c r="E2372" t="str">
        <x:v>Crédito de consumo</x:v>
      </x:c>
      <x:c r="F2372" t="n">
        <x:v>10740000</x:v>
      </x:c>
      <x:c r="G2372" s="40" t="n">
        <x:v>0.1332</x:v>
      </x:c>
      <x:c r="H2372" s="40" t="n">
        <x:v>0.010475</x:v>
      </x:c>
      <x:c r="I2372" t="n">
        <x:v>18</x:v>
      </x:c>
      <x:c r="J2372" t="n">
        <x:v>657800</x:v>
      </x:c>
      <x:c r="K2372" t="str">
        <x:v>Avalancha</x:v>
      </x:c>
      <x:c r="L2372" t="str">
        <x:v>Vigente</x:v>
      </x:c>
      <x:c r="M2372" t="n">
        <x:v>10852500.85</x:v>
      </x:c>
      <x:c r="N2372"/>
    </x:row>
    <x:row r="2373">
      <x:c r="A2373" t="str">
        <x:v>DEU-002372</x:v>
      </x:c>
      <x:c r="B2373" t="str">
        <x:v>USR-01208</x:v>
      </x:c>
      <x:c r="C2373" t="n">
        <x:v>46266</x:v>
      </x:c>
      <x:c r="D2373" t="str">
        <x:v>Cooperativa C</x:v>
      </x:c>
      <x:c r="E2373" t="str">
        <x:v>Crédito de consumo</x:v>
      </x:c>
      <x:c r="F2373" t="n">
        <x:v>8420000</x:v>
      </x:c>
      <x:c r="G2373" s="40" t="n">
        <x:v>0.2965</x:v>
      </x:c>
      <x:c r="H2373" s="40" t="n">
        <x:v>0.021875</x:v>
      </x:c>
      <x:c r="I2373" t="n">
        <x:v>48</x:v>
      </x:c>
      <x:c r="J2373" t="n">
        <x:v>285100</x:v>
      </x:c>
      <x:c r="K2373" t="str">
        <x:v>Avalancha</x:v>
      </x:c>
      <x:c r="L2373" t="str">
        <x:v>Vigente</x:v>
      </x:c>
      <x:c r="M2373" t="n">
        <x:v>8376086.23</x:v>
      </x:c>
      <x:c r="N2373"/>
    </x:row>
    <x:row r="2374">
      <x:c r="A2374" t="str">
        <x:v>DEU-002373</x:v>
      </x:c>
      <x:c r="B2374" t="str">
        <x:v>USR-01209</x:v>
      </x:c>
      <x:c r="C2374" t="n">
        <x:v>46266</x:v>
      </x:c>
      <x:c r="D2374" t="str">
        <x:v>Cooperativa C</x:v>
      </x:c>
      <x:c r="E2374" t="str">
        <x:v>Tarjeta de crédito</x:v>
      </x:c>
      <x:c r="F2374" t="n">
        <x:v>2740000</x:v>
      </x:c>
      <x:c r="G2374" s="40" t="n">
        <x:v>0.2238</x:v>
      </x:c>
      <x:c r="H2374" s="40" t="n">
        <x:v>0.016972</x:v>
      </x:c>
      <x:c r="I2374" t="n">
        <x:v>36</x:v>
      </x:c>
      <x:c r="J2374" t="n">
        <x:v>102300</x:v>
      </x:c>
      <x:c r="K2374" t="str">
        <x:v>Bola de nieve</x:v>
      </x:c>
      <x:c r="L2374" t="str">
        <x:v>Vigente</x:v>
      </x:c>
      <x:c r="M2374" t="n">
        <x:v>2668904.62</x:v>
      </x:c>
      <x:c r="N2374"/>
    </x:row>
    <x:row r="2375">
      <x:c r="A2375" t="str">
        <x:v>DEU-002374</x:v>
      </x:c>
      <x:c r="B2375" t="str">
        <x:v>USR-01209</x:v>
      </x:c>
      <x:c r="C2375" t="n">
        <x:v>46266</x:v>
      </x:c>
      <x:c r="D2375" t="str">
        <x:v>Cooperativa C</x:v>
      </x:c>
      <x:c r="E2375" t="str">
        <x:v>Crédito de consumo</x:v>
      </x:c>
      <x:c r="F2375" t="n">
        <x:v>15480000</x:v>
      </x:c>
      <x:c r="G2375" s="40" t="n">
        <x:v>0.3134</x:v>
      </x:c>
      <x:c r="H2375" s="40" t="n">
        <x:v>0.022978</x:v>
      </x:c>
      <x:c r="I2375" t="n">
        <x:v>48</x:v>
      </x:c>
      <x:c r="J2375" t="n">
        <x:v>535700</x:v>
      </x:c>
      <x:c r="K2375" t="str">
        <x:v>Bola de nieve</x:v>
      </x:c>
      <x:c r="L2375" t="str">
        <x:v>Vigente</x:v>
      </x:c>
      <x:c r="M2375" t="n">
        <x:v>15835703.95</x:v>
      </x:c>
      <x:c r="N2375"/>
    </x:row>
    <x:row r="2376">
      <x:c r="A2376" t="str">
        <x:v>DEU-002375</x:v>
      </x:c>
      <x:c r="B2376" t="str">
        <x:v>USR-01210</x:v>
      </x:c>
      <x:c r="C2376" t="n">
        <x:v>46266</x:v>
      </x:c>
      <x:c r="D2376" t="str">
        <x:v>Entidad financiera B</x:v>
      </x:c>
      <x:c r="E2376" t="str">
        <x:v>Tarjeta de crédito</x:v>
      </x:c>
      <x:c r="F2376" t="n">
        <x:v>4040000</x:v>
      </x:c>
      <x:c r="G2376" s="40" t="n">
        <x:v>0.2988</x:v>
      </x:c>
      <x:c r="H2376" s="40" t="n">
        <x:v>0.022026</x:v>
      </x:c>
      <x:c r="I2376" t="n">
        <x:v>30</x:v>
      </x:c>
      <x:c r="J2376" t="n">
        <x:v>185400</x:v>
      </x:c>
      <x:c r="K2376" t="str">
        <x:v>Bola de nieve</x:v>
      </x:c>
      <x:c r="L2376" t="str">
        <x:v>Vigente</x:v>
      </x:c>
      <x:c r="M2376" t="n">
        <x:v>3943584.21</x:v>
      </x:c>
      <x:c r="N2376"/>
    </x:row>
    <x:row r="2377">
      <x:c r="A2377" t="str">
        <x:v>DEU-002376</x:v>
      </x:c>
      <x:c r="B2377" t="str">
        <x:v>USR-01211</x:v>
      </x:c>
      <x:c r="C2377" t="n">
        <x:v>46266</x:v>
      </x:c>
      <x:c r="D2377" t="str">
        <x:v>Cooperativa C</x:v>
      </x:c>
      <x:c r="E2377" t="str">
        <x:v>Crédito comercial</x:v>
      </x:c>
      <x:c r="F2377" t="n">
        <x:v>16360000</x:v>
      </x:c>
      <x:c r="G2377" s="40" t="n">
        <x:v>0.2023</x:v>
      </x:c>
      <x:c r="H2377" s="40" t="n">
        <x:v>0.015471</x:v>
      </x:c>
      <x:c r="I2377" t="n">
        <x:v>24</x:v>
      </x:c>
      <x:c r="J2377" t="n">
        <x:v>821200</x:v>
      </x:c>
      <x:c r="K2377" t="str">
        <x:v>Bola de nieve</x:v>
      </x:c>
      <x:c r="L2377" t="str">
        <x:v>Vigente</x:v>
      </x:c>
      <x:c r="M2377" t="n">
        <x:v>15381313.67</x:v>
      </x:c>
      <x:c r="N2377"/>
    </x:row>
    <x:row r="2378">
      <x:c r="A2378" t="str">
        <x:v>DEU-002377</x:v>
      </x:c>
      <x:c r="B2378" t="str">
        <x:v>USR-01211</x:v>
      </x:c>
      <x:c r="C2378" t="n">
        <x:v>46266</x:v>
      </x:c>
      <x:c r="D2378" t="str">
        <x:v>Entidad financiera E</x:v>
      </x:c>
      <x:c r="E2378" t="str">
        <x:v>Crédito de consumo</x:v>
      </x:c>
      <x:c r="F2378" t="n">
        <x:v>4730000</x:v>
      </x:c>
      <x:c r="G2378" s="40" t="n">
        <x:v>0.2945</x:v>
      </x:c>
      <x:c r="H2378" s="40" t="n">
        <x:v>0.021743</x:v>
      </x:c>
      <x:c r="I2378" t="n">
        <x:v>12</x:v>
      </x:c>
      <x:c r="J2378" t="n">
        <x:v>452100</x:v>
      </x:c>
      <x:c r="K2378" t="str">
        <x:v>Bola de nieve</x:v>
      </x:c>
      <x:c r="L2378" t="str">
        <x:v>Vigente</x:v>
      </x:c>
      <x:c r="M2378" t="n">
        <x:v>4832846.25</x:v>
      </x:c>
      <x:c r="N2378"/>
    </x:row>
    <x:row r="2379">
      <x:c r="A2379" t="str">
        <x:v>DEU-002378</x:v>
      </x:c>
      <x:c r="B2379" t="str">
        <x:v>USR-01212</x:v>
      </x:c>
      <x:c r="C2379" t="n">
        <x:v>46266</x:v>
      </x:c>
      <x:c r="D2379" t="str">
        <x:v>Entidad financiera A</x:v>
      </x:c>
      <x:c r="E2379" t="str">
        <x:v>Crédito educativo</x:v>
      </x:c>
      <x:c r="F2379" t="n">
        <x:v>16990000</x:v>
      </x:c>
      <x:c r="G2379" s="40" t="n">
        <x:v>0.2931</x:v>
      </x:c>
      <x:c r="H2379" s="40" t="n">
        <x:v>0.021651</x:v>
      </x:c>
      <x:c r="I2379" t="n">
        <x:v>48</x:v>
      </x:c>
      <x:c r="J2379" t="n">
        <x:v>572700</x:v>
      </x:c>
      <x:c r="K2379" t="str">
        <x:v>Avalancha</x:v>
      </x:c>
      <x:c r="L2379" t="str">
        <x:v>Vigente</x:v>
      </x:c>
      <x:c r="M2379" t="n">
        <x:v>16699254.95</x:v>
      </x:c>
      <x:c r="N2379"/>
    </x:row>
    <x:row r="2380">
      <x:c r="A2380" t="str">
        <x:v>DEU-002379</x:v>
      </x:c>
      <x:c r="B2380" t="str">
        <x:v>USR-01212</x:v>
      </x:c>
      <x:c r="C2380" t="n">
        <x:v>46266</x:v>
      </x:c>
      <x:c r="D2380" t="str">
        <x:v>Financiera D</x:v>
      </x:c>
      <x:c r="E2380" t="str">
        <x:v>Crédito educativo</x:v>
      </x:c>
      <x:c r="F2380" t="n">
        <x:v>20510000</x:v>
      </x:c>
      <x:c r="G2380" s="40" t="n">
        <x:v>0.3007</x:v>
      </x:c>
      <x:c r="H2380" s="40" t="n">
        <x:v>0.02215</x:v>
      </x:c>
      <x:c r="I2380" t="n">
        <x:v>48</x:v>
      </x:c>
      <x:c r="J2380" t="n">
        <x:v>698300</x:v>
      </x:c>
      <x:c r="K2380" t="str">
        <x:v>Avalancha</x:v>
      </x:c>
      <x:c r="L2380" t="str">
        <x:v>Vigente</x:v>
      </x:c>
      <x:c r="M2380" t="n">
        <x:v>20161302.71</x:v>
      </x:c>
      <x:c r="N2380"/>
    </x:row>
    <x:row r="2381">
      <x:c r="A2381" t="str">
        <x:v>DEU-002380</x:v>
      </x:c>
      <x:c r="B2381" t="str">
        <x:v>USR-01213</x:v>
      </x:c>
      <x:c r="C2381" t="n">
        <x:v>46266</x:v>
      </x:c>
      <x:c r="D2381" t="str">
        <x:v>Financiera D</x:v>
      </x:c>
      <x:c r="E2381" t="str">
        <x:v>Crédito de libre inversión</x:v>
      </x:c>
      <x:c r="F2381" t="n">
        <x:v>16590000</x:v>
      </x:c>
      <x:c r="G2381" s="40" t="n">
        <x:v>0.1831</x:v>
      </x:c>
      <x:c r="H2381" s="40" t="n">
        <x:v>0.01411</x:v>
      </x:c>
      <x:c r="I2381" t="n">
        <x:v>30</x:v>
      </x:c>
      <x:c r="J2381" t="n">
        <x:v>682100</x:v>
      </x:c>
      <x:c r="K2381" t="str">
        <x:v>Avalancha</x:v>
      </x:c>
      <x:c r="L2381" t="str">
        <x:v>Vigente</x:v>
      </x:c>
      <x:c r="M2381" t="n">
        <x:v>16824087.07</x:v>
      </x:c>
      <x:c r="N2381"/>
    </x:row>
    <x:row r="2382">
      <x:c r="A2382" t="str">
        <x:v>DEU-002381</x:v>
      </x:c>
      <x:c r="B2382" t="str">
        <x:v>USR-01213</x:v>
      </x:c>
      <x:c r="C2382" t="n">
        <x:v>46266</x:v>
      </x:c>
      <x:c r="D2382" t="str">
        <x:v>Cooperativa C</x:v>
      </x:c>
      <x:c r="E2382" t="str">
        <x:v>Crédito educativo</x:v>
      </x:c>
      <x:c r="F2382" t="n">
        <x:v>9490000</x:v>
      </x:c>
      <x:c r="G2382" s="40" t="n">
        <x:v>0.3272</x:v>
      </x:c>
      <x:c r="H2382" s="40" t="n">
        <x:v>0.02387</x:v>
      </x:c>
      <x:c r="I2382" t="n">
        <x:v>18</x:v>
      </x:c>
      <x:c r="J2382" t="n">
        <x:v>654700</x:v>
      </x:c>
      <x:c r="K2382" t="str">
        <x:v>Bola de nieve</x:v>
      </x:c>
      <x:c r="L2382" t="str">
        <x:v>Vigente</x:v>
      </x:c>
      <x:c r="M2382" t="n">
        <x:v>9716523.61</x:v>
      </x:c>
      <x:c r="N2382"/>
    </x:row>
    <x:row r="2383">
      <x:c r="A2383" t="str">
        <x:v>DEU-002382</x:v>
      </x:c>
      <x:c r="B2383" t="str">
        <x:v>USR-01214</x:v>
      </x:c>
      <x:c r="C2383" t="n">
        <x:v>46266</x:v>
      </x:c>
      <x:c r="D2383" t="str">
        <x:v>Cooperativa C</x:v>
      </x:c>
      <x:c r="E2383" t="str">
        <x:v>Tarjeta de crédito</x:v>
      </x:c>
      <x:c r="F2383" t="n">
        <x:v>1700000</x:v>
      </x:c>
      <x:c r="G2383" s="40" t="n">
        <x:v>0.1601</x:v>
      </x:c>
      <x:c r="H2383" s="40" t="n">
        <x:v>0.012452</x:v>
      </x:c>
      <x:c r="I2383" t="n">
        <x:v>12</x:v>
      </x:c>
      <x:c r="J2383" t="n">
        <x:v>153400</x:v>
      </x:c>
      <x:c r="K2383" t="str">
        <x:v>Bola de nieve</x:v>
      </x:c>
      <x:c r="L2383" t="str">
        <x:v>Vigente</x:v>
      </x:c>
      <x:c r="M2383" t="n">
        <x:v>1544769.1</x:v>
      </x:c>
      <x:c r="N2383"/>
    </x:row>
    <x:row r="2384">
      <x:c r="A2384" t="str">
        <x:v>DEU-002383</x:v>
      </x:c>
      <x:c r="B2384" t="str">
        <x:v>USR-01214</x:v>
      </x:c>
      <x:c r="C2384" t="n">
        <x:v>46266</x:v>
      </x:c>
      <x:c r="D2384" t="str">
        <x:v>Cooperativa C</x:v>
      </x:c>
      <x:c r="E2384" t="str">
        <x:v>Crédito de consumo</x:v>
      </x:c>
      <x:c r="F2384" t="n">
        <x:v>2820000</x:v>
      </x:c>
      <x:c r="G2384" s="40" t="n">
        <x:v>0.1256</x:v>
      </x:c>
      <x:c r="H2384" s="40" t="n">
        <x:v>0.009908</x:v>
      </x:c>
      <x:c r="I2384" t="n">
        <x:v>30</x:v>
      </x:c>
      <x:c r="J2384" t="n">
        <x:v>109100</x:v>
      </x:c>
      <x:c r="K2384" t="str">
        <x:v>Avalancha</x:v>
      </x:c>
      <x:c r="L2384" t="str">
        <x:v>Vigente</x:v>
      </x:c>
      <x:c r="M2384" t="n">
        <x:v>2760641.84</x:v>
      </x:c>
      <x:c r="N2384"/>
    </x:row>
    <x:row r="2385">
      <x:c r="A2385" t="str">
        <x:v>DEU-002384</x:v>
      </x:c>
      <x:c r="B2385" t="str">
        <x:v>USR-01215</x:v>
      </x:c>
      <x:c r="C2385" t="n">
        <x:v>46266</x:v>
      </x:c>
      <x:c r="D2385" t="str">
        <x:v>Entidad financiera A</x:v>
      </x:c>
      <x:c r="E2385" t="str">
        <x:v>Crédito educativo</x:v>
      </x:c>
      <x:c r="F2385" t="n">
        <x:v>15560000</x:v>
      </x:c>
      <x:c r="G2385" s="40" t="n">
        <x:v>0.1308</x:v>
      </x:c>
      <x:c r="H2385" s="40" t="n">
        <x:v>0.010296</x:v>
      </x:c>
      <x:c r="I2385" t="n">
        <x:v>24</x:v>
      </x:c>
      <x:c r="J2385" t="n">
        <x:v>735100</x:v>
      </x:c>
      <x:c r="K2385" t="str">
        <x:v>Bola de nieve</x:v>
      </x:c>
      <x:c r="L2385" t="str">
        <x:v>Vigente</x:v>
      </x:c>
      <x:c r="M2385" t="n">
        <x:v>14985112.39</x:v>
      </x:c>
      <x:c r="N2385"/>
    </x:row>
    <x:row r="2386">
      <x:c r="A2386" t="str">
        <x:v>DEU-002385</x:v>
      </x:c>
      <x:c r="B2386" t="str">
        <x:v>USR-01215</x:v>
      </x:c>
      <x:c r="C2386" t="n">
        <x:v>46266</x:v>
      </x:c>
      <x:c r="D2386" t="str">
        <x:v>Entidad financiera E</x:v>
      </x:c>
      <x:c r="E2386" t="str">
        <x:v>Crédito educativo</x:v>
      </x:c>
      <x:c r="F2386" t="n">
        <x:v>25800000</x:v>
      </x:c>
      <x:c r="G2386" s="40" t="n">
        <x:v>0.1087</x:v>
      </x:c>
      <x:c r="H2386" s="40" t="n">
        <x:v>0.008636</x:v>
      </x:c>
      <x:c r="I2386" t="n">
        <x:v>18</x:v>
      </x:c>
      <x:c r="J2386" t="n">
        <x:v>1553800</x:v>
      </x:c>
      <x:c r="K2386" t="str">
        <x:v>Avalancha</x:v>
      </x:c>
      <x:c r="L2386" t="str">
        <x:v>Vigente</x:v>
      </x:c>
      <x:c r="M2386" t="n">
        <x:v>25168211.14</x:v>
      </x:c>
      <x:c r="N2386"/>
    </x:row>
    <x:row r="2387">
      <x:c r="A2387" t="str">
        <x:v>DEU-002386</x:v>
      </x:c>
      <x:c r="B2387" t="str">
        <x:v>USR-01216</x:v>
      </x:c>
      <x:c r="C2387" t="n">
        <x:v>46266</x:v>
      </x:c>
      <x:c r="D2387" t="str">
        <x:v>Cooperativa C</x:v>
      </x:c>
      <x:c r="E2387" t="str">
        <x:v>Crédito de libre inversión</x:v>
      </x:c>
      <x:c r="F2387" t="n">
        <x:v>9520000</x:v>
      </x:c>
      <x:c r="G2387" s="40" t="n">
        <x:v>0.2812</x:v>
      </x:c>
      <x:c r="H2387" s="40" t="n">
        <x:v>0.020864</x:v>
      </x:c>
      <x:c r="I2387" t="n">
        <x:v>18</x:v>
      </x:c>
      <x:c r="J2387" t="n">
        <x:v>639800</x:v>
      </x:c>
      <x:c r="K2387" t="str">
        <x:v>Avalancha</x:v>
      </x:c>
      <x:c r="L2387" t="str">
        <x:v>Vigente</x:v>
      </x:c>
      <x:c r="M2387" t="n">
        <x:v>9078829.5</x:v>
      </x:c>
      <x:c r="N2387"/>
    </x:row>
    <x:row r="2388">
      <x:c r="A2388" t="str">
        <x:v>DEU-002387</x:v>
      </x:c>
      <x:c r="B2388" t="str">
        <x:v>USR-01217</x:v>
      </x:c>
      <x:c r="C2388" t="n">
        <x:v>46266</x:v>
      </x:c>
      <x:c r="D2388" t="str">
        <x:v>Entidad financiera E</x:v>
      </x:c>
      <x:c r="E2388" t="str">
        <x:v>Crédito educativo</x:v>
      </x:c>
      <x:c r="F2388" t="n">
        <x:v>13960000</x:v>
      </x:c>
      <x:c r="G2388" s="40" t="n">
        <x:v>0.2943</x:v>
      </x:c>
      <x:c r="H2388" s="40" t="n">
        <x:v>0.02173</x:v>
      </x:c>
      <x:c r="I2388" t="n">
        <x:v>24</x:v>
      </x:c>
      <x:c r="J2388" t="n">
        <x:v>752600</x:v>
      </x:c>
      <x:c r="K2388" t="str">
        <x:v>Avalancha</x:v>
      </x:c>
      <x:c r="L2388" t="str">
        <x:v>Vigente</x:v>
      </x:c>
      <x:c r="M2388" t="n">
        <x:v>13510754.1</x:v>
      </x:c>
      <x:c r="N2388"/>
    </x:row>
    <x:row r="2389">
      <x:c r="A2389" t="str">
        <x:v>DEU-002388</x:v>
      </x:c>
      <x:c r="B2389" t="str">
        <x:v>USR-01218</x:v>
      </x:c>
      <x:c r="C2389" t="n">
        <x:v>46266</x:v>
      </x:c>
      <x:c r="D2389" t="str">
        <x:v>Entidad financiera A</x:v>
      </x:c>
      <x:c r="E2389" t="str">
        <x:v>Tarjeta de crédito</x:v>
      </x:c>
      <x:c r="F2389" t="n">
        <x:v>1360000</x:v>
      </x:c>
      <x:c r="G2389" s="40" t="n">
        <x:v>0.3442</x:v>
      </x:c>
      <x:c r="H2389" s="40" t="n">
        <x:v>0.024956</x:v>
      </x:c>
      <x:c r="I2389" t="n">
        <x:v>12</x:v>
      </x:c>
      <x:c r="J2389" t="n">
        <x:v>132500</x:v>
      </x:c>
      <x:c r="K2389" t="str">
        <x:v>Avalancha</x:v>
      </x:c>
      <x:c r="L2389" t="str">
        <x:v>Vigente</x:v>
      </x:c>
      <x:c r="M2389" t="n">
        <x:v>1241540.49</x:v>
      </x:c>
      <x:c r="N2389"/>
    </x:row>
    <x:row r="2390">
      <x:c r="A2390" t="str">
        <x:v>DEU-002389</x:v>
      </x:c>
      <x:c r="B2390" t="str">
        <x:v>USR-01218</x:v>
      </x:c>
      <x:c r="C2390" t="n">
        <x:v>46266</x:v>
      </x:c>
      <x:c r="D2390" t="str">
        <x:v>Entidad financiera E</x:v>
      </x:c>
      <x:c r="E2390" t="str">
        <x:v>Tarjeta de crédito</x:v>
      </x:c>
      <x:c r="F2390" t="n">
        <x:v>6430000</x:v>
      </x:c>
      <x:c r="G2390" s="40" t="n">
        <x:v>0.307</x:v>
      </x:c>
      <x:c r="H2390" s="40" t="n">
        <x:v>0.022562</x:v>
      </x:c>
      <x:c r="I2390" t="n">
        <x:v>24</x:v>
      </x:c>
      <x:c r="J2390" t="n">
        <x:v>349900</x:v>
      </x:c>
      <x:c r="K2390" t="str">
        <x:v>Avalancha</x:v>
      </x:c>
      <x:c r="L2390" t="str">
        <x:v>Vigente</x:v>
      </x:c>
      <x:c r="M2390" t="n">
        <x:v>6050273.4</x:v>
      </x:c>
      <x:c r="N2390"/>
    </x:row>
    <x:row r="2391">
      <x:c r="A2391" t="str">
        <x:v>DEU-002390</x:v>
      </x:c>
      <x:c r="B2391" t="str">
        <x:v>USR-01219</x:v>
      </x:c>
      <x:c r="C2391" t="n">
        <x:v>46266</x:v>
      </x:c>
      <x:c r="D2391" t="str">
        <x:v>Entidad financiera E</x:v>
      </x:c>
      <x:c r="E2391" t="str">
        <x:v>Tarjeta de crédito</x:v>
      </x:c>
      <x:c r="F2391" t="n">
        <x:v>6100000</x:v>
      </x:c>
      <x:c r="G2391" s="40" t="n">
        <x:v>0.2988</x:v>
      </x:c>
      <x:c r="H2391" s="40" t="n">
        <x:v>0.022026</x:v>
      </x:c>
      <x:c r="I2391" t="n">
        <x:v>48</x:v>
      </x:c>
      <x:c r="J2391" t="n">
        <x:v>207200</x:v>
      </x:c>
      <x:c r="K2391" t="str">
        <x:v>Avalancha</x:v>
      </x:c>
      <x:c r="L2391" t="str">
        <x:v>Vigente</x:v>
      </x:c>
      <x:c r="M2391" t="n">
        <x:v>5996057.34</x:v>
      </x:c>
      <x:c r="N2391"/>
    </x:row>
    <x:row r="2392">
      <x:c r="A2392" t="str">
        <x:v>DEU-002391</x:v>
      </x:c>
      <x:c r="B2392" t="str">
        <x:v>USR-01219</x:v>
      </x:c>
      <x:c r="C2392" t="n">
        <x:v>46266</x:v>
      </x:c>
      <x:c r="D2392" t="str">
        <x:v>Cooperativa C</x:v>
      </x:c>
      <x:c r="E2392" t="str">
        <x:v>Crédito de libre inversión</x:v>
      </x:c>
      <x:c r="F2392" t="n">
        <x:v>8220000</x:v>
      </x:c>
      <x:c r="G2392" s="40" t="n">
        <x:v>0.2661</x:v>
      </x:c>
      <x:c r="H2392" s="40" t="n">
        <x:v>0.019856</x:v>
      </x:c>
      <x:c r="I2392" t="n">
        <x:v>24</x:v>
      </x:c>
      <x:c r="J2392" t="n">
        <x:v>433900</x:v>
      </x:c>
      <x:c r="K2392" t="str">
        <x:v>Avalancha</x:v>
      </x:c>
      <x:c r="L2392" t="str">
        <x:v>Vigente</x:v>
      </x:c>
      <x:c r="M2392" t="n">
        <x:v>7884219.13</x:v>
      </x:c>
      <x:c r="N2392"/>
    </x:row>
    <x:row r="2393">
      <x:c r="A2393" t="str">
        <x:v>DEU-002392</x:v>
      </x:c>
      <x:c r="B2393" t="str">
        <x:v>USR-01220</x:v>
      </x:c>
      <x:c r="C2393" t="n">
        <x:v>46266</x:v>
      </x:c>
      <x:c r="D2393" t="str">
        <x:v>Entidad financiera B</x:v>
      </x:c>
      <x:c r="E2393" t="str">
        <x:v>Crédito de libre inversión</x:v>
      </x:c>
      <x:c r="F2393" t="n">
        <x:v>18090000</x:v>
      </x:c>
      <x:c r="G2393" s="40" t="n">
        <x:v>0.2333</x:v>
      </x:c>
      <x:c r="H2393" s="40" t="n">
        <x:v>0.017628</x:v>
      </x:c>
      <x:c r="I2393" t="n">
        <x:v>12</x:v>
      </x:c>
      <x:c r="J2393" t="n">
        <x:v>1685800</x:v>
      </x:c>
      <x:c r="K2393" t="str">
        <x:v>Bola de nieve</x:v>
      </x:c>
      <x:c r="L2393" t="str">
        <x:v>Vigente</x:v>
      </x:c>
      <x:c r="M2393" t="n">
        <x:v>16470191.07</x:v>
      </x:c>
      <x:c r="N2393"/>
    </x:row>
    <x:row r="2394">
      <x:c r="A2394" t="str">
        <x:v>DEU-002393</x:v>
      </x:c>
      <x:c r="B2394" t="str">
        <x:v>USR-01221</x:v>
      </x:c>
      <x:c r="C2394" t="n">
        <x:v>46266</x:v>
      </x:c>
      <x:c r="D2394" t="str">
        <x:v>Financiera D</x:v>
      </x:c>
      <x:c r="E2394" t="str">
        <x:v>Crédito de libre inversión</x:v>
      </x:c>
      <x:c r="F2394" t="n">
        <x:v>11760000</x:v>
      </x:c>
      <x:c r="G2394" s="40" t="n">
        <x:v>0.1635</x:v>
      </x:c>
      <x:c r="H2394" s="40" t="n">
        <x:v>0.012699</x:v>
      </x:c>
      <x:c r="I2394" t="n">
        <x:v>36</x:v>
      </x:c>
      <x:c r="J2394" t="n">
        <x:v>409000</x:v>
      </x:c>
      <x:c r="K2394" t="str">
        <x:v>Bola de nieve</x:v>
      </x:c>
      <x:c r="L2394" t="str">
        <x:v>Vigente</x:v>
      </x:c>
      <x:c r="M2394" t="n">
        <x:v>11909344.39</x:v>
      </x:c>
      <x:c r="N2394"/>
    </x:row>
    <x:row r="2395">
      <x:c r="A2395" t="str">
        <x:v>DEU-002394</x:v>
      </x:c>
      <x:c r="B2395" t="str">
        <x:v>USR-01221</x:v>
      </x:c>
      <x:c r="C2395" t="n">
        <x:v>46266</x:v>
      </x:c>
      <x:c r="D2395" t="str">
        <x:v>Entidad financiera A</x:v>
      </x:c>
      <x:c r="E2395" t="str">
        <x:v>Crédito de consumo</x:v>
      </x:c>
      <x:c r="F2395" t="n">
        <x:v>10500000</x:v>
      </x:c>
      <x:c r="G2395" s="40" t="n">
        <x:v>0.3415</x:v>
      </x:c>
      <x:c r="H2395" s="40" t="n">
        <x:v>0.024785</x:v>
      </x:c>
      <x:c r="I2395" t="n">
        <x:v>24</x:v>
      </x:c>
      <x:c r="J2395" t="n">
        <x:v>585700</x:v>
      </x:c>
      <x:c r="K2395" t="str">
        <x:v>Bola de nieve</x:v>
      </x:c>
      <x:c r="L2395" t="str">
        <x:v>Vigente</x:v>
      </x:c>
      <x:c r="M2395" t="n">
        <x:v>10174537.46</x:v>
      </x:c>
      <x:c r="N2395"/>
    </x:row>
    <x:row r="2396">
      <x:c r="A2396" t="str">
        <x:v>DEU-002395</x:v>
      </x:c>
      <x:c r="B2396" t="str">
        <x:v>USR-01222</x:v>
      </x:c>
      <x:c r="C2396" t="n">
        <x:v>46266</x:v>
      </x:c>
      <x:c r="D2396" t="str">
        <x:v>Cooperativa C</x:v>
      </x:c>
      <x:c r="E2396" t="str">
        <x:v>Crédito educativo</x:v>
      </x:c>
      <x:c r="F2396" t="n">
        <x:v>26650000</x:v>
      </x:c>
      <x:c r="G2396" s="40" t="n">
        <x:v>0.2937</x:v>
      </x:c>
      <x:c r="H2396" s="40" t="n">
        <x:v>0.021691</x:v>
      </x:c>
      <x:c r="I2396" t="n">
        <x:v>24</x:v>
      </x:c>
      <x:c r="J2396" t="n">
        <x:v>1436100</x:v>
      </x:c>
      <x:c r="K2396" t="str">
        <x:v>Avalancha</x:v>
      </x:c>
      <x:c r="L2396" t="str">
        <x:v>Vigente</x:v>
      </x:c>
      <x:c r="M2396" t="n">
        <x:v>27228058.7</x:v>
      </x:c>
      <x:c r="N2396"/>
    </x:row>
    <x:row r="2397">
      <x:c r="A2397" t="str">
        <x:v>DEU-002396</x:v>
      </x:c>
      <x:c r="B2397" t="str">
        <x:v>USR-01222</x:v>
      </x:c>
      <x:c r="C2397" t="n">
        <x:v>46266</x:v>
      </x:c>
      <x:c r="D2397" t="str">
        <x:v>Financiera D</x:v>
      </x:c>
      <x:c r="E2397" t="str">
        <x:v>Crédito de consumo</x:v>
      </x:c>
      <x:c r="F2397" t="n">
        <x:v>4300000</x:v>
      </x:c>
      <x:c r="G2397" s="40" t="n">
        <x:v>0.3006</x:v>
      </x:c>
      <x:c r="H2397" s="40" t="n">
        <x:v>0.022144</x:v>
      </x:c>
      <x:c r="I2397" t="n">
        <x:v>12</x:v>
      </x:c>
      <x:c r="J2397" t="n">
        <x:v>412000</x:v>
      </x:c>
      <x:c r="K2397" t="str">
        <x:v>Avalancha</x:v>
      </x:c>
      <x:c r="L2397" t="str">
        <x:v>Vigente</x:v>
      </x:c>
      <x:c r="M2397" t="n">
        <x:v>4395218.14</x:v>
      </x:c>
      <x:c r="N2397"/>
    </x:row>
    <x:row r="2398">
      <x:c r="A2398" t="str">
        <x:v>DEU-002397</x:v>
      </x:c>
      <x:c r="B2398" t="str">
        <x:v>USR-01223</x:v>
      </x:c>
      <x:c r="C2398" t="n">
        <x:v>46266</x:v>
      </x:c>
      <x:c r="D2398" t="str">
        <x:v>Entidad financiera E</x:v>
      </x:c>
      <x:c r="E2398" t="str">
        <x:v>Tarjeta de crédito</x:v>
      </x:c>
      <x:c r="F2398" t="n">
        <x:v>1120000</x:v>
      </x:c>
      <x:c r="G2398" s="40" t="n">
        <x:v>0.2933</x:v>
      </x:c>
      <x:c r="H2398" s="40" t="n">
        <x:v>0.021664</x:v>
      </x:c>
      <x:c r="I2398" t="n">
        <x:v>48</x:v>
      </x:c>
      <x:c r="J2398" t="n">
        <x:v>37800</x:v>
      </x:c>
      <x:c r="K2398" t="str">
        <x:v>Bola de nieve</x:v>
      </x:c>
      <x:c r="L2398" t="str">
        <x:v>Vigente</x:v>
      </x:c>
      <x:c r="M2398" t="n">
        <x:v>1144264.16</x:v>
      </x:c>
      <x:c r="N2398"/>
    </x:row>
    <x:row r="2399">
      <x:c r="A2399" t="str">
        <x:v>DEU-002398</x:v>
      </x:c>
      <x:c r="B2399" t="str">
        <x:v>USR-01223</x:v>
      </x:c>
      <x:c r="C2399" t="n">
        <x:v>46266</x:v>
      </x:c>
      <x:c r="D2399" t="str">
        <x:v>Financiera D</x:v>
      </x:c>
      <x:c r="E2399" t="str">
        <x:v>Crédito de consumo</x:v>
      </x:c>
      <x:c r="F2399" t="n">
        <x:v>4300000</x:v>
      </x:c>
      <x:c r="G2399" s="40" t="n">
        <x:v>0.171</x:v>
      </x:c>
      <x:c r="H2399" s="40" t="n">
        <x:v>0.013242</x:v>
      </x:c>
      <x:c r="I2399" t="n">
        <x:v>12</x:v>
      </x:c>
      <x:c r="J2399" t="n">
        <x:v>389900</x:v>
      </x:c>
      <x:c r="K2399" t="str">
        <x:v>Bola de nieve</x:v>
      </x:c>
      <x:c r="L2399" t="str">
        <x:v>Vigente</x:v>
      </x:c>
      <x:c r="M2399" t="n">
        <x:v>4045039.51</x:v>
      </x:c>
      <x:c r="N2399"/>
    </x:row>
    <x:row r="2400">
      <x:c r="A2400" t="str">
        <x:v>DEU-002399</x:v>
      </x:c>
      <x:c r="B2400" t="str">
        <x:v>USR-01224</x:v>
      </x:c>
      <x:c r="C2400" t="n">
        <x:v>46266</x:v>
      </x:c>
      <x:c r="D2400" t="str">
        <x:v>Entidad financiera E</x:v>
      </x:c>
      <x:c r="E2400" t="str">
        <x:v>Crédito de libre inversión</x:v>
      </x:c>
      <x:c r="F2400" t="n">
        <x:v>4170000</x:v>
      </x:c>
      <x:c r="G2400" s="40" t="n">
        <x:v>0.1299</x:v>
      </x:c>
      <x:c r="H2400" s="40" t="n">
        <x:v>0.010229</x:v>
      </x:c>
      <x:c r="I2400" t="n">
        <x:v>60</x:v>
      </x:c>
      <x:c r="J2400" t="n">
        <x:v>93300</x:v>
      </x:c>
      <x:c r="K2400" t="str">
        <x:v>Bola de nieve</x:v>
      </x:c>
      <x:c r="L2400" t="str">
        <x:v>Vigente</x:v>
      </x:c>
      <x:c r="M2400" t="n">
        <x:v>4212656.57</x:v>
      </x:c>
      <x:c r="N2400"/>
    </x:row>
    <x:row r="2401">
      <x:c r="A2401" t="str">
        <x:v>DEU-002400</x:v>
      </x:c>
      <x:c r="B2401" t="str">
        <x:v>USR-01224</x:v>
      </x:c>
      <x:c r="C2401" t="n">
        <x:v>46266</x:v>
      </x:c>
      <x:c r="D2401" t="str">
        <x:v>Entidad financiera E</x:v>
      </x:c>
      <x:c r="E2401" t="str">
        <x:v>Crédito de consumo</x:v>
      </x:c>
      <x:c r="F2401" t="n">
        <x:v>12310000</x:v>
      </x:c>
      <x:c r="G2401" s="40" t="n">
        <x:v>0.1772</x:v>
      </x:c>
      <x:c r="H2401" s="40" t="n">
        <x:v>0.013688</x:v>
      </x:c>
      <x:c r="I2401" t="n">
        <x:v>48</x:v>
      </x:c>
      <x:c r="J2401" t="n">
        <x:v>351600</x:v>
      </x:c>
      <x:c r="K2401" t="str">
        <x:v>Bola de nieve</x:v>
      </x:c>
      <x:c r="L2401" t="str">
        <x:v>Vigente</x:v>
      </x:c>
      <x:c r="M2401" t="n">
        <x:v>12285095.9</x:v>
      </x:c>
      <x:c r="N2401"/>
    </x:row>
    <x:row r="2402">
      <x:c r="A2402" t="str">
        <x:v>DEU-002401</x:v>
      </x:c>
      <x:c r="B2402" t="str">
        <x:v>USR-01225</x:v>
      </x:c>
      <x:c r="C2402" t="n">
        <x:v>46266</x:v>
      </x:c>
      <x:c r="D2402" t="str">
        <x:v>Entidad financiera A</x:v>
      </x:c>
      <x:c r="E2402" t="str">
        <x:v>Tarjeta de crédito</x:v>
      </x:c>
      <x:c r="F2402" t="n">
        <x:v>3020000</x:v>
      </x:c>
      <x:c r="G2402" s="40" t="n">
        <x:v>0.1887</x:v>
      </x:c>
      <x:c r="H2402" s="40" t="n">
        <x:v>0.014509</x:v>
      </x:c>
      <x:c r="I2402" t="n">
        <x:v>18</x:v>
      </x:c>
      <x:c r="J2402" t="n">
        <x:v>191800</x:v>
      </x:c>
      <x:c r="K2402" t="str">
        <x:v>Avalancha</x:v>
      </x:c>
      <x:c r="L2402" t="str">
        <x:v>Vigente</x:v>
      </x:c>
      <x:c r="M2402" t="n">
        <x:v>2872018.01</x:v>
      </x:c>
      <x:c r="N2402"/>
    </x:row>
    <x:row r="2403">
      <x:c r="A2403" t="str">
        <x:v>DEU-002402</x:v>
      </x:c>
      <x:c r="B2403" t="str">
        <x:v>USR-01225</x:v>
      </x:c>
      <x:c r="C2403" t="n">
        <x:v>46266</x:v>
      </x:c>
      <x:c r="D2403" t="str">
        <x:v>Financiera D</x:v>
      </x:c>
      <x:c r="E2403" t="str">
        <x:v>Tarjeta de crédito</x:v>
      </x:c>
      <x:c r="F2403" t="n">
        <x:v>3780000</x:v>
      </x:c>
      <x:c r="G2403" s="40" t="n">
        <x:v>0.1877</x:v>
      </x:c>
      <x:c r="H2403" s="40" t="n">
        <x:v>0.014438</x:v>
      </x:c>
      <x:c r="I2403" t="n">
        <x:v>24</x:v>
      </x:c>
      <x:c r="J2403" t="n">
        <x:v>187500</x:v>
      </x:c>
      <x:c r="K2403" t="str">
        <x:v>Avalancha</x:v>
      </x:c>
      <x:c r="L2403" t="str">
        <x:v>Vigente</x:v>
      </x:c>
      <x:c r="M2403" t="n">
        <x:v>3553376.12</x:v>
      </x:c>
      <x:c r="N2403"/>
    </x:row>
    <x:row r="2404">
      <x:c r="A2404" t="str">
        <x:v>DEU-002403</x:v>
      </x:c>
      <x:c r="B2404" t="str">
        <x:v>USR-01226</x:v>
      </x:c>
      <x:c r="C2404" t="n">
        <x:v>46266</x:v>
      </x:c>
      <x:c r="D2404" t="str">
        <x:v>Cooperativa C</x:v>
      </x:c>
      <x:c r="E2404" t="str">
        <x:v>Tarjeta de crédito</x:v>
      </x:c>
      <x:c r="F2404" t="n">
        <x:v>8400000</x:v>
      </x:c>
      <x:c r="G2404" s="40" t="n">
        <x:v>0.1669</x:v>
      </x:c>
      <x:c r="H2404" s="40" t="n">
        <x:v>0.012946</x:v>
      </x:c>
      <x:c r="I2404" t="n">
        <x:v>24</x:v>
      </x:c>
      <x:c r="J2404" t="n">
        <x:v>409400</x:v>
      </x:c>
      <x:c r="K2404" t="str">
        <x:v>Bola de nieve</x:v>
      </x:c>
      <x:c r="L2404" t="str">
        <x:v>Vigente</x:v>
      </x:c>
      <x:c r="M2404" t="n">
        <x:v>8099343.32</x:v>
      </x:c>
      <x:c r="N2404"/>
    </x:row>
    <x:row r="2405">
      <x:c r="A2405" t="str">
        <x:v>DEU-002404</x:v>
      </x:c>
      <x:c r="B2405" t="str">
        <x:v>USR-01227</x:v>
      </x:c>
      <x:c r="C2405" t="n">
        <x:v>46266</x:v>
      </x:c>
      <x:c r="D2405" t="str">
        <x:v>Entidad financiera A</x:v>
      </x:c>
      <x:c r="E2405" t="str">
        <x:v>Tarjeta de crédito</x:v>
      </x:c>
      <x:c r="F2405" t="n">
        <x:v>7990000</x:v>
      </x:c>
      <x:c r="G2405" s="40" t="n">
        <x:v>0.2003</x:v>
      </x:c>
      <x:c r="H2405" s="40" t="n">
        <x:v>0.015331</x:v>
      </x:c>
      <x:c r="I2405" t="n">
        <x:v>60</x:v>
      </x:c>
      <x:c r="J2405" t="n">
        <x:v>204600</x:v>
      </x:c>
      <x:c r="K2405" t="str">
        <x:v>Avalancha</x:v>
      </x:c>
      <x:c r="L2405" t="str">
        <x:v>Vigente</x:v>
      </x:c>
      <x:c r="M2405" t="n">
        <x:v>7805591.66</x:v>
      </x:c>
      <x:c r="N2405"/>
    </x:row>
    <x:row r="2406">
      <x:c r="A2406" t="str">
        <x:v>DEU-002405</x:v>
      </x:c>
      <x:c r="B2406" t="str">
        <x:v>USR-01227</x:v>
      </x:c>
      <x:c r="C2406" t="n">
        <x:v>46266</x:v>
      </x:c>
      <x:c r="D2406" t="str">
        <x:v>Entidad financiera A</x:v>
      </x:c>
      <x:c r="E2406" t="str">
        <x:v>Tarjeta de crédito</x:v>
      </x:c>
      <x:c r="F2406" t="n">
        <x:v>5000000</x:v>
      </x:c>
      <x:c r="G2406" s="40" t="n">
        <x:v>0.1833</x:v>
      </x:c>
      <x:c r="H2406" s="40" t="n">
        <x:v>0.014124</x:v>
      </x:c>
      <x:c r="I2406" t="n">
        <x:v>30</x:v>
      </x:c>
      <x:c r="J2406" t="n">
        <x:v>205600</x:v>
      </x:c>
      <x:c r="K2406" t="str">
        <x:v>Bola de nieve</x:v>
      </x:c>
      <x:c r="L2406" t="str">
        <x:v>Vigente</x:v>
      </x:c>
      <x:c r="M2406" t="n">
        <x:v>4906122.08</x:v>
      </x:c>
      <x:c r="N2406"/>
    </x:row>
    <x:row r="2407">
      <x:c r="A2407" t="str">
        <x:v>DEU-002406</x:v>
      </x:c>
      <x:c r="B2407" t="str">
        <x:v>USR-01228</x:v>
      </x:c>
      <x:c r="C2407" t="n">
        <x:v>46266</x:v>
      </x:c>
      <x:c r="D2407" t="str">
        <x:v>Cooperativa C</x:v>
      </x:c>
      <x:c r="E2407" t="str">
        <x:v>Crédito educativo</x:v>
      </x:c>
      <x:c r="F2407" t="n">
        <x:v>3800000</x:v>
      </x:c>
      <x:c r="G2407" s="40" t="n">
        <x:v>0.2978</x:v>
      </x:c>
      <x:c r="H2407" s="40" t="n">
        <x:v>0.02196</x:v>
      </x:c>
      <x:c r="I2407" t="n">
        <x:v>12</x:v>
      </x:c>
      <x:c r="J2407" t="n">
        <x:v>363700</x:v>
      </x:c>
      <x:c r="K2407" t="str">
        <x:v>Bola de nieve</x:v>
      </x:c>
      <x:c r="L2407" t="str">
        <x:v>Vigente</x:v>
      </x:c>
      <x:c r="M2407" t="n">
        <x:v>3465148.74</x:v>
      </x:c>
      <x:c r="N2407"/>
    </x:row>
    <x:row r="2408">
      <x:c r="A2408" t="str">
        <x:v>DEU-002407</x:v>
      </x:c>
      <x:c r="B2408" t="str">
        <x:v>USR-01229</x:v>
      </x:c>
      <x:c r="C2408" t="n">
        <x:v>46266</x:v>
      </x:c>
      <x:c r="D2408" t="str">
        <x:v>Financiera D</x:v>
      </x:c>
      <x:c r="E2408" t="str">
        <x:v>Crédito de consumo</x:v>
      </x:c>
      <x:c r="F2408" t="n">
        <x:v>11010000</x:v>
      </x:c>
      <x:c r="G2408" s="40" t="n">
        <x:v>0.1087</x:v>
      </x:c>
      <x:c r="H2408" s="40" t="n">
        <x:v>0.008636</x:v>
      </x:c>
      <x:c r="I2408" t="n">
        <x:v>30</x:v>
      </x:c>
      <x:c r="J2408" t="n">
        <x:v>418200</x:v>
      </x:c>
      <x:c r="K2408" t="str">
        <x:v>Bola de nieve</x:v>
      </x:c>
      <x:c r="L2408" t="str">
        <x:v>Vigente</x:v>
      </x:c>
      <x:c r="M2408" t="n">
        <x:v>10477783.36</x:v>
      </x:c>
      <x:c r="N2408"/>
    </x:row>
    <x:row r="2409">
      <x:c r="A2409" t="str">
        <x:v>DEU-002408</x:v>
      </x:c>
      <x:c r="B2409" t="str">
        <x:v>USR-01230</x:v>
      </x:c>
      <x:c r="C2409" t="n">
        <x:v>46266</x:v>
      </x:c>
      <x:c r="D2409" t="str">
        <x:v>Entidad financiera B</x:v>
      </x:c>
      <x:c r="E2409" t="str">
        <x:v>Crédito de consumo</x:v>
      </x:c>
      <x:c r="F2409" t="n">
        <x:v>4380000</x:v>
      </x:c>
      <x:c r="G2409" s="40" t="n">
        <x:v>0.2108</x:v>
      </x:c>
      <x:c r="H2409" s="40" t="n">
        <x:v>0.016068</x:v>
      </x:c>
      <x:c r="I2409" t="n">
        <x:v>30</x:v>
      </x:c>
      <x:c r="J2409" t="n">
        <x:v>185200</x:v>
      </x:c>
      <x:c r="K2409" t="str">
        <x:v>Bola de nieve</x:v>
      </x:c>
      <x:c r="L2409" t="str">
        <x:v>Vigente</x:v>
      </x:c>
      <x:c r="M2409" t="n">
        <x:v>4172577.09</x:v>
      </x:c>
      <x:c r="N2409"/>
    </x:row>
    <x:row r="2410">
      <x:c r="A2410" t="str">
        <x:v>DEU-002409</x:v>
      </x:c>
      <x:c r="B2410" t="str">
        <x:v>USR-01230</x:v>
      </x:c>
      <x:c r="C2410" t="n">
        <x:v>46266</x:v>
      </x:c>
      <x:c r="D2410" t="str">
        <x:v>Financiera D</x:v>
      </x:c>
      <x:c r="E2410" t="str">
        <x:v>Tarjeta de crédito</x:v>
      </x:c>
      <x:c r="F2410" t="n">
        <x:v>3140000</x:v>
      </x:c>
      <x:c r="G2410" s="40" t="n">
        <x:v>0.2967</x:v>
      </x:c>
      <x:c r="H2410" s="40" t="n">
        <x:v>0.021888</x:v>
      </x:c>
      <x:c r="I2410" t="n">
        <x:v>48</x:v>
      </x:c>
      <x:c r="J2410" t="n">
        <x:v>106300</x:v>
      </x:c>
      <x:c r="K2410" t="str">
        <x:v>Bola de nieve</x:v>
      </x:c>
      <x:c r="L2410" t="str">
        <x:v>Vigente</x:v>
      </x:c>
      <x:c r="M2410" t="n">
        <x:v>3123728.27</x:v>
      </x:c>
      <x:c r="N2410"/>
    </x:row>
    <x:row r="2411">
      <x:c r="A2411" t="str">
        <x:v>DEU-002410</x:v>
      </x:c>
      <x:c r="B2411" t="str">
        <x:v>USR-01230</x:v>
      </x:c>
      <x:c r="C2411" t="n">
        <x:v>46266</x:v>
      </x:c>
      <x:c r="D2411" t="str">
        <x:v>Entidad financiera A</x:v>
      </x:c>
      <x:c r="E2411" t="str">
        <x:v>Crédito de consumo</x:v>
      </x:c>
      <x:c r="F2411" t="n">
        <x:v>9820000</x:v>
      </x:c>
      <x:c r="G2411" s="40" t="n">
        <x:v>0.245</x:v>
      </x:c>
      <x:c r="H2411" s="40" t="n">
        <x:v>0.018429</x:v>
      </x:c>
      <x:c r="I2411" t="n">
        <x:v>18</x:v>
      </x:c>
      <x:c r="J2411" t="n">
        <x:v>646000</x:v>
      </x:c>
      <x:c r="K2411" t="str">
        <x:v>Bola de nieve</x:v>
      </x:c>
      <x:c r="L2411" t="str">
        <x:v>Vigente</x:v>
      </x:c>
      <x:c r="M2411" t="n">
        <x:v>9354973.28</x:v>
      </x:c>
      <x:c r="N2411"/>
    </x:row>
    <x:row r="2412">
      <x:c r="A2412" t="str">
        <x:v>DEU-002411</x:v>
      </x:c>
      <x:c r="B2412" t="str">
        <x:v>USR-01231</x:v>
      </x:c>
      <x:c r="C2412" t="n">
        <x:v>46266</x:v>
      </x:c>
      <x:c r="D2412" t="str">
        <x:v>Cooperativa C</x:v>
      </x:c>
      <x:c r="E2412" t="str">
        <x:v>Tarjeta de crédito</x:v>
      </x:c>
      <x:c r="F2412" t="n">
        <x:v>5230000</x:v>
      </x:c>
      <x:c r="G2412" s="40" t="n">
        <x:v>0.1895</x:v>
      </x:c>
      <x:c r="H2412" s="40" t="n">
        <x:v>0.014566</x:v>
      </x:c>
      <x:c r="I2412" t="n">
        <x:v>30</x:v>
      </x:c>
      <x:c r="J2412" t="n">
        <x:v>216400</x:v>
      </x:c>
      <x:c r="K2412" t="str">
        <x:v>Bola de nieve</x:v>
      </x:c>
      <x:c r="L2412" t="str">
        <x:v>Vigente</x:v>
      </x:c>
      <x:c r="M2412" t="n">
        <x:v>5089780.99</x:v>
      </x:c>
      <x:c r="N2412"/>
    </x:row>
    <x:row r="2413">
      <x:c r="A2413" t="str">
        <x:v>DEU-002412</x:v>
      </x:c>
      <x:c r="B2413" t="str">
        <x:v>USR-01231</x:v>
      </x:c>
      <x:c r="C2413" t="n">
        <x:v>46266</x:v>
      </x:c>
      <x:c r="D2413" t="str">
        <x:v>Financiera D</x:v>
      </x:c>
      <x:c r="E2413" t="str">
        <x:v>Crédito de vehículo</x:v>
      </x:c>
      <x:c r="F2413" t="n">
        <x:v>16280000</x:v>
      </x:c>
      <x:c r="G2413" s="40" t="n">
        <x:v>0.2832</x:v>
      </x:c>
      <x:c r="H2413" s="40" t="n">
        <x:v>0.020997</x:v>
      </x:c>
      <x:c r="I2413" t="n">
        <x:v>60</x:v>
      </x:c>
      <x:c r="J2413" t="n">
        <x:v>479700</x:v>
      </x:c>
      <x:c r="K2413" t="str">
        <x:v>Bola de nieve</x:v>
      </x:c>
      <x:c r="L2413" t="str">
        <x:v>Vigente</x:v>
      </x:c>
      <x:c r="M2413" t="n">
        <x:v>16621833.58</x:v>
      </x:c>
      <x:c r="N2413"/>
    </x:row>
    <x:row r="2414">
      <x:c r="A2414" t="str">
        <x:v>DEU-002413</x:v>
      </x:c>
      <x:c r="B2414" t="str">
        <x:v>USR-01232</x:v>
      </x:c>
      <x:c r="C2414" t="n">
        <x:v>46266</x:v>
      </x:c>
      <x:c r="D2414" t="str">
        <x:v>Entidad financiera A</x:v>
      </x:c>
      <x:c r="E2414" t="str">
        <x:v>Crédito de libre inversión</x:v>
      </x:c>
      <x:c r="F2414" t="n">
        <x:v>2260000</x:v>
      </x:c>
      <x:c r="G2414" s="40" t="n">
        <x:v>0.2843</x:v>
      </x:c>
      <x:c r="H2414" s="40" t="n">
        <x:v>0.02107</x:v>
      </x:c>
      <x:c r="I2414" t="n">
        <x:v>30</x:v>
      </x:c>
      <x:c r="J2414" t="n">
        <x:v>102400</x:v>
      </x:c>
      <x:c r="K2414" t="str">
        <x:v>Avalancha</x:v>
      </x:c>
      <x:c r="L2414" t="str">
        <x:v>Vigente</x:v>
      </x:c>
      <x:c r="M2414" t="n">
        <x:v>2251318.33</x:v>
      </x:c>
      <x:c r="N2414"/>
    </x:row>
    <x:row r="2415">
      <x:c r="A2415" t="str">
        <x:v>DEU-002414</x:v>
      </x:c>
      <x:c r="B2415" t="str">
        <x:v>USR-01232</x:v>
      </x:c>
      <x:c r="C2415" t="n">
        <x:v>46266</x:v>
      </x:c>
      <x:c r="D2415" t="str">
        <x:v>Financiera D</x:v>
      </x:c>
      <x:c r="E2415" t="str">
        <x:v>Crédito de consumo</x:v>
      </x:c>
      <x:c r="F2415" t="n">
        <x:v>12970000</x:v>
      </x:c>
      <x:c r="G2415" s="40" t="n">
        <x:v>0.2951</x:v>
      </x:c>
      <x:c r="H2415" s="40" t="n">
        <x:v>0.021783</x:v>
      </x:c>
      <x:c r="I2415" t="n">
        <x:v>12</x:v>
      </x:c>
      <x:c r="J2415" t="n">
        <x:v>1239900</x:v>
      </x:c>
      <x:c r="K2415" t="str">
        <x:v>Bola de nieve</x:v>
      </x:c>
      <x:c r="L2415" t="str">
        <x:v>Vigente</x:v>
      </x:c>
      <x:c r="M2415" t="n">
        <x:v>12570623.55</x:v>
      </x:c>
      <x:c r="N2415"/>
    </x:row>
    <x:row r="2416">
      <x:c r="A2416" t="str">
        <x:v>DEU-002415</x:v>
      </x:c>
      <x:c r="B2416" t="str">
        <x:v>USR-01233</x:v>
      </x:c>
      <x:c r="C2416" t="n">
        <x:v>46266</x:v>
      </x:c>
      <x:c r="D2416" t="str">
        <x:v>Entidad financiera E</x:v>
      </x:c>
      <x:c r="E2416" t="str">
        <x:v>Crédito de libre inversión</x:v>
      </x:c>
      <x:c r="F2416" t="n">
        <x:v>11810000</x:v>
      </x:c>
      <x:c r="G2416" s="40" t="n">
        <x:v>0.3333</x:v>
      </x:c>
      <x:c r="H2416" s="40" t="n">
        <x:v>0.024261</x:v>
      </x:c>
      <x:c r="I2416" t="n">
        <x:v>18</x:v>
      </x:c>
      <x:c r="J2416" t="n">
        <x:v>817600</x:v>
      </x:c>
      <x:c r="K2416" t="str">
        <x:v>Avalancha</x:v>
      </x:c>
      <x:c r="L2416" t="str">
        <x:v>Vigente</x:v>
      </x:c>
      <x:c r="M2416" t="n">
        <x:v>11278922.96</x:v>
      </x:c>
      <x:c r="N2416"/>
    </x:row>
    <x:row r="2417">
      <x:c r="A2417" t="str">
        <x:v>DEU-002416</x:v>
      </x:c>
      <x:c r="B2417" t="str">
        <x:v>USR-01233</x:v>
      </x:c>
      <x:c r="C2417" t="n">
        <x:v>46266</x:v>
      </x:c>
      <x:c r="D2417" t="str">
        <x:v>Entidad financiera A</x:v>
      </x:c>
      <x:c r="E2417" t="str">
        <x:v>Crédito de libre inversión</x:v>
      </x:c>
      <x:c r="F2417" t="n">
        <x:v>8630000</x:v>
      </x:c>
      <x:c r="G2417" s="40" t="n">
        <x:v>0.1636</x:v>
      </x:c>
      <x:c r="H2417" s="40" t="n">
        <x:v>0.012707</x:v>
      </x:c>
      <x:c r="I2417" t="n">
        <x:v>30</x:v>
      </x:c>
      <x:c r="J2417" t="n">
        <x:v>347800</x:v>
      </x:c>
      <x:c r="K2417" t="str">
        <x:v>Bola de nieve</x:v>
      </x:c>
      <x:c r="L2417" t="str">
        <x:v>Vigente</x:v>
      </x:c>
      <x:c r="M2417" t="n">
        <x:v>8391858.01</x:v>
      </x:c>
      <x:c r="N2417"/>
    </x:row>
    <x:row r="2418">
      <x:c r="A2418" t="str">
        <x:v>DEU-002417</x:v>
      </x:c>
      <x:c r="B2418" t="str">
        <x:v>USR-01234</x:v>
      </x:c>
      <x:c r="C2418" t="n">
        <x:v>46266</x:v>
      </x:c>
      <x:c r="D2418" t="str">
        <x:v>Financiera D</x:v>
      </x:c>
      <x:c r="E2418" t="str">
        <x:v>Tarjeta de crédito</x:v>
      </x:c>
      <x:c r="F2418" t="n">
        <x:v>3250000</x:v>
      </x:c>
      <x:c r="G2418" s="40" t="n">
        <x:v>0.1871</x:v>
      </x:c>
      <x:c r="H2418" s="40" t="n">
        <x:v>0.014395</x:v>
      </x:c>
      <x:c r="I2418" t="n">
        <x:v>30</x:v>
      </x:c>
      <x:c r="J2418" t="n">
        <x:v>134200</x:v>
      </x:c>
      <x:c r="K2418" t="str">
        <x:v>Avalancha</x:v>
      </x:c>
      <x:c r="L2418" t="str">
        <x:v>Vigente</x:v>
      </x:c>
      <x:c r="M2418" t="n">
        <x:v>3162585.08</x:v>
      </x:c>
      <x:c r="N2418"/>
    </x:row>
    <x:row r="2419">
      <x:c r="A2419" t="str">
        <x:v>DEU-002418</x:v>
      </x:c>
      <x:c r="B2419" t="str">
        <x:v>USR-01234</x:v>
      </x:c>
      <x:c r="C2419" t="n">
        <x:v>46266</x:v>
      </x:c>
      <x:c r="D2419" t="str">
        <x:v>Entidad financiera A</x:v>
      </x:c>
      <x:c r="E2419" t="str">
        <x:v>Tarjeta de crédito</x:v>
      </x:c>
      <x:c r="F2419" t="n">
        <x:v>3010000</x:v>
      </x:c>
      <x:c r="G2419" s="40" t="n">
        <x:v>0.2693</x:v>
      </x:c>
      <x:c r="H2419" s="40" t="n">
        <x:v>0.020071</x:v>
      </x:c>
      <x:c r="I2419" t="n">
        <x:v>60</x:v>
      </x:c>
      <x:c r="J2419" t="n">
        <x:v>86700</x:v>
      </x:c>
      <x:c r="K2419" t="str">
        <x:v>Bola de nieve</x:v>
      </x:c>
      <x:c r="L2419" t="str">
        <x:v>Vigente</x:v>
      </x:c>
      <x:c r="M2419" t="n">
        <x:v>3070413.4</x:v>
      </x:c>
      <x:c r="N2419"/>
    </x:row>
    <x:row r="2420">
      <x:c r="A2420" t="str">
        <x:v>DEU-002419</x:v>
      </x:c>
      <x:c r="B2420" t="str">
        <x:v>USR-01235</x:v>
      </x:c>
      <x:c r="C2420" t="n">
        <x:v>46266</x:v>
      </x:c>
      <x:c r="D2420" t="str">
        <x:v>Entidad financiera A</x:v>
      </x:c>
      <x:c r="E2420" t="str">
        <x:v>Tarjeta de crédito</x:v>
      </x:c>
      <x:c r="F2420" t="n">
        <x:v>8190000</x:v>
      </x:c>
      <x:c r="G2420" s="40" t="n">
        <x:v>0.1422</x:v>
      </x:c>
      <x:c r="H2420" s="40" t="n">
        <x:v>0.011141</x:v>
      </x:c>
      <x:c r="I2420" t="n">
        <x:v>18</x:v>
      </x:c>
      <x:c r="J2420" t="n">
        <x:v>504700</x:v>
      </x:c>
      <x:c r="K2420" t="str">
        <x:v>Bola de nieve</x:v>
      </x:c>
      <x:c r="L2420" t="str">
        <x:v>Vigente</x:v>
      </x:c>
      <x:c r="M2420" t="n">
        <x:v>7524247.19</x:v>
      </x:c>
      <x:c r="N2420"/>
    </x:row>
    <x:row r="2421">
      <x:c r="A2421" t="str">
        <x:v>DEU-002420</x:v>
      </x:c>
      <x:c r="B2421" t="str">
        <x:v>USR-01235</x:v>
      </x:c>
      <x:c r="C2421" t="n">
        <x:v>46266</x:v>
      </x:c>
      <x:c r="D2421" t="str">
        <x:v>Financiera D</x:v>
      </x:c>
      <x:c r="E2421" t="str">
        <x:v>Tarjeta de crédito</x:v>
      </x:c>
      <x:c r="F2421" t="n">
        <x:v>5700000</x:v>
      </x:c>
      <x:c r="G2421" s="40" t="n">
        <x:v>0.3228</x:v>
      </x:c>
      <x:c r="H2421" s="40" t="n">
        <x:v>0.023586</x:v>
      </x:c>
      <x:c r="I2421" t="n">
        <x:v>30</x:v>
      </x:c>
      <x:c r="J2421" t="n">
        <x:v>267200</x:v>
      </x:c>
      <x:c r="K2421" t="str">
        <x:v>Avalancha</x:v>
      </x:c>
      <x:c r="L2421" t="str">
        <x:v>Vigente</x:v>
      </x:c>
      <x:c r="M2421" t="n">
        <x:v>5527142.6</x:v>
      </x:c>
      <x:c r="N2421"/>
    </x:row>
    <x:row r="2422">
      <x:c r="A2422" t="str">
        <x:v>DEU-002421</x:v>
      </x:c>
      <x:c r="B2422" t="str">
        <x:v>USR-01236</x:v>
      </x:c>
      <x:c r="C2422" t="n">
        <x:v>46266</x:v>
      </x:c>
      <x:c r="D2422" t="str">
        <x:v>Entidad financiera A</x:v>
      </x:c>
      <x:c r="E2422" t="str">
        <x:v>Tarjeta de crédito</x:v>
      </x:c>
      <x:c r="F2422" t="n">
        <x:v>2670000</x:v>
      </x:c>
      <x:c r="G2422" s="40" t="n">
        <x:v>0.2545</x:v>
      </x:c>
      <x:c r="H2422" s="40" t="n">
        <x:v>0.019074</x:v>
      </x:c>
      <x:c r="I2422" t="n">
        <x:v>12</x:v>
      </x:c>
      <x:c r="J2422" t="n">
        <x:v>251000</x:v>
      </x:c>
      <x:c r="K2422" t="str">
        <x:v>Avalancha</x:v>
      </x:c>
      <x:c r="L2422" t="str">
        <x:v>Vigente</x:v>
      </x:c>
      <x:c r="M2422" t="n">
        <x:v>2720928.63</x:v>
      </x:c>
      <x:c r="N2422"/>
    </x:row>
    <x:row r="2423">
      <x:c r="A2423" t="str">
        <x:v>DEU-002422</x:v>
      </x:c>
      <x:c r="B2423" t="str">
        <x:v>USR-01237</x:v>
      </x:c>
      <x:c r="C2423" t="n">
        <x:v>46266</x:v>
      </x:c>
      <x:c r="D2423" t="str">
        <x:v>Financiera D</x:v>
      </x:c>
      <x:c r="E2423" t="str">
        <x:v>Tarjeta de crédito</x:v>
      </x:c>
      <x:c r="F2423" t="n">
        <x:v>7830000</x:v>
      </x:c>
      <x:c r="G2423" s="40" t="n">
        <x:v>0.1753</x:v>
      </x:c>
      <x:c r="H2423" s="40" t="n">
        <x:v>0.013551</x:v>
      </x:c>
      <x:c r="I2423" t="n">
        <x:v>36</x:v>
      </x:c>
      <x:c r="J2423" t="n">
        <x:v>276300</x:v>
      </x:c>
      <x:c r="K2423" t="str">
        <x:v>Avalancha</x:v>
      </x:c>
      <x:c r="L2423" t="str">
        <x:v>Vigente</x:v>
      </x:c>
      <x:c r="M2423" t="n">
        <x:v>7659806.55</x:v>
      </x:c>
      <x:c r="N2423"/>
    </x:row>
    <x:row r="2424">
      <x:c r="A2424" t="str">
        <x:v>DEU-002423</x:v>
      </x:c>
      <x:c r="B2424" t="str">
        <x:v>USR-01237</x:v>
      </x:c>
      <x:c r="C2424" t="n">
        <x:v>46266</x:v>
      </x:c>
      <x:c r="D2424" t="str">
        <x:v>Entidad financiera E</x:v>
      </x:c>
      <x:c r="E2424" t="str">
        <x:v>Crédito de vehículo</x:v>
      </x:c>
      <x:c r="F2424" t="n">
        <x:v>45630000</x:v>
      </x:c>
      <x:c r="G2424" s="40" t="n">
        <x:v>0.322</x:v>
      </x:c>
      <x:c r="H2424" s="40" t="n">
        <x:v>0.023535</x:v>
      </x:c>
      <x:c r="I2424" t="n">
        <x:v>24</x:v>
      </x:c>
      <x:c r="J2424" t="n">
        <x:v>2510200</x:v>
      </x:c>
      <x:c r="K2424" t="str">
        <x:v>Avalancha</x:v>
      </x:c>
      <x:c r="L2424" t="str">
        <x:v>Vigente</x:v>
      </x:c>
      <x:c r="M2424" t="n">
        <x:v>44193693.79</x:v>
      </x:c>
      <x:c r="N2424"/>
    </x:row>
    <x:row r="2425">
      <x:c r="A2425" t="str">
        <x:v>DEU-002424</x:v>
      </x:c>
      <x:c r="B2425" t="str">
        <x:v>USR-01237</x:v>
      </x:c>
      <x:c r="C2425" t="n">
        <x:v>46266</x:v>
      </x:c>
      <x:c r="D2425" t="str">
        <x:v>Cooperativa C</x:v>
      </x:c>
      <x:c r="E2425" t="str">
        <x:v>Tarjeta de crédito</x:v>
      </x:c>
      <x:c r="F2425" t="n">
        <x:v>2700000</x:v>
      </x:c>
      <x:c r="G2425" s="40" t="n">
        <x:v>0.2143</x:v>
      </x:c>
      <x:c r="H2425" s="40" t="n">
        <x:v>0.016312</x:v>
      </x:c>
      <x:c r="I2425" t="n">
        <x:v>60</x:v>
      </x:c>
      <x:c r="J2425" t="n">
        <x:v>70900</x:v>
      </x:c>
      <x:c r="K2425" t="str">
        <x:v>Avalancha</x:v>
      </x:c>
      <x:c r="L2425" t="str">
        <x:v>Vigente</x:v>
      </x:c>
      <x:c r="M2425" t="n">
        <x:v>2673143.11</x:v>
      </x:c>
      <x:c r="N2425"/>
    </x:row>
    <x:row r="2426">
      <x:c r="A2426" t="str">
        <x:v>DEU-002425</x:v>
      </x:c>
      <x:c r="B2426" t="str">
        <x:v>USR-01237</x:v>
      </x:c>
      <x:c r="C2426" t="n">
        <x:v>46266</x:v>
      </x:c>
      <x:c r="D2426" t="str">
        <x:v>Cooperativa C</x:v>
      </x:c>
      <x:c r="E2426" t="str">
        <x:v>Crédito de consumo</x:v>
      </x:c>
      <x:c r="F2426" t="n">
        <x:v>4390000</x:v>
      </x:c>
      <x:c r="G2426" s="40" t="n">
        <x:v>0.3293</x:v>
      </x:c>
      <x:c r="H2426" s="40" t="n">
        <x:v>0.024005</x:v>
      </x:c>
      <x:c r="I2426" t="n">
        <x:v>48</x:v>
      </x:c>
      <x:c r="J2426" t="n">
        <x:v>155000</x:v>
      </x:c>
      <x:c r="K2426" t="str">
        <x:v>Bola de nieve</x:v>
      </x:c>
      <x:c r="L2426" t="str">
        <x:v>Vigente</x:v>
      </x:c>
      <x:c r="M2426" t="n">
        <x:v>4371380.29</x:v>
      </x:c>
      <x:c r="N2426"/>
    </x:row>
    <x:row r="2427">
      <x:c r="A2427" t="str">
        <x:v>DEU-002426</x:v>
      </x:c>
      <x:c r="B2427" t="str">
        <x:v>USR-01238</x:v>
      </x:c>
      <x:c r="C2427" t="n">
        <x:v>46266</x:v>
      </x:c>
      <x:c r="D2427" t="str">
        <x:v>Cooperativa C</x:v>
      </x:c>
      <x:c r="E2427" t="str">
        <x:v>Crédito de consumo</x:v>
      </x:c>
      <x:c r="F2427" t="n">
        <x:v>15090000</x:v>
      </x:c>
      <x:c r="G2427" s="40" t="n">
        <x:v>0.1336</x:v>
      </x:c>
      <x:c r="H2427" s="40" t="n">
        <x:v>0.010505</x:v>
      </x:c>
      <x:c r="I2427" t="n">
        <x:v>30</x:v>
      </x:c>
      <x:c r="J2427" t="n">
        <x:v>589000</x:v>
      </x:c>
      <x:c r="K2427" t="str">
        <x:v>Avalancha</x:v>
      </x:c>
      <x:c r="L2427" t="str">
        <x:v>Vigente</x:v>
      </x:c>
      <x:c r="M2427" t="n">
        <x:v>14659515.29</x:v>
      </x:c>
      <x:c r="N2427"/>
    </x:row>
    <x:row r="2428">
      <x:c r="A2428" t="str">
        <x:v>DEU-002427</x:v>
      </x:c>
      <x:c r="B2428" t="str">
        <x:v>USR-01239</x:v>
      </x:c>
      <x:c r="C2428" t="n">
        <x:v>46266</x:v>
      </x:c>
      <x:c r="D2428" t="str">
        <x:v>Entidad financiera B</x:v>
      </x:c>
      <x:c r="E2428" t="str">
        <x:v>Crédito educativo</x:v>
      </x:c>
      <x:c r="F2428" t="n">
        <x:v>3220000</x:v>
      </x:c>
      <x:c r="G2428" s="40" t="n">
        <x:v>0.3446</x:v>
      </x:c>
      <x:c r="H2428" s="40" t="n">
        <x:v>0.024982</x:v>
      </x:c>
      <x:c r="I2428" t="n">
        <x:v>24</x:v>
      </x:c>
      <x:c r="J2428" t="n">
        <x:v>180000</x:v>
      </x:c>
      <x:c r="K2428" t="str">
        <x:v>Avalancha</x:v>
      </x:c>
      <x:c r="L2428" t="str">
        <x:v>Vigente</x:v>
      </x:c>
      <x:c r="M2428" t="n">
        <x:v>3300440.93</x:v>
      </x:c>
      <x:c r="N2428"/>
    </x:row>
    <x:row r="2429">
      <x:c r="A2429" t="str">
        <x:v>DEU-002428</x:v>
      </x:c>
      <x:c r="B2429" t="str">
        <x:v>USR-01239</x:v>
      </x:c>
      <x:c r="C2429" t="n">
        <x:v>46266</x:v>
      </x:c>
      <x:c r="D2429" t="str">
        <x:v>Entidad financiera B</x:v>
      </x:c>
      <x:c r="E2429" t="str">
        <x:v>Crédito educativo</x:v>
      </x:c>
      <x:c r="F2429" t="n">
        <x:v>25950000</x:v>
      </x:c>
      <x:c r="G2429" s="40" t="n">
        <x:v>0.2919</x:v>
      </x:c>
      <x:c r="H2429" s="40" t="n">
        <x:v>0.021572</x:v>
      </x:c>
      <x:c r="I2429" t="n">
        <x:v>48</x:v>
      </x:c>
      <x:c r="J2429" t="n">
        <x:v>873300</x:v>
      </x:c>
      <x:c r="K2429" t="str">
        <x:v>Bola de nieve</x:v>
      </x:c>
      <x:c r="L2429" t="str">
        <x:v>Vigente</x:v>
      </x:c>
      <x:c r="M2429" t="n">
        <x:v>26509799.13</x:v>
      </x:c>
      <x:c r="N2429"/>
    </x:row>
    <x:row r="2430">
      <x:c r="A2430" t="str">
        <x:v>DEU-002429</x:v>
      </x:c>
      <x:c r="B2430" t="str">
        <x:v>USR-01240</x:v>
      </x:c>
      <x:c r="C2430" t="n">
        <x:v>46266</x:v>
      </x:c>
      <x:c r="D2430" t="str">
        <x:v>Entidad financiera A</x:v>
      </x:c>
      <x:c r="E2430" t="str">
        <x:v>Tarjeta de crédito</x:v>
      </x:c>
      <x:c r="F2430" t="n">
        <x:v>4540000</x:v>
      </x:c>
      <x:c r="G2430" s="40" t="n">
        <x:v>0.1354</x:v>
      </x:c>
      <x:c r="H2430" s="40" t="n">
        <x:v>0.010638</x:v>
      </x:c>
      <x:c r="I2430" t="n">
        <x:v>24</x:v>
      </x:c>
      <x:c r="J2430" t="n">
        <x:v>215300</x:v>
      </x:c>
      <x:c r="K2430" t="str">
        <x:v>Avalancha</x:v>
      </x:c>
      <x:c r="L2430" t="str">
        <x:v>Vigente</x:v>
      </x:c>
      <x:c r="M2430" t="n">
        <x:v>4588297.76</x:v>
      </x:c>
      <x:c r="N2430"/>
    </x:row>
    <x:row r="2431">
      <x:c r="A2431" t="str">
        <x:v>DEU-002430</x:v>
      </x:c>
      <x:c r="B2431" t="str">
        <x:v>USR-01240</x:v>
      </x:c>
      <x:c r="C2431" t="n">
        <x:v>46266</x:v>
      </x:c>
      <x:c r="D2431" t="str">
        <x:v>Entidad financiera B</x:v>
      </x:c>
      <x:c r="E2431" t="str">
        <x:v>Crédito de consumo</x:v>
      </x:c>
      <x:c r="F2431" t="n">
        <x:v>13520000</x:v>
      </x:c>
      <x:c r="G2431" s="40" t="n">
        <x:v>0.2329</x:v>
      </x:c>
      <x:c r="H2431" s="40" t="n">
        <x:v>0.017601</x:v>
      </x:c>
      <x:c r="I2431" t="n">
        <x:v>48</x:v>
      </x:c>
      <x:c r="J2431" t="n">
        <x:v>419500</x:v>
      </x:c>
      <x:c r="K2431" t="str">
        <x:v>Avalancha</x:v>
      </x:c>
      <x:c r="L2431" t="str">
        <x:v>Vigente</x:v>
      </x:c>
      <x:c r="M2431" t="n">
        <x:v>13338459.06</x:v>
      </x:c>
      <x:c r="N2431"/>
    </x:row>
    <x:row r="2432">
      <x:c r="A2432" t="str">
        <x:v>DEU-002431</x:v>
      </x:c>
      <x:c r="B2432" t="str">
        <x:v>USR-01240</x:v>
      </x:c>
      <x:c r="C2432" t="n">
        <x:v>46266</x:v>
      </x:c>
      <x:c r="D2432" t="str">
        <x:v>Entidad financiera B</x:v>
      </x:c>
      <x:c r="E2432" t="str">
        <x:v>Crédito educativo</x:v>
      </x:c>
      <x:c r="F2432" t="n">
        <x:v>12480000</x:v>
      </x:c>
      <x:c r="G2432" s="40" t="n">
        <x:v>0.1086</x:v>
      </x:c>
      <x:c r="H2432" s="40" t="n">
        <x:v>0.008629</x:v>
      </x:c>
      <x:c r="I2432" t="n">
        <x:v>12</x:v>
      </x:c>
      <x:c r="J2432" t="n">
        <x:v>1099200</x:v>
      </x:c>
      <x:c r="K2432" t="str">
        <x:v>Bola de nieve</x:v>
      </x:c>
      <x:c r="L2432" t="str">
        <x:v>Vigente</x:v>
      </x:c>
      <x:c r="M2432" t="n">
        <x:v>11323583.8</x:v>
      </x:c>
      <x:c r="N2432"/>
    </x:row>
    <x:row r="2433">
      <x:c r="A2433" t="str">
        <x:v>DEU-002432</x:v>
      </x:c>
      <x:c r="B2433" t="str">
        <x:v>USR-01241</x:v>
      </x:c>
      <x:c r="C2433" t="n">
        <x:v>46266</x:v>
      </x:c>
      <x:c r="D2433" t="str">
        <x:v>Entidad financiera E</x:v>
      </x:c>
      <x:c r="E2433" t="str">
        <x:v>Crédito educativo</x:v>
      </x:c>
      <x:c r="F2433" t="n">
        <x:v>26560000</x:v>
      </x:c>
      <x:c r="G2433" s="40" t="n">
        <x:v>0.1496</x:v>
      </x:c>
      <x:c r="H2433" s="40" t="n">
        <x:v>0.011686</x:v>
      </x:c>
      <x:c r="I2433" t="n">
        <x:v>30</x:v>
      </x:c>
      <x:c r="J2433" t="n">
        <x:v>1054700</x:v>
      </x:c>
      <x:c r="K2433" t="str">
        <x:v>Avalancha</x:v>
      </x:c>
      <x:c r="L2433" t="str">
        <x:v>Vigente</x:v>
      </x:c>
      <x:c r="M2433" t="n">
        <x:v>25815669.2</x:v>
      </x:c>
      <x:c r="N2433"/>
    </x:row>
    <x:row r="2434">
      <x:c r="A2434" t="str">
        <x:v>DEU-002433</x:v>
      </x:c>
      <x:c r="B2434" t="str">
        <x:v>USR-01242</x:v>
      </x:c>
      <x:c r="C2434" t="n">
        <x:v>46266</x:v>
      </x:c>
      <x:c r="D2434" t="str">
        <x:v>Financiera D</x:v>
      </x:c>
      <x:c r="E2434" t="str">
        <x:v>Crédito de vehículo</x:v>
      </x:c>
      <x:c r="F2434" t="n">
        <x:v>13130000</x:v>
      </x:c>
      <x:c r="G2434" s="40" t="n">
        <x:v>0.2534</x:v>
      </x:c>
      <x:c r="H2434" s="40" t="n">
        <x:v>0.019</x:v>
      </x:c>
      <x:c r="I2434" t="n">
        <x:v>24</x:v>
      </x:c>
      <x:c r="J2434" t="n">
        <x:v>686400</x:v>
      </x:c>
      <x:c r="K2434" t="str">
        <x:v>Bola de nieve</x:v>
      </x:c>
      <x:c r="L2434" t="str">
        <x:v>Vigente</x:v>
      </x:c>
      <x:c r="M2434" t="n">
        <x:v>12693068.67</x:v>
      </x:c>
      <x:c r="N2434"/>
    </x:row>
    <x:row r="2435">
      <x:c r="A2435" t="str">
        <x:v>DEU-002434</x:v>
      </x:c>
      <x:c r="B2435" t="str">
        <x:v>USR-01243</x:v>
      </x:c>
      <x:c r="C2435" t="n">
        <x:v>46266</x:v>
      </x:c>
      <x:c r="D2435" t="str">
        <x:v>Financiera D</x:v>
      </x:c>
      <x:c r="E2435" t="str">
        <x:v>Crédito de consumo</x:v>
      </x:c>
      <x:c r="F2435" t="n">
        <x:v>14480000</x:v>
      </x:c>
      <x:c r="G2435" s="40" t="n">
        <x:v>0.2225</x:v>
      </x:c>
      <x:c r="H2435" s="40" t="n">
        <x:v>0.016882</x:v>
      </x:c>
      <x:c r="I2435" t="n">
        <x:v>24</x:v>
      </x:c>
      <x:c r="J2435" t="n">
        <x:v>738800</x:v>
      </x:c>
      <x:c r="K2435" t="str">
        <x:v>Bola de nieve</x:v>
      </x:c>
      <x:c r="L2435" t="str">
        <x:v>Vigente</x:v>
      </x:c>
      <x:c r="M2435" t="n">
        <x:v>13874857.43</x:v>
      </x:c>
      <x:c r="N2435"/>
    </x:row>
    <x:row r="2436">
      <x:c r="A2436" t="str">
        <x:v>DEU-002435</x:v>
      </x:c>
      <x:c r="B2436" t="str">
        <x:v>USR-01243</x:v>
      </x:c>
      <x:c r="C2436" t="n">
        <x:v>46266</x:v>
      </x:c>
      <x:c r="D2436" t="str">
        <x:v>Entidad financiera A</x:v>
      </x:c>
      <x:c r="E2436" t="str">
        <x:v>Crédito de consumo</x:v>
      </x:c>
      <x:c r="F2436" t="n">
        <x:v>16820000</x:v>
      </x:c>
      <x:c r="G2436" s="40" t="n">
        <x:v>0.2786</x:v>
      </x:c>
      <x:c r="H2436" s="40" t="n">
        <x:v>0.020692</x:v>
      </x:c>
      <x:c r="I2436" t="n">
        <x:v>24</x:v>
      </x:c>
      <x:c r="J2436" t="n">
        <x:v>896300</x:v>
      </x:c>
      <x:c r="K2436" t="str">
        <x:v>Bola de nieve</x:v>
      </x:c>
      <x:c r="L2436" t="str">
        <x:v>Vigente</x:v>
      </x:c>
      <x:c r="M2436" t="n">
        <x:v>17168033.41</x:v>
      </x:c>
      <x:c r="N2436"/>
    </x:row>
    <x:row r="2437">
      <x:c r="A2437" t="str">
        <x:v>DEU-002436</x:v>
      </x:c>
      <x:c r="B2437" t="str">
        <x:v>USR-01244</x:v>
      </x:c>
      <x:c r="C2437" t="n">
        <x:v>46266</x:v>
      </x:c>
      <x:c r="D2437" t="str">
        <x:v>Cooperativa C</x:v>
      </x:c>
      <x:c r="E2437" t="str">
        <x:v>Crédito de libre inversión</x:v>
      </x:c>
      <x:c r="F2437" t="n">
        <x:v>22740000</x:v>
      </x:c>
      <x:c r="G2437" s="40" t="n">
        <x:v>0.1916</x:v>
      </x:c>
      <x:c r="H2437" s="40" t="n">
        <x:v>0.014715</x:v>
      </x:c>
      <x:c r="I2437" t="n">
        <x:v>48</x:v>
      </x:c>
      <x:c r="J2437" t="n">
        <x:v>663900</x:v>
      </x:c>
      <x:c r="K2437" t="str">
        <x:v>Bola de nieve</x:v>
      </x:c>
      <x:c r="L2437" t="str">
        <x:v>Vigente</x:v>
      </x:c>
      <x:c r="M2437" t="n">
        <x:v>23074625.87</x:v>
      </x:c>
      <x:c r="N2437"/>
    </x:row>
    <x:row r="2438">
      <x:c r="A2438" t="str">
        <x:v>DEU-002437</x:v>
      </x:c>
      <x:c r="B2438" t="str">
        <x:v>USR-01244</x:v>
      </x:c>
      <x:c r="C2438" t="n">
        <x:v>46266</x:v>
      </x:c>
      <x:c r="D2438" t="str">
        <x:v>Cooperativa C</x:v>
      </x:c>
      <x:c r="E2438" t="str">
        <x:v>Crédito educativo</x:v>
      </x:c>
      <x:c r="F2438" t="n">
        <x:v>13830000</x:v>
      </x:c>
      <x:c r="G2438" s="40" t="n">
        <x:v>0.2688</x:v>
      </x:c>
      <x:c r="H2438" s="40" t="n">
        <x:v>0.020037</x:v>
      </x:c>
      <x:c r="I2438" t="n">
        <x:v>24</x:v>
      </x:c>
      <x:c r="J2438" t="n">
        <x:v>731500</x:v>
      </x:c>
      <x:c r="K2438" t="str">
        <x:v>Bola de nieve</x:v>
      </x:c>
      <x:c r="L2438" t="str">
        <x:v>Vigente</x:v>
      </x:c>
      <x:c r="M2438" t="n">
        <x:v>13375617.3</x:v>
      </x:c>
      <x:c r="N2438"/>
    </x:row>
    <x:row r="2439">
      <x:c r="A2439" t="str">
        <x:v>DEU-002438</x:v>
      </x:c>
      <x:c r="B2439" t="str">
        <x:v>USR-01245</x:v>
      </x:c>
      <x:c r="C2439" t="n">
        <x:v>46266</x:v>
      </x:c>
      <x:c r="D2439" t="str">
        <x:v>Financiera D</x:v>
      </x:c>
      <x:c r="E2439" t="str">
        <x:v>Tarjeta de crédito</x:v>
      </x:c>
      <x:c r="F2439" t="n">
        <x:v>8450000</x:v>
      </x:c>
      <x:c r="G2439" s="40" t="n">
        <x:v>0.3099</x:v>
      </x:c>
      <x:c r="H2439" s="40" t="n">
        <x:v>0.022751</x:v>
      </x:c>
      <x:c r="I2439" t="n">
        <x:v>18</x:v>
      </x:c>
      <x:c r="J2439" t="n">
        <x:v>577400</x:v>
      </x:c>
      <x:c r="K2439" t="str">
        <x:v>Bola de nieve</x:v>
      </x:c>
      <x:c r="L2439" t="str">
        <x:v>Vigente</x:v>
      </x:c>
      <x:c r="M2439" t="n">
        <x:v>8642244.6</x:v>
      </x:c>
      <x:c r="N2439"/>
    </x:row>
    <x:row r="2440">
      <x:c r="A2440" t="str">
        <x:v>DEU-002439</x:v>
      </x:c>
      <x:c r="B2440" t="str">
        <x:v>USR-01246</x:v>
      </x:c>
      <x:c r="C2440" t="n">
        <x:v>46266</x:v>
      </x:c>
      <x:c r="D2440" t="str">
        <x:v>Financiera D</x:v>
      </x:c>
      <x:c r="E2440" t="str">
        <x:v>Crédito educativo</x:v>
      </x:c>
      <x:c r="F2440" t="n">
        <x:v>24630000</x:v>
      </x:c>
      <x:c r="G2440" s="40" t="n">
        <x:v>0.21</x:v>
      </x:c>
      <x:c r="H2440" s="40" t="n">
        <x:v>0.016012</x:v>
      </x:c>
      <x:c r="I2440" t="n">
        <x:v>12</x:v>
      </x:c>
      <x:c r="J2440" t="n">
        <x:v>2272300</x:v>
      </x:c>
      <x:c r="K2440" t="str">
        <x:v>Avalancha</x:v>
      </x:c>
      <x:c r="L2440" t="str">
        <x:v>Vigente</x:v>
      </x:c>
      <x:c r="M2440" t="n">
        <x:v>25024372.3</x:v>
      </x:c>
      <x:c r="N2440"/>
    </x:row>
    <x:row r="2441">
      <x:c r="A2441" t="str">
        <x:v>DEU-002440</x:v>
      </x:c>
      <x:c r="B2441" t="str">
        <x:v>USR-01246</x:v>
      </x:c>
      <x:c r="C2441" t="n">
        <x:v>46266</x:v>
      </x:c>
      <x:c r="D2441" t="str">
        <x:v>Entidad financiera B</x:v>
      </x:c>
      <x:c r="E2441" t="str">
        <x:v>Crédito de consumo</x:v>
      </x:c>
      <x:c r="F2441" t="n">
        <x:v>3110000</x:v>
      </x:c>
      <x:c r="G2441" s="40" t="n">
        <x:v>0.182</x:v>
      </x:c>
      <x:c r="H2441" s="40" t="n">
        <x:v>0.014032</x:v>
      </x:c>
      <x:c r="I2441" t="n">
        <x:v>36</x:v>
      </x:c>
      <x:c r="J2441" t="n">
        <x:v>110600</x:v>
      </x:c>
      <x:c r="K2441" t="str">
        <x:v>Bola de nieve</x:v>
      </x:c>
      <x:c r="L2441" t="str">
        <x:v>Vigente</x:v>
      </x:c>
      <x:c r="M2441" t="n">
        <x:v>3026438.04</x:v>
      </x:c>
      <x:c r="N2441"/>
    </x:row>
    <x:row r="2442">
      <x:c r="A2442" t="str">
        <x:v>DEU-002441</x:v>
      </x:c>
      <x:c r="B2442" t="str">
        <x:v>USR-01247</x:v>
      </x:c>
      <x:c r="C2442" t="n">
        <x:v>46266</x:v>
      </x:c>
      <x:c r="D2442" t="str">
        <x:v>Entidad financiera A</x:v>
      </x:c>
      <x:c r="E2442" t="str">
        <x:v>Crédito de vehículo</x:v>
      </x:c>
      <x:c r="F2442" t="n">
        <x:v>20230000</x:v>
      </x:c>
      <x:c r="G2442" s="40" t="n">
        <x:v>0.2717</x:v>
      </x:c>
      <x:c r="H2442" s="40" t="n">
        <x:v>0.020231</x:v>
      </x:c>
      <x:c r="I2442" t="n">
        <x:v>24</x:v>
      </x:c>
      <x:c r="J2442" t="n">
        <x:v>1072400</x:v>
      </x:c>
      <x:c r="K2442" t="str">
        <x:v>Bola de nieve</x:v>
      </x:c>
      <x:c r="L2442" t="str">
        <x:v>Vigente</x:v>
      </x:c>
      <x:c r="M2442" t="n">
        <x:v>20639282.97</x:v>
      </x:c>
      <x:c r="N2442"/>
    </x:row>
    <x:row r="2443">
      <x:c r="A2443" t="str">
        <x:v>DEU-002442</x:v>
      </x:c>
      <x:c r="B2443" t="str">
        <x:v>USR-01247</x:v>
      </x:c>
      <x:c r="C2443" t="n">
        <x:v>46266</x:v>
      </x:c>
      <x:c r="D2443" t="str">
        <x:v>Entidad financiera E</x:v>
      </x:c>
      <x:c r="E2443" t="str">
        <x:v>Tarjeta de crédito</x:v>
      </x:c>
      <x:c r="F2443" t="n">
        <x:v>4980000</x:v>
      </x:c>
      <x:c r="G2443" s="40" t="n">
        <x:v>0.2901</x:v>
      </x:c>
      <x:c r="H2443" s="40" t="n">
        <x:v>0.021454</x:v>
      </x:c>
      <x:c r="I2443" t="n">
        <x:v>12</x:v>
      </x:c>
      <x:c r="J2443" t="n">
        <x:v>475100</x:v>
      </x:c>
      <x:c r="K2443" t="str">
        <x:v>Bola de nieve</x:v>
      </x:c>
      <x:c r="L2443" t="str">
        <x:v>Vigente</x:v>
      </x:c>
      <x:c r="M2443" t="n">
        <x:v>5086838.59</x:v>
      </x:c>
      <x:c r="N2443"/>
    </x:row>
    <x:row r="2444">
      <x:c r="A2444" t="str">
        <x:v>DEU-002443</x:v>
      </x:c>
      <x:c r="B2444" t="str">
        <x:v>USR-01248</x:v>
      </x:c>
      <x:c r="C2444" t="n">
        <x:v>46266</x:v>
      </x:c>
      <x:c r="D2444" t="str">
        <x:v>Entidad financiera A</x:v>
      </x:c>
      <x:c r="E2444" t="str">
        <x:v>Tarjeta de crédito</x:v>
      </x:c>
      <x:c r="F2444" t="n">
        <x:v>7540000</x:v>
      </x:c>
      <x:c r="G2444" s="40" t="n">
        <x:v>0.1957</x:v>
      </x:c>
      <x:c r="H2444" s="40" t="n">
        <x:v>0.015006</x:v>
      </x:c>
      <x:c r="I2444" t="n">
        <x:v>18</x:v>
      </x:c>
      <x:c r="J2444" t="n">
        <x:v>481100</x:v>
      </x:c>
      <x:c r="K2444" t="str">
        <x:v>Avalancha</x:v>
      </x:c>
      <x:c r="L2444" t="str">
        <x:v>Vigente</x:v>
      </x:c>
      <x:c r="M2444" t="n">
        <x:v>7268243.65</x:v>
      </x:c>
      <x:c r="N2444"/>
    </x:row>
    <x:row r="2445">
      <x:c r="A2445" t="str">
        <x:v>DEU-002444</x:v>
      </x:c>
      <x:c r="B2445" t="str">
        <x:v>USR-01249</x:v>
      </x:c>
      <x:c r="C2445" t="n">
        <x:v>46266</x:v>
      </x:c>
      <x:c r="D2445" t="str">
        <x:v>Entidad financiera A</x:v>
      </x:c>
      <x:c r="E2445" t="str">
        <x:v>Crédito de libre inversión</x:v>
      </x:c>
      <x:c r="F2445" t="n">
        <x:v>21840000</x:v>
      </x:c>
      <x:c r="G2445" s="40" t="n">
        <x:v>0.1741</x:v>
      </x:c>
      <x:c r="H2445" s="40" t="n">
        <x:v>0.013465</x:v>
      </x:c>
      <x:c r="I2445" t="n">
        <x:v>48</x:v>
      </x:c>
      <x:c r="J2445" t="n">
        <x:v>620700</x:v>
      </x:c>
      <x:c r="K2445" t="str">
        <x:v>Avalancha</x:v>
      </x:c>
      <x:c r="L2445" t="str">
        <x:v>Vigente</x:v>
      </x:c>
      <x:c r="M2445" t="n">
        <x:v>21420275.72</x:v>
      </x:c>
      <x:c r="N2445"/>
    </x:row>
    <x:row r="2446">
      <x:c r="A2446" t="str">
        <x:v>DEU-002445</x:v>
      </x:c>
      <x:c r="B2446" t="str">
        <x:v>USR-01249</x:v>
      </x:c>
      <x:c r="C2446" t="n">
        <x:v>46266</x:v>
      </x:c>
      <x:c r="D2446" t="str">
        <x:v>Entidad financiera A</x:v>
      </x:c>
      <x:c r="E2446" t="str">
        <x:v>Crédito comercial</x:v>
      </x:c>
      <x:c r="F2446" t="n">
        <x:v>13000000</x:v>
      </x:c>
      <x:c r="G2446" s="40" t="n">
        <x:v>0.3395</x:v>
      </x:c>
      <x:c r="H2446" s="40" t="n">
        <x:v>0.024657</x:v>
      </x:c>
      <x:c r="I2446" t="n">
        <x:v>48</x:v>
      </x:c>
      <x:c r="J2446" t="n">
        <x:v>465000</x:v>
      </x:c>
      <x:c r="K2446" t="str">
        <x:v>Avalancha</x:v>
      </x:c>
      <x:c r="L2446" t="str">
        <x:v>Vigente</x:v>
      </x:c>
      <x:c r="M2446" t="n">
        <x:v>13064742.49</x:v>
      </x:c>
      <x:c r="N2446"/>
    </x:row>
    <x:row r="2447">
      <x:c r="A2447" t="str">
        <x:v>DEU-002446</x:v>
      </x:c>
      <x:c r="B2447" t="str">
        <x:v>USR-01249</x:v>
      </x:c>
      <x:c r="C2447" t="n">
        <x:v>46266</x:v>
      </x:c>
      <x:c r="D2447" t="str">
        <x:v>Entidad financiera E</x:v>
      </x:c>
      <x:c r="E2447" t="str">
        <x:v>Crédito de consumo</x:v>
      </x:c>
      <x:c r="F2447" t="n">
        <x:v>9260000</x:v>
      </x:c>
      <x:c r="G2447" s="40" t="n">
        <x:v>0.157</x:v>
      </x:c>
      <x:c r="H2447" s="40" t="n">
        <x:v>0.012227</x:v>
      </x:c>
      <x:c r="I2447" t="n">
        <x:v>30</x:v>
      </x:c>
      <x:c r="J2447" t="n">
        <x:v>370600</x:v>
      </x:c>
      <x:c r="K2447" t="str">
        <x:v>Bola de nieve</x:v>
      </x:c>
      <x:c r="L2447" t="str">
        <x:v>Vigente</x:v>
      </x:c>
      <x:c r="M2447" t="n">
        <x:v>9076719.05</x:v>
      </x:c>
      <x:c r="N2447"/>
    </x:row>
    <x:row r="2448">
      <x:c r="A2448" t="str">
        <x:v>DEU-002447</x:v>
      </x:c>
      <x:c r="B2448" t="str">
        <x:v>USR-01250</x:v>
      </x:c>
      <x:c r="C2448" t="n">
        <x:v>46266</x:v>
      </x:c>
      <x:c r="D2448" t="str">
        <x:v>Entidad financiera A</x:v>
      </x:c>
      <x:c r="E2448" t="str">
        <x:v>Crédito de vehículo</x:v>
      </x:c>
      <x:c r="F2448" t="n">
        <x:v>25780000</x:v>
      </x:c>
      <x:c r="G2448" s="40" t="n">
        <x:v>0.1732</x:v>
      </x:c>
      <x:c r="H2448" s="40" t="n">
        <x:v>0.0134</x:v>
      </x:c>
      <x:c r="I2448" t="n">
        <x:v>60</x:v>
      </x:c>
      <x:c r="J2448" t="n">
        <x:v>628000</x:v>
      </x:c>
      <x:c r="K2448" t="str">
        <x:v>Avalancha</x:v>
      </x:c>
      <x:c r="L2448" t="str">
        <x:v>Vigente</x:v>
      </x:c>
      <x:c r="M2448" t="n">
        <x:v>25780058.29</x:v>
      </x:c>
      <x:c r="N2448"/>
    </x:row>
    <x:row r="2449">
      <x:c r="A2449" t="str">
        <x:v>DEU-002448</x:v>
      </x:c>
      <x:c r="B2449" t="str">
        <x:v>USR-01250</x:v>
      </x:c>
      <x:c r="C2449" t="n">
        <x:v>46266</x:v>
      </x:c>
      <x:c r="D2449" t="str">
        <x:v>Cooperativa C</x:v>
      </x:c>
      <x:c r="E2449" t="str">
        <x:v>Tarjeta de crédito</x:v>
      </x:c>
      <x:c r="F2449" t="n">
        <x:v>3790000</x:v>
      </x:c>
      <x:c r="G2449" s="40" t="n">
        <x:v>0.1171</x:v>
      </x:c>
      <x:c r="H2449" s="40" t="n">
        <x:v>0.009271</x:v>
      </x:c>
      <x:c r="I2449" t="n">
        <x:v>48</x:v>
      </x:c>
      <x:c r="J2449" t="n">
        <x:v>98200</x:v>
      </x:c>
      <x:c r="K2449" t="str">
        <x:v>Avalancha</x:v>
      </x:c>
      <x:c r="L2449" t="str">
        <x:v>Vigente</x:v>
      </x:c>
      <x:c r="M2449" t="n">
        <x:v>3825136</x:v>
      </x:c>
      <x:c r="N244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9" hidden="0" customWidth="1"/>
    <x:col min="5" max="5" width="19" hidden="0" customWidth="1"/>
    <x:col min="6" max="6" width="19" hidden="0" customWidth="1"/>
    <x:col min="7" max="7" width="24" hidden="0" customWidth="1"/>
    <x:col min="8" max="8" width="20" hidden="0" customWidth="1"/>
    <x:col min="9" max="9" width="28" hidden="0" customWidth="1"/>
    <x:col min="10" max="10" width="19" hidden="0" customWidth="1"/>
  </x:cols>
  <x:sheetData>
    <x:row r="1" ht="34" customHeight="1">
      <x:c r="A1" s="36" t="str">
        <x:v>abono_id</x:v>
      </x:c>
      <x:c r="B1" s="36" t="str">
        <x:v>mes</x:v>
      </x:c>
      <x:c r="C1" s="36" t="str">
        <x:v>fecha_abono</x:v>
      </x:c>
      <x:c r="D1" s="36" t="str">
        <x:v>usuario_id</x:v>
      </x:c>
      <x:c r="E1" s="36" t="str">
        <x:v>deuda_id</x:v>
      </x:c>
      <x:c r="F1" s="36" t="str">
        <x:v>pago_credito_cop</x:v>
      </x:c>
      <x:c r="G1" s="36" t="str">
        <x:v>intereses_pagados_cop</x:v>
      </x:c>
      <x:c r="H1" s="36" t="str">
        <x:v>abono_capital_cop</x:v>
      </x:c>
      <x:c r="I1" s="36" t="str">
        <x:v>saldo_credito_pospago_cop</x:v>
      </x:c>
      <x:c r="J1" s="36" t="str">
        <x:v>regularidad</x:v>
      </x:c>
    </x:row>
    <x:row r="2">
      <x:c r="A2" t="str">
        <x:v>ABO-0000001</x:v>
      </x:c>
      <x:c r="B2" t="str">
        <x:v>2025-01</x:v>
      </x:c>
      <x:c r="C2" t="n">
        <x:v>45684</x:v>
      </x:c>
      <x:c r="D2" t="str">
        <x:v>USR-00002</x:v>
      </x:c>
      <x:c r="E2" t="str">
        <x:v>DEU-000002</x:v>
      </x:c>
      <x:c r="F2" t="n">
        <x:v>982100</x:v>
      </x:c>
      <x:c r="G2" t="n">
        <x:v>307877.43</x:v>
      </x:c>
      <x:c r="H2" t="n">
        <x:v>674222.57</x:v>
      </x:c>
      <x:c r="I2" t="n">
        <x:v>13905777.43</x:v>
      </x:c>
      <x:c r="J2" t="str">
        <x:v>En fecha</x:v>
      </x:c>
    </x:row>
    <x:row r="3">
      <x:c r="A3" t="str">
        <x:v>ABO-0000002</x:v>
      </x:c>
      <x:c r="B3" t="str">
        <x:v>2025-01</x:v>
      </x:c>
      <x:c r="C3" t="n">
        <x:v>45662</x:v>
      </x:c>
      <x:c r="D3" t="str">
        <x:v>USR-00003</x:v>
      </x:c>
      <x:c r="E3" t="str">
        <x:v>DEU-000004</x:v>
      </x:c>
      <x:c r="F3" t="n">
        <x:v>532600</x:v>
      </x:c>
      <x:c r="G3" t="n">
        <x:v>141875.06</x:v>
      </x:c>
      <x:c r="H3" t="n">
        <x:v>390724.94</x:v>
      </x:c>
      <x:c r="I3" t="n">
        <x:v>6519275.06</x:v>
      </x:c>
      <x:c r="J3" t="str">
        <x:v>En fecha</x:v>
      </x:c>
    </x:row>
    <x:row r="4">
      <x:c r="A4" t="str">
        <x:v>ABO-0000003</x:v>
      </x:c>
      <x:c r="B4" t="str">
        <x:v>2025-01</x:v>
      </x:c>
      <x:c r="C4" t="n">
        <x:v>45668</x:v>
      </x:c>
      <x:c r="D4" t="str">
        <x:v>USR-00004</x:v>
      </x:c>
      <x:c r="E4" t="str">
        <x:v>DEU-000006</x:v>
      </x:c>
      <x:c r="F4" t="n">
        <x:v>209400</x:v>
      </x:c>
      <x:c r="G4" t="n">
        <x:v>132363.93</x:v>
      </x:c>
      <x:c r="H4" t="n">
        <x:v>77036.07</x:v>
      </x:c>
      <x:c r="I4" t="n">
        <x:v>6212963.93</x:v>
      </x:c>
      <x:c r="J4" t="str">
        <x:v>En fecha</x:v>
      </x:c>
    </x:row>
    <x:row r="5">
      <x:c r="A5" t="str">
        <x:v>ABO-0000004</x:v>
      </x:c>
      <x:c r="B5" t="str">
        <x:v>2025-01</x:v>
      </x:c>
      <x:c r="C5" t="n">
        <x:v>45659</x:v>
      </x:c>
      <x:c r="D5" t="str">
        <x:v>USR-00004</x:v>
      </x:c>
      <x:c r="E5" t="str">
        <x:v>DEU-000007</x:v>
      </x:c>
      <x:c r="F5" t="n">
        <x:v>654600</x:v>
      </x:c>
      <x:c r="G5" t="n">
        <x:v>188988.66</x:v>
      </x:c>
      <x:c r="H5" t="n">
        <x:v>465611.34</x:v>
      </x:c>
      <x:c r="I5" t="n">
        <x:v>12754388.66</x:v>
      </x:c>
      <x:c r="J5" t="str">
        <x:v>En fecha</x:v>
      </x:c>
    </x:row>
    <x:row r="6">
      <x:c r="A6" t="str">
        <x:v>ABO-0000005</x:v>
      </x:c>
      <x:c r="B6" t="str">
        <x:v>2025-01</x:v>
      </x:c>
      <x:c r="C6" t="n">
        <x:v>45665</x:v>
      </x:c>
      <x:c r="D6" t="str">
        <x:v>USR-00005</x:v>
      </x:c>
      <x:c r="E6" t="str">
        <x:v>DEU-000008</x:v>
      </x:c>
      <x:c r="F6" t="n">
        <x:v>368600</x:v>
      </x:c>
      <x:c r="G6" t="n">
        <x:v>117151.29</x:v>
      </x:c>
      <x:c r="H6" t="n">
        <x:v>251448.71</x:v>
      </x:c>
      <x:c r="I6" t="n">
        <x:v>6878551.29</x:v>
      </x:c>
      <x:c r="J6" t="str">
        <x:v>Parcial</x:v>
      </x:c>
    </x:row>
    <x:row r="7">
      <x:c r="A7" t="str">
        <x:v>ABO-0000006</x:v>
      </x:c>
      <x:c r="B7" t="str">
        <x:v>2025-01</x:v>
      </x:c>
      <x:c r="C7" t="n">
        <x:v>45682</x:v>
      </x:c>
      <x:c r="D7" t="str">
        <x:v>USR-00006</x:v>
      </x:c>
      <x:c r="E7" t="str">
        <x:v>DEU-000009</x:v>
      </x:c>
      <x:c r="F7" t="n">
        <x:v>471700</x:v>
      </x:c>
      <x:c r="G7" t="n">
        <x:v>294400.97</x:v>
      </x:c>
      <x:c r="H7" t="n">
        <x:v>177299.03</x:v>
      </x:c>
      <x:c r="I7" t="n">
        <x:v>12442700.97</x:v>
      </x:c>
      <x:c r="J7" t="str">
        <x:v>Parcial</x:v>
      </x:c>
    </x:row>
    <x:row r="8">
      <x:c r="A8" t="str">
        <x:v>ABO-0000007</x:v>
      </x:c>
      <x:c r="B8" t="str">
        <x:v>2025-01</x:v>
      </x:c>
      <x:c r="C8" t="n">
        <x:v>45662</x:v>
      </x:c>
      <x:c r="D8" t="str">
        <x:v>USR-00007</x:v>
      </x:c>
      <x:c r="E8" t="str">
        <x:v>DEU-000011</x:v>
      </x:c>
      <x:c r="F8" t="n">
        <x:v>661600</x:v>
      </x:c>
      <x:c r="G8" t="n">
        <x:v>337255.35</x:v>
      </x:c>
      <x:c r="H8" t="n">
        <x:v>324344.65</x:v>
      </x:c>
      <x:c r="I8" t="n">
        <x:v>14955655.35</x:v>
      </x:c>
      <x:c r="J8" t="str">
        <x:v>Parcial</x:v>
      </x:c>
    </x:row>
    <x:row r="9">
      <x:c r="A9" t="str">
        <x:v>ABO-0000008</x:v>
      </x:c>
      <x:c r="B9" t="str">
        <x:v>2025-01</x:v>
      </x:c>
      <x:c r="C9" t="n">
        <x:v>45673</x:v>
      </x:c>
      <x:c r="D9" t="str">
        <x:v>USR-00008</x:v>
      </x:c>
      <x:c r="E9" t="str">
        <x:v>DEU-000012</x:v>
      </x:c>
      <x:c r="F9" t="n">
        <x:v>975000</x:v>
      </x:c>
      <x:c r="G9" t="n">
        <x:v>178594.46</x:v>
      </x:c>
      <x:c r="H9" t="n">
        <x:v>796405.54</x:v>
      </x:c>
      <x:c r="I9" t="n">
        <x:v>15003594.46</x:v>
      </x:c>
      <x:c r="J9" t="str">
        <x:v>En fecha</x:v>
      </x:c>
    </x:row>
    <x:row r="10">
      <x:c r="A10" t="str">
        <x:v>ABO-0000009</x:v>
      </x:c>
      <x:c r="B10" t="str">
        <x:v>2025-01</x:v>
      </x:c>
      <x:c r="C10" t="n">
        <x:v>45684</x:v>
      </x:c>
      <x:c r="D10" t="str">
        <x:v>USR-00009</x:v>
      </x:c>
      <x:c r="E10" t="str">
        <x:v>DEU-000014</x:v>
      </x:c>
      <x:c r="F10" t="n">
        <x:v>206900</x:v>
      </x:c>
      <x:c r="G10" t="n">
        <x:v>142543.19</x:v>
      </x:c>
      <x:c r="H10" t="n">
        <x:v>64356.81</x:v>
      </x:c>
      <x:c r="I10" t="n">
        <x:v>5725643.19</x:v>
      </x:c>
      <x:c r="J10" t="str">
        <x:v>En fecha</x:v>
      </x:c>
    </x:row>
    <x:row r="11">
      <x:c r="A11" t="str">
        <x:v>ABO-0000010</x:v>
      </x:c>
      <x:c r="B11" t="str">
        <x:v>2025-01</x:v>
      </x:c>
      <x:c r="C11" t="n">
        <x:v>45662</x:v>
      </x:c>
      <x:c r="D11" t="str">
        <x:v>USR-00010</x:v>
      </x:c>
      <x:c r="E11" t="str">
        <x:v>DEU-000015</x:v>
      </x:c>
      <x:c r="F11" t="n">
        <x:v>1667200</x:v>
      </x:c>
      <x:c r="G11" t="n">
        <x:v>479160.35</x:v>
      </x:c>
      <x:c r="H11" t="n">
        <x:v>1188039.65</x:v>
      </x:c>
      <x:c r="I11" t="n">
        <x:v>18961960.35</x:v>
      </x:c>
      <x:c r="J11" t="str">
        <x:v>En fecha</x:v>
      </x:c>
    </x:row>
    <x:row r="12">
      <x:c r="A12" t="str">
        <x:v>ABO-0000011</x:v>
      </x:c>
      <x:c r="B12" t="str">
        <x:v>2025-01</x:v>
      </x:c>
      <x:c r="C12" t="n">
        <x:v>45669</x:v>
      </x:c>
      <x:c r="D12" t="str">
        <x:v>USR-00011</x:v>
      </x:c>
      <x:c r="E12" t="str">
        <x:v>DEU-000017</x:v>
      </x:c>
      <x:c r="F12" t="n">
        <x:v>349400</x:v>
      </x:c>
      <x:c r="G12" t="n">
        <x:v>93790.77</x:v>
      </x:c>
      <x:c r="H12" t="n">
        <x:v>255609.23</x:v>
      </x:c>
      <x:c r="I12" t="n">
        <x:v>4354390.77</x:v>
      </x:c>
      <x:c r="J12" t="str">
        <x:v>Parcial</x:v>
      </x:c>
    </x:row>
    <x:row r="13">
      <x:c r="A13" t="str">
        <x:v>ABO-0000012</x:v>
      </x:c>
      <x:c r="B13" t="str">
        <x:v>2025-01</x:v>
      </x:c>
      <x:c r="C13" t="n">
        <x:v>45670</x:v>
      </x:c>
      <x:c r="D13" t="str">
        <x:v>USR-00011</x:v>
      </x:c>
      <x:c r="E13" t="str">
        <x:v>DEU-000018</x:v>
      </x:c>
      <x:c r="F13" t="n">
        <x:v>1513100</x:v>
      </x:c>
      <x:c r="G13" t="n">
        <x:v>475475.98</x:v>
      </x:c>
      <x:c r="H13" t="n">
        <x:v>1037624.02</x:v>
      </x:c>
      <x:c r="I13" t="n">
        <x:v>18432375.98</x:v>
      </x:c>
      <x:c r="J13" t="str">
        <x:v>Parcial</x:v>
      </x:c>
    </x:row>
    <x:row r="14">
      <x:c r="A14" t="str">
        <x:v>ABO-0000013</x:v>
      </x:c>
      <x:c r="B14" t="str">
        <x:v>2025-01</x:v>
      </x:c>
      <x:c r="C14" t="n">
        <x:v>45676</x:v>
      </x:c>
      <x:c r="D14" t="str">
        <x:v>USR-00012</x:v>
      </x:c>
      <x:c r="E14" t="str">
        <x:v>DEU-000019</x:v>
      </x:c>
      <x:c r="F14" t="n">
        <x:v>498300</x:v>
      </x:c>
      <x:c r="G14" t="n">
        <x:v>179352.53</x:v>
      </x:c>
      <x:c r="H14" t="n">
        <x:v>318947.47</x:v>
      </x:c>
      <x:c r="I14" t="n">
        <x:v>9661052.53</x:v>
      </x:c>
      <x:c r="J14" t="str">
        <x:v>En fecha</x:v>
      </x:c>
    </x:row>
    <x:row r="15">
      <x:c r="A15" t="str">
        <x:v>ABO-0000014</x:v>
      </x:c>
      <x:c r="B15" t="str">
        <x:v>2025-01</x:v>
      </x:c>
      <x:c r="C15" t="n">
        <x:v>45659</x:v>
      </x:c>
      <x:c r="D15" t="str">
        <x:v>USR-00013</x:v>
      </x:c>
      <x:c r="E15" t="str">
        <x:v>DEU-000021</x:v>
      </x:c>
      <x:c r="F15" t="n">
        <x:v>2841500</x:v>
      </x:c>
      <x:c r="G15" t="n">
        <x:v>678006.33</x:v>
      </x:c>
      <x:c r="H15" t="n">
        <x:v>2163493.67</x:v>
      </x:c>
      <x:c r="I15" t="n">
        <x:v>42266506.33</x:v>
      </x:c>
      <x:c r="J15" t="str">
        <x:v>En fecha</x:v>
      </x:c>
    </x:row>
    <x:row r="16">
      <x:c r="A16" t="str">
        <x:v>ABO-0000015</x:v>
      </x:c>
      <x:c r="B16" t="str">
        <x:v>2025-01</x:v>
      </x:c>
      <x:c r="C16" t="n">
        <x:v>45661</x:v>
      </x:c>
      <x:c r="D16" t="str">
        <x:v>USR-00013</x:v>
      </x:c>
      <x:c r="E16" t="str">
        <x:v>DEU-000022</x:v>
      </x:c>
      <x:c r="F16" t="n">
        <x:v>508700</x:v>
      </x:c>
      <x:c r="G16" t="n">
        <x:v>207473.84</x:v>
      </x:c>
      <x:c r="H16" t="n">
        <x:v>301226.16</x:v>
      </x:c>
      <x:c r="I16" t="n">
        <x:v>9098773.84</x:v>
      </x:c>
      <x:c r="J16" t="str">
        <x:v>En fecha</x:v>
      </x:c>
    </x:row>
    <x:row r="17">
      <x:c r="A17" t="str">
        <x:v>ABO-0000016</x:v>
      </x:c>
      <x:c r="B17" t="str">
        <x:v>2025-01</x:v>
      </x:c>
      <x:c r="C17" t="n">
        <x:v>45665</x:v>
      </x:c>
      <x:c r="D17" t="str">
        <x:v>USR-00014</x:v>
      </x:c>
      <x:c r="E17" t="str">
        <x:v>DEU-000023</x:v>
      </x:c>
      <x:c r="F17" t="n">
        <x:v>191600</x:v>
      </x:c>
      <x:c r="G17" t="n">
        <x:v>49108.85</x:v>
      </x:c>
      <x:c r="H17" t="n">
        <x:v>142491.15</x:v>
      </x:c>
      <x:c r="I17" t="n">
        <x:v>2817508.85</x:v>
      </x:c>
      <x:c r="J17" t="str">
        <x:v>En fecha</x:v>
      </x:c>
    </x:row>
    <x:row r="18">
      <x:c r="A18" t="str">
        <x:v>ABO-0000017</x:v>
      </x:c>
      <x:c r="B18" t="str">
        <x:v>2025-01</x:v>
      </x:c>
      <x:c r="C18" t="n">
        <x:v>45667</x:v>
      </x:c>
      <x:c r="D18" t="str">
        <x:v>USR-00014</x:v>
      </x:c>
      <x:c r="E18" t="str">
        <x:v>DEU-000024</x:v>
      </x:c>
      <x:c r="F18" t="n">
        <x:v>748800</x:v>
      </x:c>
      <x:c r="G18" t="n">
        <x:v>182394.85</x:v>
      </x:c>
      <x:c r="H18" t="n">
        <x:v>566405.15</x:v>
      </x:c>
      <x:c r="I18" t="n">
        <x:v>7183594.85</x:v>
      </x:c>
      <x:c r="J18" t="str">
        <x:v>En fecha</x:v>
      </x:c>
    </x:row>
    <x:row r="19">
      <x:c r="A19" t="str">
        <x:v>ABO-0000018</x:v>
      </x:c>
      <x:c r="B19" t="str">
        <x:v>2025-01</x:v>
      </x:c>
      <x:c r="C19" t="n">
        <x:v>45659</x:v>
      </x:c>
      <x:c r="D19" t="str">
        <x:v>USR-00015</x:v>
      </x:c>
      <x:c r="E19" t="str">
        <x:v>DEU-000026</x:v>
      </x:c>
      <x:c r="F19" t="n">
        <x:v>22400</x:v>
      </x:c>
      <x:c r="G19" t="n">
        <x:v>19022.66</x:v>
      </x:c>
      <x:c r="H19" t="n">
        <x:v>3377.34</x:v>
      </x:c>
      <x:c r="I19" t="n">
        <x:v>896622.66</x:v>
      </x:c>
      <x:c r="J19" t="str">
        <x:v>Parcial</x:v>
      </x:c>
    </x:row>
    <x:row r="20">
      <x:c r="A20" t="str">
        <x:v>ABO-0000019</x:v>
      </x:c>
      <x:c r="B20" t="str">
        <x:v>2025-01</x:v>
      </x:c>
      <x:c r="C20" t="n">
        <x:v>45668</x:v>
      </x:c>
      <x:c r="D20" t="str">
        <x:v>USR-00016</x:v>
      </x:c>
      <x:c r="E20" t="str">
        <x:v>DEU-000027</x:v>
      </x:c>
      <x:c r="F20" t="n">
        <x:v>179400</x:v>
      </x:c>
      <x:c r="G20" t="n">
        <x:v>71216.95</x:v>
      </x:c>
      <x:c r="H20" t="n">
        <x:v>108183.05</x:v>
      </x:c>
      <x:c r="I20" t="n">
        <x:v>4331816.95</x:v>
      </x:c>
      <x:c r="J20" t="str">
        <x:v>Parcial</x:v>
      </x:c>
    </x:row>
    <x:row r="21">
      <x:c r="A21" t="str">
        <x:v>ABO-0000020</x:v>
      </x:c>
      <x:c r="B21" t="str">
        <x:v>2025-01</x:v>
      </x:c>
      <x:c r="C21" t="n">
        <x:v>45658</x:v>
      </x:c>
      <x:c r="D21" t="str">
        <x:v>USR-00018</x:v>
      </x:c>
      <x:c r="E21" t="str">
        <x:v>DEU-000029</x:v>
      </x:c>
      <x:c r="F21" t="n">
        <x:v>768000</x:v>
      </x:c>
      <x:c r="G21" t="n">
        <x:v>188541.47</x:v>
      </x:c>
      <x:c r="H21" t="n">
        <x:v>579458.53</x:v>
      </x:c>
      <x:c r="I21" t="n">
        <x:v>9180541.47</x:v>
      </x:c>
      <x:c r="J21" t="str">
        <x:v>En fecha</x:v>
      </x:c>
    </x:row>
    <x:row r="22">
      <x:c r="A22" t="str">
        <x:v>ABO-0000021</x:v>
      </x:c>
      <x:c r="B22" t="str">
        <x:v>2025-01</x:v>
      </x:c>
      <x:c r="C22" t="n">
        <x:v>45660</x:v>
      </x:c>
      <x:c r="D22" t="str">
        <x:v>USR-00019</x:v>
      </x:c>
      <x:c r="E22" t="str">
        <x:v>DEU-000030</x:v>
      </x:c>
      <x:c r="F22" t="n">
        <x:v>95200</x:v>
      </x:c>
      <x:c r="G22" t="n">
        <x:v>97617.37</x:v>
      </x:c>
      <x:c r="H22" t="n">
        <x:v>0</x:v>
      </x:c>
      <x:c r="I22" t="n">
        <x:v>5592417.37</x:v>
      </x:c>
      <x:c r="J22" t="str">
        <x:v>Parcial</x:v>
      </x:c>
    </x:row>
    <x:row r="23">
      <x:c r="A23" t="str">
        <x:v>ABO-0000022</x:v>
      </x:c>
      <x:c r="B23" t="str">
        <x:v>2025-01</x:v>
      </x:c>
      <x:c r="C23" t="n">
        <x:v>45679</x:v>
      </x:c>
      <x:c r="D23" t="str">
        <x:v>USR-00019</x:v>
      </x:c>
      <x:c r="E23" t="str">
        <x:v>DEU-000031</x:v>
      </x:c>
      <x:c r="F23" t="n">
        <x:v>563000</x:v>
      </x:c>
      <x:c r="G23" t="n">
        <x:v>169818.42</x:v>
      </x:c>
      <x:c r="H23" t="n">
        <x:v>393181.58</x:v>
      </x:c>
      <x:c r="I23" t="n">
        <x:v>8036818.42</x:v>
      </x:c>
      <x:c r="J23" t="str">
        <x:v>En fecha</x:v>
      </x:c>
    </x:row>
    <x:row r="24">
      <x:c r="A24" t="str">
        <x:v>ABO-0000023</x:v>
      </x:c>
      <x:c r="B24" t="str">
        <x:v>2025-01</x:v>
      </x:c>
      <x:c r="C24" t="n">
        <x:v>45684</x:v>
      </x:c>
      <x:c r="D24" t="str">
        <x:v>USR-00020</x:v>
      </x:c>
      <x:c r="E24" t="str">
        <x:v>DEU-000032</x:v>
      </x:c>
      <x:c r="F24" t="n">
        <x:v>178200</x:v>
      </x:c>
      <x:c r="G24" t="n">
        <x:v>137648.92</x:v>
      </x:c>
      <x:c r="H24" t="n">
        <x:v>40551.08</x:v>
      </x:c>
      <x:c r="I24" t="n">
        <x:v>5469448.92</x:v>
      </x:c>
      <x:c r="J24" t="str">
        <x:v>En fecha</x:v>
      </x:c>
    </x:row>
    <x:row r="25">
      <x:c r="A25" t="str">
        <x:v>ABO-0000024</x:v>
      </x:c>
      <x:c r="B25" t="str">
        <x:v>2025-01</x:v>
      </x:c>
      <x:c r="C25" t="n">
        <x:v>45663</x:v>
      </x:c>
      <x:c r="D25" t="str">
        <x:v>USR-00021</x:v>
      </x:c>
      <x:c r="E25" t="str">
        <x:v>DEU-000033</x:v>
      </x:c>
      <x:c r="F25" t="n">
        <x:v>1361500</x:v>
      </x:c>
      <x:c r="G25" t="n">
        <x:v>441628.82</x:v>
      </x:c>
      <x:c r="H25" t="n">
        <x:v>919871.18</x:v>
      </x:c>
      <x:c r="I25" t="n">
        <x:v>25890128.82</x:v>
      </x:c>
      <x:c r="J25" t="str">
        <x:v>En fecha</x:v>
      </x:c>
    </x:row>
    <x:row r="26">
      <x:c r="A26" t="str">
        <x:v>ABO-0000025</x:v>
      </x:c>
      <x:c r="B26" t="str">
        <x:v>2025-01</x:v>
      </x:c>
      <x:c r="C26" t="n">
        <x:v>45678</x:v>
      </x:c>
      <x:c r="D26" t="str">
        <x:v>USR-00022</x:v>
      </x:c>
      <x:c r="E26" t="str">
        <x:v>DEU-000035</x:v>
      </x:c>
      <x:c r="F26" t="n">
        <x:v>121300</x:v>
      </x:c>
      <x:c r="G26" t="n">
        <x:v>70619.79</x:v>
      </x:c>
      <x:c r="H26" t="n">
        <x:v>50680.21</x:v>
      </x:c>
      <x:c r="I26" t="n">
        <x:v>4769319.79</x:v>
      </x:c>
      <x:c r="J26" t="str">
        <x:v>En fecha</x:v>
      </x:c>
    </x:row>
    <x:row r="27">
      <x:c r="A27" t="str">
        <x:v>ABO-0000026</x:v>
      </x:c>
      <x:c r="B27" t="str">
        <x:v>2025-01</x:v>
      </x:c>
      <x:c r="C27" t="n">
        <x:v>45675</x:v>
      </x:c>
      <x:c r="D27" t="str">
        <x:v>USR-00023</x:v>
      </x:c>
      <x:c r="E27" t="str">
        <x:v>DEU-000036</x:v>
      </x:c>
      <x:c r="F27" t="n">
        <x:v>201500</x:v>
      </x:c>
      <x:c r="G27" t="n">
        <x:v>132709.53</x:v>
      </x:c>
      <x:c r="H27" t="n">
        <x:v>68790.47</x:v>
      </x:c>
      <x:c r="I27" t="n">
        <x:v>5791209.53</x:v>
      </x:c>
      <x:c r="J27" t="str">
        <x:v>En fecha</x:v>
      </x:c>
    </x:row>
    <x:row r="28">
      <x:c r="A28" t="str">
        <x:v>ABO-0000027</x:v>
      </x:c>
      <x:c r="B28" t="str">
        <x:v>2025-01</x:v>
      </x:c>
      <x:c r="C28" t="n">
        <x:v>45659</x:v>
      </x:c>
      <x:c r="D28" t="str">
        <x:v>USR-00024</x:v>
      </x:c>
      <x:c r="E28" t="str">
        <x:v>DEU-000037</x:v>
      </x:c>
      <x:c r="F28" t="n">
        <x:v>28300</x:v>
      </x:c>
      <x:c r="G28" t="n">
        <x:v>13095.3</x:v>
      </x:c>
      <x:c r="H28" t="n">
        <x:v>15204.7</x:v>
      </x:c>
      <x:c r="I28" t="n">
        <x:v>804795.3</x:v>
      </x:c>
      <x:c r="J28" t="str">
        <x:v>En fecha</x:v>
      </x:c>
    </x:row>
    <x:row r="29">
      <x:c r="A29" t="str">
        <x:v>ABO-0000028</x:v>
      </x:c>
      <x:c r="B29" t="str">
        <x:v>2025-01</x:v>
      </x:c>
      <x:c r="C29" t="n">
        <x:v>45677</x:v>
      </x:c>
      <x:c r="D29" t="str">
        <x:v>USR-00025</x:v>
      </x:c>
      <x:c r="E29" t="str">
        <x:v>DEU-000039</x:v>
      </x:c>
      <x:c r="F29" t="n">
        <x:v>497600</x:v>
      </x:c>
      <x:c r="G29" t="n">
        <x:v>78418.99</x:v>
      </x:c>
      <x:c r="H29" t="n">
        <x:v>419181.01</x:v>
      </x:c>
      <x:c r="I29" t="n">
        <x:v>6600818.99</x:v>
      </x:c>
      <x:c r="J29" t="str">
        <x:v>En fecha</x:v>
      </x:c>
    </x:row>
    <x:row r="30">
      <x:c r="A30" t="str">
        <x:v>ABO-0000029</x:v>
      </x:c>
      <x:c r="B30" t="str">
        <x:v>2025-01</x:v>
      </x:c>
      <x:c r="C30" t="n">
        <x:v>45665</x:v>
      </x:c>
      <x:c r="D30" t="str">
        <x:v>USR-00025</x:v>
      </x:c>
      <x:c r="E30" t="str">
        <x:v>DEU-000040</x:v>
      </x:c>
      <x:c r="F30" t="n">
        <x:v>182700</x:v>
      </x:c>
      <x:c r="G30" t="n">
        <x:v>101467.54</x:v>
      </x:c>
      <x:c r="H30" t="n">
        <x:v>81232.46</x:v>
      </x:c>
      <x:c r="I30" t="n">
        <x:v>5848767.54</x:v>
      </x:c>
      <x:c r="J30" t="str">
        <x:v>En fecha</x:v>
      </x:c>
    </x:row>
    <x:row r="31">
      <x:c r="A31" t="str">
        <x:v>ABO-0000030</x:v>
      </x:c>
      <x:c r="B31" t="str">
        <x:v>2025-01</x:v>
      </x:c>
      <x:c r="C31" t="n">
        <x:v>45676</x:v>
      </x:c>
      <x:c r="D31" t="str">
        <x:v>USR-00026</x:v>
      </x:c>
      <x:c r="E31" t="str">
        <x:v>DEU-000041</x:v>
      </x:c>
      <x:c r="F31" t="n">
        <x:v>187900</x:v>
      </x:c>
      <x:c r="G31" t="n">
        <x:v>80908.9</x:v>
      </x:c>
      <x:c r="H31" t="n">
        <x:v>106991.1</x:v>
      </x:c>
      <x:c r="I31" t="n">
        <x:v>5533008.9</x:v>
      </x:c>
      <x:c r="J31" t="str">
        <x:v>En fecha</x:v>
      </x:c>
    </x:row>
    <x:row r="32">
      <x:c r="A32" t="str">
        <x:v>ABO-0000031</x:v>
      </x:c>
      <x:c r="B32" t="str">
        <x:v>2025-01</x:v>
      </x:c>
      <x:c r="C32" t="n">
        <x:v>45675</x:v>
      </x:c>
      <x:c r="D32" t="str">
        <x:v>USR-00027</x:v>
      </x:c>
      <x:c r="E32" t="str">
        <x:v>DEU-000042</x:v>
      </x:c>
      <x:c r="F32" t="n">
        <x:v>633800</x:v>
      </x:c>
      <x:c r="G32" t="n">
        <x:v>219872.7</x:v>
      </x:c>
      <x:c r="H32" t="n">
        <x:v>413927.3</x:v>
      </x:c>
      <x:c r="I32" t="n">
        <x:v>24246072.7</x:v>
      </x:c>
      <x:c r="J32" t="str">
        <x:v>En fecha</x:v>
      </x:c>
    </x:row>
    <x:row r="33">
      <x:c r="A33" t="str">
        <x:v>ABO-0000032</x:v>
      </x:c>
      <x:c r="B33" t="str">
        <x:v>2025-01</x:v>
      </x:c>
      <x:c r="C33" t="n">
        <x:v>45668</x:v>
      </x:c>
      <x:c r="D33" t="str">
        <x:v>USR-00027</x:v>
      </x:c>
      <x:c r="E33" t="str">
        <x:v>DEU-000043</x:v>
      </x:c>
      <x:c r="F33" t="n">
        <x:v>112300</x:v>
      </x:c>
      <x:c r="G33" t="n">
        <x:v>45395.23</x:v>
      </x:c>
      <x:c r="H33" t="n">
        <x:v>66904.77</x:v>
      </x:c>
      <x:c r="I33" t="n">
        <x:v>4093095.23</x:v>
      </x:c>
      <x:c r="J33" t="str">
        <x:v>Parcial</x:v>
      </x:c>
    </x:row>
    <x:row r="34">
      <x:c r="A34" t="str">
        <x:v>ABO-0000033</x:v>
      </x:c>
      <x:c r="B34" t="str">
        <x:v>2025-01</x:v>
      </x:c>
      <x:c r="C34" t="n">
        <x:v>45682</x:v>
      </x:c>
      <x:c r="D34" t="str">
        <x:v>USR-00027</x:v>
      </x:c>
      <x:c r="E34" t="str">
        <x:v>DEU-000044</x:v>
      </x:c>
      <x:c r="F34" t="n">
        <x:v>280900</x:v>
      </x:c>
      <x:c r="G34" t="n">
        <x:v>108584.08</x:v>
      </x:c>
      <x:c r="H34" t="n">
        <x:v>172315.92</x:v>
      </x:c>
      <x:c r="I34" t="n">
        <x:v>4207684.08</x:v>
      </x:c>
      <x:c r="J34" t="str">
        <x:v>En fecha</x:v>
      </x:c>
    </x:row>
    <x:row r="35">
      <x:c r="A35" t="str">
        <x:v>ABO-0000034</x:v>
      </x:c>
      <x:c r="B35" t="str">
        <x:v>2025-01</x:v>
      </x:c>
      <x:c r="C35" t="n">
        <x:v>45671</x:v>
      </x:c>
      <x:c r="D35" t="str">
        <x:v>USR-00027</x:v>
      </x:c>
      <x:c r="E35" t="str">
        <x:v>DEU-000045</x:v>
      </x:c>
      <x:c r="F35" t="n">
        <x:v>2138000</x:v>
      </x:c>
      <x:c r="G35" t="n">
        <x:v>348461.19</x:v>
      </x:c>
      <x:c r="H35" t="n">
        <x:v>1789538.81</x:v>
      </x:c>
      <x:c r="I35" t="n">
        <x:v>20410461.19</x:v>
      </x:c>
      <x:c r="J35" t="str">
        <x:v>En fecha</x:v>
      </x:c>
    </x:row>
    <x:row r="36">
      <x:c r="A36" t="str">
        <x:v>ABO-0000035</x:v>
      </x:c>
      <x:c r="B36" t="str">
        <x:v>2025-01</x:v>
      </x:c>
      <x:c r="C36" t="n">
        <x:v>45667</x:v>
      </x:c>
      <x:c r="D36" t="str">
        <x:v>USR-00028</x:v>
      </x:c>
      <x:c r="E36" t="str">
        <x:v>DEU-000047</x:v>
      </x:c>
      <x:c r="F36" t="n">
        <x:v>266100</x:v>
      </x:c>
      <x:c r="G36" t="n">
        <x:v>109289.88</x:v>
      </x:c>
      <x:c r="H36" t="n">
        <x:v>156810.12</x:v>
      </x:c>
      <x:c r="I36" t="n">
        <x:v>5943189.88</x:v>
      </x:c>
      <x:c r="J36" t="str">
        <x:v>En fecha</x:v>
      </x:c>
    </x:row>
    <x:row r="37">
      <x:c r="A37" t="str">
        <x:v>ABO-0000036</x:v>
      </x:c>
      <x:c r="B37" t="str">
        <x:v>2025-01</x:v>
      </x:c>
      <x:c r="C37" t="n">
        <x:v>45673</x:v>
      </x:c>
      <x:c r="D37" t="str">
        <x:v>USR-00029</x:v>
      </x:c>
      <x:c r="E37" t="str">
        <x:v>DEU-000048</x:v>
      </x:c>
      <x:c r="F37" t="n">
        <x:v>108800</x:v>
      </x:c>
      <x:c r="G37" t="n">
        <x:v>47438.66</x:v>
      </x:c>
      <x:c r="H37" t="n">
        <x:v>61361.34</x:v>
      </x:c>
      <x:c r="I37" t="n">
        <x:v>2398638.66</x:v>
      </x:c>
      <x:c r="J37" t="str">
        <x:v>En fecha</x:v>
      </x:c>
    </x:row>
    <x:row r="38">
      <x:c r="A38" t="str">
        <x:v>ABO-0000037</x:v>
      </x:c>
      <x:c r="B38" t="str">
        <x:v>2025-01</x:v>
      </x:c>
      <x:c r="C38" t="n">
        <x:v>45676</x:v>
      </x:c>
      <x:c r="D38" t="str">
        <x:v>USR-00029</x:v>
      </x:c>
      <x:c r="E38" t="str">
        <x:v>DEU-000049</x:v>
      </x:c>
      <x:c r="F38" t="n">
        <x:v>149900</x:v>
      </x:c>
      <x:c r="G38" t="n">
        <x:v>106706.71</x:v>
      </x:c>
      <x:c r="H38" t="n">
        <x:v>43193.29</x:v>
      </x:c>
      <x:c r="I38" t="n">
        <x:v>5046806.71</x:v>
      </x:c>
      <x:c r="J38" t="str">
        <x:v>En fecha</x:v>
      </x:c>
    </x:row>
    <x:row r="39">
      <x:c r="A39" t="str">
        <x:v>ABO-0000038</x:v>
      </x:c>
      <x:c r="B39" t="str">
        <x:v>2025-01</x:v>
      </x:c>
      <x:c r="C39" t="n">
        <x:v>45683</x:v>
      </x:c>
      <x:c r="D39" t="str">
        <x:v>USR-00030</x:v>
      </x:c>
      <x:c r="E39" t="str">
        <x:v>DEU-000050</x:v>
      </x:c>
      <x:c r="F39" t="n">
        <x:v>326500</x:v>
      </x:c>
      <x:c r="G39" t="n">
        <x:v>127724.69</x:v>
      </x:c>
      <x:c r="H39" t="n">
        <x:v>198775.31</x:v>
      </x:c>
      <x:c r="I39" t="n">
        <x:v>5861224.69</x:v>
      </x:c>
      <x:c r="J39" t="str">
        <x:v>Parcial</x:v>
      </x:c>
    </x:row>
    <x:row r="40">
      <x:c r="A40" t="str">
        <x:v>ABO-0000039</x:v>
      </x:c>
      <x:c r="B40" t="str">
        <x:v>2025-01</x:v>
      </x:c>
      <x:c r="C40" t="n">
        <x:v>45672</x:v>
      </x:c>
      <x:c r="D40" t="str">
        <x:v>USR-00031</x:v>
      </x:c>
      <x:c r="E40" t="str">
        <x:v>DEU-000051</x:v>
      </x:c>
      <x:c r="F40" t="n">
        <x:v>1232800</x:v>
      </x:c>
      <x:c r="G40" t="n">
        <x:v>456331.66</x:v>
      </x:c>
      <x:c r="H40" t="n">
        <x:v>776468.34</x:v>
      </x:c>
      <x:c r="I40" t="n">
        <x:v>26033531.66</x:v>
      </x:c>
      <x:c r="J40" t="str">
        <x:v>En fecha</x:v>
      </x:c>
    </x:row>
    <x:row r="41">
      <x:c r="A41" t="str">
        <x:v>ABO-0000040</x:v>
      </x:c>
      <x:c r="B41" t="str">
        <x:v>2025-01</x:v>
      </x:c>
      <x:c r="C41" t="n">
        <x:v>45668</x:v>
      </x:c>
      <x:c r="D41" t="str">
        <x:v>USR-00031</x:v>
      </x:c>
      <x:c r="E41" t="str">
        <x:v>DEU-000052</x:v>
      </x:c>
      <x:c r="F41" t="n">
        <x:v>1586100</x:v>
      </x:c>
      <x:c r="G41" t="n">
        <x:v>291792.4</x:v>
      </x:c>
      <x:c r="H41" t="n">
        <x:v>1294307.6</x:v>
      </x:c>
      <x:c r="I41" t="n">
        <x:v>14825692.4</x:v>
      </x:c>
      <x:c r="J41" t="str">
        <x:v>En fecha</x:v>
      </x:c>
    </x:row>
    <x:row r="42">
      <x:c r="A42" t="str">
        <x:v>ABO-0000041</x:v>
      </x:c>
      <x:c r="B42" t="str">
        <x:v>2025-02</x:v>
      </x:c>
      <x:c r="C42" t="n">
        <x:v>45710</x:v>
      </x:c>
      <x:c r="D42" t="str">
        <x:v>USR-00001</x:v>
      </x:c>
      <x:c r="E42" t="str">
        <x:v>DEU-000001</x:v>
      </x:c>
      <x:c r="F42" t="n">
        <x:v>932200</x:v>
      </x:c>
      <x:c r="G42" t="n">
        <x:v>236832.53</x:v>
      </x:c>
      <x:c r="H42" t="n">
        <x:v>695367.47</x:v>
      </x:c>
      <x:c r="I42" t="n">
        <x:v>17258381.61</x:v>
      </x:c>
      <x:c r="J42" t="str">
        <x:v>En fecha</x:v>
      </x:c>
    </x:row>
    <x:row r="43">
      <x:c r="A43" t="str">
        <x:v>ABO-0000042</x:v>
      </x:c>
      <x:c r="B43" t="str">
        <x:v>2025-02</x:v>
      </x:c>
      <x:c r="C43" t="n">
        <x:v>45711</x:v>
      </x:c>
      <x:c r="D43" t="str">
        <x:v>USR-00003</x:v>
      </x:c>
      <x:c r="E43" t="str">
        <x:v>DEU-000004</x:v>
      </x:c>
      <x:c r="F43" t="n">
        <x:v>694600</x:v>
      </x:c>
      <x:c r="G43" t="n">
        <x:v>133852.75</x:v>
      </x:c>
      <x:c r="H43" t="n">
        <x:v>560747.25</x:v>
      </x:c>
      <x:c r="I43" t="n">
        <x:v>5958527.81</x:v>
      </x:c>
      <x:c r="J43" t="str">
        <x:v>En fecha</x:v>
      </x:c>
    </x:row>
    <x:row r="44">
      <x:c r="A44" t="str">
        <x:v>ABO-0000043</x:v>
      </x:c>
      <x:c r="B44" t="str">
        <x:v>2025-02</x:v>
      </x:c>
      <x:c r="C44" t="n">
        <x:v>45702</x:v>
      </x:c>
      <x:c r="D44" t="str">
        <x:v>USR-00004</x:v>
      </x:c>
      <x:c r="E44" t="str">
        <x:v>DEU-000006</x:v>
      </x:c>
      <x:c r="F44" t="n">
        <x:v>240800</x:v>
      </x:c>
      <x:c r="G44" t="n">
        <x:v>130742.82</x:v>
      </x:c>
      <x:c r="H44" t="n">
        <x:v>110057.18</x:v>
      </x:c>
      <x:c r="I44" t="n">
        <x:v>6102906.75</x:v>
      </x:c>
      <x:c r="J44" t="str">
        <x:v>En fecha</x:v>
      </x:c>
    </x:row>
    <x:row r="45">
      <x:c r="A45" t="str">
        <x:v>ABO-0000044</x:v>
      </x:c>
      <x:c r="B45" t="str">
        <x:v>2025-02</x:v>
      </x:c>
      <x:c r="C45" t="n">
        <x:v>45699</x:v>
      </x:c>
      <x:c r="D45" t="str">
        <x:v>USR-00004</x:v>
      </x:c>
      <x:c r="E45" t="str">
        <x:v>DEU-000007</x:v>
      </x:c>
      <x:c r="F45" t="n">
        <x:v>752800</x:v>
      </x:c>
      <x:c r="G45" t="n">
        <x:v>182332.44</x:v>
      </x:c>
      <x:c r="H45" t="n">
        <x:v>570467.56</x:v>
      </x:c>
      <x:c r="I45" t="n">
        <x:v>12183921.1</x:v>
      </x:c>
      <x:c r="J45" t="str">
        <x:v>En fecha</x:v>
      </x:c>
    </x:row>
    <x:row r="46">
      <x:c r="A46" t="str">
        <x:v>ABO-0000045</x:v>
      </x:c>
      <x:c r="B46" t="str">
        <x:v>2025-02</x:v>
      </x:c>
      <x:c r="C46" t="n">
        <x:v>45710</x:v>
      </x:c>
      <x:c r="D46" t="str">
        <x:v>USR-00005</x:v>
      </x:c>
      <x:c r="E46" t="str">
        <x:v>DEU-000008</x:v>
      </x:c>
      <x:c r="F46" t="n">
        <x:v>460800</x:v>
      </x:c>
      <x:c r="G46" t="n">
        <x:v>113019.8</x:v>
      </x:c>
      <x:c r="H46" t="n">
        <x:v>347780.2</x:v>
      </x:c>
      <x:c r="I46" t="n">
        <x:v>6530771.09</x:v>
      </x:c>
      <x:c r="J46" t="str">
        <x:v>En fecha</x:v>
      </x:c>
    </x:row>
    <x:row r="47">
      <x:c r="A47" t="str">
        <x:v>ABO-0000046</x:v>
      </x:c>
      <x:c r="B47" t="str">
        <x:v>2025-02</x:v>
      </x:c>
      <x:c r="C47" t="n">
        <x:v>45703</x:v>
      </x:c>
      <x:c r="D47" t="str">
        <x:v>USR-00005</x:v>
      </x:c>
      <x:c r="E47" t="str">
        <x:v>DEU-000053</x:v>
      </x:c>
      <x:c r="F47" t="n">
        <x:v>103200</x:v>
      </x:c>
      <x:c r="G47" t="n">
        <x:v>38220.43</x:v>
      </x:c>
      <x:c r="H47" t="n">
        <x:v>64979.57</x:v>
      </x:c>
      <x:c r="I47" t="n">
        <x:v>2745020.43</x:v>
      </x:c>
      <x:c r="J47" t="str">
        <x:v>En fecha</x:v>
      </x:c>
    </x:row>
    <x:row r="48">
      <x:c r="A48" t="str">
        <x:v>ABO-0000047</x:v>
      </x:c>
      <x:c r="B48" t="str">
        <x:v>2025-02</x:v>
      </x:c>
      <x:c r="C48" t="n">
        <x:v>45713</x:v>
      </x:c>
      <x:c r="D48" t="str">
        <x:v>USR-00006</x:v>
      </x:c>
      <x:c r="E48" t="str">
        <x:v>DEU-000009</x:v>
      </x:c>
      <x:c r="F48" t="n">
        <x:v>678000</x:v>
      </x:c>
      <x:c r="G48" t="n">
        <x:v>290264.92</x:v>
      </x:c>
      <x:c r="H48" t="n">
        <x:v>387735.08</x:v>
      </x:c>
      <x:c r="I48" t="n">
        <x:v>12054965.89</x:v>
      </x:c>
      <x:c r="J48" t="str">
        <x:v>En fecha</x:v>
      </x:c>
    </x:row>
    <x:row r="49">
      <x:c r="A49" t="str">
        <x:v>ABO-0000048</x:v>
      </x:c>
      <x:c r="B49" t="str">
        <x:v>2025-02</x:v>
      </x:c>
      <x:c r="C49" t="n">
        <x:v>45707</x:v>
      </x:c>
      <x:c r="D49" t="str">
        <x:v>USR-00007</x:v>
      </x:c>
      <x:c r="E49" t="str">
        <x:v>DEU-000010</x:v>
      </x:c>
      <x:c r="F49" t="n">
        <x:v>440400</x:v>
      </x:c>
      <x:c r="G49" t="n">
        <x:v>156289.4</x:v>
      </x:c>
      <x:c r="H49" t="n">
        <x:v>284110.6</x:v>
      </x:c>
      <x:c r="I49" t="n">
        <x:v>8389412.45</x:v>
      </x:c>
      <x:c r="J49" t="str">
        <x:v>En fecha</x:v>
      </x:c>
    </x:row>
    <x:row r="50">
      <x:c r="A50" t="str">
        <x:v>ABO-0000049</x:v>
      </x:c>
      <x:c r="B50" t="str">
        <x:v>2025-02</x:v>
      </x:c>
      <x:c r="C50" t="n">
        <x:v>45694</x:v>
      </x:c>
      <x:c r="D50" t="str">
        <x:v>USR-00007</x:v>
      </x:c>
      <x:c r="E50" t="str">
        <x:v>DEU-000011</x:v>
      </x:c>
      <x:c r="F50" t="n">
        <x:v>827000</x:v>
      </x:c>
      <x:c r="G50" t="n">
        <x:v>330096.51</x:v>
      </x:c>
      <x:c r="H50" t="n">
        <x:v>496903.49</x:v>
      </x:c>
      <x:c r="I50" t="n">
        <x:v>14458751.86</x:v>
      </x:c>
      <x:c r="J50" t="str">
        <x:v>En fecha</x:v>
      </x:c>
    </x:row>
    <x:row r="51">
      <x:c r="A51" t="str">
        <x:v>ABO-0000050</x:v>
      </x:c>
      <x:c r="B51" t="str">
        <x:v>2025-02</x:v>
      </x:c>
      <x:c r="C51" t="n">
        <x:v>45714</x:v>
      </x:c>
      <x:c r="D51" t="str">
        <x:v>USR-00009</x:v>
      </x:c>
      <x:c r="E51" t="str">
        <x:v>DEU-000014</x:v>
      </x:c>
      <x:c r="F51" t="n">
        <x:v>206900</x:v>
      </x:c>
      <x:c r="G51" t="n">
        <x:v>140958.8</x:v>
      </x:c>
      <x:c r="H51" t="n">
        <x:v>65941.2</x:v>
      </x:c>
      <x:c r="I51" t="n">
        <x:v>5659701.99</x:v>
      </x:c>
      <x:c r="J51" t="str">
        <x:v>En fecha</x:v>
      </x:c>
    </x:row>
    <x:row r="52">
      <x:c r="A52" t="str">
        <x:v>ABO-0000051</x:v>
      </x:c>
      <x:c r="B52" t="str">
        <x:v>2025-02</x:v>
      </x:c>
      <x:c r="C52" t="n">
        <x:v>45691</x:v>
      </x:c>
      <x:c r="D52" t="str">
        <x:v>USR-00010</x:v>
      </x:c>
      <x:c r="E52" t="str">
        <x:v>DEU-000015</x:v>
      </x:c>
      <x:c r="F52" t="n">
        <x:v>1111500</x:v>
      </x:c>
      <x:c r="G52" t="n">
        <x:v>450909.16</x:v>
      </x:c>
      <x:c r="H52" t="n">
        <x:v>660590.84</x:v>
      </x:c>
      <x:c r="I52" t="n">
        <x:v>18301369.51</x:v>
      </x:c>
      <x:c r="J52" t="str">
        <x:v>En fecha</x:v>
      </x:c>
    </x:row>
    <x:row r="53">
      <x:c r="A53" t="str">
        <x:v>ABO-0000052</x:v>
      </x:c>
      <x:c r="B53" t="str">
        <x:v>2025-02</x:v>
      </x:c>
      <x:c r="C53" t="n">
        <x:v>45712</x:v>
      </x:c>
      <x:c r="D53" t="str">
        <x:v>USR-00010</x:v>
      </x:c>
      <x:c r="E53" t="str">
        <x:v>DEU-000016</x:v>
      </x:c>
      <x:c r="F53" t="n">
        <x:v>94100</x:v>
      </x:c>
      <x:c r="G53" t="n">
        <x:v>71747.95</x:v>
      </x:c>
      <x:c r="H53" t="n">
        <x:v>22352.05</x:v>
      </x:c>
      <x:c r="I53" t="n">
        <x:v>3087778.06</x:v>
      </x:c>
      <x:c r="J53" t="str">
        <x:v>En fecha</x:v>
      </x:c>
    </x:row>
    <x:row r="54">
      <x:c r="A54" t="str">
        <x:v>ABO-0000053</x:v>
      </x:c>
      <x:c r="B54" t="str">
        <x:v>2025-02</x:v>
      </x:c>
      <x:c r="C54" t="n">
        <x:v>45705</x:v>
      </x:c>
      <x:c r="D54" t="str">
        <x:v>USR-00011</x:v>
      </x:c>
      <x:c r="E54" t="str">
        <x:v>DEU-000017</x:v>
      </x:c>
      <x:c r="F54" t="n">
        <x:v>349400</x:v>
      </x:c>
      <x:c r="G54" t="n">
        <x:v>88590.39</x:v>
      </x:c>
      <x:c r="H54" t="n">
        <x:v>260809.61</x:v>
      </x:c>
      <x:c r="I54" t="n">
        <x:v>4093581.16</x:v>
      </x:c>
      <x:c r="J54" t="str">
        <x:v>Parcial</x:v>
      </x:c>
    </x:row>
    <x:row r="55">
      <x:c r="A55" t="str">
        <x:v>ABO-0000054</x:v>
      </x:c>
      <x:c r="B55" t="str">
        <x:v>2025-02</x:v>
      </x:c>
      <x:c r="C55" t="n">
        <x:v>45693</x:v>
      </x:c>
      <x:c r="D55" t="str">
        <x:v>USR-00011</x:v>
      </x:c>
      <x:c r="E55" t="str">
        <x:v>DEU-000018</x:v>
      </x:c>
      <x:c r="F55" t="n">
        <x:v>2175100</x:v>
      </x:c>
      <x:c r="G55" t="n">
        <x:v>450136.21</x:v>
      </x:c>
      <x:c r="H55" t="n">
        <x:v>1724963.79</x:v>
      </x:c>
      <x:c r="I55" t="n">
        <x:v>16707412.19</x:v>
      </x:c>
      <x:c r="J55" t="str">
        <x:v>En fecha</x:v>
      </x:c>
    </x:row>
    <x:row r="56">
      <x:c r="A56" t="str">
        <x:v>ABO-0000055</x:v>
      </x:c>
      <x:c r="B56" t="str">
        <x:v>2025-02</x:v>
      </x:c>
      <x:c r="C56" t="n">
        <x:v>45689</x:v>
      </x:c>
      <x:c r="D56" t="str">
        <x:v>USR-00012</x:v>
      </x:c>
      <x:c r="E56" t="str">
        <x:v>DEU-000019</x:v>
      </x:c>
      <x:c r="F56" t="n">
        <x:v>498300</x:v>
      </x:c>
      <x:c r="G56" t="n">
        <x:v>173620.66</x:v>
      </x:c>
      <x:c r="H56" t="n">
        <x:v>324679.34</x:v>
      </x:c>
      <x:c r="I56" t="n">
        <x:v>9336373.19</x:v>
      </x:c>
      <x:c r="J56" t="str">
        <x:v>En fecha</x:v>
      </x:c>
    </x:row>
    <x:row r="57">
      <x:c r="A57" t="str">
        <x:v>ABO-0000056</x:v>
      </x:c>
      <x:c r="B57" t="str">
        <x:v>2025-02</x:v>
      </x:c>
      <x:c r="C57" t="n">
        <x:v>45712</x:v>
      </x:c>
      <x:c r="D57" t="str">
        <x:v>USR-00014</x:v>
      </x:c>
      <x:c r="E57" t="str">
        <x:v>DEU-000023</x:v>
      </x:c>
      <x:c r="F57" t="n">
        <x:v>191600</x:v>
      </x:c>
      <x:c r="G57" t="n">
        <x:v>46744.8</x:v>
      </x:c>
      <x:c r="H57" t="n">
        <x:v>144855.2</x:v>
      </x:c>
      <x:c r="I57" t="n">
        <x:v>2672653.65</x:v>
      </x:c>
      <x:c r="J57" t="str">
        <x:v>En fecha</x:v>
      </x:c>
    </x:row>
    <x:row r="58">
      <x:c r="A58" t="str">
        <x:v>ABO-0000057</x:v>
      </x:c>
      <x:c r="B58" t="str">
        <x:v>2025-02</x:v>
      </x:c>
      <x:c r="C58" t="n">
        <x:v>45715</x:v>
      </x:c>
      <x:c r="D58" t="str">
        <x:v>USR-00015</x:v>
      </x:c>
      <x:c r="E58" t="str">
        <x:v>DEU-000025</x:v>
      </x:c>
      <x:c r="F58" t="n">
        <x:v>813100</x:v>
      </x:c>
      <x:c r="G58" t="n">
        <x:v>343611.14</x:v>
      </x:c>
      <x:c r="H58" t="n">
        <x:v>469488.86</x:v>
      </x:c>
      <x:c r="I58" t="n">
        <x:v>18578033.48</x:v>
      </x:c>
      <x:c r="J58" t="str">
        <x:v>En fecha</x:v>
      </x:c>
    </x:row>
    <x:row r="59">
      <x:c r="A59" t="str">
        <x:v>ABO-0000058</x:v>
      </x:c>
      <x:c r="B59" t="str">
        <x:v>2025-02</x:v>
      </x:c>
      <x:c r="C59" t="n">
        <x:v>45698</x:v>
      </x:c>
      <x:c r="D59" t="str">
        <x:v>USR-00015</x:v>
      </x:c>
      <x:c r="E59" t="str">
        <x:v>DEU-000026</x:v>
      </x:c>
      <x:c r="F59" t="n">
        <x:v>40800</x:v>
      </x:c>
      <x:c r="G59" t="n">
        <x:v>18951.27</x:v>
      </x:c>
      <x:c r="H59" t="n">
        <x:v>21848.73</x:v>
      </x:c>
      <x:c r="I59" t="n">
        <x:v>874773.93</x:v>
      </x:c>
      <x:c r="J59" t="str">
        <x:v>En fecha</x:v>
      </x:c>
    </x:row>
    <x:row r="60">
      <x:c r="A60" t="str">
        <x:v>ABO-0000059</x:v>
      </x:c>
      <x:c r="B60" t="str">
        <x:v>2025-02</x:v>
      </x:c>
      <x:c r="C60" t="n">
        <x:v>45691</x:v>
      </x:c>
      <x:c r="D60" t="str">
        <x:v>USR-00016</x:v>
      </x:c>
      <x:c r="E60" t="str">
        <x:v>DEU-000027</x:v>
      </x:c>
      <x:c r="F60" t="n">
        <x:v>224300</x:v>
      </x:c>
      <x:c r="G60" t="n">
        <x:v>69481.71</x:v>
      </x:c>
      <x:c r="H60" t="n">
        <x:v>154818.29</x:v>
      </x:c>
      <x:c r="I60" t="n">
        <x:v>4176998.66</x:v>
      </x:c>
      <x:c r="J60" t="str">
        <x:v>En fecha</x:v>
      </x:c>
    </x:row>
    <x:row r="61">
      <x:c r="A61" t="str">
        <x:v>ABO-0000060</x:v>
      </x:c>
      <x:c r="B61" t="str">
        <x:v>2025-02</x:v>
      </x:c>
      <x:c r="C61" t="n">
        <x:v>45710</x:v>
      </x:c>
      <x:c r="D61" t="str">
        <x:v>USR-00017</x:v>
      </x:c>
      <x:c r="E61" t="str">
        <x:v>DEU-000028</x:v>
      </x:c>
      <x:c r="F61" t="n">
        <x:v>84200</x:v>
      </x:c>
      <x:c r="G61" t="n">
        <x:v>26386.44</x:v>
      </x:c>
      <x:c r="H61" t="n">
        <x:v>57813.56</x:v>
      </x:c>
      <x:c r="I61" t="n">
        <x:v>2488302.23</x:v>
      </x:c>
      <x:c r="J61" t="str">
        <x:v>En fecha</x:v>
      </x:c>
    </x:row>
    <x:row r="62">
      <x:c r="A62" t="str">
        <x:v>ABO-0000061</x:v>
      </x:c>
      <x:c r="B62" t="str">
        <x:v>2025-02</x:v>
      </x:c>
      <x:c r="C62" t="n">
        <x:v>45698</x:v>
      </x:c>
      <x:c r="D62" t="str">
        <x:v>USR-00018</x:v>
      </x:c>
      <x:c r="E62" t="str">
        <x:v>DEU-000029</x:v>
      </x:c>
      <x:c r="F62" t="n">
        <x:v>512000</x:v>
      </x:c>
      <x:c r="G62" t="n">
        <x:v>177347.62</x:v>
      </x:c>
      <x:c r="H62" t="n">
        <x:v>334652.38</x:v>
      </x:c>
      <x:c r="I62" t="n">
        <x:v>8845889.09</x:v>
      </x:c>
      <x:c r="J62" t="str">
        <x:v>En fecha</x:v>
      </x:c>
    </x:row>
    <x:row r="63">
      <x:c r="A63" t="str">
        <x:v>ABO-0000062</x:v>
      </x:c>
      <x:c r="B63" t="str">
        <x:v>2025-02</x:v>
      </x:c>
      <x:c r="C63" t="n">
        <x:v>45704</x:v>
      </x:c>
      <x:c r="D63" t="str">
        <x:v>USR-00019</x:v>
      </x:c>
      <x:c r="E63" t="str">
        <x:v>DEU-000030</x:v>
      </x:c>
      <x:c r="F63" t="n">
        <x:v>138400</x:v>
      </x:c>
      <x:c r="G63" t="n">
        <x:v>97659.59</x:v>
      </x:c>
      <x:c r="H63" t="n">
        <x:v>40740.41</x:v>
      </x:c>
      <x:c r="I63" t="n">
        <x:v>5551676.96</x:v>
      </x:c>
      <x:c r="J63" t="str">
        <x:v>Parcial</x:v>
      </x:c>
    </x:row>
    <x:row r="64">
      <x:c r="A64" t="str">
        <x:v>ABO-0000063</x:v>
      </x:c>
      <x:c r="B64" t="str">
        <x:v>2025-02</x:v>
      </x:c>
      <x:c r="C64" t="n">
        <x:v>45706</x:v>
      </x:c>
      <x:c r="D64" t="str">
        <x:v>USR-00019</x:v>
      </x:c>
      <x:c r="E64" t="str">
        <x:v>DEU-000031</x:v>
      </x:c>
      <x:c r="F64" t="n">
        <x:v>563000</x:v>
      </x:c>
      <x:c r="G64" t="n">
        <x:v>161897.96</x:v>
      </x:c>
      <x:c r="H64" t="n">
        <x:v>401102.04</x:v>
      </x:c>
      <x:c r="I64" t="n">
        <x:v>7635716.38</x:v>
      </x:c>
      <x:c r="J64" t="str">
        <x:v>En fecha</x:v>
      </x:c>
    </x:row>
    <x:row r="65">
      <x:c r="A65" t="str">
        <x:v>ABO-0000064</x:v>
      </x:c>
      <x:c r="B65" t="str">
        <x:v>2025-02</x:v>
      </x:c>
      <x:c r="C65" t="n">
        <x:v>45710</x:v>
      </x:c>
      <x:c r="D65" t="str">
        <x:v>USR-00023</x:v>
      </x:c>
      <x:c r="E65" t="str">
        <x:v>DEU-000036</x:v>
      </x:c>
      <x:c r="F65" t="n">
        <x:v>161200</x:v>
      </x:c>
      <x:c r="G65" t="n">
        <x:v>131151.66</x:v>
      </x:c>
      <x:c r="H65" t="n">
        <x:v>30048.34</x:v>
      </x:c>
      <x:c r="I65" t="n">
        <x:v>5761161.19</x:v>
      </x:c>
      <x:c r="J65" t="str">
        <x:v>Parcial</x:v>
      </x:c>
    </x:row>
    <x:row r="66">
      <x:c r="A66" t="str">
        <x:v>ABO-0000065</x:v>
      </x:c>
      <x:c r="B66" t="str">
        <x:v>2025-02</x:v>
      </x:c>
      <x:c r="C66" t="n">
        <x:v>45708</x:v>
      </x:c>
      <x:c r="D66" t="str">
        <x:v>USR-00024</x:v>
      </x:c>
      <x:c r="E66" t="str">
        <x:v>DEU-000037</x:v>
      </x:c>
      <x:c r="F66" t="n">
        <x:v>24600</x:v>
      </x:c>
      <x:c r="G66" t="n">
        <x:v>12852.48</x:v>
      </x:c>
      <x:c r="H66" t="n">
        <x:v>11747.52</x:v>
      </x:c>
      <x:c r="I66" t="n">
        <x:v>793047.78</x:v>
      </x:c>
      <x:c r="J66" t="str">
        <x:v>En fecha</x:v>
      </x:c>
    </x:row>
    <x:row r="67">
      <x:c r="A67" t="str">
        <x:v>ABO-0000066</x:v>
      </x:c>
      <x:c r="B67" t="str">
        <x:v>2025-02</x:v>
      </x:c>
      <x:c r="C67" t="n">
        <x:v>45706</x:v>
      </x:c>
      <x:c r="D67" t="str">
        <x:v>USR-00024</x:v>
      </x:c>
      <x:c r="E67" t="str">
        <x:v>DEU-000038</x:v>
      </x:c>
      <x:c r="F67" t="n">
        <x:v>1940300</x:v>
      </x:c>
      <x:c r="G67" t="n">
        <x:v>1320263.79</x:v>
      </x:c>
      <x:c r="H67" t="n">
        <x:v>620036.21</x:v>
      </x:c>
      <x:c r="I67" t="n">
        <x:v>53598842.57</x:v>
      </x:c>
      <x:c r="J67" t="str">
        <x:v>En fecha</x:v>
      </x:c>
    </x:row>
    <x:row r="68">
      <x:c r="A68" t="str">
        <x:v>ABO-0000067</x:v>
      </x:c>
      <x:c r="B68" t="str">
        <x:v>2025-02</x:v>
      </x:c>
      <x:c r="C68" t="n">
        <x:v>45706</x:v>
      </x:c>
      <x:c r="D68" t="str">
        <x:v>USR-00025</x:v>
      </x:c>
      <x:c r="E68" t="str">
        <x:v>DEU-000039</x:v>
      </x:c>
      <x:c r="F68" t="n">
        <x:v>238000</x:v>
      </x:c>
      <x:c r="G68" t="n">
        <x:v>73736.41</x:v>
      </x:c>
      <x:c r="H68" t="n">
        <x:v>164263.59</x:v>
      </x:c>
      <x:c r="I68" t="n">
        <x:v>6436555.4</x:v>
      </x:c>
      <x:c r="J68" t="str">
        <x:v>Parcial</x:v>
      </x:c>
    </x:row>
    <x:row r="69">
      <x:c r="A69" t="str">
        <x:v>ABO-0000068</x:v>
      </x:c>
      <x:c r="B69" t="str">
        <x:v>2025-02</x:v>
      </x:c>
      <x:c r="C69" t="n">
        <x:v>45710</x:v>
      </x:c>
      <x:c r="D69" t="str">
        <x:v>USR-00025</x:v>
      </x:c>
      <x:c r="E69" t="str">
        <x:v>DEU-000040</x:v>
      </x:c>
      <x:c r="F69" t="n">
        <x:v>158900</x:v>
      </x:c>
      <x:c r="G69" t="n">
        <x:v>100077.58</x:v>
      </x:c>
      <x:c r="H69" t="n">
        <x:v>58822.42</x:v>
      </x:c>
      <x:c r="I69" t="n">
        <x:v>5789945.12</x:v>
      </x:c>
      <x:c r="J69" t="str">
        <x:v>En fecha</x:v>
      </x:c>
    </x:row>
    <x:row r="70">
      <x:c r="A70" t="str">
        <x:v>ABO-0000069</x:v>
      </x:c>
      <x:c r="B70" t="str">
        <x:v>2025-02</x:v>
      </x:c>
      <x:c r="C70" t="n">
        <x:v>45690</x:v>
      </x:c>
      <x:c r="D70" t="str">
        <x:v>USR-00026</x:v>
      </x:c>
      <x:c r="E70" t="str">
        <x:v>DEU-000041</x:v>
      </x:c>
      <x:c r="F70" t="n">
        <x:v>163400</x:v>
      </x:c>
      <x:c r="G70" t="n">
        <x:v>79374.05</x:v>
      </x:c>
      <x:c r="H70" t="n">
        <x:v>84025.95</x:v>
      </x:c>
      <x:c r="I70" t="n">
        <x:v>5448982.95</x:v>
      </x:c>
      <x:c r="J70" t="str">
        <x:v>En fecha</x:v>
      </x:c>
    </x:row>
    <x:row r="71">
      <x:c r="A71" t="str">
        <x:v>ABO-0000070</x:v>
      </x:c>
      <x:c r="B71" t="str">
        <x:v>2025-02</x:v>
      </x:c>
      <x:c r="C71" t="n">
        <x:v>45708</x:v>
      </x:c>
      <x:c r="D71" t="str">
        <x:v>USR-00027</x:v>
      </x:c>
      <x:c r="E71" t="str">
        <x:v>DEU-000043</x:v>
      </x:c>
      <x:c r="F71" t="n">
        <x:v>161500</x:v>
      </x:c>
      <x:c r="G71" t="n">
        <x:v>44665.15</x:v>
      </x:c>
      <x:c r="H71" t="n">
        <x:v>116834.85</x:v>
      </x:c>
      <x:c r="I71" t="n">
        <x:v>3976260.38</x:v>
      </x:c>
      <x:c r="J71" t="str">
        <x:v>En fecha</x:v>
      </x:c>
    </x:row>
    <x:row r="72">
      <x:c r="A72" t="str">
        <x:v>ABO-0000071</x:v>
      </x:c>
      <x:c r="B72" t="str">
        <x:v>2025-02</x:v>
      </x:c>
      <x:c r="C72" t="n">
        <x:v>45697</x:v>
      </x:c>
      <x:c r="D72" t="str">
        <x:v>USR-00027</x:v>
      </x:c>
      <x:c r="E72" t="str">
        <x:v>DEU-000045</x:v>
      </x:c>
      <x:c r="F72" t="n">
        <x:v>1639100</x:v>
      </x:c>
      <x:c r="G72" t="n">
        <x:v>320371.78</x:v>
      </x:c>
      <x:c r="H72" t="n">
        <x:v>1318728.22</x:v>
      </x:c>
      <x:c r="I72" t="n">
        <x:v>19091732.97</x:v>
      </x:c>
      <x:c r="J72" t="str">
        <x:v>En fecha</x:v>
      </x:c>
    </x:row>
    <x:row r="73">
      <x:c r="A73" t="str">
        <x:v>ABO-0000072</x:v>
      </x:c>
      <x:c r="B73" t="str">
        <x:v>2025-02</x:v>
      </x:c>
      <x:c r="C73" t="n">
        <x:v>45703</x:v>
      </x:c>
      <x:c r="D73" t="str">
        <x:v>USR-00028</x:v>
      </x:c>
      <x:c r="E73" t="str">
        <x:v>DEU-000047</x:v>
      </x:c>
      <x:c r="F73" t="n">
        <x:v>266100</x:v>
      </x:c>
      <x:c r="G73" t="n">
        <x:v>106480.42</x:v>
      </x:c>
      <x:c r="H73" t="n">
        <x:v>159619.58</x:v>
      </x:c>
      <x:c r="I73" t="n">
        <x:v>5783570.3</x:v>
      </x:c>
      <x:c r="J73" t="str">
        <x:v>En fecha</x:v>
      </x:c>
    </x:row>
    <x:row r="74">
      <x:c r="A74" t="str">
        <x:v>ABO-0000073</x:v>
      </x:c>
      <x:c r="B74" t="str">
        <x:v>2025-02</x:v>
      </x:c>
      <x:c r="C74" t="n">
        <x:v>45703</x:v>
      </x:c>
      <x:c r="D74" t="str">
        <x:v>USR-00029</x:v>
      </x:c>
      <x:c r="E74" t="str">
        <x:v>DEU-000048</x:v>
      </x:c>
      <x:c r="F74" t="n">
        <x:v>163200</x:v>
      </x:c>
      <x:c r="G74" t="n">
        <x:v>46255.37</x:v>
      </x:c>
      <x:c r="H74" t="n">
        <x:v>116944.63</x:v>
      </x:c>
      <x:c r="I74" t="n">
        <x:v>2281694.03</x:v>
      </x:c>
      <x:c r="J74" t="str">
        <x:v>En fecha</x:v>
      </x:c>
    </x:row>
    <x:row r="75">
      <x:c r="A75" t="str">
        <x:v>ABO-0000074</x:v>
      </x:c>
      <x:c r="B75" t="str">
        <x:v>2025-02</x:v>
      </x:c>
      <x:c r="C75" t="n">
        <x:v>45696</x:v>
      </x:c>
      <x:c r="D75" t="str">
        <x:v>USR-00029</x:v>
      </x:c>
      <x:c r="E75" t="str">
        <x:v>DEU-000049</x:v>
      </x:c>
      <x:c r="F75" t="n">
        <x:v>149900</x:v>
      </x:c>
      <x:c r="G75" t="n">
        <x:v>105801.21</x:v>
      </x:c>
      <x:c r="H75" t="n">
        <x:v>44098.79</x:v>
      </x:c>
      <x:c r="I75" t="n">
        <x:v>5002707.92</x:v>
      </x:c>
      <x:c r="J75" t="str">
        <x:v>En fecha</x:v>
      </x:c>
    </x:row>
    <x:row r="76">
      <x:c r="A76" t="str">
        <x:v>ABO-0000075</x:v>
      </x:c>
      <x:c r="B76" t="str">
        <x:v>2025-02</x:v>
      </x:c>
      <x:c r="C76" t="n">
        <x:v>45691</x:v>
      </x:c>
      <x:c r="D76" t="str">
        <x:v>USR-00030</x:v>
      </x:c>
      <x:c r="E76" t="str">
        <x:v>DEU-000050</x:v>
      </x:c>
      <x:c r="F76" t="n">
        <x:v>326500</x:v>
      </x:c>
      <x:c r="G76" t="n">
        <x:v>123535.16</x:v>
      </x:c>
      <x:c r="H76" t="n">
        <x:v>202964.84</x:v>
      </x:c>
      <x:c r="I76" t="n">
        <x:v>5658259.85</x:v>
      </x:c>
      <x:c r="J76" t="str">
        <x:v>Parcial</x:v>
      </x:c>
    </x:row>
    <x:row r="77">
      <x:c r="A77" t="str">
        <x:v>ABO-0000076</x:v>
      </x:c>
      <x:c r="B77" t="str">
        <x:v>2025-02</x:v>
      </x:c>
      <x:c r="C77" t="n">
        <x:v>45710</x:v>
      </x:c>
      <x:c r="D77" t="str">
        <x:v>USR-00031</x:v>
      </x:c>
      <x:c r="E77" t="str">
        <x:v>DEU-000051</x:v>
      </x:c>
      <x:c r="F77" t="n">
        <x:v>821900</x:v>
      </x:c>
      <x:c r="G77" t="n">
        <x:v>443115.44</x:v>
      </x:c>
      <x:c r="H77" t="n">
        <x:v>378784.56</x:v>
      </x:c>
      <x:c r="I77" t="n">
        <x:v>25654747.1</x:v>
      </x:c>
      <x:c r="J77" t="str">
        <x:v>En fecha</x:v>
      </x:c>
    </x:row>
    <x:row r="78">
      <x:c r="A78" t="str">
        <x:v>ABO-0000077</x:v>
      </x:c>
      <x:c r="B78" t="str">
        <x:v>2025-02</x:v>
      </x:c>
      <x:c r="C78" t="n">
        <x:v>45704</x:v>
      </x:c>
      <x:c r="D78" t="str">
        <x:v>USR-00031</x:v>
      </x:c>
      <x:c r="E78" t="str">
        <x:v>DEU-000052</x:v>
      </x:c>
      <x:c r="F78" t="n">
        <x:v>845900</x:v>
      </x:c>
      <x:c r="G78" t="n">
        <x:v>268363.79</x:v>
      </x:c>
      <x:c r="H78" t="n">
        <x:v>577536.21</x:v>
      </x:c>
      <x:c r="I78" t="n">
        <x:v>14248156.19</x:v>
      </x:c>
      <x:c r="J78" t="str">
        <x:v>Parcial</x:v>
      </x:c>
    </x:row>
    <x:row r="79">
      <x:c r="A79" t="str">
        <x:v>ABO-0000078</x:v>
      </x:c>
      <x:c r="B79" t="str">
        <x:v>2025-02</x:v>
      </x:c>
      <x:c r="C79" t="n">
        <x:v>45715</x:v>
      </x:c>
      <x:c r="D79" t="str">
        <x:v>USR-00032</x:v>
      </x:c>
      <x:c r="E79" t="str">
        <x:v>DEU-000054</x:v>
      </x:c>
      <x:c r="F79" t="n">
        <x:v>751900</x:v>
      </x:c>
      <x:c r="G79" t="n">
        <x:v>93896.64</x:v>
      </x:c>
      <x:c r="H79" t="n">
        <x:v>658003.36</x:v>
      </x:c>
      <x:c r="I79" t="n">
        <x:v>7741996.64</x:v>
      </x:c>
      <x:c r="J79" t="str">
        <x:v>En fecha</x:v>
      </x:c>
    </x:row>
    <x:row r="80">
      <x:c r="A80" t="str">
        <x:v>ABO-0000079</x:v>
      </x:c>
      <x:c r="B80" t="str">
        <x:v>2025-02</x:v>
      </x:c>
      <x:c r="C80" t="n">
        <x:v>45715</x:v>
      </x:c>
      <x:c r="D80" t="str">
        <x:v>USR-00032</x:v>
      </x:c>
      <x:c r="E80" t="str">
        <x:v>DEU-000055</x:v>
      </x:c>
      <x:c r="F80" t="n">
        <x:v>800300</x:v>
      </x:c>
      <x:c r="G80" t="n">
        <x:v>197642.86</x:v>
      </x:c>
      <x:c r="H80" t="n">
        <x:v>602657.14</x:v>
      </x:c>
      <x:c r="I80" t="n">
        <x:v>13497342.86</x:v>
      </x:c>
      <x:c r="J80" t="str">
        <x:v>En fecha</x:v>
      </x:c>
    </x:row>
    <x:row r="81">
      <x:c r="A81" t="str">
        <x:v>ABO-0000080</x:v>
      </x:c>
      <x:c r="B81" t="str">
        <x:v>2025-02</x:v>
      </x:c>
      <x:c r="C81" t="n">
        <x:v>45707</x:v>
      </x:c>
      <x:c r="D81" t="str">
        <x:v>USR-00033</x:v>
      </x:c>
      <x:c r="E81" t="str">
        <x:v>DEU-000056</x:v>
      </x:c>
      <x:c r="F81" t="n">
        <x:v>358100</x:v>
      </x:c>
      <x:c r="G81" t="n">
        <x:v>79671.53</x:v>
      </x:c>
      <x:c r="H81" t="n">
        <x:v>278428.47</x:v>
      </x:c>
      <x:c r="I81" t="n">
        <x:v>3481571.53</x:v>
      </x:c>
      <x:c r="J81" t="str">
        <x:v>En fecha</x:v>
      </x:c>
    </x:row>
    <x:row r="82">
      <x:c r="A82" t="str">
        <x:v>ABO-0000081</x:v>
      </x:c>
      <x:c r="B82" t="str">
        <x:v>2025-02</x:v>
      </x:c>
      <x:c r="C82" t="n">
        <x:v>45692</x:v>
      </x:c>
      <x:c r="D82" t="str">
        <x:v>USR-00034</x:v>
      </x:c>
      <x:c r="E82" t="str">
        <x:v>DEU-000057</x:v>
      </x:c>
      <x:c r="F82" t="n">
        <x:v>356200</x:v>
      </x:c>
      <x:c r="G82" t="n">
        <x:v>76593.17</x:v>
      </x:c>
      <x:c r="H82" t="n">
        <x:v>279606.83</x:v>
      </x:c>
      <x:c r="I82" t="n">
        <x:v>4550393.17</x:v>
      </x:c>
      <x:c r="J82" t="str">
        <x:v>Parcial</x:v>
      </x:c>
    </x:row>
    <x:row r="83">
      <x:c r="A83" t="str">
        <x:v>ABO-0000082</x:v>
      </x:c>
      <x:c r="B83" t="str">
        <x:v>2025-02</x:v>
      </x:c>
      <x:c r="C83" t="n">
        <x:v>45698</x:v>
      </x:c>
      <x:c r="D83" t="str">
        <x:v>USR-00034</x:v>
      </x:c>
      <x:c r="E83" t="str">
        <x:v>DEU-000058</x:v>
      </x:c>
      <x:c r="F83" t="n">
        <x:v>168200</x:v>
      </x:c>
      <x:c r="G83" t="n">
        <x:v>67326.84</x:v>
      </x:c>
      <x:c r="H83" t="n">
        <x:v>100873.16</x:v>
      </x:c>
      <x:c r="I83" t="n">
        <x:v>6419126.84</x:v>
      </x:c>
      <x:c r="J83" t="str">
        <x:v>En fecha</x:v>
      </x:c>
    </x:row>
    <x:row r="84">
      <x:c r="A84" t="str">
        <x:v>ABO-0000083</x:v>
      </x:c>
      <x:c r="B84" t="str">
        <x:v>2025-02</x:v>
      </x:c>
      <x:c r="C84" t="n">
        <x:v>45696</x:v>
      </x:c>
      <x:c r="D84" t="str">
        <x:v>USR-00035</x:v>
      </x:c>
      <x:c r="E84" t="str">
        <x:v>DEU-000060</x:v>
      </x:c>
      <x:c r="F84" t="n">
        <x:v>56600</x:v>
      </x:c>
      <x:c r="G84" t="n">
        <x:v>63163.95</x:v>
      </x:c>
      <x:c r="H84" t="n">
        <x:v>0</x:v>
      </x:c>
      <x:c r="I84" t="n">
        <x:v>3956563.95</x:v>
      </x:c>
      <x:c r="J84" t="str">
        <x:v>Parcial</x:v>
      </x:c>
    </x:row>
    <x:row r="85">
      <x:c r="A85" t="str">
        <x:v>ABO-0000084</x:v>
      </x:c>
      <x:c r="B85" t="str">
        <x:v>2025-02</x:v>
      </x:c>
      <x:c r="C85" t="n">
        <x:v>45702</x:v>
      </x:c>
      <x:c r="D85" t="str">
        <x:v>USR-00036</x:v>
      </x:c>
      <x:c r="E85" t="str">
        <x:v>DEU-000061</x:v>
      </x:c>
      <x:c r="F85" t="n">
        <x:v>279300</x:v>
      </x:c>
      <x:c r="G85" t="n">
        <x:v>58856.21</x:v>
      </x:c>
      <x:c r="H85" t="n">
        <x:v>220443.79</x:v>
      </x:c>
      <x:c r="I85" t="n">
        <x:v>5719556.21</x:v>
      </x:c>
      <x:c r="J85" t="str">
        <x:v>En fecha</x:v>
      </x:c>
    </x:row>
    <x:row r="86">
      <x:c r="A86" t="str">
        <x:v>ABO-0000085</x:v>
      </x:c>
      <x:c r="B86" t="str">
        <x:v>2025-02</x:v>
      </x:c>
      <x:c r="C86" t="n">
        <x:v>45693</x:v>
      </x:c>
      <x:c r="D86" t="str">
        <x:v>USR-00036</x:v>
      </x:c>
      <x:c r="E86" t="str">
        <x:v>DEU-000062</x:v>
      </x:c>
      <x:c r="F86" t="n">
        <x:v>584600</x:v>
      </x:c>
      <x:c r="G86" t="n">
        <x:v>368133.37</x:v>
      </x:c>
      <x:c r="H86" t="n">
        <x:v>216466.63</x:v>
      </x:c>
      <x:c r="I86" t="n">
        <x:v>18513533.37</x:v>
      </x:c>
      <x:c r="J86" t="str">
        <x:v>Parcial</x:v>
      </x:c>
    </x:row>
    <x:row r="87">
      <x:c r="A87" t="str">
        <x:v>ABO-0000086</x:v>
      </x:c>
      <x:c r="B87" t="str">
        <x:v>2025-02</x:v>
      </x:c>
      <x:c r="C87" t="n">
        <x:v>45689</x:v>
      </x:c>
      <x:c r="D87" t="str">
        <x:v>USR-00038</x:v>
      </x:c>
      <x:c r="E87" t="str">
        <x:v>DEU-000066</x:v>
      </x:c>
      <x:c r="F87" t="n">
        <x:v>888100</x:v>
      </x:c>
      <x:c r="G87" t="n">
        <x:v>314085.95</x:v>
      </x:c>
      <x:c r="H87" t="n">
        <x:v>574014.05</x:v>
      </x:c>
      <x:c r="I87" t="n">
        <x:v>25175985.95</x:v>
      </x:c>
      <x:c r="J87" t="str">
        <x:v>En fecha</x:v>
      </x:c>
    </x:row>
    <x:row r="88">
      <x:c r="A88" t="str">
        <x:v>ABO-0000087</x:v>
      </x:c>
      <x:c r="B88" t="str">
        <x:v>2025-02</x:v>
      </x:c>
      <x:c r="C88" t="n">
        <x:v>45701</x:v>
      </x:c>
      <x:c r="D88" t="str">
        <x:v>USR-00039</x:v>
      </x:c>
      <x:c r="E88" t="str">
        <x:v>DEU-000067</x:v>
      </x:c>
      <x:c r="F88" t="n">
        <x:v>470800</x:v>
      </x:c>
      <x:c r="G88" t="n">
        <x:v>298953.17</x:v>
      </x:c>
      <x:c r="H88" t="n">
        <x:v>171846.83</x:v>
      </x:c>
      <x:c r="I88" t="n">
        <x:v>17478153.17</x:v>
      </x:c>
      <x:c r="J88" t="str">
        <x:v>En fecha</x:v>
      </x:c>
    </x:row>
    <x:row r="89">
      <x:c r="A89" t="str">
        <x:v>ABO-0000088</x:v>
      </x:c>
      <x:c r="B89" t="str">
        <x:v>2025-02</x:v>
      </x:c>
      <x:c r="C89" t="n">
        <x:v>45699</x:v>
      </x:c>
      <x:c r="D89" t="str">
        <x:v>USR-00039</x:v>
      </x:c>
      <x:c r="E89" t="str">
        <x:v>DEU-000068</x:v>
      </x:c>
      <x:c r="F89" t="n">
        <x:v>1859400</x:v>
      </x:c>
      <x:c r="G89" t="n">
        <x:v>136748.77</x:v>
      </x:c>
      <x:c r="H89" t="n">
        <x:v>1722651.23</x:v>
      </x:c>
      <x:c r="I89" t="n">
        <x:v>12247348.77</x:v>
      </x:c>
      <x:c r="J89" t="str">
        <x:v>En fecha</x:v>
      </x:c>
    </x:row>
    <x:row r="90">
      <x:c r="A90" t="str">
        <x:v>ABO-0000089</x:v>
      </x:c>
      <x:c r="B90" t="str">
        <x:v>2025-02</x:v>
      </x:c>
      <x:c r="C90" t="n">
        <x:v>45705</x:v>
      </x:c>
      <x:c r="D90" t="str">
        <x:v>USR-00040</x:v>
      </x:c>
      <x:c r="E90" t="str">
        <x:v>DEU-000069</x:v>
      </x:c>
      <x:c r="F90" t="n">
        <x:v>283900</x:v>
      </x:c>
      <x:c r="G90" t="n">
        <x:v>242609.45</x:v>
      </x:c>
      <x:c r="H90" t="n">
        <x:v>41290.55</x:v>
      </x:c>
      <x:c r="I90" t="n">
        <x:v>11298709.45</x:v>
      </x:c>
      <x:c r="J90" t="str">
        <x:v>Parcial</x:v>
      </x:c>
    </x:row>
    <x:row r="91">
      <x:c r="A91" t="str">
        <x:v>ABO-0000090</x:v>
      </x:c>
      <x:c r="B91" t="str">
        <x:v>2025-02</x:v>
      </x:c>
      <x:c r="C91" t="n">
        <x:v>45714</x:v>
      </x:c>
      <x:c r="D91" t="str">
        <x:v>USR-00040</x:v>
      </x:c>
      <x:c r="E91" t="str">
        <x:v>DEU-000070</x:v>
      </x:c>
      <x:c r="F91" t="n">
        <x:v>1132500</x:v>
      </x:c>
      <x:c r="G91" t="n">
        <x:v>155910.36</x:v>
      </x:c>
      <x:c r="H91" t="n">
        <x:v>976589.64</x:v>
      </x:c>
      <x:c r="I91" t="n">
        <x:v>15123410.36</x:v>
      </x:c>
      <x:c r="J91" t="str">
        <x:v>En fecha</x:v>
      </x:c>
    </x:row>
    <x:row r="92">
      <x:c r="A92" t="str">
        <x:v>ABO-0000091</x:v>
      </x:c>
      <x:c r="B92" t="str">
        <x:v>2025-02</x:v>
      </x:c>
      <x:c r="C92" t="n">
        <x:v>45698</x:v>
      </x:c>
      <x:c r="D92" t="str">
        <x:v>USR-00041</x:v>
      </x:c>
      <x:c r="E92" t="str">
        <x:v>DEU-000071</x:v>
      </x:c>
      <x:c r="F92" t="n">
        <x:v>1756800</x:v>
      </x:c>
      <x:c r="G92" t="n">
        <x:v>514798.81</x:v>
      </x:c>
      <x:c r="H92" t="n">
        <x:v>1242001.19</x:v>
      </x:c>
      <x:c r="I92" t="n">
        <x:v>21627998.81</x:v>
      </x:c>
      <x:c r="J92" t="str">
        <x:v>Parcial</x:v>
      </x:c>
    </x:row>
    <x:row r="93">
      <x:c r="A93" t="str">
        <x:v>ABO-0000092</x:v>
      </x:c>
      <x:c r="B93" t="str">
        <x:v>2025-02</x:v>
      </x:c>
      <x:c r="C93" t="n">
        <x:v>45699</x:v>
      </x:c>
      <x:c r="D93" t="str">
        <x:v>USR-00042</x:v>
      </x:c>
      <x:c r="E93" t="str">
        <x:v>DEU-000072</x:v>
      </x:c>
      <x:c r="F93" t="n">
        <x:v>140000</x:v>
      </x:c>
      <x:c r="G93" t="n">
        <x:v>86096.44</x:v>
      </x:c>
      <x:c r="H93" t="n">
        <x:v>53903.56</x:v>
      </x:c>
      <x:c r="I93" t="n">
        <x:v>5316096.44</x:v>
      </x:c>
      <x:c r="J93" t="str">
        <x:v>En fecha</x:v>
      </x:c>
    </x:row>
    <x:row r="94">
      <x:c r="A94" t="str">
        <x:v>ABO-0000093</x:v>
      </x:c>
      <x:c r="B94" t="str">
        <x:v>2025-02</x:v>
      </x:c>
      <x:c r="C94" t="n">
        <x:v>45710</x:v>
      </x:c>
      <x:c r="D94" t="str">
        <x:v>USR-00042</x:v>
      </x:c>
      <x:c r="E94" t="str">
        <x:v>DEU-000073</x:v>
      </x:c>
      <x:c r="F94" t="n">
        <x:v>110100</x:v>
      </x:c>
      <x:c r="G94" t="n">
        <x:v>58242.73</x:v>
      </x:c>
      <x:c r="H94" t="n">
        <x:v>51857.27</x:v>
      </x:c>
      <x:c r="I94" t="n">
        <x:v>3728142.73</x:v>
      </x:c>
      <x:c r="J94" t="str">
        <x:v>Parcial</x:v>
      </x:c>
    </x:row>
    <x:row r="95">
      <x:c r="A95" t="str">
        <x:v>ABO-0000094</x:v>
      </x:c>
      <x:c r="B95" t="str">
        <x:v>2025-02</x:v>
      </x:c>
      <x:c r="C95" t="n">
        <x:v>45689</x:v>
      </x:c>
      <x:c r="D95" t="str">
        <x:v>USR-00043</x:v>
      </x:c>
      <x:c r="E95" t="str">
        <x:v>DEU-000074</x:v>
      </x:c>
      <x:c r="F95" t="n">
        <x:v>92800</x:v>
      </x:c>
      <x:c r="G95" t="n">
        <x:v>44825.12</x:v>
      </x:c>
      <x:c r="H95" t="n">
        <x:v>47974.88</x:v>
      </x:c>
      <x:c r="I95" t="n">
        <x:v>3232025.12</x:v>
      </x:c>
      <x:c r="J95" t="str">
        <x:v>Parcial</x:v>
      </x:c>
    </x:row>
    <x:row r="96">
      <x:c r="A96" t="str">
        <x:v>ABO-0000095</x:v>
      </x:c>
      <x:c r="B96" t="str">
        <x:v>2025-02</x:v>
      </x:c>
      <x:c r="C96" t="n">
        <x:v>45693</x:v>
      </x:c>
      <x:c r="D96" t="str">
        <x:v>USR-00043</x:v>
      </x:c>
      <x:c r="E96" t="str">
        <x:v>DEU-000075</x:v>
      </x:c>
      <x:c r="F96" t="n">
        <x:v>945400</x:v>
      </x:c>
      <x:c r="G96" t="n">
        <x:v>484716.28</x:v>
      </x:c>
      <x:c r="H96" t="n">
        <x:v>460683.72</x:v>
      </x:c>
      <x:c r="I96" t="n">
        <x:v>23569316.28</x:v>
      </x:c>
      <x:c r="J96" t="str">
        <x:v>En fecha</x:v>
      </x:c>
    </x:row>
    <x:row r="97">
      <x:c r="A97" t="str">
        <x:v>ABO-0000096</x:v>
      </x:c>
      <x:c r="B97" t="str">
        <x:v>2025-02</x:v>
      </x:c>
      <x:c r="C97" t="n">
        <x:v>45714</x:v>
      </x:c>
      <x:c r="D97" t="str">
        <x:v>USR-00044</x:v>
      </x:c>
      <x:c r="E97" t="str">
        <x:v>DEU-000076</x:v>
      </x:c>
      <x:c r="F97" t="n">
        <x:v>1086300</x:v>
      </x:c>
      <x:c r="G97" t="n">
        <x:v>381169.45</x:v>
      </x:c>
      <x:c r="H97" t="n">
        <x:v>705130.55</x:v>
      </x:c>
      <x:c r="I97" t="n">
        <x:v>21234869.45</x:v>
      </x:c>
      <x:c r="J97" t="str">
        <x:v>En fecha</x:v>
      </x:c>
    </x:row>
    <x:row r="98">
      <x:c r="A98" t="str">
        <x:v>ABO-0000097</x:v>
      </x:c>
      <x:c r="B98" t="str">
        <x:v>2025-02</x:v>
      </x:c>
      <x:c r="C98" t="n">
        <x:v>45691</x:v>
      </x:c>
      <x:c r="D98" t="str">
        <x:v>USR-00044</x:v>
      </x:c>
      <x:c r="E98" t="str">
        <x:v>DEU-000077</x:v>
      </x:c>
      <x:c r="F98" t="n">
        <x:v>375600</x:v>
      </x:c>
      <x:c r="G98" t="n">
        <x:v>241910.6</x:v>
      </x:c>
      <x:c r="H98" t="n">
        <x:v>133689.4</x:v>
      </x:c>
      <x:c r="I98" t="n">
        <x:v>10496310.6</x:v>
      </x:c>
      <x:c r="J98" t="str">
        <x:v>En fecha</x:v>
      </x:c>
    </x:row>
    <x:row r="99">
      <x:c r="A99" t="str">
        <x:v>ABO-0000098</x:v>
      </x:c>
      <x:c r="B99" t="str">
        <x:v>2025-02</x:v>
      </x:c>
      <x:c r="C99" t="n">
        <x:v>45708</x:v>
      </x:c>
      <x:c r="D99" t="str">
        <x:v>USR-00046</x:v>
      </x:c>
      <x:c r="E99" t="str">
        <x:v>DEU-000079</x:v>
      </x:c>
      <x:c r="F99" t="n">
        <x:v>261400</x:v>
      </x:c>
      <x:c r="G99" t="n">
        <x:v>170389.73</x:v>
      </x:c>
      <x:c r="H99" t="n">
        <x:v>91010.27</x:v>
      </x:c>
      <x:c r="I99" t="n">
        <x:v>7208989.73</x:v>
      </x:c>
      <x:c r="J99" t="str">
        <x:v>En fecha</x:v>
      </x:c>
    </x:row>
    <x:row r="100">
      <x:c r="A100" t="str">
        <x:v>ABO-0000099</x:v>
      </x:c>
      <x:c r="B100" t="str">
        <x:v>2025-02</x:v>
      </x:c>
      <x:c r="C100" t="n">
        <x:v>45707</x:v>
      </x:c>
      <x:c r="D100" t="str">
        <x:v>USR-00047</x:v>
      </x:c>
      <x:c r="E100" t="str">
        <x:v>DEU-000080</x:v>
      </x:c>
      <x:c r="F100" t="n">
        <x:v>190300</x:v>
      </x:c>
      <x:c r="G100" t="n">
        <x:v>83795.03</x:v>
      </x:c>
      <x:c r="H100" t="n">
        <x:v>106504.97</x:v>
      </x:c>
      <x:c r="I100" t="n">
        <x:v>3413495.03</x:v>
      </x:c>
      <x:c r="J100" t="str">
        <x:v>En fecha</x:v>
      </x:c>
    </x:row>
    <x:row r="101">
      <x:c r="A101" t="str">
        <x:v>ABO-0000100</x:v>
      </x:c>
      <x:c r="B101" t="str">
        <x:v>2025-02</x:v>
      </x:c>
      <x:c r="C101" t="n">
        <x:v>45714</x:v>
      </x:c>
      <x:c r="D101" t="str">
        <x:v>USR-00047</x:v>
      </x:c>
      <x:c r="E101" t="str">
        <x:v>DEU-000081</x:v>
      </x:c>
      <x:c r="F101" t="n">
        <x:v>398800</x:v>
      </x:c>
      <x:c r="G101" t="n">
        <x:v>157169.32</x:v>
      </x:c>
      <x:c r="H101" t="n">
        <x:v>241630.68</x:v>
      </x:c>
      <x:c r="I101" t="n">
        <x:v>7208369.32</x:v>
      </x:c>
      <x:c r="J101" t="str">
        <x:v>En fecha</x:v>
      </x:c>
    </x:row>
    <x:row r="102">
      <x:c r="A102" t="str">
        <x:v>ABO-0000101</x:v>
      </x:c>
      <x:c r="B102" t="str">
        <x:v>2025-02</x:v>
      </x:c>
      <x:c r="C102" t="n">
        <x:v>45715</x:v>
      </x:c>
      <x:c r="D102" t="str">
        <x:v>USR-00048</x:v>
      </x:c>
      <x:c r="E102" t="str">
        <x:v>DEU-000082</x:v>
      </x:c>
      <x:c r="F102" t="n">
        <x:v>652000</x:v>
      </x:c>
      <x:c r="G102" t="n">
        <x:v>156890.27</x:v>
      </x:c>
      <x:c r="H102" t="n">
        <x:v>495109.73</x:v>
      </x:c>
      <x:c r="I102" t="n">
        <x:v>16524890.27</x:v>
      </x:c>
      <x:c r="J102" t="str">
        <x:v>En fecha</x:v>
      </x:c>
    </x:row>
    <x:row r="103">
      <x:c r="A103" t="str">
        <x:v>ABO-0000102</x:v>
      </x:c>
      <x:c r="B103" t="str">
        <x:v>2025-02</x:v>
      </x:c>
      <x:c r="C103" t="n">
        <x:v>45691</x:v>
      </x:c>
      <x:c r="D103" t="str">
        <x:v>USR-00048</x:v>
      </x:c>
      <x:c r="E103" t="str">
        <x:v>DEU-000083</x:v>
      </x:c>
      <x:c r="F103" t="n">
        <x:v>424100</x:v>
      </x:c>
      <x:c r="G103" t="n">
        <x:v>210151.01</x:v>
      </x:c>
      <x:c r="H103" t="n">
        <x:v>213948.99</x:v>
      </x:c>
      <x:c r="I103" t="n">
        <x:v>23456051.01</x:v>
      </x:c>
      <x:c r="J103" t="str">
        <x:v>Parcial</x:v>
      </x:c>
    </x:row>
    <x:row r="104">
      <x:c r="A104" t="str">
        <x:v>ABO-0000103</x:v>
      </x:c>
      <x:c r="B104" t="str">
        <x:v>2025-02</x:v>
      </x:c>
      <x:c r="C104" t="n">
        <x:v>45695</x:v>
      </x:c>
      <x:c r="D104" t="str">
        <x:v>USR-00049</x:v>
      </x:c>
      <x:c r="E104" t="str">
        <x:v>DEU-000084</x:v>
      </x:c>
      <x:c r="F104" t="n">
        <x:v>867300</x:v>
      </x:c>
      <x:c r="G104" t="n">
        <x:v>386626.9</x:v>
      </x:c>
      <x:c r="H104" t="n">
        <x:v>480673.1</x:v>
      </x:c>
      <x:c r="I104" t="n">
        <x:v>20329326.9</x:v>
      </x:c>
      <x:c r="J104" t="str">
        <x:v>En fecha</x:v>
      </x:c>
    </x:row>
    <x:row r="105">
      <x:c r="A105" t="str">
        <x:v>ABO-0000104</x:v>
      </x:c>
      <x:c r="B105" t="str">
        <x:v>2025-02</x:v>
      </x:c>
      <x:c r="C105" t="n">
        <x:v>45694</x:v>
      </x:c>
      <x:c r="D105" t="str">
        <x:v>USR-00050</x:v>
      </x:c>
      <x:c r="E105" t="str">
        <x:v>DEU-000085</x:v>
      </x:c>
      <x:c r="F105" t="n">
        <x:v>147200</x:v>
      </x:c>
      <x:c r="G105" t="n">
        <x:v>74020.59</x:v>
      </x:c>
      <x:c r="H105" t="n">
        <x:v>73179.41</x:v>
      </x:c>
      <x:c r="I105" t="n">
        <x:v>4006820.59</x:v>
      </x:c>
      <x:c r="J105" t="str">
        <x:v>En fecha</x:v>
      </x:c>
    </x:row>
    <x:row r="106">
      <x:c r="A106" t="str">
        <x:v>ABO-0000105</x:v>
      </x:c>
      <x:c r="B106" t="str">
        <x:v>2025-02</x:v>
      </x:c>
      <x:c r="C106" t="n">
        <x:v>45694</x:v>
      </x:c>
      <x:c r="D106" t="str">
        <x:v>USR-00051</x:v>
      </x:c>
      <x:c r="E106" t="str">
        <x:v>DEU-000086</x:v>
      </x:c>
      <x:c r="F106" t="n">
        <x:v>313500</x:v>
      </x:c>
      <x:c r="G106" t="n">
        <x:v>58501.71</x:v>
      </x:c>
      <x:c r="H106" t="n">
        <x:v>254998.29</x:v>
      </x:c>
      <x:c r="I106" t="n">
        <x:v>4815001.71</x:v>
      </x:c>
      <x:c r="J106" t="str">
        <x:v>En fecha</x:v>
      </x:c>
    </x:row>
    <x:row r="107">
      <x:c r="A107" t="str">
        <x:v>ABO-0000106</x:v>
      </x:c>
      <x:c r="B107" t="str">
        <x:v>2025-02</x:v>
      </x:c>
      <x:c r="C107" t="n">
        <x:v>45691</x:v>
      </x:c>
      <x:c r="D107" t="str">
        <x:v>USR-00051</x:v>
      </x:c>
      <x:c r="E107" t="str">
        <x:v>DEU-000087</x:v>
      </x:c>
      <x:c r="F107" t="n">
        <x:v>1753100</x:v>
      </x:c>
      <x:c r="G107" t="n">
        <x:v>369083.47</x:v>
      </x:c>
      <x:c r="H107" t="n">
        <x:v>1384016.53</x:v>
      </x:c>
      <x:c r="I107" t="n">
        <x:v>22395983.47</x:v>
      </x:c>
      <x:c r="J107" t="str">
        <x:v>En fecha</x:v>
      </x:c>
    </x:row>
    <x:row r="108">
      <x:c r="A108" t="str">
        <x:v>ABO-0000107</x:v>
      </x:c>
      <x:c r="B108" t="str">
        <x:v>2025-02</x:v>
      </x:c>
      <x:c r="C108" t="n">
        <x:v>45702</x:v>
      </x:c>
      <x:c r="D108" t="str">
        <x:v>USR-00051</x:v>
      </x:c>
      <x:c r="E108" t="str">
        <x:v>DEU-000089</x:v>
      </x:c>
      <x:c r="F108" t="n">
        <x:v>254200</x:v>
      </x:c>
      <x:c r="G108" t="n">
        <x:v>45642.24</x:v>
      </x:c>
      <x:c r="H108" t="n">
        <x:v>208557.76</x:v>
      </x:c>
      <x:c r="I108" t="n">
        <x:v>3301442.24</x:v>
      </x:c>
      <x:c r="J108" t="str">
        <x:v>Parcial</x:v>
      </x:c>
    </x:row>
    <x:row r="109">
      <x:c r="A109" t="str">
        <x:v>ABO-0000108</x:v>
      </x:c>
      <x:c r="B109" t="str">
        <x:v>2025-02</x:v>
      </x:c>
      <x:c r="C109" t="n">
        <x:v>45708</x:v>
      </x:c>
      <x:c r="D109" t="str">
        <x:v>USR-00051</x:v>
      </x:c>
      <x:c r="E109" t="str">
        <x:v>DEU-000090</x:v>
      </x:c>
      <x:c r="F109" t="n">
        <x:v>451400</x:v>
      </x:c>
      <x:c r="G109" t="n">
        <x:v>96057.51</x:v>
      </x:c>
      <x:c r="H109" t="n">
        <x:v>355342.49</x:v>
      </x:c>
      <x:c r="I109" t="n">
        <x:v>4414657.51</x:v>
      </x:c>
      <x:c r="J109" t="str">
        <x:v>En fecha</x:v>
      </x:c>
    </x:row>
    <x:row r="110">
      <x:c r="A110" t="str">
        <x:v>ABO-0000109</x:v>
      </x:c>
      <x:c r="B110" t="str">
        <x:v>2025-02</x:v>
      </x:c>
      <x:c r="C110" t="n">
        <x:v>45694</x:v>
      </x:c>
      <x:c r="D110" t="str">
        <x:v>USR-00052</x:v>
      </x:c>
      <x:c r="E110" t="str">
        <x:v>DEU-000091</x:v>
      </x:c>
      <x:c r="F110" t="n">
        <x:v>571100</x:v>
      </x:c>
      <x:c r="G110" t="n">
        <x:v>241699.24</x:v>
      </x:c>
      <x:c r="H110" t="n">
        <x:v>329400.76</x:v>
      </x:c>
      <x:c r="I110" t="n">
        <x:v>20630599.24</x:v>
      </x:c>
      <x:c r="J110" t="str">
        <x:v>En fecha</x:v>
      </x:c>
    </x:row>
    <x:row r="111">
      <x:c r="A111" t="str">
        <x:v>ABO-0000110</x:v>
      </x:c>
      <x:c r="B111" t="str">
        <x:v>2025-02</x:v>
      </x:c>
      <x:c r="C111" t="n">
        <x:v>45691</x:v>
      </x:c>
      <x:c r="D111" t="str">
        <x:v>USR-00053</x:v>
      </x:c>
      <x:c r="E111" t="str">
        <x:v>DEU-000095</x:v>
      </x:c>
      <x:c r="F111" t="n">
        <x:v>156600</x:v>
      </x:c>
      <x:c r="G111" t="n">
        <x:v>80228.67</x:v>
      </x:c>
      <x:c r="H111" t="n">
        <x:v>76371.33</x:v>
      </x:c>
      <x:c r="I111" t="n">
        <x:v>4213628.67</x:v>
      </x:c>
      <x:c r="J111" t="str">
        <x:v>En fecha</x:v>
      </x:c>
    </x:row>
    <x:row r="112">
      <x:c r="A112" t="str">
        <x:v>ABO-0000111</x:v>
      </x:c>
      <x:c r="B112" t="str">
        <x:v>2025-02</x:v>
      </x:c>
      <x:c r="C112" t="n">
        <x:v>45696</x:v>
      </x:c>
      <x:c r="D112" t="str">
        <x:v>USR-00054</x:v>
      </x:c>
      <x:c r="E112" t="str">
        <x:v>DEU-000096</x:v>
      </x:c>
      <x:c r="F112" t="n">
        <x:v>67100</x:v>
      </x:c>
      <x:c r="G112" t="n">
        <x:v>38057.77</x:v>
      </x:c>
      <x:c r="H112" t="n">
        <x:v>29042.23</x:v>
      </x:c>
      <x:c r="I112" t="n">
        <x:v>1840957.77</x:v>
      </x:c>
      <x:c r="J112" t="str">
        <x:v>Parcial</x:v>
      </x:c>
    </x:row>
    <x:row r="113">
      <x:c r="A113" t="str">
        <x:v>ABO-0000112</x:v>
      </x:c>
      <x:c r="B113" t="str">
        <x:v>2025-02</x:v>
      </x:c>
      <x:c r="C113" t="n">
        <x:v>45706</x:v>
      </x:c>
      <x:c r="D113" t="str">
        <x:v>USR-00054</x:v>
      </x:c>
      <x:c r="E113" t="str">
        <x:v>DEU-000097</x:v>
      </x:c>
      <x:c r="F113" t="n">
        <x:v>3258100</x:v>
      </x:c>
      <x:c r="G113" t="n">
        <x:v>430340.05</x:v>
      </x:c>
      <x:c r="H113" t="n">
        <x:v>2827759.95</x:v>
      </x:c>
      <x:c r="I113" t="n">
        <x:v>28302240.05</x:v>
      </x:c>
      <x:c r="J113" t="str">
        <x:v>En fecha</x:v>
      </x:c>
    </x:row>
    <x:row r="114">
      <x:c r="A114" t="str">
        <x:v>ABO-0000113</x:v>
      </x:c>
      <x:c r="B114" t="str">
        <x:v>2025-02</x:v>
      </x:c>
      <x:c r="C114" t="n">
        <x:v>45696</x:v>
      </x:c>
      <x:c r="D114" t="str">
        <x:v>USR-00054</x:v>
      </x:c>
      <x:c r="E114" t="str">
        <x:v>DEU-000098</x:v>
      </x:c>
      <x:c r="F114" t="n">
        <x:v>696000</x:v>
      </x:c>
      <x:c r="G114" t="n">
        <x:v>207102.45</x:v>
      </x:c>
      <x:c r="H114" t="n">
        <x:v>488897.55</x:v>
      </x:c>
      <x:c r="I114" t="n">
        <x:v>17691102.45</x:v>
      </x:c>
      <x:c r="J114" t="str">
        <x:v>Parcial</x:v>
      </x:c>
    </x:row>
    <x:row r="115">
      <x:c r="A115" t="str">
        <x:v>ABO-0000114</x:v>
      </x:c>
      <x:c r="B115" t="str">
        <x:v>2025-02</x:v>
      </x:c>
      <x:c r="C115" t="n">
        <x:v>45705</x:v>
      </x:c>
      <x:c r="D115" t="str">
        <x:v>USR-00054</x:v>
      </x:c>
      <x:c r="E115" t="str">
        <x:v>DEU-000099</x:v>
      </x:c>
      <x:c r="F115" t="n">
        <x:v>183800</x:v>
      </x:c>
      <x:c r="G115" t="n">
        <x:v>26525</x:v>
      </x:c>
      <x:c r="H115" t="n">
        <x:v>157275</x:v>
      </x:c>
      <x:c r="I115" t="n">
        <x:v>2892725</x:v>
      </x:c>
      <x:c r="J115" t="str">
        <x:v>En fecha</x:v>
      </x:c>
    </x:row>
    <x:row r="116">
      <x:c r="A116" t="str">
        <x:v>ABO-0000115</x:v>
      </x:c>
      <x:c r="B116" t="str">
        <x:v>2025-03</x:v>
      </x:c>
      <x:c r="C116" t="n">
        <x:v>45724</x:v>
      </x:c>
      <x:c r="D116" t="str">
        <x:v>USR-00002</x:v>
      </x:c>
      <x:c r="E116" t="str">
        <x:v>DEU-000003</x:v>
      </x:c>
      <x:c r="F116" t="n">
        <x:v>493300</x:v>
      </x:c>
      <x:c r="G116" t="n">
        <x:v>183093.45</x:v>
      </x:c>
      <x:c r="H116" t="n">
        <x:v>310206.55</x:v>
      </x:c>
      <x:c r="I116" t="n">
        <x:v>19000837.53</x:v>
      </x:c>
      <x:c r="J116" t="str">
        <x:v>En fecha</x:v>
      </x:c>
    </x:row>
    <x:row r="117">
      <x:c r="A117" t="str">
        <x:v>ABO-0000116</x:v>
      </x:c>
      <x:c r="B117" t="str">
        <x:v>2025-03</x:v>
      </x:c>
      <x:c r="C117" t="n">
        <x:v>45725</x:v>
      </x:c>
      <x:c r="D117" t="str">
        <x:v>USR-00003</x:v>
      </x:c>
      <x:c r="E117" t="str">
        <x:v>DEU-000004</x:v>
      </x:c>
      <x:c r="F117" t="n">
        <x:v>370500</x:v>
      </x:c>
      <x:c r="G117" t="n">
        <x:v>122339.58</x:v>
      </x:c>
      <x:c r="H117" t="n">
        <x:v>248160.42</x:v>
      </x:c>
      <x:c r="I117" t="n">
        <x:v>5710367.39</x:v>
      </x:c>
      <x:c r="J117" t="str">
        <x:v>Parcial</x:v>
      </x:c>
    </x:row>
    <x:row r="118">
      <x:c r="A118" t="str">
        <x:v>ABO-0000117</x:v>
      </x:c>
      <x:c r="B118" t="str">
        <x:v>2025-03</x:v>
      </x:c>
      <x:c r="C118" t="n">
        <x:v>45728</x:v>
      </x:c>
      <x:c r="D118" t="str">
        <x:v>USR-00003</x:v>
      </x:c>
      <x:c r="E118" t="str">
        <x:v>DEU-000005</x:v>
      </x:c>
      <x:c r="F118" t="n">
        <x:v>426100</x:v>
      </x:c>
      <x:c r="G118" t="n">
        <x:v>222393.2</x:v>
      </x:c>
      <x:c r="H118" t="n">
        <x:v>203706.8</x:v>
      </x:c>
      <x:c r="I118" t="n">
        <x:v>15071551.29</x:v>
      </x:c>
      <x:c r="J118" t="str">
        <x:v>Parcial</x:v>
      </x:c>
    </x:row>
    <x:row r="119">
      <x:c r="A119" t="str">
        <x:v>ABO-0000118</x:v>
      </x:c>
      <x:c r="B119" t="str">
        <x:v>2025-03</x:v>
      </x:c>
      <x:c r="C119" t="n">
        <x:v>45722</x:v>
      </x:c>
      <x:c r="D119" t="str">
        <x:v>USR-00004</x:v>
      </x:c>
      <x:c r="E119" t="str">
        <x:v>DEU-000006</x:v>
      </x:c>
      <x:c r="F119" t="n">
        <x:v>314100</x:v>
      </x:c>
      <x:c r="G119" t="n">
        <x:v>128426.83</x:v>
      </x:c>
      <x:c r="H119" t="n">
        <x:v>185673.17</x:v>
      </x:c>
      <x:c r="I119" t="n">
        <x:v>5917233.58</x:v>
      </x:c>
      <x:c r="J119" t="str">
        <x:v>En fecha</x:v>
      </x:c>
    </x:row>
    <x:row r="120">
      <x:c r="A120" t="str">
        <x:v>ABO-0000119</x:v>
      </x:c>
      <x:c r="B120" t="str">
        <x:v>2025-03</x:v>
      </x:c>
      <x:c r="C120" t="n">
        <x:v>45724</x:v>
      </x:c>
      <x:c r="D120" t="str">
        <x:v>USR-00005</x:v>
      </x:c>
      <x:c r="E120" t="str">
        <x:v>DEU-000008</x:v>
      </x:c>
      <x:c r="F120" t="n">
        <x:v>460800</x:v>
      </x:c>
      <x:c r="G120" t="n">
        <x:v>107305.51</x:v>
      </x:c>
      <x:c r="H120" t="n">
        <x:v>353494.49</x:v>
      </x:c>
      <x:c r="I120" t="n">
        <x:v>6177276.6</x:v>
      </x:c>
      <x:c r="J120" t="str">
        <x:v>En fecha</x:v>
      </x:c>
    </x:row>
    <x:row r="121">
      <x:c r="A121" t="str">
        <x:v>ABO-0000120</x:v>
      </x:c>
      <x:c r="B121" t="str">
        <x:v>2025-03</x:v>
      </x:c>
      <x:c r="C121" t="n">
        <x:v>45718</x:v>
      </x:c>
      <x:c r="D121" t="str">
        <x:v>USR-00005</x:v>
      </x:c>
      <x:c r="E121" t="str">
        <x:v>DEU-000053</x:v>
      </x:c>
      <x:c r="F121" t="n">
        <x:v>68800</x:v>
      </x:c>
      <x:c r="G121" t="n">
        <x:v>37336.6</x:v>
      </x:c>
      <x:c r="H121" t="n">
        <x:v>31463.4</x:v>
      </x:c>
      <x:c r="I121" t="n">
        <x:v>2713557.03</x:v>
      </x:c>
      <x:c r="J121" t="str">
        <x:v>En fecha</x:v>
      </x:c>
    </x:row>
    <x:row r="122">
      <x:c r="A122" t="str">
        <x:v>ABO-0000121</x:v>
      </x:c>
      <x:c r="B122" t="str">
        <x:v>2025-03</x:v>
      </x:c>
      <x:c r="C122" t="n">
        <x:v>45725</x:v>
      </x:c>
      <x:c r="D122" t="str">
        <x:v>USR-00006</x:v>
      </x:c>
      <x:c r="E122" t="str">
        <x:v>DEU-000009</x:v>
      </x:c>
      <x:c r="F122" t="n">
        <x:v>678000</x:v>
      </x:c>
      <x:c r="G122" t="n">
        <x:v>281219.78</x:v>
      </x:c>
      <x:c r="H122" t="n">
        <x:v>396780.22</x:v>
      </x:c>
      <x:c r="I122" t="n">
        <x:v>11658185.67</x:v>
      </x:c>
      <x:c r="J122" t="str">
        <x:v>En fecha</x:v>
      </x:c>
    </x:row>
    <x:row r="123">
      <x:c r="A123" t="str">
        <x:v>ABO-0000122</x:v>
      </x:c>
      <x:c r="B123" t="str">
        <x:v>2025-03</x:v>
      </x:c>
      <x:c r="C123" t="n">
        <x:v>45728</x:v>
      </x:c>
      <x:c r="D123" t="str">
        <x:v>USR-00007</x:v>
      </x:c>
      <x:c r="E123" t="str">
        <x:v>DEU-000010</x:v>
      </x:c>
      <x:c r="F123" t="n">
        <x:v>440400</x:v>
      </x:c>
      <x:c r="G123" t="n">
        <x:v>151169.97</x:v>
      </x:c>
      <x:c r="H123" t="n">
        <x:v>289230.03</x:v>
      </x:c>
      <x:c r="I123" t="n">
        <x:v>8100182.42</x:v>
      </x:c>
      <x:c r="J123" t="str">
        <x:v>En fecha</x:v>
      </x:c>
    </x:row>
    <x:row r="124">
      <x:c r="A124" t="str">
        <x:v>ABO-0000123</x:v>
      </x:c>
      <x:c r="B124" t="str">
        <x:v>2025-03</x:v>
      </x:c>
      <x:c r="C124" t="n">
        <x:v>45718</x:v>
      </x:c>
      <x:c r="D124" t="str">
        <x:v>USR-00007</x:v>
      </x:c>
      <x:c r="E124" t="str">
        <x:v>DEU-000011</x:v>
      </x:c>
      <x:c r="F124" t="n">
        <x:v>827000</x:v>
      </x:c>
      <x:c r="G124" t="n">
        <x:v>319129.02</x:v>
      </x:c>
      <x:c r="H124" t="n">
        <x:v>507870.98</x:v>
      </x:c>
      <x:c r="I124" t="n">
        <x:v>13950880.88</x:v>
      </x:c>
      <x:c r="J124" t="str">
        <x:v>En fecha</x:v>
      </x:c>
    </x:row>
    <x:row r="125">
      <x:c r="A125" t="str">
        <x:v>ABO-0000124</x:v>
      </x:c>
      <x:c r="B125" t="str">
        <x:v>2025-03</x:v>
      </x:c>
      <x:c r="C125" t="n">
        <x:v>45734</x:v>
      </x:c>
      <x:c r="D125" t="str">
        <x:v>USR-00008</x:v>
      </x:c>
      <x:c r="E125" t="str">
        <x:v>DEU-000013</x:v>
      </x:c>
      <x:c r="F125" t="n">
        <x:v>650500</x:v>
      </x:c>
      <x:c r="G125" t="n">
        <x:v>159289.73</x:v>
      </x:c>
      <x:c r="H125" t="n">
        <x:v>491210.27</x:v>
      </x:c>
      <x:c r="I125" t="n">
        <x:v>13401972.83</x:v>
      </x:c>
      <x:c r="J125" t="str">
        <x:v>En fecha</x:v>
      </x:c>
    </x:row>
    <x:row r="126">
      <x:c r="A126" t="str">
        <x:v>ABO-0000125</x:v>
      </x:c>
      <x:c r="B126" t="str">
        <x:v>2025-03</x:v>
      </x:c>
      <x:c r="C126" t="n">
        <x:v>45727</x:v>
      </x:c>
      <x:c r="D126" t="str">
        <x:v>USR-00009</x:v>
      </x:c>
      <x:c r="E126" t="str">
        <x:v>DEU-000014</x:v>
      </x:c>
      <x:c r="F126" t="n">
        <x:v>165500</x:v>
      </x:c>
      <x:c r="G126" t="n">
        <x:v>139335.4</x:v>
      </x:c>
      <x:c r="H126" t="n">
        <x:v>26164.6</x:v>
      </x:c>
      <x:c r="I126" t="n">
        <x:v>5633537.39</x:v>
      </x:c>
      <x:c r="J126" t="str">
        <x:v>Parcial</x:v>
      </x:c>
    </x:row>
    <x:row r="127">
      <x:c r="A127" t="str">
        <x:v>ABO-0000126</x:v>
      </x:c>
      <x:c r="B127" t="str">
        <x:v>2025-03</x:v>
      </x:c>
      <x:c r="C127" t="n">
        <x:v>45743</x:v>
      </x:c>
      <x:c r="D127" t="str">
        <x:v>USR-00010</x:v>
      </x:c>
      <x:c r="E127" t="str">
        <x:v>DEU-000015</x:v>
      </x:c>
      <x:c r="F127" t="n">
        <x:v>1111500</x:v>
      </x:c>
      <x:c r="G127" t="n">
        <x:v>435200.53</x:v>
      </x:c>
      <x:c r="H127" t="n">
        <x:v>676299.47</x:v>
      </x:c>
      <x:c r="I127" t="n">
        <x:v>17625070.04</x:v>
      </x:c>
      <x:c r="J127" t="str">
        <x:v>En fecha</x:v>
      </x:c>
    </x:row>
    <x:row r="128">
      <x:c r="A128" t="str">
        <x:v>ABO-0000127</x:v>
      </x:c>
      <x:c r="B128" t="str">
        <x:v>2025-03</x:v>
      </x:c>
      <x:c r="C128" t="n">
        <x:v>45731</x:v>
      </x:c>
      <x:c r="D128" t="str">
        <x:v>USR-00010</x:v>
      </x:c>
      <x:c r="E128" t="str">
        <x:v>DEU-000016</x:v>
      </x:c>
      <x:c r="F128" t="n">
        <x:v>94100</x:v>
      </x:c>
      <x:c r="G128" t="n">
        <x:v>71232.31</x:v>
      </x:c>
      <x:c r="H128" t="n">
        <x:v>22867.69</x:v>
      </x:c>
      <x:c r="I128" t="n">
        <x:v>3064910.37</x:v>
      </x:c>
      <x:c r="J128" t="str">
        <x:v>En fecha</x:v>
      </x:c>
    </x:row>
    <x:row r="129">
      <x:c r="A129" t="str">
        <x:v>ABO-0000128</x:v>
      </x:c>
      <x:c r="B129" t="str">
        <x:v>2025-03</x:v>
      </x:c>
      <x:c r="C129" t="n">
        <x:v>45724</x:v>
      </x:c>
      <x:c r="D129" t="str">
        <x:v>USR-00011</x:v>
      </x:c>
      <x:c r="E129" t="str">
        <x:v>DEU-000018</x:v>
      </x:c>
      <x:c r="F129" t="n">
        <x:v>1891400</x:v>
      </x:c>
      <x:c r="G129" t="n">
        <x:v>408010.95</x:v>
      </x:c>
      <x:c r="H129" t="n">
        <x:v>1483389.05</x:v>
      </x:c>
      <x:c r="I129" t="n">
        <x:v>15224023.14</x:v>
      </x:c>
      <x:c r="J129" t="str">
        <x:v>En fecha</x:v>
      </x:c>
    </x:row>
    <x:row r="130">
      <x:c r="A130" t="str">
        <x:v>ABO-0000129</x:v>
      </x:c>
      <x:c r="B130" t="str">
        <x:v>2025-03</x:v>
      </x:c>
      <x:c r="C130" t="n">
        <x:v>45741</x:v>
      </x:c>
      <x:c r="D130" t="str">
        <x:v>USR-00012</x:v>
      </x:c>
      <x:c r="E130" t="str">
        <x:v>DEU-000019</x:v>
      </x:c>
      <x:c r="F130" t="n">
        <x:v>650000</x:v>
      </x:c>
      <x:c r="G130" t="n">
        <x:v>167785.79</x:v>
      </x:c>
      <x:c r="H130" t="n">
        <x:v>482214.21</x:v>
      </x:c>
      <x:c r="I130" t="n">
        <x:v>8854158.98</x:v>
      </x:c>
      <x:c r="J130" t="str">
        <x:v>En fecha</x:v>
      </x:c>
    </x:row>
    <x:row r="131">
      <x:c r="A131" t="str">
        <x:v>ABO-0000130</x:v>
      </x:c>
      <x:c r="B131" t="str">
        <x:v>2025-03</x:v>
      </x:c>
      <x:c r="C131" t="n">
        <x:v>45730</x:v>
      </x:c>
      <x:c r="D131" t="str">
        <x:v>USR-00012</x:v>
      </x:c>
      <x:c r="E131" t="str">
        <x:v>DEU-000020</x:v>
      </x:c>
      <x:c r="F131" t="n">
        <x:v>374600</x:v>
      </x:c>
      <x:c r="G131" t="n">
        <x:v>199237.98</x:v>
      </x:c>
      <x:c r="H131" t="n">
        <x:v>175362.02</x:v>
      </x:c>
      <x:c r="I131" t="n">
        <x:v>8169283.96</x:v>
      </x:c>
      <x:c r="J131" t="str">
        <x:v>En fecha</x:v>
      </x:c>
    </x:row>
    <x:row r="132">
      <x:c r="A132" t="str">
        <x:v>ABO-0000131</x:v>
      </x:c>
      <x:c r="B132" t="str">
        <x:v>2025-03</x:v>
      </x:c>
      <x:c r="C132" t="n">
        <x:v>45739</x:v>
      </x:c>
      <x:c r="D132" t="str">
        <x:v>USR-00013</x:v>
      </x:c>
      <x:c r="E132" t="str">
        <x:v>DEU-000021</x:v>
      </x:c>
      <x:c r="F132" t="n">
        <x:v>2841500</x:v>
      </x:c>
      <x:c r="G132" t="n">
        <x:v>654833.83</x:v>
      </x:c>
      <x:c r="H132" t="n">
        <x:v>2186666.17</x:v>
      </x:c>
      <x:c r="I132" t="n">
        <x:v>40724831.36</x:v>
      </x:c>
      <x:c r="J132" t="str">
        <x:v>En fecha</x:v>
      </x:c>
    </x:row>
    <x:row r="133">
      <x:c r="A133" t="str">
        <x:v>ABO-0000132</x:v>
      </x:c>
      <x:c r="B133" t="str">
        <x:v>2025-03</x:v>
      </x:c>
      <x:c r="C133" t="n">
        <x:v>45739</x:v>
      </x:c>
      <x:c r="D133" t="str">
        <x:v>USR-00013</x:v>
      </x:c>
      <x:c r="E133" t="str">
        <x:v>DEU-000022</x:v>
      </x:c>
      <x:c r="F133" t="n">
        <x:v>508700</x:v>
      </x:c>
      <x:c r="G133" t="n">
        <x:v>205257.82</x:v>
      </x:c>
      <x:c r="H133" t="n">
        <x:v>303442.18</x:v>
      </x:c>
      <x:c r="I133" t="n">
        <x:v>8996156.93</x:v>
      </x:c>
      <x:c r="J133" t="str">
        <x:v>En fecha</x:v>
      </x:c>
    </x:row>
    <x:row r="134">
      <x:c r="A134" t="str">
        <x:v>ABO-0000133</x:v>
      </x:c>
      <x:c r="B134" t="str">
        <x:v>2025-03</x:v>
      </x:c>
      <x:c r="C134" t="n">
        <x:v>45726</x:v>
      </x:c>
      <x:c r="D134" t="str">
        <x:v>USR-00014</x:v>
      </x:c>
      <x:c r="E134" t="str">
        <x:v>DEU-000023</x:v>
      </x:c>
      <x:c r="F134" t="n">
        <x:v>153300</x:v>
      </x:c>
      <x:c r="G134" t="n">
        <x:v>44341.54</x:v>
      </x:c>
      <x:c r="H134" t="n">
        <x:v>108958.46</x:v>
      </x:c>
      <x:c r="I134" t="n">
        <x:v>2563695.19</x:v>
      </x:c>
      <x:c r="J134" t="str">
        <x:v>Parcial</x:v>
      </x:c>
    </x:row>
    <x:row r="135">
      <x:c r="A135" t="str">
        <x:v>ABO-0000134</x:v>
      </x:c>
      <x:c r="B135" t="str">
        <x:v>2025-03</x:v>
      </x:c>
      <x:c r="C135" t="n">
        <x:v>45734</x:v>
      </x:c>
      <x:c r="D135" t="str">
        <x:v>USR-00014</x:v>
      </x:c>
      <x:c r="E135" t="str">
        <x:v>DEU-000024</x:v>
      </x:c>
      <x:c r="F135" t="n">
        <x:v>599000</x:v>
      </x:c>
      <x:c r="G135" t="n">
        <x:v>173043.51</x:v>
      </x:c>
      <x:c r="H135" t="n">
        <x:v>425956.49</x:v>
      </x:c>
      <x:c r="I135" t="n">
        <x:v>6926702.96</x:v>
      </x:c>
      <x:c r="J135" t="str">
        <x:v>Parcial</x:v>
      </x:c>
    </x:row>
    <x:row r="136">
      <x:c r="A136" t="str">
        <x:v>ABO-0000135</x:v>
      </x:c>
      <x:c r="B136" t="str">
        <x:v>2025-03</x:v>
      </x:c>
      <x:c r="C136" t="n">
        <x:v>45735</x:v>
      </x:c>
      <x:c r="D136" t="str">
        <x:v>USR-00015</x:v>
      </x:c>
      <x:c r="E136" t="str">
        <x:v>DEU-000025</x:v>
      </x:c>
      <x:c r="F136" t="n">
        <x:v>650500</x:v>
      </x:c>
      <x:c r="G136" t="n">
        <x:v>335141.71</x:v>
      </x:c>
      <x:c r="H136" t="n">
        <x:v>315358.29</x:v>
      </x:c>
      <x:c r="I136" t="n">
        <x:v>18262675.19</x:v>
      </x:c>
      <x:c r="J136" t="str">
        <x:v>Parcial</x:v>
      </x:c>
    </x:row>
    <x:row r="137">
      <x:c r="A137" t="str">
        <x:v>ABO-0000136</x:v>
      </x:c>
      <x:c r="B137" t="str">
        <x:v>2025-03</x:v>
      </x:c>
      <x:c r="C137" t="n">
        <x:v>45724</x:v>
      </x:c>
      <x:c r="D137" t="str">
        <x:v>USR-00017</x:v>
      </x:c>
      <x:c r="E137" t="str">
        <x:v>DEU-000028</x:v>
      </x:c>
      <x:c r="F137" t="n">
        <x:v>96800</x:v>
      </x:c>
      <x:c r="G137" t="n">
        <x:v>25787.29</x:v>
      </x:c>
      <x:c r="H137" t="n">
        <x:v>71012.71</x:v>
      </x:c>
      <x:c r="I137" t="n">
        <x:v>2417289.52</x:v>
      </x:c>
      <x:c r="J137" t="str">
        <x:v>En fecha</x:v>
      </x:c>
    </x:row>
    <x:row r="138">
      <x:c r="A138" t="str">
        <x:v>ABO-0000137</x:v>
      </x:c>
      <x:c r="B138" t="str">
        <x:v>2025-03</x:v>
      </x:c>
      <x:c r="C138" t="n">
        <x:v>45721</x:v>
      </x:c>
      <x:c r="D138" t="str">
        <x:v>USR-00018</x:v>
      </x:c>
      <x:c r="E138" t="str">
        <x:v>DEU-000029</x:v>
      </x:c>
      <x:c r="F138" t="n">
        <x:v>281600</x:v>
      </x:c>
      <x:c r="G138" t="n">
        <x:v>170882.88</x:v>
      </x:c>
      <x:c r="H138" t="n">
        <x:v>110717.12</x:v>
      </x:c>
      <x:c r="I138" t="n">
        <x:v>8735171.97</x:v>
      </x:c>
      <x:c r="J138" t="str">
        <x:v>Parcial</x:v>
      </x:c>
    </x:row>
    <x:row r="139">
      <x:c r="A139" t="str">
        <x:v>ABO-0000138</x:v>
      </x:c>
      <x:c r="B139" t="str">
        <x:v>2025-03</x:v>
      </x:c>
      <x:c r="C139" t="n">
        <x:v>45725</x:v>
      </x:c>
      <x:c r="D139" t="str">
        <x:v>USR-00019</x:v>
      </x:c>
      <x:c r="E139" t="str">
        <x:v>DEU-000030</x:v>
      </x:c>
      <x:c r="F139" t="n">
        <x:v>198900</x:v>
      </x:c>
      <x:c r="G139" t="n">
        <x:v>96948.14</x:v>
      </x:c>
      <x:c r="H139" t="n">
        <x:v>101951.86</x:v>
      </x:c>
      <x:c r="I139" t="n">
        <x:v>5449725.1</x:v>
      </x:c>
      <x:c r="J139" t="str">
        <x:v>En fecha</x:v>
      </x:c>
    </x:row>
    <x:row r="140">
      <x:c r="A140" t="str">
        <x:v>ABO-0000139</x:v>
      </x:c>
      <x:c r="B140" t="str">
        <x:v>2025-03</x:v>
      </x:c>
      <x:c r="C140" t="n">
        <x:v>45741</x:v>
      </x:c>
      <x:c r="D140" t="str">
        <x:v>USR-00019</x:v>
      </x:c>
      <x:c r="E140" t="str">
        <x:v>DEU-000031</x:v>
      </x:c>
      <x:c r="F140" t="n">
        <x:v>450400</x:v>
      </x:c>
      <x:c r="G140" t="n">
        <x:v>153817.95</x:v>
      </x:c>
      <x:c r="H140" t="n">
        <x:v>296582.05</x:v>
      </x:c>
      <x:c r="I140" t="n">
        <x:v>7339134.33</x:v>
      </x:c>
      <x:c r="J140" t="str">
        <x:v>Parcial</x:v>
      </x:c>
    </x:row>
    <x:row r="141">
      <x:c r="A141" t="str">
        <x:v>ABO-0000140</x:v>
      </x:c>
      <x:c r="B141" t="str">
        <x:v>2025-03</x:v>
      </x:c>
      <x:c r="C141" t="n">
        <x:v>45730</x:v>
      </x:c>
      <x:c r="D141" t="str">
        <x:v>USR-00021</x:v>
      </x:c>
      <x:c r="E141" t="str">
        <x:v>DEU-000033</x:v>
      </x:c>
      <x:c r="F141" t="n">
        <x:v>1089200</x:v>
      </x:c>
      <x:c r="G141" t="n">
        <x:v>433501.35</x:v>
      </x:c>
      <x:c r="H141" t="n">
        <x:v>655698.65</x:v>
      </x:c>
      <x:c r="I141" t="n">
        <x:v>25660906.37</x:v>
      </x:c>
      <x:c r="J141" t="str">
        <x:v>Parcial</x:v>
      </x:c>
    </x:row>
    <x:row r="142">
      <x:c r="A142" t="str">
        <x:v>ABO-0000141</x:v>
      </x:c>
      <x:c r="B142" t="str">
        <x:v>2025-03</x:v>
      </x:c>
      <x:c r="C142" t="n">
        <x:v>45733</x:v>
      </x:c>
      <x:c r="D142" t="str">
        <x:v>USR-00022</x:v>
      </x:c>
      <x:c r="E142" t="str">
        <x:v>DEU-000034</x:v>
      </x:c>
      <x:c r="F142" t="n">
        <x:v>1122600</x:v>
      </x:c>
      <x:c r="G142" t="n">
        <x:v>263904.29</x:v>
      </x:c>
      <x:c r="H142" t="n">
        <x:v>858695.71</x:v>
      </x:c>
      <x:c r="I142" t="n">
        <x:v>14786051.98</x:v>
      </x:c>
      <x:c r="J142" t="str">
        <x:v>Parcial</x:v>
      </x:c>
    </x:row>
    <x:row r="143">
      <x:c r="A143" t="str">
        <x:v>ABO-0000142</x:v>
      </x:c>
      <x:c r="B143" t="str">
        <x:v>2025-03</x:v>
      </x:c>
      <x:c r="C143" t="n">
        <x:v>45719</x:v>
      </x:c>
      <x:c r="D143" t="str">
        <x:v>USR-00022</x:v>
      </x:c>
      <x:c r="E143" t="str">
        <x:v>DEU-000035</x:v>
      </x:c>
      <x:c r="F143" t="n">
        <x:v>97000</x:v>
      </x:c>
      <x:c r="G143" t="n">
        <x:v>70901.06</x:v>
      </x:c>
      <x:c r="H143" t="n">
        <x:v>26098.94</x:v>
      </x:c>
      <x:c r="I143" t="n">
        <x:v>4813098.11</x:v>
      </x:c>
      <x:c r="J143" t="str">
        <x:v>Parcial</x:v>
      </x:c>
    </x:row>
    <x:row r="144">
      <x:c r="A144" t="str">
        <x:v>ABO-0000143</x:v>
      </x:c>
      <x:c r="B144" t="str">
        <x:v>2025-03</x:v>
      </x:c>
      <x:c r="C144" t="n">
        <x:v>45726</x:v>
      </x:c>
      <x:c r="D144" t="str">
        <x:v>USR-00023</x:v>
      </x:c>
      <x:c r="E144" t="str">
        <x:v>DEU-000036</x:v>
      </x:c>
      <x:c r="F144" t="n">
        <x:v>201500</x:v>
      </x:c>
      <x:c r="G144" t="n">
        <x:v>130471.16</x:v>
      </x:c>
      <x:c r="H144" t="n">
        <x:v>71028.84</x:v>
      </x:c>
      <x:c r="I144" t="n">
        <x:v>5690132.35</x:v>
      </x:c>
      <x:c r="J144" t="str">
        <x:v>En fecha</x:v>
      </x:c>
    </x:row>
    <x:row r="145">
      <x:c r="A145" t="str">
        <x:v>ABO-0000144</x:v>
      </x:c>
      <x:c r="B145" t="str">
        <x:v>2025-03</x:v>
      </x:c>
      <x:c r="C145" t="n">
        <x:v>45723</x:v>
      </x:c>
      <x:c r="D145" t="str">
        <x:v>USR-00024</x:v>
      </x:c>
      <x:c r="E145" t="str">
        <x:v>DEU-000037</x:v>
      </x:c>
      <x:c r="F145" t="n">
        <x:v>19700</x:v>
      </x:c>
      <x:c r="G145" t="n">
        <x:v>12664.87</x:v>
      </x:c>
      <x:c r="H145" t="n">
        <x:v>7035.13</x:v>
      </x:c>
      <x:c r="I145" t="n">
        <x:v>786012.65</x:v>
      </x:c>
      <x:c r="J145" t="str">
        <x:v>Parcial</x:v>
      </x:c>
    </x:row>
    <x:row r="146">
      <x:c r="A146" t="str">
        <x:v>ABO-0000145</x:v>
      </x:c>
      <x:c r="B146" t="str">
        <x:v>2025-03</x:v>
      </x:c>
      <x:c r="C146" t="n">
        <x:v>45718</x:v>
      </x:c>
      <x:c r="D146" t="str">
        <x:v>USR-00024</x:v>
      </x:c>
      <x:c r="E146" t="str">
        <x:v>DEU-000038</x:v>
      </x:c>
      <x:c r="F146" t="n">
        <x:v>1687200</x:v>
      </x:c>
      <x:c r="G146" t="n">
        <x:v>1305165.52</x:v>
      </x:c>
      <x:c r="H146" t="n">
        <x:v>382034.48</x:v>
      </x:c>
      <x:c r="I146" t="n">
        <x:v>53216808.09</x:v>
      </x:c>
      <x:c r="J146" t="str">
        <x:v>En fecha</x:v>
      </x:c>
    </x:row>
    <x:row r="147">
      <x:c r="A147" t="str">
        <x:v>ABO-0000146</x:v>
      </x:c>
      <x:c r="B147" t="str">
        <x:v>2025-03</x:v>
      </x:c>
      <x:c r="C147" t="n">
        <x:v>45721</x:v>
      </x:c>
      <x:c r="D147" t="str">
        <x:v>USR-00025</x:v>
      </x:c>
      <x:c r="E147" t="str">
        <x:v>DEU-000039</x:v>
      </x:c>
      <x:c r="F147" t="n">
        <x:v>346200</x:v>
      </x:c>
      <x:c r="G147" t="n">
        <x:v>71901.45</x:v>
      </x:c>
      <x:c r="H147" t="n">
        <x:v>274298.55</x:v>
      </x:c>
      <x:c r="I147" t="n">
        <x:v>6162256.85</x:v>
      </x:c>
      <x:c r="J147" t="str">
        <x:v>Parcial</x:v>
      </x:c>
    </x:row>
    <x:row r="148">
      <x:c r="A148" t="str">
        <x:v>ABO-0000147</x:v>
      </x:c>
      <x:c r="B148" t="str">
        <x:v>2025-03</x:v>
      </x:c>
      <x:c r="C148" t="n">
        <x:v>45717</x:v>
      </x:c>
      <x:c r="D148" t="str">
        <x:v>USR-00025</x:v>
      </x:c>
      <x:c r="E148" t="str">
        <x:v>DEU-000040</x:v>
      </x:c>
      <x:c r="F148" t="n">
        <x:v>158900</x:v>
      </x:c>
      <x:c r="G148" t="n">
        <x:v>99071.08</x:v>
      </x:c>
      <x:c r="H148" t="n">
        <x:v>59828.92</x:v>
      </x:c>
      <x:c r="I148" t="n">
        <x:v>5730116.2</x:v>
      </x:c>
      <x:c r="J148" t="str">
        <x:v>En fecha</x:v>
      </x:c>
    </x:row>
    <x:row r="149">
      <x:c r="A149" t="str">
        <x:v>ABO-0000148</x:v>
      </x:c>
      <x:c r="B149" t="str">
        <x:v>2025-03</x:v>
      </x:c>
      <x:c r="C149" t="n">
        <x:v>45737</x:v>
      </x:c>
      <x:c r="D149" t="str">
        <x:v>USR-00026</x:v>
      </x:c>
      <x:c r="E149" t="str">
        <x:v>DEU-000041</x:v>
      </x:c>
      <x:c r="F149" t="n">
        <x:v>130700</x:v>
      </x:c>
      <x:c r="G149" t="n">
        <x:v>78168.66</x:v>
      </x:c>
      <x:c r="H149" t="n">
        <x:v>52531.34</x:v>
      </x:c>
      <x:c r="I149" t="n">
        <x:v>5396451.61</x:v>
      </x:c>
      <x:c r="J149" t="str">
        <x:v>Parcial</x:v>
      </x:c>
    </x:row>
    <x:row r="150">
      <x:c r="A150" t="str">
        <x:v>ABO-0000149</x:v>
      </x:c>
      <x:c r="B150" t="str">
        <x:v>2025-03</x:v>
      </x:c>
      <x:c r="C150" t="n">
        <x:v>45717</x:v>
      </x:c>
      <x:c r="D150" t="str">
        <x:v>USR-00028</x:v>
      </x:c>
      <x:c r="E150" t="str">
        <x:v>DEU-000046</x:v>
      </x:c>
      <x:c r="F150" t="n">
        <x:v>467900</x:v>
      </x:c>
      <x:c r="G150" t="n">
        <x:v>156470.21</x:v>
      </x:c>
      <x:c r="H150" t="n">
        <x:v>311429.79</x:v>
      </x:c>
      <x:c r="I150" t="n">
        <x:v>13826391.06</x:v>
      </x:c>
      <x:c r="J150" t="str">
        <x:v>En fecha</x:v>
      </x:c>
    </x:row>
    <x:row r="151">
      <x:c r="A151" t="str">
        <x:v>ABO-0000150</x:v>
      </x:c>
      <x:c r="B151" t="str">
        <x:v>2025-03</x:v>
      </x:c>
      <x:c r="C151" t="n">
        <x:v>45730</x:v>
      </x:c>
      <x:c r="D151" t="str">
        <x:v>USR-00028</x:v>
      </x:c>
      <x:c r="E151" t="str">
        <x:v>DEU-000047</x:v>
      </x:c>
      <x:c r="F151" t="n">
        <x:v>231400</x:v>
      </x:c>
      <x:c r="G151" t="n">
        <x:v>103620.61</x:v>
      </x:c>
      <x:c r="H151" t="n">
        <x:v>127779.39</x:v>
      </x:c>
      <x:c r="I151" t="n">
        <x:v>5655790.91</x:v>
      </x:c>
      <x:c r="J151" t="str">
        <x:v>En fecha</x:v>
      </x:c>
    </x:row>
    <x:row r="152">
      <x:c r="A152" t="str">
        <x:v>ABO-0000151</x:v>
      </x:c>
      <x:c r="B152" t="str">
        <x:v>2025-03</x:v>
      </x:c>
      <x:c r="C152" t="n">
        <x:v>45721</x:v>
      </x:c>
      <x:c r="D152" t="str">
        <x:v>USR-00029</x:v>
      </x:c>
      <x:c r="E152" t="str">
        <x:v>DEU-000048</x:v>
      </x:c>
      <x:c r="F152" t="n">
        <x:v>108800</x:v>
      </x:c>
      <x:c r="G152" t="n">
        <x:v>44000.21</x:v>
      </x:c>
      <x:c r="H152" t="n">
        <x:v>64799.79</x:v>
      </x:c>
      <x:c r="I152" t="n">
        <x:v>2216894.24</x:v>
      </x:c>
      <x:c r="J152" t="str">
        <x:v>En fecha</x:v>
      </x:c>
    </x:row>
    <x:row r="153">
      <x:c r="A153" t="str">
        <x:v>ABO-0000152</x:v>
      </x:c>
      <x:c r="B153" t="str">
        <x:v>2025-03</x:v>
      </x:c>
      <x:c r="C153" t="n">
        <x:v>45718</x:v>
      </x:c>
      <x:c r="D153" t="str">
        <x:v>USR-00029</x:v>
      </x:c>
      <x:c r="E153" t="str">
        <x:v>DEU-000049</x:v>
      </x:c>
      <x:c r="F153" t="n">
        <x:v>172400</x:v>
      </x:c>
      <x:c r="G153" t="n">
        <x:v>104876.72</x:v>
      </x:c>
      <x:c r="H153" t="n">
        <x:v>67523.28</x:v>
      </x:c>
      <x:c r="I153" t="n">
        <x:v>4935184.64</x:v>
      </x:c>
      <x:c r="J153" t="str">
        <x:v>En fecha</x:v>
      </x:c>
    </x:row>
    <x:row r="154">
      <x:c r="A154" t="str">
        <x:v>ABO-0000153</x:v>
      </x:c>
      <x:c r="B154" t="str">
        <x:v>2025-03</x:v>
      </x:c>
      <x:c r="C154" t="n">
        <x:v>45740</x:v>
      </x:c>
      <x:c r="D154" t="str">
        <x:v>USR-00030</x:v>
      </x:c>
      <x:c r="E154" t="str">
        <x:v>DEU-000050</x:v>
      </x:c>
      <x:c r="F154" t="n">
        <x:v>469300</x:v>
      </x:c>
      <x:c r="G154" t="n">
        <x:v>119257.34</x:v>
      </x:c>
      <x:c r="H154" t="n">
        <x:v>350042.66</x:v>
      </x:c>
      <x:c r="I154" t="n">
        <x:v>5308217.19</x:v>
      </x:c>
      <x:c r="J154" t="str">
        <x:v>En fecha</x:v>
      </x:c>
    </x:row>
    <x:row r="155">
      <x:c r="A155" t="str">
        <x:v>ABO-0000154</x:v>
      </x:c>
      <x:c r="B155" t="str">
        <x:v>2025-03</x:v>
      </x:c>
      <x:c r="C155" t="n">
        <x:v>45740</x:v>
      </x:c>
      <x:c r="D155" t="str">
        <x:v>USR-00031</x:v>
      </x:c>
      <x:c r="E155" t="str">
        <x:v>DEU-000052</x:v>
      </x:c>
      <x:c r="F155" t="n">
        <x:v>845900</x:v>
      </x:c>
      <x:c r="G155" t="n">
        <x:v>257909.66</x:v>
      </x:c>
      <x:c r="H155" t="n">
        <x:v>587990.34</x:v>
      </x:c>
      <x:c r="I155" t="n">
        <x:v>13660165.85</x:v>
      </x:c>
      <x:c r="J155" t="str">
        <x:v>Parcial</x:v>
      </x:c>
    </x:row>
    <x:row r="156">
      <x:c r="A156" t="str">
        <x:v>ABO-0000155</x:v>
      </x:c>
      <x:c r="B156" t="str">
        <x:v>2025-03</x:v>
      </x:c>
      <x:c r="C156" t="n">
        <x:v>45742</x:v>
      </x:c>
      <x:c r="D156" t="str">
        <x:v>USR-00032</x:v>
      </x:c>
      <x:c r="E156" t="str">
        <x:v>DEU-000054</x:v>
      </x:c>
      <x:c r="F156" t="n">
        <x:v>601500</x:v>
      </x:c>
      <x:c r="G156" t="n">
        <x:v>86541.36</x:v>
      </x:c>
      <x:c r="H156" t="n">
        <x:v>514958.64</x:v>
      </x:c>
      <x:c r="I156" t="n">
        <x:v>7227038</x:v>
      </x:c>
      <x:c r="J156" t="str">
        <x:v>Parcial</x:v>
      </x:c>
    </x:row>
    <x:row r="157">
      <x:c r="A157" t="str">
        <x:v>ABO-0000156</x:v>
      </x:c>
      <x:c r="B157" t="str">
        <x:v>2025-03</x:v>
      </x:c>
      <x:c r="C157" t="n">
        <x:v>45735</x:v>
      </x:c>
      <x:c r="D157" t="str">
        <x:v>USR-00032</x:v>
      </x:c>
      <x:c r="E157" t="str">
        <x:v>DEU-000055</x:v>
      </x:c>
      <x:c r="F157" t="n">
        <x:v>695900</x:v>
      </x:c>
      <x:c r="G157" t="n">
        <x:v>189195.28</x:v>
      </x:c>
      <x:c r="H157" t="n">
        <x:v>506704.72</x:v>
      </x:c>
      <x:c r="I157" t="n">
        <x:v>12990638.14</x:v>
      </x:c>
      <x:c r="J157" t="str">
        <x:v>En fecha</x:v>
      </x:c>
    </x:row>
    <x:row r="158">
      <x:c r="A158" t="str">
        <x:v>ABO-0000157</x:v>
      </x:c>
      <x:c r="B158" t="str">
        <x:v>2025-03</x:v>
      </x:c>
      <x:c r="C158" t="n">
        <x:v>45739</x:v>
      </x:c>
      <x:c r="D158" t="str">
        <x:v>USR-00033</x:v>
      </x:c>
      <x:c r="E158" t="str">
        <x:v>DEU-000056</x:v>
      </x:c>
      <x:c r="F158" t="n">
        <x:v>358100</x:v>
      </x:c>
      <x:c r="G158" t="n">
        <x:v>73771.84</x:v>
      </x:c>
      <x:c r="H158" t="n">
        <x:v>284328.16</x:v>
      </x:c>
      <x:c r="I158" t="n">
        <x:v>3197243.37</x:v>
      </x:c>
      <x:c r="J158" t="str">
        <x:v>En fecha</x:v>
      </x:c>
    </x:row>
    <x:row r="159">
      <x:c r="A159" t="str">
        <x:v>ABO-0000158</x:v>
      </x:c>
      <x:c r="B159" t="str">
        <x:v>2025-03</x:v>
      </x:c>
      <x:c r="C159" t="n">
        <x:v>45728</x:v>
      </x:c>
      <x:c r="D159" t="str">
        <x:v>USR-00034</x:v>
      </x:c>
      <x:c r="E159" t="str">
        <x:v>DEU-000057</x:v>
      </x:c>
      <x:c r="F159" t="n">
        <x:v>445200</x:v>
      </x:c>
      <x:c r="G159" t="n">
        <x:v>72159.22</x:v>
      </x:c>
      <x:c r="H159" t="n">
        <x:v>373040.78</x:v>
      </x:c>
      <x:c r="I159" t="n">
        <x:v>4177352.39</x:v>
      </x:c>
      <x:c r="J159" t="str">
        <x:v>En fecha</x:v>
      </x:c>
    </x:row>
    <x:row r="160">
      <x:c r="A160" t="str">
        <x:v>ABO-0000159</x:v>
      </x:c>
      <x:c r="B160" t="str">
        <x:v>2025-03</x:v>
      </x:c>
      <x:c r="C160" t="n">
        <x:v>45734</x:v>
      </x:c>
      <x:c r="D160" t="str">
        <x:v>USR-00034</x:v>
      </x:c>
      <x:c r="E160" t="str">
        <x:v>DEU-000058</x:v>
      </x:c>
      <x:c r="F160" t="n">
        <x:v>146300</x:v>
      </x:c>
      <x:c r="G160" t="n">
        <x:v>66285.2</x:v>
      </x:c>
      <x:c r="H160" t="n">
        <x:v>80014.8</x:v>
      </x:c>
      <x:c r="I160" t="n">
        <x:v>6339112.04</x:v>
      </x:c>
      <x:c r="J160" t="str">
        <x:v>En fecha</x:v>
      </x:c>
    </x:row>
    <x:row r="161">
      <x:c r="A161" t="str">
        <x:v>ABO-0000160</x:v>
      </x:c>
      <x:c r="B161" t="str">
        <x:v>2025-03</x:v>
      </x:c>
      <x:c r="C161" t="n">
        <x:v>45727</x:v>
      </x:c>
      <x:c r="D161" t="str">
        <x:v>USR-00035</x:v>
      </x:c>
      <x:c r="E161" t="str">
        <x:v>DEU-000059</x:v>
      </x:c>
      <x:c r="F161" t="n">
        <x:v>364000</x:v>
      </x:c>
      <x:c r="G161" t="n">
        <x:v>53220.33</x:v>
      </x:c>
      <x:c r="H161" t="n">
        <x:v>310779.67</x:v>
      </x:c>
      <x:c r="I161" t="n">
        <x:v>3591724.63</x:v>
      </x:c>
      <x:c r="J161" t="str">
        <x:v>En fecha</x:v>
      </x:c>
    </x:row>
    <x:row r="162">
      <x:c r="A162" t="str">
        <x:v>ABO-0000161</x:v>
      </x:c>
      <x:c r="B162" t="str">
        <x:v>2025-03</x:v>
      </x:c>
      <x:c r="C162" t="n">
        <x:v>45718</x:v>
      </x:c>
      <x:c r="D162" t="str">
        <x:v>USR-00037</x:v>
      </x:c>
      <x:c r="E162" t="str">
        <x:v>DEU-000063</x:v>
      </x:c>
      <x:c r="F162" t="n">
        <x:v>391900</x:v>
      </x:c>
      <x:c r="G162" t="n">
        <x:v>164416.43</x:v>
      </x:c>
      <x:c r="H162" t="n">
        <x:v>227483.57</x:v>
      </x:c>
      <x:c r="I162" t="n">
        <x:v>8974046.58</x:v>
      </x:c>
      <x:c r="J162" t="str">
        <x:v>En fecha</x:v>
      </x:c>
    </x:row>
    <x:row r="163">
      <x:c r="A163" t="str">
        <x:v>ABO-0000162</x:v>
      </x:c>
      <x:c r="B163" t="str">
        <x:v>2025-03</x:v>
      </x:c>
      <x:c r="C163" t="n">
        <x:v>45720</x:v>
      </x:c>
      <x:c r="D163" t="str">
        <x:v>USR-00038</x:v>
      </x:c>
      <x:c r="E163" t="str">
        <x:v>DEU-000065</x:v>
      </x:c>
      <x:c r="F163" t="n">
        <x:v>454500</x:v>
      </x:c>
      <x:c r="G163" t="n">
        <x:v>138933.23</x:v>
      </x:c>
      <x:c r="H163" t="n">
        <x:v>315566.77</x:v>
      </x:c>
      <x:c r="I163" t="n">
        <x:v>8921307.71</x:v>
      </x:c>
      <x:c r="J163" t="str">
        <x:v>En fecha</x:v>
      </x:c>
    </x:row>
    <x:row r="164">
      <x:c r="A164" t="str">
        <x:v>ABO-0000163</x:v>
      </x:c>
      <x:c r="B164" t="str">
        <x:v>2025-03</x:v>
      </x:c>
      <x:c r="C164" t="n">
        <x:v>45741</x:v>
      </x:c>
      <x:c r="D164" t="str">
        <x:v>USR-00038</x:v>
      </x:c>
      <x:c r="E164" t="str">
        <x:v>DEU-000066</x:v>
      </x:c>
      <x:c r="F164" t="n">
        <x:v>888100</x:v>
      </x:c>
      <x:c r="G164" t="n">
        <x:v>307084.4</x:v>
      </x:c>
      <x:c r="H164" t="n">
        <x:v>581015.6</x:v>
      </x:c>
      <x:c r="I164" t="n">
        <x:v>24594970.35</x:v>
      </x:c>
      <x:c r="J164" t="str">
        <x:v>En fecha</x:v>
      </x:c>
    </x:row>
    <x:row r="165">
      <x:c r="A165" t="str">
        <x:v>ABO-0000164</x:v>
      </x:c>
      <x:c r="B165" t="str">
        <x:v>2025-03</x:v>
      </x:c>
      <x:c r="C165" t="n">
        <x:v>45731</x:v>
      </x:c>
      <x:c r="D165" t="str">
        <x:v>USR-00039</x:v>
      </x:c>
      <x:c r="E165" t="str">
        <x:v>DEU-000067</x:v>
      </x:c>
      <x:c r="F165" t="n">
        <x:v>470800</x:v>
      </x:c>
      <x:c r="G165" t="n">
        <x:v>296042.45</x:v>
      </x:c>
      <x:c r="H165" t="n">
        <x:v>174757.55</x:v>
      </x:c>
      <x:c r="I165" t="n">
        <x:v>17303395.62</x:v>
      </x:c>
      <x:c r="J165" t="str">
        <x:v>En fecha</x:v>
      </x:c>
    </x:row>
    <x:row r="166">
      <x:c r="A166" t="str">
        <x:v>ABO-0000165</x:v>
      </x:c>
      <x:c r="B166" t="str">
        <x:v>2025-03</x:v>
      </x:c>
      <x:c r="C166" t="n">
        <x:v>45731</x:v>
      </x:c>
      <x:c r="D166" t="str">
        <x:v>USR-00039</x:v>
      </x:c>
      <x:c r="E166" t="str">
        <x:v>DEU-000068</x:v>
      </x:c>
      <x:c r="F166" t="n">
        <x:v>1425500</x:v>
      </x:c>
      <x:c r="G166" t="n">
        <x:v>119886.18</x:v>
      </x:c>
      <x:c r="H166" t="n">
        <x:v>1305613.82</x:v>
      </x:c>
      <x:c r="I166" t="n">
        <x:v>10941734.95</x:v>
      </x:c>
      <x:c r="J166" t="str">
        <x:v>En fecha</x:v>
      </x:c>
    </x:row>
    <x:row r="167">
      <x:c r="A167" t="str">
        <x:v>ABO-0000166</x:v>
      </x:c>
      <x:c r="B167" t="str">
        <x:v>2025-03</x:v>
      </x:c>
      <x:c r="C167" t="n">
        <x:v>45739</x:v>
      </x:c>
      <x:c r="D167" t="str">
        <x:v>USR-00041</x:v>
      </x:c>
      <x:c r="E167" t="str">
        <x:v>DEU-000071</x:v>
      </x:c>
      <x:c r="F167" t="n">
        <x:v>2196000</x:v>
      </x:c>
      <x:c r="G167" t="n">
        <x:v>486841.63</x:v>
      </x:c>
      <x:c r="H167" t="n">
        <x:v>1709158.37</x:v>
      </x:c>
      <x:c r="I167" t="n">
        <x:v>19918840.44</x:v>
      </x:c>
      <x:c r="J167" t="str">
        <x:v>En fecha</x:v>
      </x:c>
    </x:row>
    <x:row r="168">
      <x:c r="A168" t="str">
        <x:v>ABO-0000167</x:v>
      </x:c>
      <x:c r="B168" t="str">
        <x:v>2025-03</x:v>
      </x:c>
      <x:c r="C168" t="n">
        <x:v>45737</x:v>
      </x:c>
      <x:c r="D168" t="str">
        <x:v>USR-00042</x:v>
      </x:c>
      <x:c r="E168" t="str">
        <x:v>DEU-000072</x:v>
      </x:c>
      <x:c r="F168" t="n">
        <x:v>161000</x:v>
      </x:c>
      <x:c r="G168" t="n">
        <x:v>85232.22</x:v>
      </x:c>
      <x:c r="H168" t="n">
        <x:v>75767.78</x:v>
      </x:c>
      <x:c r="I168" t="n">
        <x:v>5240328.66</x:v>
      </x:c>
      <x:c r="J168" t="str">
        <x:v>En fecha</x:v>
      </x:c>
    </x:row>
    <x:row r="169">
      <x:c r="A169" t="str">
        <x:v>ABO-0000168</x:v>
      </x:c>
      <x:c r="B169" t="str">
        <x:v>2025-03</x:v>
      </x:c>
      <x:c r="C169" t="n">
        <x:v>45720</x:v>
      </x:c>
      <x:c r="D169" t="str">
        <x:v>USR-00043</x:v>
      </x:c>
      <x:c r="E169" t="str">
        <x:v>DEU-000074</x:v>
      </x:c>
      <x:c r="F169" t="n">
        <x:v>92800</x:v>
      </x:c>
      <x:c r="G169" t="n">
        <x:v>44169.49</x:v>
      </x:c>
      <x:c r="H169" t="n">
        <x:v>48630.51</x:v>
      </x:c>
      <x:c r="I169" t="n">
        <x:v>3183394.61</x:v>
      </x:c>
      <x:c r="J169" t="str">
        <x:v>Parcial</x:v>
      </x:c>
    </x:row>
    <x:row r="170">
      <x:c r="A170" t="str">
        <x:v>ABO-0000169</x:v>
      </x:c>
      <x:c r="B170" t="str">
        <x:v>2025-03</x:v>
      </x:c>
      <x:c r="C170" t="n">
        <x:v>45719</x:v>
      </x:c>
      <x:c r="D170" t="str">
        <x:v>USR-00044</x:v>
      </x:c>
      <x:c r="E170" t="str">
        <x:v>DEU-000077</x:v>
      </x:c>
      <x:c r="F170" t="n">
        <x:v>489900</x:v>
      </x:c>
      <x:c r="G170" t="n">
        <x:v>238868.18</x:v>
      </x:c>
      <x:c r="H170" t="n">
        <x:v>251031.82</x:v>
      </x:c>
      <x:c r="I170" t="n">
        <x:v>10245278.78</x:v>
      </x:c>
      <x:c r="J170" t="str">
        <x:v>En fecha</x:v>
      </x:c>
    </x:row>
    <x:row r="171">
      <x:c r="A171" t="str">
        <x:v>ABO-0000170</x:v>
      </x:c>
      <x:c r="B171" t="str">
        <x:v>2025-03</x:v>
      </x:c>
      <x:c r="C171" t="n">
        <x:v>45729</x:v>
      </x:c>
      <x:c r="D171" t="str">
        <x:v>USR-00046</x:v>
      </x:c>
      <x:c r="E171" t="str">
        <x:v>DEU-000079</x:v>
      </x:c>
      <x:c r="F171" t="n">
        <x:v>227300</x:v>
      </x:c>
      <x:c r="G171" t="n">
        <x:v>168265.46</x:v>
      </x:c>
      <x:c r="H171" t="n">
        <x:v>59034.54</x:v>
      </x:c>
      <x:c r="I171" t="n">
        <x:v>7149955.19</x:v>
      </x:c>
      <x:c r="J171" t="str">
        <x:v>En fecha</x:v>
      </x:c>
    </x:row>
    <x:row r="172">
      <x:c r="A172" t="str">
        <x:v>ABO-0000171</x:v>
      </x:c>
      <x:c r="B172" t="str">
        <x:v>2025-03</x:v>
      </x:c>
      <x:c r="C172" t="n">
        <x:v>45721</x:v>
      </x:c>
      <x:c r="D172" t="str">
        <x:v>USR-00048</x:v>
      </x:c>
      <x:c r="E172" t="str">
        <x:v>DEU-000082</x:v>
      </x:c>
      <x:c r="F172" t="n">
        <x:v>652000</x:v>
      </x:c>
      <x:c r="G172" t="n">
        <x:v>152326.36</x:v>
      </x:c>
      <x:c r="H172" t="n">
        <x:v>499673.64</x:v>
      </x:c>
      <x:c r="I172" t="n">
        <x:v>16025216.63</x:v>
      </x:c>
      <x:c r="J172" t="str">
        <x:v>En fecha</x:v>
      </x:c>
    </x:row>
    <x:row r="173">
      <x:c r="A173" t="str">
        <x:v>ABO-0000172</x:v>
      </x:c>
      <x:c r="B173" t="str">
        <x:v>2025-03</x:v>
      </x:c>
      <x:c r="C173" t="n">
        <x:v>45727</x:v>
      </x:c>
      <x:c r="D173" t="str">
        <x:v>USR-00049</x:v>
      </x:c>
      <x:c r="E173" t="str">
        <x:v>DEU-000084</x:v>
      </x:c>
      <x:c r="F173" t="n">
        <x:v>664900</x:v>
      </x:c>
      <x:c r="G173" t="n">
        <x:v>377696.52</x:v>
      </x:c>
      <x:c r="H173" t="n">
        <x:v>287203.48</x:v>
      </x:c>
      <x:c r="I173" t="n">
        <x:v>20042123.42</x:v>
      </x:c>
      <x:c r="J173" t="str">
        <x:v>En fecha</x:v>
      </x:c>
    </x:row>
    <x:row r="174">
      <x:c r="A174" t="str">
        <x:v>ABO-0000173</x:v>
      </x:c>
      <x:c r="B174" t="str">
        <x:v>2025-03</x:v>
      </x:c>
      <x:c r="C174" t="n">
        <x:v>45719</x:v>
      </x:c>
      <x:c r="D174" t="str">
        <x:v>USR-00050</x:v>
      </x:c>
      <x:c r="E174" t="str">
        <x:v>DEU-000085</x:v>
      </x:c>
      <x:c r="F174" t="n">
        <x:v>192000</x:v>
      </x:c>
      <x:c r="G174" t="n">
        <x:v>72692.95</x:v>
      </x:c>
      <x:c r="H174" t="n">
        <x:v>119307.05</x:v>
      </x:c>
      <x:c r="I174" t="n">
        <x:v>3887513.54</x:v>
      </x:c>
      <x:c r="J174" t="str">
        <x:v>En fecha</x:v>
      </x:c>
    </x:row>
    <x:row r="175">
      <x:c r="A175" t="str">
        <x:v>ABO-0000174</x:v>
      </x:c>
      <x:c r="B175" t="str">
        <x:v>2025-03</x:v>
      </x:c>
      <x:c r="C175" t="n">
        <x:v>45739</x:v>
      </x:c>
      <x:c r="D175" t="str">
        <x:v>USR-00051</x:v>
      </x:c>
      <x:c r="E175" t="str">
        <x:v>DEU-000086</x:v>
      </x:c>
      <x:c r="F175" t="n">
        <x:v>250800</x:v>
      </x:c>
      <x:c r="G175" t="n">
        <x:v>55559.33</x:v>
      </x:c>
      <x:c r="H175" t="n">
        <x:v>195240.67</x:v>
      </x:c>
      <x:c r="I175" t="n">
        <x:v>4619761.04</x:v>
      </x:c>
      <x:c r="J175" t="str">
        <x:v>Parcial</x:v>
      </x:c>
    </x:row>
    <x:row r="176">
      <x:c r="A176" t="str">
        <x:v>ABO-0000175</x:v>
      </x:c>
      <x:c r="B176" t="str">
        <x:v>2025-03</x:v>
      </x:c>
      <x:c r="C176" t="n">
        <x:v>45724</x:v>
      </x:c>
      <x:c r="D176" t="str">
        <x:v>USR-00051</x:v>
      </x:c>
      <x:c r="E176" t="str">
        <x:v>DEU-000087</x:v>
      </x:c>
      <x:c r="F176" t="n">
        <x:v>2286600</x:v>
      </x:c>
      <x:c r="G176" t="n">
        <x:v>347602.49</x:v>
      </x:c>
      <x:c r="H176" t="n">
        <x:v>1938997.51</x:v>
      </x:c>
      <x:c r="I176" t="n">
        <x:v>20456985.96</x:v>
      </x:c>
      <x:c r="J176" t="str">
        <x:v>En fecha</x:v>
      </x:c>
    </x:row>
    <x:row r="177">
      <x:c r="A177" t="str">
        <x:v>ABO-0000176</x:v>
      </x:c>
      <x:c r="B177" t="str">
        <x:v>2025-03</x:v>
      </x:c>
      <x:c r="C177" t="n">
        <x:v>45736</x:v>
      </x:c>
      <x:c r="D177" t="str">
        <x:v>USR-00051</x:v>
      </x:c>
      <x:c r="E177" t="str">
        <x:v>DEU-000088</x:v>
      </x:c>
      <x:c r="F177" t="n">
        <x:v>679600</x:v>
      </x:c>
      <x:c r="G177" t="n">
        <x:v>114809.37</x:v>
      </x:c>
      <x:c r="H177" t="n">
        <x:v>564790.63</x:v>
      </x:c>
      <x:c r="I177" t="n">
        <x:v>6948290.72</x:v>
      </x:c>
      <x:c r="J177" t="str">
        <x:v>En fecha</x:v>
      </x:c>
    </x:row>
    <x:row r="178">
      <x:c r="A178" t="str">
        <x:v>ABO-0000177</x:v>
      </x:c>
      <x:c r="B178" t="str">
        <x:v>2025-03</x:v>
      </x:c>
      <x:c r="C178" t="n">
        <x:v>45740</x:v>
      </x:c>
      <x:c r="D178" t="str">
        <x:v>USR-00051</x:v>
      </x:c>
      <x:c r="E178" t="str">
        <x:v>DEU-000089</x:v>
      </x:c>
      <x:c r="F178" t="n">
        <x:v>365500</x:v>
      </x:c>
      <x:c r="G178" t="n">
        <x:v>42930.26</x:v>
      </x:c>
      <x:c r="H178" t="n">
        <x:v>322569.74</x:v>
      </x:c>
      <x:c r="I178" t="n">
        <x:v>2978872.5</x:v>
      </x:c>
      <x:c r="J178" t="str">
        <x:v>En fecha</x:v>
      </x:c>
    </x:row>
    <x:row r="179">
      <x:c r="A179" t="str">
        <x:v>ABO-0000178</x:v>
      </x:c>
      <x:c r="B179" t="str">
        <x:v>2025-03</x:v>
      </x:c>
      <x:c r="C179" t="n">
        <x:v>45728</x:v>
      </x:c>
      <x:c r="D179" t="str">
        <x:v>USR-00051</x:v>
      </x:c>
      <x:c r="E179" t="str">
        <x:v>DEU-000090</x:v>
      </x:c>
      <x:c r="F179" t="n">
        <x:v>519100</x:v>
      </x:c>
      <x:c r="G179" t="n">
        <x:v>88901.68</x:v>
      </x:c>
      <x:c r="H179" t="n">
        <x:v>430198.32</x:v>
      </x:c>
      <x:c r="I179" t="n">
        <x:v>3984459.19</x:v>
      </x:c>
      <x:c r="J179" t="str">
        <x:v>En fecha</x:v>
      </x:c>
    </x:row>
    <x:row r="180">
      <x:c r="A180" t="str">
        <x:v>ABO-0000179</x:v>
      </x:c>
      <x:c r="B180" t="str">
        <x:v>2025-03</x:v>
      </x:c>
      <x:c r="C180" t="n">
        <x:v>45721</x:v>
      </x:c>
      <x:c r="D180" t="str">
        <x:v>USR-00052</x:v>
      </x:c>
      <x:c r="E180" t="str">
        <x:v>DEU-000091</x:v>
      </x:c>
      <x:c r="F180" t="n">
        <x:v>314100</x:v>
      </x:c>
      <x:c r="G180" t="n">
        <x:v>237900.77</x:v>
      </x:c>
      <x:c r="H180" t="n">
        <x:v>76199.23</x:v>
      </x:c>
      <x:c r="I180" t="n">
        <x:v>20554400.01</x:v>
      </x:c>
      <x:c r="J180" t="str">
        <x:v>Parcial</x:v>
      </x:c>
    </x:row>
    <x:row r="181">
      <x:c r="A181" t="str">
        <x:v>ABO-0000180</x:v>
      </x:c>
      <x:c r="B181" t="str">
        <x:v>2025-03</x:v>
      </x:c>
      <x:c r="C181" t="n">
        <x:v>45722</x:v>
      </x:c>
      <x:c r="D181" t="str">
        <x:v>USR-00053</x:v>
      </x:c>
      <x:c r="E181" t="str">
        <x:v>DEU-000092</x:v>
      </x:c>
      <x:c r="F181" t="n">
        <x:v>277400</x:v>
      </x:c>
      <x:c r="G181" t="n">
        <x:v>113181.65</x:v>
      </x:c>
      <x:c r="H181" t="n">
        <x:v>164218.35</x:v>
      </x:c>
      <x:c r="I181" t="n">
        <x:v>5106584</x:v>
      </x:c>
      <x:c r="J181" t="str">
        <x:v>En fecha</x:v>
      </x:c>
    </x:row>
    <x:row r="182">
      <x:c r="A182" t="str">
        <x:v>ABO-0000181</x:v>
      </x:c>
      <x:c r="B182" t="str">
        <x:v>2025-03</x:v>
      </x:c>
      <x:c r="C182" t="n">
        <x:v>45725</x:v>
      </x:c>
      <x:c r="D182" t="str">
        <x:v>USR-00053</x:v>
      </x:c>
      <x:c r="E182" t="str">
        <x:v>DEU-000093</x:v>
      </x:c>
      <x:c r="F182" t="n">
        <x:v>318600</x:v>
      </x:c>
      <x:c r="G182" t="n">
        <x:v>88158.63</x:v>
      </x:c>
      <x:c r="H182" t="n">
        <x:v>230441.37</x:v>
      </x:c>
      <x:c r="I182" t="n">
        <x:v>4726176.67</x:v>
      </x:c>
      <x:c r="J182" t="str">
        <x:v>En fecha</x:v>
      </x:c>
    </x:row>
    <x:row r="183">
      <x:c r="A183" t="str">
        <x:v>ABO-0000182</x:v>
      </x:c>
      <x:c r="B183" t="str">
        <x:v>2025-03</x:v>
      </x:c>
      <x:c r="C183" t="n">
        <x:v>45742</x:v>
      </x:c>
      <x:c r="D183" t="str">
        <x:v>USR-00053</x:v>
      </x:c>
      <x:c r="E183" t="str">
        <x:v>DEU-000095</x:v>
      </x:c>
      <x:c r="F183" t="n">
        <x:v>156600</x:v>
      </x:c>
      <x:c r="G183" t="n">
        <x:v>78800.43</x:v>
      </x:c>
      <x:c r="H183" t="n">
        <x:v>77799.57</x:v>
      </x:c>
      <x:c r="I183" t="n">
        <x:v>4135829.1</x:v>
      </x:c>
      <x:c r="J183" t="str">
        <x:v>En fecha</x:v>
      </x:c>
    </x:row>
    <x:row r="184">
      <x:c r="A184" t="str">
        <x:v>ABO-0000183</x:v>
      </x:c>
      <x:c r="B184" t="str">
        <x:v>2025-03</x:v>
      </x:c>
      <x:c r="C184" t="n">
        <x:v>45724</x:v>
      </x:c>
      <x:c r="D184" t="str">
        <x:v>USR-00054</x:v>
      </x:c>
      <x:c r="E184" t="str">
        <x:v>DEU-000098</x:v>
      </x:c>
      <x:c r="F184" t="n">
        <x:v>478500</x:v>
      </x:c>
      <x:c r="G184" t="n">
        <x:v>201533.04</x:v>
      </x:c>
      <x:c r="H184" t="n">
        <x:v>276966.96</x:v>
      </x:c>
      <x:c r="I184" t="n">
        <x:v>17414135.49</x:v>
      </x:c>
      <x:c r="J184" t="str">
        <x:v>Parcial</x:v>
      </x:c>
    </x:row>
    <x:row r="185">
      <x:c r="A185" t="str">
        <x:v>ABO-0000184</x:v>
      </x:c>
      <x:c r="B185" t="str">
        <x:v>2025-03</x:v>
      </x:c>
      <x:c r="C185" t="n">
        <x:v>45718</x:v>
      </x:c>
      <x:c r="D185" t="str">
        <x:v>USR-00054</x:v>
      </x:c>
      <x:c r="E185" t="str">
        <x:v>DEU-000099</x:v>
      </x:c>
      <x:c r="F185" t="n">
        <x:v>211400</x:v>
      </x:c>
      <x:c r="G185" t="n">
        <x:v>25157.22</x:v>
      </x:c>
      <x:c r="H185" t="n">
        <x:v>186242.78</x:v>
      </x:c>
      <x:c r="I185" t="n">
        <x:v>2706482.22</x:v>
      </x:c>
      <x:c r="J185" t="str">
        <x:v>En fecha</x:v>
      </x:c>
    </x:row>
    <x:row r="186">
      <x:c r="A186" t="str">
        <x:v>ABO-0000185</x:v>
      </x:c>
      <x:c r="B186" t="str">
        <x:v>2025-03</x:v>
      </x:c>
      <x:c r="C186" t="n">
        <x:v>45721</x:v>
      </x:c>
      <x:c r="D186" t="str">
        <x:v>USR-00056</x:v>
      </x:c>
      <x:c r="E186" t="str">
        <x:v>DEU-000102</x:v>
      </x:c>
      <x:c r="F186" t="n">
        <x:v>83000</x:v>
      </x:c>
      <x:c r="G186" t="n">
        <x:v>59318.54</x:v>
      </x:c>
      <x:c r="H186" t="n">
        <x:v>23681.46</x:v>
      </x:c>
      <x:c r="I186" t="n">
        <x:v>2786318.54</x:v>
      </x:c>
      <x:c r="J186" t="str">
        <x:v>En fecha</x:v>
      </x:c>
    </x:row>
    <x:row r="187">
      <x:c r="A187" t="str">
        <x:v>ABO-0000186</x:v>
      </x:c>
      <x:c r="B187" t="str">
        <x:v>2025-03</x:v>
      </x:c>
      <x:c r="C187" t="n">
        <x:v>45743</x:v>
      </x:c>
      <x:c r="D187" t="str">
        <x:v>USR-00057</x:v>
      </x:c>
      <x:c r="E187" t="str">
        <x:v>DEU-000103</x:v>
      </x:c>
      <x:c r="F187" t="n">
        <x:v>5610500</x:v>
      </x:c>
      <x:c r="G187" t="n">
        <x:v>628961.65</x:v>
      </x:c>
      <x:c r="H187" t="n">
        <x:v>4981538.35</x:v>
      </x:c>
      <x:c r="I187" t="n">
        <x:v>49388461.65</x:v>
      </x:c>
      <x:c r="J187" t="str">
        <x:v>En fecha</x:v>
      </x:c>
    </x:row>
    <x:row r="188">
      <x:c r="A188" t="str">
        <x:v>ABO-0000187</x:v>
      </x:c>
      <x:c r="B188" t="str">
        <x:v>2025-03</x:v>
      </x:c>
      <x:c r="C188" t="n">
        <x:v>45720</x:v>
      </x:c>
      <x:c r="D188" t="str">
        <x:v>USR-00057</x:v>
      </x:c>
      <x:c r="E188" t="str">
        <x:v>DEU-000104</x:v>
      </x:c>
      <x:c r="F188" t="n">
        <x:v>2141300</x:v>
      </x:c>
      <x:c r="G188" t="n">
        <x:v>719342.91</x:v>
      </x:c>
      <x:c r="H188" t="n">
        <x:v>1421957.09</x:v>
      </x:c>
      <x:c r="I188" t="n">
        <x:v>29848042.91</x:v>
      </x:c>
      <x:c r="J188" t="str">
        <x:v>En fecha</x:v>
      </x:c>
    </x:row>
    <x:row r="189">
      <x:c r="A189" t="str">
        <x:v>ABO-0000188</x:v>
      </x:c>
      <x:c r="B189" t="str">
        <x:v>2025-03</x:v>
      </x:c>
      <x:c r="C189" t="n">
        <x:v>45722</x:v>
      </x:c>
      <x:c r="D189" t="str">
        <x:v>USR-00058</x:v>
      </x:c>
      <x:c r="E189" t="str">
        <x:v>DEU-000105</x:v>
      </x:c>
      <x:c r="F189" t="n">
        <x:v>1659700</x:v>
      </x:c>
      <x:c r="G189" t="n">
        <x:v>321317.62</x:v>
      </x:c>
      <x:c r="H189" t="n">
        <x:v>1338382.38</x:v>
      </x:c>
      <x:c r="I189" t="n">
        <x:v>13811617.62</x:v>
      </x:c>
      <x:c r="J189" t="str">
        <x:v>En fecha</x:v>
      </x:c>
    </x:row>
    <x:row r="190">
      <x:c r="A190" t="str">
        <x:v>ABO-0000189</x:v>
      </x:c>
      <x:c r="B190" t="str">
        <x:v>2025-03</x:v>
      </x:c>
      <x:c r="C190" t="n">
        <x:v>45724</x:v>
      </x:c>
      <x:c r="D190" t="str">
        <x:v>USR-00058</x:v>
      </x:c>
      <x:c r="E190" t="str">
        <x:v>DEU-000106</x:v>
      </x:c>
      <x:c r="F190" t="n">
        <x:v>418200</x:v>
      </x:c>
      <x:c r="G190" t="n">
        <x:v>194856.9</x:v>
      </x:c>
      <x:c r="H190" t="n">
        <x:v>223343.1</x:v>
      </x:c>
      <x:c r="I190" t="n">
        <x:v>7576656.9</x:v>
      </x:c>
      <x:c r="J190" t="str">
        <x:v>Parcial</x:v>
      </x:c>
    </x:row>
    <x:row r="191">
      <x:c r="A191" t="str">
        <x:v>ABO-0000190</x:v>
      </x:c>
      <x:c r="B191" t="str">
        <x:v>2025-03</x:v>
      </x:c>
      <x:c r="C191" t="n">
        <x:v>45740</x:v>
      </x:c>
      <x:c r="D191" t="str">
        <x:v>USR-00059</x:v>
      </x:c>
      <x:c r="E191" t="str">
        <x:v>DEU-000107</x:v>
      </x:c>
      <x:c r="F191" t="n">
        <x:v>189000</x:v>
      </x:c>
      <x:c r="G191" t="n">
        <x:v>108072</x:v>
      </x:c>
      <x:c r="H191" t="n">
        <x:v>80928</x:v>
      </x:c>
      <x:c r="I191" t="n">
        <x:v>5169072</x:v>
      </x:c>
      <x:c r="J191" t="str">
        <x:v>Parcial</x:v>
      </x:c>
    </x:row>
    <x:row r="192">
      <x:c r="A192" t="str">
        <x:v>ABO-0000191</x:v>
      </x:c>
      <x:c r="B192" t="str">
        <x:v>2025-03</x:v>
      </x:c>
      <x:c r="C192" t="n">
        <x:v>45733</x:v>
      </x:c>
      <x:c r="D192" t="str">
        <x:v>USR-00059</x:v>
      </x:c>
      <x:c r="E192" t="str">
        <x:v>DEU-000108</x:v>
      </x:c>
      <x:c r="F192" t="n">
        <x:v>3124300</x:v>
      </x:c>
      <x:c r="G192" t="n">
        <x:v>848983.47</x:v>
      </x:c>
      <x:c r="H192" t="n">
        <x:v>2275316.53</x:v>
      </x:c>
      <x:c r="I192" t="n">
        <x:v>45494683.47</x:v>
      </x:c>
      <x:c r="J192" t="str">
        <x:v>En fecha</x:v>
      </x:c>
    </x:row>
    <x:row r="193">
      <x:c r="A193" t="str">
        <x:v>ABO-0000192</x:v>
      </x:c>
      <x:c r="B193" t="str">
        <x:v>2025-03</x:v>
      </x:c>
      <x:c r="C193" t="n">
        <x:v>45729</x:v>
      </x:c>
      <x:c r="D193" t="str">
        <x:v>USR-00060</x:v>
      </x:c>
      <x:c r="E193" t="str">
        <x:v>DEU-000109</x:v>
      </x:c>
      <x:c r="F193" t="n">
        <x:v>136300</x:v>
      </x:c>
      <x:c r="G193" t="n">
        <x:v>93014.03</x:v>
      </x:c>
      <x:c r="H193" t="n">
        <x:v>43285.97</x:v>
      </x:c>
      <x:c r="I193" t="n">
        <x:v>4776714.03</x:v>
      </x:c>
      <x:c r="J193" t="str">
        <x:v>En fecha</x:v>
      </x:c>
    </x:row>
    <x:row r="194">
      <x:c r="A194" t="str">
        <x:v>ABO-0000193</x:v>
      </x:c>
      <x:c r="B194" t="str">
        <x:v>2025-03</x:v>
      </x:c>
      <x:c r="C194" t="n">
        <x:v>45718</x:v>
      </x:c>
      <x:c r="D194" t="str">
        <x:v>USR-00061</x:v>
      </x:c>
      <x:c r="E194" t="str">
        <x:v>DEU-000112</x:v>
      </x:c>
      <x:c r="F194" t="n">
        <x:v>1204600</x:v>
      </x:c>
      <x:c r="G194" t="n">
        <x:v>231645.96</x:v>
      </x:c>
      <x:c r="H194" t="n">
        <x:v>972954.04</x:v>
      </x:c>
      <x:c r="I194" t="n">
        <x:v>21157045.96</x:v>
      </x:c>
      <x:c r="J194" t="str">
        <x:v>En fecha</x:v>
      </x:c>
    </x:row>
    <x:row r="195">
      <x:c r="A195" t="str">
        <x:v>ABO-0000194</x:v>
      </x:c>
      <x:c r="B195" t="str">
        <x:v>2025-03</x:v>
      </x:c>
      <x:c r="C195" t="n">
        <x:v>45734</x:v>
      </x:c>
      <x:c r="D195" t="str">
        <x:v>USR-00062</x:v>
      </x:c>
      <x:c r="E195" t="str">
        <x:v>DEU-000113</x:v>
      </x:c>
      <x:c r="F195" t="n">
        <x:v>952200</x:v>
      </x:c>
      <x:c r="G195" t="n">
        <x:v>424792.37</x:v>
      </x:c>
      <x:c r="H195" t="n">
        <x:v>527407.63</x:v>
      </x:c>
      <x:c r="I195" t="n">
        <x:v>16972592.37</x:v>
      </x:c>
      <x:c r="J195" t="str">
        <x:v>En fecha</x:v>
      </x:c>
    </x:row>
    <x:row r="196">
      <x:c r="A196" t="str">
        <x:v>ABO-0000195</x:v>
      </x:c>
      <x:c r="B196" t="str">
        <x:v>2025-03</x:v>
      </x:c>
      <x:c r="C196" t="n">
        <x:v>45731</x:v>
      </x:c>
      <x:c r="D196" t="str">
        <x:v>USR-00063</x:v>
      </x:c>
      <x:c r="E196" t="str">
        <x:v>DEU-000114</x:v>
      </x:c>
      <x:c r="F196" t="n">
        <x:v>603200</x:v>
      </x:c>
      <x:c r="G196" t="n">
        <x:v>377658.2</x:v>
      </x:c>
      <x:c r="H196" t="n">
        <x:v>225541.8</x:v>
      </x:c>
      <x:c r="I196" t="n">
        <x:v>18014458.2</x:v>
      </x:c>
      <x:c r="J196" t="str">
        <x:v>En fecha</x:v>
      </x:c>
    </x:row>
    <x:row r="197">
      <x:c r="A197" t="str">
        <x:v>ABO-0000196</x:v>
      </x:c>
      <x:c r="B197" t="str">
        <x:v>2025-03</x:v>
      </x:c>
      <x:c r="C197" t="n">
        <x:v>45742</x:v>
      </x:c>
      <x:c r="D197" t="str">
        <x:v>USR-00063</x:v>
      </x:c>
      <x:c r="E197" t="str">
        <x:v>DEU-000115</x:v>
      </x:c>
      <x:c r="F197" t="n">
        <x:v>2003400</x:v>
      </x:c>
      <x:c r="G197" t="n">
        <x:v>257379.89</x:v>
      </x:c>
      <x:c r="H197" t="n">
        <x:v>1746020.11</x:v>
      </x:c>
      <x:c r="I197" t="n">
        <x:v>12553979.89</x:v>
      </x:c>
      <x:c r="J197" t="str">
        <x:v>En fecha</x:v>
      </x:c>
    </x:row>
    <x:row r="198">
      <x:c r="A198" t="str">
        <x:v>ABO-0000197</x:v>
      </x:c>
      <x:c r="B198" t="str">
        <x:v>2025-03</x:v>
      </x:c>
      <x:c r="C198" t="n">
        <x:v>45736</x:v>
      </x:c>
      <x:c r="D198" t="str">
        <x:v>USR-00064</x:v>
      </x:c>
      <x:c r="E198" t="str">
        <x:v>DEU-000116</x:v>
      </x:c>
      <x:c r="F198" t="n">
        <x:v>39000</x:v>
      </x:c>
      <x:c r="G198" t="n">
        <x:v>28665.89</x:v>
      </x:c>
      <x:c r="H198" t="n">
        <x:v>10334.11</x:v>
      </x:c>
      <x:c r="I198" t="n">
        <x:v>1639665.89</x:v>
      </x:c>
      <x:c r="J198" t="str">
        <x:v>Parcial</x:v>
      </x:c>
    </x:row>
    <x:row r="199">
      <x:c r="A199" t="str">
        <x:v>ABO-0000198</x:v>
      </x:c>
      <x:c r="B199" t="str">
        <x:v>2025-03</x:v>
      </x:c>
      <x:c r="C199" t="n">
        <x:v>45739</x:v>
      </x:c>
      <x:c r="D199" t="str">
        <x:v>USR-00065</x:v>
      </x:c>
      <x:c r="E199" t="str">
        <x:v>DEU-000117</x:v>
      </x:c>
      <x:c r="F199" t="n">
        <x:v>786100</x:v>
      </x:c>
      <x:c r="G199" t="n">
        <x:v>302380.55</x:v>
      </x:c>
      <x:c r="H199" t="n">
        <x:v>483719.45</x:v>
      </x:c>
      <x:c r="I199" t="n">
        <x:v>19096280.55</x:v>
      </x:c>
      <x:c r="J199" t="str">
        <x:v>Parcial</x:v>
      </x:c>
    </x:row>
    <x:row r="200">
      <x:c r="A200" t="str">
        <x:v>ABO-0000199</x:v>
      </x:c>
      <x:c r="B200" t="str">
        <x:v>2025-03</x:v>
      </x:c>
      <x:c r="C200" t="n">
        <x:v>45742</x:v>
      </x:c>
      <x:c r="D200" t="str">
        <x:v>USR-00065</x:v>
      </x:c>
      <x:c r="E200" t="str">
        <x:v>DEU-000118</x:v>
      </x:c>
      <x:c r="F200" t="n">
        <x:v>1461500</x:v>
      </x:c>
      <x:c r="G200" t="n">
        <x:v>595067.75</x:v>
      </x:c>
      <x:c r="H200" t="n">
        <x:v>866432.25</x:v>
      </x:c>
      <x:c r="I200" t="n">
        <x:v>27103567.75</x:v>
      </x:c>
      <x:c r="J200" t="str">
        <x:v>En fecha</x:v>
      </x:c>
    </x:row>
    <x:row r="201">
      <x:c r="A201" t="str">
        <x:v>ABO-0000200</x:v>
      </x:c>
      <x:c r="B201" t="str">
        <x:v>2025-03</x:v>
      </x:c>
      <x:c r="C201" t="n">
        <x:v>45731</x:v>
      </x:c>
      <x:c r="D201" t="str">
        <x:v>USR-00065</x:v>
      </x:c>
      <x:c r="E201" t="str">
        <x:v>DEU-000119</x:v>
      </x:c>
      <x:c r="F201" t="n">
        <x:v>420000</x:v>
      </x:c>
      <x:c r="G201" t="n">
        <x:v>215268.18</x:v>
      </x:c>
      <x:c r="H201" t="n">
        <x:v>204731.82</x:v>
      </x:c>
      <x:c r="I201" t="n">
        <x:v>14195268.18</x:v>
      </x:c>
      <x:c r="J201" t="str">
        <x:v>En fecha</x:v>
      </x:c>
    </x:row>
    <x:row r="202">
      <x:c r="A202" t="str">
        <x:v>ABO-0000201</x:v>
      </x:c>
      <x:c r="B202" t="str">
        <x:v>2025-03</x:v>
      </x:c>
      <x:c r="C202" t="n">
        <x:v>45727</x:v>
      </x:c>
      <x:c r="D202" t="str">
        <x:v>USR-00066</x:v>
      </x:c>
      <x:c r="E202" t="str">
        <x:v>DEU-000120</x:v>
      </x:c>
      <x:c r="F202" t="n">
        <x:v>82500</x:v>
      </x:c>
      <x:c r="G202" t="n">
        <x:v>62694.56</x:v>
      </x:c>
      <x:c r="H202" t="n">
        <x:v>19805.44</x:v>
      </x:c>
      <x:c r="I202" t="n">
        <x:v>3160194.56</x:v>
      </x:c>
      <x:c r="J202" t="str">
        <x:v>Parcial</x:v>
      </x:c>
    </x:row>
    <x:row r="203">
      <x:c r="A203" t="str">
        <x:v>ABO-0000202</x:v>
      </x:c>
      <x:c r="B203" t="str">
        <x:v>2025-03</x:v>
      </x:c>
      <x:c r="C203" t="n">
        <x:v>45739</x:v>
      </x:c>
      <x:c r="D203" t="str">
        <x:v>USR-00066</x:v>
      </x:c>
      <x:c r="E203" t="str">
        <x:v>DEU-000122</x:v>
      </x:c>
      <x:c r="F203" t="n">
        <x:v>209200</x:v>
      </x:c>
      <x:c r="G203" t="n">
        <x:v>55725.34</x:v>
      </x:c>
      <x:c r="H203" t="n">
        <x:v>153474.66</x:v>
      </x:c>
      <x:c r="I203" t="n">
        <x:v>5066525.34</x:v>
      </x:c>
      <x:c r="J203" t="str">
        <x:v>En fecha</x:v>
      </x:c>
    </x:row>
    <x:row r="204">
      <x:c r="A204" t="str">
        <x:v>ABO-0000203</x:v>
      </x:c>
      <x:c r="B204" t="str">
        <x:v>2025-03</x:v>
      </x:c>
      <x:c r="C204" t="n">
        <x:v>45724</x:v>
      </x:c>
      <x:c r="D204" t="str">
        <x:v>USR-00066</x:v>
      </x:c>
      <x:c r="E204" t="str">
        <x:v>DEU-000123</x:v>
      </x:c>
      <x:c r="F204" t="n">
        <x:v>708100</x:v>
      </x:c>
      <x:c r="G204" t="n">
        <x:v>242026.72</x:v>
      </x:c>
      <x:c r="H204" t="n">
        <x:v>466073.28</x:v>
      </x:c>
      <x:c r="I204" t="n">
        <x:v>16773926.72</x:v>
      </x:c>
      <x:c r="J204" t="str">
        <x:v>En fecha</x:v>
      </x:c>
    </x:row>
    <x:row r="205">
      <x:c r="A205" t="str">
        <x:v>ABO-0000204</x:v>
      </x:c>
      <x:c r="B205" t="str">
        <x:v>2025-03</x:v>
      </x:c>
      <x:c r="C205" t="n">
        <x:v>45719</x:v>
      </x:c>
      <x:c r="D205" t="str">
        <x:v>USR-00067</x:v>
      </x:c>
      <x:c r="E205" t="str">
        <x:v>DEU-000125</x:v>
      </x:c>
      <x:c r="F205" t="n">
        <x:v>362000</x:v>
      </x:c>
      <x:c r="G205" t="n">
        <x:v>241994.32</x:v>
      </x:c>
      <x:c r="H205" t="n">
        <x:v>120005.68</x:v>
      </x:c>
      <x:c r="I205" t="n">
        <x:v>15599994.32</x:v>
      </x:c>
      <x:c r="J205" t="str">
        <x:v>Parcial</x:v>
      </x:c>
    </x:row>
    <x:row r="206">
      <x:c r="A206" t="str">
        <x:v>ABO-0000205</x:v>
      </x:c>
      <x:c r="B206" t="str">
        <x:v>2025-03</x:v>
      </x:c>
      <x:c r="C206" t="n">
        <x:v>45740</x:v>
      </x:c>
      <x:c r="D206" t="str">
        <x:v>USR-00067</x:v>
      </x:c>
      <x:c r="E206" t="str">
        <x:v>DEU-000126</x:v>
      </x:c>
      <x:c r="F206" t="n">
        <x:v>1301000</x:v>
      </x:c>
      <x:c r="G206" t="n">
        <x:v>623524.01</x:v>
      </x:c>
      <x:c r="H206" t="n">
        <x:v>677475.99</x:v>
      </x:c>
      <x:c r="I206" t="n">
        <x:v>45432524.01</x:v>
      </x:c>
      <x:c r="J206" t="str">
        <x:v>Parcial</x:v>
      </x:c>
    </x:row>
    <x:row r="207">
      <x:c r="A207" t="str">
        <x:v>ABO-0000206</x:v>
      </x:c>
      <x:c r="B207" t="str">
        <x:v>2025-03</x:v>
      </x:c>
      <x:c r="C207" t="n">
        <x:v>45717</x:v>
      </x:c>
      <x:c r="D207" t="str">
        <x:v>USR-00067</x:v>
      </x:c>
      <x:c r="E207" t="str">
        <x:v>DEU-000127</x:v>
      </x:c>
      <x:c r="F207" t="n">
        <x:v>574800</x:v>
      </x:c>
      <x:c r="G207" t="n">
        <x:v>326720.38</x:v>
      </x:c>
      <x:c r="H207" t="n">
        <x:v>248079.62</x:v>
      </x:c>
      <x:c r="I207" t="n">
        <x:v>18071920.38</x:v>
      </x:c>
      <x:c r="J207" t="str">
        <x:v>En fecha</x:v>
      </x:c>
    </x:row>
    <x:row r="208">
      <x:c r="A208" t="str">
        <x:v>ABO-0000207</x:v>
      </x:c>
      <x:c r="B208" t="str">
        <x:v>2025-03</x:v>
      </x:c>
      <x:c r="C208" t="n">
        <x:v>45723</x:v>
      </x:c>
      <x:c r="D208" t="str">
        <x:v>USR-00068</x:v>
      </x:c>
      <x:c r="E208" t="str">
        <x:v>DEU-000128</x:v>
      </x:c>
      <x:c r="F208" t="n">
        <x:v>488400</x:v>
      </x:c>
      <x:c r="G208" t="n">
        <x:v>108225.32</x:v>
      </x:c>
      <x:c r="H208" t="n">
        <x:v>380174.68</x:v>
      </x:c>
      <x:c r="I208" t="n">
        <x:v>4749825.32</x:v>
      </x:c>
      <x:c r="J208" t="str">
        <x:v>En fecha</x:v>
      </x:c>
    </x:row>
    <x:row r="209">
      <x:c r="A209" t="str">
        <x:v>ABO-0000208</x:v>
      </x:c>
      <x:c r="B209" t="str">
        <x:v>2025-03</x:v>
      </x:c>
      <x:c r="C209" t="n">
        <x:v>45734</x:v>
      </x:c>
      <x:c r="D209" t="str">
        <x:v>USR-00069</x:v>
      </x:c>
      <x:c r="E209" t="str">
        <x:v>DEU-000129</x:v>
      </x:c>
      <x:c r="F209" t="n">
        <x:v>261100</x:v>
      </x:c>
      <x:c r="G209" t="n">
        <x:v>162770.54</x:v>
      </x:c>
      <x:c r="H209" t="n">
        <x:v>98329.46</x:v>
      </x:c>
      <x:c r="I209" t="n">
        <x:v>7821670.54</x:v>
      </x:c>
      <x:c r="J209" t="str">
        <x:v>En fecha</x:v>
      </x:c>
    </x:row>
    <x:row r="210">
      <x:c r="A210" t="str">
        <x:v>ABO-0000209</x:v>
      </x:c>
      <x:c r="B210" t="str">
        <x:v>2025-03</x:v>
      </x:c>
      <x:c r="C210" t="n">
        <x:v>45725</x:v>
      </x:c>
      <x:c r="D210" t="str">
        <x:v>USR-00070</x:v>
      </x:c>
      <x:c r="E210" t="str">
        <x:v>DEU-000130</x:v>
      </x:c>
      <x:c r="F210" t="n">
        <x:v>53700</x:v>
      </x:c>
      <x:c r="G210" t="n">
        <x:v>40391.09</x:v>
      </x:c>
      <x:c r="H210" t="n">
        <x:v>13308.91</x:v>
      </x:c>
      <x:c r="I210" t="n">
        <x:v>1706691.09</x:v>
      </x:c>
      <x:c r="J210" t="str">
        <x:v>En fecha</x:v>
      </x:c>
    </x:row>
    <x:row r="211">
      <x:c r="A211" t="str">
        <x:v>ABO-0000210</x:v>
      </x:c>
      <x:c r="B211" t="str">
        <x:v>2025-03</x:v>
      </x:c>
      <x:c r="C211" t="n">
        <x:v>45733</x:v>
      </x:c>
      <x:c r="D211" t="str">
        <x:v>USR-00070</x:v>
      </x:c>
      <x:c r="E211" t="str">
        <x:v>DEU-000131</x:v>
      </x:c>
      <x:c r="F211" t="n">
        <x:v>485100</x:v>
      </x:c>
      <x:c r="G211" t="n">
        <x:v>104064.18</x:v>
      </x:c>
      <x:c r="H211" t="n">
        <x:v>381035.82</x:v>
      </x:c>
      <x:c r="I211" t="n">
        <x:v>4738964.18</x:v>
      </x:c>
      <x:c r="J211" t="str">
        <x:v>En fecha</x:v>
      </x:c>
    </x:row>
    <x:row r="212">
      <x:c r="A212" t="str">
        <x:v>ABO-0000211</x:v>
      </x:c>
      <x:c r="B212" t="str">
        <x:v>2025-03</x:v>
      </x:c>
      <x:c r="C212" t="n">
        <x:v>45723</x:v>
      </x:c>
      <x:c r="D212" t="str">
        <x:v>USR-00070</x:v>
      </x:c>
      <x:c r="E212" t="str">
        <x:v>DEU-000132</x:v>
      </x:c>
      <x:c r="F212" t="n">
        <x:v>2123800</x:v>
      </x:c>
      <x:c r="G212" t="n">
        <x:v>494608.09</x:v>
      </x:c>
      <x:c r="H212" t="n">
        <x:v>1629191.91</x:v>
      </x:c>
      <x:c r="I212" t="n">
        <x:v>20510808.09</x:v>
      </x:c>
      <x:c r="J212" t="str">
        <x:v>En fecha</x:v>
      </x:c>
    </x:row>
    <x:row r="213">
      <x:c r="A213" t="str">
        <x:v>ABO-0000212</x:v>
      </x:c>
      <x:c r="B213" t="str">
        <x:v>2025-03</x:v>
      </x:c>
      <x:c r="C213" t="n">
        <x:v>45732</x:v>
      </x:c>
      <x:c r="D213" t="str">
        <x:v>USR-00070</x:v>
      </x:c>
      <x:c r="E213" t="str">
        <x:v>DEU-000133</x:v>
      </x:c>
      <x:c r="F213" t="n">
        <x:v>923400</x:v>
      </x:c>
      <x:c r="G213" t="n">
        <x:v>203478.81</x:v>
      </x:c>
      <x:c r="H213" t="n">
        <x:v>719921.19</x:v>
      </x:c>
      <x:c r="I213" t="n">
        <x:v>11770078.81</x:v>
      </x:c>
      <x:c r="J213" t="str">
        <x:v>Parcial</x:v>
      </x:c>
    </x:row>
    <x:row r="214">
      <x:c r="A214" t="str">
        <x:v>ABO-0000213</x:v>
      </x:c>
      <x:c r="B214" t="str">
        <x:v>2025-03</x:v>
      </x:c>
      <x:c r="C214" t="n">
        <x:v>45736</x:v>
      </x:c>
      <x:c r="D214" t="str">
        <x:v>USR-00071</x:v>
      </x:c>
      <x:c r="E214" t="str">
        <x:v>DEU-000134</x:v>
      </x:c>
      <x:c r="F214" t="n">
        <x:v>133000</x:v>
      </x:c>
      <x:c r="G214" t="n">
        <x:v>30524.67</x:v>
      </x:c>
      <x:c r="H214" t="n">
        <x:v>102475.33</x:v>
      </x:c>
      <x:c r="I214" t="n">
        <x:v>1287524.67</x:v>
      </x:c>
      <x:c r="J214" t="str">
        <x:v>En fecha</x:v>
      </x:c>
    </x:row>
    <x:row r="215">
      <x:c r="A215" t="str">
        <x:v>ABO-0000214</x:v>
      </x:c>
      <x:c r="B215" t="str">
        <x:v>2025-03</x:v>
      </x:c>
      <x:c r="C215" t="n">
        <x:v>45736</x:v>
      </x:c>
      <x:c r="D215" t="str">
        <x:v>USR-00071</x:v>
      </x:c>
      <x:c r="E215" t="str">
        <x:v>DEU-000135</x:v>
      </x:c>
      <x:c r="F215" t="n">
        <x:v>573800</x:v>
      </x:c>
      <x:c r="G215" t="n">
        <x:v>107759.19</x:v>
      </x:c>
      <x:c r="H215" t="n">
        <x:v>466040.81</x:v>
      </x:c>
      <x:c r="I215" t="n">
        <x:v>11913959.19</x:v>
      </x:c>
      <x:c r="J215" t="str">
        <x:v>En fecha</x:v>
      </x:c>
    </x:row>
    <x:row r="216">
      <x:c r="A216" t="str">
        <x:v>ABO-0000215</x:v>
      </x:c>
      <x:c r="B216" t="str">
        <x:v>2025-03</x:v>
      </x:c>
      <x:c r="C216" t="n">
        <x:v>45722</x:v>
      </x:c>
      <x:c r="D216" t="str">
        <x:v>USR-00072</x:v>
      </x:c>
      <x:c r="E216" t="str">
        <x:v>DEU-000136</x:v>
      </x:c>
      <x:c r="F216" t="n">
        <x:v>327600</x:v>
      </x:c>
      <x:c r="G216" t="n">
        <x:v>175383.84</x:v>
      </x:c>
      <x:c r="H216" t="n">
        <x:v>152216.16</x:v>
      </x:c>
      <x:c r="I216" t="n">
        <x:v>7997783.84</x:v>
      </x:c>
      <x:c r="J216" t="str">
        <x:v>En fecha</x:v>
      </x:c>
    </x:row>
    <x:row r="217">
      <x:c r="A217" t="str">
        <x:v>ABO-0000216</x:v>
      </x:c>
      <x:c r="B217" t="str">
        <x:v>2025-03</x:v>
      </x:c>
      <x:c r="C217" t="n">
        <x:v>45719</x:v>
      </x:c>
      <x:c r="D217" t="str">
        <x:v>USR-00072</x:v>
      </x:c>
      <x:c r="E217" t="str">
        <x:v>DEU-000137</x:v>
      </x:c>
      <x:c r="F217" t="n">
        <x:v>113800</x:v>
      </x:c>
      <x:c r="G217" t="n">
        <x:v>41718.46</x:v>
      </x:c>
      <x:c r="H217" t="n">
        <x:v>72081.54</x:v>
      </x:c>
      <x:c r="I217" t="n">
        <x:v>2647918.46</x:v>
      </x:c>
      <x:c r="J217" t="str">
        <x:v>En fecha</x:v>
      </x:c>
    </x:row>
    <x:row r="218">
      <x:c r="A218" t="str">
        <x:v>ABO-0000217</x:v>
      </x:c>
      <x:c r="B218" t="str">
        <x:v>2025-03</x:v>
      </x:c>
      <x:c r="C218" t="n">
        <x:v>45723</x:v>
      </x:c>
      <x:c r="D218" t="str">
        <x:v>USR-00073</x:v>
      </x:c>
      <x:c r="E218" t="str">
        <x:v>DEU-000138</x:v>
      </x:c>
      <x:c r="F218" t="n">
        <x:v>186900</x:v>
      </x:c>
      <x:c r="G218" t="n">
        <x:v>82501.72</x:v>
      </x:c>
      <x:c r="H218" t="n">
        <x:v>104398.28</x:v>
      </x:c>
      <x:c r="I218" t="n">
        <x:v>3415601.72</x:v>
      </x:c>
      <x:c r="J218" t="str">
        <x:v>Parcial</x:v>
      </x:c>
    </x:row>
    <x:row r="219">
      <x:c r="A219" t="str">
        <x:v>ABO-0000218</x:v>
      </x:c>
      <x:c r="B219" t="str">
        <x:v>2025-03</x:v>
      </x:c>
      <x:c r="C219" t="n">
        <x:v>45734</x:v>
      </x:c>
      <x:c r="D219" t="str">
        <x:v>USR-00073</x:v>
      </x:c>
      <x:c r="E219" t="str">
        <x:v>DEU-000139</x:v>
      </x:c>
      <x:c r="F219" t="n">
        <x:v>690600</x:v>
      </x:c>
      <x:c r="G219" t="n">
        <x:v>76622.25</x:v>
      </x:c>
      <x:c r="H219" t="n">
        <x:v>613977.75</x:v>
      </x:c>
      <x:c r="I219" t="n">
        <x:v>7166022.25</x:v>
      </x:c>
      <x:c r="J219" t="str">
        <x:v>En fecha</x:v>
      </x:c>
    </x:row>
    <x:row r="220">
      <x:c r="A220" t="str">
        <x:v>ABO-0000219</x:v>
      </x:c>
      <x:c r="B220" t="str">
        <x:v>2025-03</x:v>
      </x:c>
      <x:c r="C220" t="n">
        <x:v>45734</x:v>
      </x:c>
      <x:c r="D220" t="str">
        <x:v>USR-00074</x:v>
      </x:c>
      <x:c r="E220" t="str">
        <x:v>DEU-000140</x:v>
      </x:c>
      <x:c r="F220" t="n">
        <x:v>68600</x:v>
      </x:c>
      <x:c r="G220" t="n">
        <x:v>28929.5</x:v>
      </x:c>
      <x:c r="H220" t="n">
        <x:v>39670.5</x:v>
      </x:c>
      <x:c r="I220" t="n">
        <x:v>1330329.5</x:v>
      </x:c>
      <x:c r="J220" t="str">
        <x:v>En fecha</x:v>
      </x:c>
    </x:row>
    <x:row r="221">
      <x:c r="A221" t="str">
        <x:v>ABO-0000220</x:v>
      </x:c>
      <x:c r="B221" t="str">
        <x:v>2025-03</x:v>
      </x:c>
      <x:c r="C221" t="n">
        <x:v>45735</x:v>
      </x:c>
      <x:c r="D221" t="str">
        <x:v>USR-00075</x:v>
      </x:c>
      <x:c r="E221" t="str">
        <x:v>DEU-000142</x:v>
      </x:c>
      <x:c r="F221" t="n">
        <x:v>466300</x:v>
      </x:c>
      <x:c r="G221" t="n">
        <x:v>221445.55</x:v>
      </x:c>
      <x:c r="H221" t="n">
        <x:v>244854.45</x:v>
      </x:c>
      <x:c r="I221" t="n">
        <x:v>16325145.55</x:v>
      </x:c>
      <x:c r="J221" t="str">
        <x:v>Parcial</x:v>
      </x:c>
    </x:row>
    <x:row r="222">
      <x:c r="A222" t="str">
        <x:v>ABO-0000221</x:v>
      </x:c>
      <x:c r="B222" t="str">
        <x:v>2025-03</x:v>
      </x:c>
      <x:c r="C222" t="n">
        <x:v>45743</x:v>
      </x:c>
      <x:c r="D222" t="str">
        <x:v>USR-00076</x:v>
      </x:c>
      <x:c r="E222" t="str">
        <x:v>DEU-000143</x:v>
      </x:c>
      <x:c r="F222" t="n">
        <x:v>504500</x:v>
      </x:c>
      <x:c r="G222" t="n">
        <x:v>87393.5</x:v>
      </x:c>
      <x:c r="H222" t="n">
        <x:v>417106.5</x:v>
      </x:c>
      <x:c r="I222" t="n">
        <x:v>5052893.5</x:v>
      </x:c>
      <x:c r="J222" t="str">
        <x:v>En fecha</x:v>
      </x:c>
    </x:row>
    <x:row r="223">
      <x:c r="A223" t="str">
        <x:v>ABO-0000222</x:v>
      </x:c>
      <x:c r="B223" t="str">
        <x:v>2025-03</x:v>
      </x:c>
      <x:c r="C223" t="n">
        <x:v>45734</x:v>
      </x:c>
      <x:c r="D223" t="str">
        <x:v>USR-00077</x:v>
      </x:c>
      <x:c r="E223" t="str">
        <x:v>DEU-000145</x:v>
      </x:c>
      <x:c r="F223" t="n">
        <x:v>432900</x:v>
      </x:c>
      <x:c r="G223" t="n">
        <x:v>68350.1</x:v>
      </x:c>
      <x:c r="H223" t="n">
        <x:v>364549.9</x:v>
      </x:c>
      <x:c r="I223" t="n">
        <x:v>2635450.1</x:v>
      </x:c>
      <x:c r="J223" t="str">
        <x:v>En fecha</x:v>
      </x:c>
    </x:row>
    <x:row r="224">
      <x:c r="A224" t="str">
        <x:v>ABO-0000223</x:v>
      </x:c>
      <x:c r="B224" t="str">
        <x:v>2025-03</x:v>
      </x:c>
      <x:c r="C224" t="n">
        <x:v>45739</x:v>
      </x:c>
      <x:c r="D224" t="str">
        <x:v>USR-00078</x:v>
      </x:c>
      <x:c r="E224" t="str">
        <x:v>DEU-000147</x:v>
      </x:c>
      <x:c r="F224" t="n">
        <x:v>172400</x:v>
      </x:c>
      <x:c r="G224" t="n">
        <x:v>108356.97</x:v>
      </x:c>
      <x:c r="H224" t="n">
        <x:v>64043.03</x:v>
      </x:c>
      <x:c r="I224" t="n">
        <x:v>5135956.97</x:v>
      </x:c>
      <x:c r="J224" t="str">
        <x:v>En fecha</x:v>
      </x:c>
    </x:row>
    <x:row r="225">
      <x:c r="A225" t="str">
        <x:v>ABO-0000224</x:v>
      </x:c>
      <x:c r="B225" t="str">
        <x:v>2025-03</x:v>
      </x:c>
      <x:c r="C225" t="n">
        <x:v>45740</x:v>
      </x:c>
      <x:c r="D225" t="str">
        <x:v>USR-00078</x:v>
      </x:c>
      <x:c r="E225" t="str">
        <x:v>DEU-000148</x:v>
      </x:c>
      <x:c r="F225" t="n">
        <x:v>142300</x:v>
      </x:c>
      <x:c r="G225" t="n">
        <x:v>52692.99</x:v>
      </x:c>
      <x:c r="H225" t="n">
        <x:v>89607.01</x:v>
      </x:c>
      <x:c r="I225" t="n">
        <x:v>5580392.99</x:v>
      </x:c>
      <x:c r="J225" t="str">
        <x:v>En fecha</x:v>
      </x:c>
    </x:row>
    <x:row r="226">
      <x:c r="A226" t="str">
        <x:v>ABO-0000225</x:v>
      </x:c>
      <x:c r="B226" t="str">
        <x:v>2025-03</x:v>
      </x:c>
      <x:c r="C226" t="n">
        <x:v>45723</x:v>
      </x:c>
      <x:c r="D226" t="str">
        <x:v>USR-00078</x:v>
      </x:c>
      <x:c r="E226" t="str">
        <x:v>DEU-000149</x:v>
      </x:c>
      <x:c r="F226" t="n">
        <x:v>875200</x:v>
      </x:c>
      <x:c r="G226" t="n">
        <x:v>339005.78</x:v>
      </x:c>
      <x:c r="H226" t="n">
        <x:v>536194.22</x:v>
      </x:c>
      <x:c r="I226" t="n">
        <x:v>13323805.78</x:v>
      </x:c>
      <x:c r="J226" t="str">
        <x:v>En fecha</x:v>
      </x:c>
    </x:row>
    <x:row r="227">
      <x:c r="A227" t="str">
        <x:v>ABO-0000226</x:v>
      </x:c>
      <x:c r="B227" t="str">
        <x:v>2025-03</x:v>
      </x:c>
      <x:c r="C227" t="n">
        <x:v>45728</x:v>
      </x:c>
      <x:c r="D227" t="str">
        <x:v>USR-00079</x:v>
      </x:c>
      <x:c r="E227" t="str">
        <x:v>DEU-000151</x:v>
      </x:c>
      <x:c r="F227" t="n">
        <x:v>3515700</x:v>
      </x:c>
      <x:c r="G227" t="n">
        <x:v>689281.43</x:v>
      </x:c>
      <x:c r="H227" t="n">
        <x:v>2826418.57</x:v>
      </x:c>
      <x:c r="I227" t="n">
        <x:v>53683581.43</x:v>
      </x:c>
      <x:c r="J227" t="str">
        <x:v>En fecha</x:v>
      </x:c>
    </x:row>
    <x:row r="228">
      <x:c r="A228" t="str">
        <x:v>ABO-0000227</x:v>
      </x:c>
      <x:c r="B228" t="str">
        <x:v>2025-03</x:v>
      </x:c>
      <x:c r="C228" t="n">
        <x:v>45725</x:v>
      </x:c>
      <x:c r="D228" t="str">
        <x:v>USR-00080</x:v>
      </x:c>
      <x:c r="E228" t="str">
        <x:v>DEU-000152</x:v>
      </x:c>
      <x:c r="F228" t="n">
        <x:v>593600</x:v>
      </x:c>
      <x:c r="G228" t="n">
        <x:v>207141.19</x:v>
      </x:c>
      <x:c r="H228" t="n">
        <x:v>386458.81</x:v>
      </x:c>
      <x:c r="I228" t="n">
        <x:v>18493541.19</x:v>
      </x:c>
      <x:c r="J228" t="str">
        <x:v>Parcial</x:v>
      </x:c>
    </x:row>
    <x:row r="229">
      <x:c r="A229" t="str">
        <x:v>ABO-0000228</x:v>
      </x:c>
      <x:c r="B229" t="str">
        <x:v>2025-03</x:v>
      </x:c>
      <x:c r="C229" t="n">
        <x:v>45743</x:v>
      </x:c>
      <x:c r="D229" t="str">
        <x:v>USR-00081</x:v>
      </x:c>
      <x:c r="E229" t="str">
        <x:v>DEU-000154</x:v>
      </x:c>
      <x:c r="F229" t="n">
        <x:v>438700</x:v>
      </x:c>
      <x:c r="G229" t="n">
        <x:v>156550.75</x:v>
      </x:c>
      <x:c r="H229" t="n">
        <x:v>282149.25</x:v>
      </x:c>
      <x:c r="I229" t="n">
        <x:v>8237850.75</x:v>
      </x:c>
      <x:c r="J229" t="str">
        <x:v>Parcial</x:v>
      </x:c>
    </x:row>
    <x:row r="230">
      <x:c r="A230" t="str">
        <x:v>ABO-0000229</x:v>
      </x:c>
      <x:c r="B230" t="str">
        <x:v>2025-03</x:v>
      </x:c>
      <x:c r="C230" t="n">
        <x:v>45731</x:v>
      </x:c>
      <x:c r="D230" t="str">
        <x:v>USR-00082</x:v>
      </x:c>
      <x:c r="E230" t="str">
        <x:v>DEU-000156</x:v>
      </x:c>
      <x:c r="F230" t="n">
        <x:v>736400</x:v>
      </x:c>
      <x:c r="G230" t="n">
        <x:v>307487.65</x:v>
      </x:c>
      <x:c r="H230" t="n">
        <x:v>428912.35</x:v>
      </x:c>
      <x:c r="I230" t="n">
        <x:v>13071087.65</x:v>
      </x:c>
      <x:c r="J230" t="str">
        <x:v>En fecha</x:v>
      </x:c>
    </x:row>
    <x:row r="231">
      <x:c r="A231" t="str">
        <x:v>ABO-0000230</x:v>
      </x:c>
      <x:c r="B231" t="str">
        <x:v>2025-03</x:v>
      </x:c>
      <x:c r="C231" t="n">
        <x:v>45740</x:v>
      </x:c>
      <x:c r="D231" t="str">
        <x:v>USR-00083</x:v>
      </x:c>
      <x:c r="E231" t="str">
        <x:v>DEU-000157</x:v>
      </x:c>
      <x:c r="F231" t="n">
        <x:v>210300</x:v>
      </x:c>
      <x:c r="G231" t="n">
        <x:v>65233.51</x:v>
      </x:c>
      <x:c r="H231" t="n">
        <x:v>145066.49</x:v>
      </x:c>
      <x:c r="I231" t="n">
        <x:v>2484933.51</x:v>
      </x:c>
      <x:c r="J231" t="str">
        <x:v>En fecha</x:v>
      </x:c>
    </x:row>
    <x:row r="232">
      <x:c r="A232" t="str">
        <x:v>ABO-0000231</x:v>
      </x:c>
      <x:c r="B232" t="str">
        <x:v>2025-03</x:v>
      </x:c>
      <x:c r="C232" t="n">
        <x:v>45728</x:v>
      </x:c>
      <x:c r="D232" t="str">
        <x:v>USR-00084</x:v>
      </x:c>
      <x:c r="E232" t="str">
        <x:v>DEU-000159</x:v>
      </x:c>
      <x:c r="F232" t="n">
        <x:v>708100</x:v>
      </x:c>
      <x:c r="G232" t="n">
        <x:v>226891.1</x:v>
      </x:c>
      <x:c r="H232" t="n">
        <x:v>481208.9</x:v>
      </x:c>
      <x:c r="I232" t="n">
        <x:v>8598791.1</x:v>
      </x:c>
      <x:c r="J232" t="str">
        <x:v>Parcial</x:v>
      </x:c>
    </x:row>
    <x:row r="233">
      <x:c r="A233" t="str">
        <x:v>ABO-0000232</x:v>
      </x:c>
      <x:c r="B233" t="str">
        <x:v>2025-03</x:v>
      </x:c>
      <x:c r="C233" t="n">
        <x:v>45738</x:v>
      </x:c>
      <x:c r="D233" t="str">
        <x:v>USR-00085</x:v>
      </x:c>
      <x:c r="E233" t="str">
        <x:v>DEU-000160</x:v>
      </x:c>
      <x:c r="F233" t="n">
        <x:v>436300</x:v>
      </x:c>
      <x:c r="G233" t="n">
        <x:v>282412.51</x:v>
      </x:c>
      <x:c r="H233" t="n">
        <x:v>153887.49</x:v>
      </x:c>
      <x:c r="I233" t="n">
        <x:v>12126112.51</x:v>
      </x:c>
      <x:c r="J233" t="str">
        <x:v>En fecha</x:v>
      </x:c>
    </x:row>
    <x:row r="234">
      <x:c r="A234" t="str">
        <x:v>ABO-0000233</x:v>
      </x:c>
      <x:c r="B234" t="str">
        <x:v>2025-03</x:v>
      </x:c>
      <x:c r="C234" t="n">
        <x:v>45732</x:v>
      </x:c>
      <x:c r="D234" t="str">
        <x:v>USR-00086</x:v>
      </x:c>
      <x:c r="E234" t="str">
        <x:v>DEU-000161</x:v>
      </x:c>
      <x:c r="F234" t="n">
        <x:v>87400</x:v>
      </x:c>
      <x:c r="G234" t="n">
        <x:v>62263.05</x:v>
      </x:c>
      <x:c r="H234" t="n">
        <x:v>25136.95</x:v>
      </x:c>
      <x:c r="I234" t="n">
        <x:v>2944863.05</x:v>
      </x:c>
      <x:c r="J234" t="str">
        <x:v>En fecha</x:v>
      </x:c>
    </x:row>
    <x:row r="235">
      <x:c r="A235" t="str">
        <x:v>ABO-0000234</x:v>
      </x:c>
      <x:c r="B235" t="str">
        <x:v>2025-03</x:v>
      </x:c>
      <x:c r="C235" t="n">
        <x:v>45724</x:v>
      </x:c>
      <x:c r="D235" t="str">
        <x:v>USR-00087</x:v>
      </x:c>
      <x:c r="E235" t="str">
        <x:v>DEU-000162</x:v>
      </x:c>
      <x:c r="F235" t="n">
        <x:v>1642200</x:v>
      </x:c>
      <x:c r="G235" t="n">
        <x:v>595239.65</x:v>
      </x:c>
      <x:c r="H235" t="n">
        <x:v>1046960.35</x:v>
      </x:c>
      <x:c r="I235" t="n">
        <x:v>35073039.65</x:v>
      </x:c>
      <x:c r="J235" t="str">
        <x:v>En fecha</x:v>
      </x:c>
    </x:row>
    <x:row r="236">
      <x:c r="A236" t="str">
        <x:v>ABO-0000235</x:v>
      </x:c>
      <x:c r="B236" t="str">
        <x:v>2025-03</x:v>
      </x:c>
      <x:c r="C236" t="n">
        <x:v>45722</x:v>
      </x:c>
      <x:c r="D236" t="str">
        <x:v>USR-00088</x:v>
      </x:c>
      <x:c r="E236" t="str">
        <x:v>DEU-000163</x:v>
      </x:c>
      <x:c r="F236" t="n">
        <x:v>514000</x:v>
      </x:c>
      <x:c r="G236" t="n">
        <x:v>171156.54</x:v>
      </x:c>
      <x:c r="H236" t="n">
        <x:v>342843.46</x:v>
      </x:c>
      <x:c r="I236" t="n">
        <x:v>8477156.54</x:v>
      </x:c>
      <x:c r="J236" t="str">
        <x:v>En fecha</x:v>
      </x:c>
    </x:row>
    <x:row r="237">
      <x:c r="A237" t="str">
        <x:v>ABO-0000236</x:v>
      </x:c>
      <x:c r="B237" t="str">
        <x:v>2025-03</x:v>
      </x:c>
      <x:c r="C237" t="n">
        <x:v>45741</x:v>
      </x:c>
      <x:c r="D237" t="str">
        <x:v>USR-00089</x:v>
      </x:c>
      <x:c r="E237" t="str">
        <x:v>DEU-000164</x:v>
      </x:c>
      <x:c r="F237" t="n">
        <x:v>540200</x:v>
      </x:c>
      <x:c r="G237" t="n">
        <x:v>320018.99</x:v>
      </x:c>
      <x:c r="H237" t="n">
        <x:v>220181.01</x:v>
      </x:c>
      <x:c r="I237" t="n">
        <x:v>16409818.99</x:v>
      </x:c>
      <x:c r="J237" t="str">
        <x:v>En fecha</x:v>
      </x:c>
    </x:row>
    <x:row r="238">
      <x:c r="A238" t="str">
        <x:v>ABO-0000237</x:v>
      </x:c>
      <x:c r="B238" t="str">
        <x:v>2025-03</x:v>
      </x:c>
      <x:c r="C238" t="n">
        <x:v>45725</x:v>
      </x:c>
      <x:c r="D238" t="str">
        <x:v>USR-00089</x:v>
      </x:c>
      <x:c r="E238" t="str">
        <x:v>DEU-000165</x:v>
      </x:c>
      <x:c r="F238" t="n">
        <x:v>258600</x:v>
      </x:c>
      <x:c r="G238" t="n">
        <x:v>162927.44</x:v>
      </x:c>
      <x:c r="H238" t="n">
        <x:v>95672.56</x:v>
      </x:c>
      <x:c r="I238" t="n">
        <x:v>7404327.44</x:v>
      </x:c>
      <x:c r="J238" t="str">
        <x:v>En fecha</x:v>
      </x:c>
    </x:row>
    <x:row r="239">
      <x:c r="A239" t="str">
        <x:v>ABO-0000238</x:v>
      </x:c>
      <x:c r="B239" t="str">
        <x:v>2025-03</x:v>
      </x:c>
      <x:c r="C239" t="n">
        <x:v>45732</x:v>
      </x:c>
      <x:c r="D239" t="str">
        <x:v>USR-00091</x:v>
      </x:c>
      <x:c r="E239" t="str">
        <x:v>DEU-000168</x:v>
      </x:c>
      <x:c r="F239" t="n">
        <x:v>765300</x:v>
      </x:c>
      <x:c r="G239" t="n">
        <x:v>302014.43</x:v>
      </x:c>
      <x:c r="H239" t="n">
        <x:v>463285.57</x:v>
      </x:c>
      <x:c r="I239" t="n">
        <x:v>14366714.43</x:v>
      </x:c>
      <x:c r="J239" t="str">
        <x:v>En fecha</x:v>
      </x:c>
    </x:row>
    <x:row r="240">
      <x:c r="A240" t="str">
        <x:v>ABO-0000239</x:v>
      </x:c>
      <x:c r="B240" t="str">
        <x:v>2025-03</x:v>
      </x:c>
      <x:c r="C240" t="n">
        <x:v>45718</x:v>
      </x:c>
      <x:c r="D240" t="str">
        <x:v>USR-00091</x:v>
      </x:c>
      <x:c r="E240" t="str">
        <x:v>DEU-000169</x:v>
      </x:c>
      <x:c r="F240" t="n">
        <x:v>73200</x:v>
      </x:c>
      <x:c r="G240" t="n">
        <x:v>28438.18</x:v>
      </x:c>
      <x:c r="H240" t="n">
        <x:v>44761.82</x:v>
      </x:c>
      <x:c r="I240" t="n">
        <x:v>1505238.18</x:v>
      </x:c>
      <x:c r="J240" t="str">
        <x:v>En fecha</x:v>
      </x:c>
    </x:row>
    <x:row r="241">
      <x:c r="A241" t="str">
        <x:v>ABO-0000240</x:v>
      </x:c>
      <x:c r="B241" t="str">
        <x:v>2025-03</x:v>
      </x:c>
      <x:c r="C241" t="n">
        <x:v>45740</x:v>
      </x:c>
      <x:c r="D241" t="str">
        <x:v>USR-00092</x:v>
      </x:c>
      <x:c r="E241" t="str">
        <x:v>DEU-000172</x:v>
      </x:c>
      <x:c r="F241" t="n">
        <x:v>906300</x:v>
      </x:c>
      <x:c r="G241" t="n">
        <x:v>671441.5</x:v>
      </x:c>
      <x:c r="H241" t="n">
        <x:v>234858.5</x:v>
      </x:c>
      <x:c r="I241" t="n">
        <x:v>45615141.5</x:v>
      </x:c>
      <x:c r="J241" t="str">
        <x:v>Parcial</x:v>
      </x:c>
    </x:row>
    <x:row r="242">
      <x:c r="A242" t="str">
        <x:v>ABO-0000241</x:v>
      </x:c>
      <x:c r="B242" t="str">
        <x:v>2025-03</x:v>
      </x:c>
      <x:c r="C242" t="n">
        <x:v>45719</x:v>
      </x:c>
      <x:c r="D242" t="str">
        <x:v>USR-00093</x:v>
      </x:c>
      <x:c r="E242" t="str">
        <x:v>DEU-000173</x:v>
      </x:c>
      <x:c r="F242" t="n">
        <x:v>732800</x:v>
      </x:c>
      <x:c r="G242" t="n">
        <x:v>125813.38</x:v>
      </x:c>
      <x:c r="H242" t="n">
        <x:v>606986.62</x:v>
      </x:c>
      <x:c r="I242" t="n">
        <x:v>11353013.38</x:v>
      </x:c>
      <x:c r="J242" t="str">
        <x:v>En fecha</x:v>
      </x:c>
    </x:row>
    <x:row r="243">
      <x:c r="A243" t="str">
        <x:v>ABO-0000242</x:v>
      </x:c>
      <x:c r="B243" t="str">
        <x:v>2025-03</x:v>
      </x:c>
      <x:c r="C243" t="n">
        <x:v>45718</x:v>
      </x:c>
      <x:c r="D243" t="str">
        <x:v>USR-00093</x:v>
      </x:c>
      <x:c r="E243" t="str">
        <x:v>DEU-000174</x:v>
      </x:c>
      <x:c r="F243" t="n">
        <x:v>77300</x:v>
      </x:c>
      <x:c r="G243" t="n">
        <x:v>49458.51</x:v>
      </x:c>
      <x:c r="H243" t="n">
        <x:v>27841.49</x:v>
      </x:c>
      <x:c r="I243" t="n">
        <x:v>2852158.51</x:v>
      </x:c>
      <x:c r="J243" t="str">
        <x:v>En fecha</x:v>
      </x:c>
    </x:row>
    <x:row r="244">
      <x:c r="A244" t="str">
        <x:v>ABO-0000243</x:v>
      </x:c>
      <x:c r="B244" t="str">
        <x:v>2025-03</x:v>
      </x:c>
      <x:c r="C244" t="n">
        <x:v>45739</x:v>
      </x:c>
      <x:c r="D244" t="str">
        <x:v>USR-00093</x:v>
      </x:c>
      <x:c r="E244" t="str">
        <x:v>DEU-000175</x:v>
      </x:c>
      <x:c r="F244" t="n">
        <x:v>314300</x:v>
      </x:c>
      <x:c r="G244" t="n">
        <x:v>202866.69</x:v>
      </x:c>
      <x:c r="H244" t="n">
        <x:v>111433.31</x:v>
      </x:c>
      <x:c r="I244" t="n">
        <x:v>11528566.69</x:v>
      </x:c>
      <x:c r="J244" t="str">
        <x:v>En fecha</x:v>
      </x:c>
    </x:row>
    <x:row r="245">
      <x:c r="A245" t="str">
        <x:v>ABO-0000244</x:v>
      </x:c>
      <x:c r="B245" t="str">
        <x:v>2025-03</x:v>
      </x:c>
      <x:c r="C245" t="n">
        <x:v>45737</x:v>
      </x:c>
      <x:c r="D245" t="str">
        <x:v>USR-00094</x:v>
      </x:c>
      <x:c r="E245" t="str">
        <x:v>DEU-000176</x:v>
      </x:c>
      <x:c r="F245" t="n">
        <x:v>499200</x:v>
      </x:c>
      <x:c r="G245" t="n">
        <x:v>102092.9</x:v>
      </x:c>
      <x:c r="H245" t="n">
        <x:v>397107.1</x:v>
      </x:c>
      <x:c r="I245" t="n">
        <x:v>7582892.9</x:v>
      </x:c>
      <x:c r="J245" t="str">
        <x:v>En fecha</x:v>
      </x:c>
    </x:row>
    <x:row r="246">
      <x:c r="A246" t="str">
        <x:v>ABO-0000245</x:v>
      </x:c>
      <x:c r="B246" t="str">
        <x:v>2025-03</x:v>
      </x:c>
      <x:c r="C246" t="n">
        <x:v>45718</x:v>
      </x:c>
      <x:c r="D246" t="str">
        <x:v>USR-00094</x:v>
      </x:c>
      <x:c r="E246" t="str">
        <x:v>DEU-000177</x:v>
      </x:c>
      <x:c r="F246" t="n">
        <x:v>203100</x:v>
      </x:c>
      <x:c r="G246" t="n">
        <x:v>118263.12</x:v>
      </x:c>
      <x:c r="H246" t="n">
        <x:v>84836.88</x:v>
      </x:c>
      <x:c r="I246" t="n">
        <x:v>4735163.12</x:v>
      </x:c>
      <x:c r="J246" t="str">
        <x:v>En fecha</x:v>
      </x:c>
    </x:row>
    <x:row r="247">
      <x:c r="A247" t="str">
        <x:v>ABO-0000246</x:v>
      </x:c>
      <x:c r="B247" t="str">
        <x:v>2025-04</x:v>
      </x:c>
      <x:c r="C247" t="n">
        <x:v>45756</x:v>
      </x:c>
      <x:c r="D247" t="str">
        <x:v>USR-00001</x:v>
      </x:c>
      <x:c r="E247" t="str">
        <x:v>DEU-000001</x:v>
      </x:c>
      <x:c r="F247" t="n">
        <x:v>341800</x:v>
      </x:c>
      <x:c r="G247" t="n">
        <x:v>230662.87</x:v>
      </x:c>
      <x:c r="H247" t="n">
        <x:v>111137.13</x:v>
      </x:c>
      <x:c r="I247" t="n">
        <x:v>17374904.24</x:v>
      </x:c>
      <x:c r="J247" t="str">
        <x:v>Parcial</x:v>
      </x:c>
    </x:row>
    <x:row r="248">
      <x:c r="A248" t="str">
        <x:v>ABO-0000247</x:v>
      </x:c>
      <x:c r="B248" t="str">
        <x:v>2025-04</x:v>
      </x:c>
      <x:c r="C248" t="n">
        <x:v>45750</x:v>
      </x:c>
      <x:c r="D248" t="str">
        <x:v>USR-00002</x:v>
      </x:c>
      <x:c r="E248" t="str">
        <x:v>DEU-000002</x:v>
      </x:c>
      <x:c r="F248" t="n">
        <x:v>982100</x:v>
      </x:c>
      <x:c r="G248" t="n">
        <x:v>306172.46</x:v>
      </x:c>
      <x:c r="H248" t="n">
        <x:v>675927.54</x:v>
      </x:c>
      <x:c r="I248" t="n">
        <x:v>13823331.04</x:v>
      </x:c>
      <x:c r="J248" t="str">
        <x:v>En fecha</x:v>
      </x:c>
    </x:row>
    <x:row r="249">
      <x:c r="A249" t="str">
        <x:v>ABO-0000248</x:v>
      </x:c>
      <x:c r="B249" t="str">
        <x:v>2025-04</x:v>
      </x:c>
      <x:c r="C249" t="n">
        <x:v>45771</x:v>
      </x:c>
      <x:c r="D249" t="str">
        <x:v>USR-00002</x:v>
      </x:c>
      <x:c r="E249" t="str">
        <x:v>DEU-000003</x:v>
      </x:c>
      <x:c r="F249" t="n">
        <x:v>567300</x:v>
      </x:c>
      <x:c r="G249" t="n">
        <x:v>180152.29</x:v>
      </x:c>
      <x:c r="H249" t="n">
        <x:v>387147.71</x:v>
      </x:c>
      <x:c r="I249" t="n">
        <x:v>18613689.82</x:v>
      </x:c>
      <x:c r="J249" t="str">
        <x:v>En fecha</x:v>
      </x:c>
    </x:row>
    <x:row r="250">
      <x:c r="A250" t="str">
        <x:v>ABO-0000249</x:v>
      </x:c>
      <x:c r="B250" t="str">
        <x:v>2025-04</x:v>
      </x:c>
      <x:c r="C250" t="n">
        <x:v>45771</x:v>
      </x:c>
      <x:c r="D250" t="str">
        <x:v>USR-00003</x:v>
      </x:c>
      <x:c r="E250" t="str">
        <x:v>DEU-000004</x:v>
      </x:c>
      <x:c r="F250" t="n">
        <x:v>694600</x:v>
      </x:c>
      <x:c r="G250" t="n">
        <x:v>117244.39</x:v>
      </x:c>
      <x:c r="H250" t="n">
        <x:v>577355.61</x:v>
      </x:c>
      <x:c r="I250" t="n">
        <x:v>5133011.78</x:v>
      </x:c>
      <x:c r="J250" t="str">
        <x:v>En fecha</x:v>
      </x:c>
    </x:row>
    <x:row r="251">
      <x:c r="A251" t="str">
        <x:v>ABO-0000250</x:v>
      </x:c>
      <x:c r="B251" t="str">
        <x:v>2025-04</x:v>
      </x:c>
      <x:c r="C251" t="n">
        <x:v>45763</x:v>
      </x:c>
      <x:c r="D251" t="str">
        <x:v>USR-00004</x:v>
      </x:c>
      <x:c r="E251" t="str">
        <x:v>DEU-000006</x:v>
      </x:c>
      <x:c r="F251" t="n">
        <x:v>209400</x:v>
      </x:c>
      <x:c r="G251" t="n">
        <x:v>124519.61</x:v>
      </x:c>
      <x:c r="H251" t="n">
        <x:v>84880.39</x:v>
      </x:c>
      <x:c r="I251" t="n">
        <x:v>5832353.19</x:v>
      </x:c>
      <x:c r="J251" t="str">
        <x:v>En fecha</x:v>
      </x:c>
    </x:row>
    <x:row r="252">
      <x:c r="A252" t="str">
        <x:v>ABO-0000251</x:v>
      </x:c>
      <x:c r="B252" t="str">
        <x:v>2025-04</x:v>
      </x:c>
      <x:c r="C252" t="n">
        <x:v>45750</x:v>
      </x:c>
      <x:c r="D252" t="str">
        <x:v>USR-00004</x:v>
      </x:c>
      <x:c r="E252" t="str">
        <x:v>DEU-000007</x:v>
      </x:c>
      <x:c r="F252" t="n">
        <x:v>981900</x:v>
      </x:c>
      <x:c r="G252" t="n">
        <x:v>176667.2</x:v>
      </x:c>
      <x:c r="H252" t="n">
        <x:v>805232.8</x:v>
      </x:c>
      <x:c r="I252" t="n">
        <x:v>11552865.52</x:v>
      </x:c>
      <x:c r="J252" t="str">
        <x:v>En fecha</x:v>
      </x:c>
    </x:row>
    <x:row r="253">
      <x:c r="A253" t="str">
        <x:v>ABO-0000252</x:v>
      </x:c>
      <x:c r="B253" t="str">
        <x:v>2025-04</x:v>
      </x:c>
      <x:c r="C253" t="n">
        <x:v>45761</x:v>
      </x:c>
      <x:c r="D253" t="str">
        <x:v>USR-00005</x:v>
      </x:c>
      <x:c r="E253" t="str">
        <x:v>DEU-000053</x:v>
      </x:c>
      <x:c r="F253" t="n">
        <x:v>79100</x:v>
      </x:c>
      <x:c r="G253" t="n">
        <x:v>36908.65</x:v>
      </x:c>
      <x:c r="H253" t="n">
        <x:v>42191.35</x:v>
      </x:c>
      <x:c r="I253" t="n">
        <x:v>2671365.68</x:v>
      </x:c>
      <x:c r="J253" t="str">
        <x:v>En fecha</x:v>
      </x:c>
    </x:row>
    <x:row r="254">
      <x:c r="A254" t="str">
        <x:v>ABO-0000253</x:v>
      </x:c>
      <x:c r="B254" t="str">
        <x:v>2025-04</x:v>
      </x:c>
      <x:c r="C254" t="n">
        <x:v>45755</x:v>
      </x:c>
      <x:c r="D254" t="str">
        <x:v>USR-00007</x:v>
      </x:c>
      <x:c r="E254" t="str">
        <x:v>DEU-000011</x:v>
      </x:c>
      <x:c r="F254" t="n">
        <x:v>661600</x:v>
      </x:c>
      <x:c r="G254" t="n">
        <x:v>307919.45</x:v>
      </x:c>
      <x:c r="H254" t="n">
        <x:v>353680.55</x:v>
      </x:c>
      <x:c r="I254" t="n">
        <x:v>13597200.33</x:v>
      </x:c>
      <x:c r="J254" t="str">
        <x:v>Parcial</x:v>
      </x:c>
    </x:row>
    <x:row r="255">
      <x:c r="A255" t="str">
        <x:v>ABO-0000254</x:v>
      </x:c>
      <x:c r="B255" t="str">
        <x:v>2025-04</x:v>
      </x:c>
      <x:c r="C255" t="n">
        <x:v>45757</x:v>
      </x:c>
      <x:c r="D255" t="str">
        <x:v>USR-00008</x:v>
      </x:c>
      <x:c r="E255" t="str">
        <x:v>DEU-000012</x:v>
      </x:c>
      <x:c r="F255" t="n">
        <x:v>1462500</x:v>
      </x:c>
      <x:c r="G255" t="n">
        <x:v>173447.96</x:v>
      </x:c>
      <x:c r="H255" t="n">
        <x:v>1289052.04</x:v>
      </x:c>
      <x:c r="I255" t="n">
        <x:v>14055644.06</x:v>
      </x:c>
      <x:c r="J255" t="str">
        <x:v>En fecha</x:v>
      </x:c>
    </x:row>
    <x:row r="256">
      <x:c r="A256" t="str">
        <x:v>ABO-0000255</x:v>
      </x:c>
      <x:c r="B256" t="str">
        <x:v>2025-04</x:v>
      </x:c>
      <x:c r="C256" t="n">
        <x:v>45752</x:v>
      </x:c>
      <x:c r="D256" t="str">
        <x:v>USR-00008</x:v>
      </x:c>
      <x:c r="E256" t="str">
        <x:v>DEU-000013</x:v>
      </x:c>
      <x:c r="F256" t="n">
        <x:v>650500</x:v>
      </x:c>
      <x:c r="G256" t="n">
        <x:v>153657.85</x:v>
      </x:c>
      <x:c r="H256" t="n">
        <x:v>496842.15</x:v>
      </x:c>
      <x:c r="I256" t="n">
        <x:v>12905130.68</x:v>
      </x:c>
      <x:c r="J256" t="str">
        <x:v>En fecha</x:v>
      </x:c>
    </x:row>
    <x:row r="257">
      <x:c r="A257" t="str">
        <x:v>ABO-0000256</x:v>
      </x:c>
      <x:c r="B257" t="str">
        <x:v>2025-04</x:v>
      </x:c>
      <x:c r="C257" t="n">
        <x:v>45765</x:v>
      </x:c>
      <x:c r="D257" t="str">
        <x:v>USR-00009</x:v>
      </x:c>
      <x:c r="E257" t="str">
        <x:v>DEU-000014</x:v>
      </x:c>
      <x:c r="F257" t="n">
        <x:v>310400</x:v>
      </x:c>
      <x:c r="G257" t="n">
        <x:v>138691.26</x:v>
      </x:c>
      <x:c r="H257" t="n">
        <x:v>171708.74</x:v>
      </x:c>
      <x:c r="I257" t="n">
        <x:v>5461828.65</x:v>
      </x:c>
      <x:c r="J257" t="str">
        <x:v>En fecha</x:v>
      </x:c>
    </x:row>
    <x:row r="258">
      <x:c r="A258" t="str">
        <x:v>ABO-0000257</x:v>
      </x:c>
      <x:c r="B258" t="str">
        <x:v>2025-04</x:v>
      </x:c>
      <x:c r="C258" t="n">
        <x:v>45768</x:v>
      </x:c>
      <x:c r="D258" t="str">
        <x:v>USR-00010</x:v>
      </x:c>
      <x:c r="E258" t="str">
        <x:v>DEU-000015</x:v>
      </x:c>
      <x:c r="F258" t="n">
        <x:v>1278200</x:v>
      </x:c>
      <x:c r="G258" t="n">
        <x:v>419118.35</x:v>
      </x:c>
      <x:c r="H258" t="n">
        <x:v>859081.65</x:v>
      </x:c>
      <x:c r="I258" t="n">
        <x:v>16765988.39</x:v>
      </x:c>
      <x:c r="J258" t="str">
        <x:v>En fecha</x:v>
      </x:c>
    </x:row>
    <x:row r="259">
      <x:c r="A259" t="str">
        <x:v>ABO-0000258</x:v>
      </x:c>
      <x:c r="B259" t="str">
        <x:v>2025-04</x:v>
      </x:c>
      <x:c r="C259" t="n">
        <x:v>45749</x:v>
      </x:c>
      <x:c r="D259" t="str">
        <x:v>USR-00010</x:v>
      </x:c>
      <x:c r="E259" t="str">
        <x:v>DEU-000016</x:v>
      </x:c>
      <x:c r="F259" t="n">
        <x:v>108200</x:v>
      </x:c>
      <x:c r="G259" t="n">
        <x:v>70704.77</x:v>
      </x:c>
      <x:c r="H259" t="n">
        <x:v>37495.23</x:v>
      </x:c>
      <x:c r="I259" t="n">
        <x:v>3027415.14</x:v>
      </x:c>
      <x:c r="J259" t="str">
        <x:v>En fecha</x:v>
      </x:c>
    </x:row>
    <x:row r="260">
      <x:c r="A260" t="str">
        <x:v>ABO-0000259</x:v>
      </x:c>
      <x:c r="B260" t="str">
        <x:v>2025-04</x:v>
      </x:c>
      <x:c r="C260" t="n">
        <x:v>45756</x:v>
      </x:c>
      <x:c r="D260" t="str">
        <x:v>USR-00011</x:v>
      </x:c>
      <x:c r="E260" t="str">
        <x:v>DEU-000018</x:v>
      </x:c>
      <x:c r="F260" t="n">
        <x:v>2175100</x:v>
      </x:c>
      <x:c r="G260" t="n">
        <x:v>371785.17</x:v>
      </x:c>
      <x:c r="H260" t="n">
        <x:v>1803314.83</x:v>
      </x:c>
      <x:c r="I260" t="n">
        <x:v>13420708.31</x:v>
      </x:c>
      <x:c r="J260" t="str">
        <x:v>En fecha</x:v>
      </x:c>
    </x:row>
    <x:row r="261">
      <x:c r="A261" t="str">
        <x:v>ABO-0000260</x:v>
      </x:c>
      <x:c r="B261" t="str">
        <x:v>2025-04</x:v>
      </x:c>
      <x:c r="C261" t="n">
        <x:v>45748</x:v>
      </x:c>
      <x:c r="D261" t="str">
        <x:v>USR-00012</x:v>
      </x:c>
      <x:c r="E261" t="str">
        <x:v>DEU-000020</x:v>
      </x:c>
      <x:c r="F261" t="n">
        <x:v>206000</x:v>
      </x:c>
      <x:c r="G261" t="n">
        <x:v>195051.01</x:v>
      </x:c>
      <x:c r="H261" t="n">
        <x:v>10948.99</x:v>
      </x:c>
      <x:c r="I261" t="n">
        <x:v>8158334.97</x:v>
      </x:c>
      <x:c r="J261" t="str">
        <x:v>Parcial</x:v>
      </x:c>
    </x:row>
    <x:row r="262">
      <x:c r="A262" t="str">
        <x:v>ABO-0000261</x:v>
      </x:c>
      <x:c r="B262" t="str">
        <x:v>2025-04</x:v>
      </x:c>
      <x:c r="C262" t="n">
        <x:v>45754</x:v>
      </x:c>
      <x:c r="D262" t="str">
        <x:v>USR-00014</x:v>
      </x:c>
      <x:c r="E262" t="str">
        <x:v>DEU-000023</x:v>
      </x:c>
      <x:c r="F262" t="n">
        <x:v>153300</x:v>
      </x:c>
      <x:c r="G262" t="n">
        <x:v>42533.83</x:v>
      </x:c>
      <x:c r="H262" t="n">
        <x:v>110766.17</x:v>
      </x:c>
      <x:c r="I262" t="n">
        <x:v>2452929.02</x:v>
      </x:c>
      <x:c r="J262" t="str">
        <x:v>Parcial</x:v>
      </x:c>
    </x:row>
    <x:row r="263">
      <x:c r="A263" t="str">
        <x:v>ABO-0000262</x:v>
      </x:c>
      <x:c r="B263" t="str">
        <x:v>2025-04</x:v>
      </x:c>
      <x:c r="C263" t="n">
        <x:v>45756</x:v>
      </x:c>
      <x:c r="D263" t="str">
        <x:v>USR-00014</x:v>
      </x:c>
      <x:c r="E263" t="str">
        <x:v>DEU-000024</x:v>
      </x:c>
      <x:c r="F263" t="n">
        <x:v>1123200</x:v>
      </x:c>
      <x:c r="G263" t="n">
        <x:v>163018.7</x:v>
      </x:c>
      <x:c r="H263" t="n">
        <x:v>960181.3</x:v>
      </x:c>
      <x:c r="I263" t="n">
        <x:v>5966521.66</x:v>
      </x:c>
      <x:c r="J263" t="str">
        <x:v>En fecha</x:v>
      </x:c>
    </x:row>
    <x:row r="264">
      <x:c r="A264" t="str">
        <x:v>ABO-0000263</x:v>
      </x:c>
      <x:c r="B264" t="str">
        <x:v>2025-04</x:v>
      </x:c>
      <x:c r="C264" t="n">
        <x:v>45751</x:v>
      </x:c>
      <x:c r="D264" t="str">
        <x:v>USR-00016</x:v>
      </x:c>
      <x:c r="E264" t="str">
        <x:v>DEU-000027</x:v>
      </x:c>
      <x:c r="F264" t="n">
        <x:v>179400</x:v>
      </x:c>
      <x:c r="G264" t="n">
        <x:v>68073.09</x:v>
      </x:c>
      <x:c r="H264" t="n">
        <x:v>111326.91</x:v>
      </x:c>
      <x:c r="I264" t="n">
        <x:v>4132670.19</x:v>
      </x:c>
      <x:c r="J264" t="str">
        <x:v>Parcial</x:v>
      </x:c>
    </x:row>
    <x:row r="265">
      <x:c r="A265" t="str">
        <x:v>ABO-0000264</x:v>
      </x:c>
      <x:c r="B265" t="str">
        <x:v>2025-04</x:v>
      </x:c>
      <x:c r="C265" t="n">
        <x:v>45751</x:v>
      </x:c>
      <x:c r="D265" t="str">
        <x:v>USR-00017</x:v>
      </x:c>
      <x:c r="E265" t="str">
        <x:v>DEU-000028</x:v>
      </x:c>
      <x:c r="F265" t="n">
        <x:v>84200</x:v>
      </x:c>
      <x:c r="G265" t="n">
        <x:v>25051.36</x:v>
      </x:c>
      <x:c r="H265" t="n">
        <x:v>59148.64</x:v>
      </x:c>
      <x:c r="I265" t="n">
        <x:v>2358140.88</x:v>
      </x:c>
      <x:c r="J265" t="str">
        <x:v>En fecha</x:v>
      </x:c>
    </x:row>
    <x:row r="266">
      <x:c r="A266" t="str">
        <x:v>ABO-0000265</x:v>
      </x:c>
      <x:c r="B266" t="str">
        <x:v>2025-04</x:v>
      </x:c>
      <x:c r="C266" t="n">
        <x:v>45767</x:v>
      </x:c>
      <x:c r="D266" t="str">
        <x:v>USR-00018</x:v>
      </x:c>
      <x:c r="E266" t="str">
        <x:v>DEU-000029</x:v>
      </x:c>
      <x:c r="F266" t="n">
        <x:v>281600</x:v>
      </x:c>
      <x:c r="G266" t="n">
        <x:v>168744.07</x:v>
      </x:c>
      <x:c r="H266" t="n">
        <x:v>112855.93</x:v>
      </x:c>
      <x:c r="I266" t="n">
        <x:v>8622316.04</x:v>
      </x:c>
      <x:c r="J266" t="str">
        <x:v>Parcial</x:v>
      </x:c>
    </x:row>
    <x:row r="267">
      <x:c r="A267" t="str">
        <x:v>ABO-0000266</x:v>
      </x:c>
      <x:c r="B267" t="str">
        <x:v>2025-04</x:v>
      </x:c>
      <x:c r="C267" t="n">
        <x:v>45768</x:v>
      </x:c>
      <x:c r="D267" t="str">
        <x:v>USR-00019</x:v>
      </x:c>
      <x:c r="E267" t="str">
        <x:v>DEU-000030</x:v>
      </x:c>
      <x:c r="F267" t="n">
        <x:v>173000</x:v>
      </x:c>
      <x:c r="G267" t="n">
        <x:v>95167.77</x:v>
      </x:c>
      <x:c r="H267" t="n">
        <x:v>77832.23</x:v>
      </x:c>
      <x:c r="I267" t="n">
        <x:v>5371892.87</x:v>
      </x:c>
      <x:c r="J267" t="str">
        <x:v>En fecha</x:v>
      </x:c>
    </x:row>
    <x:row r="268">
      <x:c r="A268" t="str">
        <x:v>ABO-0000267</x:v>
      </x:c>
      <x:c r="B268" t="str">
        <x:v>2025-04</x:v>
      </x:c>
      <x:c r="C268" t="n">
        <x:v>45763</x:v>
      </x:c>
      <x:c r="D268" t="str">
        <x:v>USR-00019</x:v>
      </x:c>
      <x:c r="E268" t="str">
        <x:v>DEU-000031</x:v>
      </x:c>
      <x:c r="F268" t="n">
        <x:v>563000</x:v>
      </x:c>
      <x:c r="G268" t="n">
        <x:v>147843.44</x:v>
      </x:c>
      <x:c r="H268" t="n">
        <x:v>415156.56</x:v>
      </x:c>
      <x:c r="I268" t="n">
        <x:v>6923977.77</x:v>
      </x:c>
      <x:c r="J268" t="str">
        <x:v>En fecha</x:v>
      </x:c>
    </x:row>
    <x:row r="269">
      <x:c r="A269" t="str">
        <x:v>ABO-0000268</x:v>
      </x:c>
      <x:c r="B269" t="str">
        <x:v>2025-04</x:v>
      </x:c>
      <x:c r="C269" t="n">
        <x:v>45752</x:v>
      </x:c>
      <x:c r="D269" t="str">
        <x:v>USR-00020</x:v>
      </x:c>
      <x:c r="E269" t="str">
        <x:v>DEU-000032</x:v>
      </x:c>
      <x:c r="F269" t="n">
        <x:v>142600</x:v>
      </x:c>
      <x:c r="G269" t="n">
        <x:v>143547.94</x:v>
      </x:c>
      <x:c r="H269" t="n">
        <x:v>0</x:v>
      </x:c>
      <x:c r="I269" t="n">
        <x:v>5747082.01</x:v>
      </x:c>
      <x:c r="J269" t="str">
        <x:v>Parcial</x:v>
      </x:c>
    </x:row>
    <x:row r="270">
      <x:c r="A270" t="str">
        <x:v>ABO-0000269</x:v>
      </x:c>
      <x:c r="B270" t="str">
        <x:v>2025-04</x:v>
      </x:c>
      <x:c r="C270" t="n">
        <x:v>45753</x:v>
      </x:c>
      <x:c r="D270" t="str">
        <x:v>USR-00021</x:v>
      </x:c>
      <x:c r="E270" t="str">
        <x:v>DEU-000033</x:v>
      </x:c>
      <x:c r="F270" t="n">
        <x:v>1089200</x:v>
      </x:c>
      <x:c r="G270" t="n">
        <x:v>422700.33</x:v>
      </x:c>
      <x:c r="H270" t="n">
        <x:v>666499.67</x:v>
      </x:c>
      <x:c r="I270" t="n">
        <x:v>24994406.7</x:v>
      </x:c>
      <x:c r="J270" t="str">
        <x:v>Parcial</x:v>
      </x:c>
    </x:row>
    <x:row r="271">
      <x:c r="A271" t="str">
        <x:v>ABO-0000270</x:v>
      </x:c>
      <x:c r="B271" t="str">
        <x:v>2025-04</x:v>
      </x:c>
      <x:c r="C271" t="n">
        <x:v>45748</x:v>
      </x:c>
      <x:c r="D271" t="str">
        <x:v>USR-00022</x:v>
      </x:c>
      <x:c r="E271" t="str">
        <x:v>DEU-000034</x:v>
      </x:c>
      <x:c r="F271" t="n">
        <x:v>1122600</x:v>
      </x:c>
      <x:c r="G271" t="n">
        <x:v>249419.33</x:v>
      </x:c>
      <x:c r="H271" t="n">
        <x:v>873180.67</x:v>
      </x:c>
      <x:c r="I271" t="n">
        <x:v>13912871.31</x:v>
      </x:c>
      <x:c r="J271" t="str">
        <x:v>Parcial</x:v>
      </x:c>
    </x:row>
    <x:row r="272">
      <x:c r="A272" t="str">
        <x:v>ABO-0000271</x:v>
      </x:c>
      <x:c r="B272" t="str">
        <x:v>2025-04</x:v>
      </x:c>
      <x:c r="C272" t="n">
        <x:v>45773</x:v>
      </x:c>
      <x:c r="D272" t="str">
        <x:v>USR-00022</x:v>
      </x:c>
      <x:c r="E272" t="str">
        <x:v>DEU-000035</x:v>
      </x:c>
      <x:c r="F272" t="n">
        <x:v>121300</x:v>
      </x:c>
      <x:c r="G272" t="n">
        <x:v>70518.67</x:v>
      </x:c>
      <x:c r="H272" t="n">
        <x:v>50781.33</x:v>
      </x:c>
      <x:c r="I272" t="n">
        <x:v>4762316.78</x:v>
      </x:c>
      <x:c r="J272" t="str">
        <x:v>En fecha</x:v>
      </x:c>
    </x:row>
    <x:row r="273">
      <x:c r="A273" t="str">
        <x:v>ABO-0000272</x:v>
      </x:c>
      <x:c r="B273" t="str">
        <x:v>2025-04</x:v>
      </x:c>
      <x:c r="C273" t="n">
        <x:v>45755</x:v>
      </x:c>
      <x:c r="D273" t="str">
        <x:v>USR-00024</x:v>
      </x:c>
      <x:c r="E273" t="str">
        <x:v>DEU-000037</x:v>
      </x:c>
      <x:c r="F273" t="n">
        <x:v>13500</x:v>
      </x:c>
      <x:c r="G273" t="n">
        <x:v>12552.52</x:v>
      </x:c>
      <x:c r="H273" t="n">
        <x:v>947.48</x:v>
      </x:c>
      <x:c r="I273" t="n">
        <x:v>785065.17</x:v>
      </x:c>
      <x:c r="J273" t="str">
        <x:v>Parcial</x:v>
      </x:c>
    </x:row>
    <x:row r="274">
      <x:c r="A274" t="str">
        <x:v>ABO-0000273</x:v>
      </x:c>
      <x:c r="B274" t="str">
        <x:v>2025-04</x:v>
      </x:c>
      <x:c r="C274" t="n">
        <x:v>45764</x:v>
      </x:c>
      <x:c r="D274" t="str">
        <x:v>USR-00024</x:v>
      </x:c>
      <x:c r="E274" t="str">
        <x:v>DEU-000038</x:v>
      </x:c>
      <x:c r="F274" t="n">
        <x:v>1687200</x:v>
      </x:c>
      <x:c r="G274" t="n">
        <x:v>1295862.74</x:v>
      </x:c>
      <x:c r="H274" t="n">
        <x:v>391337.26</x:v>
      </x:c>
      <x:c r="I274" t="n">
        <x:v>52825470.83</x:v>
      </x:c>
      <x:c r="J274" t="str">
        <x:v>En fecha</x:v>
      </x:c>
    </x:row>
    <x:row r="275">
      <x:c r="A275" t="str">
        <x:v>ABO-0000274</x:v>
      </x:c>
      <x:c r="B275" t="str">
        <x:v>2025-04</x:v>
      </x:c>
      <x:c r="C275" t="n">
        <x:v>45766</x:v>
      </x:c>
      <x:c r="D275" t="str">
        <x:v>USR-00025</x:v>
      </x:c>
      <x:c r="E275" t="str">
        <x:v>DEU-000039</x:v>
      </x:c>
      <x:c r="F275" t="n">
        <x:v>238000</x:v>
      </x:c>
      <x:c r="G275" t="n">
        <x:v>68837.32</x:v>
      </x:c>
      <x:c r="H275" t="n">
        <x:v>169162.68</x:v>
      </x:c>
      <x:c r="I275" t="n">
        <x:v>5993094.17</x:v>
      </x:c>
      <x:c r="J275" t="str">
        <x:v>Parcial</x:v>
      </x:c>
    </x:row>
    <x:row r="276">
      <x:c r="A276" t="str">
        <x:v>ABO-0000275</x:v>
      </x:c>
      <x:c r="B276" t="str">
        <x:v>2025-04</x:v>
      </x:c>
      <x:c r="C276" t="n">
        <x:v>45761</x:v>
      </x:c>
      <x:c r="D276" t="str">
        <x:v>USR-00025</x:v>
      </x:c>
      <x:c r="E276" t="str">
        <x:v>DEU-000040</x:v>
      </x:c>
      <x:c r="F276" t="n">
        <x:v>158900</x:v>
      </x:c>
      <x:c r="G276" t="n">
        <x:v>98047.35</x:v>
      </x:c>
      <x:c r="H276" t="n">
        <x:v>60852.65</x:v>
      </x:c>
      <x:c r="I276" t="n">
        <x:v>5669263.55</x:v>
      </x:c>
      <x:c r="J276" t="str">
        <x:v>En fecha</x:v>
      </x:c>
    </x:row>
    <x:row r="277">
      <x:c r="A277" t="str">
        <x:v>ABO-0000276</x:v>
      </x:c>
      <x:c r="B277" t="str">
        <x:v>2025-04</x:v>
      </x:c>
      <x:c r="C277" t="n">
        <x:v>45758</x:v>
      </x:c>
      <x:c r="D277" t="str">
        <x:v>USR-00026</x:v>
      </x:c>
      <x:c r="E277" t="str">
        <x:v>DEU-000041</x:v>
      </x:c>
      <x:c r="F277" t="n">
        <x:v>245100</x:v>
      </x:c>
      <x:c r="G277" t="n">
        <x:v>77415.07</x:v>
      </x:c>
      <x:c r="H277" t="n">
        <x:v>167684.93</x:v>
      </x:c>
      <x:c r="I277" t="n">
        <x:v>5228766.68</x:v>
      </x:c>
      <x:c r="J277" t="str">
        <x:v>En fecha</x:v>
      </x:c>
    </x:row>
    <x:row r="278">
      <x:c r="A278" t="str">
        <x:v>ABO-0000277</x:v>
      </x:c>
      <x:c r="B278" t="str">
        <x:v>2025-04</x:v>
      </x:c>
      <x:c r="C278" t="n">
        <x:v>45764</x:v>
      </x:c>
      <x:c r="D278" t="str">
        <x:v>USR-00028</x:v>
      </x:c>
      <x:c r="E278" t="str">
        <x:v>DEU-000047</x:v>
      </x:c>
      <x:c r="F278" t="n">
        <x:v>231400</x:v>
      </x:c>
      <x:c r="G278" t="n">
        <x:v>101331.27</x:v>
      </x:c>
      <x:c r="H278" t="n">
        <x:v>130068.73</x:v>
      </x:c>
      <x:c r="I278" t="n">
        <x:v>5525722.18</x:v>
      </x:c>
      <x:c r="J278" t="str">
        <x:v>En fecha</x:v>
      </x:c>
    </x:row>
    <x:row r="279">
      <x:c r="A279" t="str">
        <x:v>ABO-0000278</x:v>
      </x:c>
      <x:c r="B279" t="str">
        <x:v>2025-04</x:v>
      </x:c>
      <x:c r="C279" t="n">
        <x:v>45752</x:v>
      </x:c>
      <x:c r="D279" t="str">
        <x:v>USR-00030</x:v>
      </x:c>
      <x:c r="E279" t="str">
        <x:v>DEU-000050</x:v>
      </x:c>
      <x:c r="F279" t="n">
        <x:v>224500</x:v>
      </x:c>
      <x:c r="G279" t="n">
        <x:v>111879.6</x:v>
      </x:c>
      <x:c r="H279" t="n">
        <x:v>112620.4</x:v>
      </x:c>
      <x:c r="I279" t="n">
        <x:v>5195596.79</x:v>
      </x:c>
      <x:c r="J279" t="str">
        <x:v>Parcial</x:v>
      </x:c>
    </x:row>
    <x:row r="280">
      <x:c r="A280" t="str">
        <x:v>ABO-0000279</x:v>
      </x:c>
      <x:c r="B280" t="str">
        <x:v>2025-04</x:v>
      </x:c>
      <x:c r="C280" t="n">
        <x:v>45773</x:v>
      </x:c>
      <x:c r="D280" t="str">
        <x:v>USR-00031</x:v>
      </x:c>
      <x:c r="E280" t="str">
        <x:v>DEU-000051</x:v>
      </x:c>
      <x:c r="F280" t="n">
        <x:v>945200</x:v>
      </x:c>
      <x:c r="G280" t="n">
        <x:v>444100.67</x:v>
      </x:c>
      <x:c r="H280" t="n">
        <x:v>501099.33</x:v>
      </x:c>
      <x:c r="I280" t="n">
        <x:v>25590315.93</x:v>
      </x:c>
      <x:c r="J280" t="str">
        <x:v>En fecha</x:v>
      </x:c>
    </x:row>
    <x:row r="281">
      <x:c r="A281" t="str">
        <x:v>ABO-0000280</x:v>
      </x:c>
      <x:c r="B281" t="str">
        <x:v>2025-04</x:v>
      </x:c>
      <x:c r="C281" t="n">
        <x:v>45768</x:v>
      </x:c>
      <x:c r="D281" t="str">
        <x:v>USR-00032</x:v>
      </x:c>
      <x:c r="E281" t="str">
        <x:v>DEU-000054</x:v>
      </x:c>
      <x:c r="F281" t="n">
        <x:v>601500</x:v>
      </x:c>
      <x:c r="G281" t="n">
        <x:v>80785.07</x:v>
      </x:c>
      <x:c r="H281" t="n">
        <x:v>520714.93</x:v>
      </x:c>
      <x:c r="I281" t="n">
        <x:v>6706323.07</x:v>
      </x:c>
      <x:c r="J281" t="str">
        <x:v>Parcial</x:v>
      </x:c>
    </x:row>
    <x:row r="282">
      <x:c r="A282" t="str">
        <x:v>ABO-0000281</x:v>
      </x:c>
      <x:c r="B282" t="str">
        <x:v>2025-04</x:v>
      </x:c>
      <x:c r="C282" t="n">
        <x:v>45756</x:v>
      </x:c>
      <x:c r="D282" t="str">
        <x:v>USR-00032</x:v>
      </x:c>
      <x:c r="E282" t="str">
        <x:v>DEU-000055</x:v>
      </x:c>
      <x:c r="F282" t="n">
        <x:v>800300</x:v>
      </x:c>
      <x:c r="G282" t="n">
        <x:v>182092.69</x:v>
      </x:c>
      <x:c r="H282" t="n">
        <x:v>618207.31</x:v>
      </x:c>
      <x:c r="I282" t="n">
        <x:v>12372430.83</x:v>
      </x:c>
      <x:c r="J282" t="str">
        <x:v>En fecha</x:v>
      </x:c>
    </x:row>
    <x:row r="283">
      <x:c r="A283" t="str">
        <x:v>ABO-0000282</x:v>
      </x:c>
      <x:c r="B283" t="str">
        <x:v>2025-04</x:v>
      </x:c>
      <x:c r="C283" t="n">
        <x:v>45749</x:v>
      </x:c>
      <x:c r="D283" t="str">
        <x:v>USR-00034</x:v>
      </x:c>
      <x:c r="E283" t="str">
        <x:v>DEU-000057</x:v>
      </x:c>
      <x:c r="F283" t="n">
        <x:v>244900</x:v>
      </x:c>
      <x:c r="G283" t="n">
        <x:v>66243.61</x:v>
      </x:c>
      <x:c r="H283" t="n">
        <x:v>178656.39</x:v>
      </x:c>
      <x:c r="I283" t="n">
        <x:v>3998696</x:v>
      </x:c>
      <x:c r="J283" t="str">
        <x:v>Parcial</x:v>
      </x:c>
    </x:row>
    <x:row r="284">
      <x:c r="A284" t="str">
        <x:v>ABO-0000283</x:v>
      </x:c>
      <x:c r="B284" t="str">
        <x:v>2025-04</x:v>
      </x:c>
      <x:c r="C284" t="n">
        <x:v>45762</x:v>
      </x:c>
      <x:c r="D284" t="str">
        <x:v>USR-00034</x:v>
      </x:c>
      <x:c r="E284" t="str">
        <x:v>DEU-000058</x:v>
      </x:c>
      <x:c r="F284" t="n">
        <x:v>168200</x:v>
      </x:c>
      <x:c r="G284" t="n">
        <x:v>65458.95</x:v>
      </x:c>
      <x:c r="H284" t="n">
        <x:v>102741.05</x:v>
      </x:c>
      <x:c r="I284" t="n">
        <x:v>6236370.99</x:v>
      </x:c>
      <x:c r="J284" t="str">
        <x:v>En fecha</x:v>
      </x:c>
    </x:row>
    <x:row r="285">
      <x:c r="A285" t="str">
        <x:v>ABO-0000284</x:v>
      </x:c>
      <x:c r="B285" t="str">
        <x:v>2025-04</x:v>
      </x:c>
      <x:c r="C285" t="n">
        <x:v>45748</x:v>
      </x:c>
      <x:c r="D285" t="str">
        <x:v>USR-00035</x:v>
      </x:c>
      <x:c r="E285" t="str">
        <x:v>DEU-000060</x:v>
      </x:c>
      <x:c r="F285" t="n">
        <x:v>102900</x:v>
      </x:c>
      <x:c r="G285" t="n">
        <x:v>64280.64</x:v>
      </x:c>
      <x:c r="H285" t="n">
        <x:v>38619.36</x:v>
      </x:c>
      <x:c r="I285" t="n">
        <x:v>3981213.5</x:v>
      </x:c>
      <x:c r="J285" t="str">
        <x:v>En fecha</x:v>
      </x:c>
    </x:row>
    <x:row r="286">
      <x:c r="A286" t="str">
        <x:v>ABO-0000285</x:v>
      </x:c>
      <x:c r="B286" t="str">
        <x:v>2025-04</x:v>
      </x:c>
      <x:c r="C286" t="n">
        <x:v>45771</x:v>
      </x:c>
      <x:c r="D286" t="str">
        <x:v>USR-00036</x:v>
      </x:c>
      <x:c r="E286" t="str">
        <x:v>DEU-000061</x:v>
      </x:c>
      <x:c r="F286" t="n">
        <x:v>153600</x:v>
      </x:c>
      <x:c r="G286" t="n">
        <x:v>57233.48</x:v>
      </x:c>
      <x:c r="H286" t="n">
        <x:v>96366.52</x:v>
      </x:c>
      <x:c r="I286" t="n">
        <x:v>5679861.64</x:v>
      </x:c>
      <x:c r="J286" t="str">
        <x:v>Parcial</x:v>
      </x:c>
    </x:row>
    <x:row r="287">
      <x:c r="A287" t="str">
        <x:v>ABO-0000286</x:v>
      </x:c>
      <x:c r="B287" t="str">
        <x:v>2025-04</x:v>
      </x:c>
      <x:c r="C287" t="n">
        <x:v>45763</x:v>
      </x:c>
      <x:c r="D287" t="str">
        <x:v>USR-00036</x:v>
      </x:c>
      <x:c r="E287" t="str">
        <x:v>DEU-000062</x:v>
      </x:c>
      <x:c r="F287" t="n">
        <x:v>840400</x:v>
      </x:c>
      <x:c r="G287" t="n">
        <x:v>371030.72</x:v>
      </x:c>
      <x:c r="H287" t="n">
        <x:v>469369.28</x:v>
      </x:c>
      <x:c r="I287" t="n">
        <x:v>18408042.87</x:v>
      </x:c>
      <x:c r="J287" t="str">
        <x:v>En fecha</x:v>
      </x:c>
    </x:row>
    <x:row r="288">
      <x:c r="A288" t="str">
        <x:v>ABO-0000287</x:v>
      </x:c>
      <x:c r="B288" t="str">
        <x:v>2025-04</x:v>
      </x:c>
      <x:c r="C288" t="n">
        <x:v>45762</x:v>
      </x:c>
      <x:c r="D288" t="str">
        <x:v>USR-00037</x:v>
      </x:c>
      <x:c r="E288" t="str">
        <x:v>DEU-000063</x:v>
      </x:c>
      <x:c r="F288" t="n">
        <x:v>450700</x:v>
      </x:c>
      <x:c r="G288" t="n">
        <x:v>160351.67</x:v>
      </x:c>
      <x:c r="H288" t="n">
        <x:v>290348.33</x:v>
      </x:c>
      <x:c r="I288" t="n">
        <x:v>8683698.25</x:v>
      </x:c>
      <x:c r="J288" t="str">
        <x:v>En fecha</x:v>
      </x:c>
    </x:row>
    <x:row r="289">
      <x:c r="A289" t="str">
        <x:v>ABO-0000288</x:v>
      </x:c>
      <x:c r="B289" t="str">
        <x:v>2025-04</x:v>
      </x:c>
      <x:c r="C289" t="n">
        <x:v>45755</x:v>
      </x:c>
      <x:c r="D289" t="str">
        <x:v>USR-00037</x:v>
      </x:c>
      <x:c r="E289" t="str">
        <x:v>DEU-000064</x:v>
      </x:c>
      <x:c r="F289" t="n">
        <x:v>121800</x:v>
      </x:c>
      <x:c r="G289" t="n">
        <x:v>48210.64</x:v>
      </x:c>
      <x:c r="H289" t="n">
        <x:v>73589.36</x:v>
      </x:c>
      <x:c r="I289" t="n">
        <x:v>3470899.76</x:v>
      </x:c>
      <x:c r="J289" t="str">
        <x:v>En fecha</x:v>
      </x:c>
    </x:row>
    <x:row r="290">
      <x:c r="A290" t="str">
        <x:v>ABO-0000289</x:v>
      </x:c>
      <x:c r="B290" t="str">
        <x:v>2025-04</x:v>
      </x:c>
      <x:c r="C290" t="n">
        <x:v>45751</x:v>
      </x:c>
      <x:c r="D290" t="str">
        <x:v>USR-00038</x:v>
      </x:c>
      <x:c r="E290" t="str">
        <x:v>DEU-000065</x:v>
      </x:c>
      <x:c r="F290" t="n">
        <x:v>681800</x:v>
      </x:c>
      <x:c r="G290" t="n">
        <x:v>134186.74</x:v>
      </x:c>
      <x:c r="H290" t="n">
        <x:v>547613.26</x:v>
      </x:c>
      <x:c r="I290" t="n">
        <x:v>8373694.45</x:v>
      </x:c>
      <x:c r="J290" t="str">
        <x:v>En fecha</x:v>
      </x:c>
    </x:row>
    <x:row r="291">
      <x:c r="A291" t="str">
        <x:v>ABO-0000290</x:v>
      </x:c>
      <x:c r="B291" t="str">
        <x:v>2025-04</x:v>
      </x:c>
      <x:c r="C291" t="n">
        <x:v>45759</x:v>
      </x:c>
      <x:c r="D291" t="str">
        <x:v>USR-00038</x:v>
      </x:c>
      <x:c r="E291" t="str">
        <x:v>DEU-000066</x:v>
      </x:c>
      <x:c r="F291" t="n">
        <x:v>888100</x:v>
      </x:c>
      <x:c r="G291" t="n">
        <x:v>299997.46</x:v>
      </x:c>
      <x:c r="H291" t="n">
        <x:v>588102.54</x:v>
      </x:c>
      <x:c r="I291" t="n">
        <x:v>24006867.81</x:v>
      </x:c>
      <x:c r="J291" t="str">
        <x:v>En fecha</x:v>
      </x:c>
    </x:row>
    <x:row r="292">
      <x:c r="A292" t="str">
        <x:v>ABO-0000291</x:v>
      </x:c>
      <x:c r="B292" t="str">
        <x:v>2025-04</x:v>
      </x:c>
      <x:c r="C292" t="n">
        <x:v>45766</x:v>
      </x:c>
      <x:c r="D292" t="str">
        <x:v>USR-00039</x:v>
      </x:c>
      <x:c r="E292" t="str">
        <x:v>DEU-000068</x:v>
      </x:c>
      <x:c r="F292" t="n">
        <x:v>1239600</x:v>
      </x:c>
      <x:c r="G292" t="n">
        <x:v>107105.86</x:v>
      </x:c>
      <x:c r="H292" t="n">
        <x:v>1132494.14</x:v>
      </x:c>
      <x:c r="I292" t="n">
        <x:v>9809240.81</x:v>
      </x:c>
      <x:c r="J292" t="str">
        <x:v>En fecha</x:v>
      </x:c>
    </x:row>
    <x:row r="293">
      <x:c r="A293" t="str">
        <x:v>ABO-0000292</x:v>
      </x:c>
      <x:c r="B293" t="str">
        <x:v>2025-04</x:v>
      </x:c>
      <x:c r="C293" t="n">
        <x:v>45762</x:v>
      </x:c>
      <x:c r="D293" t="str">
        <x:v>USR-00040</x:v>
      </x:c>
      <x:c r="E293" t="str">
        <x:v>DEU-000070</x:v>
      </x:c>
      <x:c r="F293" t="n">
        <x:v>755000</x:v>
      </x:c>
      <x:c r="G293" t="n">
        <x:v>147871.43</x:v>
      </x:c>
      <x:c r="H293" t="n">
        <x:v>607128.57</x:v>
      </x:c>
      <x:c r="I293" t="n">
        <x:v>14662734.98</x:v>
      </x:c>
      <x:c r="J293" t="str">
        <x:v>En fecha</x:v>
      </x:c>
    </x:row>
    <x:row r="294">
      <x:c r="A294" t="str">
        <x:v>ABO-0000293</x:v>
      </x:c>
      <x:c r="B294" t="str">
        <x:v>2025-04</x:v>
      </x:c>
      <x:c r="C294" t="n">
        <x:v>45767</x:v>
      </x:c>
      <x:c r="D294" t="str">
        <x:v>USR-00041</x:v>
      </x:c>
      <x:c r="E294" t="str">
        <x:v>DEU-000071</x:v>
      </x:c>
      <x:c r="F294" t="n">
        <x:v>2196000</x:v>
      </x:c>
      <x:c r="G294" t="n">
        <x:v>448368.84</x:v>
      </x:c>
      <x:c r="H294" t="n">
        <x:v>1747631.16</x:v>
      </x:c>
      <x:c r="I294" t="n">
        <x:v>18171209.28</x:v>
      </x:c>
      <x:c r="J294" t="str">
        <x:v>En fecha</x:v>
      </x:c>
    </x:row>
    <x:row r="295">
      <x:c r="A295" t="str">
        <x:v>ABO-0000294</x:v>
      </x:c>
      <x:c r="B295" t="str">
        <x:v>2025-04</x:v>
      </x:c>
      <x:c r="C295" t="n">
        <x:v>45758</x:v>
      </x:c>
      <x:c r="D295" t="str">
        <x:v>USR-00042</x:v>
      </x:c>
      <x:c r="E295" t="str">
        <x:v>DEU-000072</x:v>
      </x:c>
      <x:c r="F295" t="n">
        <x:v>112000</x:v>
      </x:c>
      <x:c r="G295" t="n">
        <x:v>84017.44</x:v>
      </x:c>
      <x:c r="H295" t="n">
        <x:v>27982.56</x:v>
      </x:c>
      <x:c r="I295" t="n">
        <x:v>5212346.1</x:v>
      </x:c>
      <x:c r="J295" t="str">
        <x:v>Parcial</x:v>
      </x:c>
    </x:row>
    <x:row r="296">
      <x:c r="A296" t="str">
        <x:v>ABO-0000295</x:v>
      </x:c>
      <x:c r="B296" t="str">
        <x:v>2025-04</x:v>
      </x:c>
      <x:c r="C296" t="n">
        <x:v>45759</x:v>
      </x:c>
      <x:c r="D296" t="str">
        <x:v>USR-00042</x:v>
      </x:c>
      <x:c r="E296" t="str">
        <x:v>DEU-000073</x:v>
      </x:c>
      <x:c r="F296" t="n">
        <x:v>206400</x:v>
      </x:c>
      <x:c r="G296" t="n">
        <x:v>58328.8</x:v>
      </x:c>
      <x:c r="H296" t="n">
        <x:v>148071.2</x:v>
      </x:c>
      <x:c r="I296" t="n">
        <x:v>3637515.23</x:v>
      </x:c>
      <x:c r="J296" t="str">
        <x:v>En fecha</x:v>
      </x:c>
    </x:row>
    <x:row r="297">
      <x:c r="A297" t="str">
        <x:v>ABO-0000296</x:v>
      </x:c>
      <x:c r="B297" t="str">
        <x:v>2025-04</x:v>
      </x:c>
      <x:c r="C297" t="n">
        <x:v>45768</x:v>
      </x:c>
      <x:c r="D297" t="str">
        <x:v>USR-00043</x:v>
      </x:c>
      <x:c r="E297" t="str">
        <x:v>DEU-000074</x:v>
      </x:c>
      <x:c r="F297" t="n">
        <x:v>133400</x:v>
      </x:c>
      <x:c r="G297" t="n">
        <x:v>43504.89</x:v>
      </x:c>
      <x:c r="H297" t="n">
        <x:v>89895.11</x:v>
      </x:c>
      <x:c r="I297" t="n">
        <x:v>3093499.5</x:v>
      </x:c>
      <x:c r="J297" t="str">
        <x:v>En fecha</x:v>
      </x:c>
    </x:row>
    <x:row r="298">
      <x:c r="A298" t="str">
        <x:v>ABO-0000297</x:v>
      </x:c>
      <x:c r="B298" t="str">
        <x:v>2025-04</x:v>
      </x:c>
      <x:c r="C298" t="n">
        <x:v>45773</x:v>
      </x:c>
      <x:c r="D298" t="str">
        <x:v>USR-00043</x:v>
      </x:c>
      <x:c r="E298" t="str">
        <x:v>DEU-000075</x:v>
      </x:c>
      <x:c r="F298" t="n">
        <x:v>756300</x:v>
      </x:c>
      <x:c r="G298" t="n">
        <x:v>485013.6</x:v>
      </x:c>
      <x:c r="H298" t="n">
        <x:v>271286.4</x:v>
      </x:c>
      <x:c r="I298" t="n">
        <x:v>23773453.57</x:v>
      </x:c>
      <x:c r="J298" t="str">
        <x:v>Parcial</x:v>
      </x:c>
    </x:row>
    <x:row r="299">
      <x:c r="A299" t="str">
        <x:v>ABO-0000298</x:v>
      </x:c>
      <x:c r="B299" t="str">
        <x:v>2025-04</x:v>
      </x:c>
      <x:c r="C299" t="n">
        <x:v>45760</x:v>
      </x:c>
      <x:c r="D299" t="str">
        <x:v>USR-00044</x:v>
      </x:c>
      <x:c r="E299" t="str">
        <x:v>DEU-000076</x:v>
      </x:c>
      <x:c r="F299" t="n">
        <x:v>944600</x:v>
      </x:c>
      <x:c r="G299" t="n">
        <x:v>375328.36</x:v>
      </x:c>
      <x:c r="H299" t="n">
        <x:v>569271.64</x:v>
      </x:c>
      <x:c r="I299" t="n">
        <x:v>21034516.84</x:v>
      </x:c>
      <x:c r="J299" t="str">
        <x:v>En fecha</x:v>
      </x:c>
    </x:row>
    <x:row r="300">
      <x:c r="A300" t="str">
        <x:v>ABO-0000299</x:v>
      </x:c>
      <x:c r="B300" t="str">
        <x:v>2025-04</x:v>
      </x:c>
      <x:c r="C300" t="n">
        <x:v>45772</x:v>
      </x:c>
      <x:c r="D300" t="str">
        <x:v>USR-00044</x:v>
      </x:c>
      <x:c r="E300" t="str">
        <x:v>DEU-000077</x:v>
      </x:c>
      <x:c r="F300" t="n">
        <x:v>179600</x:v>
      </x:c>
      <x:c r="G300" t="n">
        <x:v>233155.36</x:v>
      </x:c>
      <x:c r="H300" t="n">
        <x:v>0</x:v>
      </x:c>
      <x:c r="I300" t="n">
        <x:v>10298834.14</x:v>
      </x:c>
      <x:c r="J300" t="str">
        <x:v>Parcial</x:v>
      </x:c>
    </x:row>
    <x:row r="301">
      <x:c r="A301" t="str">
        <x:v>ABO-0000300</x:v>
      </x:c>
      <x:c r="B301" t="str">
        <x:v>2025-04</x:v>
      </x:c>
      <x:c r="C301" t="n">
        <x:v>45752</x:v>
      </x:c>
      <x:c r="D301" t="str">
        <x:v>USR-00046</x:v>
      </x:c>
      <x:c r="E301" t="str">
        <x:v>DEU-000079</x:v>
      </x:c>
      <x:c r="F301" t="n">
        <x:v>261400</x:v>
      </x:c>
      <x:c r="G301" t="n">
        <x:v>166887.53</x:v>
      </x:c>
      <x:c r="H301" t="n">
        <x:v>94512.47</x:v>
      </x:c>
      <x:c r="I301" t="n">
        <x:v>7055442.72</x:v>
      </x:c>
      <x:c r="J301" t="str">
        <x:v>En fecha</x:v>
      </x:c>
    </x:row>
    <x:row r="302">
      <x:c r="A302" t="str">
        <x:v>ABO-0000301</x:v>
      </x:c>
      <x:c r="B302" t="str">
        <x:v>2025-04</x:v>
      </x:c>
      <x:c r="C302" t="n">
        <x:v>45769</x:v>
      </x:c>
      <x:c r="D302" t="str">
        <x:v>USR-00047</x:v>
      </x:c>
      <x:c r="E302" t="str">
        <x:v>DEU-000080</x:v>
      </x:c>
      <x:c r="F302" t="n">
        <x:v>165500</x:v>
      </x:c>
      <x:c r="G302" t="n">
        <x:v>83194.06</x:v>
      </x:c>
      <x:c r="H302" t="n">
        <x:v>82305.94</x:v>
      </x:c>
      <x:c r="I302" t="n">
        <x:v>3412448.73</x:v>
      </x:c>
      <x:c r="J302" t="str">
        <x:v>En fecha</x:v>
      </x:c>
    </x:row>
    <x:row r="303">
      <x:c r="A303" t="str">
        <x:v>ABO-0000302</x:v>
      </x:c>
      <x:c r="B303" t="str">
        <x:v>2025-04</x:v>
      </x:c>
      <x:c r="C303" t="n">
        <x:v>45772</x:v>
      </x:c>
      <x:c r="D303" t="str">
        <x:v>USR-00048</x:v>
      </x:c>
      <x:c r="E303" t="str">
        <x:v>DEU-000082</x:v>
      </x:c>
      <x:c r="F303" t="n">
        <x:v>652000</x:v>
      </x:c>
      <x:c r="G303" t="n">
        <x:v>147720.37</x:v>
      </x:c>
      <x:c r="H303" t="n">
        <x:v>504279.63</x:v>
      </x:c>
      <x:c r="I303" t="n">
        <x:v>15520937</x:v>
      </x:c>
      <x:c r="J303" t="str">
        <x:v>En fecha</x:v>
      </x:c>
    </x:row>
    <x:row r="304">
      <x:c r="A304" t="str">
        <x:v>ABO-0000303</x:v>
      </x:c>
      <x:c r="B304" t="str">
        <x:v>2025-04</x:v>
      </x:c>
      <x:c r="C304" t="n">
        <x:v>45767</x:v>
      </x:c>
      <x:c r="D304" t="str">
        <x:v>USR-00048</x:v>
      </x:c>
      <x:c r="E304" t="str">
        <x:v>DEU-000083</x:v>
      </x:c>
      <x:c r="F304" t="n">
        <x:v>886800</x:v>
      </x:c>
      <x:c r="G304" t="n">
        <x:v>210100.42</x:v>
      </x:c>
      <x:c r="H304" t="n">
        <x:v>676699.58</x:v>
      </x:c>
      <x:c r="I304" t="n">
        <x:v>22987602.92</x:v>
      </x:c>
      <x:c r="J304" t="str">
        <x:v>En fecha</x:v>
      </x:c>
    </x:row>
    <x:row r="305">
      <x:c r="A305" t="str">
        <x:v>ABO-0000304</x:v>
      </x:c>
      <x:c r="B305" t="str">
        <x:v>2025-04</x:v>
      </x:c>
      <x:c r="C305" t="n">
        <x:v>45774</x:v>
      </x:c>
      <x:c r="D305" t="str">
        <x:v>USR-00049</x:v>
      </x:c>
      <x:c r="E305" t="str">
        <x:v>DEU-000084</x:v>
      </x:c>
      <x:c r="F305" t="n">
        <x:v>664900</x:v>
      </x:c>
      <x:c r="G305" t="n">
        <x:v>372360.59</x:v>
      </x:c>
      <x:c r="H305" t="n">
        <x:v>292539.41</x:v>
      </x:c>
      <x:c r="I305" t="n">
        <x:v>19749584.01</x:v>
      </x:c>
      <x:c r="J305" t="str">
        <x:v>En fecha</x:v>
      </x:c>
    </x:row>
    <x:row r="306">
      <x:c r="A306" t="str">
        <x:v>ABO-0000305</x:v>
      </x:c>
      <x:c r="B306" t="str">
        <x:v>2025-04</x:v>
      </x:c>
      <x:c r="C306" t="n">
        <x:v>45758</x:v>
      </x:c>
      <x:c r="D306" t="str">
        <x:v>USR-00050</x:v>
      </x:c>
      <x:c r="E306" t="str">
        <x:v>DEU-000085</x:v>
      </x:c>
      <x:c r="F306" t="n">
        <x:v>192000</x:v>
      </x:c>
      <x:c r="G306" t="n">
        <x:v>70528.45</x:v>
      </x:c>
      <x:c r="H306" t="n">
        <x:v>121471.55</x:v>
      </x:c>
      <x:c r="I306" t="n">
        <x:v>3766041.99</x:v>
      </x:c>
      <x:c r="J306" t="str">
        <x:v>En fecha</x:v>
      </x:c>
    </x:row>
    <x:row r="307">
      <x:c r="A307" t="str">
        <x:v>ABO-0000306</x:v>
      </x:c>
      <x:c r="B307" t="str">
        <x:v>2025-04</x:v>
      </x:c>
      <x:c r="C307" t="n">
        <x:v>45748</x:v>
      </x:c>
      <x:c r="D307" t="str">
        <x:v>USR-00051</x:v>
      </x:c>
      <x:c r="E307" t="str">
        <x:v>DEU-000086</x:v>
      </x:c>
      <x:c r="F307" t="n">
        <x:v>250800</x:v>
      </x:c>
      <x:c r="G307" t="n">
        <x:v>53306.49</x:v>
      </x:c>
      <x:c r="H307" t="n">
        <x:v>197493.51</x:v>
      </x:c>
      <x:c r="I307" t="n">
        <x:v>4422267.53</x:v>
      </x:c>
      <x:c r="J307" t="str">
        <x:v>Parcial</x:v>
      </x:c>
    </x:row>
    <x:row r="308">
      <x:c r="A308" t="str">
        <x:v>ABO-0000307</x:v>
      </x:c>
      <x:c r="B308" t="str">
        <x:v>2025-04</x:v>
      </x:c>
      <x:c r="C308" t="n">
        <x:v>45766</x:v>
      </x:c>
      <x:c r="D308" t="str">
        <x:v>USR-00051</x:v>
      </x:c>
      <x:c r="E308" t="str">
        <x:v>DEU-000088</x:v>
      </x:c>
      <x:c r="F308" t="n">
        <x:v>781500</x:v>
      </x:c>
      <x:c r="G308" t="n">
        <x:v>106178.66</x:v>
      </x:c>
      <x:c r="H308" t="n">
        <x:v>675321.34</x:v>
      </x:c>
      <x:c r="I308" t="n">
        <x:v>6272969.38</x:v>
      </x:c>
      <x:c r="J308" t="str">
        <x:v>En fecha</x:v>
      </x:c>
    </x:row>
    <x:row r="309">
      <x:c r="A309" t="str">
        <x:v>ABO-0000308</x:v>
      </x:c>
      <x:c r="B309" t="str">
        <x:v>2025-04</x:v>
      </x:c>
      <x:c r="C309" t="n">
        <x:v>45764</x:v>
      </x:c>
      <x:c r="D309" t="str">
        <x:v>USR-00051</x:v>
      </x:c>
      <x:c r="E309" t="str">
        <x:v>DEU-000090</x:v>
      </x:c>
      <x:c r="F309" t="n">
        <x:v>451400</x:v>
      </x:c>
      <x:c r="G309" t="n">
        <x:v>80238.41</x:v>
      </x:c>
      <x:c r="H309" t="n">
        <x:v>371161.59</x:v>
      </x:c>
      <x:c r="I309" t="n">
        <x:v>3613297.6</x:v>
      </x:c>
      <x:c r="J309" t="str">
        <x:v>En fecha</x:v>
      </x:c>
    </x:row>
    <x:row r="310">
      <x:c r="A310" t="str">
        <x:v>ABO-0000309</x:v>
      </x:c>
      <x:c r="B310" t="str">
        <x:v>2025-04</x:v>
      </x:c>
      <x:c r="C310" t="n">
        <x:v>45761</x:v>
      </x:c>
      <x:c r="D310" t="str">
        <x:v>USR-00053</x:v>
      </x:c>
      <x:c r="E310" t="str">
        <x:v>DEU-000092</x:v>
      </x:c>
      <x:c r="F310" t="n">
        <x:v>277400</x:v>
      </x:c>
      <x:c r="G310" t="n">
        <x:v>109655.33</x:v>
      </x:c>
      <x:c r="H310" t="n">
        <x:v>167744.67</x:v>
      </x:c>
      <x:c r="I310" t="n">
        <x:v>4938839.33</x:v>
      </x:c>
      <x:c r="J310" t="str">
        <x:v>En fecha</x:v>
      </x:c>
    </x:row>
    <x:row r="311">
      <x:c r="A311" t="str">
        <x:v>ABO-0000310</x:v>
      </x:c>
      <x:c r="B311" t="str">
        <x:v>2025-04</x:v>
      </x:c>
      <x:c r="C311" t="n">
        <x:v>45764</x:v>
      </x:c>
      <x:c r="D311" t="str">
        <x:v>USR-00053</x:v>
      </x:c>
      <x:c r="E311" t="str">
        <x:v>DEU-000093</x:v>
      </x:c>
      <x:c r="F311" t="n">
        <x:v>477900</x:v>
      </x:c>
      <x:c r="G311" t="n">
        <x:v>84059.99</x:v>
      </x:c>
      <x:c r="H311" t="n">
        <x:v>393840.01</x:v>
      </x:c>
      <x:c r="I311" t="n">
        <x:v>4332336.66</x:v>
      </x:c>
      <x:c r="J311" t="str">
        <x:v>En fecha</x:v>
      </x:c>
    </x:row>
    <x:row r="312">
      <x:c r="A312" t="str">
        <x:v>ABO-0000311</x:v>
      </x:c>
      <x:c r="B312" t="str">
        <x:v>2025-04</x:v>
      </x:c>
      <x:c r="C312" t="n">
        <x:v>45774</x:v>
      </x:c>
      <x:c r="D312" t="str">
        <x:v>USR-00053</x:v>
      </x:c>
      <x:c r="E312" t="str">
        <x:v>DEU-000094</x:v>
      </x:c>
      <x:c r="F312" t="n">
        <x:v>63400</x:v>
      </x:c>
      <x:c r="G312" t="n">
        <x:v>46117.88</x:v>
      </x:c>
      <x:c r="H312" t="n">
        <x:v>17282.12</x:v>
      </x:c>
      <x:c r="I312" t="n">
        <x:v>2262228.19</x:v>
      </x:c>
      <x:c r="J312" t="str">
        <x:v>En fecha</x:v>
      </x:c>
    </x:row>
    <x:row r="313">
      <x:c r="A313" t="str">
        <x:v>ABO-0000312</x:v>
      </x:c>
      <x:c r="B313" t="str">
        <x:v>2025-04</x:v>
      </x:c>
      <x:c r="C313" t="n">
        <x:v>45762</x:v>
      </x:c>
      <x:c r="D313" t="str">
        <x:v>USR-00054</x:v>
      </x:c>
      <x:c r="E313" t="str">
        <x:v>DEU-000097</x:v>
      </x:c>
      <x:c r="F313" t="n">
        <x:v>3258100</x:v>
      </x:c>
      <x:c r="G313" t="n">
        <x:v>396657.81</x:v>
      </x:c>
      <x:c r="H313" t="n">
        <x:v>2861442.19</x:v>
      </x:c>
      <x:c r="I313" t="n">
        <x:v>25832047.06</x:v>
      </x:c>
      <x:c r="J313" t="str">
        <x:v>En fecha</x:v>
      </x:c>
    </x:row>
    <x:row r="314">
      <x:c r="A314" t="str">
        <x:v>ABO-0000313</x:v>
      </x:c>
      <x:c r="B314" t="str">
        <x:v>2025-04</x:v>
      </x:c>
      <x:c r="C314" t="n">
        <x:v>45753</x:v>
      </x:c>
      <x:c r="D314" t="str">
        <x:v>USR-00054</x:v>
      </x:c>
      <x:c r="E314" t="str">
        <x:v>DEU-000098</x:v>
      </x:c>
      <x:c r="F314" t="n">
        <x:v>1000500</x:v>
      </x:c>
      <x:c r="G314" t="n">
        <x:v>198377.9</x:v>
      </x:c>
      <x:c r="H314" t="n">
        <x:v>802122.1</x:v>
      </x:c>
      <x:c r="I314" t="n">
        <x:v>16612013.39</x:v>
      </x:c>
      <x:c r="J314" t="str">
        <x:v>En fecha</x:v>
      </x:c>
    </x:row>
    <x:row r="315">
      <x:c r="A315" t="str">
        <x:v>ABO-0000314</x:v>
      </x:c>
      <x:c r="B315" t="str">
        <x:v>2025-04</x:v>
      </x:c>
      <x:c r="C315" t="n">
        <x:v>45751</x:v>
      </x:c>
      <x:c r="D315" t="str">
        <x:v>USR-00054</x:v>
      </x:c>
      <x:c r="E315" t="str">
        <x:v>DEU-000099</x:v>
      </x:c>
      <x:c r="F315" t="n">
        <x:v>183800</x:v>
      </x:c>
      <x:c r="G315" t="n">
        <x:v>23537.52</x:v>
      </x:c>
      <x:c r="H315" t="n">
        <x:v>160262.48</x:v>
      </x:c>
      <x:c r="I315" t="n">
        <x:v>2546219.74</x:v>
      </x:c>
      <x:c r="J315" t="str">
        <x:v>En fecha</x:v>
      </x:c>
    </x:row>
    <x:row r="316">
      <x:c r="A316" t="str">
        <x:v>ABO-0000315</x:v>
      </x:c>
      <x:c r="B316" t="str">
        <x:v>2025-04</x:v>
      </x:c>
      <x:c r="C316" t="n">
        <x:v>45774</x:v>
      </x:c>
      <x:c r="D316" t="str">
        <x:v>USR-00056</x:v>
      </x:c>
      <x:c r="E316" t="str">
        <x:v>DEU-000102</x:v>
      </x:c>
      <x:c r="F316" t="n">
        <x:v>95400</x:v>
      </x:c>
      <x:c r="G316" t="n">
        <x:v>58818.63</x:v>
      </x:c>
      <x:c r="H316" t="n">
        <x:v>36581.37</x:v>
      </x:c>
      <x:c r="I316" t="n">
        <x:v>2749737.17</x:v>
      </x:c>
      <x:c r="J316" t="str">
        <x:v>En fecha</x:v>
      </x:c>
    </x:row>
    <x:row r="317">
      <x:c r="A317" t="str">
        <x:v>ABO-0000316</x:v>
      </x:c>
      <x:c r="B317" t="str">
        <x:v>2025-04</x:v>
      </x:c>
      <x:c r="C317" t="n">
        <x:v>45760</x:v>
      </x:c>
      <x:c r="D317" t="str">
        <x:v>USR-00057</x:v>
      </x:c>
      <x:c r="E317" t="str">
        <x:v>DEU-000104</x:v>
      </x:c>
      <x:c r="F317" t="n">
        <x:v>2141300</x:v>
      </x:c>
      <x:c r="G317" t="n">
        <x:v>686631.85</x:v>
      </x:c>
      <x:c r="H317" t="n">
        <x:v>1454668.15</x:v>
      </x:c>
      <x:c r="I317" t="n">
        <x:v>28393374.76</x:v>
      </x:c>
      <x:c r="J317" t="str">
        <x:v>En fecha</x:v>
      </x:c>
    </x:row>
    <x:row r="318">
      <x:c r="A318" t="str">
        <x:v>ABO-0000317</x:v>
      </x:c>
      <x:c r="B318" t="str">
        <x:v>2025-04</x:v>
      </x:c>
      <x:c r="C318" t="n">
        <x:v>45759</x:v>
      </x:c>
      <x:c r="D318" t="str">
        <x:v>USR-00058</x:v>
      </x:c>
      <x:c r="E318" t="str">
        <x:v>DEU-000106</x:v>
      </x:c>
      <x:c r="F318" t="n">
        <x:v>760300</x:v>
      </x:c>
      <x:c r="G318" t="n">
        <x:v>189277.42</x:v>
      </x:c>
      <x:c r="H318" t="n">
        <x:v>571022.58</x:v>
      </x:c>
      <x:c r="I318" t="n">
        <x:v>7005634.32</x:v>
      </x:c>
      <x:c r="J318" t="str">
        <x:v>En fecha</x:v>
      </x:c>
    </x:row>
    <x:row r="319">
      <x:c r="A319" t="str">
        <x:v>ABO-0000318</x:v>
      </x:c>
      <x:c r="B319" t="str">
        <x:v>2025-04</x:v>
      </x:c>
      <x:c r="C319" t="n">
        <x:v>45760</x:v>
      </x:c>
      <x:c r="D319" t="str">
        <x:v>USR-00059</x:v>
      </x:c>
      <x:c r="E319" t="str">
        <x:v>DEU-000107</x:v>
      </x:c>
      <x:c r="F319" t="n">
        <x:v>271700</x:v>
      </x:c>
      <x:c r="G319" t="n">
        <x:v>106406.08</x:v>
      </x:c>
      <x:c r="H319" t="n">
        <x:v>165293.92</x:v>
      </x:c>
      <x:c r="I319" t="n">
        <x:v>5003778.08</x:v>
      </x:c>
      <x:c r="J319" t="str">
        <x:v>En fecha</x:v>
      </x:c>
    </x:row>
    <x:row r="320">
      <x:c r="A320" t="str">
        <x:v>ABO-0000319</x:v>
      </x:c>
      <x:c r="B320" t="str">
        <x:v>2025-04</x:v>
      </x:c>
      <x:c r="C320" t="n">
        <x:v>45755</x:v>
      </x:c>
      <x:c r="D320" t="str">
        <x:v>USR-00060</x:v>
      </x:c>
      <x:c r="E320" t="str">
        <x:v>DEU-000110</x:v>
      </x:c>
      <x:c r="F320" t="n">
        <x:v>1221900</x:v>
      </x:c>
      <x:c r="G320" t="n">
        <x:v>367711.95</x:v>
      </x:c>
      <x:c r="H320" t="n">
        <x:v>854188.05</x:v>
      </x:c>
      <x:c r="I320" t="n">
        <x:v>17886447.82</x:v>
      </x:c>
      <x:c r="J320" t="str">
        <x:v>En fecha</x:v>
      </x:c>
    </x:row>
    <x:row r="321">
      <x:c r="A321" t="str">
        <x:v>ABO-0000320</x:v>
      </x:c>
      <x:c r="B321" t="str">
        <x:v>2025-04</x:v>
      </x:c>
      <x:c r="C321" t="n">
        <x:v>45759</x:v>
      </x:c>
      <x:c r="D321" t="str">
        <x:v>USR-00061</x:v>
      </x:c>
      <x:c r="E321" t="str">
        <x:v>DEU-000111</x:v>
      </x:c>
      <x:c r="F321" t="n">
        <x:v>434100</x:v>
      </x:c>
      <x:c r="G321" t="n">
        <x:v>302863.61</x:v>
      </x:c>
      <x:c r="H321" t="n">
        <x:v>131236.39</x:v>
      </x:c>
      <x:c r="I321" t="n">
        <x:v>15475861.88</x:v>
      </x:c>
      <x:c r="J321" t="str">
        <x:v>En fecha</x:v>
      </x:c>
    </x:row>
    <x:row r="322">
      <x:c r="A322" t="str">
        <x:v>ABO-0000321</x:v>
      </x:c>
      <x:c r="B322" t="str">
        <x:v>2025-04</x:v>
      </x:c>
      <x:c r="C322" t="n">
        <x:v>45774</x:v>
      </x:c>
      <x:c r="D322" t="str">
        <x:v>USR-00061</x:v>
      </x:c>
      <x:c r="E322" t="str">
        <x:v>DEU-000112</x:v>
      </x:c>
      <x:c r="F322" t="n">
        <x:v>1047500</x:v>
      </x:c>
      <x:c r="G322" t="n">
        <x:v>221461.55</x:v>
      </x:c>
      <x:c r="H322" t="n">
        <x:v>826038.45</x:v>
      </x:c>
      <x:c r="I322" t="n">
        <x:v>20331007.51</x:v>
      </x:c>
      <x:c r="J322" t="str">
        <x:v>En fecha</x:v>
      </x:c>
    </x:row>
    <x:row r="323">
      <x:c r="A323" t="str">
        <x:v>ABO-0000322</x:v>
      </x:c>
      <x:c r="B323" t="str">
        <x:v>2025-04</x:v>
      </x:c>
      <x:c r="C323" t="n">
        <x:v>45748</x:v>
      </x:c>
      <x:c r="D323" t="str">
        <x:v>USR-00062</x:v>
      </x:c>
      <x:c r="E323" t="str">
        <x:v>DEU-000113</x:v>
      </x:c>
      <x:c r="F323" t="n">
        <x:v>828000</x:v>
      </x:c>
      <x:c r="G323" t="n">
        <x:v>411990.15</x:v>
      </x:c>
      <x:c r="H323" t="n">
        <x:v>416009.85</x:v>
      </x:c>
      <x:c r="I323" t="n">
        <x:v>16556582.52</x:v>
      </x:c>
      <x:c r="J323" t="str">
        <x:v>En fecha</x:v>
      </x:c>
    </x:row>
    <x:row r="324">
      <x:c r="A324" t="str">
        <x:v>ABO-0000323</x:v>
      </x:c>
      <x:c r="B324" t="str">
        <x:v>2025-04</x:v>
      </x:c>
      <x:c r="C324" t="n">
        <x:v>45749</x:v>
      </x:c>
      <x:c r="D324" t="str">
        <x:v>USR-00063</x:v>
      </x:c>
      <x:c r="E324" t="str">
        <x:v>DEU-000114</x:v>
      </x:c>
      <x:c r="F324" t="n">
        <x:v>603200</x:v>
      </x:c>
      <x:c r="G324" t="n">
        <x:v>372988.37</x:v>
      </x:c>
      <x:c r="H324" t="n">
        <x:v>230211.63</x:v>
      </x:c>
      <x:c r="I324" t="n">
        <x:v>17784246.57</x:v>
      </x:c>
      <x:c r="J324" t="str">
        <x:v>En fecha</x:v>
      </x:c>
    </x:row>
    <x:row r="325">
      <x:c r="A325" t="str">
        <x:v>ABO-0000324</x:v>
      </x:c>
      <x:c r="B325" t="str">
        <x:v>2025-04</x:v>
      </x:c>
      <x:c r="C325" t="n">
        <x:v>45760</x:v>
      </x:c>
      <x:c r="D325" t="str">
        <x:v>USR-00063</x:v>
      </x:c>
      <x:c r="E325" t="str">
        <x:v>DEU-000115</x:v>
      </x:c>
      <x:c r="F325" t="n">
        <x:v>1335600</x:v>
      </x:c>
      <x:c r="G325" t="n">
        <x:v>225953.99</x:v>
      </x:c>
      <x:c r="H325" t="n">
        <x:v>1109646.01</x:v>
      </x:c>
      <x:c r="I325" t="n">
        <x:v>11444333.88</x:v>
      </x:c>
      <x:c r="J325" t="str">
        <x:v>En fecha</x:v>
      </x:c>
    </x:row>
    <x:row r="326">
      <x:c r="A326" t="str">
        <x:v>ABO-0000325</x:v>
      </x:c>
      <x:c r="B326" t="str">
        <x:v>2025-04</x:v>
      </x:c>
      <x:c r="C326" t="n">
        <x:v>45756</x:v>
      </x:c>
      <x:c r="D326" t="str">
        <x:v>USR-00064</x:v>
      </x:c>
      <x:c r="E326" t="str">
        <x:v>DEU-000116</x:v>
      </x:c>
      <x:c r="F326" t="n">
        <x:v>106500</x:v>
      </x:c>
      <x:c r="G326" t="n">
        <x:v>28486.35</x:v>
      </x:c>
      <x:c r="H326" t="n">
        <x:v>78013.65</x:v>
      </x:c>
      <x:c r="I326" t="n">
        <x:v>1561652.24</x:v>
      </x:c>
      <x:c r="J326" t="str">
        <x:v>En fecha</x:v>
      </x:c>
    </x:row>
    <x:row r="327">
      <x:c r="A327" t="str">
        <x:v>ABO-0000326</x:v>
      </x:c>
      <x:c r="B327" t="str">
        <x:v>2025-04</x:v>
      </x:c>
      <x:c r="C327" t="n">
        <x:v>45765</x:v>
      </x:c>
      <x:c r="D327" t="str">
        <x:v>USR-00065</x:v>
      </x:c>
      <x:c r="E327" t="str">
        <x:v>DEU-000117</x:v>
      </x:c>
      <x:c r="F327" t="n">
        <x:v>982600</x:v>
      </x:c>
      <x:c r="G327" t="n">
        <x:v>294910.31</x:v>
      </x:c>
      <x:c r="H327" t="n">
        <x:v>687689.69</x:v>
      </x:c>
      <x:c r="I327" t="n">
        <x:v>18408590.86</x:v>
      </x:c>
      <x:c r="J327" t="str">
        <x:v>En fecha</x:v>
      </x:c>
    </x:row>
    <x:row r="328">
      <x:c r="A328" t="str">
        <x:v>ABO-0000327</x:v>
      </x:c>
      <x:c r="B328" t="str">
        <x:v>2025-04</x:v>
      </x:c>
      <x:c r="C328" t="n">
        <x:v>45765</x:v>
      </x:c>
      <x:c r="D328" t="str">
        <x:v>USR-00065</x:v>
      </x:c>
      <x:c r="E328" t="str">
        <x:v>DEU-000118</x:v>
      </x:c>
      <x:c r="F328" t="n">
        <x:v>1270900</x:v>
      </x:c>
      <x:c r="G328" t="n">
        <x:v>576634.22</x:v>
      </x:c>
      <x:c r="H328" t="n">
        <x:v>694265.78</x:v>
      </x:c>
      <x:c r="I328" t="n">
        <x:v>26409301.97</x:v>
      </x:c>
      <x:c r="J328" t="str">
        <x:v>En fecha</x:v>
      </x:c>
    </x:row>
    <x:row r="329">
      <x:c r="A329" t="str">
        <x:v>ABO-0000328</x:v>
      </x:c>
      <x:c r="B329" t="str">
        <x:v>2025-04</x:v>
      </x:c>
      <x:c r="C329" t="n">
        <x:v>45751</x:v>
      </x:c>
      <x:c r="D329" t="str">
        <x:v>USR-00065</x:v>
      </x:c>
      <x:c r="E329" t="str">
        <x:v>DEU-000119</x:v>
      </x:c>
      <x:c r="F329" t="n">
        <x:v>292200</x:v>
      </x:c>
      <x:c r="G329" t="n">
        <x:v>212207.61</x:v>
      </x:c>
      <x:c r="H329" t="n">
        <x:v>79992.39</x:v>
      </x:c>
      <x:c r="I329" t="n">
        <x:v>14115275.79</x:v>
      </x:c>
      <x:c r="J329" t="str">
        <x:v>Parcial</x:v>
      </x:c>
    </x:row>
    <x:row r="330">
      <x:c r="A330" t="str">
        <x:v>ABO-0000329</x:v>
      </x:c>
      <x:c r="B330" t="str">
        <x:v>2025-04</x:v>
      </x:c>
      <x:c r="C330" t="n">
        <x:v>45755</x:v>
      </x:c>
      <x:c r="D330" t="str">
        <x:v>USR-00066</x:v>
      </x:c>
      <x:c r="E330" t="str">
        <x:v>DEU-000120</x:v>
      </x:c>
      <x:c r="F330" t="n">
        <x:v>56700</x:v>
      </x:c>
      <x:c r="G330" t="n">
        <x:v>62304.09</x:v>
      </x:c>
      <x:c r="H330" t="n">
        <x:v>0</x:v>
      </x:c>
      <x:c r="I330" t="n">
        <x:v>3165798.65</x:v>
      </x:c>
      <x:c r="J330" t="str">
        <x:v>Parcial</x:v>
      </x:c>
    </x:row>
    <x:row r="331">
      <x:c r="A331" t="str">
        <x:v>ABO-0000330</x:v>
      </x:c>
      <x:c r="B331" t="str">
        <x:v>2025-04</x:v>
      </x:c>
      <x:c r="C331" t="n">
        <x:v>45748</x:v>
      </x:c>
      <x:c r="D331" t="str">
        <x:v>USR-00066</x:v>
      </x:c>
      <x:c r="E331" t="str">
        <x:v>DEU-000121</x:v>
      </x:c>
      <x:c r="F331" t="n">
        <x:v>182100</x:v>
      </x:c>
      <x:c r="G331" t="n">
        <x:v>111706.71</x:v>
      </x:c>
      <x:c r="H331" t="n">
        <x:v>70393.29</x:v>
      </x:c>
      <x:c r="I331" t="n">
        <x:v>9780060.84</x:v>
      </x:c>
      <x:c r="J331" t="str">
        <x:v>Parcial</x:v>
      </x:c>
    </x:row>
    <x:row r="332">
      <x:c r="A332" t="str">
        <x:v>ABO-0000331</x:v>
      </x:c>
      <x:c r="B332" t="str">
        <x:v>2025-04</x:v>
      </x:c>
      <x:c r="C332" t="n">
        <x:v>45763</x:v>
      </x:c>
      <x:c r="D332" t="str">
        <x:v>USR-00066</x:v>
      </x:c>
      <x:c r="E332" t="str">
        <x:v>DEU-000123</x:v>
      </x:c>
      <x:c r="F332" t="n">
        <x:v>1062200</x:v>
      </x:c>
      <x:c r="G332" t="n">
        <x:v>235483.67</x:v>
      </x:c>
      <x:c r="H332" t="n">
        <x:v>826716.33</x:v>
      </x:c>
      <x:c r="I332" t="n">
        <x:v>15947210.39</x:v>
      </x:c>
      <x:c r="J332" t="str">
        <x:v>En fecha</x:v>
      </x:c>
    </x:row>
    <x:row r="333">
      <x:c r="A333" t="str">
        <x:v>ABO-0000332</x:v>
      </x:c>
      <x:c r="B333" t="str">
        <x:v>2025-04</x:v>
      </x:c>
      <x:c r="C333" t="n">
        <x:v>45753</x:v>
      </x:c>
      <x:c r="D333" t="str">
        <x:v>USR-00067</x:v>
      </x:c>
      <x:c r="E333" t="str">
        <x:v>DEU-000124</x:v>
      </x:c>
      <x:c r="F333" t="n">
        <x:v>637600</x:v>
      </x:c>
      <x:c r="G333" t="n">
        <x:v>100586.02</x:v>
      </x:c>
      <x:c r="H333" t="n">
        <x:v>537013.98</x:v>
      </x:c>
      <x:c r="I333" t="n">
        <x:v>6552164.83</x:v>
      </x:c>
      <x:c r="J333" t="str">
        <x:v>En fecha</x:v>
      </x:c>
    </x:row>
    <x:row r="334">
      <x:c r="A334" t="str">
        <x:v>ABO-0000333</x:v>
      </x:c>
      <x:c r="B334" t="str">
        <x:v>2025-04</x:v>
      </x:c>
      <x:c r="C334" t="n">
        <x:v>45757</x:v>
      </x:c>
      <x:c r="D334" t="str">
        <x:v>USR-00067</x:v>
      </x:c>
      <x:c r="E334" t="str">
        <x:v>DEU-000126</x:v>
      </x:c>
      <x:c r="F334" t="n">
        <x:v>1626300</x:v>
      </x:c>
      <x:c r="G334" t="n">
        <x:v>614362.82</x:v>
      </x:c>
      <x:c r="H334" t="n">
        <x:v>1011937.18</x:v>
      </x:c>
      <x:c r="I334" t="n">
        <x:v>44420586.83</x:v>
      </x:c>
      <x:c r="J334" t="str">
        <x:v>En fecha</x:v>
      </x:c>
    </x:row>
    <x:row r="335">
      <x:c r="A335" t="str">
        <x:v>ABO-0000334</x:v>
      </x:c>
      <x:c r="B335" t="str">
        <x:v>2025-04</x:v>
      </x:c>
      <x:c r="C335" t="n">
        <x:v>45750</x:v>
      </x:c>
      <x:c r="D335" t="str">
        <x:v>USR-00067</x:v>
      </x:c>
      <x:c r="E335" t="str">
        <x:v>DEU-000127</x:v>
      </x:c>
      <x:c r="F335" t="n">
        <x:v>499800</x:v>
      </x:c>
      <x:c r="G335" t="n">
        <x:v>322296.11</x:v>
      </x:c>
      <x:c r="H335" t="n">
        <x:v>177503.89</x:v>
      </x:c>
      <x:c r="I335" t="n">
        <x:v>17894416.49</x:v>
      </x:c>
      <x:c r="J335" t="str">
        <x:v>En fecha</x:v>
      </x:c>
    </x:row>
    <x:row r="336">
      <x:c r="A336" t="str">
        <x:v>ABO-0000335</x:v>
      </x:c>
      <x:c r="B336" t="str">
        <x:v>2025-04</x:v>
      </x:c>
      <x:c r="C336" t="n">
        <x:v>45765</x:v>
      </x:c>
      <x:c r="D336" t="str">
        <x:v>USR-00069</x:v>
      </x:c>
      <x:c r="E336" t="str">
        <x:v>DEU-000129</x:v>
      </x:c>
      <x:c r="F336" t="n">
        <x:v>300300</x:v>
      </x:c>
      <x:c r="G336" t="n">
        <x:v>160749.69</x:v>
      </x:c>
      <x:c r="H336" t="n">
        <x:v>139550.31</x:v>
      </x:c>
      <x:c r="I336" t="n">
        <x:v>7682120.23</x:v>
      </x:c>
      <x:c r="J336" t="str">
        <x:v>En fecha</x:v>
      </x:c>
    </x:row>
    <x:row r="337">
      <x:c r="A337" t="str">
        <x:v>ABO-0000336</x:v>
      </x:c>
      <x:c r="B337" t="str">
        <x:v>2025-04</x:v>
      </x:c>
      <x:c r="C337" t="n">
        <x:v>45753</x:v>
      </x:c>
      <x:c r="D337" t="str">
        <x:v>USR-00070</x:v>
      </x:c>
      <x:c r="E337" t="str">
        <x:v>DEU-000132</x:v>
      </x:c>
      <x:c r="F337" t="n">
        <x:v>1699000</x:v>
      </x:c>
      <x:c r="G337" t="n">
        <x:v>458211.9</x:v>
      </x:c>
      <x:c r="H337" t="n">
        <x:v>1240788.1</x:v>
      </x:c>
      <x:c r="I337" t="n">
        <x:v>19270019.99</x:v>
      </x:c>
      <x:c r="J337" t="str">
        <x:v>Parcial</x:v>
      </x:c>
    </x:row>
    <x:row r="338">
      <x:c r="A338" t="str">
        <x:v>ABO-0000337</x:v>
      </x:c>
      <x:c r="B338" t="str">
        <x:v>2025-04</x:v>
      </x:c>
      <x:c r="C338" t="n">
        <x:v>45770</x:v>
      </x:c>
      <x:c r="D338" t="str">
        <x:v>USR-00070</x:v>
      </x:c>
      <x:c r="E338" t="str">
        <x:v>DEU-000133</x:v>
      </x:c>
      <x:c r="F338" t="n">
        <x:v>1154300</x:v>
      </x:c>
      <x:c r="G338" t="n">
        <x:v>191750.33</x:v>
      </x:c>
      <x:c r="H338" t="n">
        <x:v>962549.67</x:v>
      </x:c>
      <x:c r="I338" t="n">
        <x:v>10807529.14</x:v>
      </x:c>
      <x:c r="J338" t="str">
        <x:v>En fecha</x:v>
      </x:c>
    </x:row>
    <x:row r="339">
      <x:c r="A339" t="str">
        <x:v>ABO-0000338</x:v>
      </x:c>
      <x:c r="B339" t="str">
        <x:v>2025-04</x:v>
      </x:c>
      <x:c r="C339" t="n">
        <x:v>45773</x:v>
      </x:c>
      <x:c r="D339" t="str">
        <x:v>USR-00071</x:v>
      </x:c>
      <x:c r="E339" t="str">
        <x:v>DEU-000134</x:v>
      </x:c>
      <x:c r="F339" t="n">
        <x:v>133000</x:v>
      </x:c>
      <x:c r="G339" t="n">
        <x:v>28274.29</x:v>
      </x:c>
      <x:c r="H339" t="n">
        <x:v>104725.71</x:v>
      </x:c>
      <x:c r="I339" t="n">
        <x:v>1182798.96</x:v>
      </x:c>
      <x:c r="J339" t="str">
        <x:v>En fecha</x:v>
      </x:c>
    </x:row>
    <x:row r="340">
      <x:c r="A340" t="str">
        <x:v>ABO-0000339</x:v>
      </x:c>
      <x:c r="B340" t="str">
        <x:v>2025-04</x:v>
      </x:c>
      <x:c r="C340" t="n">
        <x:v>45773</x:v>
      </x:c>
      <x:c r="D340" t="str">
        <x:v>USR-00072</x:v>
      </x:c>
      <x:c r="E340" t="str">
        <x:v>DEU-000136</x:v>
      </x:c>
      <x:c r="F340" t="n">
        <x:v>327600</x:v>
      </x:c>
      <x:c r="G340" t="n">
        <x:v>172108.22</x:v>
      </x:c>
      <x:c r="H340" t="n">
        <x:v>155491.78</x:v>
      </x:c>
      <x:c r="I340" t="n">
        <x:v>7842292.06</x:v>
      </x:c>
      <x:c r="J340" t="str">
        <x:v>En fecha</x:v>
      </x:c>
    </x:row>
    <x:row r="341">
      <x:c r="A341" t="str">
        <x:v>ABO-0000340</x:v>
      </x:c>
      <x:c r="B341" t="str">
        <x:v>2025-04</x:v>
      </x:c>
      <x:c r="C341" t="n">
        <x:v>45756</x:v>
      </x:c>
      <x:c r="D341" t="str">
        <x:v>USR-00072</x:v>
      </x:c>
      <x:c r="E341" t="str">
        <x:v>DEU-000137</x:v>
      </x:c>
      <x:c r="F341" t="n">
        <x:v>62600</x:v>
      </x:c>
      <x:c r="G341" t="n">
        <x:v>40612.9</x:v>
      </x:c>
      <x:c r="H341" t="n">
        <x:v>21987.1</x:v>
      </x:c>
      <x:c r="I341" t="n">
        <x:v>2625931.36</x:v>
      </x:c>
      <x:c r="J341" t="str">
        <x:v>Parcial</x:v>
      </x:c>
    </x:row>
    <x:row r="342">
      <x:c r="A342" t="str">
        <x:v>ABO-0000341</x:v>
      </x:c>
      <x:c r="B342" t="str">
        <x:v>2025-04</x:v>
      </x:c>
      <x:c r="C342" t="n">
        <x:v>45772</x:v>
      </x:c>
      <x:c r="D342" t="str">
        <x:v>USR-00073</x:v>
      </x:c>
      <x:c r="E342" t="str">
        <x:v>DEU-000139</x:v>
      </x:c>
      <x:c r="F342" t="n">
        <x:v>690600</x:v>
      </x:c>
      <x:c r="G342" t="n">
        <x:v>70575.42</x:v>
      </x:c>
      <x:c r="H342" t="n">
        <x:v>620024.58</x:v>
      </x:c>
      <x:c r="I342" t="n">
        <x:v>6545997.67</x:v>
      </x:c>
      <x:c r="J342" t="str">
        <x:v>En fecha</x:v>
      </x:c>
    </x:row>
    <x:row r="343">
      <x:c r="A343" t="str">
        <x:v>ABO-0000342</x:v>
      </x:c>
      <x:c r="B343" t="str">
        <x:v>2025-04</x:v>
      </x:c>
      <x:c r="C343" t="n">
        <x:v>45763</x:v>
      </x:c>
      <x:c r="D343" t="str">
        <x:v>USR-00075</x:v>
      </x:c>
      <x:c r="E343" t="str">
        <x:v>DEU-000141</x:v>
      </x:c>
      <x:c r="F343" t="n">
        <x:v>2643100</x:v>
      </x:c>
      <x:c r="G343" t="n">
        <x:v>637766.12</x:v>
      </x:c>
      <x:c r="H343" t="n">
        <x:v>2005333.88</x:v>
      </x:c>
      <x:c r="I343" t="n">
        <x:v>53835230.44</x:v>
      </x:c>
      <x:c r="J343" t="str">
        <x:v>En fecha</x:v>
      </x:c>
    </x:row>
    <x:row r="344">
      <x:c r="A344" t="str">
        <x:v>ABO-0000343</x:v>
      </x:c>
      <x:c r="B344" t="str">
        <x:v>2025-04</x:v>
      </x:c>
      <x:c r="C344" t="n">
        <x:v>45751</x:v>
      </x:c>
      <x:c r="D344" t="str">
        <x:v>USR-00076</x:v>
      </x:c>
      <x:c r="E344" t="str">
        <x:v>DEU-000144</x:v>
      </x:c>
      <x:c r="F344" t="n">
        <x:v>479900</x:v>
      </x:c>
      <x:c r="G344" t="n">
        <x:v>360790.8</x:v>
      </x:c>
      <x:c r="H344" t="n">
        <x:v>119109.2</x:v>
      </x:c>
      <x:c r="I344" t="n">
        <x:v>15983775.1</x:v>
      </x:c>
      <x:c r="J344" t="str">
        <x:v>En fecha</x:v>
      </x:c>
    </x:row>
    <x:row r="345">
      <x:c r="A345" t="str">
        <x:v>ABO-0000344</x:v>
      </x:c>
      <x:c r="B345" t="str">
        <x:v>2025-04</x:v>
      </x:c>
      <x:c r="C345" t="n">
        <x:v>45760</x:v>
      </x:c>
      <x:c r="D345" t="str">
        <x:v>USR-00077</x:v>
      </x:c>
      <x:c r="E345" t="str">
        <x:v>DEU-000146</x:v>
      </x:c>
      <x:c r="F345" t="n">
        <x:v>290500</x:v>
      </x:c>
      <x:c r="G345" t="n">
        <x:v>119010.36</x:v>
      </x:c>
      <x:c r="H345" t="n">
        <x:v>171489.64</x:v>
      </x:c>
      <x:c r="I345" t="n">
        <x:v>7105605.73</x:v>
      </x:c>
      <x:c r="J345" t="str">
        <x:v>Parcial</x:v>
      </x:c>
    </x:row>
    <x:row r="346">
      <x:c r="A346" t="str">
        <x:v>ABO-0000345</x:v>
      </x:c>
      <x:c r="B346" t="str">
        <x:v>2025-04</x:v>
      </x:c>
      <x:c r="C346" t="n">
        <x:v>45757</x:v>
      </x:c>
      <x:c r="D346" t="str">
        <x:v>USR-00078</x:v>
      </x:c>
      <x:c r="E346" t="str">
        <x:v>DEU-000147</x:v>
      </x:c>
      <x:c r="F346" t="n">
        <x:v>198300</x:v>
      </x:c>
      <x:c r="G346" t="n">
        <x:v>107022.45</x:v>
      </x:c>
      <x:c r="H346" t="n">
        <x:v>91277.55</x:v>
      </x:c>
      <x:c r="I346" t="n">
        <x:v>5044679.42</x:v>
      </x:c>
      <x:c r="J346" t="str">
        <x:v>En fecha</x:v>
      </x:c>
    </x:row>
    <x:row r="347">
      <x:c r="A347" t="str">
        <x:v>ABO-0000346</x:v>
      </x:c>
      <x:c r="B347" t="str">
        <x:v>2025-04</x:v>
      </x:c>
      <x:c r="C347" t="n">
        <x:v>45757</x:v>
      </x:c>
      <x:c r="D347" t="str">
        <x:v>USR-00078</x:v>
      </x:c>
      <x:c r="E347" t="str">
        <x:v>DEU-000148</x:v>
      </x:c>
      <x:c r="F347" t="n">
        <x:v>123700</x:v>
      </x:c>
      <x:c r="G347" t="n">
        <x:v>51860.25</x:v>
      </x:c>
      <x:c r="H347" t="n">
        <x:v>71839.75</x:v>
      </x:c>
      <x:c r="I347" t="n">
        <x:v>5508553.24</x:v>
      </x:c>
      <x:c r="J347" t="str">
        <x:v>En fecha</x:v>
      </x:c>
    </x:row>
    <x:row r="348">
      <x:c r="A348" t="str">
        <x:v>ABO-0000347</x:v>
      </x:c>
      <x:c r="B348" t="str">
        <x:v>2025-04</x:v>
      </x:c>
      <x:c r="C348" t="n">
        <x:v>45753</x:v>
      </x:c>
      <x:c r="D348" t="str">
        <x:v>USR-00078</x:v>
      </x:c>
      <x:c r="E348" t="str">
        <x:v>DEU-000149</x:v>
      </x:c>
      <x:c r="F348" t="n">
        <x:v>320900</x:v>
      </x:c>
      <x:c r="G348" t="n">
        <x:v>325890.85</x:v>
      </x:c>
      <x:c r="H348" t="n">
        <x:v>0</x:v>
      </x:c>
      <x:c r="I348" t="n">
        <x:v>13328796.63</x:v>
      </x:c>
      <x:c r="J348" t="str">
        <x:v>Parcial</x:v>
      </x:c>
    </x:row>
    <x:row r="349">
      <x:c r="A349" t="str">
        <x:v>ABO-0000348</x:v>
      </x:c>
      <x:c r="B349" t="str">
        <x:v>2025-04</x:v>
      </x:c>
      <x:c r="C349" t="n">
        <x:v>45764</x:v>
      </x:c>
      <x:c r="D349" t="str">
        <x:v>USR-00078</x:v>
      </x:c>
      <x:c r="E349" t="str">
        <x:v>DEU-000150</x:v>
      </x:c>
      <x:c r="F349" t="n">
        <x:v>627600</x:v>
      </x:c>
      <x:c r="G349" t="n">
        <x:v>103633.03</x:v>
      </x:c>
      <x:c r="H349" t="n">
        <x:v>523966.97</x:v>
      </x:c>
      <x:c r="I349" t="n">
        <x:v>6428143.92</x:v>
      </x:c>
      <x:c r="J349" t="str">
        <x:v>En fecha</x:v>
      </x:c>
    </x:row>
    <x:row r="350">
      <x:c r="A350" t="str">
        <x:v>ABO-0000349</x:v>
      </x:c>
      <x:c r="B350" t="str">
        <x:v>2025-04</x:v>
      </x:c>
      <x:c r="C350" t="n">
        <x:v>45772</x:v>
      </x:c>
      <x:c r="D350" t="str">
        <x:v>USR-00080</x:v>
      </x:c>
      <x:c r="E350" t="str">
        <x:v>DEU-000152</x:v>
      </x:c>
      <x:c r="F350" t="n">
        <x:v>742000</x:v>
      </x:c>
      <x:c r="G350" t="n">
        <x:v>202901.17</x:v>
      </x:c>
      <x:c r="H350" t="n">
        <x:v>539098.83</x:v>
      </x:c>
      <x:c r="I350" t="n">
        <x:v>17954442.36</x:v>
      </x:c>
      <x:c r="J350" t="str">
        <x:v>En fecha</x:v>
      </x:c>
    </x:row>
    <x:row r="351">
      <x:c r="A351" t="str">
        <x:v>ABO-0000350</x:v>
      </x:c>
      <x:c r="B351" t="str">
        <x:v>2025-04</x:v>
      </x:c>
      <x:c r="C351" t="n">
        <x:v>45752</x:v>
      </x:c>
      <x:c r="D351" t="str">
        <x:v>USR-00081</x:v>
      </x:c>
      <x:c r="E351" t="str">
        <x:v>DEU-000153</x:v>
      </x:c>
      <x:c r="F351" t="n">
        <x:v>537500</x:v>
      </x:c>
      <x:c r="G351" t="n">
        <x:v>194299.85</x:v>
      </x:c>
      <x:c r="H351" t="n">
        <x:v>343200.15</x:v>
      </x:c>
      <x:c r="I351" t="n">
        <x:v>7596458.37</x:v>
      </x:c>
      <x:c r="J351" t="str">
        <x:v>En fecha</x:v>
      </x:c>
    </x:row>
    <x:row r="352">
      <x:c r="A352" t="str">
        <x:v>ABO-0000351</x:v>
      </x:c>
      <x:c r="B352" t="str">
        <x:v>2025-04</x:v>
      </x:c>
      <x:c r="C352" t="n">
        <x:v>45750</x:v>
      </x:c>
      <x:c r="D352" t="str">
        <x:v>USR-00082</x:v>
      </x:c>
      <x:c r="E352" t="str">
        <x:v>DEU-000156</x:v>
      </x:c>
      <x:c r="F352" t="n">
        <x:v>1104600</x:v>
      </x:c>
      <x:c r="G352" t="n">
        <x:v>297718.38</x:v>
      </x:c>
      <x:c r="H352" t="n">
        <x:v>806881.62</x:v>
      </x:c>
      <x:c r="I352" t="n">
        <x:v>12264206.03</x:v>
      </x:c>
      <x:c r="J352" t="str">
        <x:v>En fecha</x:v>
      </x:c>
    </x:row>
    <x:row r="353">
      <x:c r="A353" t="str">
        <x:v>ABO-0000352</x:v>
      </x:c>
      <x:c r="B353" t="str">
        <x:v>2025-04</x:v>
      </x:c>
      <x:c r="C353" t="n">
        <x:v>45772</x:v>
      </x:c>
      <x:c r="D353" t="str">
        <x:v>USR-00084</x:v>
      </x:c>
      <x:c r="E353" t="str">
        <x:v>DEU-000158</x:v>
      </x:c>
      <x:c r="F353" t="n">
        <x:v>1220300</x:v>
      </x:c>
      <x:c r="G353" t="n">
        <x:v>214298.23</x:v>
      </x:c>
      <x:c r="H353" t="n">
        <x:v>1006001.77</x:v>
      </x:c>
      <x:c r="I353" t="n">
        <x:v>19096036.03</x:v>
      </x:c>
      <x:c r="J353" t="str">
        <x:v>En fecha</x:v>
      </x:c>
    </x:row>
    <x:row r="354">
      <x:c r="A354" t="str">
        <x:v>ABO-0000353</x:v>
      </x:c>
      <x:c r="B354" t="str">
        <x:v>2025-04</x:v>
      </x:c>
      <x:c r="C354" t="n">
        <x:v>45760</x:v>
      </x:c>
      <x:c r="D354" t="str">
        <x:v>USR-00084</x:v>
      </x:c>
      <x:c r="E354" t="str">
        <x:v>DEU-000159</x:v>
      </x:c>
      <x:c r="F354" t="n">
        <x:v>486800</x:v>
      </x:c>
      <x:c r="G354" t="n">
        <x:v>214866.65</x:v>
      </x:c>
      <x:c r="H354" t="n">
        <x:v>271933.35</x:v>
      </x:c>
      <x:c r="I354" t="n">
        <x:v>8326857.75</x:v>
      </x:c>
      <x:c r="J354" t="str">
        <x:v>Parcial</x:v>
      </x:c>
    </x:row>
    <x:row r="355">
      <x:c r="A355" t="str">
        <x:v>ABO-0000354</x:v>
      </x:c>
      <x:c r="B355" t="str">
        <x:v>2025-04</x:v>
      </x:c>
      <x:c r="C355" t="n">
        <x:v>45748</x:v>
      </x:c>
      <x:c r="D355" t="str">
        <x:v>USR-00087</x:v>
      </x:c>
      <x:c r="E355" t="str">
        <x:v>DEU-000162</x:v>
      </x:c>
      <x:c r="F355" t="n">
        <x:v>1094800</x:v>
      </x:c>
      <x:c r="G355" t="n">
        <x:v>577986.26</x:v>
      </x:c>
      <x:c r="H355" t="n">
        <x:v>516813.74</x:v>
      </x:c>
      <x:c r="I355" t="n">
        <x:v>34556225.91</x:v>
      </x:c>
      <x:c r="J355" t="str">
        <x:v>En fecha</x:v>
      </x:c>
    </x:row>
    <x:row r="356">
      <x:c r="A356" t="str">
        <x:v>ABO-0000355</x:v>
      </x:c>
      <x:c r="B356" t="str">
        <x:v>2025-04</x:v>
      </x:c>
      <x:c r="C356" t="n">
        <x:v>45751</x:v>
      </x:c>
      <x:c r="D356" t="str">
        <x:v>USR-00089</x:v>
      </x:c>
      <x:c r="E356" t="str">
        <x:v>DEU-000164</x:v>
      </x:c>
      <x:c r="F356" t="n">
        <x:v>469700</x:v>
      </x:c>
      <x:c r="G356" t="n">
        <x:v>315781.94</x:v>
      </x:c>
      <x:c r="H356" t="n">
        <x:v>153918.06</x:v>
      </x:c>
      <x:c r="I356" t="n">
        <x:v>16255900.93</x:v>
      </x:c>
      <x:c r="J356" t="str">
        <x:v>En fecha</x:v>
      </x:c>
    </x:row>
    <x:row r="357">
      <x:c r="A357" t="str">
        <x:v>ABO-0000356</x:v>
      </x:c>
      <x:c r="B357" t="str">
        <x:v>2025-04</x:v>
      </x:c>
      <x:c r="C357" t="n">
        <x:v>45748</x:v>
      </x:c>
      <x:c r="D357" t="str">
        <x:v>USR-00090</x:v>
      </x:c>
      <x:c r="E357" t="str">
        <x:v>DEU-000166</x:v>
      </x:c>
      <x:c r="F357" t="n">
        <x:v>1484600</x:v>
      </x:c>
      <x:c r="G357" t="n">
        <x:v>302166.49</x:v>
      </x:c>
      <x:c r="H357" t="n">
        <x:v>1182433.51</x:v>
      </x:c>
      <x:c r="I357" t="n">
        <x:v>18935261.61</x:v>
      </x:c>
      <x:c r="J357" t="str">
        <x:v>En fecha</x:v>
      </x:c>
    </x:row>
    <x:row r="358">
      <x:c r="A358" t="str">
        <x:v>ABO-0000357</x:v>
      </x:c>
      <x:c r="B358" t="str">
        <x:v>2025-04</x:v>
      </x:c>
      <x:c r="C358" t="n">
        <x:v>45758</x:v>
      </x:c>
      <x:c r="D358" t="str">
        <x:v>USR-00091</x:v>
      </x:c>
      <x:c r="E358" t="str">
        <x:v>DEU-000167</x:v>
      </x:c>
      <x:c r="F358" t="n">
        <x:v>663400</x:v>
      </x:c>
      <x:c r="G358" t="n">
        <x:v>168099.36</x:v>
      </x:c>
      <x:c r="H358" t="n">
        <x:v>495300.64</x:v>
      </x:c>
      <x:c r="I358" t="n">
        <x:v>14260905.34</x:v>
      </x:c>
      <x:c r="J358" t="str">
        <x:v>En fecha</x:v>
      </x:c>
    </x:row>
    <x:row r="359">
      <x:c r="A359" t="str">
        <x:v>ABO-0000358</x:v>
      </x:c>
      <x:c r="B359" t="str">
        <x:v>2025-04</x:v>
      </x:c>
      <x:c r="C359" t="n">
        <x:v>45769</x:v>
      </x:c>
      <x:c r="D359" t="str">
        <x:v>USR-00091</x:v>
      </x:c>
      <x:c r="E359" t="str">
        <x:v>DEU-000168</x:v>
      </x:c>
      <x:c r="F359" t="n">
        <x:v>665500</x:v>
      </x:c>
      <x:c r="G359" t="n">
        <x:v>292579.57</x:v>
      </x:c>
      <x:c r="H359" t="n">
        <x:v>372920.43</x:v>
      </x:c>
      <x:c r="I359" t="n">
        <x:v>13993794</x:v>
      </x:c>
      <x:c r="J359" t="str">
        <x:v>En fecha</x:v>
      </x:c>
    </x:row>
    <x:row r="360">
      <x:c r="A360" t="str">
        <x:v>ABO-0000359</x:v>
      </x:c>
      <x:c r="B360" t="str">
        <x:v>2025-04</x:v>
      </x:c>
      <x:c r="C360" t="n">
        <x:v>45772</x:v>
      </x:c>
      <x:c r="D360" t="str">
        <x:v>USR-00091</x:v>
      </x:c>
      <x:c r="E360" t="str">
        <x:v>DEU-000170</x:v>
      </x:c>
      <x:c r="F360" t="n">
        <x:v>518300</x:v>
      </x:c>
      <x:c r="G360" t="n">
        <x:v>66942.39</x:v>
      </x:c>
      <x:c r="H360" t="n">
        <x:v>451357.61</x:v>
      </x:c>
      <x:c r="I360" t="n">
        <x:v>5394826.93</x:v>
      </x:c>
      <x:c r="J360" t="str">
        <x:v>En fecha</x:v>
      </x:c>
    </x:row>
    <x:row r="361">
      <x:c r="A361" t="str">
        <x:v>ABO-0000360</x:v>
      </x:c>
      <x:c r="B361" t="str">
        <x:v>2025-04</x:v>
      </x:c>
      <x:c r="C361" t="n">
        <x:v>45759</x:v>
      </x:c>
      <x:c r="D361" t="str">
        <x:v>USR-00092</x:v>
      </x:c>
      <x:c r="E361" t="str">
        <x:v>DEU-000171</x:v>
      </x:c>
      <x:c r="F361" t="n">
        <x:v>509300</x:v>
      </x:c>
      <x:c r="G361" t="n">
        <x:v>130037.61</x:v>
      </x:c>
      <x:c r="H361" t="n">
        <x:v>379262.39</x:v>
      </x:c>
      <x:c r="I361" t="n">
        <x:v>4997704.63</x:v>
      </x:c>
      <x:c r="J361" t="str">
        <x:v>En fecha</x:v>
      </x:c>
    </x:row>
    <x:row r="362">
      <x:c r="A362" t="str">
        <x:v>ABO-0000361</x:v>
      </x:c>
      <x:c r="B362" t="str">
        <x:v>2025-04</x:v>
      </x:c>
      <x:c r="C362" t="n">
        <x:v>45767</x:v>
      </x:c>
      <x:c r="D362" t="str">
        <x:v>USR-00093</x:v>
      </x:c>
      <x:c r="E362" t="str">
        <x:v>DEU-000173</x:v>
      </x:c>
      <x:c r="F362" t="n">
        <x:v>1099200</x:v>
      </x:c>
      <x:c r="G362" t="n">
        <x:v>119428.18</x:v>
      </x:c>
      <x:c r="H362" t="n">
        <x:v>979771.82</x:v>
      </x:c>
      <x:c r="I362" t="n">
        <x:v>10373241.56</x:v>
      </x:c>
      <x:c r="J362" t="str">
        <x:v>En fecha</x:v>
      </x:c>
    </x:row>
    <x:row r="363">
      <x:c r="A363" t="str">
        <x:v>ABO-0000362</x:v>
      </x:c>
      <x:c r="B363" t="str">
        <x:v>2025-04</x:v>
      </x:c>
      <x:c r="C363" t="n">
        <x:v>45749</x:v>
      </x:c>
      <x:c r="D363" t="str">
        <x:v>USR-00093</x:v>
      </x:c>
      <x:c r="E363" t="str">
        <x:v>DEU-000174</x:v>
      </x:c>
      <x:c r="F363" t="n">
        <x:v>88900</x:v>
      </x:c>
      <x:c r="G363" t="n">
        <x:v>48980.39</x:v>
      </x:c>
      <x:c r="H363" t="n">
        <x:v>39919.61</x:v>
      </x:c>
      <x:c r="I363" t="n">
        <x:v>2812238.9</x:v>
      </x:c>
      <x:c r="J363" t="str">
        <x:v>En fecha</x:v>
      </x:c>
    </x:row>
    <x:row r="364">
      <x:c r="A364" t="str">
        <x:v>ABO-0000363</x:v>
      </x:c>
      <x:c r="B364" t="str">
        <x:v>2025-04</x:v>
      </x:c>
      <x:c r="C364" t="n">
        <x:v>45765</x:v>
      </x:c>
      <x:c r="D364" t="str">
        <x:v>USR-00093</x:v>
      </x:c>
      <x:c r="E364" t="str">
        <x:v>DEU-000175</x:v>
      </x:c>
      <x:c r="F364" t="n">
        <x:v>314300</x:v>
      </x:c>
      <x:c r="G364" t="n">
        <x:v>200924.58</x:v>
      </x:c>
      <x:c r="H364" t="n">
        <x:v>113375.42</x:v>
      </x:c>
      <x:c r="I364" t="n">
        <x:v>11415191.27</x:v>
      </x:c>
      <x:c r="J364" t="str">
        <x:v>En fecha</x:v>
      </x:c>
    </x:row>
    <x:row r="365">
      <x:c r="A365" t="str">
        <x:v>ABO-0000364</x:v>
      </x:c>
      <x:c r="B365" t="str">
        <x:v>2025-04</x:v>
      </x:c>
      <x:c r="C365" t="n">
        <x:v>45766</x:v>
      </x:c>
      <x:c r="D365" t="str">
        <x:v>USR-00094</x:v>
      </x:c>
      <x:c r="E365" t="str">
        <x:v>DEU-000176</x:v>
      </x:c>
      <x:c r="F365" t="n">
        <x:v>499200</x:v>
      </x:c>
      <x:c r="G365" t="n">
        <x:v>97012.47</x:v>
      </x:c>
      <x:c r="H365" t="n">
        <x:v>402187.53</x:v>
      </x:c>
      <x:c r="I365" t="n">
        <x:v>7180705.37</x:v>
      </x:c>
      <x:c r="J365" t="str">
        <x:v>En fecha</x:v>
      </x:c>
    </x:row>
    <x:row r="366">
      <x:c r="A366" t="str">
        <x:v>ABO-0000365</x:v>
      </x:c>
      <x:c r="B366" t="str">
        <x:v>2025-04</x:v>
      </x:c>
      <x:c r="C366" t="n">
        <x:v>45765</x:v>
      </x:c>
      <x:c r="D366" t="str">
        <x:v>USR-00095</x:v>
      </x:c>
      <x:c r="E366" t="str">
        <x:v>DEU-000178</x:v>
      </x:c>
      <x:c r="F366" t="n">
        <x:v>162700</x:v>
      </x:c>
      <x:c r="G366" t="n">
        <x:v>149860.16</x:v>
      </x:c>
      <x:c r="H366" t="n">
        <x:v>12839.84</x:v>
      </x:c>
      <x:c r="I366" t="n">
        <x:v>7547160.16</x:v>
      </x:c>
      <x:c r="J366" t="str">
        <x:v>Parcial</x:v>
      </x:c>
    </x:row>
    <x:row r="367">
      <x:c r="A367" t="str">
        <x:v>ABO-0000366</x:v>
      </x:c>
      <x:c r="B367" t="str">
        <x:v>2025-04</x:v>
      </x:c>
      <x:c r="C367" t="n">
        <x:v>45771</x:v>
      </x:c>
      <x:c r="D367" t="str">
        <x:v>USR-00095</x:v>
      </x:c>
      <x:c r="E367" t="str">
        <x:v>DEU-000179</x:v>
      </x:c>
      <x:c r="F367" t="n">
        <x:v>1710300</x:v>
      </x:c>
      <x:c r="G367" t="n">
        <x:v>506909.63</x:v>
      </x:c>
      <x:c r="H367" t="n">
        <x:v>1203390.37</x:v>
      </x:c>
      <x:c r="I367" t="n">
        <x:v>43496609.63</x:v>
      </x:c>
      <x:c r="J367" t="str">
        <x:v>Parcial</x:v>
      </x:c>
    </x:row>
    <x:row r="368">
      <x:c r="A368" t="str">
        <x:v>ABO-0000367</x:v>
      </x:c>
      <x:c r="B368" t="str">
        <x:v>2025-04</x:v>
      </x:c>
      <x:c r="C368" t="n">
        <x:v>45756</x:v>
      </x:c>
      <x:c r="D368" t="str">
        <x:v>USR-00095</x:v>
      </x:c>
      <x:c r="E368" t="str">
        <x:v>DEU-000180</x:v>
      </x:c>
      <x:c r="F368" t="n">
        <x:v>233000</x:v>
      </x:c>
      <x:c r="G368" t="n">
        <x:v>74752.59</x:v>
      </x:c>
      <x:c r="H368" t="n">
        <x:v>158247.41</x:v>
      </x:c>
      <x:c r="I368" t="n">
        <x:v>4341752.59</x:v>
      </x:c>
      <x:c r="J368" t="str">
        <x:v>Parcial</x:v>
      </x:c>
    </x:row>
    <x:row r="369">
      <x:c r="A369" t="str">
        <x:v>ABO-0000368</x:v>
      </x:c>
      <x:c r="B369" t="str">
        <x:v>2025-04</x:v>
      </x:c>
      <x:c r="C369" t="n">
        <x:v>45753</x:v>
      </x:c>
      <x:c r="D369" t="str">
        <x:v>USR-00095</x:v>
      </x:c>
      <x:c r="E369" t="str">
        <x:v>DEU-000182</x:v>
      </x:c>
      <x:c r="F369" t="n">
        <x:v>809400</x:v>
      </x:c>
      <x:c r="G369" t="n">
        <x:v>80855.57</x:v>
      </x:c>
      <x:c r="H369" t="n">
        <x:v>728544.43</x:v>
      </x:c>
      <x:c r="I369" t="n">
        <x:v>7181455.57</x:v>
      </x:c>
      <x:c r="J369" t="str">
        <x:v>En fecha</x:v>
      </x:c>
    </x:row>
    <x:row r="370">
      <x:c r="A370" t="str">
        <x:v>ABO-0000369</x:v>
      </x:c>
      <x:c r="B370" t="str">
        <x:v>2025-04</x:v>
      </x:c>
      <x:c r="C370" t="n">
        <x:v>45758</x:v>
      </x:c>
      <x:c r="D370" t="str">
        <x:v>USR-00097</x:v>
      </x:c>
      <x:c r="E370" t="str">
        <x:v>DEU-000184</x:v>
      </x:c>
      <x:c r="F370" t="n">
        <x:v>3528500</x:v>
      </x:c>
      <x:c r="G370" t="n">
        <x:v>360652.17</x:v>
      </x:c>
      <x:c r="H370" t="n">
        <x:v>3167847.83</x:v>
      </x:c>
      <x:c r="I370" t="n">
        <x:v>31262152.17</x:v>
      </x:c>
      <x:c r="J370" t="str">
        <x:v>En fecha</x:v>
      </x:c>
    </x:row>
    <x:row r="371">
      <x:c r="A371" t="str">
        <x:v>ABO-0000370</x:v>
      </x:c>
      <x:c r="B371" t="str">
        <x:v>2025-04</x:v>
      </x:c>
      <x:c r="C371" t="n">
        <x:v>45755</x:v>
      </x:c>
      <x:c r="D371" t="str">
        <x:v>USR-00098</x:v>
      </x:c>
      <x:c r="E371" t="str">
        <x:v>DEU-000186</x:v>
      </x:c>
      <x:c r="F371" t="n">
        <x:v>1204300</x:v>
      </x:c>
      <x:c r="G371" t="n">
        <x:v>484059.61</x:v>
      </x:c>
      <x:c r="H371" t="n">
        <x:v>720240.39</x:v>
      </x:c>
      <x:c r="I371" t="n">
        <x:v>22289759.61</x:v>
      </x:c>
      <x:c r="J371" t="str">
        <x:v>Parcial</x:v>
      </x:c>
    </x:row>
    <x:row r="372">
      <x:c r="A372" t="str">
        <x:v>ABO-0000371</x:v>
      </x:c>
      <x:c r="B372" t="str">
        <x:v>2025-04</x:v>
      </x:c>
      <x:c r="C372" t="n">
        <x:v>45752</x:v>
      </x:c>
      <x:c r="D372" t="str">
        <x:v>USR-00098</x:v>
      </x:c>
      <x:c r="E372" t="str">
        <x:v>DEU-000187</x:v>
      </x:c>
      <x:c r="F372" t="n">
        <x:v>63600</x:v>
      </x:c>
      <x:c r="G372" t="n">
        <x:v>46451.17</x:v>
      </x:c>
      <x:c r="H372" t="n">
        <x:v>17148.83</x:v>
      </x:c>
      <x:c r="I372" t="n">
        <x:v>3212851.17</x:v>
      </x:c>
      <x:c r="J372" t="str">
        <x:v>Parcial</x:v>
      </x:c>
    </x:row>
    <x:row r="373">
      <x:c r="A373" t="str">
        <x:v>ABO-0000372</x:v>
      </x:c>
      <x:c r="B373" t="str">
        <x:v>2025-04</x:v>
      </x:c>
      <x:c r="C373" t="n">
        <x:v>45774</x:v>
      </x:c>
      <x:c r="D373" t="str">
        <x:v>USR-00099</x:v>
      </x:c>
      <x:c r="E373" t="str">
        <x:v>DEU-000188</x:v>
      </x:c>
      <x:c r="F373" t="n">
        <x:v>336700</x:v>
      </x:c>
      <x:c r="G373" t="n">
        <x:v>311133.12</x:v>
      </x:c>
      <x:c r="H373" t="n">
        <x:v>25566.88</x:v>
      </x:c>
      <x:c r="I373" t="n">
        <x:v>26124433.12</x:v>
      </x:c>
      <x:c r="J373" t="str">
        <x:v>Parcial</x:v>
      </x:c>
    </x:row>
    <x:row r="374">
      <x:c r="A374" t="str">
        <x:v>ABO-0000373</x:v>
      </x:c>
      <x:c r="B374" t="str">
        <x:v>2025-04</x:v>
      </x:c>
      <x:c r="C374" t="n">
        <x:v>45761</x:v>
      </x:c>
      <x:c r="D374" t="str">
        <x:v>USR-00099</x:v>
      </x:c>
      <x:c r="E374" t="str">
        <x:v>DEU-000189</x:v>
      </x:c>
      <x:c r="F374" t="n">
        <x:v>319000</x:v>
      </x:c>
      <x:c r="G374" t="n">
        <x:v>101478.62</x:v>
      </x:c>
      <x:c r="H374" t="n">
        <x:v>217521.38</x:v>
      </x:c>
      <x:c r="I374" t="n">
        <x:v>4502478.62</x:v>
      </x:c>
      <x:c r="J374" t="str">
        <x:v>En fecha</x:v>
      </x:c>
    </x:row>
    <x:row r="375">
      <x:c r="A375" t="str">
        <x:v>ABO-0000374</x:v>
      </x:c>
      <x:c r="B375" t="str">
        <x:v>2025-04</x:v>
      </x:c>
      <x:c r="C375" t="n">
        <x:v>45765</x:v>
      </x:c>
      <x:c r="D375" t="str">
        <x:v>USR-00100</x:v>
      </x:c>
      <x:c r="E375" t="str">
        <x:v>DEU-000190</x:v>
      </x:c>
      <x:c r="F375" t="n">
        <x:v>727600</x:v>
      </x:c>
      <x:c r="G375" t="n">
        <x:v>308915.15</x:v>
      </x:c>
      <x:c r="H375" t="n">
        <x:v>418684.85</x:v>
      </x:c>
      <x:c r="I375" t="n">
        <x:v>13261315.15</x:v>
      </x:c>
      <x:c r="J375" t="str">
        <x:v>En fecha</x:v>
      </x:c>
    </x:row>
    <x:row r="376">
      <x:c r="A376" t="str">
        <x:v>ABO-0000375</x:v>
      </x:c>
      <x:c r="B376" t="str">
        <x:v>2025-04</x:v>
      </x:c>
      <x:c r="C376" t="n">
        <x:v>45750</x:v>
      </x:c>
      <x:c r="D376" t="str">
        <x:v>USR-00100</x:v>
      </x:c>
      <x:c r="E376" t="str">
        <x:v>DEU-000191</x:v>
      </x:c>
      <x:c r="F376" t="n">
        <x:v>734600</x:v>
      </x:c>
      <x:c r="G376" t="n">
        <x:v>225000.17</x:v>
      </x:c>
      <x:c r="H376" t="n">
        <x:v>509599.83</x:v>
      </x:c>
      <x:c r="I376" t="n">
        <x:v>10350400.17</x:v>
      </x:c>
      <x:c r="J376" t="str">
        <x:v>En fecha</x:v>
      </x:c>
    </x:row>
    <x:row r="377">
      <x:c r="A377" t="str">
        <x:v>ABO-0000376</x:v>
      </x:c>
      <x:c r="B377" t="str">
        <x:v>2025-04</x:v>
      </x:c>
      <x:c r="C377" t="n">
        <x:v>45763</x:v>
      </x:c>
      <x:c r="D377" t="str">
        <x:v>USR-00101</x:v>
      </x:c>
      <x:c r="E377" t="str">
        <x:v>DEU-000193</x:v>
      </x:c>
      <x:c r="F377" t="n">
        <x:v>1332700</x:v>
      </x:c>
      <x:c r="G377" t="n">
        <x:v>870112.76</x:v>
      </x:c>
      <x:c r="H377" t="n">
        <x:v>462587.24</x:v>
      </x:c>
      <x:c r="I377" t="n">
        <x:v>38577412.76</x:v>
      </x:c>
      <x:c r="J377" t="str">
        <x:v>En fecha</x:v>
      </x:c>
    </x:row>
    <x:row r="378">
      <x:c r="A378" t="str">
        <x:v>ABO-0000377</x:v>
      </x:c>
      <x:c r="B378" t="str">
        <x:v>2025-04</x:v>
      </x:c>
      <x:c r="C378" t="n">
        <x:v>45757</x:v>
      </x:c>
      <x:c r="D378" t="str">
        <x:v>USR-00101</x:v>
      </x:c>
      <x:c r="E378" t="str">
        <x:v>DEU-000194</x:v>
      </x:c>
      <x:c r="F378" t="n">
        <x:v>501200</x:v>
      </x:c>
      <x:c r="G378" t="n">
        <x:v>196354.69</x:v>
      </x:c>
      <x:c r="H378" t="n">
        <x:v>304845.31</x:v>
      </x:c>
      <x:c r="I378" t="n">
        <x:v>7575154.69</x:v>
      </x:c>
      <x:c r="J378" t="str">
        <x:v>En fecha</x:v>
      </x:c>
    </x:row>
    <x:row r="379">
      <x:c r="A379" t="str">
        <x:v>ABO-0000378</x:v>
      </x:c>
      <x:c r="B379" t="str">
        <x:v>2025-04</x:v>
      </x:c>
      <x:c r="C379" t="n">
        <x:v>45754</x:v>
      </x:c>
      <x:c r="D379" t="str">
        <x:v>USR-00101</x:v>
      </x:c>
      <x:c r="E379" t="str">
        <x:v>DEU-000195</x:v>
      </x:c>
      <x:c r="F379" t="n">
        <x:v>668500</x:v>
      </x:c>
      <x:c r="G379" t="n">
        <x:v>153148.38</x:v>
      </x:c>
      <x:c r="H379" t="n">
        <x:v>515351.62</x:v>
      </x:c>
      <x:c r="I379" t="n">
        <x:v>13024648.38</x:v>
      </x:c>
      <x:c r="J379" t="str">
        <x:v>Parcial</x:v>
      </x:c>
    </x:row>
    <x:row r="380">
      <x:c r="A380" t="str">
        <x:v>ABO-0000379</x:v>
      </x:c>
      <x:c r="B380" t="str">
        <x:v>2025-04</x:v>
      </x:c>
      <x:c r="C380" t="n">
        <x:v>45774</x:v>
      </x:c>
      <x:c r="D380" t="str">
        <x:v>USR-00101</x:v>
      </x:c>
      <x:c r="E380" t="str">
        <x:v>DEU-000196</x:v>
      </x:c>
      <x:c r="F380" t="n">
        <x:v>149700</x:v>
      </x:c>
      <x:c r="G380" t="n">
        <x:v>116219.18</x:v>
      </x:c>
      <x:c r="H380" t="n">
        <x:v>33480.82</x:v>
      </x:c>
      <x:c r="I380" t="n">
        <x:v>5656519.18</x:v>
      </x:c>
      <x:c r="J380" t="str">
        <x:v>Parcial</x:v>
      </x:c>
    </x:row>
    <x:row r="381">
      <x:c r="A381" t="str">
        <x:v>ABO-0000380</x:v>
      </x:c>
      <x:c r="B381" t="str">
        <x:v>2025-04</x:v>
      </x:c>
      <x:c r="C381" t="n">
        <x:v>45754</x:v>
      </x:c>
      <x:c r="D381" t="str">
        <x:v>USR-00102</x:v>
      </x:c>
      <x:c r="E381" t="str">
        <x:v>DEU-000197</x:v>
      </x:c>
      <x:c r="F381" t="n">
        <x:v>249800</x:v>
      </x:c>
      <x:c r="G381" t="n">
        <x:v>60995.78</x:v>
      </x:c>
      <x:c r="H381" t="n">
        <x:v>188804.22</x:v>
      </x:c>
      <x:c r="I381" t="n">
        <x:v>3111195.78</x:v>
      </x:c>
      <x:c r="J381" t="str">
        <x:v>En fecha</x:v>
      </x:c>
    </x:row>
    <x:row r="382">
      <x:c r="A382" t="str">
        <x:v>ABO-0000381</x:v>
      </x:c>
      <x:c r="B382" t="str">
        <x:v>2025-04</x:v>
      </x:c>
      <x:c r="C382" t="n">
        <x:v>45750</x:v>
      </x:c>
      <x:c r="D382" t="str">
        <x:v>USR-00102</x:v>
      </x:c>
      <x:c r="E382" t="str">
        <x:v>DEU-000198</x:v>
      </x:c>
      <x:c r="F382" t="n">
        <x:v>1933000</x:v>
      </x:c>
      <x:c r="G382" t="n">
        <x:v>242162.53</x:v>
      </x:c>
      <x:c r="H382" t="n">
        <x:v>1690837.47</x:v>
      </x:c>
      <x:c r="I382" t="n">
        <x:v>12149162.53</x:v>
      </x:c>
      <x:c r="J382" t="str">
        <x:v>En fecha</x:v>
      </x:c>
    </x:row>
    <x:row r="383">
      <x:c r="A383" t="str">
        <x:v>ABO-0000382</x:v>
      </x:c>
      <x:c r="B383" t="str">
        <x:v>2025-04</x:v>
      </x:c>
      <x:c r="C383" t="n">
        <x:v>45751</x:v>
      </x:c>
      <x:c r="D383" t="str">
        <x:v>USR-00103</x:v>
      </x:c>
      <x:c r="E383" t="str">
        <x:v>DEU-000199</x:v>
      </x:c>
      <x:c r="F383" t="n">
        <x:v>750300</x:v>
      </x:c>
      <x:c r="G383" t="n">
        <x:v>186741.31</x:v>
      </x:c>
      <x:c r="H383" t="n">
        <x:v>563558.69</x:v>
      </x:c>
      <x:c r="I383" t="n">
        <x:v>9436441.31</x:v>
      </x:c>
      <x:c r="J383" t="str">
        <x:v>Parcial</x:v>
      </x:c>
    </x:row>
    <x:row r="384">
      <x:c r="A384" t="str">
        <x:v>ABO-0000383</x:v>
      </x:c>
      <x:c r="B384" t="str">
        <x:v>2025-04</x:v>
      </x:c>
      <x:c r="C384" t="n">
        <x:v>45768</x:v>
      </x:c>
      <x:c r="D384" t="str">
        <x:v>USR-00104</x:v>
      </x:c>
      <x:c r="E384" t="str">
        <x:v>DEU-000202</x:v>
      </x:c>
      <x:c r="F384" t="n">
        <x:v>92900</x:v>
      </x:c>
      <x:c r="G384" t="n">
        <x:v>40381.68</x:v>
      </x:c>
      <x:c r="H384" t="n">
        <x:v>52518.32</x:v>
      </x:c>
      <x:c r="I384" t="n">
        <x:v>1627481.68</x:v>
      </x:c>
      <x:c r="J384" t="str">
        <x:v>En fecha</x:v>
      </x:c>
    </x:row>
    <x:row r="385">
      <x:c r="A385" t="str">
        <x:v>ABO-0000384</x:v>
      </x:c>
      <x:c r="B385" t="str">
        <x:v>2025-04</x:v>
      </x:c>
      <x:c r="C385" t="n">
        <x:v>45756</x:v>
      </x:c>
      <x:c r="D385" t="str">
        <x:v>USR-00105</x:v>
      </x:c>
      <x:c r="E385" t="str">
        <x:v>DEU-000203</x:v>
      </x:c>
      <x:c r="F385" t="n">
        <x:v>95800</x:v>
      </x:c>
      <x:c r="G385" t="n">
        <x:v>48416.75</x:v>
      </x:c>
      <x:c r="H385" t="n">
        <x:v>47383.25</x:v>
      </x:c>
      <x:c r="I385" t="n">
        <x:v>1932616.75</x:v>
      </x:c>
      <x:c r="J385" t="str">
        <x:v>En fecha</x:v>
      </x:c>
    </x:row>
    <x:row r="386">
      <x:c r="A386" t="str">
        <x:v>ABO-0000385</x:v>
      </x:c>
      <x:c r="B386" t="str">
        <x:v>2025-04</x:v>
      </x:c>
      <x:c r="C386" t="n">
        <x:v>45753</x:v>
      </x:c>
      <x:c r="D386" t="str">
        <x:v>USR-00106</x:v>
      </x:c>
      <x:c r="E386" t="str">
        <x:v>DEU-000204</x:v>
      </x:c>
      <x:c r="F386" t="n">
        <x:v>89800</x:v>
      </x:c>
      <x:c r="G386" t="n">
        <x:v>90884.84</x:v>
      </x:c>
      <x:c r="H386" t="n">
        <x:v>0</x:v>
      </x:c>
      <x:c r="I386" t="n">
        <x:v>3981084.84</x:v>
      </x:c>
      <x:c r="J386" t="str">
        <x:v>Parcial</x:v>
      </x:c>
    </x:row>
    <x:row r="387">
      <x:c r="A387" t="str">
        <x:v>ABO-0000386</x:v>
      </x:c>
      <x:c r="B387" t="str">
        <x:v>2025-04</x:v>
      </x:c>
      <x:c r="C387" t="n">
        <x:v>45773</x:v>
      </x:c>
      <x:c r="D387" t="str">
        <x:v>USR-00106</x:v>
      </x:c>
      <x:c r="E387" t="str">
        <x:v>DEU-000205</x:v>
      </x:c>
      <x:c r="F387" t="n">
        <x:v>196500</x:v>
      </x:c>
      <x:c r="G387" t="n">
        <x:v>115694.47</x:v>
      </x:c>
      <x:c r="H387" t="n">
        <x:v>80805.53</x:v>
      </x:c>
      <x:c r="I387" t="n">
        <x:v>4549194.47</x:v>
      </x:c>
      <x:c r="J387" t="str">
        <x:v>En fecha</x:v>
      </x:c>
    </x:row>
    <x:row r="388">
      <x:c r="A388" t="str">
        <x:v>ABO-0000387</x:v>
      </x:c>
      <x:c r="B388" t="str">
        <x:v>2025-04</x:v>
      </x:c>
      <x:c r="C388" t="n">
        <x:v>45769</x:v>
      </x:c>
      <x:c r="D388" t="str">
        <x:v>USR-00107</x:v>
      </x:c>
      <x:c r="E388" t="str">
        <x:v>DEU-000206</x:v>
      </x:c>
      <x:c r="F388" t="n">
        <x:v>237000</x:v>
      </x:c>
      <x:c r="G388" t="n">
        <x:v>134805.95</x:v>
      </x:c>
      <x:c r="H388" t="n">
        <x:v>102194.05</x:v>
      </x:c>
      <x:c r="I388" t="n">
        <x:v>6297805.95</x:v>
      </x:c>
      <x:c r="J388" t="str">
        <x:v>Parcial</x:v>
      </x:c>
    </x:row>
    <x:row r="389">
      <x:c r="A389" t="str">
        <x:v>ABO-0000388</x:v>
      </x:c>
      <x:c r="B389" t="str">
        <x:v>2025-04</x:v>
      </x:c>
      <x:c r="C389" t="n">
        <x:v>45765</x:v>
      </x:c>
      <x:c r="D389" t="str">
        <x:v>USR-00107</x:v>
      </x:c>
      <x:c r="E389" t="str">
        <x:v>DEU-000207</x:v>
      </x:c>
      <x:c r="F389" t="n">
        <x:v>69200</x:v>
      </x:c>
      <x:c r="G389" t="n">
        <x:v>55812.65</x:v>
      </x:c>
      <x:c r="H389" t="n">
        <x:v>13387.35</x:v>
      </x:c>
      <x:c r="I389" t="n">
        <x:v>5666612.65</x:v>
      </x:c>
      <x:c r="J389" t="str">
        <x:v>Parcial</x:v>
      </x:c>
    </x:row>
    <x:row r="390">
      <x:c r="A390" t="str">
        <x:v>ABO-0000389</x:v>
      </x:c>
      <x:c r="B390" t="str">
        <x:v>2025-04</x:v>
      </x:c>
      <x:c r="C390" t="n">
        <x:v>45753</x:v>
      </x:c>
      <x:c r="D390" t="str">
        <x:v>USR-00108</x:v>
      </x:c>
      <x:c r="E390" t="str">
        <x:v>DEU-000208</x:v>
      </x:c>
      <x:c r="F390" t="n">
        <x:v>347400</x:v>
      </x:c>
      <x:c r="G390" t="n">
        <x:v>38514.22</x:v>
      </x:c>
      <x:c r="H390" t="n">
        <x:v>308885.78</x:v>
      </x:c>
      <x:c r="I390" t="n">
        <x:v>3061114.22</x:v>
      </x:c>
      <x:c r="J390" t="str">
        <x:v>En fecha</x:v>
      </x:c>
    </x:row>
    <x:row r="391">
      <x:c r="A391" t="str">
        <x:v>ABO-0000390</x:v>
      </x:c>
      <x:c r="B391" t="str">
        <x:v>2025-04</x:v>
      </x:c>
      <x:c r="C391" t="n">
        <x:v>45765</x:v>
      </x:c>
      <x:c r="D391" t="str">
        <x:v>USR-00109</x:v>
      </x:c>
      <x:c r="E391" t="str">
        <x:v>DEU-000211</x:v>
      </x:c>
      <x:c r="F391" t="n">
        <x:v>381600</x:v>
      </x:c>
      <x:c r="G391" t="n">
        <x:v>168766.54</x:v>
      </x:c>
      <x:c r="H391" t="n">
        <x:v>212833.46</x:v>
      </x:c>
      <x:c r="I391" t="n">
        <x:v>6827166.54</x:v>
      </x:c>
      <x:c r="J391" t="str">
        <x:v>En fecha</x:v>
      </x:c>
    </x:row>
    <x:row r="392">
      <x:c r="A392" t="str">
        <x:v>ABO-0000391</x:v>
      </x:c>
      <x:c r="B392" t="str">
        <x:v>2025-04</x:v>
      </x:c>
      <x:c r="C392" t="n">
        <x:v>45771</x:v>
      </x:c>
      <x:c r="D392" t="str">
        <x:v>USR-00111</x:v>
      </x:c>
      <x:c r="E392" t="str">
        <x:v>DEU-000213</x:v>
      </x:c>
      <x:c r="F392" t="n">
        <x:v>360500</x:v>
      </x:c>
      <x:c r="G392" t="n">
        <x:v>106586.7</x:v>
      </x:c>
      <x:c r="H392" t="n">
        <x:v>253913.3</x:v>
      </x:c>
      <x:c r="I392" t="n">
        <x:v>8816086.7</x:v>
      </x:c>
      <x:c r="J392" t="str">
        <x:v>En fecha</x:v>
      </x:c>
    </x:row>
    <x:row r="393">
      <x:c r="A393" t="str">
        <x:v>ABO-0000392</x:v>
      </x:c>
      <x:c r="B393" t="str">
        <x:v>2025-04</x:v>
      </x:c>
      <x:c r="C393" t="n">
        <x:v>45763</x:v>
      </x:c>
      <x:c r="D393" t="str">
        <x:v>USR-00112</x:v>
      </x:c>
      <x:c r="E393" t="str">
        <x:v>DEU-000215</x:v>
      </x:c>
      <x:c r="F393" t="n">
        <x:v>446800</x:v>
      </x:c>
      <x:c r="G393" t="n">
        <x:v>95176.95</x:v>
      </x:c>
      <x:c r="H393" t="n">
        <x:v>351623.05</x:v>
      </x:c>
      <x:c r="I393" t="n">
        <x:v>4368376.95</x:v>
      </x:c>
      <x:c r="J393" t="str">
        <x:v>En fecha</x:v>
      </x:c>
    </x:row>
    <x:row r="394">
      <x:c r="A394" t="str">
        <x:v>ABO-0000393</x:v>
      </x:c>
      <x:c r="B394" t="str">
        <x:v>2025-04</x:v>
      </x:c>
      <x:c r="C394" t="n">
        <x:v>45750</x:v>
      </x:c>
      <x:c r="D394" t="str">
        <x:v>USR-00114</x:v>
      </x:c>
      <x:c r="E394" t="str">
        <x:v>DEU-000217</x:v>
      </x:c>
      <x:c r="F394" t="n">
        <x:v>164200</x:v>
      </x:c>
      <x:c r="G394" t="n">
        <x:v>124750.55</x:v>
      </x:c>
      <x:c r="H394" t="n">
        <x:v>39449.45</x:v>
      </x:c>
      <x:c r="I394" t="n">
        <x:v>5150550.55</x:v>
      </x:c>
      <x:c r="J394" t="str">
        <x:v>En fecha</x:v>
      </x:c>
    </x:row>
    <x:row r="395">
      <x:c r="A395" t="str">
        <x:v>ABO-0000394</x:v>
      </x:c>
      <x:c r="B395" t="str">
        <x:v>2025-04</x:v>
      </x:c>
      <x:c r="C395" t="n">
        <x:v>45751</x:v>
      </x:c>
      <x:c r="D395" t="str">
        <x:v>USR-00114</x:v>
      </x:c>
      <x:c r="E395" t="str">
        <x:v>DEU-000218</x:v>
      </x:c>
      <x:c r="F395" t="n">
        <x:v>509000</x:v>
      </x:c>
      <x:c r="G395" t="n">
        <x:v>143299.17</x:v>
      </x:c>
      <x:c r="H395" t="n">
        <x:v>365700.83</x:v>
      </x:c>
      <x:c r="I395" t="n">
        <x:v>7364299.17</x:v>
      </x:c>
      <x:c r="J395" t="str">
        <x:v>En fecha</x:v>
      </x:c>
    </x:row>
    <x:row r="396">
      <x:c r="A396" t="str">
        <x:v>ABO-0000395</x:v>
      </x:c>
      <x:c r="B396" t="str">
        <x:v>2025-04</x:v>
      </x:c>
      <x:c r="C396" t="n">
        <x:v>45764</x:v>
      </x:c>
      <x:c r="D396" t="str">
        <x:v>USR-00115</x:v>
      </x:c>
      <x:c r="E396" t="str">
        <x:v>DEU-000219</x:v>
      </x:c>
      <x:c r="F396" t="n">
        <x:v>835500</x:v>
      </x:c>
      <x:c r="G396" t="n">
        <x:v>257533.18</x:v>
      </x:c>
      <x:c r="H396" t="n">
        <x:v>577966.82</x:v>
      </x:c>
      <x:c r="I396" t="n">
        <x:v>24452033.18</x:v>
      </x:c>
      <x:c r="J396" t="str">
        <x:v>En fecha</x:v>
      </x:c>
    </x:row>
    <x:row r="397">
      <x:c r="A397" t="str">
        <x:v>ABO-0000396</x:v>
      </x:c>
      <x:c r="B397" t="str">
        <x:v>2025-04</x:v>
      </x:c>
      <x:c r="C397" t="n">
        <x:v>45763</x:v>
      </x:c>
      <x:c r="D397" t="str">
        <x:v>USR-00115</x:v>
      </x:c>
      <x:c r="E397" t="str">
        <x:v>DEU-000220</x:v>
      </x:c>
      <x:c r="F397" t="n">
        <x:v>1054200</x:v>
      </x:c>
      <x:c r="G397" t="n">
        <x:v>213079.98</x:v>
      </x:c>
      <x:c r="H397" t="n">
        <x:v>841120.02</x:v>
      </x:c>
      <x:c r="I397" t="n">
        <x:v>13548879.98</x:v>
      </x:c>
      <x:c r="J397" t="str">
        <x:v>Parcial</x:v>
      </x:c>
    </x:row>
    <x:row r="398">
      <x:c r="A398" t="str">
        <x:v>ABO-0000397</x:v>
      </x:c>
      <x:c r="B398" t="str">
        <x:v>2025-04</x:v>
      </x:c>
      <x:c r="C398" t="n">
        <x:v>45765</x:v>
      </x:c>
      <x:c r="D398" t="str">
        <x:v>USR-00116</x:v>
      </x:c>
      <x:c r="E398" t="str">
        <x:v>DEU-000221</x:v>
      </x:c>
      <x:c r="F398" t="n">
        <x:v>164600</x:v>
      </x:c>
      <x:c r="G398" t="n">
        <x:v>115891.97</x:v>
      </x:c>
      <x:c r="H398" t="n">
        <x:v>48708.03</x:v>
      </x:c>
      <x:c r="I398" t="n">
        <x:v>5601291.97</x:v>
      </x:c>
      <x:c r="J398" t="str">
        <x:v>En fecha</x:v>
      </x:c>
    </x:row>
    <x:row r="399">
      <x:c r="A399" t="str">
        <x:v>ABO-0000398</x:v>
      </x:c>
      <x:c r="B399" t="str">
        <x:v>2025-04</x:v>
      </x:c>
      <x:c r="C399" t="n">
        <x:v>45769</x:v>
      </x:c>
      <x:c r="D399" t="str">
        <x:v>USR-00117</x:v>
      </x:c>
      <x:c r="E399" t="str">
        <x:v>DEU-000222</x:v>
      </x:c>
      <x:c r="F399" t="n">
        <x:v>104100</x:v>
      </x:c>
      <x:c r="G399" t="n">
        <x:v>47751.59</x:v>
      </x:c>
      <x:c r="H399" t="n">
        <x:v>56348.41</x:v>
      </x:c>
      <x:c r="I399" t="n">
        <x:v>2253651.59</x:v>
      </x:c>
      <x:c r="J399" t="str">
        <x:v>En fecha</x:v>
      </x:c>
    </x:row>
    <x:row r="400">
      <x:c r="A400" t="str">
        <x:v>ABO-0000399</x:v>
      </x:c>
      <x:c r="B400" t="str">
        <x:v>2025-04</x:v>
      </x:c>
      <x:c r="C400" t="n">
        <x:v>45755</x:v>
      </x:c>
      <x:c r="D400" t="str">
        <x:v>USR-00119</x:v>
      </x:c>
      <x:c r="E400" t="str">
        <x:v>DEU-000224</x:v>
      </x:c>
      <x:c r="F400" t="n">
        <x:v>369400</x:v>
      </x:c>
      <x:c r="G400" t="n">
        <x:v>178054.18</x:v>
      </x:c>
      <x:c r="H400" t="n">
        <x:v>191345.82</x:v>
      </x:c>
      <x:c r="I400" t="n">
        <x:v>12878654.18</x:v>
      </x:c>
      <x:c r="J400" t="str">
        <x:v>Parcial</x:v>
      </x:c>
    </x:row>
    <x:row r="401">
      <x:c r="A401" t="str">
        <x:v>ABO-0000400</x:v>
      </x:c>
      <x:c r="B401" t="str">
        <x:v>2025-04</x:v>
      </x:c>
      <x:c r="C401" t="n">
        <x:v>45766</x:v>
      </x:c>
      <x:c r="D401" t="str">
        <x:v>USR-00119</x:v>
      </x:c>
      <x:c r="E401" t="str">
        <x:v>DEU-000225</x:v>
      </x:c>
      <x:c r="F401" t="n">
        <x:v>226200</x:v>
      </x:c>
      <x:c r="G401" t="n">
        <x:v>129513.22</x:v>
      </x:c>
      <x:c r="H401" t="n">
        <x:v>96686.78</x:v>
      </x:c>
      <x:c r="I401" t="n">
        <x:v>5323313.22</x:v>
      </x:c>
      <x:c r="J401" t="str">
        <x:v>En fecha</x:v>
      </x:c>
    </x:row>
    <x:row r="402">
      <x:c r="A402" t="str">
        <x:v>ABO-0000401</x:v>
      </x:c>
      <x:c r="B402" t="str">
        <x:v>2025-04</x:v>
      </x:c>
      <x:c r="C402" t="n">
        <x:v>45768</x:v>
      </x:c>
      <x:c r="D402" t="str">
        <x:v>USR-00120</x:v>
      </x:c>
      <x:c r="E402" t="str">
        <x:v>DEU-000226</x:v>
      </x:c>
      <x:c r="F402" t="n">
        <x:v>63000</x:v>
      </x:c>
      <x:c r="G402" t="n">
        <x:v>50620.69</x:v>
      </x:c>
      <x:c r="H402" t="n">
        <x:v>12379.31</x:v>
      </x:c>
      <x:c r="I402" t="n">
        <x:v>2917620.69</x:v>
      </x:c>
      <x:c r="J402" t="str">
        <x:v>Parcial</x:v>
      </x:c>
    </x:row>
    <x:row r="403">
      <x:c r="A403" t="str">
        <x:v>ABO-0000402</x:v>
      </x:c>
      <x:c r="B403" t="str">
        <x:v>2025-04</x:v>
      </x:c>
      <x:c r="C403" t="n">
        <x:v>45772</x:v>
      </x:c>
      <x:c r="D403" t="str">
        <x:v>USR-00120</x:v>
      </x:c>
      <x:c r="E403" t="str">
        <x:v>DEU-000227</x:v>
      </x:c>
      <x:c r="F403" t="n">
        <x:v>906100</x:v>
      </x:c>
      <x:c r="G403" t="n">
        <x:v>309776.25</x:v>
      </x:c>
      <x:c r="H403" t="n">
        <x:v>596323.75</x:v>
      </x:c>
      <x:c r="I403" t="n">
        <x:v>14133676.25</x:v>
      </x:c>
      <x:c r="J403" t="str">
        <x:v>En fecha</x:v>
      </x:c>
    </x:row>
    <x:row r="404">
      <x:c r="A404" t="str">
        <x:v>ABO-0000403</x:v>
      </x:c>
      <x:c r="B404" t="str">
        <x:v>2025-04</x:v>
      </x:c>
      <x:c r="C404" t="n">
        <x:v>45767</x:v>
      </x:c>
      <x:c r="D404" t="str">
        <x:v>USR-00121</x:v>
      </x:c>
      <x:c r="E404" t="str">
        <x:v>DEU-000228</x:v>
      </x:c>
      <x:c r="F404" t="n">
        <x:v>172000</x:v>
      </x:c>
      <x:c r="G404" t="n">
        <x:v>113363.65</x:v>
      </x:c>
      <x:c r="H404" t="n">
        <x:v>58636.35</x:v>
      </x:c>
      <x:c r="I404" t="n">
        <x:v>4941363.65</x:v>
      </x:c>
      <x:c r="J404" t="str">
        <x:v>En fecha</x:v>
      </x:c>
    </x:row>
    <x:row r="405">
      <x:c r="A405" t="str">
        <x:v>ABO-0000404</x:v>
      </x:c>
      <x:c r="B405" t="str">
        <x:v>2025-05</x:v>
      </x:c>
      <x:c r="C405" t="n">
        <x:v>45787</x:v>
      </x:c>
      <x:c r="D405" t="str">
        <x:v>USR-00001</x:v>
      </x:c>
      <x:c r="E405" t="str">
        <x:v>DEU-000001</x:v>
      </x:c>
      <x:c r="F405" t="n">
        <x:v>621500</x:v>
      </x:c>
      <x:c r="G405" t="n">
        <x:v>229196.84</x:v>
      </x:c>
      <x:c r="H405" t="n">
        <x:v>392303.16</x:v>
      </x:c>
      <x:c r="I405" t="n">
        <x:v>16982601.08</x:v>
      </x:c>
      <x:c r="J405" t="str">
        <x:v>En fecha</x:v>
      </x:c>
    </x:row>
    <x:row r="406">
      <x:c r="A406" t="str">
        <x:v>ABO-0000405</x:v>
      </x:c>
      <x:c r="B406" t="str">
        <x:v>2025-05</x:v>
      </x:c>
      <x:c r="C406" t="n">
        <x:v>45804</x:v>
      </x:c>
      <x:c r="D406" t="str">
        <x:v>USR-00002</x:v>
      </x:c>
      <x:c r="E406" t="str">
        <x:v>DEU-000002</x:v>
      </x:c>
      <x:c r="F406" t="n">
        <x:v>1129400</x:v>
      </x:c>
      <x:c r="G406" t="n">
        <x:v>291899.29</x:v>
      </x:c>
      <x:c r="H406" t="n">
        <x:v>837500.71</x:v>
      </x:c>
      <x:c r="I406" t="n">
        <x:v>12985830.33</x:v>
      </x:c>
      <x:c r="J406" t="str">
        <x:v>En fecha</x:v>
      </x:c>
    </x:row>
    <x:row r="407">
      <x:c r="A407" t="str">
        <x:v>ABO-0000406</x:v>
      </x:c>
      <x:c r="B407" t="str">
        <x:v>2025-05</x:v>
      </x:c>
      <x:c r="C407" t="n">
        <x:v>45800</x:v>
      </x:c>
      <x:c r="D407" t="str">
        <x:v>USR-00002</x:v>
      </x:c>
      <x:c r="E407" t="str">
        <x:v>DEU-000003</x:v>
      </x:c>
      <x:c r="F407" t="n">
        <x:v>493300</x:v>
      </x:c>
      <x:c r="G407" t="n">
        <x:v>176481.63</x:v>
      </x:c>
      <x:c r="H407" t="n">
        <x:v>316818.37</x:v>
      </x:c>
      <x:c r="I407" t="n">
        <x:v>18296871.45</x:v>
      </x:c>
      <x:c r="J407" t="str">
        <x:v>En fecha</x:v>
      </x:c>
    </x:row>
    <x:row r="408">
      <x:c r="A408" t="str">
        <x:v>ABO-0000407</x:v>
      </x:c>
      <x:c r="B408" t="str">
        <x:v>2025-05</x:v>
      </x:c>
      <x:c r="C408" t="n">
        <x:v>45792</x:v>
      </x:c>
      <x:c r="D408" t="str">
        <x:v>USR-00003</x:v>
      </x:c>
      <x:c r="E408" t="str">
        <x:v>DEU-000005</x:v>
      </x:c>
      <x:c r="F408" t="n">
        <x:v>612500</x:v>
      </x:c>
      <x:c r="G408" t="n">
        <x:v>222622.08</x:v>
      </x:c>
      <x:c r="H408" t="n">
        <x:v>389877.92</x:v>
      </x:c>
      <x:c r="I408" t="n">
        <x:v>14901100.79</x:v>
      </x:c>
      <x:c r="J408" t="str">
        <x:v>En fecha</x:v>
      </x:c>
    </x:row>
    <x:row r="409">
      <x:c r="A409" t="str">
        <x:v>ABO-0000408</x:v>
      </x:c>
      <x:c r="B409" t="str">
        <x:v>2025-05</x:v>
      </x:c>
      <x:c r="C409" t="n">
        <x:v>45791</x:v>
      </x:c>
      <x:c r="D409" t="str">
        <x:v>USR-00004</x:v>
      </x:c>
      <x:c r="E409" t="str">
        <x:v>DEU-000006</x:v>
      </x:c>
      <x:c r="F409" t="n">
        <x:v>209400</x:v>
      </x:c>
      <x:c r="G409" t="n">
        <x:v>122733.42</x:v>
      </x:c>
      <x:c r="H409" t="n">
        <x:v>86666.58</x:v>
      </x:c>
      <x:c r="I409" t="n">
        <x:v>5745686.61</x:v>
      </x:c>
      <x:c r="J409" t="str">
        <x:v>En fecha</x:v>
      </x:c>
    </x:row>
    <x:row r="410">
      <x:c r="A410" t="str">
        <x:v>ABO-0000409</x:v>
      </x:c>
      <x:c r="B410" t="str">
        <x:v>2025-05</x:v>
      </x:c>
      <x:c r="C410" t="n">
        <x:v>45794</x:v>
      </x:c>
      <x:c r="D410" t="str">
        <x:v>USR-00004</x:v>
      </x:c>
      <x:c r="E410" t="str">
        <x:v>DEU-000007</x:v>
      </x:c>
      <x:c r="F410" t="n">
        <x:v>752800</x:v>
      </x:c>
      <x:c r="G410" t="n">
        <x:v>165155.87</x:v>
      </x:c>
      <x:c r="H410" t="n">
        <x:v>587644.13</x:v>
      </x:c>
      <x:c r="I410" t="n">
        <x:v>10965221.39</x:v>
      </x:c>
      <x:c r="J410" t="str">
        <x:v>En fecha</x:v>
      </x:c>
    </x:row>
    <x:row r="411">
      <x:c r="A411" t="str">
        <x:v>ABO-0000410</x:v>
      </x:c>
      <x:c r="B411" t="str">
        <x:v>2025-05</x:v>
      </x:c>
      <x:c r="C411" t="n">
        <x:v>45786</x:v>
      </x:c>
      <x:c r="D411" t="str">
        <x:v>USR-00005</x:v>
      </x:c>
      <x:c r="E411" t="str">
        <x:v>DEU-000008</x:v>
      </x:c>
      <x:c r="F411" t="n">
        <x:v>460800</x:v>
      </x:c>
      <x:c r="G411" t="n">
        <x:v>103165</x:v>
      </x:c>
      <x:c r="H411" t="n">
        <x:v>357635</x:v>
      </x:c>
      <x:c r="I411" t="n">
        <x:v>5921138.93</x:v>
      </x:c>
      <x:c r="J411" t="str">
        <x:v>En fecha</x:v>
      </x:c>
    </x:row>
    <x:row r="412">
      <x:c r="A412" t="str">
        <x:v>ABO-0000411</x:v>
      </x:c>
      <x:c r="B412" t="str">
        <x:v>2025-05</x:v>
      </x:c>
      <x:c r="C412" t="n">
        <x:v>45784</x:v>
      </x:c>
      <x:c r="D412" t="str">
        <x:v>USR-00005</x:v>
      </x:c>
      <x:c r="E412" t="str">
        <x:v>DEU-000053</x:v>
      </x:c>
      <x:c r="F412" t="n">
        <x:v>79100</x:v>
      </x:c>
      <x:c r="G412" t="n">
        <x:v>36334.78</x:v>
      </x:c>
      <x:c r="H412" t="n">
        <x:v>42765.22</x:v>
      </x:c>
      <x:c r="I412" t="n">
        <x:v>2628600.46</x:v>
      </x:c>
      <x:c r="J412" t="str">
        <x:v>En fecha</x:v>
      </x:c>
    </x:row>
    <x:row r="413">
      <x:c r="A413" t="str">
        <x:v>ABO-0000412</x:v>
      </x:c>
      <x:c r="B413" t="str">
        <x:v>2025-05</x:v>
      </x:c>
      <x:c r="C413" t="n">
        <x:v>45789</x:v>
      </x:c>
      <x:c r="D413" t="str">
        <x:v>USR-00007</x:v>
      </x:c>
      <x:c r="E413" t="str">
        <x:v>DEU-000010</x:v>
      </x:c>
      <x:c r="F413" t="n">
        <x:v>242200</x:v>
      </x:c>
      <x:c r="G413" t="n">
        <x:v>148588.34</x:v>
      </x:c>
      <x:c r="H413" t="n">
        <x:v>93611.66</x:v>
      </x:c>
      <x:c r="I413" t="n">
        <x:v>8152529.06</x:v>
      </x:c>
      <x:c r="J413" t="str">
        <x:v>Parcial</x:v>
      </x:c>
    </x:row>
    <x:row r="414">
      <x:c r="A414" t="str">
        <x:v>ABO-0000413</x:v>
      </x:c>
      <x:c r="B414" t="str">
        <x:v>2025-05</x:v>
      </x:c>
      <x:c r="C414" t="n">
        <x:v>45793</x:v>
      </x:c>
      <x:c r="D414" t="str">
        <x:v>USR-00008</x:v>
      </x:c>
      <x:c r="E414" t="str">
        <x:v>DEU-000012</x:v>
      </x:c>
      <x:c r="F414" t="n">
        <x:v>975000</x:v>
      </x:c>
      <x:c r="G414" t="n">
        <x:v>158877.22</x:v>
      </x:c>
      <x:c r="H414" t="n">
        <x:v>816122.78</x:v>
      </x:c>
      <x:c r="I414" t="n">
        <x:v>13239521.28</x:v>
      </x:c>
      <x:c r="J414" t="str">
        <x:v>En fecha</x:v>
      </x:c>
    </x:row>
    <x:row r="415">
      <x:c r="A415" t="str">
        <x:v>ABO-0000414</x:v>
      </x:c>
      <x:c r="B415" t="str">
        <x:v>2025-05</x:v>
      </x:c>
      <x:c r="C415" t="n">
        <x:v>45789</x:v>
      </x:c>
      <x:c r="D415" t="str">
        <x:v>USR-00008</x:v>
      </x:c>
      <x:c r="E415" t="str">
        <x:v>DEU-000013</x:v>
      </x:c>
      <x:c r="F415" t="n">
        <x:v>650500</x:v>
      </x:c>
      <x:c r="G415" t="n">
        <x:v>147961.39</x:v>
      </x:c>
      <x:c r="H415" t="n">
        <x:v>502538.61</x:v>
      </x:c>
      <x:c r="I415" t="n">
        <x:v>12402592.07</x:v>
      </x:c>
      <x:c r="J415" t="str">
        <x:v>En fecha</x:v>
      </x:c>
    </x:row>
    <x:row r="416">
      <x:c r="A416" t="str">
        <x:v>ABO-0000415</x:v>
      </x:c>
      <x:c r="B416" t="str">
        <x:v>2025-05</x:v>
      </x:c>
      <x:c r="C416" t="n">
        <x:v>45787</x:v>
      </x:c>
      <x:c r="D416" t="str">
        <x:v>USR-00009</x:v>
      </x:c>
      <x:c r="E416" t="str">
        <x:v>DEU-000014</x:v>
      </x:c>
      <x:c r="F416" t="n">
        <x:v>206900</x:v>
      </x:c>
      <x:c r="G416" t="n">
        <x:v>134463.99</x:v>
      </x:c>
      <x:c r="H416" t="n">
        <x:v>72436.01</x:v>
      </x:c>
      <x:c r="I416" t="n">
        <x:v>5389392.64</x:v>
      </x:c>
      <x:c r="J416" t="str">
        <x:v>En fecha</x:v>
      </x:c>
    </x:row>
    <x:row r="417">
      <x:c r="A417" t="str">
        <x:v>ABO-0000416</x:v>
      </x:c>
      <x:c r="B417" t="str">
        <x:v>2025-05</x:v>
      </x:c>
      <x:c r="C417" t="n">
        <x:v>45786</x:v>
      </x:c>
      <x:c r="D417" t="str">
        <x:v>USR-00010</x:v>
      </x:c>
      <x:c r="E417" t="str">
        <x:v>DEU-000015</x:v>
      </x:c>
      <x:c r="F417" t="n">
        <x:v>1278200</x:v>
      </x:c>
      <x:c r="G417" t="n">
        <x:v>398689.67</x:v>
      </x:c>
      <x:c r="H417" t="n">
        <x:v>879510.33</x:v>
      </x:c>
      <x:c r="I417" t="n">
        <x:v>15886478.06</x:v>
      </x:c>
      <x:c r="J417" t="str">
        <x:v>En fecha</x:v>
      </x:c>
    </x:row>
    <x:row r="418">
      <x:c r="A418" t="str">
        <x:v>ABO-0000417</x:v>
      </x:c>
      <x:c r="B418" t="str">
        <x:v>2025-05</x:v>
      </x:c>
      <x:c r="C418" t="n">
        <x:v>45785</x:v>
      </x:c>
      <x:c r="D418" t="str">
        <x:v>USR-00011</x:v>
      </x:c>
      <x:c r="E418" t="str">
        <x:v>DEU-000017</x:v>
      </x:c>
      <x:c r="F418" t="n">
        <x:v>436800</x:v>
      </x:c>
      <x:c r="G418" t="n">
        <x:v>86707.51</x:v>
      </x:c>
      <x:c r="H418" t="n">
        <x:v>350092.49</x:v>
      </x:c>
      <x:c r="I418" t="n">
        <x:v>3911751.49</x:v>
      </x:c>
      <x:c r="J418" t="str">
        <x:v>En fecha</x:v>
      </x:c>
    </x:row>
    <x:row r="419">
      <x:c r="A419" t="str">
        <x:v>ABO-0000418</x:v>
      </x:c>
      <x:c r="B419" t="str">
        <x:v>2025-05</x:v>
      </x:c>
      <x:c r="C419" t="n">
        <x:v>45790</x:v>
      </x:c>
      <x:c r="D419" t="str">
        <x:v>USR-00011</x:v>
      </x:c>
      <x:c r="E419" t="str">
        <x:v>DEU-000018</x:v>
      </x:c>
      <x:c r="F419" t="n">
        <x:v>1513100</x:v>
      </x:c>
      <x:c r="G419" t="n">
        <x:v>327746.5</x:v>
      </x:c>
      <x:c r="H419" t="n">
        <x:v>1185353.5</x:v>
      </x:c>
      <x:c r="I419" t="n">
        <x:v>12235354.81</x:v>
      </x:c>
      <x:c r="J419" t="str">
        <x:v>Parcial</x:v>
      </x:c>
    </x:row>
    <x:row r="420">
      <x:c r="A420" t="str">
        <x:v>ABO-0000419</x:v>
      </x:c>
      <x:c r="B420" t="str">
        <x:v>2025-05</x:v>
      </x:c>
      <x:c r="C420" t="n">
        <x:v>45799</x:v>
      </x:c>
      <x:c r="D420" t="str">
        <x:v>USR-00012</x:v>
      </x:c>
      <x:c r="E420" t="str">
        <x:v>DEU-000019</x:v>
      </x:c>
      <x:c r="F420" t="n">
        <x:v>650000</x:v>
      </x:c>
      <x:c r="G420" t="n">
        <x:v>161979.4</x:v>
      </x:c>
      <x:c r="H420" t="n">
        <x:v>488020.6</x:v>
      </x:c>
      <x:c r="I420" t="n">
        <x:v>8525258.2</x:v>
      </x:c>
      <x:c r="J420" t="str">
        <x:v>En fecha</x:v>
      </x:c>
    </x:row>
    <x:row r="421">
      <x:c r="A421" t="str">
        <x:v>ABO-0000420</x:v>
      </x:c>
      <x:c r="B421" t="str">
        <x:v>2025-05</x:v>
      </x:c>
      <x:c r="C421" t="n">
        <x:v>45782</x:v>
      </x:c>
      <x:c r="D421" t="str">
        <x:v>USR-00012</x:v>
      </x:c>
      <x:c r="E421" t="str">
        <x:v>DEU-000020</x:v>
      </x:c>
      <x:c r="F421" t="n">
        <x:v>374600</x:v>
      </x:c>
      <x:c r="G421" t="n">
        <x:v>194789.59</x:v>
      </x:c>
      <x:c r="H421" t="n">
        <x:v>179810.41</x:v>
      </x:c>
      <x:c r="I421" t="n">
        <x:v>7978524.56</x:v>
      </x:c>
      <x:c r="J421" t="str">
        <x:v>En fecha</x:v>
      </x:c>
    </x:row>
    <x:row r="422">
      <x:c r="A422" t="str">
        <x:v>ABO-0000421</x:v>
      </x:c>
      <x:c r="B422" t="str">
        <x:v>2025-05</x:v>
      </x:c>
      <x:c r="C422" t="n">
        <x:v>45798</x:v>
      </x:c>
      <x:c r="D422" t="str">
        <x:v>USR-00013</x:v>
      </x:c>
      <x:c r="E422" t="str">
        <x:v>DEU-000021</x:v>
      </x:c>
      <x:c r="F422" t="n">
        <x:v>3267700</x:v>
      </x:c>
      <x:c r="G422" t="n">
        <x:v>630948.7</x:v>
      </x:c>
      <x:c r="H422" t="n">
        <x:v>2636751.3</x:v>
      </x:c>
      <x:c r="I422" t="n">
        <x:v>38709545.14</x:v>
      </x:c>
      <x:c r="J422" t="str">
        <x:v>En fecha</x:v>
      </x:c>
    </x:row>
    <x:row r="423">
      <x:c r="A423" t="str">
        <x:v>ABO-0000422</x:v>
      </x:c>
      <x:c r="B423" t="str">
        <x:v>2025-05</x:v>
      </x:c>
      <x:c r="C423" t="n">
        <x:v>45787</x:v>
      </x:c>
      <x:c r="D423" t="str">
        <x:v>USR-00013</x:v>
      </x:c>
      <x:c r="E423" t="str">
        <x:v>DEU-000022</x:v>
      </x:c>
      <x:c r="F423" t="n">
        <x:v>407000</x:v>
      </x:c>
      <x:c r="G423" t="n">
        <x:v>202942.9</x:v>
      </x:c>
      <x:c r="H423" t="n">
        <x:v>204057.1</x:v>
      </x:c>
      <x:c r="I423" t="n">
        <x:v>8990660.17</x:v>
      </x:c>
      <x:c r="J423" t="str">
        <x:v>Parcial</x:v>
      </x:c>
    </x:row>
    <x:row r="424">
      <x:c r="A424" t="str">
        <x:v>ABO-0000423</x:v>
      </x:c>
      <x:c r="B424" t="str">
        <x:v>2025-05</x:v>
      </x:c>
      <x:c r="C424" t="n">
        <x:v>45788</x:v>
      </x:c>
      <x:c r="D424" t="str">
        <x:v>USR-00014</x:v>
      </x:c>
      <x:c r="E424" t="str">
        <x:v>DEU-000023</x:v>
      </x:c>
      <x:c r="F424" t="n">
        <x:v>220300</x:v>
      </x:c>
      <x:c r="G424" t="n">
        <x:v>40696.12</x:v>
      </x:c>
      <x:c r="H424" t="n">
        <x:v>179603.88</x:v>
      </x:c>
      <x:c r="I424" t="n">
        <x:v>2273325.14</x:v>
      </x:c>
      <x:c r="J424" t="str">
        <x:v>En fecha</x:v>
      </x:c>
    </x:row>
    <x:row r="425">
      <x:c r="A425" t="str">
        <x:v>ABO-0000424</x:v>
      </x:c>
      <x:c r="B425" t="str">
        <x:v>2025-05</x:v>
      </x:c>
      <x:c r="C425" t="n">
        <x:v>45790</x:v>
      </x:c>
      <x:c r="D425" t="str">
        <x:v>USR-00014</x:v>
      </x:c>
      <x:c r="E425" t="str">
        <x:v>DEU-000024</x:v>
      </x:c>
      <x:c r="F425" t="n">
        <x:v>748800</x:v>
      </x:c>
      <x:c r="G425" t="n">
        <x:v>140421.01</x:v>
      </x:c>
      <x:c r="H425" t="n">
        <x:v>608378.99</x:v>
      </x:c>
      <x:c r="I425" t="n">
        <x:v>5358142.67</x:v>
      </x:c>
      <x:c r="J425" t="str">
        <x:v>En fecha</x:v>
      </x:c>
    </x:row>
    <x:row r="426">
      <x:c r="A426" t="str">
        <x:v>ABO-0000425</x:v>
      </x:c>
      <x:c r="B426" t="str">
        <x:v>2025-05</x:v>
      </x:c>
      <x:c r="C426" t="n">
        <x:v>45803</x:v>
      </x:c>
      <x:c r="D426" t="str">
        <x:v>USR-00015</x:v>
      </x:c>
      <x:c r="E426" t="str">
        <x:v>DEU-000026</x:v>
      </x:c>
      <x:c r="F426" t="n">
        <x:v>40800</x:v>
      </x:c>
      <x:c r="G426" t="n">
        <x:v>19279.33</x:v>
      </x:c>
      <x:c r="H426" t="n">
        <x:v>21520.67</x:v>
      </x:c>
      <x:c r="I426" t="n">
        <x:v>890623</x:v>
      </x:c>
      <x:c r="J426" t="str">
        <x:v>En fecha</x:v>
      </x:c>
    </x:row>
    <x:row r="427">
      <x:c r="A427" t="str">
        <x:v>ABO-0000426</x:v>
      </x:c>
      <x:c r="B427" t="str">
        <x:v>2025-05</x:v>
      </x:c>
      <x:c r="C427" t="n">
        <x:v>45789</x:v>
      </x:c>
      <x:c r="D427" t="str">
        <x:v>USR-00016</x:v>
      </x:c>
      <x:c r="E427" t="str">
        <x:v>DEU-000027</x:v>
      </x:c>
      <x:c r="F427" t="n">
        <x:v>257900</x:v>
      </x:c>
      <x:c r="G427" t="n">
        <x:v>66287.42</x:v>
      </x:c>
      <x:c r="H427" t="n">
        <x:v>191612.58</x:v>
      </x:c>
      <x:c r="I427" t="n">
        <x:v>3941057.61</x:v>
      </x:c>
      <x:c r="J427" t="str">
        <x:v>En fecha</x:v>
      </x:c>
    </x:row>
    <x:row r="428">
      <x:c r="A428" t="str">
        <x:v>ABO-0000427</x:v>
      </x:c>
      <x:c r="B428" t="str">
        <x:v>2025-05</x:v>
      </x:c>
      <x:c r="C428" t="n">
        <x:v>45797</x:v>
      </x:c>
      <x:c r="D428" t="str">
        <x:v>USR-00017</x:v>
      </x:c>
      <x:c r="E428" t="str">
        <x:v>DEU-000028</x:v>
      </x:c>
      <x:c r="F428" t="n">
        <x:v>67400</x:v>
      </x:c>
      <x:c r="G428" t="n">
        <x:v>24438.38</x:v>
      </x:c>
      <x:c r="H428" t="n">
        <x:v>42961.62</x:v>
      </x:c>
      <x:c r="I428" t="n">
        <x:v>2315179.26</x:v>
      </x:c>
      <x:c r="J428" t="str">
        <x:v>Parcial</x:v>
      </x:c>
    </x:row>
    <x:row r="429">
      <x:c r="A429" t="str">
        <x:v>ABO-0000428</x:v>
      </x:c>
      <x:c r="B429" t="str">
        <x:v>2025-05</x:v>
      </x:c>
      <x:c r="C429" t="n">
        <x:v>45785</x:v>
      </x:c>
      <x:c r="D429" t="str">
        <x:v>USR-00018</x:v>
      </x:c>
      <x:c r="E429" t="str">
        <x:v>DEU-000029</x:v>
      </x:c>
      <x:c r="F429" t="n">
        <x:v>409600</x:v>
      </x:c>
      <x:c r="G429" t="n">
        <x:v>166563.95</x:v>
      </x:c>
      <x:c r="H429" t="n">
        <x:v>243036.05</x:v>
      </x:c>
      <x:c r="I429" t="n">
        <x:v>8379279.99</x:v>
      </x:c>
      <x:c r="J429" t="str">
        <x:v>Parcial</x:v>
      </x:c>
    </x:row>
    <x:row r="430">
      <x:c r="A430" t="str">
        <x:v>ABO-0000429</x:v>
      </x:c>
      <x:c r="B430" t="str">
        <x:v>2025-05</x:v>
      </x:c>
      <x:c r="C430" t="n">
        <x:v>45793</x:v>
      </x:c>
      <x:c r="D430" t="str">
        <x:v>USR-00019</x:v>
      </x:c>
      <x:c r="E430" t="str">
        <x:v>DEU-000031</x:v>
      </x:c>
      <x:c r="F430" t="n">
        <x:v>309600</x:v>
      </x:c>
      <x:c r="G430" t="n">
        <x:v>139480.31</x:v>
      </x:c>
      <x:c r="H430" t="n">
        <x:v>170119.69</x:v>
      </x:c>
      <x:c r="I430" t="n">
        <x:v>6753858.08</x:v>
      </x:c>
      <x:c r="J430" t="str">
        <x:v>Parcial</x:v>
      </x:c>
    </x:row>
    <x:row r="431">
      <x:c r="A431" t="str">
        <x:v>ABO-0000430</x:v>
      </x:c>
      <x:c r="B431" t="str">
        <x:v>2025-05</x:v>
      </x:c>
      <x:c r="C431" t="n">
        <x:v>45787</x:v>
      </x:c>
      <x:c r="D431" t="str">
        <x:v>USR-00020</x:v>
      </x:c>
      <x:c r="E431" t="str">
        <x:v>DEU-000032</x:v>
      </x:c>
      <x:c r="F431" t="n">
        <x:v>204900</x:v>
      </x:c>
      <x:c r="G431" t="n">
        <x:v>143571.62</x:v>
      </x:c>
      <x:c r="H431" t="n">
        <x:v>61328.38</x:v>
      </x:c>
      <x:c r="I431" t="n">
        <x:v>5685753.63</x:v>
      </x:c>
      <x:c r="J431" t="str">
        <x:v>En fecha</x:v>
      </x:c>
    </x:row>
    <x:row r="432">
      <x:c r="A432" t="str">
        <x:v>ABO-0000431</x:v>
      </x:c>
      <x:c r="B432" t="str">
        <x:v>2025-05</x:v>
      </x:c>
      <x:c r="C432" t="n">
        <x:v>45798</x:v>
      </x:c>
      <x:c r="D432" t="str">
        <x:v>USR-00021</x:v>
      </x:c>
      <x:c r="E432" t="str">
        <x:v>DEU-000033</x:v>
      </x:c>
      <x:c r="F432" t="n">
        <x:v>1361500</x:v>
      </x:c>
      <x:c r="G432" t="n">
        <x:v>411721.38</x:v>
      </x:c>
      <x:c r="H432" t="n">
        <x:v>949778.62</x:v>
      </x:c>
      <x:c r="I432" t="n">
        <x:v>24044628.08</x:v>
      </x:c>
      <x:c r="J432" t="str">
        <x:v>En fecha</x:v>
      </x:c>
    </x:row>
    <x:row r="433">
      <x:c r="A433" t="str">
        <x:v>ABO-0000432</x:v>
      </x:c>
      <x:c r="B433" t="str">
        <x:v>2025-05</x:v>
      </x:c>
      <x:c r="C433" t="n">
        <x:v>45787</x:v>
      </x:c>
      <x:c r="D433" t="str">
        <x:v>USR-00022</x:v>
      </x:c>
      <x:c r="E433" t="str">
        <x:v>DEU-000034</x:v>
      </x:c>
      <x:c r="F433" t="n">
        <x:v>771800</x:v>
      </x:c>
      <x:c r="G433" t="n">
        <x:v>234690.03</x:v>
      </x:c>
      <x:c r="H433" t="n">
        <x:v>537109.97</x:v>
      </x:c>
      <x:c r="I433" t="n">
        <x:v>13375761.34</x:v>
      </x:c>
      <x:c r="J433" t="str">
        <x:v>Parcial</x:v>
      </x:c>
    </x:row>
    <x:row r="434">
      <x:c r="A434" t="str">
        <x:v>ABO-0000433</x:v>
      </x:c>
      <x:c r="B434" t="str">
        <x:v>2025-05</x:v>
      </x:c>
      <x:c r="C434" t="n">
        <x:v>45780</x:v>
      </x:c>
      <x:c r="D434" t="str">
        <x:v>USR-00023</x:v>
      </x:c>
      <x:c r="E434" t="str">
        <x:v>DEU-000036</x:v>
      </x:c>
      <x:c r="F434" t="n">
        <x:v>201500</x:v>
      </x:c>
      <x:c r="G434" t="n">
        <x:v>131780.9</x:v>
      </x:c>
      <x:c r="H434" t="n">
        <x:v>69719.1</x:v>
      </x:c>
      <x:c r="I434" t="n">
        <x:v>5749275.84</x:v>
      </x:c>
      <x:c r="J434" t="str">
        <x:v>En fecha</x:v>
      </x:c>
    </x:row>
    <x:row r="435">
      <x:c r="A435" t="str">
        <x:v>ABO-0000434</x:v>
      </x:c>
      <x:c r="B435" t="str">
        <x:v>2025-05</x:v>
      </x:c>
      <x:c r="C435" t="n">
        <x:v>45803</x:v>
      </x:c>
      <x:c r="D435" t="str">
        <x:v>USR-00024</x:v>
      </x:c>
      <x:c r="E435" t="str">
        <x:v>DEU-000037</x:v>
      </x:c>
      <x:c r="F435" t="n">
        <x:v>13500</x:v>
      </x:c>
      <x:c r="G435" t="n">
        <x:v>12537.39</x:v>
      </x:c>
      <x:c r="H435" t="n">
        <x:v>962.61</x:v>
      </x:c>
      <x:c r="I435" t="n">
        <x:v>784102.56</x:v>
      </x:c>
      <x:c r="J435" t="str">
        <x:v>Parcial</x:v>
      </x:c>
    </x:row>
    <x:row r="436">
      <x:c r="A436" t="str">
        <x:v>ABO-0000435</x:v>
      </x:c>
      <x:c r="B436" t="str">
        <x:v>2025-05</x:v>
      </x:c>
      <x:c r="C436" t="n">
        <x:v>45795</x:v>
      </x:c>
      <x:c r="D436" t="str">
        <x:v>USR-00025</x:v>
      </x:c>
      <x:c r="E436" t="str">
        <x:v>DEU-000039</x:v>
      </x:c>
      <x:c r="F436" t="n">
        <x:v>346200</x:v>
      </x:c>
      <x:c r="G436" t="n">
        <x:v>66947.64</x:v>
      </x:c>
      <x:c r="H436" t="n">
        <x:v>279252.36</x:v>
      </x:c>
      <x:c r="I436" t="n">
        <x:v>5713841.81</x:v>
      </x:c>
      <x:c r="J436" t="str">
        <x:v>Parcial</x:v>
      </x:c>
    </x:row>
    <x:row r="437">
      <x:c r="A437" t="str">
        <x:v>ABO-0000436</x:v>
      </x:c>
      <x:c r="B437" t="str">
        <x:v>2025-05</x:v>
      </x:c>
      <x:c r="C437" t="n">
        <x:v>45782</x:v>
      </x:c>
      <x:c r="D437" t="str">
        <x:v>USR-00025</x:v>
      </x:c>
      <x:c r="E437" t="str">
        <x:v>DEU-000040</x:v>
      </x:c>
      <x:c r="F437" t="n">
        <x:v>238400</x:v>
      </x:c>
      <x:c r="G437" t="n">
        <x:v>97006.11</x:v>
      </x:c>
      <x:c r="H437" t="n">
        <x:v>141393.89</x:v>
      </x:c>
      <x:c r="I437" t="n">
        <x:v>5527869.66</x:v>
      </x:c>
      <x:c r="J437" t="str">
        <x:v>En fecha</x:v>
      </x:c>
    </x:row>
    <x:row r="438">
      <x:c r="A438" t="str">
        <x:v>ABO-0000437</x:v>
      </x:c>
      <x:c r="B438" t="str">
        <x:v>2025-05</x:v>
      </x:c>
      <x:c r="C438" t="n">
        <x:v>45779</x:v>
      </x:c>
      <x:c r="D438" t="str">
        <x:v>USR-00026</x:v>
      </x:c>
      <x:c r="E438" t="str">
        <x:v>DEU-000041</x:v>
      </x:c>
      <x:c r="F438" t="n">
        <x:v>130700</x:v>
      </x:c>
      <x:c r="G438" t="n">
        <x:v>75009.53</x:v>
      </x:c>
      <x:c r="H438" t="n">
        <x:v>55690.47</x:v>
      </x:c>
      <x:c r="I438" t="n">
        <x:v>5173076.21</x:v>
      </x:c>
      <x:c r="J438" t="str">
        <x:v>Parcial</x:v>
      </x:c>
    </x:row>
    <x:row r="439">
      <x:c r="A439" t="str">
        <x:v>ABO-0000438</x:v>
      </x:c>
      <x:c r="B439" t="str">
        <x:v>2025-05</x:v>
      </x:c>
      <x:c r="C439" t="n">
        <x:v>45795</x:v>
      </x:c>
      <x:c r="D439" t="str">
        <x:v>USR-00028</x:v>
      </x:c>
      <x:c r="E439" t="str">
        <x:v>DEU-000047</x:v>
      </x:c>
      <x:c r="F439" t="n">
        <x:v>231400</x:v>
      </x:c>
      <x:c r="G439" t="n">
        <x:v>99000.91</x:v>
      </x:c>
      <x:c r="H439" t="n">
        <x:v>132399.09</x:v>
      </x:c>
      <x:c r="I439" t="n">
        <x:v>5393323.09</x:v>
      </x:c>
      <x:c r="J439" t="str">
        <x:v>En fecha</x:v>
      </x:c>
    </x:row>
    <x:row r="440">
      <x:c r="A440" t="str">
        <x:v>ABO-0000439</x:v>
      </x:c>
      <x:c r="B440" t="str">
        <x:v>2025-05</x:v>
      </x:c>
      <x:c r="C440" t="n">
        <x:v>45778</x:v>
      </x:c>
      <x:c r="D440" t="str">
        <x:v>USR-00029</x:v>
      </x:c>
      <x:c r="E440" t="str">
        <x:v>DEU-000049</x:v>
      </x:c>
      <x:c r="F440" t="n">
        <x:v>172400</x:v>
      </x:c>
      <x:c r="G440" t="n">
        <x:v>105630.12</x:v>
      </x:c>
      <x:c r="H440" t="n">
        <x:v>66769.88</x:v>
      </x:c>
      <x:c r="I440" t="n">
        <x:v>4971875.92</x:v>
      </x:c>
      <x:c r="J440" t="str">
        <x:v>En fecha</x:v>
      </x:c>
    </x:row>
    <x:row r="441">
      <x:c r="A441" t="str">
        <x:v>ABO-0000440</x:v>
      </x:c>
      <x:c r="B441" t="str">
        <x:v>2025-05</x:v>
      </x:c>
      <x:c r="C441" t="n">
        <x:v>45797</x:v>
      </x:c>
      <x:c r="D441" t="str">
        <x:v>USR-00031</x:v>
      </x:c>
      <x:c r="E441" t="str">
        <x:v>DEU-000051</x:v>
      </x:c>
      <x:c r="F441" t="n">
        <x:v>945200</x:v>
      </x:c>
      <x:c r="G441" t="n">
        <x:v>435571.48</x:v>
      </x:c>
      <x:c r="H441" t="n">
        <x:v>509628.52</x:v>
      </x:c>
      <x:c r="I441" t="n">
        <x:v>25080687.41</x:v>
      </x:c>
      <x:c r="J441" t="str">
        <x:v>En fecha</x:v>
      </x:c>
    </x:row>
    <x:row r="442">
      <x:c r="A442" t="str">
        <x:v>ABO-0000441</x:v>
      </x:c>
      <x:c r="B442" t="str">
        <x:v>2025-05</x:v>
      </x:c>
      <x:c r="C442" t="n">
        <x:v>45780</x:v>
      </x:c>
      <x:c r="D442" t="str">
        <x:v>USR-00031</x:v>
      </x:c>
      <x:c r="E442" t="str">
        <x:v>DEU-000052</x:v>
      </x:c>
      <x:c r="F442" t="n">
        <x:v>1057400</x:v>
      </x:c>
      <x:c r="G442" t="n">
        <x:v>251742.12</x:v>
      </x:c>
      <x:c r="H442" t="n">
        <x:v>805657.88</x:v>
      </x:c>
      <x:c r="I442" t="n">
        <x:v>13101774.26</x:v>
      </x:c>
      <x:c r="J442" t="str">
        <x:v>En fecha</x:v>
      </x:c>
    </x:row>
    <x:row r="443">
      <x:c r="A443" t="str">
        <x:v>ABO-0000442</x:v>
      </x:c>
      <x:c r="B443" t="str">
        <x:v>2025-05</x:v>
      </x:c>
      <x:c r="C443" t="n">
        <x:v>45783</x:v>
      </x:c>
      <x:c r="D443" t="str">
        <x:v>USR-00032</x:v>
      </x:c>
      <x:c r="E443" t="str">
        <x:v>DEU-000054</x:v>
      </x:c>
      <x:c r="F443" t="n">
        <x:v>413500</x:v>
      </x:c>
      <x:c r="G443" t="n">
        <x:v>74964.43</x:v>
      </x:c>
      <x:c r="H443" t="n">
        <x:v>338535.57</x:v>
      </x:c>
      <x:c r="I443" t="n">
        <x:v>6367787.5</x:v>
      </x:c>
      <x:c r="J443" t="str">
        <x:v>Parcial</x:v>
      </x:c>
    </x:row>
    <x:row r="444">
      <x:c r="A444" t="str">
        <x:v>ABO-0000443</x:v>
      </x:c>
      <x:c r="B444" t="str">
        <x:v>2025-05</x:v>
      </x:c>
      <x:c r="C444" t="n">
        <x:v>45792</x:v>
      </x:c>
      <x:c r="D444" t="str">
        <x:v>USR-00032</x:v>
      </x:c>
      <x:c r="E444" t="str">
        <x:v>DEU-000055</x:v>
      </x:c>
      <x:c r="F444" t="n">
        <x:v>695900</x:v>
      </x:c>
      <x:c r="G444" t="n">
        <x:v>173427.14</x:v>
      </x:c>
      <x:c r="H444" t="n">
        <x:v>522472.86</x:v>
      </x:c>
      <x:c r="I444" t="n">
        <x:v>11849957.97</x:v>
      </x:c>
      <x:c r="J444" t="str">
        <x:v>En fecha</x:v>
      </x:c>
    </x:row>
    <x:row r="445">
      <x:c r="A445" t="str">
        <x:v>ABO-0000444</x:v>
      </x:c>
      <x:c r="B445" t="str">
        <x:v>2025-05</x:v>
      </x:c>
      <x:c r="C445" t="n">
        <x:v>45785</x:v>
      </x:c>
      <x:c r="D445" t="str">
        <x:v>USR-00033</x:v>
      </x:c>
      <x:c r="E445" t="str">
        <x:v>DEU-000056</x:v>
      </x:c>
      <x:c r="F445" t="n">
        <x:v>286500</x:v>
      </x:c>
      <x:c r="G445" t="n">
        <x:v>69182.65</x:v>
      </x:c>
      <x:c r="H445" t="n">
        <x:v>217317.35</x:v>
      </x:c>
      <x:c r="I445" t="n">
        <x:v>3047673.16</x:v>
      </x:c>
      <x:c r="J445" t="str">
        <x:v>Parcial</x:v>
      </x:c>
    </x:row>
    <x:row r="446">
      <x:c r="A446" t="str">
        <x:v>ABO-0000445</x:v>
      </x:c>
      <x:c r="B446" t="str">
        <x:v>2025-05</x:v>
      </x:c>
      <x:c r="C446" t="n">
        <x:v>45791</x:v>
      </x:c>
      <x:c r="D446" t="str">
        <x:v>USR-00034</x:v>
      </x:c>
      <x:c r="E446" t="str">
        <x:v>DEU-000057</x:v>
      </x:c>
      <x:c r="F446" t="n">
        <x:v>667800</x:v>
      </x:c>
      <x:c r="G446" t="n">
        <x:v>63410.51</x:v>
      </x:c>
      <x:c r="H446" t="n">
        <x:v>604389.49</x:v>
      </x:c>
      <x:c r="I446" t="n">
        <x:v>3394306.51</x:v>
      </x:c>
      <x:c r="J446" t="str">
        <x:v>En fecha</x:v>
      </x:c>
    </x:row>
    <x:row r="447">
      <x:c r="A447" t="str">
        <x:v>ABO-0000446</x:v>
      </x:c>
      <x:c r="B447" t="str">
        <x:v>2025-05</x:v>
      </x:c>
      <x:c r="C447" t="n">
        <x:v>45795</x:v>
      </x:c>
      <x:c r="D447" t="str">
        <x:v>USR-00034</x:v>
      </x:c>
      <x:c r="E447" t="str">
        <x:v>DEU-000058</x:v>
      </x:c>
      <x:c r="F447" t="n">
        <x:v>146300</x:v>
      </x:c>
      <x:c r="G447" t="n">
        <x:v>64398.03</x:v>
      </x:c>
      <x:c r="H447" t="n">
        <x:v>81901.97</x:v>
      </x:c>
      <x:c r="I447" t="n">
        <x:v>6154469.02</x:v>
      </x:c>
      <x:c r="J447" t="str">
        <x:v>En fecha</x:v>
      </x:c>
    </x:row>
    <x:row r="448">
      <x:c r="A448" t="str">
        <x:v>ABO-0000447</x:v>
      </x:c>
      <x:c r="B448" t="str">
        <x:v>2025-05</x:v>
      </x:c>
      <x:c r="C448" t="n">
        <x:v>45782</x:v>
      </x:c>
      <x:c r="D448" t="str">
        <x:v>USR-00035</x:v>
      </x:c>
      <x:c r="E448" t="str">
        <x:v>DEU-000059</x:v>
      </x:c>
      <x:c r="F448" t="n">
        <x:v>242700</x:v>
      </x:c>
      <x:c r="G448" t="n">
        <x:v>49650.07</x:v>
      </x:c>
      <x:c r="H448" t="n">
        <x:v>193049.93</x:v>
      </x:c>
      <x:c r="I448" t="n">
        <x:v>3447656.78</x:v>
      </x:c>
      <x:c r="J448" t="str">
        <x:v>En fecha</x:v>
      </x:c>
    </x:row>
    <x:row r="449">
      <x:c r="A449" t="str">
        <x:v>ABO-0000448</x:v>
      </x:c>
      <x:c r="B449" t="str">
        <x:v>2025-05</x:v>
      </x:c>
      <x:c r="C449" t="n">
        <x:v>45788</x:v>
      </x:c>
      <x:c r="D449" t="str">
        <x:v>USR-00035</x:v>
      </x:c>
      <x:c r="E449" t="str">
        <x:v>DEU-000060</x:v>
      </x:c>
      <x:c r="F449" t="n">
        <x:v>102900</x:v>
      </x:c>
      <x:c r="G449" t="n">
        <x:v>63663.08</x:v>
      </x:c>
      <x:c r="H449" t="n">
        <x:v>39236.92</x:v>
      </x:c>
      <x:c r="I449" t="n">
        <x:v>3941976.58</x:v>
      </x:c>
      <x:c r="J449" t="str">
        <x:v>En fecha</x:v>
      </x:c>
    </x:row>
    <x:row r="450">
      <x:c r="A450" t="str">
        <x:v>ABO-0000449</x:v>
      </x:c>
      <x:c r="B450" t="str">
        <x:v>2025-05</x:v>
      </x:c>
      <x:c r="C450" t="n">
        <x:v>45799</x:v>
      </x:c>
      <x:c r="D450" t="str">
        <x:v>USR-00036</x:v>
      </x:c>
      <x:c r="E450" t="str">
        <x:v>DEU-000061</x:v>
      </x:c>
      <x:c r="F450" t="n">
        <x:v>279300</x:v>
      </x:c>
      <x:c r="G450" t="n">
        <x:v>56278.64</x:v>
      </x:c>
      <x:c r="H450" t="n">
        <x:v>223021.36</x:v>
      </x:c>
      <x:c r="I450" t="n">
        <x:v>5456840.28</x:v>
      </x:c>
      <x:c r="J450" t="str">
        <x:v>En fecha</x:v>
      </x:c>
    </x:row>
    <x:row r="451">
      <x:c r="A451" t="str">
        <x:v>ABO-0000450</x:v>
      </x:c>
      <x:c r="B451" t="str">
        <x:v>2025-05</x:v>
      </x:c>
      <x:c r="C451" t="n">
        <x:v>45803</x:v>
      </x:c>
      <x:c r="D451" t="str">
        <x:v>USR-00036</x:v>
      </x:c>
      <x:c r="E451" t="str">
        <x:v>DEU-000062</x:v>
      </x:c>
      <x:c r="F451" t="n">
        <x:v>730800</x:v>
      </x:c>
      <x:c r="G451" t="n">
        <x:v>361805.39</x:v>
      </x:c>
      <x:c r="H451" t="n">
        <x:v>368994.61</x:v>
      </x:c>
      <x:c r="I451" t="n">
        <x:v>18039048.26</x:v>
      </x:c>
      <x:c r="J451" t="str">
        <x:v>En fecha</x:v>
      </x:c>
    </x:row>
    <x:row r="452">
      <x:c r="A452" t="str">
        <x:v>ABO-0000451</x:v>
      </x:c>
      <x:c r="B452" t="str">
        <x:v>2025-05</x:v>
      </x:c>
      <x:c r="C452" t="n">
        <x:v>45804</x:v>
      </x:c>
      <x:c r="D452" t="str">
        <x:v>USR-00037</x:v>
      </x:c>
      <x:c r="E452" t="str">
        <x:v>DEU-000064</x:v>
      </x:c>
      <x:c r="F452" t="n">
        <x:v>182700</x:v>
      </x:c>
      <x:c r="G452" t="n">
        <x:v>47209.7</x:v>
      </x:c>
      <x:c r="H452" t="n">
        <x:v>135490.3</x:v>
      </x:c>
      <x:c r="I452" t="n">
        <x:v>3335409.46</x:v>
      </x:c>
      <x:c r="J452" t="str">
        <x:v>En fecha</x:v>
      </x:c>
    </x:row>
    <x:row r="453">
      <x:c r="A453" t="str">
        <x:v>ABO-0000452</x:v>
      </x:c>
      <x:c r="B453" t="str">
        <x:v>2025-05</x:v>
      </x:c>
      <x:c r="C453" t="n">
        <x:v>45789</x:v>
      </x:c>
      <x:c r="D453" t="str">
        <x:v>USR-00038</x:v>
      </x:c>
      <x:c r="E453" t="str">
        <x:v>DEU-000065</x:v>
      </x:c>
      <x:c r="F453" t="n">
        <x:v>363600</x:v>
      </x:c>
      <x:c r="G453" t="n">
        <x:v>125950.01</x:v>
      </x:c>
      <x:c r="H453" t="n">
        <x:v>237649.99</x:v>
      </x:c>
      <x:c r="I453" t="n">
        <x:v>8136044.46</x:v>
      </x:c>
      <x:c r="J453" t="str">
        <x:v>Parcial</x:v>
      </x:c>
    </x:row>
    <x:row r="454">
      <x:c r="A454" t="str">
        <x:v>ABO-0000453</x:v>
      </x:c>
      <x:c r="B454" t="str">
        <x:v>2025-05</x:v>
      </x:c>
      <x:c r="C454" t="n">
        <x:v>45780</x:v>
      </x:c>
      <x:c r="D454" t="str">
        <x:v>USR-00038</x:v>
      </x:c>
      <x:c r="E454" t="str">
        <x:v>DEU-000066</x:v>
      </x:c>
      <x:c r="F454" t="n">
        <x:v>1332200</x:v>
      </x:c>
      <x:c r="G454" t="n">
        <x:v>292824.07</x:v>
      </x:c>
      <x:c r="H454" t="n">
        <x:v>1039375.93</x:v>
      </x:c>
      <x:c r="I454" t="n">
        <x:v>22967491.88</x:v>
      </x:c>
      <x:c r="J454" t="str">
        <x:v>En fecha</x:v>
      </x:c>
    </x:row>
    <x:row r="455">
      <x:c r="A455" t="str">
        <x:v>ABO-0000454</x:v>
      </x:c>
      <x:c r="B455" t="str">
        <x:v>2025-05</x:v>
      </x:c>
      <x:c r="C455" t="n">
        <x:v>45798</x:v>
      </x:c>
      <x:c r="D455" t="str">
        <x:v>USR-00040</x:v>
      </x:c>
      <x:c r="E455" t="str">
        <x:v>DEU-000070</x:v>
      </x:c>
      <x:c r="F455" t="n">
        <x:v>604000</x:v>
      </x:c>
      <x:c r="G455" t="n">
        <x:v>141992.07</x:v>
      </x:c>
      <x:c r="H455" t="n">
        <x:v>462007.93</x:v>
      </x:c>
      <x:c r="I455" t="n">
        <x:v>14200727.05</x:v>
      </x:c>
      <x:c r="J455" t="str">
        <x:v>Parcial</x:v>
      </x:c>
    </x:row>
    <x:row r="456">
      <x:c r="A456" t="str">
        <x:v>ABO-0000455</x:v>
      </x:c>
      <x:c r="B456" t="str">
        <x:v>2025-05</x:v>
      </x:c>
      <x:c r="C456" t="n">
        <x:v>45792</x:v>
      </x:c>
      <x:c r="D456" t="str">
        <x:v>USR-00041</x:v>
      </x:c>
      <x:c r="E456" t="str">
        <x:v>DEU-000071</x:v>
      </x:c>
      <x:c r="F456" t="n">
        <x:v>3294000</x:v>
      </x:c>
      <x:c r="G456" t="n">
        <x:v>409030.04</x:v>
      </x:c>
      <x:c r="H456" t="n">
        <x:v>2884969.96</x:v>
      </x:c>
      <x:c r="I456" t="n">
        <x:v>15286239.32</x:v>
      </x:c>
      <x:c r="J456" t="str">
        <x:v>En fecha</x:v>
      </x:c>
    </x:row>
    <x:row r="457">
      <x:c r="A457" t="str">
        <x:v>ABO-0000456</x:v>
      </x:c>
      <x:c r="B457" t="str">
        <x:v>2025-05</x:v>
      </x:c>
      <x:c r="C457" t="n">
        <x:v>45800</x:v>
      </x:c>
      <x:c r="D457" t="str">
        <x:v>USR-00043</x:v>
      </x:c>
      <x:c r="E457" t="str">
        <x:v>DEU-000075</x:v>
      </x:c>
      <x:c r="F457" t="n">
        <x:v>1418100</x:v>
      </x:c>
      <x:c r="G457" t="n">
        <x:v>479541.41</x:v>
      </x:c>
      <x:c r="H457" t="n">
        <x:v>938558.59</x:v>
      </x:c>
      <x:c r="I457" t="n">
        <x:v>22834894.98</x:v>
      </x:c>
      <x:c r="J457" t="str">
        <x:v>En fecha</x:v>
      </x:c>
    </x:row>
    <x:row r="458">
      <x:c r="A458" t="str">
        <x:v>ABO-0000457</x:v>
      </x:c>
      <x:c r="B458" t="str">
        <x:v>2025-05</x:v>
      </x:c>
      <x:c r="C458" t="n">
        <x:v>45798</x:v>
      </x:c>
      <x:c r="D458" t="str">
        <x:v>USR-00044</x:v>
      </x:c>
      <x:c r="E458" t="str">
        <x:v>DEU-000077</x:v>
      </x:c>
      <x:c r="F458" t="n">
        <x:v>326600</x:v>
      </x:c>
      <x:c r="G458" t="n">
        <x:v>234374.14</x:v>
      </x:c>
      <x:c r="H458" t="n">
        <x:v>92225.86</x:v>
      </x:c>
      <x:c r="I458" t="n">
        <x:v>10206608.28</x:v>
      </x:c>
      <x:c r="J458" t="str">
        <x:v>En fecha</x:v>
      </x:c>
    </x:row>
    <x:row r="459">
      <x:c r="A459" t="str">
        <x:v>ABO-0000458</x:v>
      </x:c>
      <x:c r="B459" t="str">
        <x:v>2025-05</x:v>
      </x:c>
      <x:c r="C459" t="n">
        <x:v>45795</x:v>
      </x:c>
      <x:c r="D459" t="str">
        <x:v>USR-00046</x:v>
      </x:c>
      <x:c r="E459" t="str">
        <x:v>DEU-000079</x:v>
      </x:c>
      <x:c r="F459" t="n">
        <x:v>227300</x:v>
      </x:c>
      <x:c r="G459" t="n">
        <x:v>164681.51</x:v>
      </x:c>
      <x:c r="H459" t="n">
        <x:v>62618.49</x:v>
      </x:c>
      <x:c r="I459" t="n">
        <x:v>6992824.23</x:v>
      </x:c>
      <x:c r="J459" t="str">
        <x:v>En fecha</x:v>
      </x:c>
    </x:row>
    <x:row r="460">
      <x:c r="A460" t="str">
        <x:v>ABO-0000459</x:v>
      </x:c>
      <x:c r="B460" t="str">
        <x:v>2025-05</x:v>
      </x:c>
      <x:c r="C460" t="n">
        <x:v>45793</x:v>
      </x:c>
      <x:c r="D460" t="str">
        <x:v>USR-00048</x:v>
      </x:c>
      <x:c r="E460" t="str">
        <x:v>DEU-000083</x:v>
      </x:c>
      <x:c r="F460" t="n">
        <x:v>886800</x:v>
      </x:c>
      <x:c r="G460" t="n">
        <x:v>204092.44</x:v>
      </x:c>
      <x:c r="H460" t="n">
        <x:v>682707.56</x:v>
      </x:c>
      <x:c r="I460" t="n">
        <x:v>22304895.36</x:v>
      </x:c>
      <x:c r="J460" t="str">
        <x:v>En fecha</x:v>
      </x:c>
    </x:row>
    <x:row r="461">
      <x:c r="A461" t="str">
        <x:v>ABO-0000460</x:v>
      </x:c>
      <x:c r="B461" t="str">
        <x:v>2025-05</x:v>
      </x:c>
      <x:c r="C461" t="n">
        <x:v>45778</x:v>
      </x:c>
      <x:c r="D461" t="str">
        <x:v>USR-00049</x:v>
      </x:c>
      <x:c r="E461" t="str">
        <x:v>DEU-000084</x:v>
      </x:c>
      <x:c r="F461" t="n">
        <x:v>578200</x:v>
      </x:c>
      <x:c r="G461" t="n">
        <x:v>366925.53</x:v>
      </x:c>
      <x:c r="H461" t="n">
        <x:v>211274.47</x:v>
      </x:c>
      <x:c r="I461" t="n">
        <x:v>19538309.54</x:v>
      </x:c>
      <x:c r="J461" t="str">
        <x:v>En fecha</x:v>
      </x:c>
    </x:row>
    <x:row r="462">
      <x:c r="A462" t="str">
        <x:v>ABO-0000461</x:v>
      </x:c>
      <x:c r="B462" t="str">
        <x:v>2025-05</x:v>
      </x:c>
      <x:c r="C462" t="n">
        <x:v>45794</x:v>
      </x:c>
      <x:c r="D462" t="str">
        <x:v>USR-00050</x:v>
      </x:c>
      <x:c r="E462" t="str">
        <x:v>DEU-000085</x:v>
      </x:c>
      <x:c r="F462" t="n">
        <x:v>147200</x:v>
      </x:c>
      <x:c r="G462" t="n">
        <x:v>68324.67</x:v>
      </x:c>
      <x:c r="H462" t="n">
        <x:v>78875.33</x:v>
      </x:c>
      <x:c r="I462" t="n">
        <x:v>3687166.66</x:v>
      </x:c>
      <x:c r="J462" t="str">
        <x:v>En fecha</x:v>
      </x:c>
    </x:row>
    <x:row r="463">
      <x:c r="A463" t="str">
        <x:v>ABO-0000462</x:v>
      </x:c>
      <x:c r="B463" t="str">
        <x:v>2025-05</x:v>
      </x:c>
      <x:c r="C463" t="n">
        <x:v>45804</x:v>
      </x:c>
      <x:c r="D463" t="str">
        <x:v>USR-00051</x:v>
      </x:c>
      <x:c r="E463" t="str">
        <x:v>DEU-000086</x:v>
      </x:c>
      <x:c r="F463" t="n">
        <x:v>250800</x:v>
      </x:c>
      <x:c r="G463" t="n">
        <x:v>51027.65</x:v>
      </x:c>
      <x:c r="H463" t="n">
        <x:v>199772.35</x:v>
      </x:c>
      <x:c r="I463" t="n">
        <x:v>4222495.18</x:v>
      </x:c>
      <x:c r="J463" t="str">
        <x:v>Parcial</x:v>
      </x:c>
    </x:row>
    <x:row r="464">
      <x:c r="A464" t="str">
        <x:v>ABO-0000463</x:v>
      </x:c>
      <x:c r="B464" t="str">
        <x:v>2025-05</x:v>
      </x:c>
      <x:c r="C464" t="n">
        <x:v>45800</x:v>
      </x:c>
      <x:c r="D464" t="str">
        <x:v>USR-00051</x:v>
      </x:c>
      <x:c r="E464" t="str">
        <x:v>DEU-000088</x:v>
      </x:c>
      <x:c r="F464" t="n">
        <x:v>679600</x:v>
      </x:c>
      <x:c r="G464" t="n">
        <x:v>95858.9</x:v>
      </x:c>
      <x:c r="H464" t="n">
        <x:v>583741.1</x:v>
      </x:c>
      <x:c r="I464" t="n">
        <x:v>5689228.28</x:v>
      </x:c>
      <x:c r="J464" t="str">
        <x:v>En fecha</x:v>
      </x:c>
    </x:row>
    <x:row r="465">
      <x:c r="A465" t="str">
        <x:v>ABO-0000464</x:v>
      </x:c>
      <x:c r="B465" t="str">
        <x:v>2025-05</x:v>
      </x:c>
      <x:c r="C465" t="n">
        <x:v>45804</x:v>
      </x:c>
      <x:c r="D465" t="str">
        <x:v>USR-00051</x:v>
      </x:c>
      <x:c r="E465" t="str">
        <x:v>DEU-000089</x:v>
      </x:c>
      <x:c r="F465" t="n">
        <x:v>254200</x:v>
      </x:c>
      <x:c r="G465" t="n">
        <x:v>39239.43</x:v>
      </x:c>
      <x:c r="H465" t="n">
        <x:v>214960.57</x:v>
      </x:c>
      <x:c r="I465" t="n">
        <x:v>2802647.66</x:v>
      </x:c>
      <x:c r="J465" t="str">
        <x:v>Parcial</x:v>
      </x:c>
    </x:row>
    <x:row r="466">
      <x:c r="A466" t="str">
        <x:v>ABO-0000465</x:v>
      </x:c>
      <x:c r="B466" t="str">
        <x:v>2025-05</x:v>
      </x:c>
      <x:c r="C466" t="n">
        <x:v>45799</x:v>
      </x:c>
      <x:c r="D466" t="str">
        <x:v>USR-00051</x:v>
      </x:c>
      <x:c r="E466" t="str">
        <x:v>DEU-000090</x:v>
      </x:c>
      <x:c r="F466" t="n">
        <x:v>451400</x:v>
      </x:c>
      <x:c r="G466" t="n">
        <x:v>72764.02</x:v>
      </x:c>
      <x:c r="H466" t="n">
        <x:v>378635.98</x:v>
      </x:c>
      <x:c r="I466" t="n">
        <x:v>3234661.62</x:v>
      </x:c>
      <x:c r="J466" t="str">
        <x:v>En fecha</x:v>
      </x:c>
    </x:row>
    <x:row r="467">
      <x:c r="A467" t="str">
        <x:v>ABO-0000466</x:v>
      </x:c>
      <x:c r="B467" t="str">
        <x:v>2025-05</x:v>
      </x:c>
      <x:c r="C467" t="n">
        <x:v>45802</x:v>
      </x:c>
      <x:c r="D467" t="str">
        <x:v>USR-00053</x:v>
      </x:c>
      <x:c r="E467" t="str">
        <x:v>DEU-000092</x:v>
      </x:c>
      <x:c r="F467" t="n">
        <x:v>277400</x:v>
      </x:c>
      <x:c r="G467" t="n">
        <x:v>106053.3</x:v>
      </x:c>
      <x:c r="H467" t="n">
        <x:v>171346.7</x:v>
      </x:c>
      <x:c r="I467" t="n">
        <x:v>4767492.63</x:v>
      </x:c>
      <x:c r="J467" t="str">
        <x:v>En fecha</x:v>
      </x:c>
    </x:row>
    <x:row r="468">
      <x:c r="A468" t="str">
        <x:v>ABO-0000467</x:v>
      </x:c>
      <x:c r="B468" t="str">
        <x:v>2025-05</x:v>
      </x:c>
      <x:c r="C468" t="n">
        <x:v>45797</x:v>
      </x:c>
      <x:c r="D468" t="str">
        <x:v>USR-00053</x:v>
      </x:c>
      <x:c r="E468" t="str">
        <x:v>DEU-000093</x:v>
      </x:c>
      <x:c r="F468" t="n">
        <x:v>318600</x:v>
      </x:c>
      <x:c r="G468" t="n">
        <x:v>77055.13</x:v>
      </x:c>
      <x:c r="H468" t="n">
        <x:v>241544.87</x:v>
      </x:c>
      <x:c r="I468" t="n">
        <x:v>4090791.79</x:v>
      </x:c>
      <x:c r="J468" t="str">
        <x:v>En fecha</x:v>
      </x:c>
    </x:row>
    <x:row r="469">
      <x:c r="A469" t="str">
        <x:v>ABO-0000468</x:v>
      </x:c>
      <x:c r="B469" t="str">
        <x:v>2025-05</x:v>
      </x:c>
      <x:c r="C469" t="n">
        <x:v>45781</x:v>
      </x:c>
      <x:c r="D469" t="str">
        <x:v>USR-00053</x:v>
      </x:c>
      <x:c r="E469" t="str">
        <x:v>DEU-000095</x:v>
      </x:c>
      <x:c r="F469" t="n">
        <x:v>156600</x:v>
      </x:c>
      <x:c r="G469" t="n">
        <x:v>78791.94</x:v>
      </x:c>
      <x:c r="H469" t="n">
        <x:v>77808.06</x:v>
      </x:c>
      <x:c r="I469" t="n">
        <x:v>4135366.51</x:v>
      </x:c>
      <x:c r="J469" t="str">
        <x:v>En fecha</x:v>
      </x:c>
    </x:row>
    <x:row r="470">
      <x:c r="A470" t="str">
        <x:v>ABO-0000469</x:v>
      </x:c>
      <x:c r="B470" t="str">
        <x:v>2025-05</x:v>
      </x:c>
      <x:c r="C470" t="n">
        <x:v>45794</x:v>
      </x:c>
      <x:c r="D470" t="str">
        <x:v>USR-00054</x:v>
      </x:c>
      <x:c r="E470" t="str">
        <x:v>DEU-000097</x:v>
      </x:c>
      <x:c r="F470" t="n">
        <x:v>2833100</x:v>
      </x:c>
      <x:c r="G470" t="n">
        <x:v>357101.33</x:v>
      </x:c>
      <x:c r="H470" t="n">
        <x:v>2475998.67</x:v>
      </x:c>
      <x:c r="I470" t="n">
        <x:v>23356048.39</x:v>
      </x:c>
      <x:c r="J470" t="str">
        <x:v>En fecha</x:v>
      </x:c>
    </x:row>
    <x:row r="471">
      <x:c r="A471" t="str">
        <x:v>ABO-0000470</x:v>
      </x:c>
      <x:c r="B471" t="str">
        <x:v>2025-05</x:v>
      </x:c>
      <x:c r="C471" t="n">
        <x:v>45784</x:v>
      </x:c>
      <x:c r="D471" t="str">
        <x:v>USR-00054</x:v>
      </x:c>
      <x:c r="E471" t="str">
        <x:v>DEU-000098</x:v>
      </x:c>
      <x:c r="F471" t="n">
        <x:v>696000</x:v>
      </x:c>
      <x:c r="G471" t="n">
        <x:v>189240.3</x:v>
      </x:c>
      <x:c r="H471" t="n">
        <x:v>506759.7</x:v>
      </x:c>
      <x:c r="I471" t="n">
        <x:v>16105253.69</x:v>
      </x:c>
      <x:c r="J471" t="str">
        <x:v>Parcial</x:v>
      </x:c>
    </x:row>
    <x:row r="472">
      <x:c r="A472" t="str">
        <x:v>ABO-0000471</x:v>
      </x:c>
      <x:c r="B472" t="str">
        <x:v>2025-05</x:v>
      </x:c>
      <x:c r="C472" t="n">
        <x:v>45798</x:v>
      </x:c>
      <x:c r="D472" t="str">
        <x:v>USR-00055</x:v>
      </x:c>
      <x:c r="E472" t="str">
        <x:v>DEU-000101</x:v>
      </x:c>
      <x:c r="F472" t="n">
        <x:v>426700</x:v>
      </x:c>
      <x:c r="G472" t="n">
        <x:v>156829.32</x:v>
      </x:c>
      <x:c r="H472" t="n">
        <x:v>269870.68</x:v>
      </x:c>
      <x:c r="I472" t="n">
        <x:v>6379265.63</x:v>
      </x:c>
      <x:c r="J472" t="str">
        <x:v>En fecha</x:v>
      </x:c>
    </x:row>
    <x:row r="473">
      <x:c r="A473" t="str">
        <x:v>ABO-0000472</x:v>
      </x:c>
      <x:c r="B473" t="str">
        <x:v>2025-05</x:v>
      </x:c>
      <x:c r="C473" t="n">
        <x:v>45782</x:v>
      </x:c>
      <x:c r="D473" t="str">
        <x:v>USR-00057</x:v>
      </x:c>
      <x:c r="E473" t="str">
        <x:v>DEU-000103</x:v>
      </x:c>
      <x:c r="F473" t="n">
        <x:v>3903000</x:v>
      </x:c>
      <x:c r="G473" t="n">
        <x:v>577943.64</x:v>
      </x:c>
      <x:c r="H473" t="n">
        <x:v>3325056.36</x:v>
      </x:c>
      <x:c r="I473" t="n">
        <x:v>46634739.64</x:v>
      </x:c>
      <x:c r="J473" t="str">
        <x:v>Parcial</x:v>
      </x:c>
    </x:row>
    <x:row r="474">
      <x:c r="A474" t="str">
        <x:v>ABO-0000473</x:v>
      </x:c>
      <x:c r="B474" t="str">
        <x:v>2025-05</x:v>
      </x:c>
      <x:c r="C474" t="n">
        <x:v>45798</x:v>
      </x:c>
      <x:c r="D474" t="str">
        <x:v>USR-00058</x:v>
      </x:c>
      <x:c r="E474" t="str">
        <x:v>DEU-000106</x:v>
      </x:c>
      <x:c r="F474" t="n">
        <x:v>760300</x:v>
      </x:c>
      <x:c r="G474" t="n">
        <x:v>175012.34</x:v>
      </x:c>
      <x:c r="H474" t="n">
        <x:v>585287.66</x:v>
      </x:c>
      <x:c r="I474" t="n">
        <x:v>6420346.66</x:v>
      </x:c>
      <x:c r="J474" t="str">
        <x:v>En fecha</x:v>
      </x:c>
    </x:row>
    <x:row r="475">
      <x:c r="A475" t="str">
        <x:v>ABO-0000474</x:v>
      </x:c>
      <x:c r="B475" t="str">
        <x:v>2025-05</x:v>
      </x:c>
      <x:c r="C475" t="n">
        <x:v>45786</x:v>
      </x:c>
      <x:c r="D475" t="str">
        <x:v>USR-00059</x:v>
      </x:c>
      <x:c r="E475" t="str">
        <x:v>DEU-000108</x:v>
      </x:c>
      <x:c r="F475" t="n">
        <x:v>3592900</x:v>
      </x:c>
      <x:c r="G475" t="n">
        <x:v>822915.56</x:v>
      </x:c>
      <x:c r="H475" t="n">
        <x:v>2769984.44</x:v>
      </x:c>
      <x:c r="I475" t="n">
        <x:v>43533244.86</x:v>
      </x:c>
      <x:c r="J475" t="str">
        <x:v>En fecha</x:v>
      </x:c>
    </x:row>
    <x:row r="476">
      <x:c r="A476" t="str">
        <x:v>ABO-0000475</x:v>
      </x:c>
      <x:c r="B476" t="str">
        <x:v>2025-05</x:v>
      </x:c>
      <x:c r="C476" t="n">
        <x:v>45804</x:v>
      </x:c>
      <x:c r="D476" t="str">
        <x:v>USR-00060</x:v>
      </x:c>
      <x:c r="E476" t="str">
        <x:v>DEU-000109</x:v>
      </x:c>
      <x:c r="F476" t="n">
        <x:v>136300</x:v>
      </x:c>
      <x:c r="G476" t="n">
        <x:v>93957.54</x:v>
      </x:c>
      <x:c r="H476" t="n">
        <x:v>42342.46</x:v>
      </x:c>
      <x:c r="I476" t="n">
        <x:v>4826550.29</x:v>
      </x:c>
      <x:c r="J476" t="str">
        <x:v>En fecha</x:v>
      </x:c>
    </x:row>
    <x:row r="477">
      <x:c r="A477" t="str">
        <x:v>ABO-0000476</x:v>
      </x:c>
      <x:c r="B477" t="str">
        <x:v>2025-05</x:v>
      </x:c>
      <x:c r="C477" t="n">
        <x:v>45782</x:v>
      </x:c>
      <x:c r="D477" t="str">
        <x:v>USR-00060</x:v>
      </x:c>
      <x:c r="E477" t="str">
        <x:v>DEU-000110</x:v>
      </x:c>
      <x:c r="F477" t="n">
        <x:v>1405200</x:v>
      </x:c>
      <x:c r="G477" t="n">
        <x:v>350951.83</x:v>
      </x:c>
      <x:c r="H477" t="n">
        <x:v>1054248.17</x:v>
      </x:c>
      <x:c r="I477" t="n">
        <x:v>16832199.65</x:v>
      </x:c>
      <x:c r="J477" t="str">
        <x:v>En fecha</x:v>
      </x:c>
    </x:row>
    <x:row r="478">
      <x:c r="A478" t="str">
        <x:v>ABO-0000477</x:v>
      </x:c>
      <x:c r="B478" t="str">
        <x:v>2025-05</x:v>
      </x:c>
      <x:c r="C478" t="n">
        <x:v>45803</x:v>
      </x:c>
      <x:c r="D478" t="str">
        <x:v>USR-00061</x:v>
      </x:c>
      <x:c r="E478" t="str">
        <x:v>DEU-000111</x:v>
      </x:c>
      <x:c r="F478" t="n">
        <x:v>238800</x:v>
      </x:c>
      <x:c r="G478" t="n">
        <x:v>300316.9</x:v>
      </x:c>
      <x:c r="H478" t="n">
        <x:v>0</x:v>
      </x:c>
      <x:c r="I478" t="n">
        <x:v>15537378.78</x:v>
      </x:c>
      <x:c r="J478" t="str">
        <x:v>Parcial</x:v>
      </x:c>
    </x:row>
    <x:row r="479">
      <x:c r="A479" t="str">
        <x:v>ABO-0000478</x:v>
      </x:c>
      <x:c r="B479" t="str">
        <x:v>2025-05</x:v>
      </x:c>
      <x:c r="C479" t="n">
        <x:v>45783</x:v>
      </x:c>
      <x:c r="D479" t="str">
        <x:v>USR-00063</x:v>
      </x:c>
      <x:c r="E479" t="str">
        <x:v>DEU-000114</x:v>
      </x:c>
      <x:c r="F479" t="n">
        <x:v>603200</x:v>
      </x:c>
      <x:c r="G479" t="n">
        <x:v>368221.85</x:v>
      </x:c>
      <x:c r="H479" t="n">
        <x:v>234978.15</x:v>
      </x:c>
      <x:c r="I479" t="n">
        <x:v>17549268.42</x:v>
      </x:c>
      <x:c r="J479" t="str">
        <x:v>En fecha</x:v>
      </x:c>
    </x:row>
    <x:row r="480">
      <x:c r="A480" t="str">
        <x:v>ABO-0000479</x:v>
      </x:c>
      <x:c r="B480" t="str">
        <x:v>2025-05</x:v>
      </x:c>
      <x:c r="C480" t="n">
        <x:v>45796</x:v>
      </x:c>
      <x:c r="D480" t="str">
        <x:v>USR-00063</x:v>
      </x:c>
      <x:c r="E480" t="str">
        <x:v>DEU-000115</x:v>
      </x:c>
      <x:c r="F480" t="n">
        <x:v>1335600</x:v>
      </x:c>
      <x:c r="G480" t="n">
        <x:v>205981.92</x:v>
      </x:c>
      <x:c r="H480" t="n">
        <x:v>1129618.08</x:v>
      </x:c>
      <x:c r="I480" t="n">
        <x:v>10314715.8</x:v>
      </x:c>
      <x:c r="J480" t="str">
        <x:v>En fecha</x:v>
      </x:c>
    </x:row>
    <x:row r="481">
      <x:c r="A481" t="str">
        <x:v>ABO-0000480</x:v>
      </x:c>
      <x:c r="B481" t="str">
        <x:v>2025-05</x:v>
      </x:c>
      <x:c r="C481" t="n">
        <x:v>45781</x:v>
      </x:c>
      <x:c r="D481" t="str">
        <x:v>USR-00064</x:v>
      </x:c>
      <x:c r="E481" t="str">
        <x:v>DEU-000116</x:v>
      </x:c>
      <x:c r="F481" t="n">
        <x:v>106500</x:v>
      </x:c>
      <x:c r="G481" t="n">
        <x:v>27131</x:v>
      </x:c>
      <x:c r="H481" t="n">
        <x:v>79369</x:v>
      </x:c>
      <x:c r="I481" t="n">
        <x:v>1482283.24</x:v>
      </x:c>
      <x:c r="J481" t="str">
        <x:v>En fecha</x:v>
      </x:c>
    </x:row>
    <x:row r="482">
      <x:c r="A482" t="str">
        <x:v>ABO-0000481</x:v>
      </x:c>
      <x:c r="B482" t="str">
        <x:v>2025-05</x:v>
      </x:c>
      <x:c r="C482" t="n">
        <x:v>45778</x:v>
      </x:c>
      <x:c r="D482" t="str">
        <x:v>USR-00065</x:v>
      </x:c>
      <x:c r="E482" t="str">
        <x:v>DEU-000117</x:v>
      </x:c>
      <x:c r="F482" t="n">
        <x:v>982600</x:v>
      </x:c>
      <x:c r="G482" t="n">
        <x:v>284290.09</x:v>
      </x:c>
      <x:c r="H482" t="n">
        <x:v>698309.91</x:v>
      </x:c>
      <x:c r="I482" t="n">
        <x:v>17710280.95</x:v>
      </x:c>
      <x:c r="J482" t="str">
        <x:v>En fecha</x:v>
      </x:c>
    </x:row>
    <x:row r="483">
      <x:c r="A483" t="str">
        <x:v>ABO-0000482</x:v>
      </x:c>
      <x:c r="B483" t="str">
        <x:v>2025-05</x:v>
      </x:c>
      <x:c r="C483" t="n">
        <x:v>45795</x:v>
      </x:c>
      <x:c r="D483" t="str">
        <x:v>USR-00065</x:v>
      </x:c>
      <x:c r="E483" t="str">
        <x:v>DEU-000118</x:v>
      </x:c>
      <x:c r="F483" t="n">
        <x:v>1270900</x:v>
      </x:c>
      <x:c r="G483" t="n">
        <x:v>561863.56</x:v>
      </x:c>
      <x:c r="H483" t="n">
        <x:v>709036.44</x:v>
      </x:c>
      <x:c r="I483" t="n">
        <x:v>25700265.53</x:v>
      </x:c>
      <x:c r="J483" t="str">
        <x:v>En fecha</x:v>
      </x:c>
    </x:row>
    <x:row r="484">
      <x:c r="A484" t="str">
        <x:v>ABO-0000483</x:v>
      </x:c>
      <x:c r="B484" t="str">
        <x:v>2025-05</x:v>
      </x:c>
      <x:c r="C484" t="n">
        <x:v>45800</x:v>
      </x:c>
      <x:c r="D484" t="str">
        <x:v>USR-00065</x:v>
      </x:c>
      <x:c r="E484" t="str">
        <x:v>DEU-000119</x:v>
      </x:c>
      <x:c r="F484" t="n">
        <x:v>365200</x:v>
      </x:c>
      <x:c r="G484" t="n">
        <x:v>211011.79</x:v>
      </x:c>
      <x:c r="H484" t="n">
        <x:v>154188.21</x:v>
      </x:c>
      <x:c r="I484" t="n">
        <x:v>13961087.58</x:v>
      </x:c>
      <x:c r="J484" t="str">
        <x:v>En fecha</x:v>
      </x:c>
    </x:row>
    <x:row r="485">
      <x:c r="A485" t="str">
        <x:v>ABO-0000484</x:v>
      </x:c>
      <x:c r="B485" t="str">
        <x:v>2025-05</x:v>
      </x:c>
      <x:c r="C485" t="n">
        <x:v>45800</x:v>
      </x:c>
      <x:c r="D485" t="str">
        <x:v>USR-00066</x:v>
      </x:c>
      <x:c r="E485" t="str">
        <x:v>DEU-000120</x:v>
      </x:c>
      <x:c r="F485" t="n">
        <x:v>103100</x:v>
      </x:c>
      <x:c r="G485" t="n">
        <x:v>62414.58</x:v>
      </x:c>
      <x:c r="H485" t="n">
        <x:v>40685.42</x:v>
      </x:c>
      <x:c r="I485" t="n">
        <x:v>3125113.23</x:v>
      </x:c>
      <x:c r="J485" t="str">
        <x:v>En fecha</x:v>
      </x:c>
    </x:row>
    <x:row r="486">
      <x:c r="A486" t="str">
        <x:v>ABO-0000485</x:v>
      </x:c>
      <x:c r="B486" t="str">
        <x:v>2025-05</x:v>
      </x:c>
      <x:c r="C486" t="n">
        <x:v>45781</x:v>
      </x:c>
      <x:c r="D486" t="str">
        <x:v>USR-00066</x:v>
      </x:c>
      <x:c r="E486" t="str">
        <x:v>DEU-000121</x:v>
      </x:c>
      <x:c r="F486" t="n">
        <x:v>331000</x:v>
      </x:c>
      <x:c r="G486" t="n">
        <x:v>110908.43</x:v>
      </x:c>
      <x:c r="H486" t="n">
        <x:v>220091.57</x:v>
      </x:c>
      <x:c r="I486" t="n">
        <x:v>9559969.27</x:v>
      </x:c>
      <x:c r="J486" t="str">
        <x:v>En fecha</x:v>
      </x:c>
    </x:row>
    <x:row r="487">
      <x:c r="A487" t="str">
        <x:v>ABO-0000486</x:v>
      </x:c>
      <x:c r="B487" t="str">
        <x:v>2025-05</x:v>
      </x:c>
      <x:c r="C487" t="n">
        <x:v>45781</x:v>
      </x:c>
      <x:c r="D487" t="str">
        <x:v>USR-00066</x:v>
      </x:c>
      <x:c r="E487" t="str">
        <x:v>DEU-000122</x:v>
      </x:c>
      <x:c r="F487" t="n">
        <x:v>160400</x:v>
      </x:c>
      <x:c r="G487" t="n">
        <x:v>54664.35</x:v>
      </x:c>
      <x:c r="H487" t="n">
        <x:v>105735.65</x:v>
      </x:c>
      <x:c r="I487" t="n">
        <x:v>5014876.64</x:v>
      </x:c>
      <x:c r="J487" t="str">
        <x:v>En fecha</x:v>
      </x:c>
    </x:row>
    <x:row r="488">
      <x:c r="A488" t="str">
        <x:v>ABO-0000487</x:v>
      </x:c>
      <x:c r="B488" t="str">
        <x:v>2025-05</x:v>
      </x:c>
      <x:c r="C488" t="n">
        <x:v>45780</x:v>
      </x:c>
      <x:c r="D488" t="str">
        <x:v>USR-00067</x:v>
      </x:c>
      <x:c r="E488" t="str">
        <x:v>DEU-000124</x:v>
      </x:c>
      <x:c r="F488" t="n">
        <x:v>637600</x:v>
      </x:c>
      <x:c r="G488" t="n">
        <x:v>92966.51</x:v>
      </x:c>
      <x:c r="H488" t="n">
        <x:v>544633.49</x:v>
      </x:c>
      <x:c r="I488" t="n">
        <x:v>6007531.34</x:v>
      </x:c>
      <x:c r="J488" t="str">
        <x:v>En fecha</x:v>
      </x:c>
    </x:row>
    <x:row r="489">
      <x:c r="A489" t="str">
        <x:v>ABO-0000488</x:v>
      </x:c>
      <x:c r="B489" t="str">
        <x:v>2025-05</x:v>
      </x:c>
      <x:c r="C489" t="n">
        <x:v>45802</x:v>
      </x:c>
      <x:c r="D489" t="str">
        <x:v>USR-00067</x:v>
      </x:c>
      <x:c r="E489" t="str">
        <x:v>DEU-000125</x:v>
      </x:c>
      <x:c r="F489" t="n">
        <x:v>362000</x:v>
      </x:c>
      <x:c r="G489" t="n">
        <x:v>243843.78</x:v>
      </x:c>
      <x:c r="H489" t="n">
        <x:v>118156.22</x:v>
      </x:c>
      <x:c r="I489" t="n">
        <x:v>15721985.05</x:v>
      </x:c>
      <x:c r="J489" t="str">
        <x:v>Parcial</x:v>
      </x:c>
    </x:row>
    <x:row r="490">
      <x:c r="A490" t="str">
        <x:v>ABO-0000489</x:v>
      </x:c>
      <x:c r="B490" t="str">
        <x:v>2025-05</x:v>
      </x:c>
      <x:c r="C490" t="n">
        <x:v>45803</x:v>
      </x:c>
      <x:c r="D490" t="str">
        <x:v>USR-00067</x:v>
      </x:c>
      <x:c r="E490" t="str">
        <x:v>DEU-000126</x:v>
      </x:c>
      <x:c r="F490" t="n">
        <x:v>1301000</x:v>
      </x:c>
      <x:c r="G490" t="n">
        <x:v>600678.86</x:v>
      </x:c>
      <x:c r="H490" t="n">
        <x:v>700321.14</x:v>
      </x:c>
      <x:c r="I490" t="n">
        <x:v>43720265.69</x:v>
      </x:c>
      <x:c r="J490" t="str">
        <x:v>Parcial</x:v>
      </x:c>
    </x:row>
    <x:row r="491">
      <x:c r="A491" t="str">
        <x:v>ABO-0000490</x:v>
      </x:c>
      <x:c r="B491" t="str">
        <x:v>2025-05</x:v>
      </x:c>
      <x:c r="C491" t="n">
        <x:v>45797</x:v>
      </x:c>
      <x:c r="D491" t="str">
        <x:v>USR-00067</x:v>
      </x:c>
      <x:c r="E491" t="str">
        <x:v>DEU-000127</x:v>
      </x:c>
      <x:c r="F491" t="n">
        <x:v>499800</x:v>
      </x:c>
      <x:c r="G491" t="n">
        <x:v>319130.49</x:v>
      </x:c>
      <x:c r="H491" t="n">
        <x:v>180669.51</x:v>
      </x:c>
      <x:c r="I491" t="n">
        <x:v>17713746.98</x:v>
      </x:c>
      <x:c r="J491" t="str">
        <x:v>En fecha</x:v>
      </x:c>
    </x:row>
    <x:row r="492">
      <x:c r="A492" t="str">
        <x:v>ABO-0000491</x:v>
      </x:c>
      <x:c r="B492" t="str">
        <x:v>2025-05</x:v>
      </x:c>
      <x:c r="C492" t="n">
        <x:v>45786</x:v>
      </x:c>
      <x:c r="D492" t="str">
        <x:v>USR-00070</x:v>
      </x:c>
      <x:c r="E492" t="str">
        <x:v>DEU-000130</x:v>
      </x:c>
      <x:c r="F492" t="n">
        <x:v>53700</x:v>
      </x:c>
      <x:c r="G492" t="n">
        <x:v>41019.72</x:v>
      </x:c>
      <x:c r="H492" t="n">
        <x:v>12680.28</x:v>
      </x:c>
      <x:c r="I492" t="n">
        <x:v>1734089.36</x:v>
      </x:c>
      <x:c r="J492" t="str">
        <x:v>En fecha</x:v>
      </x:c>
    </x:row>
    <x:row r="493">
      <x:c r="A493" t="str">
        <x:v>ABO-0000492</x:v>
      </x:c>
      <x:c r="B493" t="str">
        <x:v>2025-05</x:v>
      </x:c>
      <x:c r="C493" t="n">
        <x:v>45804</x:v>
      </x:c>
      <x:c r="D493" t="str">
        <x:v>USR-00070</x:v>
      </x:c>
      <x:c r="E493" t="str">
        <x:v>DEU-000131</x:v>
      </x:c>
      <x:c r="F493" t="n">
        <x:v>485100</x:v>
      </x:c>
      <x:c r="G493" t="n">
        <x:v>98277.32</x:v>
      </x:c>
      <x:c r="H493" t="n">
        <x:v>386822.68</x:v>
      </x:c>
      <x:c r="I493" t="n">
        <x:v>4448461.12</x:v>
      </x:c>
      <x:c r="J493" t="str">
        <x:v>En fecha</x:v>
      </x:c>
    </x:row>
    <x:row r="494">
      <x:c r="A494" t="str">
        <x:v>ABO-0000493</x:v>
      </x:c>
      <x:c r="B494" t="str">
        <x:v>2025-05</x:v>
      </x:c>
      <x:c r="C494" t="n">
        <x:v>45803</x:v>
      </x:c>
      <x:c r="D494" t="str">
        <x:v>USR-00070</x:v>
      </x:c>
      <x:c r="E494" t="str">
        <x:v>DEU-000132</x:v>
      </x:c>
      <x:c r="F494" t="n">
        <x:v>1699000</x:v>
      </x:c>
      <x:c r="G494" t="n">
        <x:v>430492.67</x:v>
      </x:c>
      <x:c r="H494" t="n">
        <x:v>1268507.33</x:v>
      </x:c>
      <x:c r="I494" t="n">
        <x:v>18001512.66</x:v>
      </x:c>
      <x:c r="J494" t="str">
        <x:v>Parcial</x:v>
      </x:c>
    </x:row>
    <x:row r="495">
      <x:c r="A495" t="str">
        <x:v>ABO-0000494</x:v>
      </x:c>
      <x:c r="B495" t="str">
        <x:v>2025-05</x:v>
      </x:c>
      <x:c r="C495" t="n">
        <x:v>45790</x:v>
      </x:c>
      <x:c r="D495" t="str">
        <x:v>USR-00070</x:v>
      </x:c>
      <x:c r="E495" t="str">
        <x:v>DEU-000133</x:v>
      </x:c>
      <x:c r="F495" t="n">
        <x:v>1327400</x:v>
      </x:c>
      <x:c r="G495" t="n">
        <x:v>176069.11</x:v>
      </x:c>
      <x:c r="H495" t="n">
        <x:v>1151330.89</x:v>
      </x:c>
      <x:c r="I495" t="n">
        <x:v>9656198.25</x:v>
      </x:c>
      <x:c r="J495" t="str">
        <x:v>En fecha</x:v>
      </x:c>
    </x:row>
    <x:row r="496">
      <x:c r="A496" t="str">
        <x:v>ABO-0000495</x:v>
      </x:c>
      <x:c r="B496" t="str">
        <x:v>2025-05</x:v>
      </x:c>
      <x:c r="C496" t="n">
        <x:v>45794</x:v>
      </x:c>
      <x:c r="D496" t="str">
        <x:v>USR-00071</x:v>
      </x:c>
      <x:c r="E496" t="str">
        <x:v>DEU-000134</x:v>
      </x:c>
      <x:c r="F496" t="n">
        <x:v>133000</x:v>
      </x:c>
      <x:c r="G496" t="n">
        <x:v>25974.5</x:v>
      </x:c>
      <x:c r="H496" t="n">
        <x:v>107025.5</x:v>
      </x:c>
      <x:c r="I496" t="n">
        <x:v>1075773.46</x:v>
      </x:c>
      <x:c r="J496" t="str">
        <x:v>En fecha</x:v>
      </x:c>
    </x:row>
    <x:row r="497">
      <x:c r="A497" t="str">
        <x:v>ABO-0000496</x:v>
      </x:c>
      <x:c r="B497" t="str">
        <x:v>2025-05</x:v>
      </x:c>
      <x:c r="C497" t="n">
        <x:v>45799</x:v>
      </x:c>
      <x:c r="D497" t="str">
        <x:v>USR-00071</x:v>
      </x:c>
      <x:c r="E497" t="str">
        <x:v>DEU-000135</x:v>
      </x:c>
      <x:c r="F497" t="n">
        <x:v>459000</x:v>
      </x:c>
      <x:c r="G497" t="n">
        <x:v>104605.29</x:v>
      </x:c>
      <x:c r="H497" t="n">
        <x:v>354394.71</x:v>
      </x:c>
      <x:c r="I497" t="n">
        <x:v>11663267.11</x:v>
      </x:c>
      <x:c r="J497" t="str">
        <x:v>Parcial</x:v>
      </x:c>
    </x:row>
    <x:row r="498">
      <x:c r="A498" t="str">
        <x:v>ABO-0000497</x:v>
      </x:c>
      <x:c r="B498" t="str">
        <x:v>2025-05</x:v>
      </x:c>
      <x:c r="C498" t="n">
        <x:v>45799</x:v>
      </x:c>
      <x:c r="D498" t="str">
        <x:v>USR-00072</x:v>
      </x:c>
      <x:c r="E498" t="str">
        <x:v>DEU-000136</x:v>
      </x:c>
      <x:c r="F498" t="n">
        <x:v>376700</x:v>
      </x:c>
      <x:c r="G498" t="n">
        <x:v>168762.12</x:v>
      </x:c>
      <x:c r="H498" t="n">
        <x:v>207937.88</x:v>
      </x:c>
      <x:c r="I498" t="n">
        <x:v>7634354.18</x:v>
      </x:c>
      <x:c r="J498" t="str">
        <x:v>En fecha</x:v>
      </x:c>
    </x:row>
    <x:row r="499">
      <x:c r="A499" t="str">
        <x:v>ABO-0000498</x:v>
      </x:c>
      <x:c r="B499" t="str">
        <x:v>2025-05</x:v>
      </x:c>
      <x:c r="C499" t="n">
        <x:v>45802</x:v>
      </x:c>
      <x:c r="D499" t="str">
        <x:v>USR-00072</x:v>
      </x:c>
      <x:c r="E499" t="str">
        <x:v>DEU-000137</x:v>
      </x:c>
      <x:c r="F499" t="n">
        <x:v>113800</x:v>
      </x:c>
      <x:c r="G499" t="n">
        <x:v>40275.67</x:v>
      </x:c>
      <x:c r="H499" t="n">
        <x:v>73524.33</x:v>
      </x:c>
      <x:c r="I499" t="n">
        <x:v>2552407.03</x:v>
      </x:c>
      <x:c r="J499" t="str">
        <x:v>En fecha</x:v>
      </x:c>
    </x:row>
    <x:row r="500">
      <x:c r="A500" t="str">
        <x:v>ABO-0000499</x:v>
      </x:c>
      <x:c r="B500" t="str">
        <x:v>2025-05</x:v>
      </x:c>
      <x:c r="C500" t="n">
        <x:v>45786</x:v>
      </x:c>
      <x:c r="D500" t="str">
        <x:v>USR-00073</x:v>
      </x:c>
      <x:c r="E500" t="str">
        <x:v>DEU-000139</x:v>
      </x:c>
      <x:c r="F500" t="n">
        <x:v>690600</x:v>
      </x:c>
      <x:c r="G500" t="n">
        <x:v>64469.03</x:v>
      </x:c>
      <x:c r="H500" t="n">
        <x:v>626130.97</x:v>
      </x:c>
      <x:c r="I500" t="n">
        <x:v>5919866.7</x:v>
      </x:c>
      <x:c r="J500" t="str">
        <x:v>En fecha</x:v>
      </x:c>
    </x:row>
    <x:row r="501">
      <x:c r="A501" t="str">
        <x:v>ABO-0000500</x:v>
      </x:c>
      <x:c r="B501" t="str">
        <x:v>2025-05</x:v>
      </x:c>
      <x:c r="C501" t="n">
        <x:v>45781</x:v>
      </x:c>
      <x:c r="D501" t="str">
        <x:v>USR-00074</x:v>
      </x:c>
      <x:c r="E501" t="str">
        <x:v>DEU-000140</x:v>
      </x:c>
      <x:c r="F501" t="n">
        <x:v>45700</x:v>
      </x:c>
      <x:c r="G501" t="n">
        <x:v>28685</x:v>
      </x:c>
      <x:c r="H501" t="n">
        <x:v>17015</x:v>
      </x:c>
      <x:c r="I501" t="n">
        <x:v>1341406.3</x:v>
      </x:c>
      <x:c r="J501" t="str">
        <x:v>En fecha</x:v>
      </x:c>
    </x:row>
    <x:row r="502">
      <x:c r="A502" t="str">
        <x:v>ABO-0000501</x:v>
      </x:c>
      <x:c r="B502" t="str">
        <x:v>2025-05</x:v>
      </x:c>
      <x:c r="C502" t="n">
        <x:v>45797</x:v>
      </x:c>
      <x:c r="D502" t="str">
        <x:v>USR-00075</x:v>
      </x:c>
      <x:c r="E502" t="str">
        <x:v>DEU-000141</x:v>
      </x:c>
      <x:c r="F502" t="n">
        <x:v>2114500</x:v>
      </x:c>
      <x:c r="G502" t="n">
        <x:v>614862.81</x:v>
      </x:c>
      <x:c r="H502" t="n">
        <x:v>1499637.19</x:v>
      </x:c>
      <x:c r="I502" t="n">
        <x:v>52335593.25</x:v>
      </x:c>
      <x:c r="J502" t="str">
        <x:v>Parcial</x:v>
      </x:c>
    </x:row>
    <x:row r="503">
      <x:c r="A503" t="str">
        <x:v>ABO-0000502</x:v>
      </x:c>
      <x:c r="B503" t="str">
        <x:v>2025-05</x:v>
      </x:c>
      <x:c r="C503" t="n">
        <x:v>45804</x:v>
      </x:c>
      <x:c r="D503" t="str">
        <x:v>USR-00075</x:v>
      </x:c>
      <x:c r="E503" t="str">
        <x:v>DEU-000142</x:v>
      </x:c>
      <x:c r="F503" t="n">
        <x:v>582900</x:v>
      </x:c>
      <x:c r="G503" t="n">
        <x:v>221088.98</x:v>
      </x:c>
      <x:c r="H503" t="n">
        <x:v>361811.02</x:v>
      </x:c>
      <x:c r="I503" t="n">
        <x:v>16181507.79</x:v>
      </x:c>
      <x:c r="J503" t="str">
        <x:v>En fecha</x:v>
      </x:c>
    </x:row>
    <x:row r="504">
      <x:c r="A504" t="str">
        <x:v>ABO-0000503</x:v>
      </x:c>
      <x:c r="B504" t="str">
        <x:v>2025-05</x:v>
      </x:c>
      <x:c r="C504" t="n">
        <x:v>45780</x:v>
      </x:c>
      <x:c r="D504" t="str">
        <x:v>USR-00076</x:v>
      </x:c>
      <x:c r="E504" t="str">
        <x:v>DEU-000143</x:v>
      </x:c>
      <x:c r="F504" t="n">
        <x:v>580200</x:v>
      </x:c>
      <x:c r="G504" t="n">
        <x:v>82019.25</x:v>
      </x:c>
      <x:c r="H504" t="n">
        <x:v>498180.75</x:v>
      </x:c>
      <x:c r="I504" t="n">
        <x:v>4635442.2</x:v>
      </x:c>
      <x:c r="J504" t="str">
        <x:v>En fecha</x:v>
      </x:c>
    </x:row>
    <x:row r="505">
      <x:c r="A505" t="str">
        <x:v>ABO-0000504</x:v>
      </x:c>
      <x:c r="B505" t="str">
        <x:v>2025-05</x:v>
      </x:c>
      <x:c r="C505" t="n">
        <x:v>45796</x:v>
      </x:c>
      <x:c r="D505" t="str">
        <x:v>USR-00077</x:v>
      </x:c>
      <x:c r="E505" t="str">
        <x:v>DEU-000146</x:v>
      </x:c>
      <x:c r="F505" t="n">
        <x:v>363100</x:v>
      </x:c>
      <x:c r="G505" t="n">
        <x:v>116205.8</x:v>
      </x:c>
      <x:c r="H505" t="n">
        <x:v>246894.2</x:v>
      </x:c>
      <x:c r="I505" t="n">
        <x:v>6858711.53</x:v>
      </x:c>
      <x:c r="J505" t="str">
        <x:v>En fecha</x:v>
      </x:c>
    </x:row>
    <x:row r="506">
      <x:c r="A506" t="str">
        <x:v>ABO-0000505</x:v>
      </x:c>
      <x:c r="B506" t="str">
        <x:v>2025-05</x:v>
      </x:c>
      <x:c r="C506" t="n">
        <x:v>45780</x:v>
      </x:c>
      <x:c r="D506" t="str">
        <x:v>USR-00078</x:v>
      </x:c>
      <x:c r="E506" t="str">
        <x:v>DEU-000149</x:v>
      </x:c>
      <x:c r="F506" t="n">
        <x:v>320900</x:v>
      </x:c>
      <x:c r="G506" t="n">
        <x:v>326012.92</x:v>
      </x:c>
      <x:c r="H506" t="n">
        <x:v>0</x:v>
      </x:c>
      <x:c r="I506" t="n">
        <x:v>13333909.55</x:v>
      </x:c>
      <x:c r="J506" t="str">
        <x:v>Parcial</x:v>
      </x:c>
    </x:row>
    <x:row r="507">
      <x:c r="A507" t="str">
        <x:v>ABO-0000506</x:v>
      </x:c>
      <x:c r="B507" t="str">
        <x:v>2025-05</x:v>
      </x:c>
      <x:c r="C507" t="n">
        <x:v>45798</x:v>
      </x:c>
      <x:c r="D507" t="str">
        <x:v>USR-00078</x:v>
      </x:c>
      <x:c r="E507" t="str">
        <x:v>DEU-000150</x:v>
      </x:c>
      <x:c r="F507" t="n">
        <x:v>721700</x:v>
      </x:c>
      <x:c r="G507" t="n">
        <x:v>95822.41</x:v>
      </x:c>
      <x:c r="H507" t="n">
        <x:v>625877.59</x:v>
      </x:c>
      <x:c r="I507" t="n">
        <x:v>5802266.33</x:v>
      </x:c>
      <x:c r="J507" t="str">
        <x:v>En fecha</x:v>
      </x:c>
    </x:row>
    <x:row r="508">
      <x:c r="A508" t="str">
        <x:v>ABO-0000507</x:v>
      </x:c>
      <x:c r="B508" t="str">
        <x:v>2025-05</x:v>
      </x:c>
      <x:c r="C508" t="n">
        <x:v>45789</x:v>
      </x:c>
      <x:c r="D508" t="str">
        <x:v>USR-00079</x:v>
      </x:c>
      <x:c r="E508" t="str">
        <x:v>DEU-000151</x:v>
      </x:c>
      <x:c r="F508" t="n">
        <x:v>3515700</x:v>
      </x:c>
      <x:c r="G508" t="n">
        <x:v>662793.16</x:v>
      </x:c>
      <x:c r="H508" t="n">
        <x:v>2852906.84</x:v>
      </x:c>
      <x:c r="I508" t="n">
        <x:v>51485480.74</x:v>
      </x:c>
      <x:c r="J508" t="str">
        <x:v>En fecha</x:v>
      </x:c>
    </x:row>
    <x:row r="509">
      <x:c r="A509" t="str">
        <x:v>ABO-0000508</x:v>
      </x:c>
      <x:c r="B509" t="str">
        <x:v>2025-05</x:v>
      </x:c>
      <x:c r="C509" t="n">
        <x:v>45804</x:v>
      </x:c>
      <x:c r="D509" t="str">
        <x:v>USR-00080</x:v>
      </x:c>
      <x:c r="E509" t="str">
        <x:v>DEU-000152</x:v>
      </x:c>
      <x:c r="F509" t="n">
        <x:v>853300</x:v>
      </x:c>
      <x:c r="G509" t="n">
        <x:v>196986.47</x:v>
      </x:c>
      <x:c r="H509" t="n">
        <x:v>656313.53</x:v>
      </x:c>
      <x:c r="I509" t="n">
        <x:v>17298128.83</x:v>
      </x:c>
      <x:c r="J509" t="str">
        <x:v>En fecha</x:v>
      </x:c>
    </x:row>
    <x:row r="510">
      <x:c r="A510" t="str">
        <x:v>ABO-0000509</x:v>
      </x:c>
      <x:c r="B510" t="str">
        <x:v>2025-05</x:v>
      </x:c>
      <x:c r="C510" t="n">
        <x:v>45788</x:v>
      </x:c>
      <x:c r="D510" t="str">
        <x:v>USR-00081</x:v>
      </x:c>
      <x:c r="E510" t="str">
        <x:v>DEU-000153</x:v>
      </x:c>
      <x:c r="F510" t="n">
        <x:v>295600</x:v>
      </x:c>
      <x:c r="G510" t="n">
        <x:v>185901.04</x:v>
      </x:c>
      <x:c r="H510" t="n">
        <x:v>109698.96</x:v>
      </x:c>
      <x:c r="I510" t="n">
        <x:v>7486759.41</x:v>
      </x:c>
      <x:c r="J510" t="str">
        <x:v>Parcial</x:v>
      </x:c>
    </x:row>
    <x:row r="511">
      <x:c r="A511" t="str">
        <x:v>ABO-0000510</x:v>
      </x:c>
      <x:c r="B511" t="str">
        <x:v>2025-05</x:v>
      </x:c>
      <x:c r="C511" t="n">
        <x:v>45792</x:v>
      </x:c>
      <x:c r="D511" t="str">
        <x:v>USR-00082</x:v>
      </x:c>
      <x:c r="E511" t="str">
        <x:v>DEU-000155</x:v>
      </x:c>
      <x:c r="F511" t="n">
        <x:v>267500</x:v>
      </x:c>
      <x:c r="G511" t="n">
        <x:v>134861.36</x:v>
      </x:c>
      <x:c r="H511" t="n">
        <x:v>132638.64</x:v>
      </x:c>
      <x:c r="I511" t="n">
        <x:v>7099723.12</x:v>
      </x:c>
      <x:c r="J511" t="str">
        <x:v>En fecha</x:v>
      </x:c>
    </x:row>
    <x:row r="512">
      <x:c r="A512" t="str">
        <x:v>ABO-0000511</x:v>
      </x:c>
      <x:c r="B512" t="str">
        <x:v>2025-05</x:v>
      </x:c>
      <x:c r="C512" t="n">
        <x:v>45785</x:v>
      </x:c>
      <x:c r="D512" t="str">
        <x:v>USR-00082</x:v>
      </x:c>
      <x:c r="E512" t="str">
        <x:v>DEU-000156</x:v>
      </x:c>
      <x:c r="F512" t="n">
        <x:v>736400</x:v>
      </x:c>
      <x:c r="G512" t="n">
        <x:v>279340.14</x:v>
      </x:c>
      <x:c r="H512" t="n">
        <x:v>457059.86</x:v>
      </x:c>
      <x:c r="I512" t="n">
        <x:v>11807146.17</x:v>
      </x:c>
      <x:c r="J512" t="str">
        <x:v>En fecha</x:v>
      </x:c>
    </x:row>
    <x:row r="513">
      <x:c r="A513" t="str">
        <x:v>ABO-0000512</x:v>
      </x:c>
      <x:c r="B513" t="str">
        <x:v>2025-05</x:v>
      </x:c>
      <x:c r="C513" t="n">
        <x:v>45782</x:v>
      </x:c>
      <x:c r="D513" t="str">
        <x:v>USR-00083</x:v>
      </x:c>
      <x:c r="E513" t="str">
        <x:v>DEU-000157</x:v>
      </x:c>
      <x:c r="F513" t="n">
        <x:v>146300</x:v>
      </x:c>
      <x:c r="G513" t="n">
        <x:v>63164.11</x:v>
      </x:c>
      <x:c r="H513" t="n">
        <x:v>83135.89</x:v>
      </x:c>
      <x:c r="I513" t="n">
        <x:v>2463432.96</x:v>
      </x:c>
      <x:c r="J513" t="str">
        <x:v>Parcial</x:v>
      </x:c>
    </x:row>
    <x:row r="514">
      <x:c r="A514" t="str">
        <x:v>ABO-0000513</x:v>
      </x:c>
      <x:c r="B514" t="str">
        <x:v>2025-05</x:v>
      </x:c>
      <x:c r="C514" t="n">
        <x:v>45799</x:v>
      </x:c>
      <x:c r="D514" t="str">
        <x:v>USR-00084</x:v>
      </x:c>
      <x:c r="E514" t="str">
        <x:v>DEU-000159</x:v>
      </x:c>
      <x:c r="F514" t="n">
        <x:v>885100</x:v>
      </x:c>
      <x:c r="G514" t="n">
        <x:v>208071.58</x:v>
      </x:c>
      <x:c r="H514" t="n">
        <x:v>677028.42</x:v>
      </x:c>
      <x:c r="I514" t="n">
        <x:v>7649829.33</x:v>
      </x:c>
      <x:c r="J514" t="str">
        <x:v>En fecha</x:v>
      </x:c>
    </x:row>
    <x:row r="515">
      <x:c r="A515" t="str">
        <x:v>ABO-0000514</x:v>
      </x:c>
      <x:c r="B515" t="str">
        <x:v>2025-05</x:v>
      </x:c>
      <x:c r="C515" t="n">
        <x:v>45782</x:v>
      </x:c>
      <x:c r="D515" t="str">
        <x:v>USR-00085</x:v>
      </x:c>
      <x:c r="E515" t="str">
        <x:v>DEU-000160</x:v>
      </x:c>
      <x:c r="F515" t="n">
        <x:v>379400</x:v>
      </x:c>
      <x:c r="G515" t="n">
        <x:v>285286.91</x:v>
      </x:c>
      <x:c r="H515" t="n">
        <x:v>94113.09</x:v>
      </x:c>
      <x:c r="I515" t="n">
        <x:v>12310872.86</x:v>
      </x:c>
      <x:c r="J515" t="str">
        <x:v>En fecha</x:v>
      </x:c>
    </x:row>
    <x:row r="516">
      <x:c r="A516" t="str">
        <x:v>ABO-0000515</x:v>
      </x:c>
      <x:c r="B516" t="str">
        <x:v>2025-05</x:v>
      </x:c>
      <x:c r="C516" t="n">
        <x:v>45799</x:v>
      </x:c>
      <x:c r="D516" t="str">
        <x:v>USR-00086</x:v>
      </x:c>
      <x:c r="E516" t="str">
        <x:v>DEU-000161</x:v>
      </x:c>
      <x:c r="F516" t="n">
        <x:v>87400</x:v>
      </x:c>
      <x:c r="G516" t="n">
        <x:v>63030.31</x:v>
      </x:c>
      <x:c r="H516" t="n">
        <x:v>24369.69</x:v>
      </x:c>
      <x:c r="I516" t="n">
        <x:v>2982229.44</x:v>
      </x:c>
      <x:c r="J516" t="str">
        <x:v>En fecha</x:v>
      </x:c>
    </x:row>
    <x:row r="517">
      <x:c r="A517" t="str">
        <x:v>ABO-0000516</x:v>
      </x:c>
      <x:c r="B517" t="str">
        <x:v>2025-05</x:v>
      </x:c>
      <x:c r="C517" t="n">
        <x:v>45796</x:v>
      </x:c>
      <x:c r="D517" t="str">
        <x:v>USR-00087</x:v>
      </x:c>
      <x:c r="E517" t="str">
        <x:v>DEU-000162</x:v>
      </x:c>
      <x:c r="F517" t="n">
        <x:v>1094800</x:v>
      </x:c>
      <x:c r="G517" t="n">
        <x:v>569469.43</x:v>
      </x:c>
      <x:c r="H517" t="n">
        <x:v>525330.57</x:v>
      </x:c>
      <x:c r="I517" t="n">
        <x:v>34030895.34</x:v>
      </x:c>
      <x:c r="J517" t="str">
        <x:v>En fecha</x:v>
      </x:c>
    </x:row>
    <x:row r="518">
      <x:c r="A518" t="str">
        <x:v>ABO-0000517</x:v>
      </x:c>
      <x:c r="B518" t="str">
        <x:v>2025-05</x:v>
      </x:c>
      <x:c r="C518" t="n">
        <x:v>45786</x:v>
      </x:c>
      <x:c r="D518" t="str">
        <x:v>USR-00088</x:v>
      </x:c>
      <x:c r="E518" t="str">
        <x:v>DEU-000163</x:v>
      </x:c>
      <x:c r="F518" t="n">
        <x:v>274200</x:v>
      </x:c>
      <x:c r="G518" t="n">
        <x:v>167695.77</x:v>
      </x:c>
      <x:c r="H518" t="n">
        <x:v>106504.23</x:v>
      </x:c>
      <x:c r="I518" t="n">
        <x:v>8535155.8</x:v>
      </x:c>
      <x:c r="J518" t="str">
        <x:v>Parcial</x:v>
      </x:c>
    </x:row>
    <x:row r="519">
      <x:c r="A519" t="str">
        <x:v>ABO-0000518</x:v>
      </x:c>
      <x:c r="B519" t="str">
        <x:v>2025-05</x:v>
      </x:c>
      <x:c r="C519" t="n">
        <x:v>45802</x:v>
      </x:c>
      <x:c r="D519" t="str">
        <x:v>USR-00089</x:v>
      </x:c>
      <x:c r="E519" t="str">
        <x:v>DEU-000164</x:v>
      </x:c>
      <x:c r="F519" t="n">
        <x:v>469700</x:v>
      </x:c>
      <x:c r="G519" t="n">
        <x:v>312820.02</x:v>
      </x:c>
      <x:c r="H519" t="n">
        <x:v>156879.98</x:v>
      </x:c>
      <x:c r="I519" t="n">
        <x:v>16099020.95</x:v>
      </x:c>
      <x:c r="J519" t="str">
        <x:v>En fecha</x:v>
      </x:c>
    </x:row>
    <x:row r="520">
      <x:c r="A520" t="str">
        <x:v>ABO-0000519</x:v>
      </x:c>
      <x:c r="B520" t="str">
        <x:v>2025-05</x:v>
      </x:c>
      <x:c r="C520" t="n">
        <x:v>45779</x:v>
      </x:c>
      <x:c r="D520" t="str">
        <x:v>USR-00089</x:v>
      </x:c>
      <x:c r="E520" t="str">
        <x:v>DEU-000165</x:v>
      </x:c>
      <x:c r="F520" t="n">
        <x:v>258600</x:v>
      </x:c>
      <x:c r="G520" t="n">
        <x:v>164343.31</x:v>
      </x:c>
      <x:c r="H520" t="n">
        <x:v>94256.69</x:v>
      </x:c>
      <x:c r="I520" t="n">
        <x:v>7470919.83</x:v>
      </x:c>
      <x:c r="J520" t="str">
        <x:v>En fecha</x:v>
      </x:c>
    </x:row>
    <x:row r="521">
      <x:c r="A521" t="str">
        <x:v>ABO-0000520</x:v>
      </x:c>
      <x:c r="B521" t="str">
        <x:v>2025-05</x:v>
      </x:c>
      <x:c r="C521" t="n">
        <x:v>45781</x:v>
      </x:c>
      <x:c r="D521" t="str">
        <x:v>USR-00091</x:v>
      </x:c>
      <x:c r="E521" t="str">
        <x:v>DEU-000168</x:v>
      </x:c>
      <x:c r="F521" t="n">
        <x:v>665500</x:v>
      </x:c>
      <x:c r="G521" t="n">
        <x:v>284985.01</x:v>
      </x:c>
      <x:c r="H521" t="n">
        <x:v>380514.99</x:v>
      </x:c>
      <x:c r="I521" t="n">
        <x:v>13613279.01</x:v>
      </x:c>
      <x:c r="J521" t="str">
        <x:v>En fecha</x:v>
      </x:c>
    </x:row>
    <x:row r="522">
      <x:c r="A522" t="str">
        <x:v>ABO-0000521</x:v>
      </x:c>
      <x:c r="B522" t="str">
        <x:v>2025-05</x:v>
      </x:c>
      <x:c r="C522" t="n">
        <x:v>45787</x:v>
      </x:c>
      <x:c r="D522" t="str">
        <x:v>USR-00091</x:v>
      </x:c>
      <x:c r="E522" t="str">
        <x:v>DEU-000169</x:v>
      </x:c>
      <x:c r="F522" t="n">
        <x:v>48800</x:v>
      </x:c>
      <x:c r="G522" t="n">
        <x:v>28123.62</x:v>
      </x:c>
      <x:c r="H522" t="n">
        <x:v>20676.38</x:v>
      </x:c>
      <x:c r="I522" t="n">
        <x:v>1512178.73</x:v>
      </x:c>
      <x:c r="J522" t="str">
        <x:v>En fecha</x:v>
      </x:c>
    </x:row>
    <x:row r="523">
      <x:c r="A523" t="str">
        <x:v>ABO-0000522</x:v>
      </x:c>
      <x:c r="B523" t="str">
        <x:v>2025-05</x:v>
      </x:c>
      <x:c r="C523" t="n">
        <x:v>45795</x:v>
      </x:c>
      <x:c r="D523" t="str">
        <x:v>USR-00091</x:v>
      </x:c>
      <x:c r="E523" t="str">
        <x:v>DEU-000170</x:v>
      </x:c>
      <x:c r="F523" t="n">
        <x:v>414600</x:v>
      </x:c>
      <x:c r="G523" t="n">
        <x:v>61774.07</x:v>
      </x:c>
      <x:c r="H523" t="n">
        <x:v>352825.93</x:v>
      </x:c>
      <x:c r="I523" t="n">
        <x:v>5042001</x:v>
      </x:c>
      <x:c r="J523" t="str">
        <x:v>Parcial</x:v>
      </x:c>
    </x:row>
    <x:row r="524">
      <x:c r="A524" t="str">
        <x:v>ABO-0000523</x:v>
      </x:c>
      <x:c r="B524" t="str">
        <x:v>2025-05</x:v>
      </x:c>
      <x:c r="C524" t="n">
        <x:v>45780</x:v>
      </x:c>
      <x:c r="D524" t="str">
        <x:v>USR-00092</x:v>
      </x:c>
      <x:c r="E524" t="str">
        <x:v>DEU-000171</x:v>
      </x:c>
      <x:c r="F524" t="n">
        <x:v>585700</x:v>
      </x:c>
      <x:c r="G524" t="n">
        <x:v>120865.46</x:v>
      </x:c>
      <x:c r="H524" t="n">
        <x:v>464834.54</x:v>
      </x:c>
      <x:c r="I524" t="n">
        <x:v>4532870.09</x:v>
      </x:c>
      <x:c r="J524" t="str">
        <x:v>En fecha</x:v>
      </x:c>
    </x:row>
    <x:row r="525">
      <x:c r="A525" t="str">
        <x:v>ABO-0000524</x:v>
      </x:c>
      <x:c r="B525" t="str">
        <x:v>2025-05</x:v>
      </x:c>
      <x:c r="C525" t="n">
        <x:v>45804</x:v>
      </x:c>
      <x:c r="D525" t="str">
        <x:v>USR-00093</x:v>
      </x:c>
      <x:c r="E525" t="str">
        <x:v>DEU-000173</x:v>
      </x:c>
      <x:c r="F525" t="n">
        <x:v>732800</x:v>
      </x:c>
      <x:c r="G525" t="n">
        <x:v>109121.46</x:v>
      </x:c>
      <x:c r="H525" t="n">
        <x:v>623678.54</x:v>
      </x:c>
      <x:c r="I525" t="n">
        <x:v>9749563.02</x:v>
      </x:c>
      <x:c r="J525" t="str">
        <x:v>En fecha</x:v>
      </x:c>
    </x:row>
    <x:row r="526">
      <x:c r="A526" t="str">
        <x:v>ABO-0000525</x:v>
      </x:c>
      <x:c r="B526" t="str">
        <x:v>2025-05</x:v>
      </x:c>
      <x:c r="C526" t="n">
        <x:v>45802</x:v>
      </x:c>
      <x:c r="D526" t="str">
        <x:v>USR-00093</x:v>
      </x:c>
      <x:c r="E526" t="str">
        <x:v>DEU-000174</x:v>
      </x:c>
      <x:c r="F526" t="n">
        <x:v>61800</x:v>
      </x:c>
      <x:c r="G526" t="n">
        <x:v>48294.84</x:v>
      </x:c>
      <x:c r="H526" t="n">
        <x:v>13505.16</x:v>
      </x:c>
      <x:c r="I526" t="n">
        <x:v>2798733.74</x:v>
      </x:c>
      <x:c r="J526" t="str">
        <x:v>Parcial</x:v>
      </x:c>
    </x:row>
    <x:row r="527">
      <x:c r="A527" t="str">
        <x:v>ABO-0000526</x:v>
      </x:c>
      <x:c r="B527" t="str">
        <x:v>2025-05</x:v>
      </x:c>
      <x:c r="C527" t="n">
        <x:v>45791</x:v>
      </x:c>
      <x:c r="D527" t="str">
        <x:v>USR-00093</x:v>
      </x:c>
      <x:c r="E527" t="str">
        <x:v>DEU-000175</x:v>
      </x:c>
      <x:c r="F527" t="n">
        <x:v>314300</x:v>
      </x:c>
      <x:c r="G527" t="n">
        <x:v>198948.63</x:v>
      </x:c>
      <x:c r="H527" t="n">
        <x:v>115351.37</x:v>
      </x:c>
      <x:c r="I527" t="n">
        <x:v>11299839.9</x:v>
      </x:c>
      <x:c r="J527" t="str">
        <x:v>En fecha</x:v>
      </x:c>
    </x:row>
    <x:row r="528">
      <x:c r="A528" t="str">
        <x:v>ABO-0000527</x:v>
      </x:c>
      <x:c r="B528" t="str">
        <x:v>2025-05</x:v>
      </x:c>
      <x:c r="C528" t="n">
        <x:v>45792</x:v>
      </x:c>
      <x:c r="D528" t="str">
        <x:v>USR-00094</x:v>
      </x:c>
      <x:c r="E528" t="str">
        <x:v>DEU-000176</x:v>
      </x:c>
      <x:c r="F528" t="n">
        <x:v>499200</x:v>
      </x:c>
      <x:c r="G528" t="n">
        <x:v>91867.05</x:v>
      </x:c>
      <x:c r="H528" t="n">
        <x:v>407332.95</x:v>
      </x:c>
      <x:c r="I528" t="n">
        <x:v>6773372.42</x:v>
      </x:c>
      <x:c r="J528" t="str">
        <x:v>En fecha</x:v>
      </x:c>
    </x:row>
    <x:row r="529">
      <x:c r="A529" t="str">
        <x:v>ABO-0000528</x:v>
      </x:c>
      <x:c r="B529" t="str">
        <x:v>2025-05</x:v>
      </x:c>
      <x:c r="C529" t="n">
        <x:v>45795</x:v>
      </x:c>
      <x:c r="D529" t="str">
        <x:v>USR-00095</x:v>
      </x:c>
      <x:c r="E529" t="str">
        <x:v>DEU-000178</x:v>
      </x:c>
      <x:c r="F529" t="n">
        <x:v>295800</x:v>
      </x:c>
      <x:c r="G529" t="n">
        <x:v>149605.64</x:v>
      </x:c>
      <x:c r="H529" t="n">
        <x:v>146194.36</x:v>
      </x:c>
      <x:c r="I529" t="n">
        <x:v>7400965.8</x:v>
      </x:c>
      <x:c r="J529" t="str">
        <x:v>En fecha</x:v>
      </x:c>
    </x:row>
    <x:row r="530">
      <x:c r="A530" t="str">
        <x:v>ABO-0000529</x:v>
      </x:c>
      <x:c r="B530" t="str">
        <x:v>2025-05</x:v>
      </x:c>
      <x:c r="C530" t="n">
        <x:v>45781</x:v>
      </x:c>
      <x:c r="D530" t="str">
        <x:v>USR-00095</x:v>
      </x:c>
      <x:c r="E530" t="str">
        <x:v>DEU-000179</x:v>
      </x:c>
      <x:c r="F530" t="n">
        <x:v>2137900</x:v>
      </x:c>
      <x:c r="G530" t="n">
        <x:v>493262.87</x:v>
      </x:c>
      <x:c r="H530" t="n">
        <x:v>1644637.13</x:v>
      </x:c>
      <x:c r="I530" t="n">
        <x:v>41851972.5</x:v>
      </x:c>
      <x:c r="J530" t="str">
        <x:v>En fecha</x:v>
      </x:c>
    </x:row>
    <x:row r="531">
      <x:c r="A531" t="str">
        <x:v>ABO-0000530</x:v>
      </x:c>
      <x:c r="B531" t="str">
        <x:v>2025-05</x:v>
      </x:c>
      <x:c r="C531" t="n">
        <x:v>45789</x:v>
      </x:c>
      <x:c r="D531" t="str">
        <x:v>USR-00095</x:v>
      </x:c>
      <x:c r="E531" t="str">
        <x:v>DEU-000180</x:v>
      </x:c>
      <x:c r="F531" t="n">
        <x:v>291300</x:v>
      </x:c>
      <x:c r="G531" t="n">
        <x:v>72123.83</x:v>
      </x:c>
      <x:c r="H531" t="n">
        <x:v>219176.17</x:v>
      </x:c>
      <x:c r="I531" t="n">
        <x:v>4122576.42</x:v>
      </x:c>
      <x:c r="J531" t="str">
        <x:v>En fecha</x:v>
      </x:c>
    </x:row>
    <x:row r="532">
      <x:c r="A532" t="str">
        <x:v>ABO-0000531</x:v>
      </x:c>
      <x:c r="B532" t="str">
        <x:v>2025-05</x:v>
      </x:c>
      <x:c r="C532" t="n">
        <x:v>45784</x:v>
      </x:c>
      <x:c r="D532" t="str">
        <x:v>USR-00095</x:v>
      </x:c>
      <x:c r="E532" t="str">
        <x:v>DEU-000181</x:v>
      </x:c>
      <x:c r="F532" t="n">
        <x:v>871000</x:v>
      </x:c>
      <x:c r="G532" t="n">
        <x:v>332518.66</x:v>
      </x:c>
      <x:c r="H532" t="n">
        <x:v>538481.34</x:v>
      </x:c>
      <x:c r="I532" t="n">
        <x:v>20448851.14</x:v>
      </x:c>
      <x:c r="J532" t="str">
        <x:v>En fecha</x:v>
      </x:c>
    </x:row>
    <x:row r="533">
      <x:c r="A533" t="str">
        <x:v>ABO-0000532</x:v>
      </x:c>
      <x:c r="B533" t="str">
        <x:v>2025-05</x:v>
      </x:c>
      <x:c r="C533" t="n">
        <x:v>45799</x:v>
      </x:c>
      <x:c r="D533" t="str">
        <x:v>USR-00097</x:v>
      </x:c>
      <x:c r="E533" t="str">
        <x:v>DEU-000184</x:v>
      </x:c>
      <x:c r="F533" t="n">
        <x:v>3528500</x:v>
      </x:c>
      <x:c r="G533" t="n">
        <x:v>327469.15</x:v>
      </x:c>
      <x:c r="H533" t="n">
        <x:v>3201030.85</x:v>
      </x:c>
      <x:c r="I533" t="n">
        <x:v>28061121.32</x:v>
      </x:c>
      <x:c r="J533" t="str">
        <x:v>En fecha</x:v>
      </x:c>
    </x:row>
    <x:row r="534">
      <x:c r="A534" t="str">
        <x:v>ABO-0000533</x:v>
      </x:c>
      <x:c r="B534" t="str">
        <x:v>2025-05</x:v>
      </x:c>
      <x:c r="C534" t="n">
        <x:v>45783</x:v>
      </x:c>
      <x:c r="D534" t="str">
        <x:v>USR-00098</x:v>
      </x:c>
      <x:c r="E534" t="str">
        <x:v>DEU-000186</x:v>
      </x:c>
      <x:c r="F534" t="n">
        <x:v>2518200</x:v>
      </x:c>
      <x:c r="G534" t="n">
        <x:v>468907.97</x:v>
      </x:c>
      <x:c r="H534" t="n">
        <x:v>2049292.03</x:v>
      </x:c>
      <x:c r="I534" t="n">
        <x:v>20240467.58</x:v>
      </x:c>
      <x:c r="J534" t="str">
        <x:v>En fecha</x:v>
      </x:c>
    </x:row>
    <x:row r="535">
      <x:c r="A535" t="str">
        <x:v>ABO-0000534</x:v>
      </x:c>
      <x:c r="B535" t="str">
        <x:v>2025-05</x:v>
      </x:c>
      <x:c r="C535" t="n">
        <x:v>45803</x:v>
      </x:c>
      <x:c r="D535" t="str">
        <x:v>USR-00098</x:v>
      </x:c>
      <x:c r="E535" t="str">
        <x:v>DEU-000187</x:v>
      </x:c>
      <x:c r="F535" t="n">
        <x:v>173400</x:v>
      </x:c>
      <x:c r="G535" t="n">
        <x:v>46204.55</x:v>
      </x:c>
      <x:c r="H535" t="n">
        <x:v>127195.45</x:v>
      </x:c>
      <x:c r="I535" t="n">
        <x:v>3085655.72</x:v>
      </x:c>
      <x:c r="J535" t="str">
        <x:v>En fecha</x:v>
      </x:c>
    </x:row>
    <x:row r="536">
      <x:c r="A536" t="str">
        <x:v>ABO-0000535</x:v>
      </x:c>
      <x:c r="B536" t="str">
        <x:v>2025-05</x:v>
      </x:c>
      <x:c r="C536" t="n">
        <x:v>45778</x:v>
      </x:c>
      <x:c r="D536" t="str">
        <x:v>USR-00099</x:v>
      </x:c>
      <x:c r="E536" t="str">
        <x:v>DEU-000188</x:v>
      </x:c>
      <x:c r="F536" t="n">
        <x:v>489800</x:v>
      </x:c>
      <x:c r="G536" t="n">
        <x:v>310828.93</x:v>
      </x:c>
      <x:c r="H536" t="n">
        <x:v>178971.07</x:v>
      </x:c>
      <x:c r="I536" t="n">
        <x:v>25945462.05</x:v>
      </x:c>
      <x:c r="J536" t="str">
        <x:v>Parcial</x:v>
      </x:c>
    </x:row>
    <x:row r="537">
      <x:c r="A537" t="str">
        <x:v>ABO-0000536</x:v>
      </x:c>
      <x:c r="B537" t="str">
        <x:v>2025-05</x:v>
      </x:c>
      <x:c r="C537" t="n">
        <x:v>45790</x:v>
      </x:c>
      <x:c r="D537" t="str">
        <x:v>USR-00099</x:v>
      </x:c>
      <x:c r="E537" t="str">
        <x:v>DEU-000189</x:v>
      </x:c>
      <x:c r="F537" t="n">
        <x:v>478500</x:v>
      </x:c>
      <x:c r="G537" t="n">
        <x:v>96801.97</x:v>
      </x:c>
      <x:c r="H537" t="n">
        <x:v>381698.03</x:v>
      </x:c>
      <x:c r="I537" t="n">
        <x:v>4120780.59</x:v>
      </x:c>
      <x:c r="J537" t="str">
        <x:v>En fecha</x:v>
      </x:c>
    </x:row>
    <x:row r="538">
      <x:c r="A538" t="str">
        <x:v>ABO-0000537</x:v>
      </x:c>
      <x:c r="B538" t="str">
        <x:v>2025-05</x:v>
      </x:c>
      <x:c r="C538" t="n">
        <x:v>45792</x:v>
      </x:c>
      <x:c r="D538" t="str">
        <x:v>USR-00100</x:v>
      </x:c>
      <x:c r="E538" t="str">
        <x:v>DEU-000190</x:v>
      </x:c>
      <x:c r="F538" t="n">
        <x:v>506200</x:v>
      </x:c>
      <x:c r="G538" t="n">
        <x:v>299460.61</x:v>
      </x:c>
      <x:c r="H538" t="n">
        <x:v>206739.39</x:v>
      </x:c>
      <x:c r="I538" t="n">
        <x:v>13054575.76</x:v>
      </x:c>
      <x:c r="J538" t="str">
        <x:v>Parcial</x:v>
      </x:c>
    </x:row>
    <x:row r="539">
      <x:c r="A539" t="str">
        <x:v>ABO-0000538</x:v>
      </x:c>
      <x:c r="B539" t="str">
        <x:v>2025-05</x:v>
      </x:c>
      <x:c r="C539" t="n">
        <x:v>45795</x:v>
      </x:c>
      <x:c r="D539" t="str">
        <x:v>USR-00100</x:v>
      </x:c>
      <x:c r="E539" t="str">
        <x:v>DEU-000191</x:v>
      </x:c>
      <x:c r="F539" t="n">
        <x:v>734600</x:v>
      </x:c>
      <x:c r="G539" t="n">
        <x:v>214442.15</x:v>
      </x:c>
      <x:c r="H539" t="n">
        <x:v>520157.85</x:v>
      </x:c>
      <x:c r="I539" t="n">
        <x:v>9830242.32</x:v>
      </x:c>
      <x:c r="J539" t="str">
        <x:v>En fecha</x:v>
      </x:c>
    </x:row>
    <x:row r="540">
      <x:c r="A540" t="str">
        <x:v>ABO-0000539</x:v>
      </x:c>
      <x:c r="B540" t="str">
        <x:v>2025-05</x:v>
      </x:c>
      <x:c r="C540" t="n">
        <x:v>45803</x:v>
      </x:c>
      <x:c r="D540" t="str">
        <x:v>USR-00101</x:v>
      </x:c>
      <x:c r="E540" t="str">
        <x:v>DEU-000193</x:v>
      </x:c>
      <x:c r="F540" t="n">
        <x:v>1332700</x:v>
      </x:c>
      <x:c r="G540" t="n">
        <x:v>859802.74</x:v>
      </x:c>
      <x:c r="H540" t="n">
        <x:v>472897.26</x:v>
      </x:c>
      <x:c r="I540" t="n">
        <x:v>38104515.5</x:v>
      </x:c>
      <x:c r="J540" t="str">
        <x:v>En fecha</x:v>
      </x:c>
    </x:row>
    <x:row r="541">
      <x:c r="A541" t="str">
        <x:v>ABO-0000540</x:v>
      </x:c>
      <x:c r="B541" t="str">
        <x:v>2025-05</x:v>
      </x:c>
      <x:c r="C541" t="n">
        <x:v>45784</x:v>
      </x:c>
      <x:c r="D541" t="str">
        <x:v>USR-00101</x:v>
      </x:c>
      <x:c r="E541" t="str">
        <x:v>DEU-000196</x:v>
      </x:c>
      <x:c r="F541" t="n">
        <x:v>215200</x:v>
      </x:c>
      <x:c r="G541" t="n">
        <x:v>115535.33</x:v>
      </x:c>
      <x:c r="H541" t="n">
        <x:v>99664.67</x:v>
      </x:c>
      <x:c r="I541" t="n">
        <x:v>5556854.51</x:v>
      </x:c>
      <x:c r="J541" t="str">
        <x:v>En fecha</x:v>
      </x:c>
    </x:row>
    <x:row r="542">
      <x:c r="A542" t="str">
        <x:v>ABO-0000541</x:v>
      </x:c>
      <x:c r="B542" t="str">
        <x:v>2025-05</x:v>
      </x:c>
      <x:c r="C542" t="n">
        <x:v>45800</x:v>
      </x:c>
      <x:c r="D542" t="str">
        <x:v>USR-00102</x:v>
      </x:c>
      <x:c r="E542" t="str">
        <x:v>DEU-000197</x:v>
      </x:c>
      <x:c r="F542" t="n">
        <x:v>217200</x:v>
      </x:c>
      <x:c r="G542" t="n">
        <x:v>57506</x:v>
      </x:c>
      <x:c r="H542" t="n">
        <x:v>159694</x:v>
      </x:c>
      <x:c r="I542" t="n">
        <x:v>2951501.78</x:v>
      </x:c>
      <x:c r="J542" t="str">
        <x:v>En fecha</x:v>
      </x:c>
    </x:row>
    <x:row r="543">
      <x:c r="A543" t="str">
        <x:v>ABO-0000542</x:v>
      </x:c>
      <x:c r="B543" t="str">
        <x:v>2025-05</x:v>
      </x:c>
      <x:c r="C543" t="n">
        <x:v>45795</x:v>
      </x:c>
      <x:c r="D543" t="str">
        <x:v>USR-00102</x:v>
      </x:c>
      <x:c r="E543" t="str">
        <x:v>DEU-000198</x:v>
      </x:c>
      <x:c r="F543" t="n">
        <x:v>1288700</x:v>
      </x:c>
      <x:c r="G543" t="n">
        <x:v>212577.46</x:v>
      </x:c>
      <x:c r="H543" t="n">
        <x:v>1076122.54</x:v>
      </x:c>
      <x:c r="I543" t="n">
        <x:v>11073039.99</x:v>
      </x:c>
      <x:c r="J543" t="str">
        <x:v>En fecha</x:v>
      </x:c>
    </x:row>
    <x:row r="544">
      <x:c r="A544" t="str">
        <x:v>ABO-0000543</x:v>
      </x:c>
      <x:c r="B544" t="str">
        <x:v>2025-05</x:v>
      </x:c>
      <x:c r="C544" t="n">
        <x:v>45795</x:v>
      </x:c>
      <x:c r="D544" t="str">
        <x:v>USR-00103</x:v>
      </x:c>
      <x:c r="E544" t="str">
        <x:v>DEU-000199</x:v>
      </x:c>
      <x:c r="F544" t="n">
        <x:v>750300</x:v>
      </x:c>
      <x:c r="G544" t="n">
        <x:v>176217.34</x:v>
      </x:c>
      <x:c r="H544" t="n">
        <x:v>574082.66</x:v>
      </x:c>
      <x:c r="I544" t="n">
        <x:v>8862358.65</x:v>
      </x:c>
      <x:c r="J544" t="str">
        <x:v>Parcial</x:v>
      </x:c>
    </x:row>
    <x:row r="545">
      <x:c r="A545" t="str">
        <x:v>ABO-0000544</x:v>
      </x:c>
      <x:c r="B545" t="str">
        <x:v>2025-05</x:v>
      </x:c>
      <x:c r="C545" t="n">
        <x:v>45801</x:v>
      </x:c>
      <x:c r="D545" t="str">
        <x:v>USR-00103</x:v>
      </x:c>
      <x:c r="E545" t="str">
        <x:v>DEU-000200</x:v>
      </x:c>
      <x:c r="F545" t="n">
        <x:v>443200</x:v>
      </x:c>
      <x:c r="G545" t="n">
        <x:v>200843.84</x:v>
      </x:c>
      <x:c r="H545" t="n">
        <x:v>242356.16</x:v>
      </x:c>
      <x:c r="I545" t="n">
        <x:v>7913660.72</x:v>
      </x:c>
      <x:c r="J545" t="str">
        <x:v>En fecha</x:v>
      </x:c>
    </x:row>
    <x:row r="546">
      <x:c r="A546" t="str">
        <x:v>ABO-0000545</x:v>
      </x:c>
      <x:c r="B546" t="str">
        <x:v>2025-05</x:v>
      </x:c>
      <x:c r="C546" t="n">
        <x:v>45784</x:v>
      </x:c>
      <x:c r="D546" t="str">
        <x:v>USR-00105</x:v>
      </x:c>
      <x:c r="E546" t="str">
        <x:v>DEU-000203</x:v>
      </x:c>
      <x:c r="F546" t="n">
        <x:v>83300</x:v>
      </x:c>
      <x:c r="G546" t="n">
        <x:v>47258.09</x:v>
      </x:c>
      <x:c r="H546" t="n">
        <x:v>36041.91</x:v>
      </x:c>
      <x:c r="I546" t="n">
        <x:v>1896574.84</x:v>
      </x:c>
      <x:c r="J546" t="str">
        <x:v>En fecha</x:v>
      </x:c>
    </x:row>
    <x:row r="547">
      <x:c r="A547" t="str">
        <x:v>ABO-0000546</x:v>
      </x:c>
      <x:c r="B547" t="str">
        <x:v>2025-05</x:v>
      </x:c>
      <x:c r="C547" t="n">
        <x:v>45791</x:v>
      </x:c>
      <x:c r="D547" t="str">
        <x:v>USR-00106</x:v>
      </x:c>
      <x:c r="E547" t="str">
        <x:v>DEU-000204</x:v>
      </x:c>
      <x:c r="F547" t="n">
        <x:v>187800</x:v>
      </x:c>
      <x:c r="G547" t="n">
        <x:v>90909.61</x:v>
      </x:c>
      <x:c r="H547" t="n">
        <x:v>96890.39</x:v>
      </x:c>
      <x:c r="I547" t="n">
        <x:v>3884194.45</x:v>
      </x:c>
      <x:c r="J547" t="str">
        <x:v>En fecha</x:v>
      </x:c>
    </x:row>
    <x:row r="548">
      <x:c r="A548" t="str">
        <x:v>ABO-0000547</x:v>
      </x:c>
      <x:c r="B548" t="str">
        <x:v>2025-05</x:v>
      </x:c>
      <x:c r="C548" t="n">
        <x:v>45794</x:v>
      </x:c>
      <x:c r="D548" t="str">
        <x:v>USR-00106</x:v>
      </x:c>
      <x:c r="E548" t="str">
        <x:v>DEU-000205</x:v>
      </x:c>
      <x:c r="F548" t="n">
        <x:v>226000</x:v>
      </x:c>
      <x:c r="G548" t="n">
        <x:v>113675.3</x:v>
      </x:c>
      <x:c r="H548" t="n">
        <x:v>112324.7</x:v>
      </x:c>
      <x:c r="I548" t="n">
        <x:v>4436869.77</x:v>
      </x:c>
      <x:c r="J548" t="str">
        <x:v>En fecha</x:v>
      </x:c>
    </x:row>
    <x:row r="549">
      <x:c r="A549" t="str">
        <x:v>ABO-0000548</x:v>
      </x:c>
      <x:c r="B549" t="str">
        <x:v>2025-05</x:v>
      </x:c>
      <x:c r="C549" t="n">
        <x:v>45798</x:v>
      </x:c>
      <x:c r="D549" t="str">
        <x:v>USR-00107</x:v>
      </x:c>
      <x:c r="E549" t="str">
        <x:v>DEU-000206</x:v>
      </x:c>
      <x:c r="F549" t="n">
        <x:v>237000</x:v>
      </x:c>
      <x:c r="G549" t="n">
        <x:v>132653.4</x:v>
      </x:c>
      <x:c r="H549" t="n">
        <x:v>104346.6</x:v>
      </x:c>
      <x:c r="I549" t="n">
        <x:v>6193459.35</x:v>
      </x:c>
      <x:c r="J549" t="str">
        <x:v>Parcial</x:v>
      </x:c>
    </x:row>
    <x:row r="550">
      <x:c r="A550" t="str">
        <x:v>ABO-0000549</x:v>
      </x:c>
      <x:c r="B550" t="str">
        <x:v>2025-05</x:v>
      </x:c>
      <x:c r="C550" t="n">
        <x:v>45793</x:v>
      </x:c>
      <x:c r="D550" t="str">
        <x:v>USR-00108</x:v>
      </x:c>
      <x:c r="E550" t="str">
        <x:v>DEU-000208</x:v>
      </x:c>
      <x:c r="F550" t="n">
        <x:v>302100</x:v>
      </x:c>
      <x:c r="G550" t="n">
        <x:v>34984.1</x:v>
      </x:c>
      <x:c r="H550" t="n">
        <x:v>267115.9</x:v>
      </x:c>
      <x:c r="I550" t="n">
        <x:v>2793998.32</x:v>
      </x:c>
      <x:c r="J550" t="str">
        <x:v>En fecha</x:v>
      </x:c>
    </x:row>
    <x:row r="551">
      <x:c r="A551" t="str">
        <x:v>ABO-0000550</x:v>
      </x:c>
      <x:c r="B551" t="str">
        <x:v>2025-05</x:v>
      </x:c>
      <x:c r="C551" t="n">
        <x:v>45795</x:v>
      </x:c>
      <x:c r="D551" t="str">
        <x:v>USR-00110</x:v>
      </x:c>
      <x:c r="E551" t="str">
        <x:v>DEU-000212</x:v>
      </x:c>
      <x:c r="F551" t="n">
        <x:v>709000</x:v>
      </x:c>
      <x:c r="G551" t="n">
        <x:v>89699.84</x:v>
      </x:c>
      <x:c r="H551" t="n">
        <x:v>619300.16</x:v>
      </x:c>
      <x:c r="I551" t="n">
        <x:v>7389406.14</x:v>
      </x:c>
      <x:c r="J551" t="str">
        <x:v>En fecha</x:v>
      </x:c>
    </x:row>
    <x:row r="552">
      <x:c r="A552" t="str">
        <x:v>ABO-0000551</x:v>
      </x:c>
      <x:c r="B552" t="str">
        <x:v>2025-05</x:v>
      </x:c>
      <x:c r="C552" t="n">
        <x:v>45787</x:v>
      </x:c>
      <x:c r="D552" t="str">
        <x:v>USR-00111</x:v>
      </x:c>
      <x:c r="E552" t="str">
        <x:v>DEU-000214</x:v>
      </x:c>
      <x:c r="F552" t="n">
        <x:v>465900</x:v>
      </x:c>
      <x:c r="G552" t="n">
        <x:v>338821.69</x:v>
      </x:c>
      <x:c r="H552" t="n">
        <x:v>127078.31</x:v>
      </x:c>
      <x:c r="I552" t="n">
        <x:v>16024781.86</x:v>
      </x:c>
      <x:c r="J552" t="str">
        <x:v>En fecha</x:v>
      </x:c>
    </x:row>
    <x:row r="553">
      <x:c r="A553" t="str">
        <x:v>ABO-0000552</x:v>
      </x:c>
      <x:c r="B553" t="str">
        <x:v>2025-05</x:v>
      </x:c>
      <x:c r="C553" t="n">
        <x:v>45801</x:v>
      </x:c>
      <x:c r="D553" t="str">
        <x:v>USR-00112</x:v>
      </x:c>
      <x:c r="E553" t="str">
        <x:v>DEU-000215</x:v>
      </x:c>
      <x:c r="F553" t="n">
        <x:v>446800</x:v>
      </x:c>
      <x:c r="G553" t="n">
        <x:v>88086.61</x:v>
      </x:c>
      <x:c r="H553" t="n">
        <x:v>358713.39</x:v>
      </x:c>
      <x:c r="I553" t="n">
        <x:v>4009663.56</x:v>
      </x:c>
      <x:c r="J553" t="str">
        <x:v>En fecha</x:v>
      </x:c>
    </x:row>
    <x:row r="554">
      <x:c r="A554" t="str">
        <x:v>ABO-0000553</x:v>
      </x:c>
      <x:c r="B554" t="str">
        <x:v>2025-05</x:v>
      </x:c>
      <x:c r="C554" t="n">
        <x:v>45801</x:v>
      </x:c>
      <x:c r="D554" t="str">
        <x:v>USR-00113</x:v>
      </x:c>
      <x:c r="E554" t="str">
        <x:v>DEU-000216</x:v>
      </x:c>
      <x:c r="F554" t="n">
        <x:v>76000</x:v>
      </x:c>
      <x:c r="G554" t="n">
        <x:v>45203.06</x:v>
      </x:c>
      <x:c r="H554" t="n">
        <x:v>30796.94</x:v>
      </x:c>
      <x:c r="I554" t="n">
        <x:v>1913379.01</x:v>
      </x:c>
      <x:c r="J554" t="str">
        <x:v>En fecha</x:v>
      </x:c>
    </x:row>
    <x:row r="555">
      <x:c r="A555" t="str">
        <x:v>ABO-0000554</x:v>
      </x:c>
      <x:c r="B555" t="str">
        <x:v>2025-05</x:v>
      </x:c>
      <x:c r="C555" t="n">
        <x:v>45787</x:v>
      </x:c>
      <x:c r="D555" t="str">
        <x:v>USR-00114</x:v>
      </x:c>
      <x:c r="E555" t="str">
        <x:v>DEU-000217</x:v>
      </x:c>
      <x:c r="F555" t="n">
        <x:v>164200</x:v>
      </x:c>
      <x:c r="G555" t="n">
        <x:v>123802.31</x:v>
      </x:c>
      <x:c r="H555" t="n">
        <x:v>40397.69</x:v>
      </x:c>
      <x:c r="I555" t="n">
        <x:v>5110152.86</x:v>
      </x:c>
      <x:c r="J555" t="str">
        <x:v>En fecha</x:v>
      </x:c>
    </x:row>
    <x:row r="556">
      <x:c r="A556" t="str">
        <x:v>ABO-0000555</x:v>
      </x:c>
      <x:c r="B556" t="str">
        <x:v>2025-05</x:v>
      </x:c>
      <x:c r="C556" t="n">
        <x:v>45779</x:v>
      </x:c>
      <x:c r="D556" t="str">
        <x:v>USR-00114</x:v>
      </x:c>
      <x:c r="E556" t="str">
        <x:v>DEU-000218</x:v>
      </x:c>
      <x:c r="F556" t="n">
        <x:v>509000</x:v>
      </x:c>
      <x:c r="G556" t="n">
        <x:v>136519.79</x:v>
      </x:c>
      <x:c r="H556" t="n">
        <x:v>372480.21</x:v>
      </x:c>
      <x:c r="I556" t="n">
        <x:v>6991818.96</x:v>
      </x:c>
      <x:c r="J556" t="str">
        <x:v>En fecha</x:v>
      </x:c>
    </x:row>
    <x:row r="557">
      <x:c r="A557" t="str">
        <x:v>ABO-0000556</x:v>
      </x:c>
      <x:c r="B557" t="str">
        <x:v>2025-05</x:v>
      </x:c>
      <x:c r="C557" t="n">
        <x:v>45793</x:v>
      </x:c>
      <x:c r="D557" t="str">
        <x:v>USR-00115</x:v>
      </x:c>
      <x:c r="E557" t="str">
        <x:v>DEU-000219</x:v>
      </x:c>
      <x:c r="F557" t="n">
        <x:v>835500</x:v>
      </x:c>
      <x:c r="G557" t="n">
        <x:v>251586.49</x:v>
      </x:c>
      <x:c r="H557" t="n">
        <x:v>583913.51</x:v>
      </x:c>
      <x:c r="I557" t="n">
        <x:v>23868119.67</x:v>
      </x:c>
      <x:c r="J557" t="str">
        <x:v>En fecha</x:v>
      </x:c>
    </x:row>
    <x:row r="558">
      <x:c r="A558" t="str">
        <x:v>ABO-0000557</x:v>
      </x:c>
      <x:c r="B558" t="str">
        <x:v>2025-05</x:v>
      </x:c>
      <x:c r="C558" t="n">
        <x:v>45782</x:v>
      </x:c>
      <x:c r="D558" t="str">
        <x:v>USR-00115</x:v>
      </x:c>
      <x:c r="E558" t="str">
        <x:v>DEU-000220</x:v>
      </x:c>
      <x:c r="F558" t="n">
        <x:v>1054200</x:v>
      </x:c>
      <x:c r="G558" t="n">
        <x:v>200625.09</x:v>
      </x:c>
      <x:c r="H558" t="n">
        <x:v>853574.91</x:v>
      </x:c>
      <x:c r="I558" t="n">
        <x:v>12695305.07</x:v>
      </x:c>
      <x:c r="J558" t="str">
        <x:v>Parcial</x:v>
      </x:c>
    </x:row>
    <x:row r="559">
      <x:c r="A559" t="str">
        <x:v>ABO-0000558</x:v>
      </x:c>
      <x:c r="B559" t="str">
        <x:v>2025-05</x:v>
      </x:c>
      <x:c r="C559" t="n">
        <x:v>45801</x:v>
      </x:c>
      <x:c r="D559" t="str">
        <x:v>USR-00116</x:v>
      </x:c>
      <x:c r="E559" t="str">
        <x:v>DEU-000221</x:v>
      </x:c>
      <x:c r="F559" t="n">
        <x:v>189300</x:v>
      </x:c>
      <x:c r="G559" t="n">
        <x:v>114892.88</x:v>
      </x:c>
      <x:c r="H559" t="n">
        <x:v>74407.12</x:v>
      </x:c>
      <x:c r="I559" t="n">
        <x:v>5526884.85</x:v>
      </x:c>
      <x:c r="J559" t="str">
        <x:v>En fecha</x:v>
      </x:c>
    </x:row>
    <x:row r="560">
      <x:c r="A560" t="str">
        <x:v>ABO-0000559</x:v>
      </x:c>
      <x:c r="B560" t="str">
        <x:v>2025-05</x:v>
      </x:c>
      <x:c r="C560" t="n">
        <x:v>45797</x:v>
      </x:c>
      <x:c r="D560" t="str">
        <x:v>USR-00117</x:v>
      </x:c>
      <x:c r="E560" t="str">
        <x:v>DEU-000222</x:v>
      </x:c>
      <x:c r="F560" t="n">
        <x:v>104100</x:v>
      </x:c>
      <x:c r="G560" t="n">
        <x:v>46586.77</x:v>
      </x:c>
      <x:c r="H560" t="n">
        <x:v>57513.23</x:v>
      </x:c>
      <x:c r="I560" t="n">
        <x:v>2196138.36</x:v>
      </x:c>
      <x:c r="J560" t="str">
        <x:v>En fecha</x:v>
      </x:c>
    </x:row>
    <x:row r="561">
      <x:c r="A561" t="str">
        <x:v>ABO-0000560</x:v>
      </x:c>
      <x:c r="B561" t="str">
        <x:v>2025-05</x:v>
      </x:c>
      <x:c r="C561" t="n">
        <x:v>45779</x:v>
      </x:c>
      <x:c r="D561" t="str">
        <x:v>USR-00118</x:v>
      </x:c>
      <x:c r="E561" t="str">
        <x:v>DEU-000223</x:v>
      </x:c>
      <x:c r="F561" t="n">
        <x:v>613800</x:v>
      </x:c>
      <x:c r="G561" t="n">
        <x:v>207299.71</x:v>
      </x:c>
      <x:c r="H561" t="n">
        <x:v>406500.29</x:v>
      </x:c>
      <x:c r="I561" t="n">
        <x:v>11817342.52</x:v>
      </x:c>
      <x:c r="J561" t="str">
        <x:v>En fecha</x:v>
      </x:c>
    </x:row>
    <x:row r="562">
      <x:c r="A562" t="str">
        <x:v>ABO-0000561</x:v>
      </x:c>
      <x:c r="B562" t="str">
        <x:v>2025-05</x:v>
      </x:c>
      <x:c r="C562" t="n">
        <x:v>45787</x:v>
      </x:c>
      <x:c r="D562" t="str">
        <x:v>USR-00120</x:v>
      </x:c>
      <x:c r="E562" t="str">
        <x:v>DEU-000226</x:v>
      </x:c>
      <x:c r="F562" t="n">
        <x:v>78800</x:v>
      </x:c>
      <x:c r="G562" t="n">
        <x:v>50406.81</x:v>
      </x:c>
      <x:c r="H562" t="n">
        <x:v>28393.19</x:v>
      </x:c>
      <x:c r="I562" t="n">
        <x:v>2889227.5</x:v>
      </x:c>
      <x:c r="J562" t="str">
        <x:v>En fecha</x:v>
      </x:c>
    </x:row>
    <x:row r="563">
      <x:c r="A563" t="str">
        <x:v>ABO-0000562</x:v>
      </x:c>
      <x:c r="B563" t="str">
        <x:v>2025-05</x:v>
      </x:c>
      <x:c r="C563" t="n">
        <x:v>45779</x:v>
      </x:c>
      <x:c r="D563" t="str">
        <x:v>USR-00120</x:v>
      </x:c>
      <x:c r="E563" t="str">
        <x:v>DEU-000227</x:v>
      </x:c>
      <x:c r="F563" t="n">
        <x:v>630300</x:v>
      </x:c>
      <x:c r="G563" t="n">
        <x:v>297235.39</x:v>
      </x:c>
      <x:c r="H563" t="n">
        <x:v>333064.61</x:v>
      </x:c>
      <x:c r="I563" t="n">
        <x:v>13800611.64</x:v>
      </x:c>
      <x:c r="J563" t="str">
        <x:v>Parcial</x:v>
      </x:c>
    </x:row>
    <x:row r="564">
      <x:c r="A564" t="str">
        <x:v>ABO-0000563</x:v>
      </x:c>
      <x:c r="B564" t="str">
        <x:v>2025-05</x:v>
      </x:c>
      <x:c r="C564" t="n">
        <x:v>45794</x:v>
      </x:c>
      <x:c r="D564" t="str">
        <x:v>USR-00121</x:v>
      </x:c>
      <x:c r="E564" t="str">
        <x:v>DEU-000228</x:v>
      </x:c>
      <x:c r="F564" t="n">
        <x:v>172000</x:v>
      </x:c>
      <x:c r="G564" t="n">
        <x:v>112034.2</x:v>
      </x:c>
      <x:c r="H564" t="n">
        <x:v>59965.8</x:v>
      </x:c>
      <x:c r="I564" t="n">
        <x:v>4881397.85</x:v>
      </x:c>
      <x:c r="J564" t="str">
        <x:v>En fecha</x:v>
      </x:c>
    </x:row>
    <x:row r="565">
      <x:c r="A565" t="str">
        <x:v>ABO-0000564</x:v>
      </x:c>
      <x:c r="B565" t="str">
        <x:v>2025-05</x:v>
      </x:c>
      <x:c r="C565" t="n">
        <x:v>45781</x:v>
      </x:c>
      <x:c r="D565" t="str">
        <x:v>USR-00122</x:v>
      </x:c>
      <x:c r="E565" t="str">
        <x:v>DEU-000230</x:v>
      </x:c>
      <x:c r="F565" t="n">
        <x:v>4540800</x:v>
      </x:c>
      <x:c r="G565" t="n">
        <x:v>586299.99</x:v>
      </x:c>
      <x:c r="H565" t="n">
        <x:v>3954500.01</x:v>
      </x:c>
      <x:c r="I565" t="n">
        <x:v>28435499.99</x:v>
      </x:c>
      <x:c r="J565" t="str">
        <x:v>En fecha</x:v>
      </x:c>
    </x:row>
    <x:row r="566">
      <x:c r="A566" t="str">
        <x:v>ABO-0000565</x:v>
      </x:c>
      <x:c r="B566" t="str">
        <x:v>2025-05</x:v>
      </x:c>
      <x:c r="C566" t="n">
        <x:v>45790</x:v>
      </x:c>
      <x:c r="D566" t="str">
        <x:v>USR-00122</x:v>
      </x:c>
      <x:c r="E566" t="str">
        <x:v>DEU-000231</x:v>
      </x:c>
      <x:c r="F566" t="n">
        <x:v>611100</x:v>
      </x:c>
      <x:c r="G566" t="n">
        <x:v>285394.34</x:v>
      </x:c>
      <x:c r="H566" t="n">
        <x:v>325705.66</x:v>
      </x:c>
      <x:c r="I566" t="n">
        <x:v>13734294.34</x:v>
      </x:c>
      <x:c r="J566" t="str">
        <x:v>En fecha</x:v>
      </x:c>
    </x:row>
    <x:row r="567">
      <x:c r="A567" t="str">
        <x:v>ABO-0000566</x:v>
      </x:c>
      <x:c r="B567" t="str">
        <x:v>2025-05</x:v>
      </x:c>
      <x:c r="C567" t="n">
        <x:v>45793</x:v>
      </x:c>
      <x:c r="D567" t="str">
        <x:v>USR-00122</x:v>
      </x:c>
      <x:c r="E567" t="str">
        <x:v>DEU-000232</x:v>
      </x:c>
      <x:c r="F567" t="n">
        <x:v>133300</x:v>
      </x:c>
      <x:c r="G567" t="n">
        <x:v>54746.35</x:v>
      </x:c>
      <x:c r="H567" t="n">
        <x:v>78553.65</x:v>
      </x:c>
      <x:c r="I567" t="n">
        <x:v>4861446.35</x:v>
      </x:c>
      <x:c r="J567" t="str">
        <x:v>En fecha</x:v>
      </x:c>
    </x:row>
    <x:row r="568">
      <x:c r="A568" t="str">
        <x:v>ABO-0000567</x:v>
      </x:c>
      <x:c r="B568" t="str">
        <x:v>2025-05</x:v>
      </x:c>
      <x:c r="C568" t="n">
        <x:v>45798</x:v>
      </x:c>
      <x:c r="D568" t="str">
        <x:v>USR-00122</x:v>
      </x:c>
      <x:c r="E568" t="str">
        <x:v>DEU-000233</x:v>
      </x:c>
      <x:c r="F568" t="n">
        <x:v>264000</x:v>
      </x:c>
      <x:c r="G568" t="n">
        <x:v>101118.87</x:v>
      </x:c>
      <x:c r="H568" t="n">
        <x:v>162881.13</x:v>
      </x:c>
      <x:c r="I568" t="n">
        <x:v>8147118.87</x:v>
      </x:c>
      <x:c r="J568" t="str">
        <x:v>En fecha</x:v>
      </x:c>
    </x:row>
    <x:row r="569">
      <x:c r="A569" t="str">
        <x:v>ABO-0000568</x:v>
      </x:c>
      <x:c r="B569" t="str">
        <x:v>2025-05</x:v>
      </x:c>
      <x:c r="C569" t="n">
        <x:v>45790</x:v>
      </x:c>
      <x:c r="D569" t="str">
        <x:v>USR-00124</x:v>
      </x:c>
      <x:c r="E569" t="str">
        <x:v>DEU-000236</x:v>
      </x:c>
      <x:c r="F569" t="n">
        <x:v>168100</x:v>
      </x:c>
      <x:c r="G569" t="n">
        <x:v>162138.48</x:v>
      </x:c>
      <x:c r="H569" t="n">
        <x:v>5961.52</x:v>
      </x:c>
      <x:c r="I569" t="n">
        <x:v>7634038.48</x:v>
      </x:c>
      <x:c r="J569" t="str">
        <x:v>Parcial</x:v>
      </x:c>
    </x:row>
    <x:row r="570">
      <x:c r="A570" t="str">
        <x:v>ABO-0000569</x:v>
      </x:c>
      <x:c r="B570" t="str">
        <x:v>2025-05</x:v>
      </x:c>
      <x:c r="C570" t="n">
        <x:v>45796</x:v>
      </x:c>
      <x:c r="D570" t="str">
        <x:v>USR-00124</x:v>
      </x:c>
      <x:c r="E570" t="str">
        <x:v>DEU-000237</x:v>
      </x:c>
      <x:c r="F570" t="n">
        <x:v>285100</x:v>
      </x:c>
      <x:c r="G570" t="n">
        <x:v>66942.44</x:v>
      </x:c>
      <x:c r="H570" t="n">
        <x:v>218157.56</x:v>
      </x:c>
      <x:c r="I570" t="n">
        <x:v>7251842.44</x:v>
      </x:c>
      <x:c r="J570" t="str">
        <x:v>En fecha</x:v>
      </x:c>
    </x:row>
    <x:row r="571">
      <x:c r="A571" t="str">
        <x:v>ABO-0000570</x:v>
      </x:c>
      <x:c r="B571" t="str">
        <x:v>2025-05</x:v>
      </x:c>
      <x:c r="C571" t="n">
        <x:v>45800</x:v>
      </x:c>
      <x:c r="D571" t="str">
        <x:v>USR-00125</x:v>
      </x:c>
      <x:c r="E571" t="str">
        <x:v>DEU-000239</x:v>
      </x:c>
      <x:c r="F571" t="n">
        <x:v>1788300</x:v>
      </x:c>
      <x:c r="G571" t="n">
        <x:v>549360.96</x:v>
      </x:c>
      <x:c r="H571" t="n">
        <x:v>1238939.04</x:v>
      </x:c>
      <x:c r="I571" t="n">
        <x:v>25431060.96</x:v>
      </x:c>
      <x:c r="J571" t="str">
        <x:v>En fecha</x:v>
      </x:c>
    </x:row>
    <x:row r="572">
      <x:c r="A572" t="str">
        <x:v>ABO-0000571</x:v>
      </x:c>
      <x:c r="B572" t="str">
        <x:v>2025-05</x:v>
      </x:c>
      <x:c r="C572" t="n">
        <x:v>45779</x:v>
      </x:c>
      <x:c r="D572" t="str">
        <x:v>USR-00126</x:v>
      </x:c>
      <x:c r="E572" t="str">
        <x:v>DEU-000240</x:v>
      </x:c>
      <x:c r="F572" t="n">
        <x:v>457200</x:v>
      </x:c>
      <x:c r="G572" t="n">
        <x:v>128432.66</x:v>
      </x:c>
      <x:c r="H572" t="n">
        <x:v>328767.34</x:v>
      </x:c>
      <x:c r="I572" t="n">
        <x:v>11291232.66</x:v>
      </x:c>
      <x:c r="J572" t="str">
        <x:v>En fecha</x:v>
      </x:c>
    </x:row>
    <x:row r="573">
      <x:c r="A573" t="str">
        <x:v>ABO-0000572</x:v>
      </x:c>
      <x:c r="B573" t="str">
        <x:v>2025-05</x:v>
      </x:c>
      <x:c r="C573" t="n">
        <x:v>45794</x:v>
      </x:c>
      <x:c r="D573" t="str">
        <x:v>USR-00126</x:v>
      </x:c>
      <x:c r="E573" t="str">
        <x:v>DEU-000241</x:v>
      </x:c>
      <x:c r="F573" t="n">
        <x:v>174700</x:v>
      </x:c>
      <x:c r="G573" t="n">
        <x:v>103330.28</x:v>
      </x:c>
      <x:c r="H573" t="n">
        <x:v>71369.72</x:v>
      </x:c>
      <x:c r="I573" t="n">
        <x:v>4228630.28</x:v>
      </x:c>
      <x:c r="J573" t="str">
        <x:v>En fecha</x:v>
      </x:c>
    </x:row>
    <x:row r="574">
      <x:c r="A574" t="str">
        <x:v>ABO-0000573</x:v>
      </x:c>
      <x:c r="B574" t="str">
        <x:v>2025-05</x:v>
      </x:c>
      <x:c r="C574" t="n">
        <x:v>45802</x:v>
      </x:c>
      <x:c r="D574" t="str">
        <x:v>USR-00127</x:v>
      </x:c>
      <x:c r="E574" t="str">
        <x:v>DEU-000243</x:v>
      </x:c>
      <x:c r="F574" t="n">
        <x:v>67800</x:v>
      </x:c>
      <x:c r="G574" t="n">
        <x:v>39069.45</x:v>
      </x:c>
      <x:c r="H574" t="n">
        <x:v>28730.55</x:v>
      </x:c>
      <x:c r="I574" t="n">
        <x:v>2681269.45</x:v>
      </x:c>
      <x:c r="J574" t="str">
        <x:v>En fecha</x:v>
      </x:c>
    </x:row>
    <x:row r="575">
      <x:c r="A575" t="str">
        <x:v>ABO-0000574</x:v>
      </x:c>
      <x:c r="B575" t="str">
        <x:v>2025-05</x:v>
      </x:c>
      <x:c r="C575" t="n">
        <x:v>45792</x:v>
      </x:c>
      <x:c r="D575" t="str">
        <x:v>USR-00128</x:v>
      </x:c>
      <x:c r="E575" t="str">
        <x:v>DEU-000244</x:v>
      </x:c>
      <x:c r="F575" t="n">
        <x:v>626400</x:v>
      </x:c>
      <x:c r="G575" t="n">
        <x:v>167392.5</x:v>
      </x:c>
      <x:c r="H575" t="n">
        <x:v>459007.5</x:v>
      </x:c>
      <x:c r="I575" t="n">
        <x:v>9260992.5</x:v>
      </x:c>
      <x:c r="J575" t="str">
        <x:v>En fecha</x:v>
      </x:c>
    </x:row>
    <x:row r="576">
      <x:c r="A576" t="str">
        <x:v>ABO-0000575</x:v>
      </x:c>
      <x:c r="B576" t="str">
        <x:v>2025-05</x:v>
      </x:c>
      <x:c r="C576" t="n">
        <x:v>45792</x:v>
      </x:c>
      <x:c r="D576" t="str">
        <x:v>USR-00131</x:v>
      </x:c>
      <x:c r="E576" t="str">
        <x:v>DEU-000249</x:v>
      </x:c>
      <x:c r="F576" t="n">
        <x:v>269800</x:v>
      </x:c>
      <x:c r="G576" t="n">
        <x:v>105837.8</x:v>
      </x:c>
      <x:c r="H576" t="n">
        <x:v>163962.2</x:v>
      </x:c>
      <x:c r="I576" t="n">
        <x:v>5076037.8</x:v>
      </x:c>
      <x:c r="J576" t="str">
        <x:v>En fecha</x:v>
      </x:c>
    </x:row>
    <x:row r="577">
      <x:c r="A577" t="str">
        <x:v>ABO-0000576</x:v>
      </x:c>
      <x:c r="B577" t="str">
        <x:v>2025-05</x:v>
      </x:c>
      <x:c r="C577" t="n">
        <x:v>45784</x:v>
      </x:c>
      <x:c r="D577" t="str">
        <x:v>USR-00132</x:v>
      </x:c>
      <x:c r="E577" t="str">
        <x:v>DEU-000250</x:v>
      </x:c>
      <x:c r="F577" t="n">
        <x:v>456200</x:v>
      </x:c>
      <x:c r="G577" t="n">
        <x:v>312259.46</x:v>
      </x:c>
      <x:c r="H577" t="n">
        <x:v>143940.54</x:v>
      </x:c>
      <x:c r="I577" t="n">
        <x:v>15566059.46</x:v>
      </x:c>
      <x:c r="J577" t="str">
        <x:v>Parcial</x:v>
      </x:c>
    </x:row>
    <x:row r="578">
      <x:c r="A578" t="str">
        <x:v>ABO-0000577</x:v>
      </x:c>
      <x:c r="B578" t="str">
        <x:v>2025-05</x:v>
      </x:c>
      <x:c r="C578" t="n">
        <x:v>45791</x:v>
      </x:c>
      <x:c r="D578" t="str">
        <x:v>USR-00132</x:v>
      </x:c>
      <x:c r="E578" t="str">
        <x:v>DEU-000251</x:v>
      </x:c>
      <x:c r="F578" t="n">
        <x:v>532600</x:v>
      </x:c>
      <x:c r="G578" t="n">
        <x:v>127939.22</x:v>
      </x:c>
      <x:c r="H578" t="n">
        <x:v>404660.78</x:v>
      </x:c>
      <x:c r="I578" t="n">
        <x:v>6725339.22</x:v>
      </x:c>
      <x:c r="J578" t="str">
        <x:v>Parcial</x:v>
      </x:c>
    </x:row>
    <x:row r="579">
      <x:c r="A579" t="str">
        <x:v>ABO-0000578</x:v>
      </x:c>
      <x:c r="B579" t="str">
        <x:v>2025-05</x:v>
      </x:c>
      <x:c r="C579" t="n">
        <x:v>45785</x:v>
      </x:c>
      <x:c r="D579" t="str">
        <x:v>USR-00133</x:v>
      </x:c>
      <x:c r="E579" t="str">
        <x:v>DEU-000252</x:v>
      </x:c>
      <x:c r="F579" t="n">
        <x:v>206100</x:v>
      </x:c>
      <x:c r="G579" t="n">
        <x:v>74661.76</x:v>
      </x:c>
      <x:c r="H579" t="n">
        <x:v>131438.24</x:v>
      </x:c>
      <x:c r="I579" t="n">
        <x:v>3988561.76</x:v>
      </x:c>
      <x:c r="J579" t="str">
        <x:v>En fecha</x:v>
      </x:c>
    </x:row>
    <x:row r="580">
      <x:c r="A580" t="str">
        <x:v>ABO-0000579</x:v>
      </x:c>
      <x:c r="B580" t="str">
        <x:v>2025-05</x:v>
      </x:c>
      <x:c r="C580" t="n">
        <x:v>45782</x:v>
      </x:c>
      <x:c r="D580" t="str">
        <x:v>USR-00134</x:v>
      </x:c>
      <x:c r="E580" t="str">
        <x:v>DEU-000253</x:v>
      </x:c>
      <x:c r="F580" t="n">
        <x:v>192200</x:v>
      </x:c>
      <x:c r="G580" t="n">
        <x:v>56482.52</x:v>
      </x:c>
      <x:c r="H580" t="n">
        <x:v>135717.48</x:v>
      </x:c>
      <x:c r="I580" t="n">
        <x:v>3334282.52</x:v>
      </x:c>
      <x:c r="J580" t="str">
        <x:v>En fecha</x:v>
      </x:c>
    </x:row>
    <x:row r="581">
      <x:c r="A581" t="str">
        <x:v>ABO-0000580</x:v>
      </x:c>
      <x:c r="B581" t="str">
        <x:v>2025-05</x:v>
      </x:c>
      <x:c r="C581" t="n">
        <x:v>45798</x:v>
      </x:c>
      <x:c r="D581" t="str">
        <x:v>USR-00134</x:v>
      </x:c>
      <x:c r="E581" t="str">
        <x:v>DEU-000254</x:v>
      </x:c>
      <x:c r="F581" t="n">
        <x:v>160400</x:v>
      </x:c>
      <x:c r="G581" t="n">
        <x:v>50159.89</x:v>
      </x:c>
      <x:c r="H581" t="n">
        <x:v>110240.11</x:v>
      </x:c>
      <x:c r="I581" t="n">
        <x:v>5269759.89</x:v>
      </x:c>
      <x:c r="J581" t="str">
        <x:v>En fecha</x:v>
      </x:c>
    </x:row>
    <x:row r="582">
      <x:c r="A582" t="str">
        <x:v>ABO-0000581</x:v>
      </x:c>
      <x:c r="B582" t="str">
        <x:v>2025-05</x:v>
      </x:c>
      <x:c r="C582" t="n">
        <x:v>45795</x:v>
      </x:c>
      <x:c r="D582" t="str">
        <x:v>USR-00134</x:v>
      </x:c>
      <x:c r="E582" t="str">
        <x:v>DEU-000255</x:v>
      </x:c>
      <x:c r="F582" t="n">
        <x:v>215700</x:v>
      </x:c>
      <x:c r="G582" t="n">
        <x:v>125450.19</x:v>
      </x:c>
      <x:c r="H582" t="n">
        <x:v>90249.81</x:v>
      </x:c>
      <x:c r="I582" t="n">
        <x:v>7059750.19</x:v>
      </x:c>
      <x:c r="J582" t="str">
        <x:v>Parcial</x:v>
      </x:c>
    </x:row>
    <x:row r="583">
      <x:c r="A583" t="str">
        <x:v>ABO-0000582</x:v>
      </x:c>
      <x:c r="B583" t="str">
        <x:v>2025-05</x:v>
      </x:c>
      <x:c r="C583" t="n">
        <x:v>45799</x:v>
      </x:c>
      <x:c r="D583" t="str">
        <x:v>USR-00135</x:v>
      </x:c>
      <x:c r="E583" t="str">
        <x:v>DEU-000256</x:v>
      </x:c>
      <x:c r="F583" t="n">
        <x:v>398900</x:v>
      </x:c>
      <x:c r="G583" t="n">
        <x:v>48514.75</x:v>
      </x:c>
      <x:c r="H583" t="n">
        <x:v>350385.25</x:v>
      </x:c>
      <x:c r="I583" t="n">
        <x:v>3489614.75</x:v>
      </x:c>
      <x:c r="J583" t="str">
        <x:v>En fecha</x:v>
      </x:c>
    </x:row>
    <x:row r="584">
      <x:c r="A584" t="str">
        <x:v>ABO-0000583</x:v>
      </x:c>
      <x:c r="B584" t="str">
        <x:v>2025-05</x:v>
      </x:c>
      <x:c r="C584" t="n">
        <x:v>45803</x:v>
      </x:c>
      <x:c r="D584" t="str">
        <x:v>USR-00136</x:v>
      </x:c>
      <x:c r="E584" t="str">
        <x:v>DEU-000257</x:v>
      </x:c>
      <x:c r="F584" t="n">
        <x:v>36100</x:v>
      </x:c>
      <x:c r="G584" t="n">
        <x:v>18172.15</x:v>
      </x:c>
      <x:c r="H584" t="n">
        <x:v>17927.85</x:v>
      </x:c>
      <x:c r="I584" t="n">
        <x:v>1232072.15</x:v>
      </x:c>
      <x:c r="J584" t="str">
        <x:v>En fecha</x:v>
      </x:c>
    </x:row>
    <x:row r="585">
      <x:c r="A585" t="str">
        <x:v>ABO-0000584</x:v>
      </x:c>
      <x:c r="B585" t="str">
        <x:v>2025-05</x:v>
      </x:c>
      <x:c r="C585" t="n">
        <x:v>45789</x:v>
      </x:c>
      <x:c r="D585" t="str">
        <x:v>USR-00137</x:v>
      </x:c>
      <x:c r="E585" t="str">
        <x:v>DEU-000258</x:v>
      </x:c>
      <x:c r="F585" t="n">
        <x:v>145500</x:v>
      </x:c>
      <x:c r="G585" t="n">
        <x:v>22448.39</x:v>
      </x:c>
      <x:c r="H585" t="n">
        <x:v>123051.61</x:v>
      </x:c>
      <x:c r="I585" t="n">
        <x:v>2276948.39</x:v>
      </x:c>
      <x:c r="J585" t="str">
        <x:v>En fecha</x:v>
      </x:c>
    </x:row>
    <x:row r="586">
      <x:c r="A586" t="str">
        <x:v>ABO-0000585</x:v>
      </x:c>
      <x:c r="B586" t="str">
        <x:v>2025-05</x:v>
      </x:c>
      <x:c r="C586" t="n">
        <x:v>45803</x:v>
      </x:c>
      <x:c r="D586" t="str">
        <x:v>USR-00137</x:v>
      </x:c>
      <x:c r="E586" t="str">
        <x:v>DEU-000259</x:v>
      </x:c>
      <x:c r="F586" t="n">
        <x:v>535100</x:v>
      </x:c>
      <x:c r="G586" t="n">
        <x:v>239374.36</x:v>
      </x:c>
      <x:c r="H586" t="n">
        <x:v>295725.64</x:v>
      </x:c>
      <x:c r="I586" t="n">
        <x:v>9524274.36</x:v>
      </x:c>
      <x:c r="J586" t="str">
        <x:v>En fecha</x:v>
      </x:c>
    </x:row>
    <x:row r="587">
      <x:c r="A587" t="str">
        <x:v>ABO-0000586</x:v>
      </x:c>
      <x:c r="B587" t="str">
        <x:v>2025-05</x:v>
      </x:c>
      <x:c r="C587" t="n">
        <x:v>45789</x:v>
      </x:c>
      <x:c r="D587" t="str">
        <x:v>USR-00138</x:v>
      </x:c>
      <x:c r="E587" t="str">
        <x:v>DEU-000261</x:v>
      </x:c>
      <x:c r="F587" t="n">
        <x:v>634600</x:v>
      </x:c>
      <x:c r="G587" t="n">
        <x:v>145071.95</x:v>
      </x:c>
      <x:c r="H587" t="n">
        <x:v>489528.05</x:v>
      </x:c>
      <x:c r="I587" t="n">
        <x:v>7730471.95</x:v>
      </x:c>
      <x:c r="J587" t="str">
        <x:v>En fecha</x:v>
      </x:c>
    </x:row>
    <x:row r="588">
      <x:c r="A588" t="str">
        <x:v>ABO-0000587</x:v>
      </x:c>
      <x:c r="B588" t="str">
        <x:v>2025-05</x:v>
      </x:c>
      <x:c r="C588" t="n">
        <x:v>45787</x:v>
      </x:c>
      <x:c r="D588" t="str">
        <x:v>USR-00139</x:v>
      </x:c>
      <x:c r="E588" t="str">
        <x:v>DEU-000262</x:v>
      </x:c>
      <x:c r="F588" t="n">
        <x:v>181000</x:v>
      </x:c>
      <x:c r="G588" t="n">
        <x:v>124404.88</x:v>
      </x:c>
      <x:c r="H588" t="n">
        <x:v>56595.12</x:v>
      </x:c>
      <x:c r="I588" t="n">
        <x:v>6303404.88</x:v>
      </x:c>
      <x:c r="J588" t="str">
        <x:v>En fecha</x:v>
      </x:c>
    </x:row>
    <x:row r="589">
      <x:c r="A589" t="str">
        <x:v>ABO-0000588</x:v>
      </x:c>
      <x:c r="B589" t="str">
        <x:v>2025-05</x:v>
      </x:c>
      <x:c r="C589" t="n">
        <x:v>45787</x:v>
      </x:c>
      <x:c r="D589" t="str">
        <x:v>USR-00140</x:v>
      </x:c>
      <x:c r="E589" t="str">
        <x:v>DEU-000264</x:v>
      </x:c>
      <x:c r="F589" t="n">
        <x:v>246900</x:v>
      </x:c>
      <x:c r="G589" t="n">
        <x:v>183484</x:v>
      </x:c>
      <x:c r="H589" t="n">
        <x:v>63416</x:v>
      </x:c>
      <x:c r="I589" t="n">
        <x:v>7946584</x:v>
      </x:c>
      <x:c r="J589" t="str">
        <x:v>En fecha</x:v>
      </x:c>
    </x:row>
    <x:row r="590">
      <x:c r="A590" t="str">
        <x:v>ABO-0000589</x:v>
      </x:c>
      <x:c r="B590" t="str">
        <x:v>2025-05</x:v>
      </x:c>
      <x:c r="C590" t="n">
        <x:v>45797</x:v>
      </x:c>
      <x:c r="D590" t="str">
        <x:v>USR-00140</x:v>
      </x:c>
      <x:c r="E590" t="str">
        <x:v>DEU-000265</x:v>
      </x:c>
      <x:c r="F590" t="n">
        <x:v>276800</x:v>
      </x:c>
      <x:c r="G590" t="n">
        <x:v>329997.79</x:v>
      </x:c>
      <x:c r="H590" t="n">
        <x:v>0</x:v>
      </x:c>
      <x:c r="I590" t="n">
        <x:v>14743197.79</x:v>
      </x:c>
      <x:c r="J590" t="str">
        <x:v>Parcial</x:v>
      </x:c>
    </x:row>
    <x:row r="591">
      <x:c r="A591" t="str">
        <x:v>ABO-0000590</x:v>
      </x:c>
      <x:c r="B591" t="str">
        <x:v>2025-05</x:v>
      </x:c>
      <x:c r="C591" t="n">
        <x:v>45792</x:v>
      </x:c>
      <x:c r="D591" t="str">
        <x:v>USR-00140</x:v>
      </x:c>
      <x:c r="E591" t="str">
        <x:v>DEU-000266</x:v>
      </x:c>
      <x:c r="F591" t="n">
        <x:v>343000</x:v>
      </x:c>
      <x:c r="G591" t="n">
        <x:v>79484.39</x:v>
      </x:c>
      <x:c r="H591" t="n">
        <x:v>263515.61</x:v>
      </x:c>
      <x:c r="I591" t="n">
        <x:v>6396484.39</x:v>
      </x:c>
      <x:c r="J591" t="str">
        <x:v>En fecha</x:v>
      </x:c>
    </x:row>
    <x:row r="592">
      <x:c r="A592" t="str">
        <x:v>ABO-0000591</x:v>
      </x:c>
      <x:c r="B592" t="str">
        <x:v>2025-05</x:v>
      </x:c>
      <x:c r="C592" t="n">
        <x:v>45787</x:v>
      </x:c>
      <x:c r="D592" t="str">
        <x:v>USR-00141</x:v>
      </x:c>
      <x:c r="E592" t="str">
        <x:v>DEU-000267</x:v>
      </x:c>
      <x:c r="F592" t="n">
        <x:v>85600</x:v>
      </x:c>
      <x:c r="G592" t="n">
        <x:v>25621.67</x:v>
      </x:c>
      <x:c r="H592" t="n">
        <x:v>59978.33</x:v>
      </x:c>
      <x:c r="I592" t="n">
        <x:v>2520021.67</x:v>
      </x:c>
      <x:c r="J592" t="str">
        <x:v>En fecha</x:v>
      </x:c>
    </x:row>
    <x:row r="593">
      <x:c r="A593" t="str">
        <x:v>ABO-0000592</x:v>
      </x:c>
      <x:c r="B593" t="str">
        <x:v>2025-05</x:v>
      </x:c>
      <x:c r="C593" t="n">
        <x:v>45794</x:v>
      </x:c>
      <x:c r="D593" t="str">
        <x:v>USR-00141</x:v>
      </x:c>
      <x:c r="E593" t="str">
        <x:v>DEU-000269</x:v>
      </x:c>
      <x:c r="F593" t="n">
        <x:v>270700</x:v>
      </x:c>
      <x:c r="G593" t="n">
        <x:v>258631.57</x:v>
      </x:c>
      <x:c r="H593" t="n">
        <x:v>12068.43</x:v>
      </x:c>
      <x:c r="I593" t="n">
        <x:v>10597931.57</x:v>
      </x:c>
      <x:c r="J593" t="str">
        <x:v>Parcial</x:v>
      </x:c>
    </x:row>
    <x:row r="594">
      <x:c r="A594" t="str">
        <x:v>ABO-0000593</x:v>
      </x:c>
      <x:c r="B594" t="str">
        <x:v>2025-05</x:v>
      </x:c>
      <x:c r="C594" t="n">
        <x:v>45790</x:v>
      </x:c>
      <x:c r="D594" t="str">
        <x:v>USR-00141</x:v>
      </x:c>
      <x:c r="E594" t="str">
        <x:v>DEU-000270</x:v>
      </x:c>
      <x:c r="F594" t="n">
        <x:v>781500</x:v>
      </x:c>
      <x:c r="G594" t="n">
        <x:v>326819.89</x:v>
      </x:c>
      <x:c r="H594" t="n">
        <x:v>454680.11</x:v>
      </x:c>
      <x:c r="I594" t="n">
        <x:v>17325319.89</x:v>
      </x:c>
      <x:c r="J594" t="str">
        <x:v>En fecha</x:v>
      </x:c>
    </x:row>
    <x:row r="595">
      <x:c r="A595" t="str">
        <x:v>ABO-0000594</x:v>
      </x:c>
      <x:c r="B595" t="str">
        <x:v>2025-05</x:v>
      </x:c>
      <x:c r="C595" t="n">
        <x:v>45779</x:v>
      </x:c>
      <x:c r="D595" t="str">
        <x:v>USR-00141</x:v>
      </x:c>
      <x:c r="E595" t="str">
        <x:v>DEU-000271</x:v>
      </x:c>
      <x:c r="F595" t="n">
        <x:v>405200</x:v>
      </x:c>
      <x:c r="G595" t="n">
        <x:v>70326.03</x:v>
      </x:c>
      <x:c r="H595" t="n">
        <x:v>334873.97</x:v>
      </x:c>
      <x:c r="I595" t="n">
        <x:v>5225126.03</x:v>
      </x:c>
      <x:c r="J595" t="str">
        <x:v>En fecha</x:v>
      </x:c>
    </x:row>
    <x:row r="596">
      <x:c r="A596" t="str">
        <x:v>ABO-0000595</x:v>
      </x:c>
      <x:c r="B596" t="str">
        <x:v>2025-05</x:v>
      </x:c>
      <x:c r="C596" t="n">
        <x:v>45787</x:v>
      </x:c>
      <x:c r="D596" t="str">
        <x:v>USR-00142</x:v>
      </x:c>
      <x:c r="E596" t="str">
        <x:v>DEU-000272</x:v>
      </x:c>
      <x:c r="F596" t="n">
        <x:v>446000</x:v>
      </x:c>
      <x:c r="G596" t="n">
        <x:v>102119.52</x:v>
      </x:c>
      <x:c r="H596" t="n">
        <x:v>343880.48</x:v>
      </x:c>
      <x:c r="I596" t="n">
        <x:v>6886119.52</x:v>
      </x:c>
      <x:c r="J596" t="str">
        <x:v>En fecha</x:v>
      </x:c>
    </x:row>
    <x:row r="597">
      <x:c r="A597" t="str">
        <x:v>ABO-0000596</x:v>
      </x:c>
      <x:c r="B597" t="str">
        <x:v>2025-05</x:v>
      </x:c>
      <x:c r="C597" t="n">
        <x:v>45782</x:v>
      </x:c>
      <x:c r="D597" t="str">
        <x:v>USR-00145</x:v>
      </x:c>
      <x:c r="E597" t="str">
        <x:v>DEU-000275</x:v>
      </x:c>
      <x:c r="F597" t="n">
        <x:v>1691400</x:v>
      </x:c>
      <x:c r="G597" t="n">
        <x:v>538235.34</x:v>
      </x:c>
      <x:c r="H597" t="n">
        <x:v>1153164.66</x:v>
      </x:c>
      <x:c r="I597" t="n">
        <x:v>23466835.34</x:v>
      </x:c>
      <x:c r="J597" t="str">
        <x:v>En fecha</x:v>
      </x:c>
    </x:row>
    <x:row r="598">
      <x:c r="A598" t="str">
        <x:v>ABO-0000597</x:v>
      </x:c>
      <x:c r="B598" t="str">
        <x:v>2025-06</x:v>
      </x:c>
      <x:c r="C598" t="n">
        <x:v>45819</x:v>
      </x:c>
      <x:c r="D598" t="str">
        <x:v>USR-00003</x:v>
      </x:c>
      <x:c r="E598" t="str">
        <x:v>DEU-000004</x:v>
      </x:c>
      <x:c r="F598" t="n">
        <x:v>463100</x:v>
      </x:c>
      <x:c r="G598" t="n">
        <x:v>107554.06</x:v>
      </x:c>
      <x:c r="H598" t="n">
        <x:v>355545.94</x:v>
      </x:c>
      <x:c r="I598" t="n">
        <x:v>4882856.05</x:v>
      </x:c>
      <x:c r="J598" t="str">
        <x:v>En fecha</x:v>
      </x:c>
    </x:row>
    <x:row r="599">
      <x:c r="A599" t="str">
        <x:v>ABO-0000598</x:v>
      </x:c>
      <x:c r="B599" t="str">
        <x:v>2025-06</x:v>
      </x:c>
      <x:c r="C599" t="n">
        <x:v>45828</x:v>
      </x:c>
      <x:c r="D599" t="str">
        <x:v>USR-00003</x:v>
      </x:c>
      <x:c r="E599" t="str">
        <x:v>DEU-000005</x:v>
      </x:c>
      <x:c r="F599" t="n">
        <x:v>612500</x:v>
      </x:c>
      <x:c r="G599" t="n">
        <x:v>216945.82</x:v>
      </x:c>
      <x:c r="H599" t="n">
        <x:v>395554.18</x:v>
      </x:c>
      <x:c r="I599" t="n">
        <x:v>14505546.61</x:v>
      </x:c>
      <x:c r="J599" t="str">
        <x:v>En fecha</x:v>
      </x:c>
    </x:row>
    <x:row r="600">
      <x:c r="A600" t="str">
        <x:v>ABO-0000599</x:v>
      </x:c>
      <x:c r="B600" t="str">
        <x:v>2025-06</x:v>
      </x:c>
      <x:c r="C600" t="n">
        <x:v>45829</x:v>
      </x:c>
      <x:c r="D600" t="str">
        <x:v>USR-00004</x:v>
      </x:c>
      <x:c r="E600" t="str">
        <x:v>DEU-000006</x:v>
      </x:c>
      <x:c r="F600" t="n">
        <x:v>314100</x:v>
      </x:c>
      <x:c r="G600" t="n">
        <x:v>120909.65</x:v>
      </x:c>
      <x:c r="H600" t="n">
        <x:v>193190.35</x:v>
      </x:c>
      <x:c r="I600" t="n">
        <x:v>5552496.26</x:v>
      </x:c>
      <x:c r="J600" t="str">
        <x:v>En fecha</x:v>
      </x:c>
    </x:row>
    <x:row r="601">
      <x:c r="A601" t="str">
        <x:v>ABO-0000600</x:v>
      </x:c>
      <x:c r="B601" t="str">
        <x:v>2025-06</x:v>
      </x:c>
      <x:c r="C601" t="n">
        <x:v>45831</x:v>
      </x:c>
      <x:c r="D601" t="str">
        <x:v>USR-00004</x:v>
      </x:c>
      <x:c r="E601" t="str">
        <x:v>DEU-000007</x:v>
      </x:c>
      <x:c r="F601" t="n">
        <x:v>654600</x:v>
      </x:c>
      <x:c r="G601" t="n">
        <x:v>156755.11</x:v>
      </x:c>
      <x:c r="H601" t="n">
        <x:v>497844.89</x:v>
      </x:c>
      <x:c r="I601" t="n">
        <x:v>10467376.5</x:v>
      </x:c>
      <x:c r="J601" t="str">
        <x:v>En fecha</x:v>
      </x:c>
    </x:row>
    <x:row r="602">
      <x:c r="A602" t="str">
        <x:v>ABO-0000601</x:v>
      </x:c>
      <x:c r="B602" t="str">
        <x:v>2025-06</x:v>
      </x:c>
      <x:c r="C602" t="n">
        <x:v>45827</x:v>
      </x:c>
      <x:c r="D602" t="str">
        <x:v>USR-00007</x:v>
      </x:c>
      <x:c r="E602" t="str">
        <x:v>DEU-000010</x:v>
      </x:c>
      <x:c r="F602" t="n">
        <x:v>506500</x:v>
      </x:c>
      <x:c r="G602" t="n">
        <x:v>146901.54</x:v>
      </x:c>
      <x:c r="H602" t="n">
        <x:v>359598.46</x:v>
      </x:c>
      <x:c r="I602" t="n">
        <x:v>7792930.6</x:v>
      </x:c>
      <x:c r="J602" t="str">
        <x:v>En fecha</x:v>
      </x:c>
    </x:row>
    <x:row r="603">
      <x:c r="A603" t="str">
        <x:v>ABO-0000602</x:v>
      </x:c>
      <x:c r="B603" t="str">
        <x:v>2025-06</x:v>
      </x:c>
      <x:c r="C603" t="n">
        <x:v>45830</x:v>
      </x:c>
      <x:c r="D603" t="str">
        <x:v>USR-00007</x:v>
      </x:c>
      <x:c r="E603" t="str">
        <x:v>DEU-000011</x:v>
      </x:c>
      <x:c r="F603" t="n">
        <x:v>951000</x:v>
      </x:c>
      <x:c r="G603" t="n">
        <x:v>306737.13</x:v>
      </x:c>
      <x:c r="H603" t="n">
        <x:v>644262.87</x:v>
      </x:c>
      <x:c r="I603" t="n">
        <x:v>13253050.58</x:v>
      </x:c>
      <x:c r="J603" t="str">
        <x:v>En fecha</x:v>
      </x:c>
    </x:row>
    <x:row r="604">
      <x:c r="A604" t="str">
        <x:v>ABO-0000603</x:v>
      </x:c>
      <x:c r="B604" t="str">
        <x:v>2025-06</x:v>
      </x:c>
      <x:c r="C604" t="n">
        <x:v>45825</x:v>
      </x:c>
      <x:c r="D604" t="str">
        <x:v>USR-00007</x:v>
      </x:c>
      <x:c r="E604" t="str">
        <x:v>DEU-000276</x:v>
      </x:c>
      <x:c r="F604" t="n">
        <x:v>989800</x:v>
      </x:c>
      <x:c r="G604" t="n">
        <x:v>210361.79</x:v>
      </x:c>
      <x:c r="H604" t="n">
        <x:v>779438.21</x:v>
      </x:c>
      <x:c r="I604" t="n">
        <x:v>9680561.79</x:v>
      </x:c>
      <x:c r="J604" t="str">
        <x:v>En fecha</x:v>
      </x:c>
    </x:row>
    <x:row r="605">
      <x:c r="A605" t="str">
        <x:v>ABO-0000604</x:v>
      </x:c>
      <x:c r="B605" t="str">
        <x:v>2025-06</x:v>
      </x:c>
      <x:c r="C605" t="n">
        <x:v>45826</x:v>
      </x:c>
      <x:c r="D605" t="str">
        <x:v>USR-00008</x:v>
      </x:c>
      <x:c r="E605" t="str">
        <x:v>DEU-000013</x:v>
      </x:c>
      <x:c r="F605" t="n">
        <x:v>650500</x:v>
      </x:c>
      <x:c r="G605" t="n">
        <x:v>142199.63</x:v>
      </x:c>
      <x:c r="H605" t="n">
        <x:v>508300.37</x:v>
      </x:c>
      <x:c r="I605" t="n">
        <x:v>11894291.7</x:v>
      </x:c>
      <x:c r="J605" t="str">
        <x:v>En fecha</x:v>
      </x:c>
    </x:row>
    <x:row r="606">
      <x:c r="A606" t="str">
        <x:v>ABO-0000605</x:v>
      </x:c>
      <x:c r="B606" t="str">
        <x:v>2025-06</x:v>
      </x:c>
      <x:c r="C606" t="n">
        <x:v>45813</x:v>
      </x:c>
      <x:c r="D606" t="str">
        <x:v>USR-00009</x:v>
      </x:c>
      <x:c r="E606" t="str">
        <x:v>DEU-000014</x:v>
      </x:c>
      <x:c r="F606" t="n">
        <x:v>165500</x:v>
      </x:c>
      <x:c r="G606" t="n">
        <x:v>132680.7</x:v>
      </x:c>
      <x:c r="H606" t="n">
        <x:v>32819.3</x:v>
      </x:c>
      <x:c r="I606" t="n">
        <x:v>5356573.34</x:v>
      </x:c>
      <x:c r="J606" t="str">
        <x:v>Parcial</x:v>
      </x:c>
    </x:row>
    <x:row r="607">
      <x:c r="A607" t="str">
        <x:v>ABO-0000606</x:v>
      </x:c>
      <x:c r="B607" t="str">
        <x:v>2025-06</x:v>
      </x:c>
      <x:c r="C607" t="n">
        <x:v>45827</x:v>
      </x:c>
      <x:c r="D607" t="str">
        <x:v>USR-00010</x:v>
      </x:c>
      <x:c r="E607" t="str">
        <x:v>DEU-000016</x:v>
      </x:c>
      <x:c r="F607" t="n">
        <x:v>51800</x:v>
      </x:c>
      <x:c r="G607" t="n">
        <x:v>71450.93</x:v>
      </x:c>
      <x:c r="H607" t="n">
        <x:v>0</x:v>
      </x:c>
      <x:c r="I607" t="n">
        <x:v>3116905.86</x:v>
      </x:c>
      <x:c r="J607" t="str">
        <x:v>Parcial</x:v>
      </x:c>
    </x:row>
    <x:row r="608">
      <x:c r="A608" t="str">
        <x:v>ABO-0000607</x:v>
      </x:c>
      <x:c r="B608" t="str">
        <x:v>2025-06</x:v>
      </x:c>
      <x:c r="C608" t="n">
        <x:v>45820</x:v>
      </x:c>
      <x:c r="D608" t="str">
        <x:v>USR-00011</x:v>
      </x:c>
      <x:c r="E608" t="str">
        <x:v>DEU-000017</x:v>
      </x:c>
      <x:c r="F608" t="n">
        <x:v>436800</x:v>
      </x:c>
      <x:c r="G608" t="n">
        <x:v>79584.86</x:v>
      </x:c>
      <x:c r="H608" t="n">
        <x:v>357215.14</x:v>
      </x:c>
      <x:c r="I608" t="n">
        <x:v>3554536.35</x:v>
      </x:c>
      <x:c r="J608" t="str">
        <x:v>En fecha</x:v>
      </x:c>
    </x:row>
    <x:row r="609">
      <x:c r="A609" t="str">
        <x:v>ABO-0000608</x:v>
      </x:c>
      <x:c r="B609" t="str">
        <x:v>2025-06</x:v>
      </x:c>
      <x:c r="C609" t="n">
        <x:v>45815</x:v>
      </x:c>
      <x:c r="D609" t="str">
        <x:v>USR-00011</x:v>
      </x:c>
      <x:c r="E609" t="str">
        <x:v>DEU-000018</x:v>
      </x:c>
      <x:c r="F609" t="n">
        <x:v>2175100</x:v>
      </x:c>
      <x:c r="G609" t="n">
        <x:v>298799.04</x:v>
      </x:c>
      <x:c r="H609" t="n">
        <x:v>1876300.96</x:v>
      </x:c>
      <x:c r="I609" t="n">
        <x:v>10359053.85</x:v>
      </x:c>
      <x:c r="J609" t="str">
        <x:v>En fecha</x:v>
      </x:c>
    </x:row>
    <x:row r="610">
      <x:c r="A610" t="str">
        <x:v>ABO-0000609</x:v>
      </x:c>
      <x:c r="B610" t="str">
        <x:v>2025-06</x:v>
      </x:c>
      <x:c r="C610" t="n">
        <x:v>45817</x:v>
      </x:c>
      <x:c r="D610" t="str">
        <x:v>USR-00012</x:v>
      </x:c>
      <x:c r="E610" t="str">
        <x:v>DEU-000019</x:v>
      </x:c>
      <x:c r="F610" t="n">
        <x:v>498300</x:v>
      </x:c>
      <x:c r="G610" t="n">
        <x:v>153209.08</x:v>
      </x:c>
      <x:c r="H610" t="n">
        <x:v>345090.92</x:v>
      </x:c>
      <x:c r="I610" t="n">
        <x:v>8180167.28</x:v>
      </x:c>
      <x:c r="J610" t="str">
        <x:v>En fecha</x:v>
      </x:c>
    </x:row>
    <x:row r="611">
      <x:c r="A611" t="str">
        <x:v>ABO-0000610</x:v>
      </x:c>
      <x:c r="B611" t="str">
        <x:v>2025-06</x:v>
      </x:c>
      <x:c r="C611" t="n">
        <x:v>45835</x:v>
      </x:c>
      <x:c r="D611" t="str">
        <x:v>USR-00013</x:v>
      </x:c>
      <x:c r="E611" t="str">
        <x:v>DEU-000022</x:v>
      </x:c>
      <x:c r="F611" t="n">
        <x:v>508700</x:v>
      </x:c>
      <x:c r="G611" t="n">
        <x:v>198439.02</x:v>
      </x:c>
      <x:c r="H611" t="n">
        <x:v>310260.98</x:v>
      </x:c>
      <x:c r="I611" t="n">
        <x:v>8680399.19</x:v>
      </x:c>
      <x:c r="J611" t="str">
        <x:v>En fecha</x:v>
      </x:c>
    </x:row>
    <x:row r="612">
      <x:c r="A612" t="str">
        <x:v>ABO-0000611</x:v>
      </x:c>
      <x:c r="B612" t="str">
        <x:v>2025-06</x:v>
      </x:c>
      <x:c r="C612" t="n">
        <x:v>45834</x:v>
      </x:c>
      <x:c r="D612" t="str">
        <x:v>USR-00014</x:v>
      </x:c>
      <x:c r="E612" t="str">
        <x:v>DEU-000023</x:v>
      </x:c>
      <x:c r="F612" t="n">
        <x:v>220300</x:v>
      </x:c>
      <x:c r="G612" t="n">
        <x:v>37716.35</x:v>
      </x:c>
      <x:c r="H612" t="n">
        <x:v>182583.65</x:v>
      </x:c>
      <x:c r="I612" t="n">
        <x:v>2090741.49</x:v>
      </x:c>
      <x:c r="J612" t="str">
        <x:v>En fecha</x:v>
      </x:c>
    </x:row>
    <x:row r="613">
      <x:c r="A613" t="str">
        <x:v>ABO-0000612</x:v>
      </x:c>
      <x:c r="B613" t="str">
        <x:v>2025-06</x:v>
      </x:c>
      <x:c r="C613" t="n">
        <x:v>45835</x:v>
      </x:c>
      <x:c r="D613" t="str">
        <x:v>USR-00015</x:v>
      </x:c>
      <x:c r="E613" t="str">
        <x:v>DEU-000025</x:v>
      </x:c>
      <x:c r="F613" t="n">
        <x:v>1219600</x:v>
      </x:c>
      <x:c r="G613" t="n">
        <x:v>341446.4</x:v>
      </x:c>
      <x:c r="H613" t="n">
        <x:v>878153.6</x:v>
      </x:c>
      <x:c r="I613" t="n">
        <x:v>18049370.31</x:v>
      </x:c>
      <x:c r="J613" t="str">
        <x:v>En fecha</x:v>
      </x:c>
    </x:row>
    <x:row r="614">
      <x:c r="A614" t="str">
        <x:v>ABO-0000613</x:v>
      </x:c>
      <x:c r="B614" t="str">
        <x:v>2025-06</x:v>
      </x:c>
      <x:c r="C614" t="n">
        <x:v>45821</x:v>
      </x:c>
      <x:c r="D614" t="str">
        <x:v>USR-00016</x:v>
      </x:c>
      <x:c r="E614" t="str">
        <x:v>DEU-000027</x:v>
      </x:c>
      <x:c r="F614" t="n">
        <x:v>179400</x:v>
      </x:c>
      <x:c r="G614" t="n">
        <x:v>63213.98</x:v>
      </x:c>
      <x:c r="H614" t="n">
        <x:v>116186.02</x:v>
      </x:c>
      <x:c r="I614" t="n">
        <x:v>3824871.59</x:v>
      </x:c>
      <x:c r="J614" t="str">
        <x:v>Parcial</x:v>
      </x:c>
    </x:row>
    <x:row r="615">
      <x:c r="A615" t="str">
        <x:v>ABO-0000614</x:v>
      </x:c>
      <x:c r="B615" t="str">
        <x:v>2025-06</x:v>
      </x:c>
      <x:c r="C615" t="n">
        <x:v>45817</x:v>
      </x:c>
      <x:c r="D615" t="str">
        <x:v>USR-00018</x:v>
      </x:c>
      <x:c r="E615" t="str">
        <x:v>DEU-000029</x:v>
      </x:c>
      <x:c r="F615" t="n">
        <x:v>409600</x:v>
      </x:c>
      <x:c r="G615" t="n">
        <x:v>161869.03</x:v>
      </x:c>
      <x:c r="H615" t="n">
        <x:v>247730.97</x:v>
      </x:c>
      <x:c r="I615" t="n">
        <x:v>8131549.02</x:v>
      </x:c>
      <x:c r="J615" t="str">
        <x:v>Parcial</x:v>
      </x:c>
    </x:row>
    <x:row r="616">
      <x:c r="A616" t="str">
        <x:v>ABO-0000615</x:v>
      </x:c>
      <x:c r="B616" t="str">
        <x:v>2025-06</x:v>
      </x:c>
      <x:c r="C616" t="n">
        <x:v>45809</x:v>
      </x:c>
      <x:c r="D616" t="str">
        <x:v>USR-00019</x:v>
      </x:c>
      <x:c r="E616" t="str">
        <x:v>DEU-000030</x:v>
      </x:c>
      <x:c r="F616" t="n">
        <x:v>95200</x:v>
      </x:c>
      <x:c r="G616" t="n">
        <x:v>95446.77</x:v>
      </x:c>
      <x:c r="H616" t="n">
        <x:v>0</x:v>
      </x:c>
      <x:c r="I616" t="n">
        <x:v>5465948.24</x:v>
      </x:c>
      <x:c r="J616" t="str">
        <x:v>Parcial</x:v>
      </x:c>
    </x:row>
    <x:row r="617">
      <x:c r="A617" t="str">
        <x:v>ABO-0000616</x:v>
      </x:c>
      <x:c r="B617" t="str">
        <x:v>2025-06</x:v>
      </x:c>
      <x:c r="C617" t="n">
        <x:v>45830</x:v>
      </x:c>
      <x:c r="D617" t="str">
        <x:v>USR-00019</x:v>
      </x:c>
      <x:c r="E617" t="str">
        <x:v>DEU-000031</x:v>
      </x:c>
      <x:c r="F617" t="n">
        <x:v>563000</x:v>
      </x:c>
      <x:c r="G617" t="n">
        <x:v>136053.33</x:v>
      </x:c>
      <x:c r="H617" t="n">
        <x:v>426946.67</x:v>
      </x:c>
      <x:c r="I617" t="n">
        <x:v>6326911.41</x:v>
      </x:c>
      <x:c r="J617" t="str">
        <x:v>En fecha</x:v>
      </x:c>
    </x:row>
    <x:row r="618">
      <x:c r="A618" t="str">
        <x:v>ABO-0000617</x:v>
      </x:c>
      <x:c r="B618" t="str">
        <x:v>2025-06</x:v>
      </x:c>
      <x:c r="C618" t="n">
        <x:v>45812</x:v>
      </x:c>
      <x:c r="D618" t="str">
        <x:v>USR-00019</x:v>
      </x:c>
      <x:c r="E618" t="str">
        <x:v>DEU-000277</x:v>
      </x:c>
      <x:c r="F618" t="n">
        <x:v>1077800</x:v>
      </x:c>
      <x:c r="G618" t="n">
        <x:v>228038.44</x:v>
      </x:c>
      <x:c r="H618" t="n">
        <x:v>849761.56</x:v>
      </x:c>
      <x:c r="I618" t="n">
        <x:v>21170238.44</x:v>
      </x:c>
      <x:c r="J618" t="str">
        <x:v>Parcial</x:v>
      </x:c>
    </x:row>
    <x:row r="619">
      <x:c r="A619" t="str">
        <x:v>ABO-0000618</x:v>
      </x:c>
      <x:c r="B619" t="str">
        <x:v>2025-06</x:v>
      </x:c>
      <x:c r="C619" t="n">
        <x:v>45818</x:v>
      </x:c>
      <x:c r="D619" t="str">
        <x:v>USR-00021</x:v>
      </x:c>
      <x:c r="E619" t="str">
        <x:v>DEU-000033</x:v>
      </x:c>
      <x:c r="F619" t="n">
        <x:v>2042200</x:v>
      </x:c>
      <x:c r="G619" t="n">
        <x:v>396076.12</x:v>
      </x:c>
      <x:c r="H619" t="n">
        <x:v>1646123.88</x:v>
      </x:c>
      <x:c r="I619" t="n">
        <x:v>22398504.2</x:v>
      </x:c>
      <x:c r="J619" t="str">
        <x:v>En fecha</x:v>
      </x:c>
    </x:row>
    <x:row r="620">
      <x:c r="A620" t="str">
        <x:v>ABO-0000619</x:v>
      </x:c>
      <x:c r="B620" t="str">
        <x:v>2025-06</x:v>
      </x:c>
      <x:c r="C620" t="n">
        <x:v>45831</x:v>
      </x:c>
      <x:c r="D620" t="str">
        <x:v>USR-00022</x:v>
      </x:c>
      <x:c r="E620" t="str">
        <x:v>DEU-000034</x:v>
      </x:c>
      <x:c r="F620" t="n">
        <x:v>1122600</x:v>
      </x:c>
      <x:c r="G620" t="n">
        <x:v>225629.76</x:v>
      </x:c>
      <x:c r="H620" t="n">
        <x:v>896970.24</x:v>
      </x:c>
      <x:c r="I620" t="n">
        <x:v>12478791.1</x:v>
      </x:c>
      <x:c r="J620" t="str">
        <x:v>Parcial</x:v>
      </x:c>
    </x:row>
    <x:row r="621">
      <x:c r="A621" t="str">
        <x:v>ABO-0000620</x:v>
      </x:c>
      <x:c r="B621" t="str">
        <x:v>2025-06</x:v>
      </x:c>
      <x:c r="C621" t="n">
        <x:v>45815</x:v>
      </x:c>
      <x:c r="D621" t="str">
        <x:v>USR-00022</x:v>
      </x:c>
      <x:c r="E621" t="str">
        <x:v>DEU-000035</x:v>
      </x:c>
      <x:c r="F621" t="n">
        <x:v>139500</x:v>
      </x:c>
      <x:c r="G621" t="n">
        <x:v>70796.95</x:v>
      </x:c>
      <x:c r="H621" t="n">
        <x:v>68703.05</x:v>
      </x:c>
      <x:c r="I621" t="n">
        <x:v>4763388.38</x:v>
      </x:c>
      <x:c r="J621" t="str">
        <x:v>En fecha</x:v>
      </x:c>
    </x:row>
    <x:row r="622">
      <x:c r="A622" t="str">
        <x:v>ABO-0000621</x:v>
      </x:c>
      <x:c r="B622" t="str">
        <x:v>2025-06</x:v>
      </x:c>
      <x:c r="C622" t="n">
        <x:v>45829</x:v>
      </x:c>
      <x:c r="D622" t="str">
        <x:v>USR-00023</x:v>
      </x:c>
      <x:c r="E622" t="str">
        <x:v>DEU-000036</x:v>
      </x:c>
      <x:c r="F622" t="n">
        <x:v>110800</x:v>
      </x:c>
      <x:c r="G622" t="n">
        <x:v>130202</x:v>
      </x:c>
      <x:c r="H622" t="n">
        <x:v>0</x:v>
      </x:c>
      <x:c r="I622" t="n">
        <x:v>5768677.84</x:v>
      </x:c>
      <x:c r="J622" t="str">
        <x:v>Parcial</x:v>
      </x:c>
    </x:row>
    <x:row r="623">
      <x:c r="A623" t="str">
        <x:v>ABO-0000622</x:v>
      </x:c>
      <x:c r="B623" t="str">
        <x:v>2025-06</x:v>
      </x:c>
      <x:c r="C623" t="n">
        <x:v>45830</x:v>
      </x:c>
      <x:c r="D623" t="str">
        <x:v>USR-00024</x:v>
      </x:c>
      <x:c r="E623" t="str">
        <x:v>DEU-000037</x:v>
      </x:c>
      <x:c r="F623" t="n">
        <x:v>13500</x:v>
      </x:c>
      <x:c r="G623" t="n">
        <x:v>12522.02</x:v>
      </x:c>
      <x:c r="H623" t="n">
        <x:v>977.98</x:v>
      </x:c>
      <x:c r="I623" t="n">
        <x:v>783124.58</x:v>
      </x:c>
      <x:c r="J623" t="str">
        <x:v>Parcial</x:v>
      </x:c>
    </x:row>
    <x:row r="624">
      <x:c r="A624" t="str">
        <x:v>ABO-0000623</x:v>
      </x:c>
      <x:c r="B624" t="str">
        <x:v>2025-06</x:v>
      </x:c>
      <x:c r="C624" t="n">
        <x:v>45815</x:v>
      </x:c>
      <x:c r="D624" t="str">
        <x:v>USR-00024</x:v>
      </x:c>
      <x:c r="E624" t="str">
        <x:v>DEU-000038</x:v>
      </x:c>
      <x:c r="F624" t="n">
        <x:v>1940300</x:v>
      </x:c>
      <x:c r="G624" t="n">
        <x:v>1317656.46</x:v>
      </x:c>
      <x:c r="H624" t="n">
        <x:v>622643.54</x:v>
      </x:c>
      <x:c r="I624" t="n">
        <x:v>53489160.72</x:v>
      </x:c>
      <x:c r="J624" t="str">
        <x:v>En fecha</x:v>
      </x:c>
    </x:row>
    <x:row r="625">
      <x:c r="A625" t="str">
        <x:v>ABO-0000624</x:v>
      </x:c>
      <x:c r="B625" t="str">
        <x:v>2025-06</x:v>
      </x:c>
      <x:c r="C625" t="n">
        <x:v>45826</x:v>
      </x:c>
      <x:c r="D625" t="str">
        <x:v>USR-00025</x:v>
      </x:c>
      <x:c r="E625" t="str">
        <x:v>DEU-000039</x:v>
      </x:c>
      <x:c r="F625" t="n">
        <x:v>432700</x:v>
      </x:c>
      <x:c r="G625" t="n">
        <x:v>63828.16</x:v>
      </x:c>
      <x:c r="H625" t="n">
        <x:v>368871.84</x:v>
      </x:c>
      <x:c r="I625" t="n">
        <x:v>5344969.97</x:v>
      </x:c>
      <x:c r="J625" t="str">
        <x:v>En fecha</x:v>
      </x:c>
    </x:row>
    <x:row r="626">
      <x:c r="A626" t="str">
        <x:v>ABO-0000625</x:v>
      </x:c>
      <x:c r="B626" t="str">
        <x:v>2025-06</x:v>
      </x:c>
      <x:c r="C626" t="n">
        <x:v>45818</x:v>
      </x:c>
      <x:c r="D626" t="str">
        <x:v>USR-00028</x:v>
      </x:c>
      <x:c r="E626" t="str">
        <x:v>DEU-000046</x:v>
      </x:c>
      <x:c r="F626" t="n">
        <x:v>538100</x:v>
      </x:c>
      <x:c r="G626" t="n">
        <x:v>156429.38</x:v>
      </x:c>
      <x:c r="H626" t="n">
        <x:v>381670.62</x:v>
      </x:c>
      <x:c r="I626" t="n">
        <x:v>13752460.96</x:v>
      </x:c>
      <x:c r="J626" t="str">
        <x:v>En fecha</x:v>
      </x:c>
    </x:row>
    <x:row r="627">
      <x:c r="A627" t="str">
        <x:v>ABO-0000626</x:v>
      </x:c>
      <x:c r="B627" t="str">
        <x:v>2025-06</x:v>
      </x:c>
      <x:c r="C627" t="n">
        <x:v>45833</x:v>
      </x:c>
      <x:c r="D627" t="str">
        <x:v>USR-00028</x:v>
      </x:c>
      <x:c r="E627" t="str">
        <x:v>DEU-000047</x:v>
      </x:c>
      <x:c r="F627" t="n">
        <x:v>231400</x:v>
      </x:c>
      <x:c r="G627" t="n">
        <x:v>96628.8</x:v>
      </x:c>
      <x:c r="H627" t="n">
        <x:v>134771.2</x:v>
      </x:c>
      <x:c r="I627" t="n">
        <x:v>5258551.89</x:v>
      </x:c>
      <x:c r="J627" t="str">
        <x:v>En fecha</x:v>
      </x:c>
    </x:row>
    <x:row r="628">
      <x:c r="A628" t="str">
        <x:v>ABO-0000627</x:v>
      </x:c>
      <x:c r="B628" t="str">
        <x:v>2025-06</x:v>
      </x:c>
      <x:c r="C628" t="n">
        <x:v>45832</x:v>
      </x:c>
      <x:c r="D628" t="str">
        <x:v>USR-00029</x:v>
      </x:c>
      <x:c r="E628" t="str">
        <x:v>DEU-000048</x:v>
      </x:c>
      <x:c r="F628" t="n">
        <x:v>108800</x:v>
      </x:c>
      <x:c r="G628" t="n">
        <x:v>44415.31</x:v>
      </x:c>
      <x:c r="H628" t="n">
        <x:v>64384.69</x:v>
      </x:c>
      <x:c r="I628" t="n">
        <x:v>2238835.17</x:v>
      </x:c>
      <x:c r="J628" t="str">
        <x:v>En fecha</x:v>
      </x:c>
    </x:row>
    <x:row r="629">
      <x:c r="A629" t="str">
        <x:v>ABO-0000628</x:v>
      </x:c>
      <x:c r="B629" t="str">
        <x:v>2025-06</x:v>
      </x:c>
      <x:c r="C629" t="n">
        <x:v>45824</x:v>
      </x:c>
      <x:c r="D629" t="str">
        <x:v>USR-00029</x:v>
      </x:c>
      <x:c r="E629" t="str">
        <x:v>DEU-000049</x:v>
      </x:c>
      <x:c r="F629" t="n">
        <x:v>149900</x:v>
      </x:c>
      <x:c r="G629" t="n">
        <x:v>104230.36</x:v>
      </x:c>
      <x:c r="H629" t="n">
        <x:v>45669.64</x:v>
      </x:c>
      <x:c r="I629" t="n">
        <x:v>4926206.28</x:v>
      </x:c>
      <x:c r="J629" t="str">
        <x:v>En fecha</x:v>
      </x:c>
    </x:row>
    <x:row r="630">
      <x:c r="A630" t="str">
        <x:v>ABO-0000629</x:v>
      </x:c>
      <x:c r="B630" t="str">
        <x:v>2025-06</x:v>
      </x:c>
      <x:c r="C630" t="n">
        <x:v>45820</x:v>
      </x:c>
      <x:c r="D630" t="str">
        <x:v>USR-00030</x:v>
      </x:c>
      <x:c r="E630" t="str">
        <x:v>DEU-000050</x:v>
      </x:c>
      <x:c r="F630" t="n">
        <x:v>408100</x:v>
      </x:c>
      <x:c r="G630" t="n">
        <x:v>111813.96</x:v>
      </x:c>
      <x:c r="H630" t="n">
        <x:v>296286.04</x:v>
      </x:c>
      <x:c r="I630" t="n">
        <x:v>5008816.69</x:v>
      </x:c>
      <x:c r="J630" t="str">
        <x:v>En fecha</x:v>
      </x:c>
    </x:row>
    <x:row r="631">
      <x:c r="A631" t="str">
        <x:v>ABO-0000630</x:v>
      </x:c>
      <x:c r="B631" t="str">
        <x:v>2025-06</x:v>
      </x:c>
      <x:c r="C631" t="n">
        <x:v>45835</x:v>
      </x:c>
      <x:c r="D631" t="str">
        <x:v>USR-00032</x:v>
      </x:c>
      <x:c r="E631" t="str">
        <x:v>DEU-000055</x:v>
      </x:c>
      <x:c r="F631" t="n">
        <x:v>695900</x:v>
      </x:c>
      <x:c r="G631" t="n">
        <x:v>166103.52</x:v>
      </x:c>
      <x:c r="H631" t="n">
        <x:v>529796.48</x:v>
      </x:c>
      <x:c r="I631" t="n">
        <x:v>11320161.49</x:v>
      </x:c>
      <x:c r="J631" t="str">
        <x:v>En fecha</x:v>
      </x:c>
    </x:row>
    <x:row r="632">
      <x:c r="A632" t="str">
        <x:v>ABO-0000631</x:v>
      </x:c>
      <x:c r="B632" t="str">
        <x:v>2025-06</x:v>
      </x:c>
      <x:c r="C632" t="n">
        <x:v>45823</x:v>
      </x:c>
      <x:c r="D632" t="str">
        <x:v>USR-00033</x:v>
      </x:c>
      <x:c r="E632" t="str">
        <x:v>DEU-000056</x:v>
      </x:c>
      <x:c r="F632" t="n">
        <x:v>358100</x:v>
      </x:c>
      <x:c r="G632" t="n">
        <x:v>64577.86</x:v>
      </x:c>
      <x:c r="H632" t="n">
        <x:v>293522.14</x:v>
      </x:c>
      <x:c r="I632" t="n">
        <x:v>2754151.02</x:v>
      </x:c>
      <x:c r="J632" t="str">
        <x:v>En fecha</x:v>
      </x:c>
    </x:row>
    <x:row r="633">
      <x:c r="A633" t="str">
        <x:v>ABO-0000632</x:v>
      </x:c>
      <x:c r="B633" t="str">
        <x:v>2025-06</x:v>
      </x:c>
      <x:c r="C633" t="n">
        <x:v>45816</x:v>
      </x:c>
      <x:c r="D633" t="str">
        <x:v>USR-00034</x:v>
      </x:c>
      <x:c r="E633" t="str">
        <x:v>DEU-000057</x:v>
      </x:c>
      <x:c r="F633" t="n">
        <x:v>244900</x:v>
      </x:c>
      <x:c r="G633" t="n">
        <x:v>53826.23</x:v>
      </x:c>
      <x:c r="H633" t="n">
        <x:v>191073.77</x:v>
      </x:c>
      <x:c r="I633" t="n">
        <x:v>3203232.74</x:v>
      </x:c>
      <x:c r="J633" t="str">
        <x:v>Parcial</x:v>
      </x:c>
    </x:row>
    <x:row r="634">
      <x:c r="A634" t="str">
        <x:v>ABO-0000633</x:v>
      </x:c>
      <x:c r="B634" t="str">
        <x:v>2025-06</x:v>
      </x:c>
      <x:c r="C634" t="n">
        <x:v>45817</x:v>
      </x:c>
      <x:c r="D634" t="str">
        <x:v>USR-00034</x:v>
      </x:c>
      <x:c r="E634" t="str">
        <x:v>DEU-000058</x:v>
      </x:c>
      <x:c r="F634" t="n">
        <x:v>168200</x:v>
      </x:c>
      <x:c r="G634" t="n">
        <x:v>63552.29</x:v>
      </x:c>
      <x:c r="H634" t="n">
        <x:v>104647.71</x:v>
      </x:c>
      <x:c r="I634" t="n">
        <x:v>6049821.31</x:v>
      </x:c>
      <x:c r="J634" t="str">
        <x:v>En fecha</x:v>
      </x:c>
    </x:row>
    <x:row r="635">
      <x:c r="A635" t="str">
        <x:v>ABO-0000634</x:v>
      </x:c>
      <x:c r="B635" t="str">
        <x:v>2025-06</x:v>
      </x:c>
      <x:c r="C635" t="n">
        <x:v>45818</x:v>
      </x:c>
      <x:c r="D635" t="str">
        <x:v>USR-00035</x:v>
      </x:c>
      <x:c r="E635" t="str">
        <x:v>DEU-000059</x:v>
      </x:c>
      <x:c r="F635" t="n">
        <x:v>242700</x:v>
      </x:c>
      <x:c r="G635" t="n">
        <x:v>47017.35</x:v>
      </x:c>
      <x:c r="H635" t="n">
        <x:v>195682.65</x:v>
      </x:c>
      <x:c r="I635" t="n">
        <x:v>3251974.13</x:v>
      </x:c>
      <x:c r="J635" t="str">
        <x:v>En fecha</x:v>
      </x:c>
    </x:row>
    <x:row r="636">
      <x:c r="A636" t="str">
        <x:v>ABO-0000635</x:v>
      </x:c>
      <x:c r="B636" t="str">
        <x:v>2025-06</x:v>
      </x:c>
      <x:c r="C636" t="n">
        <x:v>45828</x:v>
      </x:c>
      <x:c r="D636" t="str">
        <x:v>USR-00035</x:v>
      </x:c>
      <x:c r="E636" t="str">
        <x:v>DEU-000060</x:v>
      </x:c>
      <x:c r="F636" t="n">
        <x:v>118300</x:v>
      </x:c>
      <x:c r="G636" t="n">
        <x:v>63035.65</x:v>
      </x:c>
      <x:c r="H636" t="n">
        <x:v>55264.35</x:v>
      </x:c>
      <x:c r="I636" t="n">
        <x:v>3886712.23</x:v>
      </x:c>
      <x:c r="J636" t="str">
        <x:v>En fecha</x:v>
      </x:c>
    </x:row>
    <x:row r="637">
      <x:c r="A637" t="str">
        <x:v>ABO-0000636</x:v>
      </x:c>
      <x:c r="B637" t="str">
        <x:v>2025-06</x:v>
      </x:c>
      <x:c r="C637" t="n">
        <x:v>45816</x:v>
      </x:c>
      <x:c r="D637" t="str">
        <x:v>USR-00036</x:v>
      </x:c>
      <x:c r="E637" t="str">
        <x:v>DEU-000061</x:v>
      </x:c>
      <x:c r="F637" t="n">
        <x:v>321200</x:v>
      </x:c>
      <x:c r="G637" t="n">
        <x:v>54068.84</x:v>
      </x:c>
      <x:c r="H637" t="n">
        <x:v>267131.16</x:v>
      </x:c>
      <x:c r="I637" t="n">
        <x:v>5189709.12</x:v>
      </x:c>
      <x:c r="J637" t="str">
        <x:v>En fecha</x:v>
      </x:c>
    </x:row>
    <x:row r="638">
      <x:c r="A638" t="str">
        <x:v>ABO-0000637</x:v>
      </x:c>
      <x:c r="B638" t="str">
        <x:v>2025-06</x:v>
      </x:c>
      <x:c r="C638" t="n">
        <x:v>45816</x:v>
      </x:c>
      <x:c r="D638" t="str">
        <x:v>USR-00036</x:v>
      </x:c>
      <x:c r="E638" t="str">
        <x:v>DEU-000062</x:v>
      </x:c>
      <x:c r="F638" t="n">
        <x:v>730800</x:v>
      </x:c>
      <x:c r="G638" t="n">
        <x:v>354552.89</x:v>
      </x:c>
      <x:c r="H638" t="n">
        <x:v>376247.11</x:v>
      </x:c>
      <x:c r="I638" t="n">
        <x:v>17662801.15</x:v>
      </x:c>
      <x:c r="J638" t="str">
        <x:v>En fecha</x:v>
      </x:c>
    </x:row>
    <x:row r="639">
      <x:c r="A639" t="str">
        <x:v>ABO-0000638</x:v>
      </x:c>
      <x:c r="B639" t="str">
        <x:v>2025-06</x:v>
      </x:c>
      <x:c r="C639" t="n">
        <x:v>45834</x:v>
      </x:c>
      <x:c r="D639" t="str">
        <x:v>USR-00037</x:v>
      </x:c>
      <x:c r="E639" t="str">
        <x:v>DEU-000064</x:v>
      </x:c>
      <x:c r="F639" t="n">
        <x:v>140100</x:v>
      </x:c>
      <x:c r="G639" t="n">
        <x:v>45366.82</x:v>
      </x:c>
      <x:c r="H639" t="n">
        <x:v>94733.18</x:v>
      </x:c>
      <x:c r="I639" t="n">
        <x:v>3240676.28</x:v>
      </x:c>
      <x:c r="J639" t="str">
        <x:v>En fecha</x:v>
      </x:c>
    </x:row>
    <x:row r="640">
      <x:c r="A640" t="str">
        <x:v>ABO-0000639</x:v>
      </x:c>
      <x:c r="B640" t="str">
        <x:v>2025-06</x:v>
      </x:c>
      <x:c r="C640" t="n">
        <x:v>45814</x:v>
      </x:c>
      <x:c r="D640" t="str">
        <x:v>USR-00038</x:v>
      </x:c>
      <x:c r="E640" t="str">
        <x:v>DEU-000065</x:v>
      </x:c>
      <x:c r="F640" t="n">
        <x:v>681800</x:v>
      </x:c>
      <x:c r="G640" t="n">
        <x:v>122375.48</x:v>
      </x:c>
      <x:c r="H640" t="n">
        <x:v>559424.52</x:v>
      </x:c>
      <x:c r="I640" t="n">
        <x:v>7576619.94</x:v>
      </x:c>
      <x:c r="J640" t="str">
        <x:v>En fecha</x:v>
      </x:c>
    </x:row>
    <x:row r="641">
      <x:c r="A641" t="str">
        <x:v>ABO-0000640</x:v>
      </x:c>
      <x:c r="B641" t="str">
        <x:v>2025-06</x:v>
      </x:c>
      <x:c r="C641" t="n">
        <x:v>45831</x:v>
      </x:c>
      <x:c r="D641" t="str">
        <x:v>USR-00038</x:v>
      </x:c>
      <x:c r="E641" t="str">
        <x:v>DEU-000066</x:v>
      </x:c>
      <x:c r="F641" t="n">
        <x:v>488500</x:v>
      </x:c>
      <x:c r="G641" t="n">
        <x:v>280146.27</x:v>
      </x:c>
      <x:c r="H641" t="n">
        <x:v>208353.73</x:v>
      </x:c>
      <x:c r="I641" t="n">
        <x:v>22759138.15</x:v>
      </x:c>
      <x:c r="J641" t="str">
        <x:v>Parcial</x:v>
      </x:c>
    </x:row>
    <x:row r="642">
      <x:c r="A642" t="str">
        <x:v>ABO-0000641</x:v>
      </x:c>
      <x:c r="B642" t="str">
        <x:v>2025-06</x:v>
      </x:c>
      <x:c r="C642" t="n">
        <x:v>45815</x:v>
      </x:c>
      <x:c r="D642" t="str">
        <x:v>USR-00039</x:v>
      </x:c>
      <x:c r="E642" t="str">
        <x:v>DEU-000068</x:v>
      </x:c>
      <x:c r="F642" t="n">
        <x:v>1239600</x:v>
      </x:c>
      <x:c r="G642" t="n">
        <x:v>96960.08</x:v>
      </x:c>
      <x:c r="H642" t="n">
        <x:v>1142639.92</x:v>
      </x:c>
      <x:c r="I642" t="n">
        <x:v>8762621.05</x:v>
      </x:c>
      <x:c r="J642" t="str">
        <x:v>En fecha</x:v>
      </x:c>
    </x:row>
    <x:row r="643">
      <x:c r="A643" t="str">
        <x:v>ABO-0000642</x:v>
      </x:c>
      <x:c r="B643" t="str">
        <x:v>2025-06</x:v>
      </x:c>
      <x:c r="C643" t="n">
        <x:v>45832</x:v>
      </x:c>
      <x:c r="D643" t="str">
        <x:v>USR-00040</x:v>
      </x:c>
      <x:c r="E643" t="str">
        <x:v>DEU-000069</x:v>
      </x:c>
      <x:c r="F643" t="n">
        <x:v>283900</x:v>
      </x:c>
      <x:c r="G643" t="n">
        <x:v>257574.92</x:v>
      </x:c>
      <x:c r="H643" t="n">
        <x:v>26325.08</x:v>
      </x:c>
      <x:c r="I643" t="n">
        <x:v>12013187.78</x:v>
      </x:c>
      <x:c r="J643" t="str">
        <x:v>Parcial</x:v>
      </x:c>
    </x:row>
    <x:row r="644">
      <x:c r="A644" t="str">
        <x:v>ABO-0000643</x:v>
      </x:c>
      <x:c r="B644" t="str">
        <x:v>2025-06</x:v>
      </x:c>
      <x:c r="C644" t="n">
        <x:v>45818</x:v>
      </x:c>
      <x:c r="D644" t="str">
        <x:v>USR-00040</x:v>
      </x:c>
      <x:c r="E644" t="str">
        <x:v>DEU-000070</x:v>
      </x:c>
      <x:c r="F644" t="n">
        <x:v>1132500</x:v>
      </x:c>
      <x:c r="G644" t="n">
        <x:v>137518.04</x:v>
      </x:c>
      <x:c r="H644" t="n">
        <x:v>994981.96</x:v>
      </x:c>
      <x:c r="I644" t="n">
        <x:v>13205745.09</x:v>
      </x:c>
      <x:c r="J644" t="str">
        <x:v>En fecha</x:v>
      </x:c>
    </x:row>
    <x:row r="645">
      <x:c r="A645" t="str">
        <x:v>ABO-0000644</x:v>
      </x:c>
      <x:c r="B645" t="str">
        <x:v>2025-06</x:v>
      </x:c>
      <x:c r="C645" t="n">
        <x:v>45835</x:v>
      </x:c>
      <x:c r="D645" t="str">
        <x:v>USR-00041</x:v>
      </x:c>
      <x:c r="E645" t="str">
        <x:v>DEU-000071</x:v>
      </x:c>
      <x:c r="F645" t="n">
        <x:v>1207800</x:v>
      </x:c>
      <x:c r="G645" t="n">
        <x:v>344089.98</x:v>
      </x:c>
      <x:c r="H645" t="n">
        <x:v>863710.02</x:v>
      </x:c>
      <x:c r="I645" t="n">
        <x:v>14422529.3</x:v>
      </x:c>
      <x:c r="J645" t="str">
        <x:v>Parcial</x:v>
      </x:c>
    </x:row>
    <x:row r="646">
      <x:c r="A646" t="str">
        <x:v>ABO-0000645</x:v>
      </x:c>
      <x:c r="B646" t="str">
        <x:v>2025-06</x:v>
      </x:c>
      <x:c r="C646" t="n">
        <x:v>45810</x:v>
      </x:c>
      <x:c r="D646" t="str">
        <x:v>USR-00042</x:v>
      </x:c>
      <x:c r="E646" t="str">
        <x:v>DEU-000072</x:v>
      </x:c>
      <x:c r="F646" t="n">
        <x:v>140000</x:v>
      </x:c>
      <x:c r="G646" t="n">
        <x:v>84908.65</x:v>
      </x:c>
      <x:c r="H646" t="n">
        <x:v>55091.35</x:v>
      </x:c>
      <x:c r="I646" t="n">
        <x:v>5240823.55</x:v>
      </x:c>
      <x:c r="J646" t="str">
        <x:v>En fecha</x:v>
      </x:c>
    </x:row>
    <x:row r="647">
      <x:c r="A647" t="str">
        <x:v>ABO-0000646</x:v>
      </x:c>
      <x:c r="B647" t="str">
        <x:v>2025-06</x:v>
      </x:c>
      <x:c r="C647" t="n">
        <x:v>45831</x:v>
      </x:c>
      <x:c r="D647" t="str">
        <x:v>USR-00042</x:v>
      </x:c>
      <x:c r="E647" t="str">
        <x:v>DEU-000073</x:v>
      </x:c>
      <x:c r="F647" t="n">
        <x:v>206400</x:v>
      </x:c>
      <x:c r="G647" t="n">
        <x:v>56910.89</x:v>
      </x:c>
      <x:c r="H647" t="n">
        <x:v>149489.11</x:v>
      </x:c>
      <x:c r="I647" t="n">
        <x:v>3544073.42</x:v>
      </x:c>
      <x:c r="J647" t="str">
        <x:v>En fecha</x:v>
      </x:c>
    </x:row>
    <x:row r="648">
      <x:c r="A648" t="str">
        <x:v>ABO-0000647</x:v>
      </x:c>
      <x:c r="B648" t="str">
        <x:v>2025-06</x:v>
      </x:c>
      <x:c r="C648" t="n">
        <x:v>45824</x:v>
      </x:c>
      <x:c r="D648" t="str">
        <x:v>USR-00043</x:v>
      </x:c>
      <x:c r="E648" t="str">
        <x:v>DEU-000074</x:v>
      </x:c>
      <x:c r="F648" t="n">
        <x:v>92800</x:v>
      </x:c>
      <x:c r="G648" t="n">
        <x:v>42854.13</x:v>
      </x:c>
      <x:c r="H648" t="n">
        <x:v>49945.87</x:v>
      </x:c>
      <x:c r="I648" t="n">
        <x:v>3085830</x:v>
      </x:c>
      <x:c r="J648" t="str">
        <x:v>Parcial</x:v>
      </x:c>
    </x:row>
    <x:row r="649">
      <x:c r="A649" t="str">
        <x:v>ABO-0000648</x:v>
      </x:c>
      <x:c r="B649" t="str">
        <x:v>2025-06</x:v>
      </x:c>
      <x:c r="C649" t="n">
        <x:v>45830</x:v>
      </x:c>
      <x:c r="D649" t="str">
        <x:v>USR-00044</x:v>
      </x:c>
      <x:c r="E649" t="str">
        <x:v>DEU-000077</x:v>
      </x:c>
      <x:c r="F649" t="n">
        <x:v>375600</x:v>
      </x:c>
      <x:c r="G649" t="n">
        <x:v>232275.33</x:v>
      </x:c>
      <x:c r="H649" t="n">
        <x:v>143324.67</x:v>
      </x:c>
      <x:c r="I649" t="n">
        <x:v>10063283.61</x:v>
      </x:c>
      <x:c r="J649" t="str">
        <x:v>En fecha</x:v>
      </x:c>
    </x:row>
    <x:row r="650">
      <x:c r="A650" t="str">
        <x:v>ABO-0000649</x:v>
      </x:c>
      <x:c r="B650" t="str">
        <x:v>2025-06</x:v>
      </x:c>
      <x:c r="C650" t="n">
        <x:v>45832</x:v>
      </x:c>
      <x:c r="D650" t="str">
        <x:v>USR-00046</x:v>
      </x:c>
      <x:c r="E650" t="str">
        <x:v>DEU-000079</x:v>
      </x:c>
      <x:c r="F650" t="n">
        <x:v>341000</x:v>
      </x:c>
      <x:c r="G650" t="n">
        <x:v>163219.93</x:v>
      </x:c>
      <x:c r="H650" t="n">
        <x:v>177780.07</x:v>
      </x:c>
      <x:c r="I650" t="n">
        <x:v>6815044.16</x:v>
      </x:c>
      <x:c r="J650" t="str">
        <x:v>En fecha</x:v>
      </x:c>
    </x:row>
    <x:row r="651">
      <x:c r="A651" t="str">
        <x:v>ABO-0000650</x:v>
      </x:c>
      <x:c r="B651" t="str">
        <x:v>2025-06</x:v>
      </x:c>
      <x:c r="C651" t="n">
        <x:v>45822</x:v>
      </x:c>
      <x:c r="D651" t="str">
        <x:v>USR-00047</x:v>
      </x:c>
      <x:c r="E651" t="str">
        <x:v>DEU-000080</x:v>
      </x:c>
      <x:c r="F651" t="n">
        <x:v>248200</x:v>
      </x:c>
      <x:c r="G651" t="n">
        <x:v>83168.55</x:v>
      </x:c>
      <x:c r="H651" t="n">
        <x:v>165031.45</x:v>
      </x:c>
      <x:c r="I651" t="n">
        <x:v>3328652.01</x:v>
      </x:c>
      <x:c r="J651" t="str">
        <x:v>En fecha</x:v>
      </x:c>
    </x:row>
    <x:row r="652">
      <x:c r="A652" t="str">
        <x:v>ABO-0000651</x:v>
      </x:c>
      <x:c r="B652" t="str">
        <x:v>2025-06</x:v>
      </x:c>
      <x:c r="C652" t="n">
        <x:v>45816</x:v>
      </x:c>
      <x:c r="D652" t="str">
        <x:v>USR-00048</x:v>
      </x:c>
      <x:c r="E652" t="str">
        <x:v>DEU-000082</x:v>
      </x:c>
      <x:c r="F652" t="n">
        <x:v>652000</x:v>
      </x:c>
      <x:c r="G652" t="n">
        <x:v>144390.76</x:v>
      </x:c>
      <x:c r="H652" t="n">
        <x:v>507609.24</x:v>
      </x:c>
      <x:c r="I652" t="n">
        <x:v>15156399.68</x:v>
      </x:c>
      <x:c r="J652" t="str">
        <x:v>En fecha</x:v>
      </x:c>
    </x:row>
    <x:row r="653">
      <x:c r="A653" t="str">
        <x:v>ABO-0000652</x:v>
      </x:c>
      <x:c r="B653" t="str">
        <x:v>2025-06</x:v>
      </x:c>
      <x:c r="C653" t="n">
        <x:v>45815</x:v>
      </x:c>
      <x:c r="D653" t="str">
        <x:v>USR-00048</x:v>
      </x:c>
      <x:c r="E653" t="str">
        <x:v>DEU-000083</x:v>
      </x:c>
      <x:c r="F653" t="n">
        <x:v>1156600</x:v>
      </x:c>
      <x:c r="G653" t="n">
        <x:v>198031.11</x:v>
      </x:c>
      <x:c r="H653" t="n">
        <x:v>958568.89</x:v>
      </x:c>
      <x:c r="I653" t="n">
        <x:v>21346326.47</x:v>
      </x:c>
      <x:c r="J653" t="str">
        <x:v>En fecha</x:v>
      </x:c>
    </x:row>
    <x:row r="654">
      <x:c r="A654" t="str">
        <x:v>ABO-0000653</x:v>
      </x:c>
      <x:c r="B654" t="str">
        <x:v>2025-06</x:v>
      </x:c>
      <x:c r="C654" t="n">
        <x:v>45810</x:v>
      </x:c>
      <x:c r="D654" t="str">
        <x:v>USR-00048</x:v>
      </x:c>
      <x:c r="E654" t="str">
        <x:v>DEU-000278</x:v>
      </x:c>
      <x:c r="F654" t="n">
        <x:v>224000</x:v>
      </x:c>
      <x:c r="G654" t="n">
        <x:v>69081.34</x:v>
      </x:c>
      <x:c r="H654" t="n">
        <x:v>154918.66</x:v>
      </x:c>
      <x:c r="I654" t="n">
        <x:v>3815081.34</x:v>
      </x:c>
      <x:c r="J654" t="str">
        <x:v>En fecha</x:v>
      </x:c>
    </x:row>
    <x:row r="655">
      <x:c r="A655" t="str">
        <x:v>ABO-0000654</x:v>
      </x:c>
      <x:c r="B655" t="str">
        <x:v>2025-06</x:v>
      </x:c>
      <x:c r="C655" t="n">
        <x:v>45817</x:v>
      </x:c>
      <x:c r="D655" t="str">
        <x:v>USR-00049</x:v>
      </x:c>
      <x:c r="E655" t="str">
        <x:v>DEU-000084</x:v>
      </x:c>
      <x:c r="F655" t="n">
        <x:v>578200</x:v>
      </x:c>
      <x:c r="G655" t="n">
        <x:v>363000.29</x:v>
      </x:c>
      <x:c r="H655" t="n">
        <x:v>215199.71</x:v>
      </x:c>
      <x:c r="I655" t="n">
        <x:v>19323109.83</x:v>
      </x:c>
      <x:c r="J655" t="str">
        <x:v>En fecha</x:v>
      </x:c>
    </x:row>
    <x:row r="656">
      <x:c r="A656" t="str">
        <x:v>ABO-0000655</x:v>
      </x:c>
      <x:c r="B656" t="str">
        <x:v>2025-06</x:v>
      </x:c>
      <x:c r="C656" t="n">
        <x:v>45833</x:v>
      </x:c>
      <x:c r="D656" t="str">
        <x:v>USR-00051</x:v>
      </x:c>
      <x:c r="E656" t="str">
        <x:v>DEU-000087</x:v>
      </x:c>
      <x:c r="F656" t="n">
        <x:v>1524400</x:v>
      </x:c>
      <x:c r="G656" t="n">
        <x:v>327440.2</x:v>
      </x:c>
      <x:c r="H656" t="n">
        <x:v>1196959.8</x:v>
      </x:c>
      <x:c r="I656" t="n">
        <x:v>19899969.7</x:v>
      </x:c>
      <x:c r="J656" t="str">
        <x:v>En fecha</x:v>
      </x:c>
    </x:row>
    <x:row r="657">
      <x:c r="A657" t="str">
        <x:v>ABO-0000656</x:v>
      </x:c>
      <x:c r="B657" t="str">
        <x:v>2025-06</x:v>
      </x:c>
      <x:c r="C657" t="n">
        <x:v>45825</x:v>
      </x:c>
      <x:c r="D657" t="str">
        <x:v>USR-00051</x:v>
      </x:c>
      <x:c r="E657" t="str">
        <x:v>DEU-000088</x:v>
      </x:c>
      <x:c r="F657" t="n">
        <x:v>679600</x:v>
      </x:c>
      <x:c r="G657" t="n">
        <x:v>86938.59</x:v>
      </x:c>
      <x:c r="H657" t="n">
        <x:v>592661.41</x:v>
      </x:c>
      <x:c r="I657" t="n">
        <x:v>5096566.87</x:v>
      </x:c>
      <x:c r="J657" t="str">
        <x:v>En fecha</x:v>
      </x:c>
    </x:row>
    <x:row r="658">
      <x:c r="A658" t="str">
        <x:v>ABO-0000657</x:v>
      </x:c>
      <x:c r="B658" t="str">
        <x:v>2025-06</x:v>
      </x:c>
      <x:c r="C658" t="n">
        <x:v>45835</x:v>
      </x:c>
      <x:c r="D658" t="str">
        <x:v>USR-00051</x:v>
      </x:c>
      <x:c r="E658" t="str">
        <x:v>DEU-000090</x:v>
      </x:c>
      <x:c r="F658" t="n">
        <x:v>451400</x:v>
      </x:c>
      <x:c r="G658" t="n">
        <x:v>65139.11</x:v>
      </x:c>
      <x:c r="H658" t="n">
        <x:v>386260.89</x:v>
      </x:c>
      <x:c r="I658" t="n">
        <x:v>2848400.73</x:v>
      </x:c>
      <x:c r="J658" t="str">
        <x:v>En fecha</x:v>
      </x:c>
    </x:row>
    <x:row r="659">
      <x:c r="A659" t="str">
        <x:v>ABO-0000658</x:v>
      </x:c>
      <x:c r="B659" t="str">
        <x:v>2025-06</x:v>
      </x:c>
      <x:c r="C659" t="n">
        <x:v>45818</x:v>
      </x:c>
      <x:c r="D659" t="str">
        <x:v>USR-00053</x:v>
      </x:c>
      <x:c r="E659" t="str">
        <x:v>DEU-000092</x:v>
      </x:c>
      <x:c r="F659" t="n">
        <x:v>319000</x:v>
      </x:c>
      <x:c r="G659" t="n">
        <x:v>102373.92</x:v>
      </x:c>
      <x:c r="H659" t="n">
        <x:v>216626.08</x:v>
      </x:c>
      <x:c r="I659" t="n">
        <x:v>4550866.55</x:v>
      </x:c>
      <x:c r="J659" t="str">
        <x:v>En fecha</x:v>
      </x:c>
    </x:row>
    <x:row r="660">
      <x:c r="A660" t="str">
        <x:v>ABO-0000659</x:v>
      </x:c>
      <x:c r="B660" t="str">
        <x:v>2025-06</x:v>
      </x:c>
      <x:c r="C660" t="n">
        <x:v>45812</x:v>
      </x:c>
      <x:c r="D660" t="str">
        <x:v>USR-00053</x:v>
      </x:c>
      <x:c r="E660" t="str">
        <x:v>DEU-000093</x:v>
      </x:c>
      <x:c r="F660" t="n">
        <x:v>318600</x:v>
      </x:c>
      <x:c r="G660" t="n">
        <x:v>72759</x:v>
      </x:c>
      <x:c r="H660" t="n">
        <x:v>245841</x:v>
      </x:c>
      <x:c r="I660" t="n">
        <x:v>3844950.79</x:v>
      </x:c>
      <x:c r="J660" t="str">
        <x:v>En fecha</x:v>
      </x:c>
    </x:row>
    <x:row r="661">
      <x:c r="A661" t="str">
        <x:v>ABO-0000660</x:v>
      </x:c>
      <x:c r="B661" t="str">
        <x:v>2025-06</x:v>
      </x:c>
      <x:c r="C661" t="n">
        <x:v>45824</x:v>
      </x:c>
      <x:c r="D661" t="str">
        <x:v>USR-00053</x:v>
      </x:c>
      <x:c r="E661" t="str">
        <x:v>DEU-000094</x:v>
      </x:c>
      <x:c r="F661" t="n">
        <x:v>50700</x:v>
      </x:c>
      <x:c r="G661" t="n">
        <x:v>46694.2</x:v>
      </x:c>
      <x:c r="H661" t="n">
        <x:v>4005.8</x:v>
      </x:c>
      <x:c r="I661" t="n">
        <x:v>2303990.63</x:v>
      </x:c>
      <x:c r="J661" t="str">
        <x:v>Parcial</x:v>
      </x:c>
    </x:row>
    <x:row r="662">
      <x:c r="A662" t="str">
        <x:v>ABO-0000661</x:v>
      </x:c>
      <x:c r="B662" t="str">
        <x:v>2025-06</x:v>
      </x:c>
      <x:c r="C662" t="n">
        <x:v>45823</x:v>
      </x:c>
      <x:c r="D662" t="str">
        <x:v>USR-00054</x:v>
      </x:c>
      <x:c r="E662" t="str">
        <x:v>DEU-000096</x:v>
      </x:c>
      <x:c r="F662" t="n">
        <x:v>96500</x:v>
      </x:c>
      <x:c r="G662" t="n">
        <x:v>39801.12</x:v>
      </x:c>
      <x:c r="H662" t="n">
        <x:v>56698.88</x:v>
      </x:c>
      <x:c r="I662" t="n">
        <x:v>1898962.07</x:v>
      </x:c>
      <x:c r="J662" t="str">
        <x:v>En fecha</x:v>
      </x:c>
    </x:row>
    <x:row r="663">
      <x:c r="A663" t="str">
        <x:v>ABO-0000662</x:v>
      </x:c>
      <x:c r="B663" t="str">
        <x:v>2025-06</x:v>
      </x:c>
      <x:c r="C663" t="n">
        <x:v>45815</x:v>
      </x:c>
      <x:c r="D663" t="str">
        <x:v>USR-00054</x:v>
      </x:c>
      <x:c r="E663" t="str">
        <x:v>DEU-000097</x:v>
      </x:c>
      <x:c r="F663" t="n">
        <x:v>3258100</x:v>
      </x:c>
      <x:c r="G663" t="n">
        <x:v>322873.21</x:v>
      </x:c>
      <x:c r="H663" t="n">
        <x:v>2935226.79</x:v>
      </x:c>
      <x:c r="I663" t="n">
        <x:v>20420821.6</x:v>
      </x:c>
      <x:c r="J663" t="str">
        <x:v>En fecha</x:v>
      </x:c>
    </x:row>
    <x:row r="664">
      <x:c r="A664" t="str">
        <x:v>ABO-0000663</x:v>
      </x:c>
      <x:c r="B664" t="str">
        <x:v>2025-06</x:v>
      </x:c>
      <x:c r="C664" t="n">
        <x:v>45827</x:v>
      </x:c>
      <x:c r="D664" t="str">
        <x:v>USR-00054</x:v>
      </x:c>
      <x:c r="E664" t="str">
        <x:v>DEU-000098</x:v>
      </x:c>
      <x:c r="F664" t="n">
        <x:v>696000</x:v>
      </x:c>
      <x:c r="G664" t="n">
        <x:v>183467.41</x:v>
      </x:c>
      <x:c r="H664" t="n">
        <x:v>512532.59</x:v>
      </x:c>
      <x:c r="I664" t="n">
        <x:v>15592721.1</x:v>
      </x:c>
      <x:c r="J664" t="str">
        <x:v>Parcial</x:v>
      </x:c>
    </x:row>
    <x:row r="665">
      <x:c r="A665" t="str">
        <x:v>ABO-0000664</x:v>
      </x:c>
      <x:c r="B665" t="str">
        <x:v>2025-06</x:v>
      </x:c>
      <x:c r="C665" t="n">
        <x:v>45828</x:v>
      </x:c>
      <x:c r="D665" t="str">
        <x:v>USR-00054</x:v>
      </x:c>
      <x:c r="E665" t="str">
        <x:v>DEU-000099</x:v>
      </x:c>
      <x:c r="F665" t="n">
        <x:v>183800</x:v>
      </x:c>
      <x:c r="G665" t="n">
        <x:v>22336.34</x:v>
      </x:c>
      <x:c r="H665" t="n">
        <x:v>161463.66</x:v>
      </x:c>
      <x:c r="I665" t="n">
        <x:v>2406899.84</x:v>
      </x:c>
      <x:c r="J665" t="str">
        <x:v>En fecha</x:v>
      </x:c>
    </x:row>
    <x:row r="666">
      <x:c r="A666" t="str">
        <x:v>ABO-0000665</x:v>
      </x:c>
      <x:c r="B666" t="str">
        <x:v>2025-06</x:v>
      </x:c>
      <x:c r="C666" t="n">
        <x:v>45823</x:v>
      </x:c>
      <x:c r="D666" t="str">
        <x:v>USR-00055</x:v>
      </x:c>
      <x:c r="E666" t="str">
        <x:v>DEU-000101</x:v>
      </x:c>
      <x:c r="F666" t="n">
        <x:v>426700</x:v>
      </x:c>
      <x:c r="G666" t="n">
        <x:v>150464.04</x:v>
      </x:c>
      <x:c r="H666" t="n">
        <x:v>276235.96</x:v>
      </x:c>
      <x:c r="I666" t="n">
        <x:v>6103029.67</x:v>
      </x:c>
      <x:c r="J666" t="str">
        <x:v>En fecha</x:v>
      </x:c>
    </x:row>
    <x:row r="667">
      <x:c r="A667" t="str">
        <x:v>ABO-0000666</x:v>
      </x:c>
      <x:c r="B667" t="str">
        <x:v>2025-06</x:v>
      </x:c>
      <x:c r="C667" t="n">
        <x:v>45817</x:v>
      </x:c>
      <x:c r="D667" t="str">
        <x:v>USR-00056</x:v>
      </x:c>
      <x:c r="E667" t="str">
        <x:v>DEU-000102</x:v>
      </x:c>
      <x:c r="F667" t="n">
        <x:v>124500</x:v>
      </x:c>
      <x:c r="G667" t="n">
        <x:v>59271.75</x:v>
      </x:c>
      <x:c r="H667" t="n">
        <x:v>65228.25</x:v>
      </x:c>
      <x:c r="I667" t="n">
        <x:v>2742555.32</x:v>
      </x:c>
      <x:c r="J667" t="str">
        <x:v>En fecha</x:v>
      </x:c>
    </x:row>
    <x:row r="668">
      <x:c r="A668" t="str">
        <x:v>ABO-0000667</x:v>
      </x:c>
      <x:c r="B668" t="str">
        <x:v>2025-06</x:v>
      </x:c>
      <x:c r="C668" t="n">
        <x:v>45823</x:v>
      </x:c>
      <x:c r="D668" t="str">
        <x:v>USR-00057</x:v>
      </x:c>
      <x:c r="E668" t="str">
        <x:v>DEU-000103</x:v>
      </x:c>
      <x:c r="F668" t="n">
        <x:v>5610500</x:v>
      </x:c>
      <x:c r="G668" t="n">
        <x:v>539478.81</x:v>
      </x:c>
      <x:c r="H668" t="n">
        <x:v>5071021.19</x:v>
      </x:c>
      <x:c r="I668" t="n">
        <x:v>41563718.45</x:v>
      </x:c>
      <x:c r="J668" t="str">
        <x:v>En fecha</x:v>
      </x:c>
    </x:row>
    <x:row r="669">
      <x:c r="A669" t="str">
        <x:v>ABO-0000668</x:v>
      </x:c>
      <x:c r="B669" t="str">
        <x:v>2025-06</x:v>
      </x:c>
      <x:c r="C669" t="n">
        <x:v>45809</x:v>
      </x:c>
      <x:c r="D669" t="str">
        <x:v>USR-00057</x:v>
      </x:c>
      <x:c r="E669" t="str">
        <x:v>DEU-000104</x:v>
      </x:c>
      <x:c r="F669" t="n">
        <x:v>1713000</x:v>
      </x:c>
      <x:c r="G669" t="n">
        <x:v>668193.95</x:v>
      </x:c>
      <x:c r="H669" t="n">
        <x:v>1044806.05</x:v>
      </x:c>
      <x:c r="I669" t="n">
        <x:v>28001737.01</x:v>
      </x:c>
      <x:c r="J669" t="str">
        <x:v>Parcial</x:v>
      </x:c>
    </x:row>
    <x:row r="670">
      <x:c r="A670" t="str">
        <x:v>ABO-0000669</x:v>
      </x:c>
      <x:c r="B670" t="str">
        <x:v>2025-06</x:v>
      </x:c>
      <x:c r="C670" t="n">
        <x:v>45809</x:v>
      </x:c>
      <x:c r="D670" t="str">
        <x:v>USR-00058</x:v>
      </x:c>
      <x:c r="E670" t="str">
        <x:v>DEU-000105</x:v>
      </x:c>
      <x:c r="F670" t="n">
        <x:v>1443200</x:v>
      </x:c>
      <x:c r="G670" t="n">
        <x:v>305489.15</x:v>
      </x:c>
      <x:c r="H670" t="n">
        <x:v>1137710.85</x:v>
      </x:c>
      <x:c r="I670" t="n">
        <x:v>13265983.1</x:v>
      </x:c>
      <x:c r="J670" t="str">
        <x:v>En fecha</x:v>
      </x:c>
    </x:row>
    <x:row r="671">
      <x:c r="A671" t="str">
        <x:v>ABO-0000670</x:v>
      </x:c>
      <x:c r="B671" t="str">
        <x:v>2025-06</x:v>
      </x:c>
      <x:c r="C671" t="n">
        <x:v>45829</x:v>
      </x:c>
      <x:c r="D671" t="str">
        <x:v>USR-00058</x:v>
      </x:c>
      <x:c r="E671" t="str">
        <x:v>DEU-000106</x:v>
      </x:c>
      <x:c r="F671" t="n">
        <x:v>608200</x:v>
      </x:c>
      <x:c r="G671" t="n">
        <x:v>160390.88</x:v>
      </x:c>
      <x:c r="H671" t="n">
        <x:v>447809.12</x:v>
      </x:c>
      <x:c r="I671" t="n">
        <x:v>5972537.54</x:v>
      </x:c>
      <x:c r="J671" t="str">
        <x:v>Parcial</x:v>
      </x:c>
    </x:row>
    <x:row r="672">
      <x:c r="A672" t="str">
        <x:v>ABO-0000671</x:v>
      </x:c>
      <x:c r="B672" t="str">
        <x:v>2025-06</x:v>
      </x:c>
      <x:c r="C672" t="n">
        <x:v>45809</x:v>
      </x:c>
      <x:c r="D672" t="str">
        <x:v>USR-00059</x:v>
      </x:c>
      <x:c r="E672" t="str">
        <x:v>DEU-000107</x:v>
      </x:c>
      <x:c r="F672" t="n">
        <x:v>236300</x:v>
      </x:c>
      <x:c r="G672" t="n">
        <x:v>105123.82</x:v>
      </x:c>
      <x:c r="H672" t="n">
        <x:v>131176.18</x:v>
      </x:c>
      <x:c r="I672" t="n">
        <x:v>4975605.38</x:v>
      </x:c>
      <x:c r="J672" t="str">
        <x:v>En fecha</x:v>
      </x:c>
    </x:row>
    <x:row r="673">
      <x:c r="A673" t="str">
        <x:v>ABO-0000672</x:v>
      </x:c>
      <x:c r="B673" t="str">
        <x:v>2025-06</x:v>
      </x:c>
      <x:c r="C673" t="n">
        <x:v>45830</x:v>
      </x:c>
      <x:c r="D673" t="str">
        <x:v>USR-00059</x:v>
      </x:c>
      <x:c r="E673" t="str">
        <x:v>DEU-000108</x:v>
      </x:c>
      <x:c r="F673" t="n">
        <x:v>3592900</x:v>
      </x:c>
      <x:c r="G673" t="n">
        <x:v>773686.53</x:v>
      </x:c>
      <x:c r="H673" t="n">
        <x:v>2819213.47</x:v>
      </x:c>
      <x:c r="I673" t="n">
        <x:v>40714031.39</x:v>
      </x:c>
      <x:c r="J673" t="str">
        <x:v>En fecha</x:v>
      </x:c>
    </x:row>
    <x:row r="674">
      <x:c r="A674" t="str">
        <x:v>ABO-0000673</x:v>
      </x:c>
      <x:c r="B674" t="str">
        <x:v>2025-06</x:v>
      </x:c>
      <x:c r="C674" t="n">
        <x:v>45812</x:v>
      </x:c>
      <x:c r="D674" t="str">
        <x:v>USR-00060</x:v>
      </x:c>
      <x:c r="E674" t="str">
        <x:v>DEU-000109</x:v>
      </x:c>
      <x:c r="F674" t="n">
        <x:v>136300</x:v>
      </x:c>
      <x:c r="G674" t="n">
        <x:v>93140.43</x:v>
      </x:c>
      <x:c r="H674" t="n">
        <x:v>43159.57</x:v>
      </x:c>
      <x:c r="I674" t="n">
        <x:v>4783390.72</x:v>
      </x:c>
      <x:c r="J674" t="str">
        <x:v>En fecha</x:v>
      </x:c>
    </x:row>
    <x:row r="675">
      <x:c r="A675" t="str">
        <x:v>ABO-0000674</x:v>
      </x:c>
      <x:c r="B675" t="str">
        <x:v>2025-06</x:v>
      </x:c>
      <x:c r="C675" t="n">
        <x:v>45832</x:v>
      </x:c>
      <x:c r="D675" t="str">
        <x:v>USR-00060</x:v>
      </x:c>
      <x:c r="E675" t="str">
        <x:v>DEU-000110</x:v>
      </x:c>
      <x:c r="F675" t="n">
        <x:v>1221900</x:v>
      </x:c>
      <x:c r="G675" t="n">
        <x:v>330266.32</x:v>
      </x:c>
      <x:c r="H675" t="n">
        <x:v>891633.68</x:v>
      </x:c>
      <x:c r="I675" t="n">
        <x:v>15940565.97</x:v>
      </x:c>
      <x:c r="J675" t="str">
        <x:v>En fecha</x:v>
      </x:c>
    </x:row>
    <x:row r="676">
      <x:c r="A676" t="str">
        <x:v>ABO-0000675</x:v>
      </x:c>
      <x:c r="B676" t="str">
        <x:v>2025-06</x:v>
      </x:c>
      <x:c r="C676" t="n">
        <x:v>45817</x:v>
      </x:c>
      <x:c r="D676" t="str">
        <x:v>USR-00061</x:v>
      </x:c>
      <x:c r="E676" t="str">
        <x:v>DEU-000111</x:v>
      </x:c>
      <x:c r="F676" t="n">
        <x:v>434100</x:v>
      </x:c>
      <x:c r="G676" t="n">
        <x:v>301510.66</x:v>
      </x:c>
      <x:c r="H676" t="n">
        <x:v>132589.34</x:v>
      </x:c>
      <x:c r="I676" t="n">
        <x:v>15404789.44</x:v>
      </x:c>
      <x:c r="J676" t="str">
        <x:v>En fecha</x:v>
      </x:c>
    </x:row>
    <x:row r="677">
      <x:c r="A677" t="str">
        <x:v>ABO-0000676</x:v>
      </x:c>
      <x:c r="B677" t="str">
        <x:v>2025-06</x:v>
      </x:c>
      <x:c r="C677" t="n">
        <x:v>45831</x:v>
      </x:c>
      <x:c r="D677" t="str">
        <x:v>USR-00062</x:v>
      </x:c>
      <x:c r="E677" t="str">
        <x:v>DEU-000113</x:v>
      </x:c>
      <x:c r="F677" t="n">
        <x:v>828000</x:v>
      </x:c>
      <x:c r="G677" t="n">
        <x:v>411647.46</x:v>
      </x:c>
      <x:c r="H677" t="n">
        <x:v>416352.54</x:v>
      </x:c>
      <x:c r="I677" t="n">
        <x:v>16542121.97</x:v>
      </x:c>
      <x:c r="J677" t="str">
        <x:v>En fecha</x:v>
      </x:c>
    </x:row>
    <x:row r="678">
      <x:c r="A678" t="str">
        <x:v>ABO-0000677</x:v>
      </x:c>
      <x:c r="B678" t="str">
        <x:v>2025-06</x:v>
      </x:c>
      <x:c r="C678" t="n">
        <x:v>45811</x:v>
      </x:c>
      <x:c r="D678" t="str">
        <x:v>USR-00063</x:v>
      </x:c>
      <x:c r="E678" t="str">
        <x:v>DEU-000114</x:v>
      </x:c>
      <x:c r="F678" t="n">
        <x:v>482600</x:v>
      </x:c>
      <x:c r="G678" t="n">
        <x:v>363356.64</x:v>
      </x:c>
      <x:c r="H678" t="n">
        <x:v>119243.36</x:v>
      </x:c>
      <x:c r="I678" t="n">
        <x:v>17430025.06</x:v>
      </x:c>
      <x:c r="J678" t="str">
        <x:v>Parcial</x:v>
      </x:c>
    </x:row>
    <x:row r="679">
      <x:c r="A679" t="str">
        <x:v>ABO-0000678</x:v>
      </x:c>
      <x:c r="B679" t="str">
        <x:v>2025-06</x:v>
      </x:c>
      <x:c r="C679" t="n">
        <x:v>45817</x:v>
      </x:c>
      <x:c r="D679" t="str">
        <x:v>USR-00064</x:v>
      </x:c>
      <x:c r="E679" t="str">
        <x:v>DEU-000116</x:v>
      </x:c>
      <x:c r="F679" t="n">
        <x:v>39000</x:v>
      </x:c>
      <x:c r="G679" t="n">
        <x:v>25752.1</x:v>
      </x:c>
      <x:c r="H679" t="n">
        <x:v>13247.9</x:v>
      </x:c>
      <x:c r="I679" t="n">
        <x:v>1469035.34</x:v>
      </x:c>
      <x:c r="J679" t="str">
        <x:v>Parcial</x:v>
      </x:c>
    </x:row>
    <x:row r="680">
      <x:c r="A680" t="str">
        <x:v>ABO-0000679</x:v>
      </x:c>
      <x:c r="B680" t="str">
        <x:v>2025-06</x:v>
      </x:c>
      <x:c r="C680" t="n">
        <x:v>45823</x:v>
      </x:c>
      <x:c r="D680" t="str">
        <x:v>USR-00065</x:v>
      </x:c>
      <x:c r="E680" t="str">
        <x:v>DEU-000117</x:v>
      </x:c>
      <x:c r="F680" t="n">
        <x:v>786100</x:v>
      </x:c>
      <x:c r="G680" t="n">
        <x:v>273505.85</x:v>
      </x:c>
      <x:c r="H680" t="n">
        <x:v>512594.15</x:v>
      </x:c>
      <x:c r="I680" t="n">
        <x:v>17197686.8</x:v>
      </x:c>
      <x:c r="J680" t="str">
        <x:v>Parcial</x:v>
      </x:c>
    </x:row>
    <x:row r="681">
      <x:c r="A681" t="str">
        <x:v>ABO-0000680</x:v>
      </x:c>
      <x:c r="B681" t="str">
        <x:v>2025-06</x:v>
      </x:c>
      <x:c r="C681" t="n">
        <x:v>45832</x:v>
      </x:c>
      <x:c r="D681" t="str">
        <x:v>USR-00065</x:v>
      </x:c>
      <x:c r="E681" t="str">
        <x:v>DEU-000118</x:v>
      </x:c>
      <x:c r="F681" t="n">
        <x:v>1016700</x:v>
      </x:c>
      <x:c r="G681" t="n">
        <x:v>546778.66</x:v>
      </x:c>
      <x:c r="H681" t="n">
        <x:v>469921.34</x:v>
      </x:c>
      <x:c r="I681" t="n">
        <x:v>25230344.19</x:v>
      </x:c>
      <x:c r="J681" t="str">
        <x:v>Parcial</x:v>
      </x:c>
    </x:row>
    <x:row r="682">
      <x:c r="A682" t="str">
        <x:v>ABO-0000681</x:v>
      </x:c>
      <x:c r="B682" t="str">
        <x:v>2025-06</x:v>
      </x:c>
      <x:c r="C682" t="n">
        <x:v>45833</x:v>
      </x:c>
      <x:c r="D682" t="str">
        <x:v>USR-00065</x:v>
      </x:c>
      <x:c r="E682" t="str">
        <x:v>DEU-000119</x:v>
      </x:c>
      <x:c r="F682" t="n">
        <x:v>365200</x:v>
      </x:c>
      <x:c r="G682" t="n">
        <x:v>208706.8</x:v>
      </x:c>
      <x:c r="H682" t="n">
        <x:v>156493.2</x:v>
      </x:c>
      <x:c r="I682" t="n">
        <x:v>13804594.38</x:v>
      </x:c>
      <x:c r="J682" t="str">
        <x:v>En fecha</x:v>
      </x:c>
    </x:row>
    <x:row r="683">
      <x:c r="A683" t="str">
        <x:v>ABO-0000682</x:v>
      </x:c>
      <x:c r="B683" t="str">
        <x:v>2025-06</x:v>
      </x:c>
      <x:c r="C683" t="n">
        <x:v>45814</x:v>
      </x:c>
      <x:c r="D683" t="str">
        <x:v>USR-00066</x:v>
      </x:c>
      <x:c r="E683" t="str">
        <x:v>DEU-000120</x:v>
      </x:c>
      <x:c r="F683" t="n">
        <x:v>118600</x:v>
      </x:c>
      <x:c r="G683" t="n">
        <x:v>61612.45</x:v>
      </x:c>
      <x:c r="H683" t="n">
        <x:v>56987.55</x:v>
      </x:c>
      <x:c r="I683" t="n">
        <x:v>3068125.68</x:v>
      </x:c>
      <x:c r="J683" t="str">
        <x:v>En fecha</x:v>
      </x:c>
    </x:row>
    <x:row r="684">
      <x:c r="A684" t="str">
        <x:v>ABO-0000683</x:v>
      </x:c>
      <x:c r="B684" t="str">
        <x:v>2025-06</x:v>
      </x:c>
      <x:c r="C684" t="n">
        <x:v>45820</x:v>
      </x:c>
      <x:c r="D684" t="str">
        <x:v>USR-00066</x:v>
      </x:c>
      <x:c r="E684" t="str">
        <x:v>DEU-000121</x:v>
      </x:c>
      <x:c r="F684" t="n">
        <x:v>331000</x:v>
      </x:c>
      <x:c r="G684" t="n">
        <x:v>108412.54</x:v>
      </x:c>
      <x:c r="H684" t="n">
        <x:v>222587.46</x:v>
      </x:c>
      <x:c r="I684" t="n">
        <x:v>9337381.81</x:v>
      </x:c>
      <x:c r="J684" t="str">
        <x:v>En fecha</x:v>
      </x:c>
    </x:row>
    <x:row r="685">
      <x:c r="A685" t="str">
        <x:v>ABO-0000684</x:v>
      </x:c>
      <x:c r="B685" t="str">
        <x:v>2025-06</x:v>
      </x:c>
      <x:c r="C685" t="n">
        <x:v>45809</x:v>
      </x:c>
      <x:c r="D685" t="str">
        <x:v>USR-00066</x:v>
      </x:c>
      <x:c r="E685" t="str">
        <x:v>DEU-000123</x:v>
      </x:c>
      <x:c r="F685" t="n">
        <x:v>708100</x:v>
      </x:c>
      <x:c r="G685" t="n">
        <x:v>227020.61</x:v>
      </x:c>
      <x:c r="H685" t="n">
        <x:v>481079.39</x:v>
      </x:c>
      <x:c r="I685" t="n">
        <x:v>15690008.67</x:v>
      </x:c>
      <x:c r="J685" t="str">
        <x:v>En fecha</x:v>
      </x:c>
    </x:row>
    <x:row r="686">
      <x:c r="A686" t="str">
        <x:v>ABO-0000685</x:v>
      </x:c>
      <x:c r="B686" t="str">
        <x:v>2025-06</x:v>
      </x:c>
      <x:c r="C686" t="n">
        <x:v>45826</x:v>
      </x:c>
      <x:c r="D686" t="str">
        <x:v>USR-00067</x:v>
      </x:c>
      <x:c r="E686" t="str">
        <x:v>DEU-000124</x:v>
      </x:c>
      <x:c r="F686" t="n">
        <x:v>510100</x:v>
      </x:c>
      <x:c r="G686" t="n">
        <x:v>85238.88</x:v>
      </x:c>
      <x:c r="H686" t="n">
        <x:v>424861.12</x:v>
      </x:c>
      <x:c r="I686" t="n">
        <x:v>5582670.22</x:v>
      </x:c>
      <x:c r="J686" t="str">
        <x:v>Parcial</x:v>
      </x:c>
    </x:row>
    <x:row r="687">
      <x:c r="A687" t="str">
        <x:v>ABO-0000686</x:v>
      </x:c>
      <x:c r="B687" t="str">
        <x:v>2025-06</x:v>
      </x:c>
      <x:c r="C687" t="n">
        <x:v>45825</x:v>
      </x:c>
      <x:c r="D687" t="str">
        <x:v>USR-00067</x:v>
      </x:c>
      <x:c r="E687" t="str">
        <x:v>DEU-000125</x:v>
      </x:c>
      <x:c r="F687" t="n">
        <x:v>526600</x:v>
      </x:c>
      <x:c r="G687" t="n">
        <x:v>242024.88</x:v>
      </x:c>
      <x:c r="H687" t="n">
        <x:v>284575.12</x:v>
      </x:c>
      <x:c r="I687" t="n">
        <x:v>15437409.93</x:v>
      </x:c>
      <x:c r="J687" t="str">
        <x:v>Parcial</x:v>
      </x:c>
    </x:row>
    <x:row r="688">
      <x:c r="A688" t="str">
        <x:v>ABO-0000687</x:v>
      </x:c>
      <x:c r="B688" t="str">
        <x:v>2025-06</x:v>
      </x:c>
      <x:c r="C688" t="n">
        <x:v>45811</x:v>
      </x:c>
      <x:c r="D688" t="str">
        <x:v>USR-00067</x:v>
      </x:c>
      <x:c r="E688" t="str">
        <x:v>DEU-000126</x:v>
      </x:c>
      <x:c r="F688" t="n">
        <x:v>1626300</x:v>
      </x:c>
      <x:c r="G688" t="n">
        <x:v>591208.75</x:v>
      </x:c>
      <x:c r="H688" t="n">
        <x:v>1035091.25</x:v>
      </x:c>
      <x:c r="I688" t="n">
        <x:v>42685174.44</x:v>
      </x:c>
      <x:c r="J688" t="str">
        <x:v>En fecha</x:v>
      </x:c>
    </x:row>
    <x:row r="689">
      <x:c r="A689" t="str">
        <x:v>ABO-0000688</x:v>
      </x:c>
      <x:c r="B689" t="str">
        <x:v>2025-06</x:v>
      </x:c>
      <x:c r="C689" t="n">
        <x:v>45820</x:v>
      </x:c>
      <x:c r="D689" t="str">
        <x:v>USR-00067</x:v>
      </x:c>
      <x:c r="E689" t="str">
        <x:v>DEU-000127</x:v>
      </x:c>
      <x:c r="F689" t="n">
        <x:v>749700</x:v>
      </x:c>
      <x:c r="G689" t="n">
        <x:v>315908.42</x:v>
      </x:c>
      <x:c r="H689" t="n">
        <x:v>433791.58</x:v>
      </x:c>
      <x:c r="I689" t="n">
        <x:v>17279955.4</x:v>
      </x:c>
      <x:c r="J689" t="str">
        <x:v>En fecha</x:v>
      </x:c>
    </x:row>
    <x:row r="690">
      <x:c r="A690" t="str">
        <x:v>ABO-0000689</x:v>
      </x:c>
      <x:c r="B690" t="str">
        <x:v>2025-06</x:v>
      </x:c>
      <x:c r="C690" t="n">
        <x:v>45820</x:v>
      </x:c>
      <x:c r="D690" t="str">
        <x:v>USR-00069</x:v>
      </x:c>
      <x:c r="E690" t="str">
        <x:v>DEU-000129</x:v>
      </x:c>
      <x:c r="F690" t="n">
        <x:v>261100</x:v>
      </x:c>
      <x:c r="G690" t="n">
        <x:v>161126.43</x:v>
      </x:c>
      <x:c r="H690" t="n">
        <x:v>99973.57</x:v>
      </x:c>
      <x:c r="I690" t="n">
        <x:v>7740028.33</x:v>
      </x:c>
      <x:c r="J690" t="str">
        <x:v>En fecha</x:v>
      </x:c>
    </x:row>
    <x:row r="691">
      <x:c r="A691" t="str">
        <x:v>ABO-0000690</x:v>
      </x:c>
      <x:c r="B691" t="str">
        <x:v>2025-06</x:v>
      </x:c>
      <x:c r="C691" t="n">
        <x:v>45811</x:v>
      </x:c>
      <x:c r="D691" t="str">
        <x:v>USR-00070</x:v>
      </x:c>
      <x:c r="E691" t="str">
        <x:v>DEU-000130</x:v>
      </x:c>
      <x:c r="F691" t="n">
        <x:v>53700</x:v>
      </x:c>
      <x:c r="G691" t="n">
        <x:v>40721.95</x:v>
      </x:c>
      <x:c r="H691" t="n">
        <x:v>12978.05</x:v>
      </x:c>
      <x:c r="I691" t="n">
        <x:v>1721111.31</x:v>
      </x:c>
      <x:c r="J691" t="str">
        <x:v>En fecha</x:v>
      </x:c>
    </x:row>
    <x:row r="692">
      <x:c r="A692" t="str">
        <x:v>ABO-0000691</x:v>
      </x:c>
      <x:c r="B692" t="str">
        <x:v>2025-06</x:v>
      </x:c>
      <x:c r="C692" t="n">
        <x:v>45814</x:v>
      </x:c>
      <x:c r="D692" t="str">
        <x:v>USR-00070</x:v>
      </x:c>
      <x:c r="E692" t="str">
        <x:v>DEU-000131</x:v>
      </x:c>
      <x:c r="F692" t="n">
        <x:v>485100</x:v>
      </x:c>
      <x:c r="G692" t="n">
        <x:v>90415.13</x:v>
      </x:c>
      <x:c r="H692" t="n">
        <x:v>394684.87</x:v>
      </x:c>
      <x:c r="I692" t="n">
        <x:v>4053776.25</x:v>
      </x:c>
      <x:c r="J692" t="str">
        <x:v>En fecha</x:v>
      </x:c>
    </x:row>
    <x:row r="693">
      <x:c r="A693" t="str">
        <x:v>ABO-0000692</x:v>
      </x:c>
      <x:c r="B693" t="str">
        <x:v>2025-06</x:v>
      </x:c>
      <x:c r="C693" t="n">
        <x:v>45812</x:v>
      </x:c>
      <x:c r="D693" t="str">
        <x:v>USR-00071</x:v>
      </x:c>
      <x:c r="E693" t="str">
        <x:v>DEU-000134</x:v>
      </x:c>
      <x:c r="F693" t="n">
        <x:v>199500</x:v>
      </x:c>
      <x:c r="G693" t="n">
        <x:v>23624.2</x:v>
      </x:c>
      <x:c r="H693" t="n">
        <x:v>175875.8</x:v>
      </x:c>
      <x:c r="I693" t="n">
        <x:v>899897.66</x:v>
      </x:c>
      <x:c r="J693" t="str">
        <x:v>En fecha</x:v>
      </x:c>
    </x:row>
    <x:row r="694">
      <x:c r="A694" t="str">
        <x:v>ABO-0000693</x:v>
      </x:c>
      <x:c r="B694" t="str">
        <x:v>2025-06</x:v>
      </x:c>
      <x:c r="C694" t="n">
        <x:v>45834</x:v>
      </x:c>
      <x:c r="D694" t="str">
        <x:v>USR-00071</x:v>
      </x:c>
      <x:c r="E694" t="str">
        <x:v>DEU-000135</x:v>
      </x:c>
      <x:c r="F694" t="n">
        <x:v>459000</x:v>
      </x:c>
      <x:c r="G694" t="n">
        <x:v>101520.53</x:v>
      </x:c>
      <x:c r="H694" t="n">
        <x:v>357479.47</x:v>
      </x:c>
      <x:c r="I694" t="n">
        <x:v>11305787.64</x:v>
      </x:c>
      <x:c r="J694" t="str">
        <x:v>Parcial</x:v>
      </x:c>
    </x:row>
    <x:row r="695">
      <x:c r="A695" t="str">
        <x:v>ABO-0000694</x:v>
      </x:c>
      <x:c r="B695" t="str">
        <x:v>2025-06</x:v>
      </x:c>
      <x:c r="C695" t="n">
        <x:v>45828</x:v>
      </x:c>
      <x:c r="D695" t="str">
        <x:v>USR-00073</x:v>
      </x:c>
      <x:c r="E695" t="str">
        <x:v>DEU-000138</x:v>
      </x:c>
      <x:c r="F695" t="n">
        <x:v>271900</x:v>
      </x:c>
      <x:c r="G695" t="n">
        <x:v>83851.46</x:v>
      </x:c>
      <x:c r="H695" t="n">
        <x:v>188048.54</x:v>
      </x:c>
      <x:c r="I695" t="n">
        <x:v>3389539.18</x:v>
      </x:c>
      <x:c r="J695" t="str">
        <x:v>Parcial</x:v>
      </x:c>
    </x:row>
    <x:row r="696">
      <x:c r="A696" t="str">
        <x:v>ABO-0000695</x:v>
      </x:c>
      <x:c r="B696" t="str">
        <x:v>2025-06</x:v>
      </x:c>
      <x:c r="C696" t="n">
        <x:v>45820</x:v>
      </x:c>
      <x:c r="D696" t="str">
        <x:v>USR-00073</x:v>
      </x:c>
      <x:c r="E696" t="str">
        <x:v>DEU-000139</x:v>
      </x:c>
      <x:c r="F696" t="n">
        <x:v>794200</x:v>
      </x:c>
      <x:c r="G696" t="n">
        <x:v>58302.51</x:v>
      </x:c>
      <x:c r="H696" t="n">
        <x:v>735897.49</x:v>
      </x:c>
      <x:c r="I696" t="n">
        <x:v>5183969.21</x:v>
      </x:c>
      <x:c r="J696" t="str">
        <x:v>En fecha</x:v>
      </x:c>
    </x:row>
    <x:row r="697">
      <x:c r="A697" t="str">
        <x:v>ABO-0000696</x:v>
      </x:c>
      <x:c r="B697" t="str">
        <x:v>2025-06</x:v>
      </x:c>
      <x:c r="C697" t="n">
        <x:v>45815</x:v>
      </x:c>
      <x:c r="D697" t="str">
        <x:v>USR-00074</x:v>
      </x:c>
      <x:c r="E697" t="str">
        <x:v>DEU-000140</x:v>
      </x:c>
      <x:c r="F697" t="n">
        <x:v>45700</x:v>
      </x:c>
      <x:c r="G697" t="n">
        <x:v>28325.7</x:v>
      </x:c>
      <x:c r="H697" t="n">
        <x:v>17374.3</x:v>
      </x:c>
      <x:c r="I697" t="n">
        <x:v>1324032</x:v>
      </x:c>
      <x:c r="J697" t="str">
        <x:v>En fecha</x:v>
      </x:c>
    </x:row>
    <x:row r="698">
      <x:c r="A698" t="str">
        <x:v>ABO-0000697</x:v>
      </x:c>
      <x:c r="B698" t="str">
        <x:v>2025-06</x:v>
      </x:c>
      <x:c r="C698" t="n">
        <x:v>45825</x:v>
      </x:c>
      <x:c r="D698" t="str">
        <x:v>USR-00075</x:v>
      </x:c>
      <x:c r="E698" t="str">
        <x:v>DEU-000141</x:v>
      </x:c>
      <x:c r="F698" t="n">
        <x:v>2643100</x:v>
      </x:c>
      <x:c r="G698" t="n">
        <x:v>597735.16</x:v>
      </x:c>
      <x:c r="H698" t="n">
        <x:v>2045364.84</x:v>
      </x:c>
      <x:c r="I698" t="n">
        <x:v>50290228.41</x:v>
      </x:c>
      <x:c r="J698" t="str">
        <x:v>En fecha</x:v>
      </x:c>
    </x:row>
    <x:row r="699">
      <x:c r="A699" t="str">
        <x:v>ABO-0000698</x:v>
      </x:c>
      <x:c r="B699" t="str">
        <x:v>2025-06</x:v>
      </x:c>
      <x:c r="C699" t="n">
        <x:v>45820</x:v>
      </x:c>
      <x:c r="D699" t="str">
        <x:v>USR-00076</x:v>
      </x:c>
      <x:c r="E699" t="str">
        <x:v>DEU-000143</x:v>
      </x:c>
      <x:c r="F699" t="n">
        <x:v>580200</x:v>
      </x:c>
      <x:c r="G699" t="n">
        <x:v>74059.88</x:v>
      </x:c>
      <x:c r="H699" t="n">
        <x:v>506140.12</x:v>
      </x:c>
      <x:c r="I699" t="n">
        <x:v>4129302.08</x:v>
      </x:c>
      <x:c r="J699" t="str">
        <x:v>En fecha</x:v>
      </x:c>
    </x:row>
    <x:row r="700">
      <x:c r="A700" t="str">
        <x:v>ABO-0000699</x:v>
      </x:c>
      <x:c r="B700" t="str">
        <x:v>2025-06</x:v>
      </x:c>
      <x:c r="C700" t="n">
        <x:v>45816</x:v>
      </x:c>
      <x:c r="D700" t="str">
        <x:v>USR-00076</x:v>
      </x:c>
      <x:c r="E700" t="str">
        <x:v>DEU-000144</x:v>
      </x:c>
      <x:c r="F700" t="n">
        <x:v>479900</x:v>
      </x:c>
      <x:c r="G700" t="n">
        <x:v>366145.97</x:v>
      </x:c>
      <x:c r="H700" t="n">
        <x:v>113754.03</x:v>
      </x:c>
      <x:c r="I700" t="n">
        <x:v>16228143.19</x:v>
      </x:c>
      <x:c r="J700" t="str">
        <x:v>En fecha</x:v>
      </x:c>
    </x:row>
    <x:row r="701">
      <x:c r="A701" t="str">
        <x:v>ABO-0000700</x:v>
      </x:c>
      <x:c r="B701" t="str">
        <x:v>2025-06</x:v>
      </x:c>
      <x:c r="C701" t="n">
        <x:v>45832</x:v>
      </x:c>
      <x:c r="D701" t="str">
        <x:v>USR-00077</x:v>
      </x:c>
      <x:c r="E701" t="str">
        <x:v>DEU-000146</x:v>
      </x:c>
      <x:c r="F701" t="n">
        <x:v>544600</x:v>
      </x:c>
      <x:c r="G701" t="n">
        <x:v>112168.07</x:v>
      </x:c>
      <x:c r="H701" t="n">
        <x:v>432431.93</x:v>
      </x:c>
      <x:c r="I701" t="n">
        <x:v>6426279.6</x:v>
      </x:c>
      <x:c r="J701" t="str">
        <x:v>En fecha</x:v>
      </x:c>
    </x:row>
    <x:row r="702">
      <x:c r="A702" t="str">
        <x:v>ABO-0000701</x:v>
      </x:c>
      <x:c r="B702" t="str">
        <x:v>2025-06</x:v>
      </x:c>
      <x:c r="C702" t="n">
        <x:v>45815</x:v>
      </x:c>
      <x:c r="D702" t="str">
        <x:v>USR-00078</x:v>
      </x:c>
      <x:c r="E702" t="str">
        <x:v>DEU-000147</x:v>
      </x:c>
      <x:c r="F702" t="n">
        <x:v>198300</x:v>
      </x:c>
      <x:c r="G702" t="n">
        <x:v>107310.91</x:v>
      </x:c>
      <x:c r="H702" t="n">
        <x:v>90989.09</x:v>
      </x:c>
      <x:c r="I702" t="n">
        <x:v>5058810.75</x:v>
      </x:c>
      <x:c r="J702" t="str">
        <x:v>En fecha</x:v>
      </x:c>
    </x:row>
    <x:row r="703">
      <x:c r="A703" t="str">
        <x:v>ABO-0000702</x:v>
      </x:c>
      <x:c r="B703" t="str">
        <x:v>2025-06</x:v>
      </x:c>
      <x:c r="C703" t="n">
        <x:v>45821</x:v>
      </x:c>
      <x:c r="D703" t="str">
        <x:v>USR-00078</x:v>
      </x:c>
      <x:c r="E703" t="str">
        <x:v>DEU-000148</x:v>
      </x:c>
      <x:c r="F703" t="n">
        <x:v>142300</x:v>
      </x:c>
      <x:c r="G703" t="n">
        <x:v>51668.37</x:v>
      </x:c>
      <x:c r="H703" t="n">
        <x:v>90631.63</x:v>
      </x:c>
      <x:c r="I703" t="n">
        <x:v>5469114.23</x:v>
      </x:c>
      <x:c r="J703" t="str">
        <x:v>En fecha</x:v>
      </x:c>
    </x:row>
    <x:row r="704">
      <x:c r="A704" t="str">
        <x:v>ABO-0000703</x:v>
      </x:c>
      <x:c r="B704" t="str">
        <x:v>2025-06</x:v>
      </x:c>
      <x:c r="C704" t="n">
        <x:v>45820</x:v>
      </x:c>
      <x:c r="D704" t="str">
        <x:v>USR-00078</x:v>
      </x:c>
      <x:c r="E704" t="str">
        <x:v>DEU-000149</x:v>
      </x:c>
      <x:c r="F704" t="n">
        <x:v>583500</x:v>
      </x:c>
      <x:c r="G704" t="n">
        <x:v>326137.98</x:v>
      </x:c>
      <x:c r="H704" t="n">
        <x:v>257362.02</x:v>
      </x:c>
      <x:c r="I704" t="n">
        <x:v>13076547.53</x:v>
      </x:c>
      <x:c r="J704" t="str">
        <x:v>En fecha</x:v>
      </x:c>
    </x:row>
    <x:row r="705">
      <x:c r="A705" t="str">
        <x:v>ABO-0000704</x:v>
      </x:c>
      <x:c r="B705" t="str">
        <x:v>2025-06</x:v>
      </x:c>
      <x:c r="C705" t="n">
        <x:v>45812</x:v>
      </x:c>
      <x:c r="D705" t="str">
        <x:v>USR-00078</x:v>
      </x:c>
      <x:c r="E705" t="str">
        <x:v>DEU-000150</x:v>
      </x:c>
      <x:c r="F705" t="n">
        <x:v>627600</x:v>
      </x:c>
      <x:c r="G705" t="n">
        <x:v>86492.64</x:v>
      </x:c>
      <x:c r="H705" t="n">
        <x:v>541107.36</x:v>
      </x:c>
      <x:c r="I705" t="n">
        <x:v>5261158.97</x:v>
      </x:c>
      <x:c r="J705" t="str">
        <x:v>En fecha</x:v>
      </x:c>
    </x:row>
    <x:row r="706">
      <x:c r="A706" t="str">
        <x:v>ABO-0000705</x:v>
      </x:c>
      <x:c r="B706" t="str">
        <x:v>2025-06</x:v>
      </x:c>
      <x:c r="C706" t="n">
        <x:v>45817</x:v>
      </x:c>
      <x:c r="D706" t="str">
        <x:v>USR-00079</x:v>
      </x:c>
      <x:c r="E706" t="str">
        <x:v>DEU-000151</x:v>
      </x:c>
      <x:c r="F706" t="n">
        <x:v>5273600</x:v>
      </x:c>
      <x:c r="G706" t="n">
        <x:v>627994.79</x:v>
      </x:c>
      <x:c r="H706" t="n">
        <x:v>4645605.21</x:v>
      </x:c>
      <x:c r="I706" t="n">
        <x:v>46839875.53</x:v>
      </x:c>
      <x:c r="J706" t="str">
        <x:v>En fecha</x:v>
      </x:c>
    </x:row>
    <x:row r="707">
      <x:c r="A707" t="str">
        <x:v>ABO-0000706</x:v>
      </x:c>
      <x:c r="B707" t="str">
        <x:v>2025-06</x:v>
      </x:c>
      <x:c r="C707" t="n">
        <x:v>45825</x:v>
      </x:c>
      <x:c r="D707" t="str">
        <x:v>USR-00080</x:v>
      </x:c>
      <x:c r="E707" t="str">
        <x:v>DEU-000152</x:v>
      </x:c>
      <x:c r="F707" t="n">
        <x:v>742000</x:v>
      </x:c>
      <x:c r="G707" t="n">
        <x:v>189785.75</x:v>
      </x:c>
      <x:c r="H707" t="n">
        <x:v>552214.25</x:v>
      </x:c>
      <x:c r="I707" t="n">
        <x:v>16745914.58</x:v>
      </x:c>
      <x:c r="J707" t="str">
        <x:v>En fecha</x:v>
      </x:c>
    </x:row>
    <x:row r="708">
      <x:c r="A708" t="str">
        <x:v>ABO-0000707</x:v>
      </x:c>
      <x:c r="B708" t="str">
        <x:v>2025-06</x:v>
      </x:c>
      <x:c r="C708" t="n">
        <x:v>45812</x:v>
      </x:c>
      <x:c r="D708" t="str">
        <x:v>USR-00081</x:v>
      </x:c>
      <x:c r="E708" t="str">
        <x:v>DEU-000153</x:v>
      </x:c>
      <x:c r="F708" t="n">
        <x:v>537500</x:v>
      </x:c>
      <x:c r="G708" t="n">
        <x:v>183216.48</x:v>
      </x:c>
      <x:c r="H708" t="n">
        <x:v>354283.52</x:v>
      </x:c>
      <x:c r="I708" t="n">
        <x:v>7132475.89</x:v>
      </x:c>
      <x:c r="J708" t="str">
        <x:v>En fecha</x:v>
      </x:c>
    </x:row>
    <x:row r="709">
      <x:c r="A709" t="str">
        <x:v>ABO-0000708</x:v>
      </x:c>
      <x:c r="B709" t="str">
        <x:v>2025-06</x:v>
      </x:c>
      <x:c r="C709" t="n">
        <x:v>45828</x:v>
      </x:c>
      <x:c r="D709" t="str">
        <x:v>USR-00081</x:v>
      </x:c>
      <x:c r="E709" t="str">
        <x:v>DEU-000154</x:v>
      </x:c>
      <x:c r="F709" t="n">
        <x:v>1196400</x:v>
      </x:c>
      <x:c r="G709" t="n">
        <x:v>156980.06</x:v>
      </x:c>
      <x:c r="H709" t="n">
        <x:v>1039419.94</x:v>
      </x:c>
      <x:c r="I709" t="n">
        <x:v>7503944.88</x:v>
      </x:c>
      <x:c r="J709" t="str">
        <x:v>En fecha</x:v>
      </x:c>
    </x:row>
    <x:row r="710">
      <x:c r="A710" t="str">
        <x:v>ABO-0000709</x:v>
      </x:c>
      <x:c r="B710" t="str">
        <x:v>2025-06</x:v>
      </x:c>
      <x:c r="C710" t="n">
        <x:v>45811</x:v>
      </x:c>
      <x:c r="D710" t="str">
        <x:v>USR-00082</x:v>
      </x:c>
      <x:c r="E710" t="str">
        <x:v>DEU-000155</x:v>
      </x:c>
      <x:c r="F710" t="n">
        <x:v>267500</x:v>
      </x:c>
      <x:c r="G710" t="n">
        <x:v>132388.05</x:v>
      </x:c>
      <x:c r="H710" t="n">
        <x:v>135111.95</x:v>
      </x:c>
      <x:c r="I710" t="n">
        <x:v>6964611.17</x:v>
      </x:c>
      <x:c r="J710" t="str">
        <x:v>En fecha</x:v>
      </x:c>
    </x:row>
    <x:row r="711">
      <x:c r="A711" t="str">
        <x:v>ABO-0000710</x:v>
      </x:c>
      <x:c r="B711" t="str">
        <x:v>2025-06</x:v>
      </x:c>
      <x:c r="C711" t="n">
        <x:v>45822</x:v>
      </x:c>
      <x:c r="D711" t="str">
        <x:v>USR-00083</x:v>
      </x:c>
      <x:c r="E711" t="str">
        <x:v>DEU-000157</x:v>
      </x:c>
      <x:c r="F711" t="n">
        <x:v>274400</x:v>
      </x:c>
      <x:c r="G711" t="n">
        <x:v>61102.04</x:v>
      </x:c>
      <x:c r="H711" t="n">
        <x:v>213297.96</x:v>
      </x:c>
      <x:c r="I711" t="n">
        <x:v>2250135</x:v>
      </x:c>
      <x:c r="J711" t="str">
        <x:v>En fecha</x:v>
      </x:c>
    </x:row>
    <x:row r="712">
      <x:c r="A712" t="str">
        <x:v>ABO-0000711</x:v>
      </x:c>
      <x:c r="B712" t="str">
        <x:v>2025-06</x:v>
      </x:c>
      <x:c r="C712" t="n">
        <x:v>45825</x:v>
      </x:c>
      <x:c r="D712" t="str">
        <x:v>USR-00084</x:v>
      </x:c>
      <x:c r="E712" t="str">
        <x:v>DEU-000159</x:v>
      </x:c>
      <x:c r="F712" t="n">
        <x:v>1017900</x:v>
      </x:c>
      <x:c r="G712" t="n">
        <x:v>191153.99</x:v>
      </x:c>
      <x:c r="H712" t="n">
        <x:v>826746.01</x:v>
      </x:c>
      <x:c r="I712" t="n">
        <x:v>6823083.32</x:v>
      </x:c>
      <x:c r="J712" t="str">
        <x:v>En fecha</x:v>
      </x:c>
    </x:row>
    <x:row r="713">
      <x:c r="A713" t="str">
        <x:v>ABO-0000712</x:v>
      </x:c>
      <x:c r="B713" t="str">
        <x:v>2025-06</x:v>
      </x:c>
      <x:c r="C713" t="n">
        <x:v>45830</x:v>
      </x:c>
      <x:c r="D713" t="str">
        <x:v>USR-00085</x:v>
      </x:c>
      <x:c r="E713" t="str">
        <x:v>DEU-000160</x:v>
      </x:c>
      <x:c r="F713" t="n">
        <x:v>208700</x:v>
      </x:c>
      <x:c r="G713" t="n">
        <x:v>283122.52</x:v>
      </x:c>
      <x:c r="H713" t="n">
        <x:v>0</x:v>
      </x:c>
      <x:c r="I713" t="n">
        <x:v>12385295.38</x:v>
      </x:c>
      <x:c r="J713" t="str">
        <x:v>Parcial</x:v>
      </x:c>
    </x:row>
    <x:row r="714">
      <x:c r="A714" t="str">
        <x:v>ABO-0000713</x:v>
      </x:c>
      <x:c r="B714" t="str">
        <x:v>2025-06</x:v>
      </x:c>
      <x:c r="C714" t="n">
        <x:v>45815</x:v>
      </x:c>
      <x:c r="D714" t="str">
        <x:v>USR-00086</x:v>
      </x:c>
      <x:c r="E714" t="str">
        <x:v>DEU-000161</x:v>
      </x:c>
      <x:c r="F714" t="n">
        <x:v>69900</x:v>
      </x:c>
      <x:c r="G714" t="n">
        <x:v>62519.43</x:v>
      </x:c>
      <x:c r="H714" t="n">
        <x:v>7380.57</x:v>
      </x:c>
      <x:c r="I714" t="n">
        <x:v>2974848.87</x:v>
      </x:c>
      <x:c r="J714" t="str">
        <x:v>Parcial</x:v>
      </x:c>
    </x:row>
    <x:row r="715">
      <x:c r="A715" t="str">
        <x:v>ABO-0000714</x:v>
      </x:c>
      <x:c r="B715" t="str">
        <x:v>2025-06</x:v>
      </x:c>
      <x:c r="C715" t="n">
        <x:v>45813</x:v>
      </x:c>
      <x:c r="D715" t="str">
        <x:v>USR-00088</x:v>
      </x:c>
      <x:c r="E715" t="str">
        <x:v>DEU-000163</x:v>
      </x:c>
      <x:c r="F715" t="n">
        <x:v>394100</x:v>
      </x:c>
      <x:c r="G715" t="n">
        <x:v>165629</x:v>
      </x:c>
      <x:c r="H715" t="n">
        <x:v>228471</x:v>
      </x:c>
      <x:c r="I715" t="n">
        <x:v>8306684.8</x:v>
      </x:c>
      <x:c r="J715" t="str">
        <x:v>En fecha</x:v>
      </x:c>
    </x:row>
    <x:row r="716">
      <x:c r="A716" t="str">
        <x:v>ABO-0000715</x:v>
      </x:c>
      <x:c r="B716" t="str">
        <x:v>2025-06</x:v>
      </x:c>
      <x:c r="C716" t="n">
        <x:v>45830</x:v>
      </x:c>
      <x:c r="D716" t="str">
        <x:v>USR-00090</x:v>
      </x:c>
      <x:c r="E716" t="str">
        <x:v>DEU-000166</x:v>
      </x:c>
      <x:c r="F716" t="n">
        <x:v>989700</x:v>
      </x:c>
      <x:c r="G716" t="n">
        <x:v>288678.18</x:v>
      </x:c>
      <x:c r="H716" t="n">
        <x:v>701021.82</x:v>
      </x:c>
      <x:c r="I716" t="n">
        <x:v>18518646.2</x:v>
      </x:c>
      <x:c r="J716" t="str">
        <x:v>En fecha</x:v>
      </x:c>
    </x:row>
    <x:row r="717">
      <x:c r="A717" t="str">
        <x:v>ABO-0000716</x:v>
      </x:c>
      <x:c r="B717" t="str">
        <x:v>2025-06</x:v>
      </x:c>
      <x:c r="C717" t="n">
        <x:v>45835</x:v>
      </x:c>
      <x:c r="D717" t="str">
        <x:v>USR-00091</x:v>
      </x:c>
      <x:c r="E717" t="str">
        <x:v>DEU-000167</x:v>
      </x:c>
      <x:c r="F717" t="n">
        <x:v>576900</x:v>
      </x:c>
      <x:c r="G717" t="n">
        <x:v>164307.69</x:v>
      </x:c>
      <x:c r="H717" t="n">
        <x:v>412592.31</x:v>
      </x:c>
      <x:c r="I717" t="n">
        <x:v>14010770.04</x:v>
      </x:c>
      <x:c r="J717" t="str">
        <x:v>En fecha</x:v>
      </x:c>
    </x:row>
    <x:row r="718">
      <x:c r="A718" t="str">
        <x:v>ABO-0000717</x:v>
      </x:c>
      <x:c r="B718" t="str">
        <x:v>2025-06</x:v>
      </x:c>
      <x:c r="C718" t="n">
        <x:v>45829</x:v>
      </x:c>
      <x:c r="D718" t="str">
        <x:v>USR-00091</x:v>
      </x:c>
      <x:c r="E718" t="str">
        <x:v>DEU-000168</x:v>
      </x:c>
      <x:c r="F718" t="n">
        <x:v>665500</x:v>
      </x:c>
      <x:c r="G718" t="n">
        <x:v>277235.79</x:v>
      </x:c>
      <x:c r="H718" t="n">
        <x:v>388264.21</x:v>
      </x:c>
      <x:c r="I718" t="n">
        <x:v>13225014.8</x:v>
      </x:c>
      <x:c r="J718" t="str">
        <x:v>En fecha</x:v>
      </x:c>
    </x:row>
    <x:row r="719">
      <x:c r="A719" t="str">
        <x:v>ABO-0000718</x:v>
      </x:c>
      <x:c r="B719" t="str">
        <x:v>2025-06</x:v>
      </x:c>
      <x:c r="C719" t="n">
        <x:v>45815</x:v>
      </x:c>
      <x:c r="D719" t="str">
        <x:v>USR-00091</x:v>
      </x:c>
      <x:c r="E719" t="str">
        <x:v>DEU-000169</x:v>
      </x:c>
      <x:c r="F719" t="n">
        <x:v>48800</x:v>
      </x:c>
      <x:c r="G719" t="n">
        <x:v>27744.27</x:v>
      </x:c>
      <x:c r="H719" t="n">
        <x:v>21055.73</x:v>
      </x:c>
      <x:c r="I719" t="n">
        <x:v>1491123</x:v>
      </x:c>
      <x:c r="J719" t="str">
        <x:v>En fecha</x:v>
      </x:c>
    </x:row>
    <x:row r="720">
      <x:c r="A720" t="str">
        <x:v>ABO-0000719</x:v>
      </x:c>
      <x:c r="B720" t="str">
        <x:v>2025-06</x:v>
      </x:c>
      <x:c r="C720" t="n">
        <x:v>45829</x:v>
      </x:c>
      <x:c r="D720" t="str">
        <x:v>USR-00091</x:v>
      </x:c>
      <x:c r="E720" t="str">
        <x:v>DEU-000170</x:v>
      </x:c>
      <x:c r="F720" t="n">
        <x:v>518300</x:v>
      </x:c>
      <x:c r="G720" t="n">
        <x:v>57734</x:v>
      </x:c>
      <x:c r="H720" t="n">
        <x:v>460566</x:v>
      </x:c>
      <x:c r="I720" t="n">
        <x:v>4581435</x:v>
      </x:c>
      <x:c r="J720" t="str">
        <x:v>En fecha</x:v>
      </x:c>
    </x:row>
    <x:row r="721">
      <x:c r="A721" t="str">
        <x:v>ABO-0000720</x:v>
      </x:c>
      <x:c r="B721" t="str">
        <x:v>2025-06</x:v>
      </x:c>
      <x:c r="C721" t="n">
        <x:v>45829</x:v>
      </x:c>
      <x:c r="D721" t="str">
        <x:v>USR-00092</x:v>
      </x:c>
      <x:c r="E721" t="str">
        <x:v>DEU-000171</x:v>
      </x:c>
      <x:c r="F721" t="n">
        <x:v>509300</x:v>
      </x:c>
      <x:c r="G721" t="n">
        <x:v>109623.81</x:v>
      </x:c>
      <x:c r="H721" t="n">
        <x:v>399676.19</x:v>
      </x:c>
      <x:c r="I721" t="n">
        <x:v>4133193.9</x:v>
      </x:c>
      <x:c r="J721" t="str">
        <x:v>En fecha</x:v>
      </x:c>
    </x:row>
    <x:row r="722">
      <x:c r="A722" t="str">
        <x:v>ABO-0000721</x:v>
      </x:c>
      <x:c r="B722" t="str">
        <x:v>2025-06</x:v>
      </x:c>
      <x:c r="C722" t="n">
        <x:v>45826</x:v>
      </x:c>
      <x:c r="D722" t="str">
        <x:v>USR-00092</x:v>
      </x:c>
      <x:c r="E722" t="str">
        <x:v>DEU-000172</x:v>
      </x:c>
      <x:c r="F722" t="n">
        <x:v>1647800</x:v>
      </x:c>
      <x:c r="G722" t="n">
        <x:v>687710.28</x:v>
      </x:c>
      <x:c r="H722" t="n">
        <x:v>960089.72</x:v>
      </x:c>
      <x:c r="I722" t="n">
        <x:v>46000838.53</x:v>
      </x:c>
      <x:c r="J722" t="str">
        <x:v>En fecha</x:v>
      </x:c>
    </x:row>
    <x:row r="723">
      <x:c r="A723" t="str">
        <x:v>ABO-0000722</x:v>
      </x:c>
      <x:c r="B723" t="str">
        <x:v>2025-06</x:v>
      </x:c>
      <x:c r="C723" t="n">
        <x:v>45818</x:v>
      </x:c>
      <x:c r="D723" t="str">
        <x:v>USR-00093</x:v>
      </x:c>
      <x:c r="E723" t="str">
        <x:v>DEU-000173</x:v>
      </x:c>
      <x:c r="F723" t="n">
        <x:v>586200</x:v>
      </x:c>
      <x:c r="G723" t="n">
        <x:v>102560.66</x:v>
      </x:c>
      <x:c r="H723" t="n">
        <x:v>483639.34</x:v>
      </x:c>
      <x:c r="I723" t="n">
        <x:v>9265923.68</x:v>
      </x:c>
      <x:c r="J723" t="str">
        <x:v>Parcial</x:v>
      </x:c>
    </x:row>
    <x:row r="724">
      <x:c r="A724" t="str">
        <x:v>ABO-0000723</x:v>
      </x:c>
      <x:c r="B724" t="str">
        <x:v>2025-06</x:v>
      </x:c>
      <x:c r="C724" t="n">
        <x:v>45810</x:v>
      </x:c>
      <x:c r="D724" t="str">
        <x:v>USR-00093</x:v>
      </x:c>
      <x:c r="E724" t="str">
        <x:v>DEU-000174</x:v>
      </x:c>
      <x:c r="F724" t="n">
        <x:v>88900</x:v>
      </x:c>
      <x:c r="G724" t="n">
        <x:v>48062.92</x:v>
      </x:c>
      <x:c r="H724" t="n">
        <x:v>40837.08</x:v>
      </x:c>
      <x:c r="I724" t="n">
        <x:v>2757896.66</x:v>
      </x:c>
      <x:c r="J724" t="str">
        <x:v>En fecha</x:v>
      </x:c>
    </x:row>
    <x:row r="725">
      <x:c r="A725" t="str">
        <x:v>ABO-0000724</x:v>
      </x:c>
      <x:c r="B725" t="str">
        <x:v>2025-06</x:v>
      </x:c>
      <x:c r="C725" t="n">
        <x:v>45827</x:v>
      </x:c>
      <x:c r="D725" t="str">
        <x:v>USR-00093</x:v>
      </x:c>
      <x:c r="E725" t="str">
        <x:v>DEU-000175</x:v>
      </x:c>
      <x:c r="F725" t="n">
        <x:v>471400</x:v>
      </x:c>
      <x:c r="G725" t="n">
        <x:v>196938.24</x:v>
      </x:c>
      <x:c r="H725" t="n">
        <x:v>274461.76</x:v>
      </x:c>
      <x:c r="I725" t="n">
        <x:v>11025378.14</x:v>
      </x:c>
      <x:c r="J725" t="str">
        <x:v>En fecha</x:v>
      </x:c>
    </x:row>
    <x:row r="726">
      <x:c r="A726" t="str">
        <x:v>ABO-0000725</x:v>
      </x:c>
      <x:c r="B726" t="str">
        <x:v>2025-06</x:v>
      </x:c>
      <x:c r="C726" t="n">
        <x:v>45810</x:v>
      </x:c>
      <x:c r="D726" t="str">
        <x:v>USR-00094</x:v>
      </x:c>
      <x:c r="E726" t="str">
        <x:v>DEU-000177</x:v>
      </x:c>
      <x:c r="F726" t="n">
        <x:v>203100</x:v>
      </x:c>
      <x:c r="G726" t="n">
        <x:v>121952.76</x:v>
      </x:c>
      <x:c r="H726" t="n">
        <x:v>81147.24</x:v>
      </x:c>
      <x:c r="I726" t="n">
        <x:v>4889229.64</x:v>
      </x:c>
      <x:c r="J726" t="str">
        <x:v>En fecha</x:v>
      </x:c>
    </x:row>
    <x:row r="727">
      <x:c r="A727" t="str">
        <x:v>ABO-0000726</x:v>
      </x:c>
      <x:c r="B727" t="str">
        <x:v>2025-06</x:v>
      </x:c>
      <x:c r="C727" t="n">
        <x:v>45812</x:v>
      </x:c>
      <x:c r="D727" t="str">
        <x:v>USR-00095</x:v>
      </x:c>
      <x:c r="E727" t="str">
        <x:v>DEU-000178</x:v>
      </x:c>
      <x:c r="F727" t="n">
        <x:v>443700</x:v>
      </x:c>
      <x:c r="G727" t="n">
        <x:v>146707.66</x:v>
      </x:c>
      <x:c r="H727" t="n">
        <x:v>296992.34</x:v>
      </x:c>
      <x:c r="I727" t="n">
        <x:v>7103973.46</x:v>
      </x:c>
      <x:c r="J727" t="str">
        <x:v>En fecha</x:v>
      </x:c>
    </x:row>
    <x:row r="728">
      <x:c r="A728" t="str">
        <x:v>ABO-0000727</x:v>
      </x:c>
      <x:c r="B728" t="str">
        <x:v>2025-06</x:v>
      </x:c>
      <x:c r="C728" t="n">
        <x:v>45811</x:v>
      </x:c>
      <x:c r="D728" t="str">
        <x:v>USR-00095</x:v>
      </x:c>
      <x:c r="E728" t="str">
        <x:v>DEU-000179</x:v>
      </x:c>
      <x:c r="F728" t="n">
        <x:v>1175800</x:v>
      </x:c>
      <x:c r="G728" t="n">
        <x:v>474612.26</x:v>
      </x:c>
      <x:c r="H728" t="n">
        <x:v>701187.74</x:v>
      </x:c>
      <x:c r="I728" t="n">
        <x:v>41150784.76</x:v>
      </x:c>
      <x:c r="J728" t="str">
        <x:v>Parcial</x:v>
      </x:c>
    </x:row>
    <x:row r="729">
      <x:c r="A729" t="str">
        <x:v>ABO-0000728</x:v>
      </x:c>
      <x:c r="B729" t="str">
        <x:v>2025-06</x:v>
      </x:c>
      <x:c r="C729" t="n">
        <x:v>45821</x:v>
      </x:c>
      <x:c r="D729" t="str">
        <x:v>USR-00095</x:v>
      </x:c>
      <x:c r="E729" t="str">
        <x:v>DEU-000180</x:v>
      </x:c>
      <x:c r="F729" t="n">
        <x:v>291300</x:v>
      </x:c>
      <x:c r="G729" t="n">
        <x:v>68482.95</x:v>
      </x:c>
      <x:c r="H729" t="n">
        <x:v>222817.05</x:v>
      </x:c>
      <x:c r="I729" t="n">
        <x:v>3899759.37</x:v>
      </x:c>
      <x:c r="J729" t="str">
        <x:v>En fecha</x:v>
      </x:c>
    </x:row>
    <x:row r="730">
      <x:c r="A730" t="str">
        <x:v>ABO-0000729</x:v>
      </x:c>
      <x:c r="B730" t="str">
        <x:v>2025-06</x:v>
      </x:c>
      <x:c r="C730" t="n">
        <x:v>45834</x:v>
      </x:c>
      <x:c r="D730" t="str">
        <x:v>USR-00095</x:v>
      </x:c>
      <x:c r="E730" t="str">
        <x:v>DEU-000181</x:v>
      </x:c>
      <x:c r="F730" t="n">
        <x:v>757400</x:v>
      </x:c>
      <x:c r="G730" t="n">
        <x:v>323987.08</x:v>
      </x:c>
      <x:c r="H730" t="n">
        <x:v>433412.92</x:v>
      </x:c>
      <x:c r="I730" t="n">
        <x:v>20015438.22</x:v>
      </x:c>
      <x:c r="J730" t="str">
        <x:v>En fecha</x:v>
      </x:c>
    </x:row>
    <x:row r="731">
      <x:c r="A731" t="str">
        <x:v>ABO-0000730</x:v>
      </x:c>
      <x:c r="B731" t="str">
        <x:v>2025-06</x:v>
      </x:c>
      <x:c r="C731" t="n">
        <x:v>45816</x:v>
      </x:c>
      <x:c r="D731" t="str">
        <x:v>USR-00095</x:v>
      </x:c>
      <x:c r="E731" t="str">
        <x:v>DEU-000182</x:v>
      </x:c>
      <x:c r="F731" t="n">
        <x:v>809400</x:v>
      </x:c>
      <x:c r="G731" t="n">
        <x:v>74158.81</x:v>
      </x:c>
      <x:c r="H731" t="n">
        <x:v>735241.19</x:v>
      </x:c>
      <x:c r="I731" t="n">
        <x:v>6519622.81</x:v>
      </x:c>
      <x:c r="J731" t="str">
        <x:v>En fecha</x:v>
      </x:c>
    </x:row>
    <x:row r="732">
      <x:c r="A732" t="str">
        <x:v>ABO-0000731</x:v>
      </x:c>
      <x:c r="B732" t="str">
        <x:v>2025-06</x:v>
      </x:c>
      <x:c r="C732" t="n">
        <x:v>45811</x:v>
      </x:c>
      <x:c r="D732" t="str">
        <x:v>USR-00098</x:v>
      </x:c>
      <x:c r="E732" t="str">
        <x:v>DEU-000187</x:v>
      </x:c>
      <x:c r="F732" t="n">
        <x:v>173400</x:v>
      </x:c>
      <x:c r="G732" t="n">
        <x:v>44375.33</x:v>
      </x:c>
      <x:c r="H732" t="n">
        <x:v>129024.67</x:v>
      </x:c>
      <x:c r="I732" t="n">
        <x:v>2956631.05</x:v>
      </x:c>
      <x:c r="J732" t="str">
        <x:v>En fecha</x:v>
      </x:c>
    </x:row>
    <x:row r="733">
      <x:c r="A733" t="str">
        <x:v>ABO-0000732</x:v>
      </x:c>
      <x:c r="B733" t="str">
        <x:v>2025-06</x:v>
      </x:c>
      <x:c r="C733" t="n">
        <x:v>45828</x:v>
      </x:c>
      <x:c r="D733" t="str">
        <x:v>USR-00099</x:v>
      </x:c>
      <x:c r="E733" t="str">
        <x:v>DEU-000188</x:v>
      </x:c>
      <x:c r="F733" t="n">
        <x:v>704000</x:v>
      </x:c>
      <x:c r="G733" t="n">
        <x:v>308699.53</x:v>
      </x:c>
      <x:c r="H733" t="n">
        <x:v>395300.47</x:v>
      </x:c>
      <x:c r="I733" t="n">
        <x:v>25550161.58</x:v>
      </x:c>
      <x:c r="J733" t="str">
        <x:v>En fecha</x:v>
      </x:c>
    </x:row>
    <x:row r="734">
      <x:c r="A734" t="str">
        <x:v>ABO-0000733</x:v>
      </x:c>
      <x:c r="B734" t="str">
        <x:v>2025-06</x:v>
      </x:c>
      <x:c r="C734" t="n">
        <x:v>45809</x:v>
      </x:c>
      <x:c r="D734" t="str">
        <x:v>USR-00100</x:v>
      </x:c>
      <x:c r="E734" t="str">
        <x:v>DEU-000191</x:v>
      </x:c>
      <x:c r="F734" t="n">
        <x:v>563200</x:v>
      </x:c>
      <x:c r="G734" t="n">
        <x:v>203665.39</x:v>
      </x:c>
      <x:c r="H734" t="n">
        <x:v>359534.61</x:v>
      </x:c>
      <x:c r="I734" t="n">
        <x:v>9470707.71</x:v>
      </x:c>
      <x:c r="J734" t="str">
        <x:v>En fecha</x:v>
      </x:c>
    </x:row>
    <x:row r="735">
      <x:c r="A735" t="str">
        <x:v>ABO-0000734</x:v>
      </x:c>
      <x:c r="B735" t="str">
        <x:v>2025-06</x:v>
      </x:c>
      <x:c r="C735" t="n">
        <x:v>45826</x:v>
      </x:c>
      <x:c r="D735" t="str">
        <x:v>USR-00100</x:v>
      </x:c>
      <x:c r="E735" t="str">
        <x:v>DEU-000192</x:v>
      </x:c>
      <x:c r="F735" t="n">
        <x:v>451000</x:v>
      </x:c>
      <x:c r="G735" t="n">
        <x:v>138949.17</x:v>
      </x:c>
      <x:c r="H735" t="n">
        <x:v>312050.83</x:v>
      </x:c>
      <x:c r="I735" t="n">
        <x:v>13441692.27</x:v>
      </x:c>
      <x:c r="J735" t="str">
        <x:v>En fecha</x:v>
      </x:c>
    </x:row>
    <x:row r="736">
      <x:c r="A736" t="str">
        <x:v>ABO-0000735</x:v>
      </x:c>
      <x:c r="B736" t="str">
        <x:v>2025-06</x:v>
      </x:c>
      <x:c r="C736" t="n">
        <x:v>45820</x:v>
      </x:c>
      <x:c r="D736" t="str">
        <x:v>USR-00101</x:v>
      </x:c>
      <x:c r="E736" t="str">
        <x:v>DEU-000193</x:v>
      </x:c>
      <x:c r="F736" t="n">
        <x:v>1332700</x:v>
      </x:c>
      <x:c r="G736" t="n">
        <x:v>849262.94</x:v>
      </x:c>
      <x:c r="H736" t="n">
        <x:v>483437.06</x:v>
      </x:c>
      <x:c r="I736" t="n">
        <x:v>37621078.44</x:v>
      </x:c>
      <x:c r="J736" t="str">
        <x:v>En fecha</x:v>
      </x:c>
    </x:row>
    <x:row r="737">
      <x:c r="A737" t="str">
        <x:v>ABO-0000736</x:v>
      </x:c>
      <x:c r="B737" t="str">
        <x:v>2025-06</x:v>
      </x:c>
      <x:c r="C737" t="n">
        <x:v>45829</x:v>
      </x:c>
      <x:c r="D737" t="str">
        <x:v>USR-00101</x:v>
      </x:c>
      <x:c r="E737" t="str">
        <x:v>DEU-000194</x:v>
      </x:c>
      <x:c r="F737" t="n">
        <x:v>501200</x:v>
      </x:c>
      <x:c r="G737" t="n">
        <x:v>193462.03</x:v>
      </x:c>
      <x:c r="H737" t="n">
        <x:v>307737.97</x:v>
      </x:c>
      <x:c r="I737" t="n">
        <x:v>7456175.24</x:v>
      </x:c>
      <x:c r="J737" t="str">
        <x:v>En fecha</x:v>
      </x:c>
    </x:row>
    <x:row r="738">
      <x:c r="A738" t="str">
        <x:v>ABO-0000737</x:v>
      </x:c>
      <x:c r="B738" t="str">
        <x:v>2025-06</x:v>
      </x:c>
      <x:c r="C738" t="n">
        <x:v>45817</x:v>
      </x:c>
      <x:c r="D738" t="str">
        <x:v>USR-00101</x:v>
      </x:c>
      <x:c r="E738" t="str">
        <x:v>DEU-000195</x:v>
      </x:c>
      <x:c r="F738" t="n">
        <x:v>960900</x:v>
      </x:c>
      <x:c r="G738" t="n">
        <x:v>148985.63</x:v>
      </x:c>
      <x:c r="H738" t="n">
        <x:v>811914.37</x:v>
      </x:c>
      <x:c r="I738" t="n">
        <x:v>12360053.34</x:v>
      </x:c>
      <x:c r="J738" t="str">
        <x:v>En fecha</x:v>
      </x:c>
    </x:row>
    <x:row r="739">
      <x:c r="A739" t="str">
        <x:v>ABO-0000738</x:v>
      </x:c>
      <x:c r="B739" t="str">
        <x:v>2025-06</x:v>
      </x:c>
      <x:c r="C739" t="n">
        <x:v>45832</x:v>
      </x:c>
      <x:c r="D739" t="str">
        <x:v>USR-00101</x:v>
      </x:c>
      <x:c r="E739" t="str">
        <x:v>DEU-000196</x:v>
      </x:c>
      <x:c r="F739" t="n">
        <x:v>187100</x:v>
      </x:c>
      <x:c r="G739" t="n">
        <x:v>113499.66</x:v>
      </x:c>
      <x:c r="H739" t="n">
        <x:v>73600.34</x:v>
      </x:c>
      <x:c r="I739" t="n">
        <x:v>5483254.17</x:v>
      </x:c>
      <x:c r="J739" t="str">
        <x:v>En fecha</x:v>
      </x:c>
    </x:row>
    <x:row r="740">
      <x:c r="A740" t="str">
        <x:v>ABO-0000739</x:v>
      </x:c>
      <x:c r="B740" t="str">
        <x:v>2025-06</x:v>
      </x:c>
      <x:c r="C740" t="n">
        <x:v>45830</x:v>
      </x:c>
      <x:c r="D740" t="str">
        <x:v>USR-00102</x:v>
      </x:c>
      <x:c r="E740" t="str">
        <x:v>DEU-000197</x:v>
      </x:c>
      <x:c r="F740" t="n">
        <x:v>217200</x:v>
      </x:c>
      <x:c r="G740" t="n">
        <x:v>54554.29</x:v>
      </x:c>
      <x:c r="H740" t="n">
        <x:v>162645.71</x:v>
      </x:c>
      <x:c r="I740" t="n">
        <x:v>2788856.07</x:v>
      </x:c>
      <x:c r="J740" t="str">
        <x:v>En fecha</x:v>
      </x:c>
    </x:row>
    <x:row r="741">
      <x:c r="A741" t="str">
        <x:v>ABO-0000740</x:v>
      </x:c>
      <x:c r="B741" t="str">
        <x:v>2025-06</x:v>
      </x:c>
      <x:c r="C741" t="n">
        <x:v>45826</x:v>
      </x:c>
      <x:c r="D741" t="str">
        <x:v>USR-00103</x:v>
      </x:c>
      <x:c r="E741" t="str">
        <x:v>DEU-000199</x:v>
      </x:c>
      <x:c r="F741" t="n">
        <x:v>937900</x:v>
      </x:c>
      <x:c r="G741" t="n">
        <x:v>165496.85</x:v>
      </x:c>
      <x:c r="H741" t="n">
        <x:v>772403.15</x:v>
      </x:c>
      <x:c r="I741" t="n">
        <x:v>8089955.5</x:v>
      </x:c>
      <x:c r="J741" t="str">
        <x:v>En fecha</x:v>
      </x:c>
    </x:row>
    <x:row r="742">
      <x:c r="A742" t="str">
        <x:v>ABO-0000741</x:v>
      </x:c>
      <x:c r="B742" t="str">
        <x:v>2025-06</x:v>
      </x:c>
      <x:c r="C742" t="n">
        <x:v>45830</x:v>
      </x:c>
      <x:c r="D742" t="str">
        <x:v>USR-00103</x:v>
      </x:c>
      <x:c r="E742" t="str">
        <x:v>DEU-000200</x:v>
      </x:c>
      <x:c r="F742" t="n">
        <x:v>443200</x:v>
      </x:c>
      <x:c r="G742" t="n">
        <x:v>194875.76</x:v>
      </x:c>
      <x:c r="H742" t="n">
        <x:v>248324.24</x:v>
      </x:c>
      <x:c r="I742" t="n">
        <x:v>7665336.48</x:v>
      </x:c>
      <x:c r="J742" t="str">
        <x:v>En fecha</x:v>
      </x:c>
    </x:row>
    <x:row r="743">
      <x:c r="A743" t="str">
        <x:v>ABO-0000742</x:v>
      </x:c>
      <x:c r="B743" t="str">
        <x:v>2025-06</x:v>
      </x:c>
      <x:c r="C743" t="n">
        <x:v>45810</x:v>
      </x:c>
      <x:c r="D743" t="str">
        <x:v>USR-00104</x:v>
      </x:c>
      <x:c r="E743" t="str">
        <x:v>DEU-000201</x:v>
      </x:c>
      <x:c r="F743" t="n">
        <x:v>689700</x:v>
      </x:c>
      <x:c r="G743" t="n">
        <x:v>233510.2</x:v>
      </x:c>
      <x:c r="H743" t="n">
        <x:v>456189.8</x:v>
      </x:c>
      <x:c r="I743" t="n">
        <x:v>16941593.68</x:v>
      </x:c>
      <x:c r="J743" t="str">
        <x:v>En fecha</x:v>
      </x:c>
    </x:row>
    <x:row r="744">
      <x:c r="A744" t="str">
        <x:v>ABO-0000743</x:v>
      </x:c>
      <x:c r="B744" t="str">
        <x:v>2025-06</x:v>
      </x:c>
      <x:c r="C744" t="n">
        <x:v>45826</x:v>
      </x:c>
      <x:c r="D744" t="str">
        <x:v>USR-00105</x:v>
      </x:c>
      <x:c r="E744" t="str">
        <x:v>DEU-000203</x:v>
      </x:c>
      <x:c r="F744" t="n">
        <x:v>83300</x:v>
      </x:c>
      <x:c r="G744" t="n">
        <x:v>46376.76</x:v>
      </x:c>
      <x:c r="H744" t="n">
        <x:v>36923.24</x:v>
      </x:c>
      <x:c r="I744" t="n">
        <x:v>1859651.6</x:v>
      </x:c>
      <x:c r="J744" t="str">
        <x:v>En fecha</x:v>
      </x:c>
    </x:row>
    <x:row r="745">
      <x:c r="A745" t="str">
        <x:v>ABO-0000744</x:v>
      </x:c>
      <x:c r="B745" t="str">
        <x:v>2025-06</x:v>
      </x:c>
      <x:c r="C745" t="n">
        <x:v>45830</x:v>
      </x:c>
      <x:c r="D745" t="str">
        <x:v>USR-00106</x:v>
      </x:c>
      <x:c r="E745" t="str">
        <x:v>DEU-000204</x:v>
      </x:c>
      <x:c r="F745" t="n">
        <x:v>187800</x:v>
      </x:c>
      <x:c r="G745" t="n">
        <x:v>88697.08</x:v>
      </x:c>
      <x:c r="H745" t="n">
        <x:v>99102.92</x:v>
      </x:c>
      <x:c r="I745" t="n">
        <x:v>3785091.53</x:v>
      </x:c>
      <x:c r="J745" t="str">
        <x:v>En fecha</x:v>
      </x:c>
    </x:row>
    <x:row r="746">
      <x:c r="A746" t="str">
        <x:v>ABO-0000745</x:v>
      </x:c>
      <x:c r="B746" t="str">
        <x:v>2025-06</x:v>
      </x:c>
      <x:c r="C746" t="n">
        <x:v>45834</x:v>
      </x:c>
      <x:c r="D746" t="str">
        <x:v>USR-00106</x:v>
      </x:c>
      <x:c r="E746" t="str">
        <x:v>DEU-000205</x:v>
      </x:c>
      <x:c r="F746" t="n">
        <x:v>157200</x:v>
      </x:c>
      <x:c r="G746" t="n">
        <x:v>110868.53</x:v>
      </x:c>
      <x:c r="H746" t="n">
        <x:v>46331.47</x:v>
      </x:c>
      <x:c r="I746" t="n">
        <x:v>4390538.3</x:v>
      </x:c>
      <x:c r="J746" t="str">
        <x:v>Parcial</x:v>
      </x:c>
    </x:row>
    <x:row r="747">
      <x:c r="A747" t="str">
        <x:v>ABO-0000746</x:v>
      </x:c>
      <x:c r="B747" t="str">
        <x:v>2025-06</x:v>
      </x:c>
      <x:c r="C747" t="n">
        <x:v>45814</x:v>
      </x:c>
      <x:c r="D747" t="str">
        <x:v>USR-00108</x:v>
      </x:c>
      <x:c r="E747" t="str">
        <x:v>DEU-000208</x:v>
      </x:c>
      <x:c r="F747" t="n">
        <x:v>241700</x:v>
      </x:c>
      <x:c r="G747" t="n">
        <x:v>31931.36</x:v>
      </x:c>
      <x:c r="H747" t="n">
        <x:v>209768.64</x:v>
      </x:c>
      <x:c r="I747" t="n">
        <x:v>2584229.68</x:v>
      </x:c>
      <x:c r="J747" t="str">
        <x:v>Parcial</x:v>
      </x:c>
    </x:row>
    <x:row r="748">
      <x:c r="A748" t="str">
        <x:v>ABO-0000747</x:v>
      </x:c>
      <x:c r="B748" t="str">
        <x:v>2025-06</x:v>
      </x:c>
      <x:c r="C748" t="n">
        <x:v>45831</x:v>
      </x:c>
      <x:c r="D748" t="str">
        <x:v>USR-00108</x:v>
      </x:c>
      <x:c r="E748" t="str">
        <x:v>DEU-000209</x:v>
      </x:c>
      <x:c r="F748" t="n">
        <x:v>1783100</x:v>
      </x:c>
      <x:c r="G748" t="n">
        <x:v>261674.74</x:v>
      </x:c>
      <x:c r="H748" t="n">
        <x:v>1521425.26</x:v>
      </x:c>
      <x:c r="I748" t="n">
        <x:v>18691934.21</x:v>
      </x:c>
      <x:c r="J748" t="str">
        <x:v>En fecha</x:v>
      </x:c>
    </x:row>
    <x:row r="749">
      <x:c r="A749" t="str">
        <x:v>ABO-0000748</x:v>
      </x:c>
      <x:c r="B749" t="str">
        <x:v>2025-06</x:v>
      </x:c>
      <x:c r="C749" t="n">
        <x:v>45831</x:v>
      </x:c>
      <x:c r="D749" t="str">
        <x:v>USR-00110</x:v>
      </x:c>
      <x:c r="E749" t="str">
        <x:v>DEU-000212</x:v>
      </x:c>
      <x:c r="F749" t="n">
        <x:v>709000</x:v>
      </x:c>
      <x:c r="G749" t="n">
        <x:v>82763.5</x:v>
      </x:c>
      <x:c r="H749" t="n">
        <x:v>626236.5</x:v>
      </x:c>
      <x:c r="I749" t="n">
        <x:v>6763169.64</x:v>
      </x:c>
      <x:c r="J749" t="str">
        <x:v>En fecha</x:v>
      </x:c>
    </x:row>
    <x:row r="750">
      <x:c r="A750" t="str">
        <x:v>ABO-0000749</x:v>
      </x:c>
      <x:c r="B750" t="str">
        <x:v>2025-06</x:v>
      </x:c>
      <x:c r="C750" t="n">
        <x:v>45822</x:v>
      </x:c>
      <x:c r="D750" t="str">
        <x:v>USR-00111</x:v>
      </x:c>
      <x:c r="E750" t="str">
        <x:v>DEU-000214</x:v>
      </x:c>
      <x:c r="F750" t="n">
        <x:v>465900</x:v>
      </x:c>
      <x:c r="G750" t="n">
        <x:v>336155.93</x:v>
      </x:c>
      <x:c r="H750" t="n">
        <x:v>129744.07</x:v>
      </x:c>
      <x:c r="I750" t="n">
        <x:v>15895037.79</x:v>
      </x:c>
      <x:c r="J750" t="str">
        <x:v>En fecha</x:v>
      </x:c>
    </x:row>
    <x:row r="751">
      <x:c r="A751" t="str">
        <x:v>ABO-0000750</x:v>
      </x:c>
      <x:c r="B751" t="str">
        <x:v>2025-06</x:v>
      </x:c>
      <x:c r="C751" t="n">
        <x:v>45818</x:v>
      </x:c>
      <x:c r="D751" t="str">
        <x:v>USR-00112</x:v>
      </x:c>
      <x:c r="E751" t="str">
        <x:v>DEU-000215</x:v>
      </x:c>
      <x:c r="F751" t="n">
        <x:v>513800</x:v>
      </x:c>
      <x:c r="G751" t="n">
        <x:v>80853.29</x:v>
      </x:c>
      <x:c r="H751" t="n">
        <x:v>432946.71</x:v>
      </x:c>
      <x:c r="I751" t="n">
        <x:v>3576716.85</x:v>
      </x:c>
      <x:c r="J751" t="str">
        <x:v>En fecha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9" hidden="0" customWidth="1"/>
    <x:col min="5" max="5" width="19" hidden="0" customWidth="1"/>
    <x:col min="6" max="6" width="18" hidden="0" customWidth="1"/>
    <x:col min="7" max="7" width="22" hidden="0" customWidth="1"/>
    <x:col min="8" max="8" width="13" hidden="0" customWidth="1"/>
    <x:col min="9" max="9" width="13" hidden="0" customWidth="1"/>
    <x:col min="10" max="10" width="14" hidden="0" customWidth="1"/>
    <x:col min="11" max="11" width="14" hidden="0" customWidth="1"/>
    <x:col min="12" max="12" width="13" hidden="0" customWidth="1"/>
  </x:cols>
  <x:sheetData>
    <x:row r="1" ht="34" customHeight="1">
      <x:c r="A1" s="36" t="str">
        <x:v>transaccion_id</x:v>
      </x:c>
      <x:c r="B1" s="36" t="str">
        <x:v>mes</x:v>
      </x:c>
      <x:c r="C1" s="36" t="str">
        <x:v>fecha_transaccion</x:v>
      </x:c>
      <x:c r="D1" s="36" t="str">
        <x:v>usuario_id</x:v>
      </x:c>
      <x:c r="E1" s="36" t="str">
        <x:v>suscripcion_id</x:v>
      </x:c>
      <x:c r="F1" s="36" t="str">
        <x:v>plan_solicitado</x:v>
      </x:c>
      <x:c r="G1" s="36" t="str">
        <x:v>periodo_facturacion</x:v>
      </x:c>
      <x:c r="H1" s="36" t="str">
        <x:v>intento</x:v>
      </x:c>
      <x:c r="I1" s="36" t="str">
        <x:v>estado</x:v>
      </x:c>
      <x:c r="J1" s="36" t="str">
        <x:v>importe_cop</x:v>
      </x:c>
      <x:c r="K1" s="36" t="str">
        <x:v>metodo_pago</x:v>
      </x:c>
      <x:c r="L1" s="36" t="str">
        <x:v>motivo</x:v>
      </x:c>
    </x:row>
    <x:row r="2">
      <x:c r="A2" t="str">
        <x:v>TXN-0000001</x:v>
      </x:c>
      <x:c r="B2" t="str">
        <x:v>2025-01</x:v>
      </x:c>
      <x:c r="C2" t="n">
        <x:v>45668</x:v>
      </x:c>
      <x:c r="D2" t="str">
        <x:v>USR-00004</x:v>
      </x:c>
      <x:c r="E2" t="str">
        <x:v>SUS-000004</x:v>
      </x:c>
      <x:c r="F2" t="str">
        <x:v>Plus mensual</x:v>
      </x:c>
      <x:c r="G2" t="str">
        <x:v>Mensual</x:v>
      </x:c>
      <x:c r="H2" t="n">
        <x:v>1</x:v>
      </x:c>
      <x:c r="I2" t="str">
        <x:v>Aprobado</x:v>
      </x:c>
      <x:c r="J2" t="n">
        <x:v>29900</x:v>
      </x:c>
      <x:c r="K2" t="str">
        <x:v>Tarjeta crédito</x:v>
      </x:c>
      <x:c r="L2" t="str">
        <x:v>Sin error</x:v>
      </x:c>
    </x:row>
    <x:row r="3">
      <x:c r="A3" t="str">
        <x:v>TXN-0000002</x:v>
      </x:c>
      <x:c r="B3" t="str">
        <x:v>2025-01</x:v>
      </x:c>
      <x:c r="C3" t="n">
        <x:v>45663</x:v>
      </x:c>
      <x:c r="D3" t="str">
        <x:v>USR-00007</x:v>
      </x:c>
      <x:c r="E3" t="str">
        <x:v>SUS-000007</x:v>
      </x:c>
      <x:c r="F3" t="str">
        <x:v>Plus mensual</x:v>
      </x:c>
      <x:c r="G3" t="str">
        <x:v>Mensual</x:v>
      </x:c>
      <x:c r="H3" t="n">
        <x:v>1</x:v>
      </x:c>
      <x:c r="I3" t="str">
        <x:v>Aprobado</x:v>
      </x:c>
      <x:c r="J3" t="n">
        <x:v>29900</x:v>
      </x:c>
      <x:c r="K3" t="str">
        <x:v>Tarjeta crédito</x:v>
      </x:c>
      <x:c r="L3" t="str">
        <x:v>Sin error</x:v>
      </x:c>
    </x:row>
    <x:row r="4">
      <x:c r="A4" t="str">
        <x:v>TXN-0000003</x:v>
      </x:c>
      <x:c r="B4" t="str">
        <x:v>2025-01</x:v>
      </x:c>
      <x:c r="C4" t="n">
        <x:v>45662</x:v>
      </x:c>
      <x:c r="D4" t="str">
        <x:v>USR-00025</x:v>
      </x:c>
      <x:c r="E4" t="str">
        <x:v>SUS-000025</x:v>
      </x:c>
      <x:c r="F4" t="str">
        <x:v>Plus anual</x:v>
      </x:c>
      <x:c r="G4" t="str">
        <x:v>Anual</x:v>
      </x:c>
      <x:c r="H4" t="n">
        <x:v>1</x:v>
      </x:c>
      <x:c r="I4" t="str">
        <x:v>Aprobado</x:v>
      </x:c>
      <x:c r="J4" t="n">
        <x:v>299000</x:v>
      </x:c>
      <x:c r="K4" t="str">
        <x:v>Tarjeta crédito</x:v>
      </x:c>
      <x:c r="L4" t="str">
        <x:v>Sin error</x:v>
      </x:c>
    </x:row>
    <x:row r="5">
      <x:c r="A5" t="str">
        <x:v>TXN-0000004</x:v>
      </x:c>
      <x:c r="B5" t="str">
        <x:v>2025-01</x:v>
      </x:c>
      <x:c r="C5" t="n">
        <x:v>45669</x:v>
      </x:c>
      <x:c r="D5" t="str">
        <x:v>USR-00027</x:v>
      </x:c>
      <x:c r="E5" t="str">
        <x:v>SUS-000027</x:v>
      </x:c>
      <x:c r="F5" t="str">
        <x:v>Plus mensual</x:v>
      </x:c>
      <x:c r="G5" t="str">
        <x:v>Mensual</x:v>
      </x:c>
      <x:c r="H5" t="n">
        <x:v>1</x:v>
      </x:c>
      <x:c r="I5" t="str">
        <x:v>Aprobado</x:v>
      </x:c>
      <x:c r="J5" t="n">
        <x:v>29900</x:v>
      </x:c>
      <x:c r="K5" t="str">
        <x:v>Tarjeta débito</x:v>
      </x:c>
      <x:c r="L5" t="str">
        <x:v>Sin error</x:v>
      </x:c>
    </x:row>
    <x:row r="6">
      <x:c r="A6" t="str">
        <x:v>TXN-0000005</x:v>
      </x:c>
      <x:c r="B6" t="str">
        <x:v>2025-02</x:v>
      </x:c>
      <x:c r="C6" t="n">
        <x:v>45700</x:v>
      </x:c>
      <x:c r="D6" t="str">
        <x:v>USR-00004</x:v>
      </x:c>
      <x:c r="E6" t="str">
        <x:v>SUS-000032</x:v>
      </x:c>
      <x:c r="F6" t="str">
        <x:v>Plus anual</x:v>
      </x:c>
      <x:c r="G6" t="str">
        <x:v>Anual</x:v>
      </x:c>
      <x:c r="H6" t="n">
        <x:v>1</x:v>
      </x:c>
      <x:c r="I6" t="str">
        <x:v>Aprobado</x:v>
      </x:c>
      <x:c r="J6" t="n">
        <x:v>299000</x:v>
      </x:c>
      <x:c r="K6" t="str">
        <x:v>Tarjeta crédito</x:v>
      </x:c>
      <x:c r="L6" t="str">
        <x:v>Sin error</x:v>
      </x:c>
    </x:row>
    <x:row r="7">
      <x:c r="A7" t="str">
        <x:v>TXN-0000006</x:v>
      </x:c>
      <x:c r="B7" t="str">
        <x:v>2025-02</x:v>
      </x:c>
      <x:c r="C7" t="n">
        <x:v>45700</x:v>
      </x:c>
      <x:c r="D7" t="str">
        <x:v>USR-00005</x:v>
      </x:c>
      <x:c r="E7" t="str">
        <x:v>SUS-000033</x:v>
      </x:c>
      <x:c r="F7" t="str">
        <x:v>Plus anual</x:v>
      </x:c>
      <x:c r="G7" t="str">
        <x:v>Anual</x:v>
      </x:c>
      <x:c r="H7" t="n">
        <x:v>1</x:v>
      </x:c>
      <x:c r="I7" t="str">
        <x:v>Aprobado</x:v>
      </x:c>
      <x:c r="J7" t="n">
        <x:v>299000</x:v>
      </x:c>
      <x:c r="K7" t="str">
        <x:v>PSE</x:v>
      </x:c>
      <x:c r="L7" t="str">
        <x:v>Sin error</x:v>
      </x:c>
    </x:row>
    <x:row r="8">
      <x:c r="A8" t="str">
        <x:v>TXN-0000007</x:v>
      </x:c>
      <x:c r="B8" t="str">
        <x:v>2025-02</x:v>
      </x:c>
      <x:c r="C8" t="n">
        <x:v>45699</x:v>
      </x:c>
      <x:c r="D8" t="str">
        <x:v>USR-00007</x:v>
      </x:c>
      <x:c r="E8" t="str">
        <x:v>SUS-000007</x:v>
      </x:c>
      <x:c r="F8" t="str">
        <x:v>Plus mensual</x:v>
      </x:c>
      <x:c r="G8" t="str">
        <x:v>Mensual</x:v>
      </x:c>
      <x:c r="H8" t="n">
        <x:v>1</x:v>
      </x:c>
      <x:c r="I8" t="str">
        <x:v>Aprobado</x:v>
      </x:c>
      <x:c r="J8" t="n">
        <x:v>29900</x:v>
      </x:c>
      <x:c r="K8" t="str">
        <x:v>PSE</x:v>
      </x:c>
      <x:c r="L8" t="str">
        <x:v>Sin error</x:v>
      </x:c>
    </x:row>
    <x:row r="9">
      <x:c r="A9" t="str">
        <x:v>TXN-0000008</x:v>
      </x:c>
      <x:c r="B9" t="str">
        <x:v>2025-02</x:v>
      </x:c>
      <x:c r="C9" t="n">
        <x:v>45696</x:v>
      </x:c>
      <x:c r="D9" t="str">
        <x:v>USR-00017</x:v>
      </x:c>
      <x:c r="E9" t="str">
        <x:v>SUS-000034</x:v>
      </x:c>
      <x:c r="F9" t="str">
        <x:v>Plus anual</x:v>
      </x:c>
      <x:c r="G9" t="str">
        <x:v>Anual</x:v>
      </x:c>
      <x:c r="H9" t="n">
        <x:v>1</x:v>
      </x:c>
      <x:c r="I9" t="str">
        <x:v>Aprobado</x:v>
      </x:c>
      <x:c r="J9" t="n">
        <x:v>299000</x:v>
      </x:c>
      <x:c r="K9" t="str">
        <x:v>Tarjeta débito</x:v>
      </x:c>
      <x:c r="L9" t="str">
        <x:v>Sin error</x:v>
      </x:c>
    </x:row>
    <x:row r="10">
      <x:c r="A10" t="str">
        <x:v>TXN-0000009</x:v>
      </x:c>
      <x:c r="B10" t="str">
        <x:v>2025-02</x:v>
      </x:c>
      <x:c r="C10" t="n">
        <x:v>45698</x:v>
      </x:c>
      <x:c r="D10" t="str">
        <x:v>USR-00020</x:v>
      </x:c>
      <x:c r="E10" t="str">
        <x:v>SUS-000035</x:v>
      </x:c>
      <x:c r="F10" t="str">
        <x:v>Plus mensual</x:v>
      </x:c>
      <x:c r="G10" t="str">
        <x:v>Mensual</x:v>
      </x:c>
      <x:c r="H10" t="n">
        <x:v>1</x:v>
      </x:c>
      <x:c r="I10" t="str">
        <x:v>Aprobado</x:v>
      </x:c>
      <x:c r="J10" t="n">
        <x:v>29900</x:v>
      </x:c>
      <x:c r="K10" t="str">
        <x:v>Tarjeta crédito</x:v>
      </x:c>
      <x:c r="L10" t="str">
        <x:v>Sin error</x:v>
      </x:c>
    </x:row>
    <x:row r="11">
      <x:c r="A11" t="str">
        <x:v>TXN-0000010</x:v>
      </x:c>
      <x:c r="B11" t="str">
        <x:v>2025-02</x:v>
      </x:c>
      <x:c r="C11" t="n">
        <x:v>45695</x:v>
      </x:c>
      <x:c r="D11" t="str">
        <x:v>USR-00027</x:v>
      </x:c>
      <x:c r="E11" t="str">
        <x:v>SUS-000027</x:v>
      </x:c>
      <x:c r="F11" t="str">
        <x:v>Plus mensual</x:v>
      </x:c>
      <x:c r="G11" t="str">
        <x:v>Mensual</x:v>
      </x:c>
      <x:c r="H11" t="n">
        <x:v>1</x:v>
      </x:c>
      <x:c r="I11" t="str">
        <x:v>Aprobado</x:v>
      </x:c>
      <x:c r="J11" t="n">
        <x:v>29900</x:v>
      </x:c>
      <x:c r="K11" t="str">
        <x:v>Tarjeta crédito</x:v>
      </x:c>
      <x:c r="L11" t="str">
        <x:v>Sin error</x:v>
      </x:c>
    </x:row>
    <x:row r="12">
      <x:c r="A12" t="str">
        <x:v>TXN-0000011</x:v>
      </x:c>
      <x:c r="B12" t="str">
        <x:v>2025-02</x:v>
      </x:c>
      <x:c r="C12" t="n">
        <x:v>45697</x:v>
      </x:c>
      <x:c r="D12" t="str">
        <x:v>USR-00038</x:v>
      </x:c>
      <x:c r="E12" t="str">
        <x:v>SUS-000042</x:v>
      </x:c>
      <x:c r="F12" t="str">
        <x:v>Plus anual</x:v>
      </x:c>
      <x:c r="G12" t="str">
        <x:v>Anual</x:v>
      </x:c>
      <x:c r="H12" t="n">
        <x:v>1</x:v>
      </x:c>
      <x:c r="I12" t="str">
        <x:v>Aprobado</x:v>
      </x:c>
      <x:c r="J12" t="n">
        <x:v>299000</x:v>
      </x:c>
      <x:c r="K12" t="str">
        <x:v>Tarjeta crédito</x:v>
      </x:c>
      <x:c r="L12" t="str">
        <x:v>Sin error</x:v>
      </x:c>
    </x:row>
    <x:row r="13">
      <x:c r="A13" t="str">
        <x:v>TXN-0000012</x:v>
      </x:c>
      <x:c r="B13" t="str">
        <x:v>2025-02</x:v>
      </x:c>
      <x:c r="C13" t="n">
        <x:v>45697</x:v>
      </x:c>
      <x:c r="D13" t="str">
        <x:v>USR-00051</x:v>
      </x:c>
      <x:c r="E13" t="str">
        <x:v>SUS-000055</x:v>
      </x:c>
      <x:c r="F13" t="str">
        <x:v>Plus mensual</x:v>
      </x:c>
      <x:c r="G13" t="str">
        <x:v>Mensual</x:v>
      </x:c>
      <x:c r="H13" t="n">
        <x:v>1</x:v>
      </x:c>
      <x:c r="I13" t="str">
        <x:v>Aprobado</x:v>
      </x:c>
      <x:c r="J13" t="n">
        <x:v>29900</x:v>
      </x:c>
      <x:c r="K13" t="str">
        <x:v>Tarjeta débito</x:v>
      </x:c>
      <x:c r="L13" t="str">
        <x:v>Sin error</x:v>
      </x:c>
    </x:row>
    <x:row r="14">
      <x:c r="A14" t="str">
        <x:v>TXN-0000013</x:v>
      </x:c>
      <x:c r="B14" t="str">
        <x:v>2025-02</x:v>
      </x:c>
      <x:c r="C14" t="n">
        <x:v>45699</x:v>
      </x:c>
      <x:c r="D14" t="str">
        <x:v>USR-00053</x:v>
      </x:c>
      <x:c r="E14" t="str">
        <x:v>SUS-000057</x:v>
      </x:c>
      <x:c r="F14" t="str">
        <x:v>Plus mensual</x:v>
      </x:c>
      <x:c r="G14" t="str">
        <x:v>Mensual</x:v>
      </x:c>
      <x:c r="H14" t="n">
        <x:v>1</x:v>
      </x:c>
      <x:c r="I14" t="str">
        <x:v>Aprobado</x:v>
      </x:c>
      <x:c r="J14" t="n">
        <x:v>29900</x:v>
      </x:c>
      <x:c r="K14" t="str">
        <x:v>Tarjeta débito</x:v>
      </x:c>
      <x:c r="L14" t="str">
        <x:v>Sin error</x:v>
      </x:c>
    </x:row>
    <x:row r="15">
      <x:c r="A15" t="str">
        <x:v>TXN-0000014</x:v>
      </x:c>
      <x:c r="B15" t="str">
        <x:v>2025-02</x:v>
      </x:c>
      <x:c r="C15" t="n">
        <x:v>45700</x:v>
      </x:c>
      <x:c r="D15" t="str">
        <x:v>USR-00054</x:v>
      </x:c>
      <x:c r="E15" t="str">
        <x:v>SUS-000058</x:v>
      </x:c>
      <x:c r="F15" t="str">
        <x:v>Plus mensual</x:v>
      </x:c>
      <x:c r="G15" t="str">
        <x:v>Mensual</x:v>
      </x:c>
      <x:c r="H15" t="n">
        <x:v>1</x:v>
      </x:c>
      <x:c r="I15" t="str">
        <x:v>Aprobado</x:v>
      </x:c>
      <x:c r="J15" t="n">
        <x:v>29900</x:v>
      </x:c>
      <x:c r="K15" t="str">
        <x:v>Tarjeta crédito</x:v>
      </x:c>
      <x:c r="L15" t="str">
        <x:v>Sin error</x:v>
      </x:c>
    </x:row>
    <x:row r="16">
      <x:c r="A16" t="str">
        <x:v>TXN-0000015</x:v>
      </x:c>
      <x:c r="B16" t="str">
        <x:v>2025-03</x:v>
      </x:c>
      <x:c r="C16" t="n">
        <x:v>45724</x:v>
      </x:c>
      <x:c r="D16" t="str">
        <x:v>USR-00007</x:v>
      </x:c>
      <x:c r="E16" t="str">
        <x:v>SUS-000007</x:v>
      </x:c>
      <x:c r="F16" t="str">
        <x:v>Plus mensual</x:v>
      </x:c>
      <x:c r="G16" t="str">
        <x:v>Mensual</x:v>
      </x:c>
      <x:c r="H16" t="n">
        <x:v>1</x:v>
      </x:c>
      <x:c r="I16" t="str">
        <x:v>Aprobado</x:v>
      </x:c>
      <x:c r="J16" t="n">
        <x:v>29900</x:v>
      </x:c>
      <x:c r="K16" t="str">
        <x:v>Tarjeta débito</x:v>
      </x:c>
      <x:c r="L16" t="str">
        <x:v>Sin error</x:v>
      </x:c>
    </x:row>
    <x:row r="17">
      <x:c r="A17" t="str">
        <x:v>TXN-0000016</x:v>
      </x:c>
      <x:c r="B17" t="str">
        <x:v>2025-03</x:v>
      </x:c>
      <x:c r="C17" t="n">
        <x:v>45721</x:v>
      </x:c>
      <x:c r="D17" t="str">
        <x:v>USR-00047</x:v>
      </x:c>
      <x:c r="E17" t="str">
        <x:v>SIN_SUSCRIPCION</x:v>
      </x:c>
      <x:c r="F17" t="str">
        <x:v>Plus mensual</x:v>
      </x:c>
      <x:c r="G17" t="str">
        <x:v>Mensual</x:v>
      </x:c>
      <x:c r="H17" t="n">
        <x:v>1</x:v>
      </x:c>
      <x:c r="I17" t="str">
        <x:v>Rechazado</x:v>
      </x:c>
      <x:c r="J17" t="n">
        <x:v>29900</x:v>
      </x:c>
      <x:c r="K17" t="str">
        <x:v>Tarjeta débito</x:v>
      </x:c>
      <x:c r="L17" t="str">
        <x:v>Fondos insuficientes</x:v>
      </x:c>
    </x:row>
    <x:row r="18">
      <x:c r="A18" t="str">
        <x:v>TXN-0000017</x:v>
      </x:c>
      <x:c r="B18" t="str">
        <x:v>2025-03</x:v>
      </x:c>
      <x:c r="C18" t="n">
        <x:v>45722</x:v>
      </x:c>
      <x:c r="D18" t="str">
        <x:v>USR-00047</x:v>
      </x:c>
      <x:c r="E18" t="str">
        <x:v>SIN_SUSCRIPCION</x:v>
      </x:c>
      <x:c r="F18" t="str">
        <x:v>Plus mensual</x:v>
      </x:c>
      <x:c r="G18" t="str">
        <x:v>Mensual</x:v>
      </x:c>
      <x:c r="H18" t="n">
        <x:v>2</x:v>
      </x:c>
      <x:c r="I18" t="str">
        <x:v>Rechazado</x:v>
      </x:c>
      <x:c r="J18" t="n">
        <x:v>29900</x:v>
      </x:c>
      <x:c r="K18" t="str">
        <x:v>PSE</x:v>
      </x:c>
      <x:c r="L18" t="str">
        <x:v>Declinado por entidad</x:v>
      </x:c>
    </x:row>
    <x:row r="19">
      <x:c r="A19" t="str">
        <x:v>TXN-0000018</x:v>
      </x:c>
      <x:c r="B19" t="str">
        <x:v>2025-03</x:v>
      </x:c>
      <x:c r="C19" t="n">
        <x:v>45727</x:v>
      </x:c>
      <x:c r="D19" t="str">
        <x:v>USR-00051</x:v>
      </x:c>
      <x:c r="E19" t="str">
        <x:v>SUS-000055</x:v>
      </x:c>
      <x:c r="F19" t="str">
        <x:v>Plus mensual</x:v>
      </x:c>
      <x:c r="G19" t="str">
        <x:v>Mensual</x:v>
      </x:c>
      <x:c r="H19" t="n">
        <x:v>1</x:v>
      </x:c>
      <x:c r="I19" t="str">
        <x:v>Aprobado</x:v>
      </x:c>
      <x:c r="J19" t="n">
        <x:v>29900</x:v>
      </x:c>
      <x:c r="K19" t="str">
        <x:v>PSE</x:v>
      </x:c>
      <x:c r="L19" t="str">
        <x:v>Sin error</x:v>
      </x:c>
    </x:row>
    <x:row r="20">
      <x:c r="A20" t="str">
        <x:v>TXN-0000019</x:v>
      </x:c>
      <x:c r="B20" t="str">
        <x:v>2025-03</x:v>
      </x:c>
      <x:c r="C20" t="n">
        <x:v>45722</x:v>
      </x:c>
      <x:c r="D20" t="str">
        <x:v>USR-00053</x:v>
      </x:c>
      <x:c r="E20" t="str">
        <x:v>SUS-000057</x:v>
      </x:c>
      <x:c r="F20" t="str">
        <x:v>Plus mensual</x:v>
      </x:c>
      <x:c r="G20" t="str">
        <x:v>Mensual</x:v>
      </x:c>
      <x:c r="H20" t="n">
        <x:v>1</x:v>
      </x:c>
      <x:c r="I20" t="str">
        <x:v>Aprobado</x:v>
      </x:c>
      <x:c r="J20" t="n">
        <x:v>29900</x:v>
      </x:c>
      <x:c r="K20" t="str">
        <x:v>Tarjeta crédito</x:v>
      </x:c>
      <x:c r="L20" t="str">
        <x:v>Sin error</x:v>
      </x:c>
    </x:row>
    <x:row r="21">
      <x:c r="A21" t="str">
        <x:v>TXN-0000020</x:v>
      </x:c>
      <x:c r="B21" t="str">
        <x:v>2025-03</x:v>
      </x:c>
      <x:c r="C21" t="n">
        <x:v>45726</x:v>
      </x:c>
      <x:c r="D21" t="str">
        <x:v>USR-00054</x:v>
      </x:c>
      <x:c r="E21" t="str">
        <x:v>SUS-000058</x:v>
      </x:c>
      <x:c r="F21" t="str">
        <x:v>Plus mensual</x:v>
      </x:c>
      <x:c r="G21" t="str">
        <x:v>Mensual</x:v>
      </x:c>
      <x:c r="H21" t="n">
        <x:v>1</x:v>
      </x:c>
      <x:c r="I21" t="str">
        <x:v>Aprobado</x:v>
      </x:c>
      <x:c r="J21" t="n">
        <x:v>29900</x:v>
      </x:c>
      <x:c r="K21" t="str">
        <x:v>Tarjeta crédito</x:v>
      </x:c>
      <x:c r="L21" t="str">
        <x:v>Sin error</x:v>
      </x:c>
    </x:row>
    <x:row r="22">
      <x:c r="A22" t="str">
        <x:v>TXN-0000021</x:v>
      </x:c>
      <x:c r="B22" t="str">
        <x:v>2025-03</x:v>
      </x:c>
      <x:c r="C22" t="n">
        <x:v>45728</x:v>
      </x:c>
      <x:c r="D22" t="str">
        <x:v>USR-00065</x:v>
      </x:c>
      <x:c r="E22" t="str">
        <x:v>SUS-000070</x:v>
      </x:c>
      <x:c r="F22" t="str">
        <x:v>Plus mensual</x:v>
      </x:c>
      <x:c r="G22" t="str">
        <x:v>Mensual</x:v>
      </x:c>
      <x:c r="H22" t="n">
        <x:v>1</x:v>
      </x:c>
      <x:c r="I22" t="str">
        <x:v>Aprobado</x:v>
      </x:c>
      <x:c r="J22" t="n">
        <x:v>29900</x:v>
      </x:c>
      <x:c r="K22" t="str">
        <x:v>Tarjeta débito</x:v>
      </x:c>
      <x:c r="L22" t="str">
        <x:v>Sin error</x:v>
      </x:c>
    </x:row>
    <x:row r="23">
      <x:c r="A23" t="str">
        <x:v>TXN-0000022</x:v>
      </x:c>
      <x:c r="B23" t="str">
        <x:v>2025-03</x:v>
      </x:c>
      <x:c r="C23" t="n">
        <x:v>45722</x:v>
      </x:c>
      <x:c r="D23" t="str">
        <x:v>USR-00066</x:v>
      </x:c>
      <x:c r="E23" t="str">
        <x:v>SUS-000071</x:v>
      </x:c>
      <x:c r="F23" t="str">
        <x:v>Plus mensual</x:v>
      </x:c>
      <x:c r="G23" t="str">
        <x:v>Mensual</x:v>
      </x:c>
      <x:c r="H23" t="n">
        <x:v>1</x:v>
      </x:c>
      <x:c r="I23" t="str">
        <x:v>Aprobado</x:v>
      </x:c>
      <x:c r="J23" t="n">
        <x:v>29900</x:v>
      </x:c>
      <x:c r="K23" t="str">
        <x:v>Tarjeta débito</x:v>
      </x:c>
      <x:c r="L23" t="str">
        <x:v>Sin error</x:v>
      </x:c>
    </x:row>
    <x:row r="24">
      <x:c r="A24" t="str">
        <x:v>TXN-0000023</x:v>
      </x:c>
      <x:c r="B24" t="str">
        <x:v>2025-03</x:v>
      </x:c>
      <x:c r="C24" t="n">
        <x:v>45721</x:v>
      </x:c>
      <x:c r="D24" t="str">
        <x:v>USR-00067</x:v>
      </x:c>
      <x:c r="E24" t="str">
        <x:v>SUS-000072</x:v>
      </x:c>
      <x:c r="F24" t="str">
        <x:v>Plus mensual</x:v>
      </x:c>
      <x:c r="G24" t="str">
        <x:v>Mensual</x:v>
      </x:c>
      <x:c r="H24" t="n">
        <x:v>1</x:v>
      </x:c>
      <x:c r="I24" t="str">
        <x:v>Aprobado</x:v>
      </x:c>
      <x:c r="J24" t="n">
        <x:v>29900</x:v>
      </x:c>
      <x:c r="K24" t="str">
        <x:v>Tarjeta crédito</x:v>
      </x:c>
      <x:c r="L24" t="str">
        <x:v>Sin error</x:v>
      </x:c>
    </x:row>
    <x:row r="25">
      <x:c r="A25" t="str">
        <x:v>TXN-0000024</x:v>
      </x:c>
      <x:c r="B25" t="str">
        <x:v>2025-03</x:v>
      </x:c>
      <x:c r="C25" t="n">
        <x:v>45728</x:v>
      </x:c>
      <x:c r="D25" t="str">
        <x:v>USR-00070</x:v>
      </x:c>
      <x:c r="E25" t="str">
        <x:v>SUS-000075</x:v>
      </x:c>
      <x:c r="F25" t="str">
        <x:v>Plus mensual</x:v>
      </x:c>
      <x:c r="G25" t="str">
        <x:v>Mensual</x:v>
      </x:c>
      <x:c r="H25" t="n">
        <x:v>1</x:v>
      </x:c>
      <x:c r="I25" t="str">
        <x:v>Aprobado</x:v>
      </x:c>
      <x:c r="J25" t="n">
        <x:v>29900</x:v>
      </x:c>
      <x:c r="K25" t="str">
        <x:v>Tarjeta crédito</x:v>
      </x:c>
      <x:c r="L25" t="str">
        <x:v>Sin error</x:v>
      </x:c>
    </x:row>
    <x:row r="26">
      <x:c r="A26" t="str">
        <x:v>TXN-0000025</x:v>
      </x:c>
      <x:c r="B26" t="str">
        <x:v>2025-03</x:v>
      </x:c>
      <x:c r="C26" t="n">
        <x:v>45725</x:v>
      </x:c>
      <x:c r="D26" t="str">
        <x:v>USR-00076</x:v>
      </x:c>
      <x:c r="E26" t="str">
        <x:v>SUS-000081</x:v>
      </x:c>
      <x:c r="F26" t="str">
        <x:v>Plus mensual</x:v>
      </x:c>
      <x:c r="G26" t="str">
        <x:v>Mensual</x:v>
      </x:c>
      <x:c r="H26" t="n">
        <x:v>1</x:v>
      </x:c>
      <x:c r="I26" t="str">
        <x:v>Rechazado</x:v>
      </x:c>
      <x:c r="J26" t="n">
        <x:v>29900</x:v>
      </x:c>
      <x:c r="K26" t="str">
        <x:v>Tarjeta crédito</x:v>
      </x:c>
      <x:c r="L26" t="str">
        <x:v>Declinado por entidad</x:v>
      </x:c>
    </x:row>
    <x:row r="27">
      <x:c r="A27" t="str">
        <x:v>TXN-0000026</x:v>
      </x:c>
      <x:c r="B27" t="str">
        <x:v>2025-03</x:v>
      </x:c>
      <x:c r="C27" t="n">
        <x:v>45723</x:v>
      </x:c>
      <x:c r="D27" t="str">
        <x:v>USR-00076</x:v>
      </x:c>
      <x:c r="E27" t="str">
        <x:v>SUS-000081</x:v>
      </x:c>
      <x:c r="F27" t="str">
        <x:v>Plus mensual</x:v>
      </x:c>
      <x:c r="G27" t="str">
        <x:v>Mensual</x:v>
      </x:c>
      <x:c r="H27" t="n">
        <x:v>2</x:v>
      </x:c>
      <x:c r="I27" t="str">
        <x:v>Aprobado</x:v>
      </x:c>
      <x:c r="J27" t="n">
        <x:v>29900</x:v>
      </x:c>
      <x:c r="K27" t="str">
        <x:v>PSE</x:v>
      </x:c>
      <x:c r="L27" t="str">
        <x:v>Sin error</x:v>
      </x:c>
    </x:row>
    <x:row r="28">
      <x:c r="A28" t="str">
        <x:v>TXN-0000027</x:v>
      </x:c>
      <x:c r="B28" t="str">
        <x:v>2025-03</x:v>
      </x:c>
      <x:c r="C28" t="n">
        <x:v>45727</x:v>
      </x:c>
      <x:c r="D28" t="str">
        <x:v>USR-00078</x:v>
      </x:c>
      <x:c r="E28" t="str">
        <x:v>SUS-000083</x:v>
      </x:c>
      <x:c r="F28" t="str">
        <x:v>Plus mensual</x:v>
      </x:c>
      <x:c r="G28" t="str">
        <x:v>Mensual</x:v>
      </x:c>
      <x:c r="H28" t="n">
        <x:v>1</x:v>
      </x:c>
      <x:c r="I28" t="str">
        <x:v>Aprobado</x:v>
      </x:c>
      <x:c r="J28" t="n">
        <x:v>29900</x:v>
      </x:c>
      <x:c r="K28" t="str">
        <x:v>PSE</x:v>
      </x:c>
      <x:c r="L28" t="str">
        <x:v>Sin error</x:v>
      </x:c>
    </x:row>
    <x:row r="29">
      <x:c r="A29" t="str">
        <x:v>TXN-0000028</x:v>
      </x:c>
      <x:c r="B29" t="str">
        <x:v>2025-03</x:v>
      </x:c>
      <x:c r="C29" t="n">
        <x:v>45721</x:v>
      </x:c>
      <x:c r="D29" t="str">
        <x:v>USR-00091</x:v>
      </x:c>
      <x:c r="E29" t="str">
        <x:v>SUS-000096</x:v>
      </x:c>
      <x:c r="F29" t="str">
        <x:v>Plus mensual</x:v>
      </x:c>
      <x:c r="G29" t="str">
        <x:v>Mensual</x:v>
      </x:c>
      <x:c r="H29" t="n">
        <x:v>1</x:v>
      </x:c>
      <x:c r="I29" t="str">
        <x:v>Aprobado</x:v>
      </x:c>
      <x:c r="J29" t="n">
        <x:v>29900</x:v>
      </x:c>
      <x:c r="K29" t="str">
        <x:v>Tarjeta débito</x:v>
      </x:c>
      <x:c r="L29" t="str">
        <x:v>Sin error</x:v>
      </x:c>
    </x:row>
    <x:row r="30">
      <x:c r="A30" t="str">
        <x:v>TXN-0000029</x:v>
      </x:c>
      <x:c r="B30" t="str">
        <x:v>2025-03</x:v>
      </x:c>
      <x:c r="C30" t="n">
        <x:v>45721</x:v>
      </x:c>
      <x:c r="D30" t="str">
        <x:v>USR-00093</x:v>
      </x:c>
      <x:c r="E30" t="str">
        <x:v>SUS-000098</x:v>
      </x:c>
      <x:c r="F30" t="str">
        <x:v>Plus anual</x:v>
      </x:c>
      <x:c r="G30" t="str">
        <x:v>Anual</x:v>
      </x:c>
      <x:c r="H30" t="n">
        <x:v>1</x:v>
      </x:c>
      <x:c r="I30" t="str">
        <x:v>Aprobado</x:v>
      </x:c>
      <x:c r="J30" t="n">
        <x:v>299000</x:v>
      </x:c>
      <x:c r="K30" t="str">
        <x:v>Tarjeta débito</x:v>
      </x:c>
      <x:c r="L30" t="str">
        <x:v>Sin error</x:v>
      </x:c>
    </x:row>
    <x:row r="31">
      <x:c r="A31" t="str">
        <x:v>TXN-0000030</x:v>
      </x:c>
      <x:c r="B31" t="str">
        <x:v>2025-04</x:v>
      </x:c>
      <x:c r="C31" t="n">
        <x:v>45753</x:v>
      </x:c>
      <x:c r="D31" t="str">
        <x:v>USR-00007</x:v>
      </x:c>
      <x:c r="E31" t="str">
        <x:v>SIN_SUSCRIPCION</x:v>
      </x:c>
      <x:c r="F31" t="str">
        <x:v>Plus anual</x:v>
      </x:c>
      <x:c r="G31" t="str">
        <x:v>Anual</x:v>
      </x:c>
      <x:c r="H31" t="n">
        <x:v>1</x:v>
      </x:c>
      <x:c r="I31" t="str">
        <x:v>Rechazado</x:v>
      </x:c>
      <x:c r="J31" t="n">
        <x:v>299000</x:v>
      </x:c>
      <x:c r="K31" t="str">
        <x:v>Tarjeta crédito</x:v>
      </x:c>
      <x:c r="L31" t="str">
        <x:v>Fondos insuficientes</x:v>
      </x:c>
    </x:row>
    <x:row r="32">
      <x:c r="A32" t="str">
        <x:v>TXN-0000031</x:v>
      </x:c>
      <x:c r="B32" t="str">
        <x:v>2025-04</x:v>
      </x:c>
      <x:c r="C32" t="n">
        <x:v>45755</x:v>
      </x:c>
      <x:c r="D32" t="str">
        <x:v>USR-00007</x:v>
      </x:c>
      <x:c r="E32" t="str">
        <x:v>SIN_SUSCRIPCION</x:v>
      </x:c>
      <x:c r="F32" t="str">
        <x:v>Plus anual</x:v>
      </x:c>
      <x:c r="G32" t="str">
        <x:v>Anual</x:v>
      </x:c>
      <x:c r="H32" t="n">
        <x:v>2</x:v>
      </x:c>
      <x:c r="I32" t="str">
        <x:v>Rechazado</x:v>
      </x:c>
      <x:c r="J32" t="n">
        <x:v>299000</x:v>
      </x:c>
      <x:c r="K32" t="str">
        <x:v>Tarjeta crédito</x:v>
      </x:c>
      <x:c r="L32" t="str">
        <x:v>Error temporal</x:v>
      </x:c>
    </x:row>
    <x:row r="33">
      <x:c r="A33" t="str">
        <x:v>TXN-0000032</x:v>
      </x:c>
      <x:c r="B33" t="str">
        <x:v>2025-04</x:v>
      </x:c>
      <x:c r="C33" t="n">
        <x:v>45759</x:v>
      </x:c>
      <x:c r="D33" t="str">
        <x:v>USR-00026</x:v>
      </x:c>
      <x:c r="E33" t="str">
        <x:v>SUS-000101</x:v>
      </x:c>
      <x:c r="F33" t="str">
        <x:v>Plus mensual</x:v>
      </x:c>
      <x:c r="G33" t="str">
        <x:v>Mensual</x:v>
      </x:c>
      <x:c r="H33" t="n">
        <x:v>1</x:v>
      </x:c>
      <x:c r="I33" t="str">
        <x:v>Aprobado</x:v>
      </x:c>
      <x:c r="J33" t="n">
        <x:v>29900</x:v>
      </x:c>
      <x:c r="K33" t="str">
        <x:v>PSE</x:v>
      </x:c>
      <x:c r="L33" t="str">
        <x:v>Sin error</x:v>
      </x:c>
    </x:row>
    <x:row r="34">
      <x:c r="A34" t="str">
        <x:v>TXN-0000033</x:v>
      </x:c>
      <x:c r="B34" t="str">
        <x:v>2025-04</x:v>
      </x:c>
      <x:c r="C34" t="n">
        <x:v>45756</x:v>
      </x:c>
      <x:c r="D34" t="str">
        <x:v>USR-00051</x:v>
      </x:c>
      <x:c r="E34" t="str">
        <x:v>SUS-000055</x:v>
      </x:c>
      <x:c r="F34" t="str">
        <x:v>Plus mensual</x:v>
      </x:c>
      <x:c r="G34" t="str">
        <x:v>Mensual</x:v>
      </x:c>
      <x:c r="H34" t="n">
        <x:v>1</x:v>
      </x:c>
      <x:c r="I34" t="str">
        <x:v>Aprobado</x:v>
      </x:c>
      <x:c r="J34" t="n">
        <x:v>29900</x:v>
      </x:c>
      <x:c r="K34" t="str">
        <x:v>Tarjeta crédito</x:v>
      </x:c>
      <x:c r="L34" t="str">
        <x:v>Sin error</x:v>
      </x:c>
    </x:row>
    <x:row r="35">
      <x:c r="A35" t="str">
        <x:v>TXN-0000034</x:v>
      </x:c>
      <x:c r="B35" t="str">
        <x:v>2025-04</x:v>
      </x:c>
      <x:c r="C35" t="n">
        <x:v>45753</x:v>
      </x:c>
      <x:c r="D35" t="str">
        <x:v>USR-00053</x:v>
      </x:c>
      <x:c r="E35" t="str">
        <x:v>SUS-000057</x:v>
      </x:c>
      <x:c r="F35" t="str">
        <x:v>Plus mensual</x:v>
      </x:c>
      <x:c r="G35" t="str">
        <x:v>Mensual</x:v>
      </x:c>
      <x:c r="H35" t="n">
        <x:v>1</x:v>
      </x:c>
      <x:c r="I35" t="str">
        <x:v>Aprobado</x:v>
      </x:c>
      <x:c r="J35" t="n">
        <x:v>29900</x:v>
      </x:c>
      <x:c r="K35" t="str">
        <x:v>PSE</x:v>
      </x:c>
      <x:c r="L35" t="str">
        <x:v>Sin error</x:v>
      </x:c>
    </x:row>
    <x:row r="36">
      <x:c r="A36" t="str">
        <x:v>TXN-0000035</x:v>
      </x:c>
      <x:c r="B36" t="str">
        <x:v>2025-04</x:v>
      </x:c>
      <x:c r="C36" t="n">
        <x:v>45757</x:v>
      </x:c>
      <x:c r="D36" t="str">
        <x:v>USR-00054</x:v>
      </x:c>
      <x:c r="E36" t="str">
        <x:v>SUS-000058</x:v>
      </x:c>
      <x:c r="F36" t="str">
        <x:v>Plus mensual</x:v>
      </x:c>
      <x:c r="G36" t="str">
        <x:v>Mensual</x:v>
      </x:c>
      <x:c r="H36" t="n">
        <x:v>1</x:v>
      </x:c>
      <x:c r="I36" t="str">
        <x:v>Aprobado</x:v>
      </x:c>
      <x:c r="J36" t="n">
        <x:v>29900</x:v>
      </x:c>
      <x:c r="K36" t="str">
        <x:v>PSE</x:v>
      </x:c>
      <x:c r="L36" t="str">
        <x:v>Sin error</x:v>
      </x:c>
    </x:row>
    <x:row r="37">
      <x:c r="A37" t="str">
        <x:v>TXN-0000036</x:v>
      </x:c>
      <x:c r="B37" t="str">
        <x:v>2025-04</x:v>
      </x:c>
      <x:c r="C37" t="n">
        <x:v>45758</x:v>
      </x:c>
      <x:c r="D37" t="str">
        <x:v>USR-00065</x:v>
      </x:c>
      <x:c r="E37" t="str">
        <x:v>SUS-000070</x:v>
      </x:c>
      <x:c r="F37" t="str">
        <x:v>Plus mensual</x:v>
      </x:c>
      <x:c r="G37" t="str">
        <x:v>Mensual</x:v>
      </x:c>
      <x:c r="H37" t="n">
        <x:v>1</x:v>
      </x:c>
      <x:c r="I37" t="str">
        <x:v>Aprobado</x:v>
      </x:c>
      <x:c r="J37" t="n">
        <x:v>29900</x:v>
      </x:c>
      <x:c r="K37" t="str">
        <x:v>Tarjeta crédito</x:v>
      </x:c>
      <x:c r="L37" t="str">
        <x:v>Sin error</x:v>
      </x:c>
    </x:row>
    <x:row r="38">
      <x:c r="A38" t="str">
        <x:v>TXN-0000037</x:v>
      </x:c>
      <x:c r="B38" t="str">
        <x:v>2025-04</x:v>
      </x:c>
      <x:c r="C38" t="n">
        <x:v>45755</x:v>
      </x:c>
      <x:c r="D38" t="str">
        <x:v>USR-00066</x:v>
      </x:c>
      <x:c r="E38" t="str">
        <x:v>SUS-000071</x:v>
      </x:c>
      <x:c r="F38" t="str">
        <x:v>Plus mensual</x:v>
      </x:c>
      <x:c r="G38" t="str">
        <x:v>Mensual</x:v>
      </x:c>
      <x:c r="H38" t="n">
        <x:v>1</x:v>
      </x:c>
      <x:c r="I38" t="str">
        <x:v>Aprobado</x:v>
      </x:c>
      <x:c r="J38" t="n">
        <x:v>29900</x:v>
      </x:c>
      <x:c r="K38" t="str">
        <x:v>PSE</x:v>
      </x:c>
      <x:c r="L38" t="str">
        <x:v>Sin error</x:v>
      </x:c>
    </x:row>
    <x:row r="39">
      <x:c r="A39" t="str">
        <x:v>TXN-0000038</x:v>
      </x:c>
      <x:c r="B39" t="str">
        <x:v>2025-04</x:v>
      </x:c>
      <x:c r="C39" t="n">
        <x:v>45753</x:v>
      </x:c>
      <x:c r="D39" t="str">
        <x:v>USR-00067</x:v>
      </x:c>
      <x:c r="E39" t="str">
        <x:v>SUS-000072</x:v>
      </x:c>
      <x:c r="F39" t="str">
        <x:v>Plus mensual</x:v>
      </x:c>
      <x:c r="G39" t="str">
        <x:v>Mensual</x:v>
      </x:c>
      <x:c r="H39" t="n">
        <x:v>1</x:v>
      </x:c>
      <x:c r="I39" t="str">
        <x:v>Aprobado</x:v>
      </x:c>
      <x:c r="J39" t="n">
        <x:v>29900</x:v>
      </x:c>
      <x:c r="K39" t="str">
        <x:v>Tarjeta débito</x:v>
      </x:c>
      <x:c r="L39" t="str">
        <x:v>Sin error</x:v>
      </x:c>
    </x:row>
    <x:row r="40">
      <x:c r="A40" t="str">
        <x:v>TXN-0000039</x:v>
      </x:c>
      <x:c r="B40" t="str">
        <x:v>2025-04</x:v>
      </x:c>
      <x:c r="C40" t="n">
        <x:v>45758</x:v>
      </x:c>
      <x:c r="D40" t="str">
        <x:v>USR-00070</x:v>
      </x:c>
      <x:c r="E40" t="str">
        <x:v>SUS-000075</x:v>
      </x:c>
      <x:c r="F40" t="str">
        <x:v>Plus mensual</x:v>
      </x:c>
      <x:c r="G40" t="str">
        <x:v>Mensual</x:v>
      </x:c>
      <x:c r="H40" t="n">
        <x:v>1</x:v>
      </x:c>
      <x:c r="I40" t="str">
        <x:v>Aprobado</x:v>
      </x:c>
      <x:c r="J40" t="n">
        <x:v>29900</x:v>
      </x:c>
      <x:c r="K40" t="str">
        <x:v>Tarjeta crédito</x:v>
      </x:c>
      <x:c r="L40" t="str">
        <x:v>Sin error</x:v>
      </x:c>
    </x:row>
    <x:row r="41">
      <x:c r="A41" t="str">
        <x:v>TXN-0000040</x:v>
      </x:c>
      <x:c r="B41" t="str">
        <x:v>2025-04</x:v>
      </x:c>
      <x:c r="C41" t="n">
        <x:v>45755</x:v>
      </x:c>
      <x:c r="D41" t="str">
        <x:v>USR-00078</x:v>
      </x:c>
      <x:c r="E41" t="str">
        <x:v>SUS-000083</x:v>
      </x:c>
      <x:c r="F41" t="str">
        <x:v>Plus mensual</x:v>
      </x:c>
      <x:c r="G41" t="str">
        <x:v>Mensual</x:v>
      </x:c>
      <x:c r="H41" t="n">
        <x:v>1</x:v>
      </x:c>
      <x:c r="I41" t="str">
        <x:v>Aprobado</x:v>
      </x:c>
      <x:c r="J41" t="n">
        <x:v>29900</x:v>
      </x:c>
      <x:c r="K41" t="str">
        <x:v>PSE</x:v>
      </x:c>
      <x:c r="L41" t="str">
        <x:v>Sin error</x:v>
      </x:c>
    </x:row>
    <x:row r="42">
      <x:c r="A42" t="str">
        <x:v>TXN-0000041</x:v>
      </x:c>
      <x:c r="B42" t="str">
        <x:v>2025-04</x:v>
      </x:c>
      <x:c r="C42" t="n">
        <x:v>45757</x:v>
      </x:c>
      <x:c r="D42" t="str">
        <x:v>USR-00091</x:v>
      </x:c>
      <x:c r="E42" t="str">
        <x:v>SUS-000096</x:v>
      </x:c>
      <x:c r="F42" t="str">
        <x:v>Plus mensual</x:v>
      </x:c>
      <x:c r="G42" t="str">
        <x:v>Mensual</x:v>
      </x:c>
      <x:c r="H42" t="n">
        <x:v>1</x:v>
      </x:c>
      <x:c r="I42" t="str">
        <x:v>Aprobado</x:v>
      </x:c>
      <x:c r="J42" t="n">
        <x:v>29900</x:v>
      </x:c>
      <x:c r="K42" t="str">
        <x:v>PSE</x:v>
      </x:c>
      <x:c r="L42" t="str">
        <x:v>Sin error</x:v>
      </x:c>
    </x:row>
    <x:row r="43">
      <x:c r="A43" t="str">
        <x:v>TXN-0000042</x:v>
      </x:c>
      <x:c r="B43" t="str">
        <x:v>2025-04</x:v>
      </x:c>
      <x:c r="C43" t="n">
        <x:v>45752</x:v>
      </x:c>
      <x:c r="D43" t="str">
        <x:v>USR-00095</x:v>
      </x:c>
      <x:c r="E43" t="str">
        <x:v>SUS-000103</x:v>
      </x:c>
      <x:c r="F43" t="str">
        <x:v>Plus mensual</x:v>
      </x:c>
      <x:c r="G43" t="str">
        <x:v>Mensual</x:v>
      </x:c>
      <x:c r="H43" t="n">
        <x:v>1</x:v>
      </x:c>
      <x:c r="I43" t="str">
        <x:v>Aprobado</x:v>
      </x:c>
      <x:c r="J43" t="n">
        <x:v>29900</x:v>
      </x:c>
      <x:c r="K43" t="str">
        <x:v>Tarjeta crédito</x:v>
      </x:c>
      <x:c r="L43" t="str">
        <x:v>Sin error</x:v>
      </x:c>
    </x:row>
    <x:row r="44">
      <x:c r="A44" t="str">
        <x:v>TXN-0000043</x:v>
      </x:c>
      <x:c r="B44" t="str">
        <x:v>2025-04</x:v>
      </x:c>
      <x:c r="C44" t="n">
        <x:v>45755</x:v>
      </x:c>
      <x:c r="D44" t="str">
        <x:v>USR-00100</x:v>
      </x:c>
      <x:c r="E44" t="str">
        <x:v>SUS-000108</x:v>
      </x:c>
      <x:c r="F44" t="str">
        <x:v>Plus mensual</x:v>
      </x:c>
      <x:c r="G44" t="str">
        <x:v>Mensual</x:v>
      </x:c>
      <x:c r="H44" t="n">
        <x:v>1</x:v>
      </x:c>
      <x:c r="I44" t="str">
        <x:v>Aprobado</x:v>
      </x:c>
      <x:c r="J44" t="n">
        <x:v>29900</x:v>
      </x:c>
      <x:c r="K44" t="str">
        <x:v>Tarjeta crédito</x:v>
      </x:c>
      <x:c r="L44" t="str">
        <x:v>Sin error</x:v>
      </x:c>
    </x:row>
    <x:row r="45">
      <x:c r="A45" t="str">
        <x:v>TXN-0000044</x:v>
      </x:c>
      <x:c r="B45" t="str">
        <x:v>2025-04</x:v>
      </x:c>
      <x:c r="C45" t="n">
        <x:v>45759</x:v>
      </x:c>
      <x:c r="D45" t="str">
        <x:v>USR-00101</x:v>
      </x:c>
      <x:c r="E45" t="str">
        <x:v>SUS-000109</x:v>
      </x:c>
      <x:c r="F45" t="str">
        <x:v>Plus mensual</x:v>
      </x:c>
      <x:c r="G45" t="str">
        <x:v>Mensual</x:v>
      </x:c>
      <x:c r="H45" t="n">
        <x:v>1</x:v>
      </x:c>
      <x:c r="I45" t="str">
        <x:v>Aprobado</x:v>
      </x:c>
      <x:c r="J45" t="n">
        <x:v>29900</x:v>
      </x:c>
      <x:c r="K45" t="str">
        <x:v>PSE</x:v>
      </x:c>
      <x:c r="L45" t="str">
        <x:v>Sin error</x:v>
      </x:c>
    </x:row>
    <x:row r="46">
      <x:c r="A46" t="str">
        <x:v>TXN-0000045</x:v>
      </x:c>
      <x:c r="B46" t="str">
        <x:v>2025-05</x:v>
      </x:c>
      <x:c r="C46" t="n">
        <x:v>45782</x:v>
      </x:c>
      <x:c r="D46" t="str">
        <x:v>USR-00026</x:v>
      </x:c>
      <x:c r="E46" t="str">
        <x:v>SUS-000101</x:v>
      </x:c>
      <x:c r="F46" t="str">
        <x:v>Plus mensual</x:v>
      </x:c>
      <x:c r="G46" t="str">
        <x:v>Mensual</x:v>
      </x:c>
      <x:c r="H46" t="n">
        <x:v>1</x:v>
      </x:c>
      <x:c r="I46" t="str">
        <x:v>Aprobado</x:v>
      </x:c>
      <x:c r="J46" t="n">
        <x:v>29900</x:v>
      </x:c>
      <x:c r="K46" t="str">
        <x:v>Tarjeta crédito</x:v>
      </x:c>
      <x:c r="L46" t="str">
        <x:v>Sin error</x:v>
      </x:c>
    </x:row>
    <x:row r="47">
      <x:c r="A47" t="str">
        <x:v>TXN-0000046</x:v>
      </x:c>
      <x:c r="B47" t="str">
        <x:v>2025-05</x:v>
      </x:c>
      <x:c r="C47" t="n">
        <x:v>45785</x:v>
      </x:c>
      <x:c r="D47" t="str">
        <x:v>USR-00035</x:v>
      </x:c>
      <x:c r="E47" t="str">
        <x:v>SUS-000130</x:v>
      </x:c>
      <x:c r="F47" t="str">
        <x:v>Plus mensual</x:v>
      </x:c>
      <x:c r="G47" t="str">
        <x:v>Mensual</x:v>
      </x:c>
      <x:c r="H47" t="n">
        <x:v>1</x:v>
      </x:c>
      <x:c r="I47" t="str">
        <x:v>Aprobado</x:v>
      </x:c>
      <x:c r="J47" t="n">
        <x:v>29900</x:v>
      </x:c>
      <x:c r="K47" t="str">
        <x:v>Tarjeta crédito</x:v>
      </x:c>
      <x:c r="L47" t="str">
        <x:v>Sin error</x:v>
      </x:c>
    </x:row>
    <x:row r="48">
      <x:c r="A48" t="str">
        <x:v>TXN-0000047</x:v>
      </x:c>
      <x:c r="B48" t="str">
        <x:v>2025-05</x:v>
      </x:c>
      <x:c r="C48" t="n">
        <x:v>45785</x:v>
      </x:c>
      <x:c r="D48" t="str">
        <x:v>USR-00051</x:v>
      </x:c>
      <x:c r="E48" t="str">
        <x:v>SUS-000055</x:v>
      </x:c>
      <x:c r="F48" t="str">
        <x:v>Plus mensual</x:v>
      </x:c>
      <x:c r="G48" t="str">
        <x:v>Mensual</x:v>
      </x:c>
      <x:c r="H48" t="n">
        <x:v>1</x:v>
      </x:c>
      <x:c r="I48" t="str">
        <x:v>Rechazado</x:v>
      </x:c>
      <x:c r="J48" t="n">
        <x:v>29900</x:v>
      </x:c>
      <x:c r="K48" t="str">
        <x:v>PSE</x:v>
      </x:c>
      <x:c r="L48" t="str">
        <x:v>Error temporal</x:v>
      </x:c>
    </x:row>
    <x:row r="49">
      <x:c r="A49" t="str">
        <x:v>TXN-0000048</x:v>
      </x:c>
      <x:c r="B49" t="str">
        <x:v>2025-05</x:v>
      </x:c>
      <x:c r="C49" t="n">
        <x:v>45787</x:v>
      </x:c>
      <x:c r="D49" t="str">
        <x:v>USR-00051</x:v>
      </x:c>
      <x:c r="E49" t="str">
        <x:v>SUS-000055</x:v>
      </x:c>
      <x:c r="F49" t="str">
        <x:v>Plus mensual</x:v>
      </x:c>
      <x:c r="G49" t="str">
        <x:v>Mensual</x:v>
      </x:c>
      <x:c r="H49" t="n">
        <x:v>2</x:v>
      </x:c>
      <x:c r="I49" t="str">
        <x:v>Aprobado</x:v>
      </x:c>
      <x:c r="J49" t="n">
        <x:v>29900</x:v>
      </x:c>
      <x:c r="K49" t="str">
        <x:v>PSE</x:v>
      </x:c>
      <x:c r="L49" t="str">
        <x:v>Sin error</x:v>
      </x:c>
    </x:row>
    <x:row r="50">
      <x:c r="A50" t="str">
        <x:v>TXN-0000049</x:v>
      </x:c>
      <x:c r="B50" t="str">
        <x:v>2025-05</x:v>
      </x:c>
      <x:c r="C50" t="n">
        <x:v>45788</x:v>
      </x:c>
      <x:c r="D50" t="str">
        <x:v>USR-00053</x:v>
      </x:c>
      <x:c r="E50" t="str">
        <x:v>SUS-000057</x:v>
      </x:c>
      <x:c r="F50" t="str">
        <x:v>Plus mensual</x:v>
      </x:c>
      <x:c r="G50" t="str">
        <x:v>Mensual</x:v>
      </x:c>
      <x:c r="H50" t="n">
        <x:v>1</x:v>
      </x:c>
      <x:c r="I50" t="str">
        <x:v>Aprobado</x:v>
      </x:c>
      <x:c r="J50" t="n">
        <x:v>29900</x:v>
      </x:c>
      <x:c r="K50" t="str">
        <x:v>Tarjeta crédito</x:v>
      </x:c>
      <x:c r="L50" t="str">
        <x:v>Sin error</x:v>
      </x:c>
    </x:row>
    <x:row r="51">
      <x:c r="A51" t="str">
        <x:v>TXN-0000050</x:v>
      </x:c>
      <x:c r="B51" t="str">
        <x:v>2025-05</x:v>
      </x:c>
      <x:c r="C51" t="n">
        <x:v>45783</x:v>
      </x:c>
      <x:c r="D51" t="str">
        <x:v>USR-00054</x:v>
      </x:c>
      <x:c r="E51" t="str">
        <x:v>SUS-000058</x:v>
      </x:c>
      <x:c r="F51" t="str">
        <x:v>Plus mensual</x:v>
      </x:c>
      <x:c r="G51" t="str">
        <x:v>Mensual</x:v>
      </x:c>
      <x:c r="H51" t="n">
        <x:v>1</x:v>
      </x:c>
      <x:c r="I51" t="str">
        <x:v>Aprobado</x:v>
      </x:c>
      <x:c r="J51" t="n">
        <x:v>29900</x:v>
      </x:c>
      <x:c r="K51" t="str">
        <x:v>PSE</x:v>
      </x:c>
      <x:c r="L51" t="str">
        <x:v>Sin error</x:v>
      </x:c>
    </x:row>
    <x:row r="52">
      <x:c r="A52" t="str">
        <x:v>TXN-0000051</x:v>
      </x:c>
      <x:c r="B52" t="str">
        <x:v>2025-05</x:v>
      </x:c>
      <x:c r="C52" t="n">
        <x:v>45785</x:v>
      </x:c>
      <x:c r="D52" t="str">
        <x:v>USR-00065</x:v>
      </x:c>
      <x:c r="E52" t="str">
        <x:v>SUS-000070</x:v>
      </x:c>
      <x:c r="F52" t="str">
        <x:v>Plus mensual</x:v>
      </x:c>
      <x:c r="G52" t="str">
        <x:v>Mensual</x:v>
      </x:c>
      <x:c r="H52" t="n">
        <x:v>1</x:v>
      </x:c>
      <x:c r="I52" t="str">
        <x:v>Aprobado</x:v>
      </x:c>
      <x:c r="J52" t="n">
        <x:v>29900</x:v>
      </x:c>
      <x:c r="K52" t="str">
        <x:v>Tarjeta débito</x:v>
      </x:c>
      <x:c r="L52" t="str">
        <x:v>Sin error</x:v>
      </x:c>
    </x:row>
    <x:row r="53">
      <x:c r="A53" t="str">
        <x:v>TXN-0000052</x:v>
      </x:c>
      <x:c r="B53" t="str">
        <x:v>2025-05</x:v>
      </x:c>
      <x:c r="C53" t="n">
        <x:v>45786</x:v>
      </x:c>
      <x:c r="D53" t="str">
        <x:v>USR-00066</x:v>
      </x:c>
      <x:c r="E53" t="str">
        <x:v>SUS-000071</x:v>
      </x:c>
      <x:c r="F53" t="str">
        <x:v>Plus mensual</x:v>
      </x:c>
      <x:c r="G53" t="str">
        <x:v>Mensual</x:v>
      </x:c>
      <x:c r="H53" t="n">
        <x:v>1</x:v>
      </x:c>
      <x:c r="I53" t="str">
        <x:v>Aprobado</x:v>
      </x:c>
      <x:c r="J53" t="n">
        <x:v>29900</x:v>
      </x:c>
      <x:c r="K53" t="str">
        <x:v>Tarjeta crédito</x:v>
      </x:c>
      <x:c r="L53" t="str">
        <x:v>Sin error</x:v>
      </x:c>
    </x:row>
    <x:row r="54">
      <x:c r="A54" t="str">
        <x:v>TXN-0000053</x:v>
      </x:c>
      <x:c r="B54" t="str">
        <x:v>2025-05</x:v>
      </x:c>
      <x:c r="C54" t="n">
        <x:v>45783</x:v>
      </x:c>
      <x:c r="D54" t="str">
        <x:v>USR-00067</x:v>
      </x:c>
      <x:c r="E54" t="str">
        <x:v>SUS-000072</x:v>
      </x:c>
      <x:c r="F54" t="str">
        <x:v>Plus mensual</x:v>
      </x:c>
      <x:c r="G54" t="str">
        <x:v>Mensual</x:v>
      </x:c>
      <x:c r="H54" t="n">
        <x:v>1</x:v>
      </x:c>
      <x:c r="I54" t="str">
        <x:v>Aprobado</x:v>
      </x:c>
      <x:c r="J54" t="n">
        <x:v>29900</x:v>
      </x:c>
      <x:c r="K54" t="str">
        <x:v>PSE</x:v>
      </x:c>
      <x:c r="L54" t="str">
        <x:v>Sin error</x:v>
      </x:c>
    </x:row>
    <x:row r="55">
      <x:c r="A55" t="str">
        <x:v>TXN-0000054</x:v>
      </x:c>
      <x:c r="B55" t="str">
        <x:v>2025-05</x:v>
      </x:c>
      <x:c r="C55" t="n">
        <x:v>45784</x:v>
      </x:c>
      <x:c r="D55" t="str">
        <x:v>USR-00070</x:v>
      </x:c>
      <x:c r="E55" t="str">
        <x:v>SUS-000075</x:v>
      </x:c>
      <x:c r="F55" t="str">
        <x:v>Plus mensual</x:v>
      </x:c>
      <x:c r="G55" t="str">
        <x:v>Mensual</x:v>
      </x:c>
      <x:c r="H55" t="n">
        <x:v>1</x:v>
      </x:c>
      <x:c r="I55" t="str">
        <x:v>Aprobado</x:v>
      </x:c>
      <x:c r="J55" t="n">
        <x:v>29900</x:v>
      </x:c>
      <x:c r="K55" t="str">
        <x:v>PSE</x:v>
      </x:c>
      <x:c r="L55" t="str">
        <x:v>Sin error</x:v>
      </x:c>
    </x:row>
    <x:row r="56">
      <x:c r="A56" t="str">
        <x:v>TXN-0000055</x:v>
      </x:c>
      <x:c r="B56" t="str">
        <x:v>2025-05</x:v>
      </x:c>
      <x:c r="C56" t="n">
        <x:v>45782</x:v>
      </x:c>
      <x:c r="D56" t="str">
        <x:v>USR-00078</x:v>
      </x:c>
      <x:c r="E56" t="str">
        <x:v>SUS-000083</x:v>
      </x:c>
      <x:c r="F56" t="str">
        <x:v>Plus mensual</x:v>
      </x:c>
      <x:c r="G56" t="str">
        <x:v>Mensual</x:v>
      </x:c>
      <x:c r="H56" t="n">
        <x:v>1</x:v>
      </x:c>
      <x:c r="I56" t="str">
        <x:v>Aprobado</x:v>
      </x:c>
      <x:c r="J56" t="n">
        <x:v>29900</x:v>
      </x:c>
      <x:c r="K56" t="str">
        <x:v>Tarjeta crédito</x:v>
      </x:c>
      <x:c r="L56" t="str">
        <x:v>Sin error</x:v>
      </x:c>
    </x:row>
    <x:row r="57">
      <x:c r="A57" t="str">
        <x:v>TXN-0000056</x:v>
      </x:c>
      <x:c r="B57" t="str">
        <x:v>2025-05</x:v>
      </x:c>
      <x:c r="C57" t="n">
        <x:v>45789</x:v>
      </x:c>
      <x:c r="D57" t="str">
        <x:v>USR-00091</x:v>
      </x:c>
      <x:c r="E57" t="str">
        <x:v>SUS-000096</x:v>
      </x:c>
      <x:c r="F57" t="str">
        <x:v>Plus mensual</x:v>
      </x:c>
      <x:c r="G57" t="str">
        <x:v>Mensual</x:v>
      </x:c>
      <x:c r="H57" t="n">
        <x:v>1</x:v>
      </x:c>
      <x:c r="I57" t="str">
        <x:v>Aprobado</x:v>
      </x:c>
      <x:c r="J57" t="n">
        <x:v>29900</x:v>
      </x:c>
      <x:c r="K57" t="str">
        <x:v>PSE</x:v>
      </x:c>
      <x:c r="L57" t="str">
        <x:v>Sin error</x:v>
      </x:c>
    </x:row>
    <x:row r="58">
      <x:c r="A58" t="str">
        <x:v>TXN-0000057</x:v>
      </x:c>
      <x:c r="B58" t="str">
        <x:v>2025-05</x:v>
      </x:c>
      <x:c r="C58" t="n">
        <x:v>45784</x:v>
      </x:c>
      <x:c r="D58" t="str">
        <x:v>USR-00095</x:v>
      </x:c>
      <x:c r="E58" t="str">
        <x:v>SUS-000103</x:v>
      </x:c>
      <x:c r="F58" t="str">
        <x:v>Plus mensual</x:v>
      </x:c>
      <x:c r="G58" t="str">
        <x:v>Mensual</x:v>
      </x:c>
      <x:c r="H58" t="n">
        <x:v>1</x:v>
      </x:c>
      <x:c r="I58" t="str">
        <x:v>Aprobado</x:v>
      </x:c>
      <x:c r="J58" t="n">
        <x:v>29900</x:v>
      </x:c>
      <x:c r="K58" t="str">
        <x:v>PSE</x:v>
      </x:c>
      <x:c r="L58" t="str">
        <x:v>Sin error</x:v>
      </x:c>
    </x:row>
    <x:row r="59">
      <x:c r="A59" t="str">
        <x:v>TXN-0000058</x:v>
      </x:c>
      <x:c r="B59" t="str">
        <x:v>2025-05</x:v>
      </x:c>
      <x:c r="C59" t="n">
        <x:v>45787</x:v>
      </x:c>
      <x:c r="D59" t="str">
        <x:v>USR-00100</x:v>
      </x:c>
      <x:c r="E59" t="str">
        <x:v>SUS-000108</x:v>
      </x:c>
      <x:c r="F59" t="str">
        <x:v>Plus mensual</x:v>
      </x:c>
      <x:c r="G59" t="str">
        <x:v>Mensual</x:v>
      </x:c>
      <x:c r="H59" t="n">
        <x:v>1</x:v>
      </x:c>
      <x:c r="I59" t="str">
        <x:v>Aprobado</x:v>
      </x:c>
      <x:c r="J59" t="n">
        <x:v>29900</x:v>
      </x:c>
      <x:c r="K59" t="str">
        <x:v>PSE</x:v>
      </x:c>
      <x:c r="L59" t="str">
        <x:v>Sin error</x:v>
      </x:c>
    </x:row>
    <x:row r="60">
      <x:c r="A60" t="str">
        <x:v>TXN-0000059</x:v>
      </x:c>
      <x:c r="B60" t="str">
        <x:v>2025-05</x:v>
      </x:c>
      <x:c r="C60" t="n">
        <x:v>45787</x:v>
      </x:c>
      <x:c r="D60" t="str">
        <x:v>USR-00101</x:v>
      </x:c>
      <x:c r="E60" t="str">
        <x:v>SUS-000109</x:v>
      </x:c>
      <x:c r="F60" t="str">
        <x:v>Plus mensual</x:v>
      </x:c>
      <x:c r="G60" t="str">
        <x:v>Mensual</x:v>
      </x:c>
      <x:c r="H60" t="n">
        <x:v>1</x:v>
      </x:c>
      <x:c r="I60" t="str">
        <x:v>Aprobado</x:v>
      </x:c>
      <x:c r="J60" t="n">
        <x:v>29900</x:v>
      </x:c>
      <x:c r="K60" t="str">
        <x:v>Tarjeta crédito</x:v>
      </x:c>
      <x:c r="L60" t="str">
        <x:v>Sin error</x:v>
      </x:c>
    </x:row>
    <x:row r="61">
      <x:c r="A61" t="str">
        <x:v>TXN-0000060</x:v>
      </x:c>
      <x:c r="B61" t="str">
        <x:v>2025-05</x:v>
      </x:c>
      <x:c r="C61" t="n">
        <x:v>45783</x:v>
      </x:c>
      <x:c r="D61" t="str">
        <x:v>USR-00122</x:v>
      </x:c>
      <x:c r="E61" t="str">
        <x:v>SUS-000131</x:v>
      </x:c>
      <x:c r="F61" t="str">
        <x:v>Plus mensual</x:v>
      </x:c>
      <x:c r="G61" t="str">
        <x:v>Mensual</x:v>
      </x:c>
      <x:c r="H61" t="n">
        <x:v>1</x:v>
      </x:c>
      <x:c r="I61" t="str">
        <x:v>Aprobado</x:v>
      </x:c>
      <x:c r="J61" t="n">
        <x:v>29900</x:v>
      </x:c>
      <x:c r="K61" t="str">
        <x:v>Tarjeta débito</x:v>
      </x:c>
      <x:c r="L61" t="str">
        <x:v>Sin error</x:v>
      </x:c>
    </x:row>
    <x:row r="62">
      <x:c r="A62" t="str">
        <x:v>TXN-0000061</x:v>
      </x:c>
      <x:c r="B62" t="str">
        <x:v>2025-05</x:v>
      </x:c>
      <x:c r="C62" t="n">
        <x:v>45787</x:v>
      </x:c>
      <x:c r="D62" t="str">
        <x:v>USR-00134</x:v>
      </x:c>
      <x:c r="E62" t="str">
        <x:v>SUS-000143</x:v>
      </x:c>
      <x:c r="F62" t="str">
        <x:v>Plus mensual</x:v>
      </x:c>
      <x:c r="G62" t="str">
        <x:v>Mensual</x:v>
      </x:c>
      <x:c r="H62" t="n">
        <x:v>1</x:v>
      </x:c>
      <x:c r="I62" t="str">
        <x:v>Aprobado</x:v>
      </x:c>
      <x:c r="J62" t="n">
        <x:v>29900</x:v>
      </x:c>
      <x:c r="K62" t="str">
        <x:v>PSE</x:v>
      </x:c>
      <x:c r="L62" t="str">
        <x:v>Sin error</x:v>
      </x:c>
    </x:row>
    <x:row r="63">
      <x:c r="A63" t="str">
        <x:v>TXN-0000062</x:v>
      </x:c>
      <x:c r="B63" t="str">
        <x:v>2025-05</x:v>
      </x:c>
      <x:c r="C63" t="n">
        <x:v>45783</x:v>
      </x:c>
      <x:c r="D63" t="str">
        <x:v>USR-00140</x:v>
      </x:c>
      <x:c r="E63" t="str">
        <x:v>SUS-000149</x:v>
      </x:c>
      <x:c r="F63" t="str">
        <x:v>Plus mensual</x:v>
      </x:c>
      <x:c r="G63" t="str">
        <x:v>Mensual</x:v>
      </x:c>
      <x:c r="H63" t="n">
        <x:v>1</x:v>
      </x:c>
      <x:c r="I63" t="str">
        <x:v>Aprobado</x:v>
      </x:c>
      <x:c r="J63" t="n">
        <x:v>29900</x:v>
      </x:c>
      <x:c r="K63" t="str">
        <x:v>Tarjeta débito</x:v>
      </x:c>
      <x:c r="L63" t="str">
        <x:v>Sin error</x:v>
      </x:c>
    </x:row>
    <x:row r="64">
      <x:c r="A64" t="str">
        <x:v>TXN-0000063</x:v>
      </x:c>
      <x:c r="B64" t="str">
        <x:v>2025-05</x:v>
      </x:c>
      <x:c r="C64" t="n">
        <x:v>45785</x:v>
      </x:c>
      <x:c r="D64" t="str">
        <x:v>USR-00141</x:v>
      </x:c>
      <x:c r="E64" t="str">
        <x:v>SUS-000150</x:v>
      </x:c>
      <x:c r="F64" t="str">
        <x:v>Plus anual</x:v>
      </x:c>
      <x:c r="G64" t="str">
        <x:v>Anual</x:v>
      </x:c>
      <x:c r="H64" t="n">
        <x:v>1</x:v>
      </x:c>
      <x:c r="I64" t="str">
        <x:v>Aprobado</x:v>
      </x:c>
      <x:c r="J64" t="n">
        <x:v>299000</x:v>
      </x:c>
      <x:c r="K64" t="str">
        <x:v>Tarjeta débito</x:v>
      </x:c>
      <x:c r="L64" t="str">
        <x:v>Sin error</x:v>
      </x:c>
    </x:row>
    <x:row r="65">
      <x:c r="A65" t="str">
        <x:v>TXN-0000064</x:v>
      </x:c>
      <x:c r="B65" t="str">
        <x:v>2025-06</x:v>
      </x:c>
      <x:c r="C65" t="n">
        <x:v>45815</x:v>
      </x:c>
      <x:c r="D65" t="str">
        <x:v>USR-00003</x:v>
      </x:c>
      <x:c r="E65" t="str">
        <x:v>SUS-000155</x:v>
      </x:c>
      <x:c r="F65" t="str">
        <x:v>Plus mensual</x:v>
      </x:c>
      <x:c r="G65" t="str">
        <x:v>Mensual</x:v>
      </x:c>
      <x:c r="H65" t="n">
        <x:v>1</x:v>
      </x:c>
      <x:c r="I65" t="str">
        <x:v>Aprobado</x:v>
      </x:c>
      <x:c r="J65" t="n">
        <x:v>29900</x:v>
      </x:c>
      <x:c r="K65" t="str">
        <x:v>PSE</x:v>
      </x:c>
      <x:c r="L65" t="str">
        <x:v>Sin error</x:v>
      </x:c>
    </x:row>
    <x:row r="66">
      <x:c r="A66" t="str">
        <x:v>TXN-0000065</x:v>
      </x:c>
      <x:c r="B66" t="str">
        <x:v>2025-06</x:v>
      </x:c>
      <x:c r="C66" t="n">
        <x:v>45816</x:v>
      </x:c>
      <x:c r="D66" t="str">
        <x:v>USR-00007</x:v>
      </x:c>
      <x:c r="E66" t="str">
        <x:v>SUS-000156</x:v>
      </x:c>
      <x:c r="F66" t="str">
        <x:v>Plus anual</x:v>
      </x:c>
      <x:c r="G66" t="str">
        <x:v>Anual</x:v>
      </x:c>
      <x:c r="H66" t="n">
        <x:v>1</x:v>
      </x:c>
      <x:c r="I66" t="str">
        <x:v>Aprobado</x:v>
      </x:c>
      <x:c r="J66" t="n">
        <x:v>299000</x:v>
      </x:c>
      <x:c r="K66" t="str">
        <x:v>PSE</x:v>
      </x:c>
      <x:c r="L66" t="str">
        <x:v>Sin error</x:v>
      </x:c>
    </x:row>
    <x:row r="67">
      <x:c r="A67" t="str">
        <x:v>TXN-0000066</x:v>
      </x:c>
      <x:c r="B67" t="str">
        <x:v>2025-06</x:v>
      </x:c>
      <x:c r="C67" t="n">
        <x:v>45814</x:v>
      </x:c>
      <x:c r="D67" t="str">
        <x:v>USR-00018</x:v>
      </x:c>
      <x:c r="E67" t="str">
        <x:v>SUS-000157</x:v>
      </x:c>
      <x:c r="F67" t="str">
        <x:v>Plus mensual</x:v>
      </x:c>
      <x:c r="G67" t="str">
        <x:v>Mensual</x:v>
      </x:c>
      <x:c r="H67" t="n">
        <x:v>1</x:v>
      </x:c>
      <x:c r="I67" t="str">
        <x:v>Aprobado</x:v>
      </x:c>
      <x:c r="J67" t="n">
        <x:v>29900</x:v>
      </x:c>
      <x:c r="K67" t="str">
        <x:v>PSE</x:v>
      </x:c>
      <x:c r="L67" t="str">
        <x:v>Sin error</x:v>
      </x:c>
    </x:row>
    <x:row r="68">
      <x:c r="A68" t="str">
        <x:v>TXN-0000067</x:v>
      </x:c>
      <x:c r="B68" t="str">
        <x:v>2025-06</x:v>
      </x:c>
      <x:c r="C68" t="n">
        <x:v>45817</x:v>
      </x:c>
      <x:c r="D68" t="str">
        <x:v>USR-00019</x:v>
      </x:c>
      <x:c r="E68" t="str">
        <x:v>SUS-000158</x:v>
      </x:c>
      <x:c r="F68" t="str">
        <x:v>Plus mensual</x:v>
      </x:c>
      <x:c r="G68" t="str">
        <x:v>Mensual</x:v>
      </x:c>
      <x:c r="H68" t="n">
        <x:v>1</x:v>
      </x:c>
      <x:c r="I68" t="str">
        <x:v>Aprobado</x:v>
      </x:c>
      <x:c r="J68" t="n">
        <x:v>29900</x:v>
      </x:c>
      <x:c r="K68" t="str">
        <x:v>Tarjeta débito</x:v>
      </x:c>
      <x:c r="L68" t="str">
        <x:v>Sin error</x:v>
      </x:c>
    </x:row>
    <x:row r="69">
      <x:c r="A69" t="str">
        <x:v>TXN-0000068</x:v>
      </x:c>
      <x:c r="B69" t="str">
        <x:v>2025-06</x:v>
      </x:c>
      <x:c r="C69" t="n">
        <x:v>45820</x:v>
      </x:c>
      <x:c r="D69" t="str">
        <x:v>USR-00026</x:v>
      </x:c>
      <x:c r="E69" t="str">
        <x:v>SUS-000101</x:v>
      </x:c>
      <x:c r="F69" t="str">
        <x:v>Plus mensual</x:v>
      </x:c>
      <x:c r="G69" t="str">
        <x:v>Mensual</x:v>
      </x:c>
      <x:c r="H69" t="n">
        <x:v>1</x:v>
      </x:c>
      <x:c r="I69" t="str">
        <x:v>Aprobado</x:v>
      </x:c>
      <x:c r="J69" t="n">
        <x:v>29900</x:v>
      </x:c>
      <x:c r="K69" t="str">
        <x:v>Tarjeta débito</x:v>
      </x:c>
      <x:c r="L69" t="str">
        <x:v>Sin error</x:v>
      </x:c>
    </x:row>
    <x:row r="70">
      <x:c r="A70" t="str">
        <x:v>TXN-0000069</x:v>
      </x:c>
      <x:c r="B70" t="str">
        <x:v>2025-06</x:v>
      </x:c>
      <x:c r="C70" t="n">
        <x:v>45817</x:v>
      </x:c>
      <x:c r="D70" t="str">
        <x:v>USR-00029</x:v>
      </x:c>
      <x:c r="E70" t="str">
        <x:v>SUS-000159</x:v>
      </x:c>
      <x:c r="F70" t="str">
        <x:v>Plus mensual</x:v>
      </x:c>
      <x:c r="G70" t="str">
        <x:v>Mensual</x:v>
      </x:c>
      <x:c r="H70" t="n">
        <x:v>1</x:v>
      </x:c>
      <x:c r="I70" t="str">
        <x:v>Aprobado</x:v>
      </x:c>
      <x:c r="J70" t="n">
        <x:v>29900</x:v>
      </x:c>
      <x:c r="K70" t="str">
        <x:v>Tarjeta débito</x:v>
      </x:c>
      <x:c r="L70" t="str">
        <x:v>Sin error</x:v>
      </x:c>
    </x:row>
    <x:row r="71">
      <x:c r="A71" t="str">
        <x:v>TXN-0000070</x:v>
      </x:c>
      <x:c r="B71" t="str">
        <x:v>2025-06</x:v>
      </x:c>
      <x:c r="C71" t="n">
        <x:v>45814</x:v>
      </x:c>
      <x:c r="D71" t="str">
        <x:v>USR-00035</x:v>
      </x:c>
      <x:c r="E71" t="str">
        <x:v>SUS-000130</x:v>
      </x:c>
      <x:c r="F71" t="str">
        <x:v>Plus mensual</x:v>
      </x:c>
      <x:c r="G71" t="str">
        <x:v>Mensual</x:v>
      </x:c>
      <x:c r="H71" t="n">
        <x:v>1</x:v>
      </x:c>
      <x:c r="I71" t="str">
        <x:v>Aprobado</x:v>
      </x:c>
      <x:c r="J71" t="n">
        <x:v>29900</x:v>
      </x:c>
      <x:c r="K71" t="str">
        <x:v>Tarjeta crédito</x:v>
      </x:c>
      <x:c r="L71" t="str">
        <x:v>Sin error</x:v>
      </x:c>
    </x:row>
    <x:row r="72">
      <x:c r="A72" t="str">
        <x:v>TXN-0000071</x:v>
      </x:c>
      <x:c r="B72" t="str">
        <x:v>2025-06</x:v>
      </x:c>
      <x:c r="C72" t="n">
        <x:v>45818</x:v>
      </x:c>
      <x:c r="D72" t="str">
        <x:v>USR-00048</x:v>
      </x:c>
      <x:c r="E72" t="str">
        <x:v>SUS-000160</x:v>
      </x:c>
      <x:c r="F72" t="str">
        <x:v>Plus mensual</x:v>
      </x:c>
      <x:c r="G72" t="str">
        <x:v>Mensual</x:v>
      </x:c>
      <x:c r="H72" t="n">
        <x:v>1</x:v>
      </x:c>
      <x:c r="I72" t="str">
        <x:v>Aprobado</x:v>
      </x:c>
      <x:c r="J72" t="n">
        <x:v>29900</x:v>
      </x:c>
      <x:c r="K72" t="str">
        <x:v>Tarjeta crédito</x:v>
      </x:c>
      <x:c r="L72" t="str">
        <x:v>Sin error</x:v>
      </x:c>
    </x:row>
    <x:row r="73">
      <x:c r="A73" t="str">
        <x:v>TXN-0000072</x:v>
      </x:c>
      <x:c r="B73" t="str">
        <x:v>2025-06</x:v>
      </x:c>
      <x:c r="C73" t="n">
        <x:v>45817</x:v>
      </x:c>
      <x:c r="D73" t="str">
        <x:v>USR-00051</x:v>
      </x:c>
      <x:c r="E73" t="str">
        <x:v>SUS-000055</x:v>
      </x:c>
      <x:c r="F73" t="str">
        <x:v>Plus mensual</x:v>
      </x:c>
      <x:c r="G73" t="str">
        <x:v>Mensual</x:v>
      </x:c>
      <x:c r="H73" t="n">
        <x:v>1</x:v>
      </x:c>
      <x:c r="I73" t="str">
        <x:v>Aprobado</x:v>
      </x:c>
      <x:c r="J73" t="n">
        <x:v>29900</x:v>
      </x:c>
      <x:c r="K73" t="str">
        <x:v>PSE</x:v>
      </x:c>
      <x:c r="L73" t="str">
        <x:v>Sin error</x:v>
      </x:c>
    </x:row>
    <x:row r="74">
      <x:c r="A74" t="str">
        <x:v>TXN-0000073</x:v>
      </x:c>
      <x:c r="B74" t="str">
        <x:v>2025-06</x:v>
      </x:c>
      <x:c r="C74" t="n">
        <x:v>45818</x:v>
      </x:c>
      <x:c r="D74" t="str">
        <x:v>USR-00053</x:v>
      </x:c>
      <x:c r="E74" t="str">
        <x:v>SUS-000057</x:v>
      </x:c>
      <x:c r="F74" t="str">
        <x:v>Plus mensual</x:v>
      </x:c>
      <x:c r="G74" t="str">
        <x:v>Mensual</x:v>
      </x:c>
      <x:c r="H74" t="n">
        <x:v>1</x:v>
      </x:c>
      <x:c r="I74" t="str">
        <x:v>Aprobado</x:v>
      </x:c>
      <x:c r="J74" t="n">
        <x:v>29900</x:v>
      </x:c>
      <x:c r="K74" t="str">
        <x:v>Tarjeta débito</x:v>
      </x:c>
      <x:c r="L74" t="str">
        <x:v>Sin error</x:v>
      </x:c>
    </x:row>
    <x:row r="75">
      <x:c r="A75" t="str">
        <x:v>TXN-0000074</x:v>
      </x:c>
      <x:c r="B75" t="str">
        <x:v>2025-06</x:v>
      </x:c>
      <x:c r="C75" t="n">
        <x:v>45814</x:v>
      </x:c>
      <x:c r="D75" t="str">
        <x:v>USR-00054</x:v>
      </x:c>
      <x:c r="E75" t="str">
        <x:v>SUS-000058</x:v>
      </x:c>
      <x:c r="F75" t="str">
        <x:v>Plus mensual</x:v>
      </x:c>
      <x:c r="G75" t="str">
        <x:v>Mensual</x:v>
      </x:c>
      <x:c r="H75" t="n">
        <x:v>1</x:v>
      </x:c>
      <x:c r="I75" t="str">
        <x:v>Aprobado</x:v>
      </x:c>
      <x:c r="J75" t="n">
        <x:v>29900</x:v>
      </x:c>
      <x:c r="K75" t="str">
        <x:v>PSE</x:v>
      </x:c>
      <x:c r="L75" t="str">
        <x:v>Sin error</x:v>
      </x:c>
    </x:row>
    <x:row r="76">
      <x:c r="A76" t="str">
        <x:v>TXN-0000075</x:v>
      </x:c>
      <x:c r="B76" t="str">
        <x:v>2025-06</x:v>
      </x:c>
      <x:c r="C76" t="n">
        <x:v>45817</x:v>
      </x:c>
      <x:c r="D76" t="str">
        <x:v>USR-00065</x:v>
      </x:c>
      <x:c r="E76" t="str">
        <x:v>SUS-000070</x:v>
      </x:c>
      <x:c r="F76" t="str">
        <x:v>Plus mensual</x:v>
      </x:c>
      <x:c r="G76" t="str">
        <x:v>Mensual</x:v>
      </x:c>
      <x:c r="H76" t="n">
        <x:v>1</x:v>
      </x:c>
      <x:c r="I76" t="str">
        <x:v>Aprobado</x:v>
      </x:c>
      <x:c r="J76" t="n">
        <x:v>29900</x:v>
      </x:c>
      <x:c r="K76" t="str">
        <x:v>Tarjeta crédito</x:v>
      </x:c>
      <x:c r="L76" t="str">
        <x:v>Sin error</x:v>
      </x:c>
    </x:row>
    <x:row r="77">
      <x:c r="A77" t="str">
        <x:v>TXN-0000076</x:v>
      </x:c>
      <x:c r="B77" t="str">
        <x:v>2025-06</x:v>
      </x:c>
      <x:c r="C77" t="n">
        <x:v>45816</x:v>
      </x:c>
      <x:c r="D77" t="str">
        <x:v>USR-00066</x:v>
      </x:c>
      <x:c r="E77" t="str">
        <x:v>SUS-000071</x:v>
      </x:c>
      <x:c r="F77" t="str">
        <x:v>Plus mensual</x:v>
      </x:c>
      <x:c r="G77" t="str">
        <x:v>Mensual</x:v>
      </x:c>
      <x:c r="H77" t="n">
        <x:v>1</x:v>
      </x:c>
      <x:c r="I77" t="str">
        <x:v>Aprobado</x:v>
      </x:c>
      <x:c r="J77" t="n">
        <x:v>29900</x:v>
      </x:c>
      <x:c r="K77" t="str">
        <x:v>Tarjeta crédito</x:v>
      </x:c>
      <x:c r="L77" t="str">
        <x:v>Sin error</x:v>
      </x:c>
    </x:row>
    <x:row r="78">
      <x:c r="A78" t="str">
        <x:v>TXN-0000077</x:v>
      </x:c>
      <x:c r="B78" t="str">
        <x:v>2025-06</x:v>
      </x:c>
      <x:c r="C78" t="n">
        <x:v>45815</x:v>
      </x:c>
      <x:c r="D78" t="str">
        <x:v>USR-00067</x:v>
      </x:c>
      <x:c r="E78" t="str">
        <x:v>SUS-000072</x:v>
      </x:c>
      <x:c r="F78" t="str">
        <x:v>Plus mensual</x:v>
      </x:c>
      <x:c r="G78" t="str">
        <x:v>Mensual</x:v>
      </x:c>
      <x:c r="H78" t="n">
        <x:v>1</x:v>
      </x:c>
      <x:c r="I78" t="str">
        <x:v>Aprobado</x:v>
      </x:c>
      <x:c r="J78" t="n">
        <x:v>29900</x:v>
      </x:c>
      <x:c r="K78" t="str">
        <x:v>PSE</x:v>
      </x:c>
      <x:c r="L78" t="str">
        <x:v>Sin error</x:v>
      </x:c>
    </x:row>
    <x:row r="79">
      <x:c r="A79" t="str">
        <x:v>TXN-0000078</x:v>
      </x:c>
      <x:c r="B79" t="str">
        <x:v>2025-06</x:v>
      </x:c>
      <x:c r="C79" t="n">
        <x:v>45813</x:v>
      </x:c>
      <x:c r="D79" t="str">
        <x:v>USR-00070</x:v>
      </x:c>
      <x:c r="E79" t="str">
        <x:v>SUS-000075</x:v>
      </x:c>
      <x:c r="F79" t="str">
        <x:v>Plus mensual</x:v>
      </x:c>
      <x:c r="G79" t="str">
        <x:v>Mensual</x:v>
      </x:c>
      <x:c r="H79" t="n">
        <x:v>1</x:v>
      </x:c>
      <x:c r="I79" t="str">
        <x:v>Aprobado</x:v>
      </x:c>
      <x:c r="J79" t="n">
        <x:v>29900</x:v>
      </x:c>
      <x:c r="K79" t="str">
        <x:v>Tarjeta débito</x:v>
      </x:c>
      <x:c r="L79" t="str">
        <x:v>Sin error</x:v>
      </x:c>
    </x:row>
    <x:row r="80">
      <x:c r="A80" t="str">
        <x:v>TXN-0000079</x:v>
      </x:c>
      <x:c r="B80" t="str">
        <x:v>2025-06</x:v>
      </x:c>
      <x:c r="C80" t="n">
        <x:v>45818</x:v>
      </x:c>
      <x:c r="D80" t="str">
        <x:v>USR-00074</x:v>
      </x:c>
      <x:c r="E80" t="str">
        <x:v>SUS-000161</x:v>
      </x:c>
      <x:c r="F80" t="str">
        <x:v>Plus mensual</x:v>
      </x:c>
      <x:c r="G80" t="str">
        <x:v>Mensual</x:v>
      </x:c>
      <x:c r="H80" t="n">
        <x:v>1</x:v>
      </x:c>
      <x:c r="I80" t="str">
        <x:v>Aprobado</x:v>
      </x:c>
      <x:c r="J80" t="n">
        <x:v>29900</x:v>
      </x:c>
      <x:c r="K80" t="str">
        <x:v>PSE</x:v>
      </x:c>
      <x:c r="L80" t="str">
        <x:v>Sin error</x:v>
      </x:c>
    </x:row>
    <x:row r="81">
      <x:c r="A81" t="str">
        <x:v>TXN-0000080</x:v>
      </x:c>
      <x:c r="B81" t="str">
        <x:v>2025-06</x:v>
      </x:c>
      <x:c r="C81" t="n">
        <x:v>45819</x:v>
      </x:c>
      <x:c r="D81" t="str">
        <x:v>USR-00078</x:v>
      </x:c>
      <x:c r="E81" t="str">
        <x:v>SUS-000083</x:v>
      </x:c>
      <x:c r="F81" t="str">
        <x:v>Plus mensual</x:v>
      </x:c>
      <x:c r="G81" t="str">
        <x:v>Mensual</x:v>
      </x:c>
      <x:c r="H81" t="n">
        <x:v>1</x:v>
      </x:c>
      <x:c r="I81" t="str">
        <x:v>Aprobado</x:v>
      </x:c>
      <x:c r="J81" t="n">
        <x:v>29900</x:v>
      </x:c>
      <x:c r="K81" t="str">
        <x:v>PSE</x:v>
      </x:c>
      <x:c r="L81" t="str">
        <x:v>Sin error</x:v>
      </x:c>
    </x:row>
    <x:row r="82">
      <x:c r="A82" t="str">
        <x:v>TXN-0000081</x:v>
      </x:c>
      <x:c r="B82" t="str">
        <x:v>2025-06</x:v>
      </x:c>
      <x:c r="C82" t="n">
        <x:v>45819</x:v>
      </x:c>
      <x:c r="D82" t="str">
        <x:v>USR-00080</x:v>
      </x:c>
      <x:c r="E82" t="str">
        <x:v>SUS-000162</x:v>
      </x:c>
      <x:c r="F82" t="str">
        <x:v>Plus anual</x:v>
      </x:c>
      <x:c r="G82" t="str">
        <x:v>Anual</x:v>
      </x:c>
      <x:c r="H82" t="n">
        <x:v>1</x:v>
      </x:c>
      <x:c r="I82" t="str">
        <x:v>Aprobado</x:v>
      </x:c>
      <x:c r="J82" t="n">
        <x:v>299000</x:v>
      </x:c>
      <x:c r="K82" t="str">
        <x:v>Tarjeta débito</x:v>
      </x:c>
      <x:c r="L82" t="str">
        <x:v>Sin error</x:v>
      </x:c>
    </x:row>
    <x:row r="83">
      <x:c r="A83" t="str">
        <x:v>TXN-0000082</x:v>
      </x:c>
      <x:c r="B83" t="str">
        <x:v>2025-06</x:v>
      </x:c>
      <x:c r="C83" t="n">
        <x:v>45820</x:v>
      </x:c>
      <x:c r="D83" t="str">
        <x:v>USR-00085</x:v>
      </x:c>
      <x:c r="E83" t="str">
        <x:v>SUS-000163</x:v>
      </x:c>
      <x:c r="F83" t="str">
        <x:v>Plus mensual</x:v>
      </x:c>
      <x:c r="G83" t="str">
        <x:v>Mensual</x:v>
      </x:c>
      <x:c r="H83" t="n">
        <x:v>1</x:v>
      </x:c>
      <x:c r="I83" t="str">
        <x:v>Aprobado</x:v>
      </x:c>
      <x:c r="J83" t="n">
        <x:v>29900</x:v>
      </x:c>
      <x:c r="K83" t="str">
        <x:v>Tarjeta crédito</x:v>
      </x:c>
      <x:c r="L83" t="str">
        <x:v>Sin error</x:v>
      </x:c>
    </x:row>
    <x:row r="84">
      <x:c r="A84" t="str">
        <x:v>TXN-0000083</x:v>
      </x:c>
      <x:c r="B84" t="str">
        <x:v>2025-06</x:v>
      </x:c>
      <x:c r="C84" t="n">
        <x:v>45814</x:v>
      </x:c>
      <x:c r="D84" t="str">
        <x:v>USR-00091</x:v>
      </x:c>
      <x:c r="E84" t="str">
        <x:v>SUS-000096</x:v>
      </x:c>
      <x:c r="F84" t="str">
        <x:v>Plus mensual</x:v>
      </x:c>
      <x:c r="G84" t="str">
        <x:v>Mensual</x:v>
      </x:c>
      <x:c r="H84" t="n">
        <x:v>1</x:v>
      </x:c>
      <x:c r="I84" t="str">
        <x:v>Aprobado</x:v>
      </x:c>
      <x:c r="J84" t="n">
        <x:v>29900</x:v>
      </x:c>
      <x:c r="K84" t="str">
        <x:v>PSE</x:v>
      </x:c>
      <x:c r="L84" t="str">
        <x:v>Sin error</x:v>
      </x:c>
    </x:row>
    <x:row r="85">
      <x:c r="A85" t="str">
        <x:v>TXN-0000084</x:v>
      </x:c>
      <x:c r="B85" t="str">
        <x:v>2025-06</x:v>
      </x:c>
      <x:c r="C85" t="n">
        <x:v>45817</x:v>
      </x:c>
      <x:c r="D85" t="str">
        <x:v>USR-00095</x:v>
      </x:c>
      <x:c r="E85" t="str">
        <x:v>SUS-000103</x:v>
      </x:c>
      <x:c r="F85" t="str">
        <x:v>Plus mensual</x:v>
      </x:c>
      <x:c r="G85" t="str">
        <x:v>Mensual</x:v>
      </x:c>
      <x:c r="H85" t="n">
        <x:v>1</x:v>
      </x:c>
      <x:c r="I85" t="str">
        <x:v>Aprobado</x:v>
      </x:c>
      <x:c r="J85" t="n">
        <x:v>29900</x:v>
      </x:c>
      <x:c r="K85" t="str">
        <x:v>Tarjeta débito</x:v>
      </x:c>
      <x:c r="L85" t="str">
        <x:v>Sin error</x:v>
      </x:c>
    </x:row>
    <x:row r="86">
      <x:c r="A86" t="str">
        <x:v>TXN-0000085</x:v>
      </x:c>
      <x:c r="B86" t="str">
        <x:v>2025-06</x:v>
      </x:c>
      <x:c r="C86" t="n">
        <x:v>45819</x:v>
      </x:c>
      <x:c r="D86" t="str">
        <x:v>USR-00100</x:v>
      </x:c>
      <x:c r="E86" t="str">
        <x:v>SUS-000108</x:v>
      </x:c>
      <x:c r="F86" t="str">
        <x:v>Plus mensual</x:v>
      </x:c>
      <x:c r="G86" t="str">
        <x:v>Mensual</x:v>
      </x:c>
      <x:c r="H86" t="n">
        <x:v>1</x:v>
      </x:c>
      <x:c r="I86" t="str">
        <x:v>Aprobado</x:v>
      </x:c>
      <x:c r="J86" t="n">
        <x:v>29900</x:v>
      </x:c>
      <x:c r="K86" t="str">
        <x:v>Tarjeta débito</x:v>
      </x:c>
      <x:c r="L86" t="str">
        <x:v>Sin error</x:v>
      </x:c>
    </x:row>
    <x:row r="87">
      <x:c r="A87" t="str">
        <x:v>TXN-0000086</x:v>
      </x:c>
      <x:c r="B87" t="str">
        <x:v>2025-06</x:v>
      </x:c>
      <x:c r="C87" t="n">
        <x:v>45818</x:v>
      </x:c>
      <x:c r="D87" t="str">
        <x:v>USR-00101</x:v>
      </x:c>
      <x:c r="E87" t="str">
        <x:v>SUS-000109</x:v>
      </x:c>
      <x:c r="F87" t="str">
        <x:v>Plus mensual</x:v>
      </x:c>
      <x:c r="G87" t="str">
        <x:v>Mensual</x:v>
      </x:c>
      <x:c r="H87" t="n">
        <x:v>1</x:v>
      </x:c>
      <x:c r="I87" t="str">
        <x:v>Aprobado</x:v>
      </x:c>
      <x:c r="J87" t="n">
        <x:v>29900</x:v>
      </x:c>
      <x:c r="K87" t="str">
        <x:v>Tarjeta débito</x:v>
      </x:c>
      <x:c r="L87" t="str">
        <x:v>Sin error</x:v>
      </x:c>
    </x:row>
    <x:row r="88">
      <x:c r="A88" t="str">
        <x:v>TXN-0000087</x:v>
      </x:c>
      <x:c r="B88" t="str">
        <x:v>2025-06</x:v>
      </x:c>
      <x:c r="C88" t="n">
        <x:v>45820</x:v>
      </x:c>
      <x:c r="D88" t="str">
        <x:v>USR-00117</x:v>
      </x:c>
      <x:c r="E88" t="str">
        <x:v>SUS-000164</x:v>
      </x:c>
      <x:c r="F88" t="str">
        <x:v>Plus mensual</x:v>
      </x:c>
      <x:c r="G88" t="str">
        <x:v>Mensual</x:v>
      </x:c>
      <x:c r="H88" t="n">
        <x:v>1</x:v>
      </x:c>
      <x:c r="I88" t="str">
        <x:v>Aprobado</x:v>
      </x:c>
      <x:c r="J88" t="n">
        <x:v>29900</x:v>
      </x:c>
      <x:c r="K88" t="str">
        <x:v>Tarjeta crédito</x:v>
      </x:c>
      <x:c r="L88" t="str">
        <x:v>Sin error</x:v>
      </x:c>
    </x:row>
    <x:row r="89">
      <x:c r="A89" t="str">
        <x:v>TXN-0000088</x:v>
      </x:c>
      <x:c r="B89" t="str">
        <x:v>2025-06</x:v>
      </x:c>
      <x:c r="C89" t="n">
        <x:v>45815</x:v>
      </x:c>
      <x:c r="D89" t="str">
        <x:v>USR-00120</x:v>
      </x:c>
      <x:c r="E89" t="str">
        <x:v>SUS-000165</x:v>
      </x:c>
      <x:c r="F89" t="str">
        <x:v>Plus anual</x:v>
      </x:c>
      <x:c r="G89" t="str">
        <x:v>Anual</x:v>
      </x:c>
      <x:c r="H89" t="n">
        <x:v>1</x:v>
      </x:c>
      <x:c r="I89" t="str">
        <x:v>Aprobado</x:v>
      </x:c>
      <x:c r="J89" t="n">
        <x:v>299000</x:v>
      </x:c>
      <x:c r="K89" t="str">
        <x:v>PSE</x:v>
      </x:c>
      <x:c r="L89" t="str">
        <x:v>Sin error</x:v>
      </x:c>
    </x:row>
    <x:row r="90">
      <x:c r="A90" t="str">
        <x:v>TXN-0000089</x:v>
      </x:c>
      <x:c r="B90" t="str">
        <x:v>2025-06</x:v>
      </x:c>
      <x:c r="C90" t="n">
        <x:v>45819</x:v>
      </x:c>
      <x:c r="D90" t="str">
        <x:v>USR-00122</x:v>
      </x:c>
      <x:c r="E90" t="str">
        <x:v>SIN_SUSCRIPCION</x:v>
      </x:c>
      <x:c r="F90" t="str">
        <x:v>Plus mensual</x:v>
      </x:c>
      <x:c r="G90" t="str">
        <x:v>Mensual</x:v>
      </x:c>
      <x:c r="H90" t="n">
        <x:v>1</x:v>
      </x:c>
      <x:c r="I90" t="str">
        <x:v>Rechazado</x:v>
      </x:c>
      <x:c r="J90" t="n">
        <x:v>29900</x:v>
      </x:c>
      <x:c r="K90" t="str">
        <x:v>PSE</x:v>
      </x:c>
      <x:c r="L90" t="str">
        <x:v>Declinado por entidad</x:v>
      </x:c>
    </x:row>
    <x:row r="91">
      <x:c r="A91" t="str">
        <x:v>TXN-0000090</x:v>
      </x:c>
      <x:c r="B91" t="str">
        <x:v>2025-06</x:v>
      </x:c>
      <x:c r="C91" t="n">
        <x:v>45815</x:v>
      </x:c>
      <x:c r="D91" t="str">
        <x:v>USR-00122</x:v>
      </x:c>
      <x:c r="E91" t="str">
        <x:v>SIN_SUSCRIPCION</x:v>
      </x:c>
      <x:c r="F91" t="str">
        <x:v>Plus mensual</x:v>
      </x:c>
      <x:c r="G91" t="str">
        <x:v>Mensual</x:v>
      </x:c>
      <x:c r="H91" t="n">
        <x:v>2</x:v>
      </x:c>
      <x:c r="I91" t="str">
        <x:v>Rechazado</x:v>
      </x:c>
      <x:c r="J91" t="n">
        <x:v>29900</x:v>
      </x:c>
      <x:c r="K91" t="str">
        <x:v>PSE</x:v>
      </x:c>
      <x:c r="L91" t="str">
        <x:v>Declinado por entidad</x:v>
      </x:c>
    </x:row>
    <x:row r="92">
      <x:c r="A92" t="str">
        <x:v>TXN-0000091</x:v>
      </x:c>
      <x:c r="B92" t="str">
        <x:v>2025-06</x:v>
      </x:c>
      <x:c r="C92" t="n">
        <x:v>45817</x:v>
      </x:c>
      <x:c r="D92" t="str">
        <x:v>USR-00140</x:v>
      </x:c>
      <x:c r="E92" t="str">
        <x:v>SUS-000149</x:v>
      </x:c>
      <x:c r="F92" t="str">
        <x:v>Plus mensual</x:v>
      </x:c>
      <x:c r="G92" t="str">
        <x:v>Mensual</x:v>
      </x:c>
      <x:c r="H92" t="n">
        <x:v>1</x:v>
      </x:c>
      <x:c r="I92" t="str">
        <x:v>Aprobado</x:v>
      </x:c>
      <x:c r="J92" t="n">
        <x:v>29900</x:v>
      </x:c>
      <x:c r="K92" t="str">
        <x:v>Tarjeta débito</x:v>
      </x:c>
      <x:c r="L92" t="str">
        <x:v>Sin error</x:v>
      </x:c>
    </x:row>
    <x:row r="93">
      <x:c r="A93" t="str">
        <x:v>TXN-0000092</x:v>
      </x:c>
      <x:c r="B93" t="str">
        <x:v>2025-06</x:v>
      </x:c>
      <x:c r="C93" t="n">
        <x:v>45820</x:v>
      </x:c>
      <x:c r="D93" t="str">
        <x:v>USR-00145</x:v>
      </x:c>
      <x:c r="E93" t="str">
        <x:v>SUS-000168</x:v>
      </x:c>
      <x:c r="F93" t="str">
        <x:v>Plus mensual</x:v>
      </x:c>
      <x:c r="G93" t="str">
        <x:v>Mensual</x:v>
      </x:c>
      <x:c r="H93" t="n">
        <x:v>1</x:v>
      </x:c>
      <x:c r="I93" t="str">
        <x:v>Aprobado</x:v>
      </x:c>
      <x:c r="J93" t="n">
        <x:v>29900</x:v>
      </x:c>
      <x:c r="K93" t="str">
        <x:v>Tarjeta débito</x:v>
      </x:c>
      <x:c r="L93" t="str">
        <x:v>Sin error</x:v>
      </x:c>
    </x:row>
    <x:row r="94">
      <x:c r="A94" t="str">
        <x:v>TXN-0000093</x:v>
      </x:c>
      <x:c r="B94" t="str">
        <x:v>2025-06</x:v>
      </x:c>
      <x:c r="C94" t="n">
        <x:v>45815</x:v>
      </x:c>
      <x:c r="D94" t="str">
        <x:v>USR-00146</x:v>
      </x:c>
      <x:c r="E94" t="str">
        <x:v>SUS-000169</x:v>
      </x:c>
      <x:c r="F94" t="str">
        <x:v>Plus mensual</x:v>
      </x:c>
      <x:c r="G94" t="str">
        <x:v>Mensual</x:v>
      </x:c>
      <x:c r="H94" t="n">
        <x:v>1</x:v>
      </x:c>
      <x:c r="I94" t="str">
        <x:v>Aprobado</x:v>
      </x:c>
      <x:c r="J94" t="n">
        <x:v>29900</x:v>
      </x:c>
      <x:c r="K94" t="str">
        <x:v>PSE</x:v>
      </x:c>
      <x:c r="L94" t="str">
        <x:v>Sin error</x:v>
      </x:c>
    </x:row>
    <x:row r="95">
      <x:c r="A95" t="str">
        <x:v>TXN-0000094</x:v>
      </x:c>
      <x:c r="B95" t="str">
        <x:v>2025-06</x:v>
      </x:c>
      <x:c r="C95" t="n">
        <x:v>45819</x:v>
      </x:c>
      <x:c r="D95" t="str">
        <x:v>USR-00151</x:v>
      </x:c>
      <x:c r="E95" t="str">
        <x:v>SUS-000174</x:v>
      </x:c>
      <x:c r="F95" t="str">
        <x:v>Plus anual</x:v>
      </x:c>
      <x:c r="G95" t="str">
        <x:v>Anual</x:v>
      </x:c>
      <x:c r="H95" t="n">
        <x:v>1</x:v>
      </x:c>
      <x:c r="I95" t="str">
        <x:v>Aprobado</x:v>
      </x:c>
      <x:c r="J95" t="n">
        <x:v>299000</x:v>
      </x:c>
      <x:c r="K95" t="str">
        <x:v>Tarjeta débito</x:v>
      </x:c>
      <x:c r="L95" t="str">
        <x:v>Sin error</x:v>
      </x:c>
    </x:row>
    <x:row r="96">
      <x:c r="A96" t="str">
        <x:v>TXN-0000095</x:v>
      </x:c>
      <x:c r="B96" t="str">
        <x:v>2025-06</x:v>
      </x:c>
      <x:c r="C96" t="n">
        <x:v>45816</x:v>
      </x:c>
      <x:c r="D96" t="str">
        <x:v>USR-00158</x:v>
      </x:c>
      <x:c r="E96" t="str">
        <x:v>SUS-000181</x:v>
      </x:c>
      <x:c r="F96" t="str">
        <x:v>Plus mensual</x:v>
      </x:c>
      <x:c r="G96" t="str">
        <x:v>Mensual</x:v>
      </x:c>
      <x:c r="H96" t="n">
        <x:v>1</x:v>
      </x:c>
      <x:c r="I96" t="str">
        <x:v>Aprobado</x:v>
      </x:c>
      <x:c r="J96" t="n">
        <x:v>29900</x:v>
      </x:c>
      <x:c r="K96" t="str">
        <x:v>Tarjeta débito</x:v>
      </x:c>
      <x:c r="L96" t="str">
        <x:v>Sin error</x:v>
      </x:c>
    </x:row>
    <x:row r="97">
      <x:c r="A97" t="str">
        <x:v>TXN-0000096</x:v>
      </x:c>
      <x:c r="B97" t="str">
        <x:v>2025-06</x:v>
      </x:c>
      <x:c r="C97" t="n">
        <x:v>45815</x:v>
      </x:c>
      <x:c r="D97" t="str">
        <x:v>USR-00168</x:v>
      </x:c>
      <x:c r="E97" t="str">
        <x:v>SUS-000191</x:v>
      </x:c>
      <x:c r="F97" t="str">
        <x:v>Plus mensual</x:v>
      </x:c>
      <x:c r="G97" t="str">
        <x:v>Mensual</x:v>
      </x:c>
      <x:c r="H97" t="n">
        <x:v>1</x:v>
      </x:c>
      <x:c r="I97" t="str">
        <x:v>Rechazado</x:v>
      </x:c>
      <x:c r="J97" t="n">
        <x:v>29900</x:v>
      </x:c>
      <x:c r="K97" t="str">
        <x:v>PSE</x:v>
      </x:c>
      <x:c r="L97" t="str">
        <x:v>Error temporal</x:v>
      </x:c>
    </x:row>
    <x:row r="98">
      <x:c r="A98" t="str">
        <x:v>TXN-0000097</x:v>
      </x:c>
      <x:c r="B98" t="str">
        <x:v>2025-06</x:v>
      </x:c>
      <x:c r="C98" t="n">
        <x:v>45814</x:v>
      </x:c>
      <x:c r="D98" t="str">
        <x:v>USR-00168</x:v>
      </x:c>
      <x:c r="E98" t="str">
        <x:v>SUS-000191</x:v>
      </x:c>
      <x:c r="F98" t="str">
        <x:v>Plus mensual</x:v>
      </x:c>
      <x:c r="G98" t="str">
        <x:v>Mensual</x:v>
      </x:c>
      <x:c r="H98" t="n">
        <x:v>2</x:v>
      </x:c>
      <x:c r="I98" t="str">
        <x:v>Aprobado</x:v>
      </x:c>
      <x:c r="J98" t="n">
        <x:v>29900</x:v>
      </x:c>
      <x:c r="K98" t="str">
        <x:v>Tarjeta crédito</x:v>
      </x:c>
      <x:c r="L98" t="str">
        <x:v>Sin error</x:v>
      </x:c>
    </x:row>
    <x:row r="99">
      <x:c r="A99" t="str">
        <x:v>TXN-0000098</x:v>
      </x:c>
      <x:c r="B99" t="str">
        <x:v>2025-06</x:v>
      </x:c>
      <x:c r="C99" t="n">
        <x:v>45817</x:v>
      </x:c>
      <x:c r="D99" t="str">
        <x:v>USR-00176</x:v>
      </x:c>
      <x:c r="E99" t="str">
        <x:v>SUS-000199</x:v>
      </x:c>
      <x:c r="F99" t="str">
        <x:v>Plus mensual</x:v>
      </x:c>
      <x:c r="G99" t="str">
        <x:v>Mensual</x:v>
      </x:c>
      <x:c r="H99" t="n">
        <x:v>1</x:v>
      </x:c>
      <x:c r="I99" t="str">
        <x:v>Aprobado</x:v>
      </x:c>
      <x:c r="J99" t="n">
        <x:v>29900</x:v>
      </x:c>
      <x:c r="K99" t="str">
        <x:v>PSE</x:v>
      </x:c>
      <x:c r="L99" t="str">
        <x:v>Sin error</x:v>
      </x:c>
    </x:row>
    <x:row r="100">
      <x:c r="A100" t="str">
        <x:v>TXN-0000099</x:v>
      </x:c>
      <x:c r="B100" t="str">
        <x:v>2025-06</x:v>
      </x:c>
      <x:c r="C100" t="n">
        <x:v>45820</x:v>
      </x:c>
      <x:c r="D100" t="str">
        <x:v>USR-00177</x:v>
      </x:c>
      <x:c r="E100" t="str">
        <x:v>SUS-000200</x:v>
      </x:c>
      <x:c r="F100" t="str">
        <x:v>Plus mensual</x:v>
      </x:c>
      <x:c r="G100" t="str">
        <x:v>Mensual</x:v>
      </x:c>
      <x:c r="H100" t="n">
        <x:v>1</x:v>
      </x:c>
      <x:c r="I100" t="str">
        <x:v>Aprobado</x:v>
      </x:c>
      <x:c r="J100" t="n">
        <x:v>29900</x:v>
      </x:c>
      <x:c r="K100" t="str">
        <x:v>PSE</x:v>
      </x:c>
      <x:c r="L100" t="str">
        <x:v>Sin error</x:v>
      </x:c>
    </x:row>
    <x:row r="101">
      <x:c r="A101" t="str">
        <x:v>TXN-0000100</x:v>
      </x:c>
      <x:c r="B101" t="str">
        <x:v>2025-06</x:v>
      </x:c>
      <x:c r="C101" t="n">
        <x:v>45814</x:v>
      </x:c>
      <x:c r="D101" t="str">
        <x:v>USR-00178</x:v>
      </x:c>
      <x:c r="E101" t="str">
        <x:v>SUS-000201</x:v>
      </x:c>
      <x:c r="F101" t="str">
        <x:v>Plus mensual</x:v>
      </x:c>
      <x:c r="G101" t="str">
        <x:v>Mensual</x:v>
      </x:c>
      <x:c r="H101" t="n">
        <x:v>1</x:v>
      </x:c>
      <x:c r="I101" t="str">
        <x:v>Aprobado</x:v>
      </x:c>
      <x:c r="J101" t="n">
        <x:v>29900</x:v>
      </x:c>
      <x:c r="K101" t="str">
        <x:v>PSE</x:v>
      </x:c>
      <x:c r="L101" t="str">
        <x:v>Sin error</x:v>
      </x:c>
    </x:row>
    <x:row r="102">
      <x:c r="A102" t="str">
        <x:v>TXN-0000101</x:v>
      </x:c>
      <x:c r="B102" t="str">
        <x:v>2025-07</x:v>
      </x:c>
      <x:c r="C102" t="n">
        <x:v>45846</x:v>
      </x:c>
      <x:c r="D102" t="str">
        <x:v>USR-00002</x:v>
      </x:c>
      <x:c r="E102" t="str">
        <x:v>SUS-000212</x:v>
      </x:c>
      <x:c r="F102" t="str">
        <x:v>Plus mensual</x:v>
      </x:c>
      <x:c r="G102" t="str">
        <x:v>Mensual</x:v>
      </x:c>
      <x:c r="H102" t="n">
        <x:v>1</x:v>
      </x:c>
      <x:c r="I102" t="str">
        <x:v>Aprobado</x:v>
      </x:c>
      <x:c r="J102" t="n">
        <x:v>29900</x:v>
      </x:c>
      <x:c r="K102" t="str">
        <x:v>Tarjeta débito</x:v>
      </x:c>
      <x:c r="L102" t="str">
        <x:v>Sin error</x:v>
      </x:c>
    </x:row>
    <x:row r="103">
      <x:c r="A103" t="str">
        <x:v>TXN-0000102</x:v>
      </x:c>
      <x:c r="B103" t="str">
        <x:v>2025-07</x:v>
      </x:c>
      <x:c r="C103" t="n">
        <x:v>45845</x:v>
      </x:c>
      <x:c r="D103" t="str">
        <x:v>USR-00003</x:v>
      </x:c>
      <x:c r="E103" t="str">
        <x:v>SUS-000155</x:v>
      </x:c>
      <x:c r="F103" t="str">
        <x:v>Plus mensual</x:v>
      </x:c>
      <x:c r="G103" t="str">
        <x:v>Mensual</x:v>
      </x:c>
      <x:c r="H103" t="n">
        <x:v>1</x:v>
      </x:c>
      <x:c r="I103" t="str">
        <x:v>Aprobado</x:v>
      </x:c>
      <x:c r="J103" t="n">
        <x:v>29900</x:v>
      </x:c>
      <x:c r="K103" t="str">
        <x:v>PSE</x:v>
      </x:c>
      <x:c r="L103" t="str">
        <x:v>Sin error</x:v>
      </x:c>
    </x:row>
    <x:row r="104">
      <x:c r="A104" t="str">
        <x:v>TXN-0000103</x:v>
      </x:c>
      <x:c r="B104" t="str">
        <x:v>2025-07</x:v>
      </x:c>
      <x:c r="C104" t="n">
        <x:v>45848</x:v>
      </x:c>
      <x:c r="D104" t="str">
        <x:v>USR-00009</x:v>
      </x:c>
      <x:c r="E104" t="str">
        <x:v>SUS-000213</x:v>
      </x:c>
      <x:c r="F104" t="str">
        <x:v>Plus anual</x:v>
      </x:c>
      <x:c r="G104" t="str">
        <x:v>Anual</x:v>
      </x:c>
      <x:c r="H104" t="n">
        <x:v>1</x:v>
      </x:c>
      <x:c r="I104" t="str">
        <x:v>Aprobado</x:v>
      </x:c>
      <x:c r="J104" t="n">
        <x:v>299000</x:v>
      </x:c>
      <x:c r="K104" t="str">
        <x:v>PSE</x:v>
      </x:c>
      <x:c r="L104" t="str">
        <x:v>Sin error</x:v>
      </x:c>
    </x:row>
    <x:row r="105">
      <x:c r="A105" t="str">
        <x:v>TXN-0000104</x:v>
      </x:c>
      <x:c r="B105" t="str">
        <x:v>2025-07</x:v>
      </x:c>
      <x:c r="C105" t="n">
        <x:v>45844</x:v>
      </x:c>
      <x:c r="D105" t="str">
        <x:v>USR-00018</x:v>
      </x:c>
      <x:c r="E105" t="str">
        <x:v>SUS-000157</x:v>
      </x:c>
      <x:c r="F105" t="str">
        <x:v>Plus mensual</x:v>
      </x:c>
      <x:c r="G105" t="str">
        <x:v>Mensual</x:v>
      </x:c>
      <x:c r="H105" t="n">
        <x:v>1</x:v>
      </x:c>
      <x:c r="I105" t="str">
        <x:v>Aprobado</x:v>
      </x:c>
      <x:c r="J105" t="n">
        <x:v>29900</x:v>
      </x:c>
      <x:c r="K105" t="str">
        <x:v>Tarjeta débito</x:v>
      </x:c>
      <x:c r="L105" t="str">
        <x:v>Sin error</x:v>
      </x:c>
    </x:row>
    <x:row r="106">
      <x:c r="A106" t="str">
        <x:v>TXN-0000105</x:v>
      </x:c>
      <x:c r="B106" t="str">
        <x:v>2025-07</x:v>
      </x:c>
      <x:c r="C106" t="n">
        <x:v>45850</x:v>
      </x:c>
      <x:c r="D106" t="str">
        <x:v>USR-00019</x:v>
      </x:c>
      <x:c r="E106" t="str">
        <x:v>SUS-000158</x:v>
      </x:c>
      <x:c r="F106" t="str">
        <x:v>Plus mensual</x:v>
      </x:c>
      <x:c r="G106" t="str">
        <x:v>Mensual</x:v>
      </x:c>
      <x:c r="H106" t="n">
        <x:v>1</x:v>
      </x:c>
      <x:c r="I106" t="str">
        <x:v>Aprobado</x:v>
      </x:c>
      <x:c r="J106" t="n">
        <x:v>29900</x:v>
      </x:c>
      <x:c r="K106" t="str">
        <x:v>Tarjeta crédito</x:v>
      </x:c>
      <x:c r="L106" t="str">
        <x:v>Sin error</x:v>
      </x:c>
    </x:row>
    <x:row r="107">
      <x:c r="A107" t="str">
        <x:v>TXN-0000106</x:v>
      </x:c>
      <x:c r="B107" t="str">
        <x:v>2025-07</x:v>
      </x:c>
      <x:c r="C107" t="n">
        <x:v>45848</x:v>
      </x:c>
      <x:c r="D107" t="str">
        <x:v>USR-00026</x:v>
      </x:c>
      <x:c r="E107" t="str">
        <x:v>SUS-000101</x:v>
      </x:c>
      <x:c r="F107" t="str">
        <x:v>Plus mensual</x:v>
      </x:c>
      <x:c r="G107" t="str">
        <x:v>Mensual</x:v>
      </x:c>
      <x:c r="H107" t="n">
        <x:v>1</x:v>
      </x:c>
      <x:c r="I107" t="str">
        <x:v>Aprobado</x:v>
      </x:c>
      <x:c r="J107" t="n">
        <x:v>29900</x:v>
      </x:c>
      <x:c r="K107" t="str">
        <x:v>Tarjeta crédito</x:v>
      </x:c>
      <x:c r="L107" t="str">
        <x:v>Sin error</x:v>
      </x:c>
    </x:row>
    <x:row r="108">
      <x:c r="A108" t="str">
        <x:v>TXN-0000107</x:v>
      </x:c>
      <x:c r="B108" t="str">
        <x:v>2025-07</x:v>
      </x:c>
      <x:c r="C108" t="n">
        <x:v>45849</x:v>
      </x:c>
      <x:c r="D108" t="str">
        <x:v>USR-00029</x:v>
      </x:c>
      <x:c r="E108" t="str">
        <x:v>SIN_SUSCRIPCION</x:v>
      </x:c>
      <x:c r="F108" t="str">
        <x:v>Plus mensual</x:v>
      </x:c>
      <x:c r="G108" t="str">
        <x:v>Mensual</x:v>
      </x:c>
      <x:c r="H108" t="n">
        <x:v>1</x:v>
      </x:c>
      <x:c r="I108" t="str">
        <x:v>Rechazado</x:v>
      </x:c>
      <x:c r="J108" t="n">
        <x:v>29900</x:v>
      </x:c>
      <x:c r="K108" t="str">
        <x:v>Tarjeta débito</x:v>
      </x:c>
      <x:c r="L108" t="str">
        <x:v>Fondos insuficientes</x:v>
      </x:c>
    </x:row>
    <x:row r="109">
      <x:c r="A109" t="str">
        <x:v>TXN-0000108</x:v>
      </x:c>
      <x:c r="B109" t="str">
        <x:v>2025-07</x:v>
      </x:c>
      <x:c r="C109" t="n">
        <x:v>45850</x:v>
      </x:c>
      <x:c r="D109" t="str">
        <x:v>USR-00029</x:v>
      </x:c>
      <x:c r="E109" t="str">
        <x:v>SIN_SUSCRIPCION</x:v>
      </x:c>
      <x:c r="F109" t="str">
        <x:v>Plus mensual</x:v>
      </x:c>
      <x:c r="G109" t="str">
        <x:v>Mensual</x:v>
      </x:c>
      <x:c r="H109" t="n">
        <x:v>2</x:v>
      </x:c>
      <x:c r="I109" t="str">
        <x:v>Rechazado</x:v>
      </x:c>
      <x:c r="J109" t="n">
        <x:v>29900</x:v>
      </x:c>
      <x:c r="K109" t="str">
        <x:v>PSE</x:v>
      </x:c>
      <x:c r="L109" t="str">
        <x:v>Error temporal</x:v>
      </x:c>
    </x:row>
    <x:row r="110">
      <x:c r="A110" t="str">
        <x:v>TXN-0000109</x:v>
      </x:c>
      <x:c r="B110" t="str">
        <x:v>2025-07</x:v>
      </x:c>
      <x:c r="C110" t="n">
        <x:v>45847</x:v>
      </x:c>
      <x:c r="D110" t="str">
        <x:v>USR-00035</x:v>
      </x:c>
      <x:c r="E110" t="str">
        <x:v>SUS-000130</x:v>
      </x:c>
      <x:c r="F110" t="str">
        <x:v>Plus mensual</x:v>
      </x:c>
      <x:c r="G110" t="str">
        <x:v>Mensual</x:v>
      </x:c>
      <x:c r="H110" t="n">
        <x:v>1</x:v>
      </x:c>
      <x:c r="I110" t="str">
        <x:v>Aprobado</x:v>
      </x:c>
      <x:c r="J110" t="n">
        <x:v>29900</x:v>
      </x:c>
      <x:c r="K110" t="str">
        <x:v>Tarjeta débito</x:v>
      </x:c>
      <x:c r="L110" t="str">
        <x:v>Sin error</x:v>
      </x:c>
    </x:row>
    <x:row r="111">
      <x:c r="A111" t="str">
        <x:v>TXN-0000110</x:v>
      </x:c>
      <x:c r="B111" t="str">
        <x:v>2025-07</x:v>
      </x:c>
      <x:c r="C111" t="n">
        <x:v>45849</x:v>
      </x:c>
      <x:c r="D111" t="str">
        <x:v>USR-00042</x:v>
      </x:c>
      <x:c r="E111" t="str">
        <x:v>SUS-000215</x:v>
      </x:c>
      <x:c r="F111" t="str">
        <x:v>Plus mensual</x:v>
      </x:c>
      <x:c r="G111" t="str">
        <x:v>Mensual</x:v>
      </x:c>
      <x:c r="H111" t="n">
        <x:v>1</x:v>
      </x:c>
      <x:c r="I111" t="str">
        <x:v>Aprobado</x:v>
      </x:c>
      <x:c r="J111" t="n">
        <x:v>29900</x:v>
      </x:c>
      <x:c r="K111" t="str">
        <x:v>Tarjeta débito</x:v>
      </x:c>
      <x:c r="L111" t="str">
        <x:v>Sin error</x:v>
      </x:c>
    </x:row>
    <x:row r="112">
      <x:c r="A112" t="str">
        <x:v>TXN-0000111</x:v>
      </x:c>
      <x:c r="B112" t="str">
        <x:v>2025-07</x:v>
      </x:c>
      <x:c r="C112" t="n">
        <x:v>45850</x:v>
      </x:c>
      <x:c r="D112" t="str">
        <x:v>USR-00048</x:v>
      </x:c>
      <x:c r="E112" t="str">
        <x:v>SUS-000160</x:v>
      </x:c>
      <x:c r="F112" t="str">
        <x:v>Plus mensual</x:v>
      </x:c>
      <x:c r="G112" t="str">
        <x:v>Mensual</x:v>
      </x:c>
      <x:c r="H112" t="n">
        <x:v>1</x:v>
      </x:c>
      <x:c r="I112" t="str">
        <x:v>Aprobado</x:v>
      </x:c>
      <x:c r="J112" t="n">
        <x:v>29900</x:v>
      </x:c>
      <x:c r="K112" t="str">
        <x:v>Tarjeta débito</x:v>
      </x:c>
      <x:c r="L112" t="str">
        <x:v>Sin error</x:v>
      </x:c>
    </x:row>
    <x:row r="113">
      <x:c r="A113" t="str">
        <x:v>TXN-0000112</x:v>
      </x:c>
      <x:c r="B113" t="str">
        <x:v>2025-07</x:v>
      </x:c>
      <x:c r="C113" t="n">
        <x:v>45849</x:v>
      </x:c>
      <x:c r="D113" t="str">
        <x:v>USR-00051</x:v>
      </x:c>
      <x:c r="E113" t="str">
        <x:v>SUS-000055</x:v>
      </x:c>
      <x:c r="F113" t="str">
        <x:v>Plus mensual</x:v>
      </x:c>
      <x:c r="G113" t="str">
        <x:v>Mensual</x:v>
      </x:c>
      <x:c r="H113" t="n">
        <x:v>1</x:v>
      </x:c>
      <x:c r="I113" t="str">
        <x:v>Aprobado</x:v>
      </x:c>
      <x:c r="J113" t="n">
        <x:v>29900</x:v>
      </x:c>
      <x:c r="K113" t="str">
        <x:v>PSE</x:v>
      </x:c>
      <x:c r="L113" t="str">
        <x:v>Sin error</x:v>
      </x:c>
    </x:row>
    <x:row r="114">
      <x:c r="A114" t="str">
        <x:v>TXN-0000113</x:v>
      </x:c>
      <x:c r="B114" t="str">
        <x:v>2025-07</x:v>
      </x:c>
      <x:c r="C114" t="n">
        <x:v>45849</x:v>
      </x:c>
      <x:c r="D114" t="str">
        <x:v>USR-00053</x:v>
      </x:c>
      <x:c r="E114" t="str">
        <x:v>SUS-000057</x:v>
      </x:c>
      <x:c r="F114" t="str">
        <x:v>Plus mensual</x:v>
      </x:c>
      <x:c r="G114" t="str">
        <x:v>Mensual</x:v>
      </x:c>
      <x:c r="H114" t="n">
        <x:v>1</x:v>
      </x:c>
      <x:c r="I114" t="str">
        <x:v>Aprobado</x:v>
      </x:c>
      <x:c r="J114" t="n">
        <x:v>29900</x:v>
      </x:c>
      <x:c r="K114" t="str">
        <x:v>Tarjeta débito</x:v>
      </x:c>
      <x:c r="L114" t="str">
        <x:v>Sin error</x:v>
      </x:c>
    </x:row>
    <x:row r="115">
      <x:c r="A115" t="str">
        <x:v>TXN-0000114</x:v>
      </x:c>
      <x:c r="B115" t="str">
        <x:v>2025-07</x:v>
      </x:c>
      <x:c r="C115" t="n">
        <x:v>45846</x:v>
      </x:c>
      <x:c r="D115" t="str">
        <x:v>USR-00054</x:v>
      </x:c>
      <x:c r="E115" t="str">
        <x:v>SUS-000058</x:v>
      </x:c>
      <x:c r="F115" t="str">
        <x:v>Plus mensual</x:v>
      </x:c>
      <x:c r="G115" t="str">
        <x:v>Mensual</x:v>
      </x:c>
      <x:c r="H115" t="n">
        <x:v>1</x:v>
      </x:c>
      <x:c r="I115" t="str">
        <x:v>Aprobado</x:v>
      </x:c>
      <x:c r="J115" t="n">
        <x:v>29900</x:v>
      </x:c>
      <x:c r="K115" t="str">
        <x:v>PSE</x:v>
      </x:c>
      <x:c r="L115" t="str">
        <x:v>Sin error</x:v>
      </x:c>
    </x:row>
    <x:row r="116">
      <x:c r="A116" t="str">
        <x:v>TXN-0000115</x:v>
      </x:c>
      <x:c r="B116" t="str">
        <x:v>2025-07</x:v>
      </x:c>
      <x:c r="C116" t="n">
        <x:v>45849</x:v>
      </x:c>
      <x:c r="D116" t="str">
        <x:v>USR-00055</x:v>
      </x:c>
      <x:c r="E116" t="str">
        <x:v>SIN_SUSCRIPCION</x:v>
      </x:c>
      <x:c r="F116" t="str">
        <x:v>Plus mensual</x:v>
      </x:c>
      <x:c r="G116" t="str">
        <x:v>Mensual</x:v>
      </x:c>
      <x:c r="H116" t="n">
        <x:v>1</x:v>
      </x:c>
      <x:c r="I116" t="str">
        <x:v>Rechazado</x:v>
      </x:c>
      <x:c r="J116" t="n">
        <x:v>29900</x:v>
      </x:c>
      <x:c r="K116" t="str">
        <x:v>PSE</x:v>
      </x:c>
      <x:c r="L116" t="str">
        <x:v>Fondos insuficientes</x:v>
      </x:c>
    </x:row>
    <x:row r="117">
      <x:c r="A117" t="str">
        <x:v>TXN-0000116</x:v>
      </x:c>
      <x:c r="B117" t="str">
        <x:v>2025-07</x:v>
      </x:c>
      <x:c r="C117" t="n">
        <x:v>45850</x:v>
      </x:c>
      <x:c r="D117" t="str">
        <x:v>USR-00055</x:v>
      </x:c>
      <x:c r="E117" t="str">
        <x:v>SIN_SUSCRIPCION</x:v>
      </x:c>
      <x:c r="F117" t="str">
        <x:v>Plus mensual</x:v>
      </x:c>
      <x:c r="G117" t="str">
        <x:v>Mensual</x:v>
      </x:c>
      <x:c r="H117" t="n">
        <x:v>2</x:v>
      </x:c>
      <x:c r="I117" t="str">
        <x:v>Rechazado</x:v>
      </x:c>
      <x:c r="J117" t="n">
        <x:v>29900</x:v>
      </x:c>
      <x:c r="K117" t="str">
        <x:v>PSE</x:v>
      </x:c>
      <x:c r="L117" t="str">
        <x:v>Declinado por entidad</x:v>
      </x:c>
    </x:row>
    <x:row r="118">
      <x:c r="A118" t="str">
        <x:v>TXN-0000117</x:v>
      </x:c>
      <x:c r="B118" t="str">
        <x:v>2025-07</x:v>
      </x:c>
      <x:c r="C118" t="n">
        <x:v>45846</x:v>
      </x:c>
      <x:c r="D118" t="str">
        <x:v>USR-00065</x:v>
      </x:c>
      <x:c r="E118" t="str">
        <x:v>SUS-000070</x:v>
      </x:c>
      <x:c r="F118" t="str">
        <x:v>Plus mensual</x:v>
      </x:c>
      <x:c r="G118" t="str">
        <x:v>Mensual</x:v>
      </x:c>
      <x:c r="H118" t="n">
        <x:v>1</x:v>
      </x:c>
      <x:c r="I118" t="str">
        <x:v>Aprobado</x:v>
      </x:c>
      <x:c r="J118" t="n">
        <x:v>29900</x:v>
      </x:c>
      <x:c r="K118" t="str">
        <x:v>Tarjeta débito</x:v>
      </x:c>
      <x:c r="L118" t="str">
        <x:v>Sin error</x:v>
      </x:c>
    </x:row>
    <x:row r="119">
      <x:c r="A119" t="str">
        <x:v>TXN-0000118</x:v>
      </x:c>
      <x:c r="B119" t="str">
        <x:v>2025-07</x:v>
      </x:c>
      <x:c r="C119" t="n">
        <x:v>45849</x:v>
      </x:c>
      <x:c r="D119" t="str">
        <x:v>USR-00066</x:v>
      </x:c>
      <x:c r="E119" t="str">
        <x:v>SUS-000216</x:v>
      </x:c>
      <x:c r="F119" t="str">
        <x:v>Plus anual</x:v>
      </x:c>
      <x:c r="G119" t="str">
        <x:v>Anual</x:v>
      </x:c>
      <x:c r="H119" t="n">
        <x:v>1</x:v>
      </x:c>
      <x:c r="I119" t="str">
        <x:v>Aprobado</x:v>
      </x:c>
      <x:c r="J119" t="n">
        <x:v>299000</x:v>
      </x:c>
      <x:c r="K119" t="str">
        <x:v>PSE</x:v>
      </x:c>
      <x:c r="L119" t="str">
        <x:v>Sin error</x:v>
      </x:c>
    </x:row>
    <x:row r="120">
      <x:c r="A120" t="str">
        <x:v>TXN-0000119</x:v>
      </x:c>
      <x:c r="B120" t="str">
        <x:v>2025-07</x:v>
      </x:c>
      <x:c r="C120" t="n">
        <x:v>45847</x:v>
      </x:c>
      <x:c r="D120" t="str">
        <x:v>USR-00067</x:v>
      </x:c>
      <x:c r="E120" t="str">
        <x:v>SUS-000072</x:v>
      </x:c>
      <x:c r="F120" t="str">
        <x:v>Plus mensual</x:v>
      </x:c>
      <x:c r="G120" t="str">
        <x:v>Mensual</x:v>
      </x:c>
      <x:c r="H120" t="n">
        <x:v>1</x:v>
      </x:c>
      <x:c r="I120" t="str">
        <x:v>Aprobado</x:v>
      </x:c>
      <x:c r="J120" t="n">
        <x:v>29900</x:v>
      </x:c>
      <x:c r="K120" t="str">
        <x:v>PSE</x:v>
      </x:c>
      <x:c r="L120" t="str">
        <x:v>Sin error</x:v>
      </x:c>
    </x:row>
    <x:row r="121">
      <x:c r="A121" t="str">
        <x:v>TXN-0000120</x:v>
      </x:c>
      <x:c r="B121" t="str">
        <x:v>2025-07</x:v>
      </x:c>
      <x:c r="C121" t="n">
        <x:v>45844</x:v>
      </x:c>
      <x:c r="D121" t="str">
        <x:v>USR-00070</x:v>
      </x:c>
      <x:c r="E121" t="str">
        <x:v>SUS-000075</x:v>
      </x:c>
      <x:c r="F121" t="str">
        <x:v>Plus mensual</x:v>
      </x:c>
      <x:c r="G121" t="str">
        <x:v>Mensual</x:v>
      </x:c>
      <x:c r="H121" t="n">
        <x:v>1</x:v>
      </x:c>
      <x:c r="I121" t="str">
        <x:v>Aprobado</x:v>
      </x:c>
      <x:c r="J121" t="n">
        <x:v>29900</x:v>
      </x:c>
      <x:c r="K121" t="str">
        <x:v>PSE</x:v>
      </x:c>
      <x:c r="L121" t="str">
        <x:v>Sin error</x:v>
      </x:c>
    </x:row>
    <x:row r="122">
      <x:c r="A122" t="str">
        <x:v>TXN-0000121</x:v>
      </x:c>
      <x:c r="B122" t="str">
        <x:v>2025-07</x:v>
      </x:c>
      <x:c r="C122" t="n">
        <x:v>45847</x:v>
      </x:c>
      <x:c r="D122" t="str">
        <x:v>USR-00071</x:v>
      </x:c>
      <x:c r="E122" t="str">
        <x:v>SUS-000217</x:v>
      </x:c>
      <x:c r="F122" t="str">
        <x:v>Plus mensual</x:v>
      </x:c>
      <x:c r="G122" t="str">
        <x:v>Mensual</x:v>
      </x:c>
      <x:c r="H122" t="n">
        <x:v>1</x:v>
      </x:c>
      <x:c r="I122" t="str">
        <x:v>Aprobado</x:v>
      </x:c>
      <x:c r="J122" t="n">
        <x:v>29900</x:v>
      </x:c>
      <x:c r="K122" t="str">
        <x:v>PSE</x:v>
      </x:c>
      <x:c r="L122" t="str">
        <x:v>Sin error</x:v>
      </x:c>
    </x:row>
    <x:row r="123">
      <x:c r="A123" t="str">
        <x:v>TXN-0000122</x:v>
      </x:c>
      <x:c r="B123" t="str">
        <x:v>2025-07</x:v>
      </x:c>
      <x:c r="C123" t="n">
        <x:v>45850</x:v>
      </x:c>
      <x:c r="D123" t="str">
        <x:v>USR-00074</x:v>
      </x:c>
      <x:c r="E123" t="str">
        <x:v>SUS-000161</x:v>
      </x:c>
      <x:c r="F123" t="str">
        <x:v>Plus mensual</x:v>
      </x:c>
      <x:c r="G123" t="str">
        <x:v>Mensual</x:v>
      </x:c>
      <x:c r="H123" t="n">
        <x:v>1</x:v>
      </x:c>
      <x:c r="I123" t="str">
        <x:v>Aprobado</x:v>
      </x:c>
      <x:c r="J123" t="n">
        <x:v>29900</x:v>
      </x:c>
      <x:c r="K123" t="str">
        <x:v>PSE</x:v>
      </x:c>
      <x:c r="L123" t="str">
        <x:v>Sin error</x:v>
      </x:c>
    </x:row>
    <x:row r="124">
      <x:c r="A124" t="str">
        <x:v>TXN-0000123</x:v>
      </x:c>
      <x:c r="B124" t="str">
        <x:v>2025-07</x:v>
      </x:c>
      <x:c r="C124" t="n">
        <x:v>45846</x:v>
      </x:c>
      <x:c r="D124" t="str">
        <x:v>USR-00078</x:v>
      </x:c>
      <x:c r="E124" t="str">
        <x:v>SUS-000083</x:v>
      </x:c>
      <x:c r="F124" t="str">
        <x:v>Plus mensual</x:v>
      </x:c>
      <x:c r="G124" t="str">
        <x:v>Mensual</x:v>
      </x:c>
      <x:c r="H124" t="n">
        <x:v>1</x:v>
      </x:c>
      <x:c r="I124" t="str">
        <x:v>Rechazado</x:v>
      </x:c>
      <x:c r="J124" t="n">
        <x:v>29900</x:v>
      </x:c>
      <x:c r="K124" t="str">
        <x:v>Tarjeta débito</x:v>
      </x:c>
      <x:c r="L124" t="str">
        <x:v>Error temporal</x:v>
      </x:c>
    </x:row>
    <x:row r="125">
      <x:c r="A125" t="str">
        <x:v>TXN-0000124</x:v>
      </x:c>
      <x:c r="B125" t="str">
        <x:v>2025-07</x:v>
      </x:c>
      <x:c r="C125" t="n">
        <x:v>45845</x:v>
      </x:c>
      <x:c r="D125" t="str">
        <x:v>USR-00078</x:v>
      </x:c>
      <x:c r="E125" t="str">
        <x:v>SUS-000083</x:v>
      </x:c>
      <x:c r="F125" t="str">
        <x:v>Plus mensual</x:v>
      </x:c>
      <x:c r="G125" t="str">
        <x:v>Mensual</x:v>
      </x:c>
      <x:c r="H125" t="n">
        <x:v>2</x:v>
      </x:c>
      <x:c r="I125" t="str">
        <x:v>Aprobado</x:v>
      </x:c>
      <x:c r="J125" t="n">
        <x:v>29900</x:v>
      </x:c>
      <x:c r="K125" t="str">
        <x:v>Tarjeta crédito</x:v>
      </x:c>
      <x:c r="L125" t="str">
        <x:v>Sin error</x:v>
      </x:c>
    </x:row>
    <x:row r="126">
      <x:c r="A126" t="str">
        <x:v>TXN-0000125</x:v>
      </x:c>
      <x:c r="B126" t="str">
        <x:v>2025-07</x:v>
      </x:c>
      <x:c r="C126" t="n">
        <x:v>45844</x:v>
      </x:c>
      <x:c r="D126" t="str">
        <x:v>USR-00083</x:v>
      </x:c>
      <x:c r="E126" t="str">
        <x:v>SUS-000218</x:v>
      </x:c>
      <x:c r="F126" t="str">
        <x:v>Plus mensual</x:v>
      </x:c>
      <x:c r="G126" t="str">
        <x:v>Mensual</x:v>
      </x:c>
      <x:c r="H126" t="n">
        <x:v>1</x:v>
      </x:c>
      <x:c r="I126" t="str">
        <x:v>Aprobado</x:v>
      </x:c>
      <x:c r="J126" t="n">
        <x:v>29900</x:v>
      </x:c>
      <x:c r="K126" t="str">
        <x:v>Tarjeta crédito</x:v>
      </x:c>
      <x:c r="L126" t="str">
        <x:v>Sin error</x:v>
      </x:c>
    </x:row>
    <x:row r="127">
      <x:c r="A127" t="str">
        <x:v>TXN-0000126</x:v>
      </x:c>
      <x:c r="B127" t="str">
        <x:v>2025-07</x:v>
      </x:c>
      <x:c r="C127" t="n">
        <x:v>45844</x:v>
      </x:c>
      <x:c r="D127" t="str">
        <x:v>USR-00085</x:v>
      </x:c>
      <x:c r="E127" t="str">
        <x:v>SUS-000163</x:v>
      </x:c>
      <x:c r="F127" t="str">
        <x:v>Plus mensual</x:v>
      </x:c>
      <x:c r="G127" t="str">
        <x:v>Mensual</x:v>
      </x:c>
      <x:c r="H127" t="n">
        <x:v>1</x:v>
      </x:c>
      <x:c r="I127" t="str">
        <x:v>Aprobado</x:v>
      </x:c>
      <x:c r="J127" t="n">
        <x:v>29900</x:v>
      </x:c>
      <x:c r="K127" t="str">
        <x:v>Tarjeta débito</x:v>
      </x:c>
      <x:c r="L127" t="str">
        <x:v>Sin error</x:v>
      </x:c>
    </x:row>
    <x:row r="128">
      <x:c r="A128" t="str">
        <x:v>TXN-0000127</x:v>
      </x:c>
      <x:c r="B128" t="str">
        <x:v>2025-07</x:v>
      </x:c>
      <x:c r="C128" t="n">
        <x:v>45847</x:v>
      </x:c>
      <x:c r="D128" t="str">
        <x:v>USR-00087</x:v>
      </x:c>
      <x:c r="E128" t="str">
        <x:v>SUS-000219</x:v>
      </x:c>
      <x:c r="F128" t="str">
        <x:v>Plus mensual</x:v>
      </x:c>
      <x:c r="G128" t="str">
        <x:v>Mensual</x:v>
      </x:c>
      <x:c r="H128" t="n">
        <x:v>1</x:v>
      </x:c>
      <x:c r="I128" t="str">
        <x:v>Aprobado</x:v>
      </x:c>
      <x:c r="J128" t="n">
        <x:v>29900</x:v>
      </x:c>
      <x:c r="K128" t="str">
        <x:v>PSE</x:v>
      </x:c>
      <x:c r="L128" t="str">
        <x:v>Sin error</x:v>
      </x:c>
    </x:row>
    <x:row r="129">
      <x:c r="A129" t="str">
        <x:v>TXN-0000128</x:v>
      </x:c>
      <x:c r="B129" t="str">
        <x:v>2025-07</x:v>
      </x:c>
      <x:c r="C129" t="n">
        <x:v>45850</x:v>
      </x:c>
      <x:c r="D129" t="str">
        <x:v>USR-00091</x:v>
      </x:c>
      <x:c r="E129" t="str">
        <x:v>SUS-000096</x:v>
      </x:c>
      <x:c r="F129" t="str">
        <x:v>Plus mensual</x:v>
      </x:c>
      <x:c r="G129" t="str">
        <x:v>Mensual</x:v>
      </x:c>
      <x:c r="H129" t="n">
        <x:v>1</x:v>
      </x:c>
      <x:c r="I129" t="str">
        <x:v>Aprobado</x:v>
      </x:c>
      <x:c r="J129" t="n">
        <x:v>29900</x:v>
      </x:c>
      <x:c r="K129" t="str">
        <x:v>Tarjeta débito</x:v>
      </x:c>
      <x:c r="L129" t="str">
        <x:v>Sin error</x:v>
      </x:c>
    </x:row>
    <x:row r="130">
      <x:c r="A130" t="str">
        <x:v>TXN-0000129</x:v>
      </x:c>
      <x:c r="B130" t="str">
        <x:v>2025-07</x:v>
      </x:c>
      <x:c r="C130" t="n">
        <x:v>45845</x:v>
      </x:c>
      <x:c r="D130" t="str">
        <x:v>USR-00095</x:v>
      </x:c>
      <x:c r="E130" t="str">
        <x:v>SUS-000103</x:v>
      </x:c>
      <x:c r="F130" t="str">
        <x:v>Plus mensual</x:v>
      </x:c>
      <x:c r="G130" t="str">
        <x:v>Mensual</x:v>
      </x:c>
      <x:c r="H130" t="n">
        <x:v>1</x:v>
      </x:c>
      <x:c r="I130" t="str">
        <x:v>Aprobado</x:v>
      </x:c>
      <x:c r="J130" t="n">
        <x:v>29900</x:v>
      </x:c>
      <x:c r="K130" t="str">
        <x:v>PSE</x:v>
      </x:c>
      <x:c r="L130" t="str">
        <x:v>Sin error</x:v>
      </x:c>
    </x:row>
    <x:row r="131">
      <x:c r="A131" t="str">
        <x:v>TXN-0000130</x:v>
      </x:c>
      <x:c r="B131" t="str">
        <x:v>2025-07</x:v>
      </x:c>
      <x:c r="C131" t="n">
        <x:v>45843</x:v>
      </x:c>
      <x:c r="D131" t="str">
        <x:v>USR-00100</x:v>
      </x:c>
      <x:c r="E131" t="str">
        <x:v>SUS-000108</x:v>
      </x:c>
      <x:c r="F131" t="str">
        <x:v>Plus mensual</x:v>
      </x:c>
      <x:c r="G131" t="str">
        <x:v>Mensual</x:v>
      </x:c>
      <x:c r="H131" t="n">
        <x:v>1</x:v>
      </x:c>
      <x:c r="I131" t="str">
        <x:v>Aprobado</x:v>
      </x:c>
      <x:c r="J131" t="n">
        <x:v>29900</x:v>
      </x:c>
      <x:c r="K131" t="str">
        <x:v>PSE</x:v>
      </x:c>
      <x:c r="L131" t="str">
        <x:v>Sin error</x:v>
      </x:c>
    </x:row>
    <x:row r="132">
      <x:c r="A132" t="str">
        <x:v>TXN-0000131</x:v>
      </x:c>
      <x:c r="B132" t="str">
        <x:v>2025-07</x:v>
      </x:c>
      <x:c r="C132" t="n">
        <x:v>45849</x:v>
      </x:c>
      <x:c r="D132" t="str">
        <x:v>USR-00101</x:v>
      </x:c>
      <x:c r="E132" t="str">
        <x:v>SUS-000220</x:v>
      </x:c>
      <x:c r="F132" t="str">
        <x:v>Plus anual</x:v>
      </x:c>
      <x:c r="G132" t="str">
        <x:v>Anual</x:v>
      </x:c>
      <x:c r="H132" t="n">
        <x:v>1</x:v>
      </x:c>
      <x:c r="I132" t="str">
        <x:v>Aprobado</x:v>
      </x:c>
      <x:c r="J132" t="n">
        <x:v>299000</x:v>
      </x:c>
      <x:c r="K132" t="str">
        <x:v>Tarjeta débito</x:v>
      </x:c>
      <x:c r="L132" t="str">
        <x:v>Sin error</x:v>
      </x:c>
    </x:row>
    <x:row r="133">
      <x:c r="A133" t="str">
        <x:v>TXN-0000132</x:v>
      </x:c>
      <x:c r="B133" t="str">
        <x:v>2025-07</x:v>
      </x:c>
      <x:c r="C133" t="n">
        <x:v>45850</x:v>
      </x:c>
      <x:c r="D133" t="str">
        <x:v>USR-00121</x:v>
      </x:c>
      <x:c r="E133" t="str">
        <x:v>SUS-000222</x:v>
      </x:c>
      <x:c r="F133" t="str">
        <x:v>Plus mensual</x:v>
      </x:c>
      <x:c r="G133" t="str">
        <x:v>Mensual</x:v>
      </x:c>
      <x:c r="H133" t="n">
        <x:v>1</x:v>
      </x:c>
      <x:c r="I133" t="str">
        <x:v>Aprobado</x:v>
      </x:c>
      <x:c r="J133" t="n">
        <x:v>29900</x:v>
      </x:c>
      <x:c r="K133" t="str">
        <x:v>Tarjeta débito</x:v>
      </x:c>
      <x:c r="L133" t="str">
        <x:v>Sin error</x:v>
      </x:c>
    </x:row>
    <x:row r="134">
      <x:c r="A134" t="str">
        <x:v>TXN-0000133</x:v>
      </x:c>
      <x:c r="B134" t="str">
        <x:v>2025-07</x:v>
      </x:c>
      <x:c r="C134" t="n">
        <x:v>45845</x:v>
      </x:c>
      <x:c r="D134" t="str">
        <x:v>USR-00123</x:v>
      </x:c>
      <x:c r="E134" t="str">
        <x:v>SUS-000223</x:v>
      </x:c>
      <x:c r="F134" t="str">
        <x:v>Plus mensual</x:v>
      </x:c>
      <x:c r="G134" t="str">
        <x:v>Mensual</x:v>
      </x:c>
      <x:c r="H134" t="n">
        <x:v>1</x:v>
      </x:c>
      <x:c r="I134" t="str">
        <x:v>Aprobado</x:v>
      </x:c>
      <x:c r="J134" t="n">
        <x:v>29900</x:v>
      </x:c>
      <x:c r="K134" t="str">
        <x:v>Tarjeta crédito</x:v>
      </x:c>
      <x:c r="L134" t="str">
        <x:v>Sin error</x:v>
      </x:c>
    </x:row>
    <x:row r="135">
      <x:c r="A135" t="str">
        <x:v>TXN-0000134</x:v>
      </x:c>
      <x:c r="B135" t="str">
        <x:v>2025-07</x:v>
      </x:c>
      <x:c r="C135" t="n">
        <x:v>45849</x:v>
      </x:c>
      <x:c r="D135" t="str">
        <x:v>USR-00140</x:v>
      </x:c>
      <x:c r="E135" t="str">
        <x:v>SUS-000149</x:v>
      </x:c>
      <x:c r="F135" t="str">
        <x:v>Plus mensual</x:v>
      </x:c>
      <x:c r="G135" t="str">
        <x:v>Mensual</x:v>
      </x:c>
      <x:c r="H135" t="n">
        <x:v>1</x:v>
      </x:c>
      <x:c r="I135" t="str">
        <x:v>Aprobado</x:v>
      </x:c>
      <x:c r="J135" t="n">
        <x:v>29900</x:v>
      </x:c>
      <x:c r="K135" t="str">
        <x:v>PSE</x:v>
      </x:c>
      <x:c r="L135" t="str">
        <x:v>Sin error</x:v>
      </x:c>
    </x:row>
    <x:row r="136">
      <x:c r="A136" t="str">
        <x:v>TXN-0000135</x:v>
      </x:c>
      <x:c r="B136" t="str">
        <x:v>2025-07</x:v>
      </x:c>
      <x:c r="C136" t="n">
        <x:v>45844</x:v>
      </x:c>
      <x:c r="D136" t="str">
        <x:v>USR-00145</x:v>
      </x:c>
      <x:c r="E136" t="str">
        <x:v>SUS-000168</x:v>
      </x:c>
      <x:c r="F136" t="str">
        <x:v>Plus mensual</x:v>
      </x:c>
      <x:c r="G136" t="str">
        <x:v>Mensual</x:v>
      </x:c>
      <x:c r="H136" t="n">
        <x:v>1</x:v>
      </x:c>
      <x:c r="I136" t="str">
        <x:v>Aprobado</x:v>
      </x:c>
      <x:c r="J136" t="n">
        <x:v>29900</x:v>
      </x:c>
      <x:c r="K136" t="str">
        <x:v>Tarjeta crédito</x:v>
      </x:c>
      <x:c r="L136" t="str">
        <x:v>Sin error</x:v>
      </x:c>
    </x:row>
    <x:row r="137">
      <x:c r="A137" t="str">
        <x:v>TXN-0000136</x:v>
      </x:c>
      <x:c r="B137" t="str">
        <x:v>2025-07</x:v>
      </x:c>
      <x:c r="C137" t="n">
        <x:v>45850</x:v>
      </x:c>
      <x:c r="D137" t="str">
        <x:v>USR-00146</x:v>
      </x:c>
      <x:c r="E137" t="str">
        <x:v>SUS-000169</x:v>
      </x:c>
      <x:c r="F137" t="str">
        <x:v>Plus mensual</x:v>
      </x:c>
      <x:c r="G137" t="str">
        <x:v>Mensual</x:v>
      </x:c>
      <x:c r="H137" t="n">
        <x:v>1</x:v>
      </x:c>
      <x:c r="I137" t="str">
        <x:v>Aprobado</x:v>
      </x:c>
      <x:c r="J137" t="n">
        <x:v>29900</x:v>
      </x:c>
      <x:c r="K137" t="str">
        <x:v>PSE</x:v>
      </x:c>
      <x:c r="L137" t="str">
        <x:v>Sin error</x:v>
      </x:c>
    </x:row>
    <x:row r="138">
      <x:c r="A138" t="str">
        <x:v>TXN-0000137</x:v>
      </x:c>
      <x:c r="B138" t="str">
        <x:v>2025-07</x:v>
      </x:c>
      <x:c r="C138" t="n">
        <x:v>45846</x:v>
      </x:c>
      <x:c r="D138" t="str">
        <x:v>USR-00156</x:v>
      </x:c>
      <x:c r="E138" t="str">
        <x:v>SUS-000224</x:v>
      </x:c>
      <x:c r="F138" t="str">
        <x:v>Plus mensual</x:v>
      </x:c>
      <x:c r="G138" t="str">
        <x:v>Mensual</x:v>
      </x:c>
      <x:c r="H138" t="n">
        <x:v>1</x:v>
      </x:c>
      <x:c r="I138" t="str">
        <x:v>Aprobado</x:v>
      </x:c>
      <x:c r="J138" t="n">
        <x:v>29900</x:v>
      </x:c>
      <x:c r="K138" t="str">
        <x:v>PSE</x:v>
      </x:c>
      <x:c r="L138" t="str">
        <x:v>Sin error</x:v>
      </x:c>
    </x:row>
    <x:row r="139">
      <x:c r="A139" t="str">
        <x:v>TXN-0000138</x:v>
      </x:c>
      <x:c r="B139" t="str">
        <x:v>2025-07</x:v>
      </x:c>
      <x:c r="C139" t="n">
        <x:v>45846</x:v>
      </x:c>
      <x:c r="D139" t="str">
        <x:v>USR-00158</x:v>
      </x:c>
      <x:c r="E139" t="str">
        <x:v>SUS-000181</x:v>
      </x:c>
      <x:c r="F139" t="str">
        <x:v>Plus mensual</x:v>
      </x:c>
      <x:c r="G139" t="str">
        <x:v>Mensual</x:v>
      </x:c>
      <x:c r="H139" t="n">
        <x:v>1</x:v>
      </x:c>
      <x:c r="I139" t="str">
        <x:v>Aprobado</x:v>
      </x:c>
      <x:c r="J139" t="n">
        <x:v>29900</x:v>
      </x:c>
      <x:c r="K139" t="str">
        <x:v>PSE</x:v>
      </x:c>
      <x:c r="L139" t="str">
        <x:v>Sin error</x:v>
      </x:c>
    </x:row>
    <x:row r="140">
      <x:c r="A140" t="str">
        <x:v>TXN-0000139</x:v>
      </x:c>
      <x:c r="B140" t="str">
        <x:v>2025-07</x:v>
      </x:c>
      <x:c r="C140" t="n">
        <x:v>45850</x:v>
      </x:c>
      <x:c r="D140" t="str">
        <x:v>USR-00162</x:v>
      </x:c>
      <x:c r="E140" t="str">
        <x:v>SUS-000225</x:v>
      </x:c>
      <x:c r="F140" t="str">
        <x:v>Plus mensual</x:v>
      </x:c>
      <x:c r="G140" t="str">
        <x:v>Mensual</x:v>
      </x:c>
      <x:c r="H140" t="n">
        <x:v>1</x:v>
      </x:c>
      <x:c r="I140" t="str">
        <x:v>Aprobado</x:v>
      </x:c>
      <x:c r="J140" t="n">
        <x:v>29900</x:v>
      </x:c>
      <x:c r="K140" t="str">
        <x:v>Tarjeta crédito</x:v>
      </x:c>
      <x:c r="L140" t="str">
        <x:v>Sin error</x:v>
      </x:c>
    </x:row>
    <x:row r="141">
      <x:c r="A141" t="str">
        <x:v>TXN-0000140</x:v>
      </x:c>
      <x:c r="B141" t="str">
        <x:v>2025-07</x:v>
      </x:c>
      <x:c r="C141" t="n">
        <x:v>45844</x:v>
      </x:c>
      <x:c r="D141" t="str">
        <x:v>USR-00167</x:v>
      </x:c>
      <x:c r="E141" t="str">
        <x:v>SUS-000226</x:v>
      </x:c>
      <x:c r="F141" t="str">
        <x:v>Plus mensual</x:v>
      </x:c>
      <x:c r="G141" t="str">
        <x:v>Mensual</x:v>
      </x:c>
      <x:c r="H141" t="n">
        <x:v>1</x:v>
      </x:c>
      <x:c r="I141" t="str">
        <x:v>Aprobado</x:v>
      </x:c>
      <x:c r="J141" t="n">
        <x:v>29900</x:v>
      </x:c>
      <x:c r="K141" t="str">
        <x:v>Tarjeta crédito</x:v>
      </x:c>
      <x:c r="L141" t="str">
        <x:v>Sin error</x:v>
      </x:c>
    </x:row>
    <x:row r="142">
      <x:c r="A142" t="str">
        <x:v>TXN-0000141</x:v>
      </x:c>
      <x:c r="B142" t="str">
        <x:v>2025-07</x:v>
      </x:c>
      <x:c r="C142" t="n">
        <x:v>45850</x:v>
      </x:c>
      <x:c r="D142" t="str">
        <x:v>USR-00168</x:v>
      </x:c>
      <x:c r="E142" t="str">
        <x:v>SUS-000191</x:v>
      </x:c>
      <x:c r="F142" t="str">
        <x:v>Plus mensual</x:v>
      </x:c>
      <x:c r="G142" t="str">
        <x:v>Mensual</x:v>
      </x:c>
      <x:c r="H142" t="n">
        <x:v>1</x:v>
      </x:c>
      <x:c r="I142" t="str">
        <x:v>Aprobado</x:v>
      </x:c>
      <x:c r="J142" t="n">
        <x:v>29900</x:v>
      </x:c>
      <x:c r="K142" t="str">
        <x:v>Tarjeta crédito</x:v>
      </x:c>
      <x:c r="L142" t="str">
        <x:v>Sin error</x:v>
      </x:c>
    </x:row>
    <x:row r="143">
      <x:c r="A143" t="str">
        <x:v>TXN-0000142</x:v>
      </x:c>
      <x:c r="B143" t="str">
        <x:v>2025-07</x:v>
      </x:c>
      <x:c r="C143" t="n">
        <x:v>45849</x:v>
      </x:c>
      <x:c r="D143" t="str">
        <x:v>USR-00176</x:v>
      </x:c>
      <x:c r="E143" t="str">
        <x:v>SIN_SUSCRIPCION</x:v>
      </x:c>
      <x:c r="F143" t="str">
        <x:v>Plus mensual</x:v>
      </x:c>
      <x:c r="G143" t="str">
        <x:v>Mensual</x:v>
      </x:c>
      <x:c r="H143" t="n">
        <x:v>1</x:v>
      </x:c>
      <x:c r="I143" t="str">
        <x:v>Rechazado</x:v>
      </x:c>
      <x:c r="J143" t="n">
        <x:v>29900</x:v>
      </x:c>
      <x:c r="K143" t="str">
        <x:v>Tarjeta débito</x:v>
      </x:c>
      <x:c r="L143" t="str">
        <x:v>Fondos insuficientes</x:v>
      </x:c>
    </x:row>
    <x:row r="144">
      <x:c r="A144" t="str">
        <x:v>TXN-0000143</x:v>
      </x:c>
      <x:c r="B144" t="str">
        <x:v>2025-07</x:v>
      </x:c>
      <x:c r="C144" t="n">
        <x:v>45845</x:v>
      </x:c>
      <x:c r="D144" t="str">
        <x:v>USR-00176</x:v>
      </x:c>
      <x:c r="E144" t="str">
        <x:v>SIN_SUSCRIPCION</x:v>
      </x:c>
      <x:c r="F144" t="str">
        <x:v>Plus mensual</x:v>
      </x:c>
      <x:c r="G144" t="str">
        <x:v>Mensual</x:v>
      </x:c>
      <x:c r="H144" t="n">
        <x:v>2</x:v>
      </x:c>
      <x:c r="I144" t="str">
        <x:v>Rechazado</x:v>
      </x:c>
      <x:c r="J144" t="n">
        <x:v>29900</x:v>
      </x:c>
      <x:c r="K144" t="str">
        <x:v>Tarjeta débito</x:v>
      </x:c>
      <x:c r="L144" t="str">
        <x:v>Declinado por entidad</x:v>
      </x:c>
    </x:row>
    <x:row r="145">
      <x:c r="A145" t="str">
        <x:v>TXN-0000144</x:v>
      </x:c>
      <x:c r="B145" t="str">
        <x:v>2025-07</x:v>
      </x:c>
      <x:c r="C145" t="n">
        <x:v>45844</x:v>
      </x:c>
      <x:c r="D145" t="str">
        <x:v>USR-00177</x:v>
      </x:c>
      <x:c r="E145" t="str">
        <x:v>SUS-000200</x:v>
      </x:c>
      <x:c r="F145" t="str">
        <x:v>Plus mensual</x:v>
      </x:c>
      <x:c r="G145" t="str">
        <x:v>Mensual</x:v>
      </x:c>
      <x:c r="H145" t="n">
        <x:v>1</x:v>
      </x:c>
      <x:c r="I145" t="str">
        <x:v>Aprobado</x:v>
      </x:c>
      <x:c r="J145" t="n">
        <x:v>29900</x:v>
      </x:c>
      <x:c r="K145" t="str">
        <x:v>PSE</x:v>
      </x:c>
      <x:c r="L145" t="str">
        <x:v>Sin error</x:v>
      </x:c>
    </x:row>
    <x:row r="146">
      <x:c r="A146" t="str">
        <x:v>TXN-0000145</x:v>
      </x:c>
      <x:c r="B146" t="str">
        <x:v>2025-07</x:v>
      </x:c>
      <x:c r="C146" t="n">
        <x:v>45843</x:v>
      </x:c>
      <x:c r="D146" t="str">
        <x:v>USR-00185</x:v>
      </x:c>
      <x:c r="E146" t="str">
        <x:v>SUS-000228</x:v>
      </x:c>
      <x:c r="F146" t="str">
        <x:v>Plus anual</x:v>
      </x:c>
      <x:c r="G146" t="str">
        <x:v>Anual</x:v>
      </x:c>
      <x:c r="H146" t="n">
        <x:v>1</x:v>
      </x:c>
      <x:c r="I146" t="str">
        <x:v>Aprobado</x:v>
      </x:c>
      <x:c r="J146" t="n">
        <x:v>299000</x:v>
      </x:c>
      <x:c r="K146" t="str">
        <x:v>PSE</x:v>
      </x:c>
      <x:c r="L146" t="str">
        <x:v>Sin error</x:v>
      </x:c>
    </x:row>
    <x:row r="147">
      <x:c r="A147" t="str">
        <x:v>TXN-0000146</x:v>
      </x:c>
      <x:c r="B147" t="str">
        <x:v>2025-07</x:v>
      </x:c>
      <x:c r="C147" t="n">
        <x:v>45845</x:v>
      </x:c>
      <x:c r="D147" t="str">
        <x:v>USR-00188</x:v>
      </x:c>
      <x:c r="E147" t="str">
        <x:v>SUS-000229</x:v>
      </x:c>
      <x:c r="F147" t="str">
        <x:v>Plus mensual</x:v>
      </x:c>
      <x:c r="G147" t="str">
        <x:v>Mensual</x:v>
      </x:c>
      <x:c r="H147" t="n">
        <x:v>1</x:v>
      </x:c>
      <x:c r="I147" t="str">
        <x:v>Aprobado</x:v>
      </x:c>
      <x:c r="J147" t="n">
        <x:v>29900</x:v>
      </x:c>
      <x:c r="K147" t="str">
        <x:v>Tarjeta crédito</x:v>
      </x:c>
      <x:c r="L147" t="str">
        <x:v>Sin error</x:v>
      </x:c>
    </x:row>
    <x:row r="148">
      <x:c r="A148" t="str">
        <x:v>TXN-0000147</x:v>
      </x:c>
      <x:c r="B148" t="str">
        <x:v>2025-07</x:v>
      </x:c>
      <x:c r="C148" t="n">
        <x:v>45845</x:v>
      </x:c>
      <x:c r="D148" t="str">
        <x:v>USR-00189</x:v>
      </x:c>
      <x:c r="E148" t="str">
        <x:v>SUS-000230</x:v>
      </x:c>
      <x:c r="F148" t="str">
        <x:v>Plus mensual</x:v>
      </x:c>
      <x:c r="G148" t="str">
        <x:v>Mensual</x:v>
      </x:c>
      <x:c r="H148" t="n">
        <x:v>1</x:v>
      </x:c>
      <x:c r="I148" t="str">
        <x:v>Aprobado</x:v>
      </x:c>
      <x:c r="J148" t="n">
        <x:v>29900</x:v>
      </x:c>
      <x:c r="K148" t="str">
        <x:v>PSE</x:v>
      </x:c>
      <x:c r="L148" t="str">
        <x:v>Sin error</x:v>
      </x:c>
    </x:row>
    <x:row r="149">
      <x:c r="A149" t="str">
        <x:v>TXN-0000148</x:v>
      </x:c>
      <x:c r="B149" t="str">
        <x:v>2025-07</x:v>
      </x:c>
      <x:c r="C149" t="n">
        <x:v>45843</x:v>
      </x:c>
      <x:c r="D149" t="str">
        <x:v>USR-00199</x:v>
      </x:c>
      <x:c r="E149" t="str">
        <x:v>SUS-000240</x:v>
      </x:c>
      <x:c r="F149" t="str">
        <x:v>Plus mensual</x:v>
      </x:c>
      <x:c r="G149" t="str">
        <x:v>Mensual</x:v>
      </x:c>
      <x:c r="H149" t="n">
        <x:v>1</x:v>
      </x:c>
      <x:c r="I149" t="str">
        <x:v>Aprobado</x:v>
      </x:c>
      <x:c r="J149" t="n">
        <x:v>29900</x:v>
      </x:c>
      <x:c r="K149" t="str">
        <x:v>Tarjeta débito</x:v>
      </x:c>
      <x:c r="L149" t="str">
        <x:v>Sin error</x:v>
      </x:c>
    </x:row>
    <x:row r="150">
      <x:c r="A150" t="str">
        <x:v>TXN-0000149</x:v>
      </x:c>
      <x:c r="B150" t="str">
        <x:v>2025-07</x:v>
      </x:c>
      <x:c r="C150" t="n">
        <x:v>45850</x:v>
      </x:c>
      <x:c r="D150" t="str">
        <x:v>USR-00201</x:v>
      </x:c>
      <x:c r="E150" t="str">
        <x:v>SUS-000242</x:v>
      </x:c>
      <x:c r="F150" t="str">
        <x:v>Plus mensual</x:v>
      </x:c>
      <x:c r="G150" t="str">
        <x:v>Mensual</x:v>
      </x:c>
      <x:c r="H150" t="n">
        <x:v>1</x:v>
      </x:c>
      <x:c r="I150" t="str">
        <x:v>Aprobado</x:v>
      </x:c>
      <x:c r="J150" t="n">
        <x:v>29900</x:v>
      </x:c>
      <x:c r="K150" t="str">
        <x:v>PSE</x:v>
      </x:c>
      <x:c r="L150" t="str">
        <x:v>Sin error</x:v>
      </x:c>
    </x:row>
    <x:row r="151">
      <x:c r="A151" t="str">
        <x:v>TXN-0000150</x:v>
      </x:c>
      <x:c r="B151" t="str">
        <x:v>2025-07</x:v>
      </x:c>
      <x:c r="C151" t="n">
        <x:v>45849</x:v>
      </x:c>
      <x:c r="D151" t="str">
        <x:v>USR-00204</x:v>
      </x:c>
      <x:c r="E151" t="str">
        <x:v>SUS-000245</x:v>
      </x:c>
      <x:c r="F151" t="str">
        <x:v>Plus mensual</x:v>
      </x:c>
      <x:c r="G151" t="str">
        <x:v>Mensual</x:v>
      </x:c>
      <x:c r="H151" t="n">
        <x:v>1</x:v>
      </x:c>
      <x:c r="I151" t="str">
        <x:v>Aprobado</x:v>
      </x:c>
      <x:c r="J151" t="n">
        <x:v>29900</x:v>
      </x:c>
      <x:c r="K151" t="str">
        <x:v>Tarjeta crédito</x:v>
      </x:c>
      <x:c r="L151" t="str">
        <x:v>Sin error</x:v>
      </x:c>
    </x:row>
    <x:row r="152">
      <x:c r="A152" t="str">
        <x:v>TXN-0000151</x:v>
      </x:c>
      <x:c r="B152" t="str">
        <x:v>2025-07</x:v>
      </x:c>
      <x:c r="C152" t="n">
        <x:v>45847</x:v>
      </x:c>
      <x:c r="D152" t="str">
        <x:v>USR-00205</x:v>
      </x:c>
      <x:c r="E152" t="str">
        <x:v>SIN_SUSCRIPCION</x:v>
      </x:c>
      <x:c r="F152" t="str">
        <x:v>Plus mensual</x:v>
      </x:c>
      <x:c r="G152" t="str">
        <x:v>Mensual</x:v>
      </x:c>
      <x:c r="H152" t="n">
        <x:v>1</x:v>
      </x:c>
      <x:c r="I152" t="str">
        <x:v>Rechazado</x:v>
      </x:c>
      <x:c r="J152" t="n">
        <x:v>29900</x:v>
      </x:c>
      <x:c r="K152" t="str">
        <x:v>PSE</x:v>
      </x:c>
      <x:c r="L152" t="str">
        <x:v>Error temporal</x:v>
      </x:c>
    </x:row>
    <x:row r="153">
      <x:c r="A153" t="str">
        <x:v>TXN-0000152</x:v>
      </x:c>
      <x:c r="B153" t="str">
        <x:v>2025-07</x:v>
      </x:c>
      <x:c r="C153" t="n">
        <x:v>45848</x:v>
      </x:c>
      <x:c r="D153" t="str">
        <x:v>USR-00205</x:v>
      </x:c>
      <x:c r="E153" t="str">
        <x:v>SIN_SUSCRIPCION</x:v>
      </x:c>
      <x:c r="F153" t="str">
        <x:v>Plus mensual</x:v>
      </x:c>
      <x:c r="G153" t="str">
        <x:v>Mensual</x:v>
      </x:c>
      <x:c r="H153" t="n">
        <x:v>2</x:v>
      </x:c>
      <x:c r="I153" t="str">
        <x:v>Rechazado</x:v>
      </x:c>
      <x:c r="J153" t="n">
        <x:v>29900</x:v>
      </x:c>
      <x:c r="K153" t="str">
        <x:v>Tarjeta débito</x:v>
      </x:c>
      <x:c r="L153" t="str">
        <x:v>Declinado por entidad</x:v>
      </x:c>
    </x:row>
    <x:row r="154">
      <x:c r="A154" t="str">
        <x:v>TXN-0000153</x:v>
      </x:c>
      <x:c r="B154" t="str">
        <x:v>2025-07</x:v>
      </x:c>
      <x:c r="C154" t="n">
        <x:v>45849</x:v>
      </x:c>
      <x:c r="D154" t="str">
        <x:v>USR-00214</x:v>
      </x:c>
      <x:c r="E154" t="str">
        <x:v>SUS-000255</x:v>
      </x:c>
      <x:c r="F154" t="str">
        <x:v>Plus mensual</x:v>
      </x:c>
      <x:c r="G154" t="str">
        <x:v>Mensual</x:v>
      </x:c>
      <x:c r="H154" t="n">
        <x:v>1</x:v>
      </x:c>
      <x:c r="I154" t="str">
        <x:v>Aprobado</x:v>
      </x:c>
      <x:c r="J154" t="n">
        <x:v>29900</x:v>
      </x:c>
      <x:c r="K154" t="str">
        <x:v>PSE</x:v>
      </x:c>
      <x:c r="L154" t="str">
        <x:v>Sin error</x:v>
      </x:c>
    </x:row>
    <x:row r="155">
      <x:c r="A155" t="str">
        <x:v>TXN-0000154</x:v>
      </x:c>
      <x:c r="B155" t="str">
        <x:v>2025-07</x:v>
      </x:c>
      <x:c r="C155" t="n">
        <x:v>45848</x:v>
      </x:c>
      <x:c r="D155" t="str">
        <x:v>USR-00215</x:v>
      </x:c>
      <x:c r="E155" t="str">
        <x:v>SUS-000256</x:v>
      </x:c>
      <x:c r="F155" t="str">
        <x:v>Plus anual</x:v>
      </x:c>
      <x:c r="G155" t="str">
        <x:v>Anual</x:v>
      </x:c>
      <x:c r="H155" t="n">
        <x:v>1</x:v>
      </x:c>
      <x:c r="I155" t="str">
        <x:v>Rechazado</x:v>
      </x:c>
      <x:c r="J155" t="n">
        <x:v>299000</x:v>
      </x:c>
      <x:c r="K155" t="str">
        <x:v>PSE</x:v>
      </x:c>
      <x:c r="L155" t="str">
        <x:v>Error temporal</x:v>
      </x:c>
    </x:row>
    <x:row r="156">
      <x:c r="A156" t="str">
        <x:v>TXN-0000155</x:v>
      </x:c>
      <x:c r="B156" t="str">
        <x:v>2025-07</x:v>
      </x:c>
      <x:c r="C156" t="n">
        <x:v>45843</x:v>
      </x:c>
      <x:c r="D156" t="str">
        <x:v>USR-00215</x:v>
      </x:c>
      <x:c r="E156" t="str">
        <x:v>SUS-000256</x:v>
      </x:c>
      <x:c r="F156" t="str">
        <x:v>Plus anual</x:v>
      </x:c>
      <x:c r="G156" t="str">
        <x:v>Anual</x:v>
      </x:c>
      <x:c r="H156" t="n">
        <x:v>2</x:v>
      </x:c>
      <x:c r="I156" t="str">
        <x:v>Aprobado</x:v>
      </x:c>
      <x:c r="J156" t="n">
        <x:v>299000</x:v>
      </x:c>
      <x:c r="K156" t="str">
        <x:v>Tarjeta crédito</x:v>
      </x:c>
      <x:c r="L156" t="str">
        <x:v>Sin error</x:v>
      </x:c>
    </x:row>
    <x:row r="157">
      <x:c r="A157" t="str">
        <x:v>TXN-0000156</x:v>
      </x:c>
      <x:c r="B157" t="str">
        <x:v>2025-07</x:v>
      </x:c>
      <x:c r="C157" t="n">
        <x:v>45847</x:v>
      </x:c>
      <x:c r="D157" t="str">
        <x:v>USR-00220</x:v>
      </x:c>
      <x:c r="E157" t="str">
        <x:v>SUS-000261</x:v>
      </x:c>
      <x:c r="F157" t="str">
        <x:v>Plus mensual</x:v>
      </x:c>
      <x:c r="G157" t="str">
        <x:v>Mensual</x:v>
      </x:c>
      <x:c r="H157" t="n">
        <x:v>1</x:v>
      </x:c>
      <x:c r="I157" t="str">
        <x:v>Aprobado</x:v>
      </x:c>
      <x:c r="J157" t="n">
        <x:v>29900</x:v>
      </x:c>
      <x:c r="K157" t="str">
        <x:v>Tarjeta débito</x:v>
      </x:c>
      <x:c r="L157" t="str">
        <x:v>Sin error</x:v>
      </x:c>
    </x:row>
    <x:row r="158">
      <x:c r="A158" t="str">
        <x:v>TXN-0000157</x:v>
      </x:c>
      <x:c r="B158" t="str">
        <x:v>2025-07</x:v>
      </x:c>
      <x:c r="C158" t="n">
        <x:v>45843</x:v>
      </x:c>
      <x:c r="D158" t="str">
        <x:v>USR-00224</x:v>
      </x:c>
      <x:c r="E158" t="str">
        <x:v>SUS-000265</x:v>
      </x:c>
      <x:c r="F158" t="str">
        <x:v>Plus mensual</x:v>
      </x:c>
      <x:c r="G158" t="str">
        <x:v>Mensual</x:v>
      </x:c>
      <x:c r="H158" t="n">
        <x:v>1</x:v>
      </x:c>
      <x:c r="I158" t="str">
        <x:v>Aprobado</x:v>
      </x:c>
      <x:c r="J158" t="n">
        <x:v>29900</x:v>
      </x:c>
      <x:c r="K158" t="str">
        <x:v>Tarjeta débito</x:v>
      </x:c>
      <x:c r="L158" t="str">
        <x:v>Sin error</x:v>
      </x:c>
    </x:row>
    <x:row r="159">
      <x:c r="A159" t="str">
        <x:v>TXN-0000158</x:v>
      </x:c>
      <x:c r="B159" t="str">
        <x:v>2025-07</x:v>
      </x:c>
      <x:c r="C159" t="n">
        <x:v>45847</x:v>
      </x:c>
      <x:c r="D159" t="str">
        <x:v>USR-00225</x:v>
      </x:c>
      <x:c r="E159" t="str">
        <x:v>SUS-000266</x:v>
      </x:c>
      <x:c r="F159" t="str">
        <x:v>Plus mensual</x:v>
      </x:c>
      <x:c r="G159" t="str">
        <x:v>Mensual</x:v>
      </x:c>
      <x:c r="H159" t="n">
        <x:v>1</x:v>
      </x:c>
      <x:c r="I159" t="str">
        <x:v>Aprobado</x:v>
      </x:c>
      <x:c r="J159" t="n">
        <x:v>29900</x:v>
      </x:c>
      <x:c r="K159" t="str">
        <x:v>PSE</x:v>
      </x:c>
      <x:c r="L159" t="str">
        <x:v>Sin error</x:v>
      </x:c>
    </x:row>
    <x:row r="160">
      <x:c r="A160" t="str">
        <x:v>TXN-0000159</x:v>
      </x:c>
      <x:c r="B160" t="str">
        <x:v>2025-08</x:v>
      </x:c>
      <x:c r="C160" t="n">
        <x:v>45878</x:v>
      </x:c>
      <x:c r="D160" t="str">
        <x:v>USR-00002</x:v>
      </x:c>
      <x:c r="E160" t="str">
        <x:v>SUS-000212</x:v>
      </x:c>
      <x:c r="F160" t="str">
        <x:v>Plus mensual</x:v>
      </x:c>
      <x:c r="G160" t="str">
        <x:v>Mensual</x:v>
      </x:c>
      <x:c r="H160" t="n">
        <x:v>1</x:v>
      </x:c>
      <x:c r="I160" t="str">
        <x:v>Aprobado</x:v>
      </x:c>
      <x:c r="J160" t="n">
        <x:v>29900</x:v>
      </x:c>
      <x:c r="K160" t="str">
        <x:v>Tarjeta débito</x:v>
      </x:c>
      <x:c r="L160" t="str">
        <x:v>Sin error</x:v>
      </x:c>
    </x:row>
    <x:row r="161">
      <x:c r="A161" t="str">
        <x:v>TXN-0000160</x:v>
      </x:c>
      <x:c r="B161" t="str">
        <x:v>2025-08</x:v>
      </x:c>
      <x:c r="C161" t="n">
        <x:v>45877</x:v>
      </x:c>
      <x:c r="D161" t="str">
        <x:v>USR-00003</x:v>
      </x:c>
      <x:c r="E161" t="str">
        <x:v>SUS-000155</x:v>
      </x:c>
      <x:c r="F161" t="str">
        <x:v>Plus mensual</x:v>
      </x:c>
      <x:c r="G161" t="str">
        <x:v>Mensual</x:v>
      </x:c>
      <x:c r="H161" t="n">
        <x:v>1</x:v>
      </x:c>
      <x:c r="I161" t="str">
        <x:v>Aprobado</x:v>
      </x:c>
      <x:c r="J161" t="n">
        <x:v>29900</x:v>
      </x:c>
      <x:c r="K161" t="str">
        <x:v>PSE</x:v>
      </x:c>
      <x:c r="L161" t="str">
        <x:v>Sin error</x:v>
      </x:c>
    </x:row>
    <x:row r="162">
      <x:c r="A162" t="str">
        <x:v>TXN-0000161</x:v>
      </x:c>
      <x:c r="B162" t="str">
        <x:v>2025-08</x:v>
      </x:c>
      <x:c r="C162" t="n">
        <x:v>45880</x:v>
      </x:c>
      <x:c r="D162" t="str">
        <x:v>USR-00018</x:v>
      </x:c>
      <x:c r="E162" t="str">
        <x:v>SUS-000157</x:v>
      </x:c>
      <x:c r="F162" t="str">
        <x:v>Plus mensual</x:v>
      </x:c>
      <x:c r="G162" t="str">
        <x:v>Mensual</x:v>
      </x:c>
      <x:c r="H162" t="n">
        <x:v>1</x:v>
      </x:c>
      <x:c r="I162" t="str">
        <x:v>Aprobado</x:v>
      </x:c>
      <x:c r="J162" t="n">
        <x:v>29900</x:v>
      </x:c>
      <x:c r="K162" t="str">
        <x:v>Tarjeta crédito</x:v>
      </x:c>
      <x:c r="L162" t="str">
        <x:v>Sin error</x:v>
      </x:c>
    </x:row>
    <x:row r="163">
      <x:c r="A163" t="str">
        <x:v>TXN-0000162</x:v>
      </x:c>
      <x:c r="B163" t="str">
        <x:v>2025-08</x:v>
      </x:c>
      <x:c r="C163" t="n">
        <x:v>45879</x:v>
      </x:c>
      <x:c r="D163" t="str">
        <x:v>USR-00019</x:v>
      </x:c>
      <x:c r="E163" t="str">
        <x:v>SUS-000158</x:v>
      </x:c>
      <x:c r="F163" t="str">
        <x:v>Plus mensual</x:v>
      </x:c>
      <x:c r="G163" t="str">
        <x:v>Mensual</x:v>
      </x:c>
      <x:c r="H163" t="n">
        <x:v>1</x:v>
      </x:c>
      <x:c r="I163" t="str">
        <x:v>Aprobado</x:v>
      </x:c>
      <x:c r="J163" t="n">
        <x:v>29900</x:v>
      </x:c>
      <x:c r="K163" t="str">
        <x:v>Tarjeta débito</x:v>
      </x:c>
      <x:c r="L163" t="str">
        <x:v>Sin error</x:v>
      </x:c>
    </x:row>
    <x:row r="164">
      <x:c r="A164" t="str">
        <x:v>TXN-0000163</x:v>
      </x:c>
      <x:c r="B164" t="str">
        <x:v>2025-08</x:v>
      </x:c>
      <x:c r="C164" t="n">
        <x:v>45881</x:v>
      </x:c>
      <x:c r="D164" t="str">
        <x:v>USR-00026</x:v>
      </x:c>
      <x:c r="E164" t="str">
        <x:v>SUS-000101</x:v>
      </x:c>
      <x:c r="F164" t="str">
        <x:v>Plus mensual</x:v>
      </x:c>
      <x:c r="G164" t="str">
        <x:v>Mensual</x:v>
      </x:c>
      <x:c r="H164" t="n">
        <x:v>1</x:v>
      </x:c>
      <x:c r="I164" t="str">
        <x:v>Aprobado</x:v>
      </x:c>
      <x:c r="J164" t="n">
        <x:v>29900</x:v>
      </x:c>
      <x:c r="K164" t="str">
        <x:v>PSE</x:v>
      </x:c>
      <x:c r="L164" t="str">
        <x:v>Sin error</x:v>
      </x:c>
    </x:row>
    <x:row r="165">
      <x:c r="A165" t="str">
        <x:v>TXN-0000164</x:v>
      </x:c>
      <x:c r="B165" t="str">
        <x:v>2025-08</x:v>
      </x:c>
      <x:c r="C165" t="n">
        <x:v>45878</x:v>
      </x:c>
      <x:c r="D165" t="str">
        <x:v>USR-00035</x:v>
      </x:c>
      <x:c r="E165" t="str">
        <x:v>SUS-000130</x:v>
      </x:c>
      <x:c r="F165" t="str">
        <x:v>Plus mensual</x:v>
      </x:c>
      <x:c r="G165" t="str">
        <x:v>Mensual</x:v>
      </x:c>
      <x:c r="H165" t="n">
        <x:v>1</x:v>
      </x:c>
      <x:c r="I165" t="str">
        <x:v>Rechazado</x:v>
      </x:c>
      <x:c r="J165" t="n">
        <x:v>29900</x:v>
      </x:c>
      <x:c r="K165" t="str">
        <x:v>Tarjeta débito</x:v>
      </x:c>
      <x:c r="L165" t="str">
        <x:v>Error temporal</x:v>
      </x:c>
    </x:row>
    <x:row r="166">
      <x:c r="A166" t="str">
        <x:v>TXN-0000165</x:v>
      </x:c>
      <x:c r="B166" t="str">
        <x:v>2025-08</x:v>
      </x:c>
      <x:c r="C166" t="n">
        <x:v>45879</x:v>
      </x:c>
      <x:c r="D166" t="str">
        <x:v>USR-00035</x:v>
      </x:c>
      <x:c r="E166" t="str">
        <x:v>SUS-000130</x:v>
      </x:c>
      <x:c r="F166" t="str">
        <x:v>Plus mensual</x:v>
      </x:c>
      <x:c r="G166" t="str">
        <x:v>Mensual</x:v>
      </x:c>
      <x:c r="H166" t="n">
        <x:v>2</x:v>
      </x:c>
      <x:c r="I166" t="str">
        <x:v>Aprobado</x:v>
      </x:c>
      <x:c r="J166" t="n">
        <x:v>29900</x:v>
      </x:c>
      <x:c r="K166" t="str">
        <x:v>PSE</x:v>
      </x:c>
      <x:c r="L166" t="str">
        <x:v>Sin error</x:v>
      </x:c>
    </x:row>
    <x:row r="167">
      <x:c r="A167" t="str">
        <x:v>TXN-0000166</x:v>
      </x:c>
      <x:c r="B167" t="str">
        <x:v>2025-08</x:v>
      </x:c>
      <x:c r="C167" t="n">
        <x:v>45875</x:v>
      </x:c>
      <x:c r="D167" t="str">
        <x:v>USR-00042</x:v>
      </x:c>
      <x:c r="E167" t="str">
        <x:v>SUS-000215</x:v>
      </x:c>
      <x:c r="F167" t="str">
        <x:v>Plus mensual</x:v>
      </x:c>
      <x:c r="G167" t="str">
        <x:v>Mensual</x:v>
      </x:c>
      <x:c r="H167" t="n">
        <x:v>1</x:v>
      </x:c>
      <x:c r="I167" t="str">
        <x:v>Aprobado</x:v>
      </x:c>
      <x:c r="J167" t="n">
        <x:v>29900</x:v>
      </x:c>
      <x:c r="K167" t="str">
        <x:v>Tarjeta crédito</x:v>
      </x:c>
      <x:c r="L167" t="str">
        <x:v>Sin error</x:v>
      </x:c>
    </x:row>
    <x:row r="168">
      <x:c r="A168" t="str">
        <x:v>TXN-0000167</x:v>
      </x:c>
      <x:c r="B168" t="str">
        <x:v>2025-08</x:v>
      </x:c>
      <x:c r="C168" t="n">
        <x:v>45876</x:v>
      </x:c>
      <x:c r="D168" t="str">
        <x:v>USR-00048</x:v>
      </x:c>
      <x:c r="E168" t="str">
        <x:v>SUS-000160</x:v>
      </x:c>
      <x:c r="F168" t="str">
        <x:v>Plus mensual</x:v>
      </x:c>
      <x:c r="G168" t="str">
        <x:v>Mensual</x:v>
      </x:c>
      <x:c r="H168" t="n">
        <x:v>1</x:v>
      </x:c>
      <x:c r="I168" t="str">
        <x:v>Aprobado</x:v>
      </x:c>
      <x:c r="J168" t="n">
        <x:v>29900</x:v>
      </x:c>
      <x:c r="K168" t="str">
        <x:v>Tarjeta débito</x:v>
      </x:c>
      <x:c r="L168" t="str">
        <x:v>Sin error</x:v>
      </x:c>
    </x:row>
    <x:row r="169">
      <x:c r="A169" t="str">
        <x:v>TXN-0000168</x:v>
      </x:c>
      <x:c r="B169" t="str">
        <x:v>2025-08</x:v>
      </x:c>
      <x:c r="C169" t="n">
        <x:v>45874</x:v>
      </x:c>
      <x:c r="D169" t="str">
        <x:v>USR-00051</x:v>
      </x:c>
      <x:c r="E169" t="str">
        <x:v>SUS-000055</x:v>
      </x:c>
      <x:c r="F169" t="str">
        <x:v>Plus mensual</x:v>
      </x:c>
      <x:c r="G169" t="str">
        <x:v>Mensual</x:v>
      </x:c>
      <x:c r="H169" t="n">
        <x:v>1</x:v>
      </x:c>
      <x:c r="I169" t="str">
        <x:v>Aprobado</x:v>
      </x:c>
      <x:c r="J169" t="n">
        <x:v>29900</x:v>
      </x:c>
      <x:c r="K169" t="str">
        <x:v>Tarjeta débito</x:v>
      </x:c>
      <x:c r="L169" t="str">
        <x:v>Sin error</x:v>
      </x:c>
    </x:row>
    <x:row r="170">
      <x:c r="A170" t="str">
        <x:v>TXN-0000169</x:v>
      </x:c>
      <x:c r="B170" t="str">
        <x:v>2025-08</x:v>
      </x:c>
      <x:c r="C170" t="n">
        <x:v>45878</x:v>
      </x:c>
      <x:c r="D170" t="str">
        <x:v>USR-00053</x:v>
      </x:c>
      <x:c r="E170" t="str">
        <x:v>SUS-000057</x:v>
      </x:c>
      <x:c r="F170" t="str">
        <x:v>Plus mensual</x:v>
      </x:c>
      <x:c r="G170" t="str">
        <x:v>Mensual</x:v>
      </x:c>
      <x:c r="H170" t="n">
        <x:v>1</x:v>
      </x:c>
      <x:c r="I170" t="str">
        <x:v>Aprobado</x:v>
      </x:c>
      <x:c r="J170" t="n">
        <x:v>29900</x:v>
      </x:c>
      <x:c r="K170" t="str">
        <x:v>PSE</x:v>
      </x:c>
      <x:c r="L170" t="str">
        <x:v>Sin error</x:v>
      </x:c>
    </x:row>
    <x:row r="171">
      <x:c r="A171" t="str">
        <x:v>TXN-0000170</x:v>
      </x:c>
      <x:c r="B171" t="str">
        <x:v>2025-08</x:v>
      </x:c>
      <x:c r="C171" t="n">
        <x:v>45875</x:v>
      </x:c>
      <x:c r="D171" t="str">
        <x:v>USR-00054</x:v>
      </x:c>
      <x:c r="E171" t="str">
        <x:v>SUS-000058</x:v>
      </x:c>
      <x:c r="F171" t="str">
        <x:v>Plus mensual</x:v>
      </x:c>
      <x:c r="G171" t="str">
        <x:v>Mensual</x:v>
      </x:c>
      <x:c r="H171" t="n">
        <x:v>1</x:v>
      </x:c>
      <x:c r="I171" t="str">
        <x:v>Aprobado</x:v>
      </x:c>
      <x:c r="J171" t="n">
        <x:v>29900</x:v>
      </x:c>
      <x:c r="K171" t="str">
        <x:v>Tarjeta débito</x:v>
      </x:c>
      <x:c r="L171" t="str">
        <x:v>Sin error</x:v>
      </x:c>
    </x:row>
    <x:row r="172">
      <x:c r="A172" t="str">
        <x:v>TXN-0000171</x:v>
      </x:c>
      <x:c r="B172" t="str">
        <x:v>2025-08</x:v>
      </x:c>
      <x:c r="C172" t="n">
        <x:v>45879</x:v>
      </x:c>
      <x:c r="D172" t="str">
        <x:v>USR-00061</x:v>
      </x:c>
      <x:c r="E172" t="str">
        <x:v>SUS-000267</x:v>
      </x:c>
      <x:c r="F172" t="str">
        <x:v>Plus mensual</x:v>
      </x:c>
      <x:c r="G172" t="str">
        <x:v>Mensual</x:v>
      </x:c>
      <x:c r="H172" t="n">
        <x:v>1</x:v>
      </x:c>
      <x:c r="I172" t="str">
        <x:v>Rechazado</x:v>
      </x:c>
      <x:c r="J172" t="n">
        <x:v>29900</x:v>
      </x:c>
      <x:c r="K172" t="str">
        <x:v>Tarjeta débito</x:v>
      </x:c>
      <x:c r="L172" t="str">
        <x:v>Fondos insuficientes</x:v>
      </x:c>
    </x:row>
    <x:row r="173">
      <x:c r="A173" t="str">
        <x:v>TXN-0000172</x:v>
      </x:c>
      <x:c r="B173" t="str">
        <x:v>2025-08</x:v>
      </x:c>
      <x:c r="C173" t="n">
        <x:v>45879</x:v>
      </x:c>
      <x:c r="D173" t="str">
        <x:v>USR-00061</x:v>
      </x:c>
      <x:c r="E173" t="str">
        <x:v>SUS-000267</x:v>
      </x:c>
      <x:c r="F173" t="str">
        <x:v>Plus mensual</x:v>
      </x:c>
      <x:c r="G173" t="str">
        <x:v>Mensual</x:v>
      </x:c>
      <x:c r="H173" t="n">
        <x:v>2</x:v>
      </x:c>
      <x:c r="I173" t="str">
        <x:v>Aprobado</x:v>
      </x:c>
      <x:c r="J173" t="n">
        <x:v>29900</x:v>
      </x:c>
      <x:c r="K173" t="str">
        <x:v>Tarjeta crédito</x:v>
      </x:c>
      <x:c r="L173" t="str">
        <x:v>Sin error</x:v>
      </x:c>
    </x:row>
    <x:row r="174">
      <x:c r="A174" t="str">
        <x:v>TXN-0000173</x:v>
      </x:c>
      <x:c r="B174" t="str">
        <x:v>2025-08</x:v>
      </x:c>
      <x:c r="C174" t="n">
        <x:v>45874</x:v>
      </x:c>
      <x:c r="D174" t="str">
        <x:v>USR-00063</x:v>
      </x:c>
      <x:c r="E174" t="str">
        <x:v>SUS-000268</x:v>
      </x:c>
      <x:c r="F174" t="str">
        <x:v>Plus anual</x:v>
      </x:c>
      <x:c r="G174" t="str">
        <x:v>Anual</x:v>
      </x:c>
      <x:c r="H174" t="n">
        <x:v>1</x:v>
      </x:c>
      <x:c r="I174" t="str">
        <x:v>Aprobado</x:v>
      </x:c>
      <x:c r="J174" t="n">
        <x:v>299000</x:v>
      </x:c>
      <x:c r="K174" t="str">
        <x:v>Tarjeta débito</x:v>
      </x:c>
      <x:c r="L174" t="str">
        <x:v>Sin error</x:v>
      </x:c>
    </x:row>
    <x:row r="175">
      <x:c r="A175" t="str">
        <x:v>TXN-0000174</x:v>
      </x:c>
      <x:c r="B175" t="str">
        <x:v>2025-08</x:v>
      </x:c>
      <x:c r="C175" t="n">
        <x:v>45877</x:v>
      </x:c>
      <x:c r="D175" t="str">
        <x:v>USR-00065</x:v>
      </x:c>
      <x:c r="E175" t="str">
        <x:v>SUS-000070</x:v>
      </x:c>
      <x:c r="F175" t="str">
        <x:v>Plus mensual</x:v>
      </x:c>
      <x:c r="G175" t="str">
        <x:v>Mensual</x:v>
      </x:c>
      <x:c r="H175" t="n">
        <x:v>1</x:v>
      </x:c>
      <x:c r="I175" t="str">
        <x:v>Aprobado</x:v>
      </x:c>
      <x:c r="J175" t="n">
        <x:v>29900</x:v>
      </x:c>
      <x:c r="K175" t="str">
        <x:v>Tarjeta crédito</x:v>
      </x:c>
      <x:c r="L175" t="str">
        <x:v>Sin error</x:v>
      </x:c>
    </x:row>
    <x:row r="176">
      <x:c r="A176" t="str">
        <x:v>TXN-0000175</x:v>
      </x:c>
      <x:c r="B176" t="str">
        <x:v>2025-08</x:v>
      </x:c>
      <x:c r="C176" t="n">
        <x:v>45876</x:v>
      </x:c>
      <x:c r="D176" t="str">
        <x:v>USR-00070</x:v>
      </x:c>
      <x:c r="E176" t="str">
        <x:v>SUS-000075</x:v>
      </x:c>
      <x:c r="F176" t="str">
        <x:v>Plus mensual</x:v>
      </x:c>
      <x:c r="G176" t="str">
        <x:v>Mensual</x:v>
      </x:c>
      <x:c r="H176" t="n">
        <x:v>1</x:v>
      </x:c>
      <x:c r="I176" t="str">
        <x:v>Aprobado</x:v>
      </x:c>
      <x:c r="J176" t="n">
        <x:v>29900</x:v>
      </x:c>
      <x:c r="K176" t="str">
        <x:v>Tarjeta crédito</x:v>
      </x:c>
      <x:c r="L176" t="str">
        <x:v>Sin error</x:v>
      </x:c>
    </x:row>
    <x:row r="177">
      <x:c r="A177" t="str">
        <x:v>TXN-0000176</x:v>
      </x:c>
      <x:c r="B177" t="str">
        <x:v>2025-08</x:v>
      </x:c>
      <x:c r="C177" t="n">
        <x:v>45878</x:v>
      </x:c>
      <x:c r="D177" t="str">
        <x:v>USR-00071</x:v>
      </x:c>
      <x:c r="E177" t="str">
        <x:v>SUS-000217</x:v>
      </x:c>
      <x:c r="F177" t="str">
        <x:v>Plus mensual</x:v>
      </x:c>
      <x:c r="G177" t="str">
        <x:v>Mensual</x:v>
      </x:c>
      <x:c r="H177" t="n">
        <x:v>1</x:v>
      </x:c>
      <x:c r="I177" t="str">
        <x:v>Aprobado</x:v>
      </x:c>
      <x:c r="J177" t="n">
        <x:v>29900</x:v>
      </x:c>
      <x:c r="K177" t="str">
        <x:v>Tarjeta crédito</x:v>
      </x:c>
      <x:c r="L177" t="str">
        <x:v>Sin error</x:v>
      </x:c>
    </x:row>
    <x:row r="178">
      <x:c r="A178" t="str">
        <x:v>TXN-0000177</x:v>
      </x:c>
      <x:c r="B178" t="str">
        <x:v>2025-08</x:v>
      </x:c>
      <x:c r="C178" t="n">
        <x:v>45880</x:v>
      </x:c>
      <x:c r="D178" t="str">
        <x:v>USR-00074</x:v>
      </x:c>
      <x:c r="E178" t="str">
        <x:v>SUS-000270</x:v>
      </x:c>
      <x:c r="F178" t="str">
        <x:v>Plus anual</x:v>
      </x:c>
      <x:c r="G178" t="str">
        <x:v>Anual</x:v>
      </x:c>
      <x:c r="H178" t="n">
        <x:v>1</x:v>
      </x:c>
      <x:c r="I178" t="str">
        <x:v>Aprobado</x:v>
      </x:c>
      <x:c r="J178" t="n">
        <x:v>299000</x:v>
      </x:c>
      <x:c r="K178" t="str">
        <x:v>PSE</x:v>
      </x:c>
      <x:c r="L178" t="str">
        <x:v>Sin error</x:v>
      </x:c>
    </x:row>
    <x:row r="179">
      <x:c r="A179" t="str">
        <x:v>TXN-0000178</x:v>
      </x:c>
      <x:c r="B179" t="str">
        <x:v>2025-08</x:v>
      </x:c>
      <x:c r="C179" t="n">
        <x:v>45880</x:v>
      </x:c>
      <x:c r="D179" t="str">
        <x:v>USR-00078</x:v>
      </x:c>
      <x:c r="E179" t="str">
        <x:v>SUS-000083</x:v>
      </x:c>
      <x:c r="F179" t="str">
        <x:v>Plus mensual</x:v>
      </x:c>
      <x:c r="G179" t="str">
        <x:v>Mensual</x:v>
      </x:c>
      <x:c r="H179" t="n">
        <x:v>1</x:v>
      </x:c>
      <x:c r="I179" t="str">
        <x:v>Aprobado</x:v>
      </x:c>
      <x:c r="J179" t="n">
        <x:v>29900</x:v>
      </x:c>
      <x:c r="K179" t="str">
        <x:v>PSE</x:v>
      </x:c>
      <x:c r="L179" t="str">
        <x:v>Sin error</x:v>
      </x:c>
    </x:row>
    <x:row r="180">
      <x:c r="A180" t="str">
        <x:v>TXN-0000179</x:v>
      </x:c>
      <x:c r="B180" t="str">
        <x:v>2025-08</x:v>
      </x:c>
      <x:c r="C180" t="n">
        <x:v>45877</x:v>
      </x:c>
      <x:c r="D180" t="str">
        <x:v>USR-00083</x:v>
      </x:c>
      <x:c r="E180" t="str">
        <x:v>SUS-000218</x:v>
      </x:c>
      <x:c r="F180" t="str">
        <x:v>Plus mensual</x:v>
      </x:c>
      <x:c r="G180" t="str">
        <x:v>Mensual</x:v>
      </x:c>
      <x:c r="H180" t="n">
        <x:v>1</x:v>
      </x:c>
      <x:c r="I180" t="str">
        <x:v>Aprobado</x:v>
      </x:c>
      <x:c r="J180" t="n">
        <x:v>29900</x:v>
      </x:c>
      <x:c r="K180" t="str">
        <x:v>Tarjeta débito</x:v>
      </x:c>
      <x:c r="L180" t="str">
        <x:v>Sin error</x:v>
      </x:c>
    </x:row>
    <x:row r="181">
      <x:c r="A181" t="str">
        <x:v>TXN-0000180</x:v>
      </x:c>
      <x:c r="B181" t="str">
        <x:v>2025-08</x:v>
      </x:c>
      <x:c r="C181" t="n">
        <x:v>45877</x:v>
      </x:c>
      <x:c r="D181" t="str">
        <x:v>USR-00087</x:v>
      </x:c>
      <x:c r="E181" t="str">
        <x:v>SUS-000219</x:v>
      </x:c>
      <x:c r="F181" t="str">
        <x:v>Plus mensual</x:v>
      </x:c>
      <x:c r="G181" t="str">
        <x:v>Mensual</x:v>
      </x:c>
      <x:c r="H181" t="n">
        <x:v>1</x:v>
      </x:c>
      <x:c r="I181" t="str">
        <x:v>Aprobado</x:v>
      </x:c>
      <x:c r="J181" t="n">
        <x:v>29900</x:v>
      </x:c>
      <x:c r="K181" t="str">
        <x:v>Tarjeta débito</x:v>
      </x:c>
      <x:c r="L181" t="str">
        <x:v>Sin error</x:v>
      </x:c>
    </x:row>
    <x:row r="182">
      <x:c r="A182" t="str">
        <x:v>TXN-0000181</x:v>
      </x:c>
      <x:c r="B182" t="str">
        <x:v>2025-08</x:v>
      </x:c>
      <x:c r="C182" t="n">
        <x:v>45879</x:v>
      </x:c>
      <x:c r="D182" t="str">
        <x:v>USR-00091</x:v>
      </x:c>
      <x:c r="E182" t="str">
        <x:v>SUS-000096</x:v>
      </x:c>
      <x:c r="F182" t="str">
        <x:v>Plus mensual</x:v>
      </x:c>
      <x:c r="G182" t="str">
        <x:v>Mensual</x:v>
      </x:c>
      <x:c r="H182" t="n">
        <x:v>1</x:v>
      </x:c>
      <x:c r="I182" t="str">
        <x:v>Aprobado</x:v>
      </x:c>
      <x:c r="J182" t="n">
        <x:v>29900</x:v>
      </x:c>
      <x:c r="K182" t="str">
        <x:v>PSE</x:v>
      </x:c>
      <x:c r="L182" t="str">
        <x:v>Sin error</x:v>
      </x:c>
    </x:row>
    <x:row r="183">
      <x:c r="A183" t="str">
        <x:v>TXN-0000182</x:v>
      </x:c>
      <x:c r="B183" t="str">
        <x:v>2025-08</x:v>
      </x:c>
      <x:c r="C183" t="n">
        <x:v>45874</x:v>
      </x:c>
      <x:c r="D183" t="str">
        <x:v>USR-00096</x:v>
      </x:c>
      <x:c r="E183" t="str">
        <x:v>SUS-000273</x:v>
      </x:c>
      <x:c r="F183" t="str">
        <x:v>Plus mensual</x:v>
      </x:c>
      <x:c r="G183" t="str">
        <x:v>Mensual</x:v>
      </x:c>
      <x:c r="H183" t="n">
        <x:v>1</x:v>
      </x:c>
      <x:c r="I183" t="str">
        <x:v>Aprobado</x:v>
      </x:c>
      <x:c r="J183" t="n">
        <x:v>29900</x:v>
      </x:c>
      <x:c r="K183" t="str">
        <x:v>Tarjeta crédito</x:v>
      </x:c>
      <x:c r="L183" t="str">
        <x:v>Sin error</x:v>
      </x:c>
    </x:row>
    <x:row r="184">
      <x:c r="A184" t="str">
        <x:v>TXN-0000183</x:v>
      </x:c>
      <x:c r="B184" t="str">
        <x:v>2025-08</x:v>
      </x:c>
      <x:c r="C184" t="n">
        <x:v>45881</x:v>
      </x:c>
      <x:c r="D184" t="str">
        <x:v>USR-00100</x:v>
      </x:c>
      <x:c r="E184" t="str">
        <x:v>SUS-000108</x:v>
      </x:c>
      <x:c r="F184" t="str">
        <x:v>Plus mensual</x:v>
      </x:c>
      <x:c r="G184" t="str">
        <x:v>Mensual</x:v>
      </x:c>
      <x:c r="H184" t="n">
        <x:v>1</x:v>
      </x:c>
      <x:c r="I184" t="str">
        <x:v>Aprobado</x:v>
      </x:c>
      <x:c r="J184" t="n">
        <x:v>29900</x:v>
      </x:c>
      <x:c r="K184" t="str">
        <x:v>Tarjeta crédito</x:v>
      </x:c>
      <x:c r="L184" t="str">
        <x:v>Sin error</x:v>
      </x:c>
    </x:row>
    <x:row r="185">
      <x:c r="A185" t="str">
        <x:v>TXN-0000184</x:v>
      </x:c>
      <x:c r="B185" t="str">
        <x:v>2025-08</x:v>
      </x:c>
      <x:c r="C185" t="n">
        <x:v>45875</x:v>
      </x:c>
      <x:c r="D185" t="str">
        <x:v>USR-00107</x:v>
      </x:c>
      <x:c r="E185" t="str">
        <x:v>SUS-000274</x:v>
      </x:c>
      <x:c r="F185" t="str">
        <x:v>Plus mensual</x:v>
      </x:c>
      <x:c r="G185" t="str">
        <x:v>Mensual</x:v>
      </x:c>
      <x:c r="H185" t="n">
        <x:v>1</x:v>
      </x:c>
      <x:c r="I185" t="str">
        <x:v>Aprobado</x:v>
      </x:c>
      <x:c r="J185" t="n">
        <x:v>29900</x:v>
      </x:c>
      <x:c r="K185" t="str">
        <x:v>PSE</x:v>
      </x:c>
      <x:c r="L185" t="str">
        <x:v>Sin error</x:v>
      </x:c>
    </x:row>
    <x:row r="186">
      <x:c r="A186" t="str">
        <x:v>TXN-0000185</x:v>
      </x:c>
      <x:c r="B186" t="str">
        <x:v>2025-08</x:v>
      </x:c>
      <x:c r="C186" t="n">
        <x:v>45878</x:v>
      </x:c>
      <x:c r="D186" t="str">
        <x:v>USR-00121</x:v>
      </x:c>
      <x:c r="E186" t="str">
        <x:v>SUS-000222</x:v>
      </x:c>
      <x:c r="F186" t="str">
        <x:v>Plus mensual</x:v>
      </x:c>
      <x:c r="G186" t="str">
        <x:v>Mensual</x:v>
      </x:c>
      <x:c r="H186" t="n">
        <x:v>1</x:v>
      </x:c>
      <x:c r="I186" t="str">
        <x:v>Aprobado</x:v>
      </x:c>
      <x:c r="J186" t="n">
        <x:v>29900</x:v>
      </x:c>
      <x:c r="K186" t="str">
        <x:v>PSE</x:v>
      </x:c>
      <x:c r="L186" t="str">
        <x:v>Sin error</x:v>
      </x:c>
    </x:row>
    <x:row r="187">
      <x:c r="A187" t="str">
        <x:v>TXN-0000186</x:v>
      </x:c>
      <x:c r="B187" t="str">
        <x:v>2025-08</x:v>
      </x:c>
      <x:c r="C187" t="n">
        <x:v>45876</x:v>
      </x:c>
      <x:c r="D187" t="str">
        <x:v>USR-00123</x:v>
      </x:c>
      <x:c r="E187" t="str">
        <x:v>SUS-000223</x:v>
      </x:c>
      <x:c r="F187" t="str">
        <x:v>Plus mensual</x:v>
      </x:c>
      <x:c r="G187" t="str">
        <x:v>Mensual</x:v>
      </x:c>
      <x:c r="H187" t="n">
        <x:v>1</x:v>
      </x:c>
      <x:c r="I187" t="str">
        <x:v>Aprobado</x:v>
      </x:c>
      <x:c r="J187" t="n">
        <x:v>29900</x:v>
      </x:c>
      <x:c r="K187" t="str">
        <x:v>Tarjeta débito</x:v>
      </x:c>
      <x:c r="L187" t="str">
        <x:v>Sin error</x:v>
      </x:c>
    </x:row>
    <x:row r="188">
      <x:c r="A188" t="str">
        <x:v>TXN-0000187</x:v>
      </x:c>
      <x:c r="B188" t="str">
        <x:v>2025-08</x:v>
      </x:c>
      <x:c r="C188" t="n">
        <x:v>45880</x:v>
      </x:c>
      <x:c r="D188" t="str">
        <x:v>USR-00137</x:v>
      </x:c>
      <x:c r="E188" t="str">
        <x:v>SUS-000275</x:v>
      </x:c>
      <x:c r="F188" t="str">
        <x:v>Plus anual</x:v>
      </x:c>
      <x:c r="G188" t="str">
        <x:v>Anual</x:v>
      </x:c>
      <x:c r="H188" t="n">
        <x:v>1</x:v>
      </x:c>
      <x:c r="I188" t="str">
        <x:v>Aprobado</x:v>
      </x:c>
      <x:c r="J188" t="n">
        <x:v>299000</x:v>
      </x:c>
      <x:c r="K188" t="str">
        <x:v>Tarjeta crédito</x:v>
      </x:c>
      <x:c r="L188" t="str">
        <x:v>Sin error</x:v>
      </x:c>
    </x:row>
    <x:row r="189">
      <x:c r="A189" t="str">
        <x:v>TXN-0000188</x:v>
      </x:c>
      <x:c r="B189" t="str">
        <x:v>2025-08</x:v>
      </x:c>
      <x:c r="C189" t="n">
        <x:v>45874</x:v>
      </x:c>
      <x:c r="D189" t="str">
        <x:v>USR-00143</x:v>
      </x:c>
      <x:c r="E189" t="str">
        <x:v>SUS-000277</x:v>
      </x:c>
      <x:c r="F189" t="str">
        <x:v>Plus mensual</x:v>
      </x:c>
      <x:c r="G189" t="str">
        <x:v>Mensual</x:v>
      </x:c>
      <x:c r="H189" t="n">
        <x:v>1</x:v>
      </x:c>
      <x:c r="I189" t="str">
        <x:v>Aprobado</x:v>
      </x:c>
      <x:c r="J189" t="n">
        <x:v>29900</x:v>
      </x:c>
      <x:c r="K189" t="str">
        <x:v>Tarjeta débito</x:v>
      </x:c>
      <x:c r="L189" t="str">
        <x:v>Sin error</x:v>
      </x:c>
    </x:row>
    <x:row r="190">
      <x:c r="A190" t="str">
        <x:v>TXN-0000189</x:v>
      </x:c>
      <x:c r="B190" t="str">
        <x:v>2025-08</x:v>
      </x:c>
      <x:c r="C190" t="n">
        <x:v>45874</x:v>
      </x:c>
      <x:c r="D190" t="str">
        <x:v>USR-00145</x:v>
      </x:c>
      <x:c r="E190" t="str">
        <x:v>SUS-000168</x:v>
      </x:c>
      <x:c r="F190" t="str">
        <x:v>Plus mensual</x:v>
      </x:c>
      <x:c r="G190" t="str">
        <x:v>Mensual</x:v>
      </x:c>
      <x:c r="H190" t="n">
        <x:v>1</x:v>
      </x:c>
      <x:c r="I190" t="str">
        <x:v>Aprobado</x:v>
      </x:c>
      <x:c r="J190" t="n">
        <x:v>29900</x:v>
      </x:c>
      <x:c r="K190" t="str">
        <x:v>Tarjeta crédito</x:v>
      </x:c>
      <x:c r="L190" t="str">
        <x:v>Sin error</x:v>
      </x:c>
    </x:row>
    <x:row r="191">
      <x:c r="A191" t="str">
        <x:v>TXN-0000190</x:v>
      </x:c>
      <x:c r="B191" t="str">
        <x:v>2025-08</x:v>
      </x:c>
      <x:c r="C191" t="n">
        <x:v>45877</x:v>
      </x:c>
      <x:c r="D191" t="str">
        <x:v>USR-00146</x:v>
      </x:c>
      <x:c r="E191" t="str">
        <x:v>SUS-000169</x:v>
      </x:c>
      <x:c r="F191" t="str">
        <x:v>Plus mensual</x:v>
      </x:c>
      <x:c r="G191" t="str">
        <x:v>Mensual</x:v>
      </x:c>
      <x:c r="H191" t="n">
        <x:v>1</x:v>
      </x:c>
      <x:c r="I191" t="str">
        <x:v>Aprobado</x:v>
      </x:c>
      <x:c r="J191" t="n">
        <x:v>29900</x:v>
      </x:c>
      <x:c r="K191" t="str">
        <x:v>PSE</x:v>
      </x:c>
      <x:c r="L191" t="str">
        <x:v>Sin error</x:v>
      </x:c>
    </x:row>
    <x:row r="192">
      <x:c r="A192" t="str">
        <x:v>TXN-0000191</x:v>
      </x:c>
      <x:c r="B192" t="str">
        <x:v>2025-08</x:v>
      </x:c>
      <x:c r="C192" t="n">
        <x:v>45880</x:v>
      </x:c>
      <x:c r="D192" t="str">
        <x:v>USR-00154</x:v>
      </x:c>
      <x:c r="E192" t="str">
        <x:v>SUS-000278</x:v>
      </x:c>
      <x:c r="F192" t="str">
        <x:v>Plus mensual</x:v>
      </x:c>
      <x:c r="G192" t="str">
        <x:v>Mensual</x:v>
      </x:c>
      <x:c r="H192" t="n">
        <x:v>1</x:v>
      </x:c>
      <x:c r="I192" t="str">
        <x:v>Aprobado</x:v>
      </x:c>
      <x:c r="J192" t="n">
        <x:v>29900</x:v>
      </x:c>
      <x:c r="K192" t="str">
        <x:v>Tarjeta crédito</x:v>
      </x:c>
      <x:c r="L192" t="str">
        <x:v>Sin error</x:v>
      </x:c>
    </x:row>
    <x:row r="193">
      <x:c r="A193" t="str">
        <x:v>TXN-0000192</x:v>
      </x:c>
      <x:c r="B193" t="str">
        <x:v>2025-08</x:v>
      </x:c>
      <x:c r="C193" t="n">
        <x:v>45878</x:v>
      </x:c>
      <x:c r="D193" t="str">
        <x:v>USR-00156</x:v>
      </x:c>
      <x:c r="E193" t="str">
        <x:v>SUS-000224</x:v>
      </x:c>
      <x:c r="F193" t="str">
        <x:v>Plus mensual</x:v>
      </x:c>
      <x:c r="G193" t="str">
        <x:v>Mensual</x:v>
      </x:c>
      <x:c r="H193" t="n">
        <x:v>1</x:v>
      </x:c>
      <x:c r="I193" t="str">
        <x:v>Aprobado</x:v>
      </x:c>
      <x:c r="J193" t="n">
        <x:v>29900</x:v>
      </x:c>
      <x:c r="K193" t="str">
        <x:v>Tarjeta crédito</x:v>
      </x:c>
      <x:c r="L193" t="str">
        <x:v>Sin error</x:v>
      </x:c>
    </x:row>
    <x:row r="194">
      <x:c r="A194" t="str">
        <x:v>TXN-0000193</x:v>
      </x:c>
      <x:c r="B194" t="str">
        <x:v>2025-08</x:v>
      </x:c>
      <x:c r="C194" t="n">
        <x:v>45878</x:v>
      </x:c>
      <x:c r="D194" t="str">
        <x:v>USR-00158</x:v>
      </x:c>
      <x:c r="E194" t="str">
        <x:v>SUS-000181</x:v>
      </x:c>
      <x:c r="F194" t="str">
        <x:v>Plus mensual</x:v>
      </x:c>
      <x:c r="G194" t="str">
        <x:v>Mensual</x:v>
      </x:c>
      <x:c r="H194" t="n">
        <x:v>1</x:v>
      </x:c>
      <x:c r="I194" t="str">
        <x:v>Aprobado</x:v>
      </x:c>
      <x:c r="J194" t="n">
        <x:v>29900</x:v>
      </x:c>
      <x:c r="K194" t="str">
        <x:v>PSE</x:v>
      </x:c>
      <x:c r="L194" t="str">
        <x:v>Sin error</x:v>
      </x:c>
    </x:row>
    <x:row r="195">
      <x:c r="A195" t="str">
        <x:v>TXN-0000194</x:v>
      </x:c>
      <x:c r="B195" t="str">
        <x:v>2025-08</x:v>
      </x:c>
      <x:c r="C195" t="n">
        <x:v>45877</x:v>
      </x:c>
      <x:c r="D195" t="str">
        <x:v>USR-00160</x:v>
      </x:c>
      <x:c r="E195" t="str">
        <x:v>SUS-000279</x:v>
      </x:c>
      <x:c r="F195" t="str">
        <x:v>Plus anual</x:v>
      </x:c>
      <x:c r="G195" t="str">
        <x:v>Anual</x:v>
      </x:c>
      <x:c r="H195" t="n">
        <x:v>1</x:v>
      </x:c>
      <x:c r="I195" t="str">
        <x:v>Aprobado</x:v>
      </x:c>
      <x:c r="J195" t="n">
        <x:v>299000</x:v>
      </x:c>
      <x:c r="K195" t="str">
        <x:v>PSE</x:v>
      </x:c>
      <x:c r="L195" t="str">
        <x:v>Sin error</x:v>
      </x:c>
    </x:row>
    <x:row r="196">
      <x:c r="A196" t="str">
        <x:v>TXN-0000195</x:v>
      </x:c>
      <x:c r="B196" t="str">
        <x:v>2025-08</x:v>
      </x:c>
      <x:c r="C196" t="n">
        <x:v>45879</x:v>
      </x:c>
      <x:c r="D196" t="str">
        <x:v>USR-00162</x:v>
      </x:c>
      <x:c r="E196" t="str">
        <x:v>SUS-000225</x:v>
      </x:c>
      <x:c r="F196" t="str">
        <x:v>Plus mensual</x:v>
      </x:c>
      <x:c r="G196" t="str">
        <x:v>Mensual</x:v>
      </x:c>
      <x:c r="H196" t="n">
        <x:v>1</x:v>
      </x:c>
      <x:c r="I196" t="str">
        <x:v>Rechazado</x:v>
      </x:c>
      <x:c r="J196" t="n">
        <x:v>29900</x:v>
      </x:c>
      <x:c r="K196" t="str">
        <x:v>PSE</x:v>
      </x:c>
      <x:c r="L196" t="str">
        <x:v>Fondos insuficientes</x:v>
      </x:c>
    </x:row>
    <x:row r="197">
      <x:c r="A197" t="str">
        <x:v>TXN-0000196</x:v>
      </x:c>
      <x:c r="B197" t="str">
        <x:v>2025-08</x:v>
      </x:c>
      <x:c r="C197" t="n">
        <x:v>45875</x:v>
      </x:c>
      <x:c r="D197" t="str">
        <x:v>USR-00162</x:v>
      </x:c>
      <x:c r="E197" t="str">
        <x:v>SUS-000225</x:v>
      </x:c>
      <x:c r="F197" t="str">
        <x:v>Plus mensual</x:v>
      </x:c>
      <x:c r="G197" t="str">
        <x:v>Mensual</x:v>
      </x:c>
      <x:c r="H197" t="n">
        <x:v>2</x:v>
      </x:c>
      <x:c r="I197" t="str">
        <x:v>Aprobado</x:v>
      </x:c>
      <x:c r="J197" t="n">
        <x:v>29900</x:v>
      </x:c>
      <x:c r="K197" t="str">
        <x:v>Tarjeta crédito</x:v>
      </x:c>
      <x:c r="L197" t="str">
        <x:v>Sin error</x:v>
      </x:c>
    </x:row>
    <x:row r="198">
      <x:c r="A198" t="str">
        <x:v>TXN-0000197</x:v>
      </x:c>
      <x:c r="B198" t="str">
        <x:v>2025-08</x:v>
      </x:c>
      <x:c r="C198" t="n">
        <x:v>45880</x:v>
      </x:c>
      <x:c r="D198" t="str">
        <x:v>USR-00167</x:v>
      </x:c>
      <x:c r="E198" t="str">
        <x:v>SUS-000226</x:v>
      </x:c>
      <x:c r="F198" t="str">
        <x:v>Plus mensual</x:v>
      </x:c>
      <x:c r="G198" t="str">
        <x:v>Mensual</x:v>
      </x:c>
      <x:c r="H198" t="n">
        <x:v>1</x:v>
      </x:c>
      <x:c r="I198" t="str">
        <x:v>Aprobado</x:v>
      </x:c>
      <x:c r="J198" t="n">
        <x:v>29900</x:v>
      </x:c>
      <x:c r="K198" t="str">
        <x:v>PSE</x:v>
      </x:c>
      <x:c r="L198" t="str">
        <x:v>Sin error</x:v>
      </x:c>
    </x:row>
    <x:row r="199">
      <x:c r="A199" t="str">
        <x:v>TXN-0000198</x:v>
      </x:c>
      <x:c r="B199" t="str">
        <x:v>2025-08</x:v>
      </x:c>
      <x:c r="C199" t="n">
        <x:v>45879</x:v>
      </x:c>
      <x:c r="D199" t="str">
        <x:v>USR-00168</x:v>
      </x:c>
      <x:c r="E199" t="str">
        <x:v>SUS-000191</x:v>
      </x:c>
      <x:c r="F199" t="str">
        <x:v>Plus mensual</x:v>
      </x:c>
      <x:c r="G199" t="str">
        <x:v>Mensual</x:v>
      </x:c>
      <x:c r="H199" t="n">
        <x:v>1</x:v>
      </x:c>
      <x:c r="I199" t="str">
        <x:v>Aprobado</x:v>
      </x:c>
      <x:c r="J199" t="n">
        <x:v>29900</x:v>
      </x:c>
      <x:c r="K199" t="str">
        <x:v>PSE</x:v>
      </x:c>
      <x:c r="L199" t="str">
        <x:v>Sin error</x:v>
      </x:c>
    </x:row>
    <x:row r="200">
      <x:c r="A200" t="str">
        <x:v>TXN-0000199</x:v>
      </x:c>
      <x:c r="B200" t="str">
        <x:v>2025-08</x:v>
      </x:c>
      <x:c r="C200" t="n">
        <x:v>45876</x:v>
      </x:c>
      <x:c r="D200" t="str">
        <x:v>USR-00174</x:v>
      </x:c>
      <x:c r="E200" t="str">
        <x:v>SUS-000280</x:v>
      </x:c>
      <x:c r="F200" t="str">
        <x:v>Plus mensual</x:v>
      </x:c>
      <x:c r="G200" t="str">
        <x:v>Mensual</x:v>
      </x:c>
      <x:c r="H200" t="n">
        <x:v>1</x:v>
      </x:c>
      <x:c r="I200" t="str">
        <x:v>Aprobado</x:v>
      </x:c>
      <x:c r="J200" t="n">
        <x:v>29900</x:v>
      </x:c>
      <x:c r="K200" t="str">
        <x:v>Tarjeta crédito</x:v>
      </x:c>
      <x:c r="L200" t="str">
        <x:v>Sin error</x:v>
      </x:c>
    </x:row>
    <x:row r="201">
      <x:c r="A201" t="str">
        <x:v>TXN-0000200</x:v>
      </x:c>
      <x:c r="B201" t="str">
        <x:v>2025-08</x:v>
      </x:c>
      <x:c r="C201" t="n">
        <x:v>45875</x:v>
      </x:c>
      <x:c r="D201" t="str">
        <x:v>USR-00177</x:v>
      </x:c>
      <x:c r="E201" t="str">
        <x:v>SUS-000200</x:v>
      </x:c>
      <x:c r="F201" t="str">
        <x:v>Plus mensual</x:v>
      </x:c>
      <x:c r="G201" t="str">
        <x:v>Mensual</x:v>
      </x:c>
      <x:c r="H201" t="n">
        <x:v>1</x:v>
      </x:c>
      <x:c r="I201" t="str">
        <x:v>Aprobado</x:v>
      </x:c>
      <x:c r="J201" t="n">
        <x:v>29900</x:v>
      </x:c>
      <x:c r="K201" t="str">
        <x:v>Tarjeta débito</x:v>
      </x:c>
      <x:c r="L201" t="str">
        <x:v>Sin error</x:v>
      </x:c>
    </x:row>
    <x:row r="202">
      <x:c r="A202" t="str">
        <x:v>TXN-0000201</x:v>
      </x:c>
      <x:c r="B202" t="str">
        <x:v>2025-08</x:v>
      </x:c>
      <x:c r="C202" t="n">
        <x:v>45875</x:v>
      </x:c>
      <x:c r="D202" t="str">
        <x:v>USR-00184</x:v>
      </x:c>
      <x:c r="E202" t="str">
        <x:v>SUS-000281</x:v>
      </x:c>
      <x:c r="F202" t="str">
        <x:v>Plus mensual</x:v>
      </x:c>
      <x:c r="G202" t="str">
        <x:v>Mensual</x:v>
      </x:c>
      <x:c r="H202" t="n">
        <x:v>1</x:v>
      </x:c>
      <x:c r="I202" t="str">
        <x:v>Aprobado</x:v>
      </x:c>
      <x:c r="J202" t="n">
        <x:v>29900</x:v>
      </x:c>
      <x:c r="K202" t="str">
        <x:v>Tarjeta crédito</x:v>
      </x:c>
      <x:c r="L202" t="str">
        <x:v>Sin error</x:v>
      </x:c>
    </x:row>
    <x:row r="203">
      <x:c r="A203" t="str">
        <x:v>TXN-0000202</x:v>
      </x:c>
      <x:c r="B203" t="str">
        <x:v>2025-08</x:v>
      </x:c>
      <x:c r="C203" t="n">
        <x:v>45874</x:v>
      </x:c>
      <x:c r="D203" t="str">
        <x:v>USR-00188</x:v>
      </x:c>
      <x:c r="E203" t="str">
        <x:v>SUS-000229</x:v>
      </x:c>
      <x:c r="F203" t="str">
        <x:v>Plus mensual</x:v>
      </x:c>
      <x:c r="G203" t="str">
        <x:v>Mensual</x:v>
      </x:c>
      <x:c r="H203" t="n">
        <x:v>1</x:v>
      </x:c>
      <x:c r="I203" t="str">
        <x:v>Aprobado</x:v>
      </x:c>
      <x:c r="J203" t="n">
        <x:v>29900</x:v>
      </x:c>
      <x:c r="K203" t="str">
        <x:v>PSE</x:v>
      </x:c>
      <x:c r="L203" t="str">
        <x:v>Sin error</x:v>
      </x:c>
    </x:row>
    <x:row r="204">
      <x:c r="A204" t="str">
        <x:v>TXN-0000203</x:v>
      </x:c>
      <x:c r="B204" t="str">
        <x:v>2025-08</x:v>
      </x:c>
      <x:c r="C204" t="n">
        <x:v>45875</x:v>
      </x:c>
      <x:c r="D204" t="str">
        <x:v>USR-00199</x:v>
      </x:c>
      <x:c r="E204" t="str">
        <x:v>SUS-000240</x:v>
      </x:c>
      <x:c r="F204" t="str">
        <x:v>Plus mensual</x:v>
      </x:c>
      <x:c r="G204" t="str">
        <x:v>Mensual</x:v>
      </x:c>
      <x:c r="H204" t="n">
        <x:v>1</x:v>
      </x:c>
      <x:c r="I204" t="str">
        <x:v>Aprobado</x:v>
      </x:c>
      <x:c r="J204" t="n">
        <x:v>29900</x:v>
      </x:c>
      <x:c r="K204" t="str">
        <x:v>PSE</x:v>
      </x:c>
      <x:c r="L204" t="str">
        <x:v>Sin error</x:v>
      </x:c>
    </x:row>
    <x:row r="205">
      <x:c r="A205" t="str">
        <x:v>TXN-0000204</x:v>
      </x:c>
      <x:c r="B205" t="str">
        <x:v>2025-08</x:v>
      </x:c>
      <x:c r="C205" t="n">
        <x:v>45877</x:v>
      </x:c>
      <x:c r="D205" t="str">
        <x:v>USR-00201</x:v>
      </x:c>
      <x:c r="E205" t="str">
        <x:v>SUS-000242</x:v>
      </x:c>
      <x:c r="F205" t="str">
        <x:v>Plus mensual</x:v>
      </x:c>
      <x:c r="G205" t="str">
        <x:v>Mensual</x:v>
      </x:c>
      <x:c r="H205" t="n">
        <x:v>1</x:v>
      </x:c>
      <x:c r="I205" t="str">
        <x:v>Aprobado</x:v>
      </x:c>
      <x:c r="J205" t="n">
        <x:v>29900</x:v>
      </x:c>
      <x:c r="K205" t="str">
        <x:v>PSE</x:v>
      </x:c>
      <x:c r="L205" t="str">
        <x:v>Sin error</x:v>
      </x:c>
    </x:row>
    <x:row r="206">
      <x:c r="A206" t="str">
        <x:v>TXN-0000205</x:v>
      </x:c>
      <x:c r="B206" t="str">
        <x:v>2025-08</x:v>
      </x:c>
      <x:c r="C206" t="n">
        <x:v>45880</x:v>
      </x:c>
      <x:c r="D206" t="str">
        <x:v>USR-00203</x:v>
      </x:c>
      <x:c r="E206" t="str">
        <x:v>SUS-000283</x:v>
      </x:c>
      <x:c r="F206" t="str">
        <x:v>Plus mensual</x:v>
      </x:c>
      <x:c r="G206" t="str">
        <x:v>Mensual</x:v>
      </x:c>
      <x:c r="H206" t="n">
        <x:v>1</x:v>
      </x:c>
      <x:c r="I206" t="str">
        <x:v>Aprobado</x:v>
      </x:c>
      <x:c r="J206" t="n">
        <x:v>29900</x:v>
      </x:c>
      <x:c r="K206" t="str">
        <x:v>Tarjeta débito</x:v>
      </x:c>
      <x:c r="L206" t="str">
        <x:v>Sin error</x:v>
      </x:c>
    </x:row>
    <x:row r="207">
      <x:c r="A207" t="str">
        <x:v>TXN-0000206</x:v>
      </x:c>
      <x:c r="B207" t="str">
        <x:v>2025-08</x:v>
      </x:c>
      <x:c r="C207" t="n">
        <x:v>45875</x:v>
      </x:c>
      <x:c r="D207" t="str">
        <x:v>USR-00205</x:v>
      </x:c>
      <x:c r="E207" t="str">
        <x:v>SUS-000285</x:v>
      </x:c>
      <x:c r="F207" t="str">
        <x:v>Plus mensual</x:v>
      </x:c>
      <x:c r="G207" t="str">
        <x:v>Mensual</x:v>
      </x:c>
      <x:c r="H207" t="n">
        <x:v>1</x:v>
      </x:c>
      <x:c r="I207" t="str">
        <x:v>Aprobado</x:v>
      </x:c>
      <x:c r="J207" t="n">
        <x:v>29900</x:v>
      </x:c>
      <x:c r="K207" t="str">
        <x:v>Tarjeta crédito</x:v>
      </x:c>
      <x:c r="L207" t="str">
        <x:v>Sin error</x:v>
      </x:c>
    </x:row>
    <x:row r="208">
      <x:c r="A208" t="str">
        <x:v>TXN-0000207</x:v>
      </x:c>
      <x:c r="B208" t="str">
        <x:v>2025-08</x:v>
      </x:c>
      <x:c r="C208" t="n">
        <x:v>45878</x:v>
      </x:c>
      <x:c r="D208" t="str">
        <x:v>USR-00214</x:v>
      </x:c>
      <x:c r="E208" t="str">
        <x:v>SUS-000255</x:v>
      </x:c>
      <x:c r="F208" t="str">
        <x:v>Plus mensual</x:v>
      </x:c>
      <x:c r="G208" t="str">
        <x:v>Mensual</x:v>
      </x:c>
      <x:c r="H208" t="n">
        <x:v>1</x:v>
      </x:c>
      <x:c r="I208" t="str">
        <x:v>Aprobado</x:v>
      </x:c>
      <x:c r="J208" t="n">
        <x:v>29900</x:v>
      </x:c>
      <x:c r="K208" t="str">
        <x:v>PSE</x:v>
      </x:c>
      <x:c r="L208" t="str">
        <x:v>Sin error</x:v>
      </x:c>
    </x:row>
    <x:row r="209">
      <x:c r="A209" t="str">
        <x:v>TXN-0000208</x:v>
      </x:c>
      <x:c r="B209" t="str">
        <x:v>2025-08</x:v>
      </x:c>
      <x:c r="C209" t="n">
        <x:v>45875</x:v>
      </x:c>
      <x:c r="D209" t="str">
        <x:v>USR-00220</x:v>
      </x:c>
      <x:c r="E209" t="str">
        <x:v>SUS-000261</x:v>
      </x:c>
      <x:c r="F209" t="str">
        <x:v>Plus mensual</x:v>
      </x:c>
      <x:c r="G209" t="str">
        <x:v>Mensual</x:v>
      </x:c>
      <x:c r="H209" t="n">
        <x:v>1</x:v>
      </x:c>
      <x:c r="I209" t="str">
        <x:v>Aprobado</x:v>
      </x:c>
      <x:c r="J209" t="n">
        <x:v>29900</x:v>
      </x:c>
      <x:c r="K209" t="str">
        <x:v>Tarjeta crédito</x:v>
      </x:c>
      <x:c r="L209" t="str">
        <x:v>Sin error</x:v>
      </x:c>
    </x:row>
    <x:row r="210">
      <x:c r="A210" t="str">
        <x:v>TXN-0000209</x:v>
      </x:c>
      <x:c r="B210" t="str">
        <x:v>2025-08</x:v>
      </x:c>
      <x:c r="C210" t="n">
        <x:v>45880</x:v>
      </x:c>
      <x:c r="D210" t="str">
        <x:v>USR-00223</x:v>
      </x:c>
      <x:c r="E210" t="str">
        <x:v>SUS-000286</x:v>
      </x:c>
      <x:c r="F210" t="str">
        <x:v>Plus anual</x:v>
      </x:c>
      <x:c r="G210" t="str">
        <x:v>Anual</x:v>
      </x:c>
      <x:c r="H210" t="n">
        <x:v>1</x:v>
      </x:c>
      <x:c r="I210" t="str">
        <x:v>Aprobado</x:v>
      </x:c>
      <x:c r="J210" t="n">
        <x:v>299000</x:v>
      </x:c>
      <x:c r="K210" t="str">
        <x:v>Tarjeta débito</x:v>
      </x:c>
      <x:c r="L210" t="str">
        <x:v>Sin error</x:v>
      </x:c>
    </x:row>
    <x:row r="211">
      <x:c r="A211" t="str">
        <x:v>TXN-0000210</x:v>
      </x:c>
      <x:c r="B211" t="str">
        <x:v>2025-08</x:v>
      </x:c>
      <x:c r="C211" t="n">
        <x:v>45875</x:v>
      </x:c>
      <x:c r="D211" t="str">
        <x:v>USR-00224</x:v>
      </x:c>
      <x:c r="E211" t="str">
        <x:v>SUS-000265</x:v>
      </x:c>
      <x:c r="F211" t="str">
        <x:v>Plus mensual</x:v>
      </x:c>
      <x:c r="G211" t="str">
        <x:v>Mensual</x:v>
      </x:c>
      <x:c r="H211" t="n">
        <x:v>1</x:v>
      </x:c>
      <x:c r="I211" t="str">
        <x:v>Aprobado</x:v>
      </x:c>
      <x:c r="J211" t="n">
        <x:v>29900</x:v>
      </x:c>
      <x:c r="K211" t="str">
        <x:v>Tarjeta crédito</x:v>
      </x:c>
      <x:c r="L211" t="str">
        <x:v>Sin error</x:v>
      </x:c>
    </x:row>
    <x:row r="212">
      <x:c r="A212" t="str">
        <x:v>TXN-0000211</x:v>
      </x:c>
      <x:c r="B212" t="str">
        <x:v>2025-08</x:v>
      </x:c>
      <x:c r="C212" t="n">
        <x:v>45878</x:v>
      </x:c>
      <x:c r="D212" t="str">
        <x:v>USR-00225</x:v>
      </x:c>
      <x:c r="E212" t="str">
        <x:v>SUS-000266</x:v>
      </x:c>
      <x:c r="F212" t="str">
        <x:v>Plus mensual</x:v>
      </x:c>
      <x:c r="G212" t="str">
        <x:v>Mensual</x:v>
      </x:c>
      <x:c r="H212" t="n">
        <x:v>1</x:v>
      </x:c>
      <x:c r="I212" t="str">
        <x:v>Aprobado</x:v>
      </x:c>
      <x:c r="J212" t="n">
        <x:v>29900</x:v>
      </x:c>
      <x:c r="K212" t="str">
        <x:v>Tarjeta débito</x:v>
      </x:c>
      <x:c r="L212" t="str">
        <x:v>Sin error</x:v>
      </x:c>
    </x:row>
    <x:row r="213">
      <x:c r="A213" t="str">
        <x:v>TXN-0000212</x:v>
      </x:c>
      <x:c r="B213" t="str">
        <x:v>2025-08</x:v>
      </x:c>
      <x:c r="C213" t="n">
        <x:v>45879</x:v>
      </x:c>
      <x:c r="D213" t="str">
        <x:v>USR-00232</x:v>
      </x:c>
      <x:c r="E213" t="str">
        <x:v>SUS-000293</x:v>
      </x:c>
      <x:c r="F213" t="str">
        <x:v>Plus mensual</x:v>
      </x:c>
      <x:c r="G213" t="str">
        <x:v>Mensual</x:v>
      </x:c>
      <x:c r="H213" t="n">
        <x:v>1</x:v>
      </x:c>
      <x:c r="I213" t="str">
        <x:v>Aprobado</x:v>
      </x:c>
      <x:c r="J213" t="n">
        <x:v>29900</x:v>
      </x:c>
      <x:c r="K213" t="str">
        <x:v>Tarjeta débito</x:v>
      </x:c>
      <x:c r="L213" t="str">
        <x:v>Sin error</x:v>
      </x:c>
    </x:row>
    <x:row r="214">
      <x:c r="A214" t="str">
        <x:v>TXN-0000213</x:v>
      </x:c>
      <x:c r="B214" t="str">
        <x:v>2025-08</x:v>
      </x:c>
      <x:c r="C214" t="n">
        <x:v>45874</x:v>
      </x:c>
      <x:c r="D214" t="str">
        <x:v>USR-00238</x:v>
      </x:c>
      <x:c r="E214" t="str">
        <x:v>SUS-000299</x:v>
      </x:c>
      <x:c r="F214" t="str">
        <x:v>Plus mensual</x:v>
      </x:c>
      <x:c r="G214" t="str">
        <x:v>Mensual</x:v>
      </x:c>
      <x:c r="H214" t="n">
        <x:v>1</x:v>
      </x:c>
      <x:c r="I214" t="str">
        <x:v>Aprobado</x:v>
      </x:c>
      <x:c r="J214" t="n">
        <x:v>29900</x:v>
      </x:c>
      <x:c r="K214" t="str">
        <x:v>PSE</x:v>
      </x:c>
      <x:c r="L214" t="str">
        <x:v>Sin error</x:v>
      </x:c>
    </x:row>
    <x:row r="215">
      <x:c r="A215" t="str">
        <x:v>TXN-0000214</x:v>
      </x:c>
      <x:c r="B215" t="str">
        <x:v>2025-08</x:v>
      </x:c>
      <x:c r="C215" t="n">
        <x:v>45880</x:v>
      </x:c>
      <x:c r="D215" t="str">
        <x:v>USR-00249</x:v>
      </x:c>
      <x:c r="E215" t="str">
        <x:v>SUS-000310</x:v>
      </x:c>
      <x:c r="F215" t="str">
        <x:v>Plus mensual</x:v>
      </x:c>
      <x:c r="G215" t="str">
        <x:v>Mensual</x:v>
      </x:c>
      <x:c r="H215" t="n">
        <x:v>1</x:v>
      </x:c>
      <x:c r="I215" t="str">
        <x:v>Aprobado</x:v>
      </x:c>
      <x:c r="J215" t="n">
        <x:v>29900</x:v>
      </x:c>
      <x:c r="K215" t="str">
        <x:v>Tarjeta débito</x:v>
      </x:c>
      <x:c r="L215" t="str">
        <x:v>Sin error</x:v>
      </x:c>
    </x:row>
    <x:row r="216">
      <x:c r="A216" t="str">
        <x:v>TXN-0000215</x:v>
      </x:c>
      <x:c r="B216" t="str">
        <x:v>2025-08</x:v>
      </x:c>
      <x:c r="C216" t="n">
        <x:v>45874</x:v>
      </x:c>
      <x:c r="D216" t="str">
        <x:v>USR-00254</x:v>
      </x:c>
      <x:c r="E216" t="str">
        <x:v>SUS-000315</x:v>
      </x:c>
      <x:c r="F216" t="str">
        <x:v>Plus mensual</x:v>
      </x:c>
      <x:c r="G216" t="str">
        <x:v>Mensual</x:v>
      </x:c>
      <x:c r="H216" t="n">
        <x:v>1</x:v>
      </x:c>
      <x:c r="I216" t="str">
        <x:v>Aprobado</x:v>
      </x:c>
      <x:c r="J216" t="n">
        <x:v>29900</x:v>
      </x:c>
      <x:c r="K216" t="str">
        <x:v>PSE</x:v>
      </x:c>
      <x:c r="L216" t="str">
        <x:v>Sin error</x:v>
      </x:c>
    </x:row>
    <x:row r="217">
      <x:c r="A217" t="str">
        <x:v>TXN-0000216</x:v>
      </x:c>
      <x:c r="B217" t="str">
        <x:v>2025-08</x:v>
      </x:c>
      <x:c r="C217" t="n">
        <x:v>45877</x:v>
      </x:c>
      <x:c r="D217" t="str">
        <x:v>USR-00255</x:v>
      </x:c>
      <x:c r="E217" t="str">
        <x:v>SUS-000316</x:v>
      </x:c>
      <x:c r="F217" t="str">
        <x:v>Plus mensual</x:v>
      </x:c>
      <x:c r="G217" t="str">
        <x:v>Mensual</x:v>
      </x:c>
      <x:c r="H217" t="n">
        <x:v>1</x:v>
      </x:c>
      <x:c r="I217" t="str">
        <x:v>Aprobado</x:v>
      </x:c>
      <x:c r="J217" t="n">
        <x:v>29900</x:v>
      </x:c>
      <x:c r="K217" t="str">
        <x:v>Tarjeta crédito</x:v>
      </x:c>
      <x:c r="L217" t="str">
        <x:v>Sin error</x:v>
      </x:c>
    </x:row>
    <x:row r="218">
      <x:c r="A218" t="str">
        <x:v>TXN-0000217</x:v>
      </x:c>
      <x:c r="B218" t="str">
        <x:v>2025-09</x:v>
      </x:c>
      <x:c r="C218" t="n">
        <x:v>45905</x:v>
      </x:c>
      <x:c r="D218" t="str">
        <x:v>USR-00002</x:v>
      </x:c>
      <x:c r="E218" t="str">
        <x:v>SUS-000212</x:v>
      </x:c>
      <x:c r="F218" t="str">
        <x:v>Plus mensual</x:v>
      </x:c>
      <x:c r="G218" t="str">
        <x:v>Mensual</x:v>
      </x:c>
      <x:c r="H218" t="n">
        <x:v>1</x:v>
      </x:c>
      <x:c r="I218" t="str">
        <x:v>Aprobado</x:v>
      </x:c>
      <x:c r="J218" t="n">
        <x:v>29900</x:v>
      </x:c>
      <x:c r="K218" t="str">
        <x:v>PSE</x:v>
      </x:c>
      <x:c r="L218" t="str">
        <x:v>Sin error</x:v>
      </x:c>
    </x:row>
    <x:row r="219">
      <x:c r="A219" t="str">
        <x:v>TXN-0000218</x:v>
      </x:c>
      <x:c r="B219" t="str">
        <x:v>2025-09</x:v>
      </x:c>
      <x:c r="C219" t="n">
        <x:v>45908</x:v>
      </x:c>
      <x:c r="D219" t="str">
        <x:v>USR-00003</x:v>
      </x:c>
      <x:c r="E219" t="str">
        <x:v>SUS-000326</x:v>
      </x:c>
      <x:c r="F219" t="str">
        <x:v>Plus anual</x:v>
      </x:c>
      <x:c r="G219" t="str">
        <x:v>Anual</x:v>
      </x:c>
      <x:c r="H219" t="n">
        <x:v>1</x:v>
      </x:c>
      <x:c r="I219" t="str">
        <x:v>Aprobado</x:v>
      </x:c>
      <x:c r="J219" t="n">
        <x:v>299000</x:v>
      </x:c>
      <x:c r="K219" t="str">
        <x:v>Tarjeta crédito</x:v>
      </x:c>
      <x:c r="L219" t="str">
        <x:v>Sin error</x:v>
      </x:c>
    </x:row>
    <x:row r="220">
      <x:c r="A220" t="str">
        <x:v>TXN-0000219</x:v>
      </x:c>
      <x:c r="B220" t="str">
        <x:v>2025-09</x:v>
      </x:c>
      <x:c r="C220" t="n">
        <x:v>45905</x:v>
      </x:c>
      <x:c r="D220" t="str">
        <x:v>USR-00010</x:v>
      </x:c>
      <x:c r="E220" t="str">
        <x:v>SUS-000327</x:v>
      </x:c>
      <x:c r="F220" t="str">
        <x:v>Plus mensual</x:v>
      </x:c>
      <x:c r="G220" t="str">
        <x:v>Mensual</x:v>
      </x:c>
      <x:c r="H220" t="n">
        <x:v>1</x:v>
      </x:c>
      <x:c r="I220" t="str">
        <x:v>Aprobado</x:v>
      </x:c>
      <x:c r="J220" t="n">
        <x:v>29900</x:v>
      </x:c>
      <x:c r="K220" t="str">
        <x:v>Tarjeta débito</x:v>
      </x:c>
      <x:c r="L220" t="str">
        <x:v>Sin error</x:v>
      </x:c>
    </x:row>
    <x:row r="221">
      <x:c r="A221" t="str">
        <x:v>TXN-0000220</x:v>
      </x:c>
      <x:c r="B221" t="str">
        <x:v>2025-09</x:v>
      </x:c>
      <x:c r="C221" t="n">
        <x:v>45911</x:v>
      </x:c>
      <x:c r="D221" t="str">
        <x:v>USR-00018</x:v>
      </x:c>
      <x:c r="E221" t="str">
        <x:v>SUS-000157</x:v>
      </x:c>
      <x:c r="F221" t="str">
        <x:v>Plus mensual</x:v>
      </x:c>
      <x:c r="G221" t="str">
        <x:v>Mensual</x:v>
      </x:c>
      <x:c r="H221" t="n">
        <x:v>1</x:v>
      </x:c>
      <x:c r="I221" t="str">
        <x:v>Aprobado</x:v>
      </x:c>
      <x:c r="J221" t="n">
        <x:v>29900</x:v>
      </x:c>
      <x:c r="K221" t="str">
        <x:v>PSE</x:v>
      </x:c>
      <x:c r="L221" t="str">
        <x:v>Sin error</x:v>
      </x:c>
    </x:row>
    <x:row r="222">
      <x:c r="A222" t="str">
        <x:v>TXN-0000221</x:v>
      </x:c>
      <x:c r="B222" t="str">
        <x:v>2025-09</x:v>
      </x:c>
      <x:c r="C222" t="n">
        <x:v>45907</x:v>
      </x:c>
      <x:c r="D222" t="str">
        <x:v>USR-00019</x:v>
      </x:c>
      <x:c r="E222" t="str">
        <x:v>SUS-000158</x:v>
      </x:c>
      <x:c r="F222" t="str">
        <x:v>Plus mensual</x:v>
      </x:c>
      <x:c r="G222" t="str">
        <x:v>Mensual</x:v>
      </x:c>
      <x:c r="H222" t="n">
        <x:v>1</x:v>
      </x:c>
      <x:c r="I222" t="str">
        <x:v>Aprobado</x:v>
      </x:c>
      <x:c r="J222" t="n">
        <x:v>29900</x:v>
      </x:c>
      <x:c r="K222" t="str">
        <x:v>Tarjeta crédito</x:v>
      </x:c>
      <x:c r="L222" t="str">
        <x:v>Sin error</x:v>
      </x:c>
    </x:row>
    <x:row r="223">
      <x:c r="A223" t="str">
        <x:v>TXN-0000222</x:v>
      </x:c>
      <x:c r="B223" t="str">
        <x:v>2025-09</x:v>
      </x:c>
      <x:c r="C223" t="n">
        <x:v>45906</x:v>
      </x:c>
      <x:c r="D223" t="str">
        <x:v>USR-00021</x:v>
      </x:c>
      <x:c r="E223" t="str">
        <x:v>SUS-000328</x:v>
      </x:c>
      <x:c r="F223" t="str">
        <x:v>Plus anual</x:v>
      </x:c>
      <x:c r="G223" t="str">
        <x:v>Anual</x:v>
      </x:c>
      <x:c r="H223" t="n">
        <x:v>1</x:v>
      </x:c>
      <x:c r="I223" t="str">
        <x:v>Aprobado</x:v>
      </x:c>
      <x:c r="J223" t="n">
        <x:v>299000</x:v>
      </x:c>
      <x:c r="K223" t="str">
        <x:v>Tarjeta débito</x:v>
      </x:c>
      <x:c r="L223" t="str">
        <x:v>Sin error</x:v>
      </x:c>
    </x:row>
    <x:row r="224">
      <x:c r="A224" t="str">
        <x:v>TXN-0000223</x:v>
      </x:c>
      <x:c r="B224" t="str">
        <x:v>2025-09</x:v>
      </x:c>
      <x:c r="C224" t="n">
        <x:v>45911</x:v>
      </x:c>
      <x:c r="D224" t="str">
        <x:v>USR-00026</x:v>
      </x:c>
      <x:c r="E224" t="str">
        <x:v>SUS-000101</x:v>
      </x:c>
      <x:c r="F224" t="str">
        <x:v>Plus mensual</x:v>
      </x:c>
      <x:c r="G224" t="str">
        <x:v>Mensual</x:v>
      </x:c>
      <x:c r="H224" t="n">
        <x:v>1</x:v>
      </x:c>
      <x:c r="I224" t="str">
        <x:v>Aprobado</x:v>
      </x:c>
      <x:c r="J224" t="n">
        <x:v>29900</x:v>
      </x:c>
      <x:c r="K224" t="str">
        <x:v>Tarjeta crédito</x:v>
      </x:c>
      <x:c r="L224" t="str">
        <x:v>Sin error</x:v>
      </x:c>
    </x:row>
    <x:row r="225">
      <x:c r="A225" t="str">
        <x:v>TXN-0000224</x:v>
      </x:c>
      <x:c r="B225" t="str">
        <x:v>2025-09</x:v>
      </x:c>
      <x:c r="C225" t="n">
        <x:v>45907</x:v>
      </x:c>
      <x:c r="D225" t="str">
        <x:v>USR-00035</x:v>
      </x:c>
      <x:c r="E225" t="str">
        <x:v>SUS-000130</x:v>
      </x:c>
      <x:c r="F225" t="str">
        <x:v>Plus mensual</x:v>
      </x:c>
      <x:c r="G225" t="str">
        <x:v>Mensual</x:v>
      </x:c>
      <x:c r="H225" t="n">
        <x:v>1</x:v>
      </x:c>
      <x:c r="I225" t="str">
        <x:v>Aprobado</x:v>
      </x:c>
      <x:c r="J225" t="n">
        <x:v>29900</x:v>
      </x:c>
      <x:c r="K225" t="str">
        <x:v>PSE</x:v>
      </x:c>
      <x:c r="L225" t="str">
        <x:v>Sin error</x:v>
      </x:c>
    </x:row>
    <x:row r="226">
      <x:c r="A226" t="str">
        <x:v>TXN-0000225</x:v>
      </x:c>
      <x:c r="B226" t="str">
        <x:v>2025-09</x:v>
      </x:c>
      <x:c r="C226" t="n">
        <x:v>45906</x:v>
      </x:c>
      <x:c r="D226" t="str">
        <x:v>USR-00036</x:v>
      </x:c>
      <x:c r="E226" t="str">
        <x:v>SUS-000329</x:v>
      </x:c>
      <x:c r="F226" t="str">
        <x:v>Plus mensual</x:v>
      </x:c>
      <x:c r="G226" t="str">
        <x:v>Mensual</x:v>
      </x:c>
      <x:c r="H226" t="n">
        <x:v>1</x:v>
      </x:c>
      <x:c r="I226" t="str">
        <x:v>Aprobado</x:v>
      </x:c>
      <x:c r="J226" t="n">
        <x:v>29900</x:v>
      </x:c>
      <x:c r="K226" t="str">
        <x:v>PSE</x:v>
      </x:c>
      <x:c r="L226" t="str">
        <x:v>Sin error</x:v>
      </x:c>
    </x:row>
    <x:row r="227">
      <x:c r="A227" t="str">
        <x:v>TXN-0000226</x:v>
      </x:c>
      <x:c r="B227" t="str">
        <x:v>2025-09</x:v>
      </x:c>
      <x:c r="C227" t="n">
        <x:v>45906</x:v>
      </x:c>
      <x:c r="D227" t="str">
        <x:v>USR-00042</x:v>
      </x:c>
      <x:c r="E227" t="str">
        <x:v>SUS-000215</x:v>
      </x:c>
      <x:c r="F227" t="str">
        <x:v>Plus mensual</x:v>
      </x:c>
      <x:c r="G227" t="str">
        <x:v>Mensual</x:v>
      </x:c>
      <x:c r="H227" t="n">
        <x:v>1</x:v>
      </x:c>
      <x:c r="I227" t="str">
        <x:v>Aprobado</x:v>
      </x:c>
      <x:c r="J227" t="n">
        <x:v>29900</x:v>
      </x:c>
      <x:c r="K227" t="str">
        <x:v>PSE</x:v>
      </x:c>
      <x:c r="L227" t="str">
        <x:v>Sin error</x:v>
      </x:c>
    </x:row>
    <x:row r="228">
      <x:c r="A228" t="str">
        <x:v>TXN-0000227</x:v>
      </x:c>
      <x:c r="B228" t="str">
        <x:v>2025-09</x:v>
      </x:c>
      <x:c r="C228" t="n">
        <x:v>45912</x:v>
      </x:c>
      <x:c r="D228" t="str">
        <x:v>USR-00048</x:v>
      </x:c>
      <x:c r="E228" t="str">
        <x:v>SUS-000160</x:v>
      </x:c>
      <x:c r="F228" t="str">
        <x:v>Plus mensual</x:v>
      </x:c>
      <x:c r="G228" t="str">
        <x:v>Mensual</x:v>
      </x:c>
      <x:c r="H228" t="n">
        <x:v>1</x:v>
      </x:c>
      <x:c r="I228" t="str">
        <x:v>Aprobado</x:v>
      </x:c>
      <x:c r="J228" t="n">
        <x:v>29900</x:v>
      </x:c>
      <x:c r="K228" t="str">
        <x:v>Tarjeta débito</x:v>
      </x:c>
      <x:c r="L228" t="str">
        <x:v>Sin error</x:v>
      </x:c>
    </x:row>
    <x:row r="229">
      <x:c r="A229" t="str">
        <x:v>TXN-0000228</x:v>
      </x:c>
      <x:c r="B229" t="str">
        <x:v>2025-09</x:v>
      </x:c>
      <x:c r="C229" t="n">
        <x:v>45911</x:v>
      </x:c>
      <x:c r="D229" t="str">
        <x:v>USR-00049</x:v>
      </x:c>
      <x:c r="E229" t="str">
        <x:v>SUS-000330</x:v>
      </x:c>
      <x:c r="F229" t="str">
        <x:v>Plus mensual</x:v>
      </x:c>
      <x:c r="G229" t="str">
        <x:v>Mensual</x:v>
      </x:c>
      <x:c r="H229" t="n">
        <x:v>1</x:v>
      </x:c>
      <x:c r="I229" t="str">
        <x:v>Aprobado</x:v>
      </x:c>
      <x:c r="J229" t="n">
        <x:v>29900</x:v>
      </x:c>
      <x:c r="K229" t="str">
        <x:v>Tarjeta débito</x:v>
      </x:c>
      <x:c r="L229" t="str">
        <x:v>Sin error</x:v>
      </x:c>
    </x:row>
    <x:row r="230">
      <x:c r="A230" t="str">
        <x:v>TXN-0000229</x:v>
      </x:c>
      <x:c r="B230" t="str">
        <x:v>2025-09</x:v>
      </x:c>
      <x:c r="C230" t="n">
        <x:v>45907</x:v>
      </x:c>
      <x:c r="D230" t="str">
        <x:v>USR-00051</x:v>
      </x:c>
      <x:c r="E230" t="str">
        <x:v>SUS-000055</x:v>
      </x:c>
      <x:c r="F230" t="str">
        <x:v>Plus mensual</x:v>
      </x:c>
      <x:c r="G230" t="str">
        <x:v>Mensual</x:v>
      </x:c>
      <x:c r="H230" t="n">
        <x:v>1</x:v>
      </x:c>
      <x:c r="I230" t="str">
        <x:v>Aprobado</x:v>
      </x:c>
      <x:c r="J230" t="n">
        <x:v>29900</x:v>
      </x:c>
      <x:c r="K230" t="str">
        <x:v>Tarjeta crédito</x:v>
      </x:c>
      <x:c r="L230" t="str">
        <x:v>Sin error</x:v>
      </x:c>
    </x:row>
    <x:row r="231">
      <x:c r="A231" t="str">
        <x:v>TXN-0000230</x:v>
      </x:c>
      <x:c r="B231" t="str">
        <x:v>2025-09</x:v>
      </x:c>
      <x:c r="C231" t="n">
        <x:v>45912</x:v>
      </x:c>
      <x:c r="D231" t="str">
        <x:v>USR-00053</x:v>
      </x:c>
      <x:c r="E231" t="str">
        <x:v>SUS-000057</x:v>
      </x:c>
      <x:c r="F231" t="str">
        <x:v>Plus mensual</x:v>
      </x:c>
      <x:c r="G231" t="str">
        <x:v>Mensual</x:v>
      </x:c>
      <x:c r="H231" t="n">
        <x:v>1</x:v>
      </x:c>
      <x:c r="I231" t="str">
        <x:v>Aprobado</x:v>
      </x:c>
      <x:c r="J231" t="n">
        <x:v>29900</x:v>
      </x:c>
      <x:c r="K231" t="str">
        <x:v>Tarjeta débito</x:v>
      </x:c>
      <x:c r="L231" t="str">
        <x:v>Sin error</x:v>
      </x:c>
    </x:row>
    <x:row r="232">
      <x:c r="A232" t="str">
        <x:v>TXN-0000231</x:v>
      </x:c>
      <x:c r="B232" t="str">
        <x:v>2025-09</x:v>
      </x:c>
      <x:c r="C232" t="n">
        <x:v>45906</x:v>
      </x:c>
      <x:c r="D232" t="str">
        <x:v>USR-00061</x:v>
      </x:c>
      <x:c r="E232" t="str">
        <x:v>SUS-000267</x:v>
      </x:c>
      <x:c r="F232" t="str">
        <x:v>Plus mensual</x:v>
      </x:c>
      <x:c r="G232" t="str">
        <x:v>Mensual</x:v>
      </x:c>
      <x:c r="H232" t="n">
        <x:v>1</x:v>
      </x:c>
      <x:c r="I232" t="str">
        <x:v>Aprobado</x:v>
      </x:c>
      <x:c r="J232" t="n">
        <x:v>29900</x:v>
      </x:c>
      <x:c r="K232" t="str">
        <x:v>PSE</x:v>
      </x:c>
      <x:c r="L232" t="str">
        <x:v>Sin error</x:v>
      </x:c>
    </x:row>
    <x:row r="233">
      <x:c r="A233" t="str">
        <x:v>TXN-0000232</x:v>
      </x:c>
      <x:c r="B233" t="str">
        <x:v>2025-09</x:v>
      </x:c>
      <x:c r="C233" t="n">
        <x:v>45909</x:v>
      </x:c>
      <x:c r="D233" t="str">
        <x:v>USR-00062</x:v>
      </x:c>
      <x:c r="E233" t="str">
        <x:v>SUS-000332</x:v>
      </x:c>
      <x:c r="F233" t="str">
        <x:v>Plus anual</x:v>
      </x:c>
      <x:c r="G233" t="str">
        <x:v>Anual</x:v>
      </x:c>
      <x:c r="H233" t="n">
        <x:v>1</x:v>
      </x:c>
      <x:c r="I233" t="str">
        <x:v>Aprobado</x:v>
      </x:c>
      <x:c r="J233" t="n">
        <x:v>299000</x:v>
      </x:c>
      <x:c r="K233" t="str">
        <x:v>Tarjeta débito</x:v>
      </x:c>
      <x:c r="L233" t="str">
        <x:v>Sin error</x:v>
      </x:c>
    </x:row>
    <x:row r="234">
      <x:c r="A234" t="str">
        <x:v>TXN-0000233</x:v>
      </x:c>
      <x:c r="B234" t="str">
        <x:v>2025-09</x:v>
      </x:c>
      <x:c r="C234" t="n">
        <x:v>45907</x:v>
      </x:c>
      <x:c r="D234" t="str">
        <x:v>USR-00064</x:v>
      </x:c>
      <x:c r="E234" t="str">
        <x:v>SUS-000333</x:v>
      </x:c>
      <x:c r="F234" t="str">
        <x:v>Plus mensual</x:v>
      </x:c>
      <x:c r="G234" t="str">
        <x:v>Mensual</x:v>
      </x:c>
      <x:c r="H234" t="n">
        <x:v>1</x:v>
      </x:c>
      <x:c r="I234" t="str">
        <x:v>Rechazado</x:v>
      </x:c>
      <x:c r="J234" t="n">
        <x:v>29900</x:v>
      </x:c>
      <x:c r="K234" t="str">
        <x:v>Tarjeta débito</x:v>
      </x:c>
      <x:c r="L234" t="str">
        <x:v>Declinado por entidad</x:v>
      </x:c>
    </x:row>
    <x:row r="235">
      <x:c r="A235" t="str">
        <x:v>TXN-0000234</x:v>
      </x:c>
      <x:c r="B235" t="str">
        <x:v>2025-09</x:v>
      </x:c>
      <x:c r="C235" t="n">
        <x:v>45905</x:v>
      </x:c>
      <x:c r="D235" t="str">
        <x:v>USR-00064</x:v>
      </x:c>
      <x:c r="E235" t="str">
        <x:v>SUS-000333</x:v>
      </x:c>
      <x:c r="F235" t="str">
        <x:v>Plus mensual</x:v>
      </x:c>
      <x:c r="G235" t="str">
        <x:v>Mensual</x:v>
      </x:c>
      <x:c r="H235" t="n">
        <x:v>2</x:v>
      </x:c>
      <x:c r="I235" t="str">
        <x:v>Aprobado</x:v>
      </x:c>
      <x:c r="J235" t="n">
        <x:v>29900</x:v>
      </x:c>
      <x:c r="K235" t="str">
        <x:v>PSE</x:v>
      </x:c>
      <x:c r="L235" t="str">
        <x:v>Sin error</x:v>
      </x:c>
    </x:row>
    <x:row r="236">
      <x:c r="A236" t="str">
        <x:v>TXN-0000235</x:v>
      </x:c>
      <x:c r="B236" t="str">
        <x:v>2025-09</x:v>
      </x:c>
      <x:c r="C236" t="n">
        <x:v>45908</x:v>
      </x:c>
      <x:c r="D236" t="str">
        <x:v>USR-00065</x:v>
      </x:c>
      <x:c r="E236" t="str">
        <x:v>SUS-000070</x:v>
      </x:c>
      <x:c r="F236" t="str">
        <x:v>Plus mensual</x:v>
      </x:c>
      <x:c r="G236" t="str">
        <x:v>Mensual</x:v>
      </x:c>
      <x:c r="H236" t="n">
        <x:v>1</x:v>
      </x:c>
      <x:c r="I236" t="str">
        <x:v>Aprobado</x:v>
      </x:c>
      <x:c r="J236" t="n">
        <x:v>29900</x:v>
      </x:c>
      <x:c r="K236" t="str">
        <x:v>Tarjeta crédito</x:v>
      </x:c>
      <x:c r="L236" t="str">
        <x:v>Sin error</x:v>
      </x:c>
    </x:row>
    <x:row r="237">
      <x:c r="A237" t="str">
        <x:v>TXN-0000236</x:v>
      </x:c>
      <x:c r="B237" t="str">
        <x:v>2025-09</x:v>
      </x:c>
      <x:c r="C237" t="n">
        <x:v>45910</x:v>
      </x:c>
      <x:c r="D237" t="str">
        <x:v>USR-00071</x:v>
      </x:c>
      <x:c r="E237" t="str">
        <x:v>SUS-000217</x:v>
      </x:c>
      <x:c r="F237" t="str">
        <x:v>Plus mensual</x:v>
      </x:c>
      <x:c r="G237" t="str">
        <x:v>Mensual</x:v>
      </x:c>
      <x:c r="H237" t="n">
        <x:v>1</x:v>
      </x:c>
      <x:c r="I237" t="str">
        <x:v>Aprobado</x:v>
      </x:c>
      <x:c r="J237" t="n">
        <x:v>29900</x:v>
      </x:c>
      <x:c r="K237" t="str">
        <x:v>PSE</x:v>
      </x:c>
      <x:c r="L237" t="str">
        <x:v>Sin error</x:v>
      </x:c>
    </x:row>
    <x:row r="238">
      <x:c r="A238" t="str">
        <x:v>TXN-0000237</x:v>
      </x:c>
      <x:c r="B238" t="str">
        <x:v>2025-09</x:v>
      </x:c>
      <x:c r="C238" t="n">
        <x:v>45906</x:v>
      </x:c>
      <x:c r="D238" t="str">
        <x:v>USR-00073</x:v>
      </x:c>
      <x:c r="E238" t="str">
        <x:v>SUS-000335</x:v>
      </x:c>
      <x:c r="F238" t="str">
        <x:v>Plus mensual</x:v>
      </x:c>
      <x:c r="G238" t="str">
        <x:v>Mensual</x:v>
      </x:c>
      <x:c r="H238" t="n">
        <x:v>1</x:v>
      </x:c>
      <x:c r="I238" t="str">
        <x:v>Aprobado</x:v>
      </x:c>
      <x:c r="J238" t="n">
        <x:v>29900</x:v>
      </x:c>
      <x:c r="K238" t="str">
        <x:v>Tarjeta crédito</x:v>
      </x:c>
      <x:c r="L238" t="str">
        <x:v>Sin error</x:v>
      </x:c>
    </x:row>
    <x:row r="239">
      <x:c r="A239" t="str">
        <x:v>TXN-0000238</x:v>
      </x:c>
      <x:c r="B239" t="str">
        <x:v>2025-09</x:v>
      </x:c>
      <x:c r="C239" t="n">
        <x:v>45911</x:v>
      </x:c>
      <x:c r="D239" t="str">
        <x:v>USR-00078</x:v>
      </x:c>
      <x:c r="E239" t="str">
        <x:v>SUS-000083</x:v>
      </x:c>
      <x:c r="F239" t="str">
        <x:v>Plus mensual</x:v>
      </x:c>
      <x:c r="G239" t="str">
        <x:v>Mensual</x:v>
      </x:c>
      <x:c r="H239" t="n">
        <x:v>1</x:v>
      </x:c>
      <x:c r="I239" t="str">
        <x:v>Aprobado</x:v>
      </x:c>
      <x:c r="J239" t="n">
        <x:v>29900</x:v>
      </x:c>
      <x:c r="K239" t="str">
        <x:v>Tarjeta crédito</x:v>
      </x:c>
      <x:c r="L239" t="str">
        <x:v>Sin error</x:v>
      </x:c>
    </x:row>
    <x:row r="240">
      <x:c r="A240" t="str">
        <x:v>TXN-0000239</x:v>
      </x:c>
      <x:c r="B240" t="str">
        <x:v>2025-09</x:v>
      </x:c>
      <x:c r="C240" t="n">
        <x:v>45906</x:v>
      </x:c>
      <x:c r="D240" t="str">
        <x:v>USR-00079</x:v>
      </x:c>
      <x:c r="E240" t="str">
        <x:v>SUS-000336</x:v>
      </x:c>
      <x:c r="F240" t="str">
        <x:v>Plus mensual</x:v>
      </x:c>
      <x:c r="G240" t="str">
        <x:v>Mensual</x:v>
      </x:c>
      <x:c r="H240" t="n">
        <x:v>1</x:v>
      </x:c>
      <x:c r="I240" t="str">
        <x:v>Aprobado</x:v>
      </x:c>
      <x:c r="J240" t="n">
        <x:v>29900</x:v>
      </x:c>
      <x:c r="K240" t="str">
        <x:v>PSE</x:v>
      </x:c>
      <x:c r="L240" t="str">
        <x:v>Sin error</x:v>
      </x:c>
    </x:row>
    <x:row r="241">
      <x:c r="A241" t="str">
        <x:v>TXN-0000240</x:v>
      </x:c>
      <x:c r="B241" t="str">
        <x:v>2025-09</x:v>
      </x:c>
      <x:c r="C241" t="n">
        <x:v>45912</x:v>
      </x:c>
      <x:c r="D241" t="str">
        <x:v>USR-00083</x:v>
      </x:c>
      <x:c r="E241" t="str">
        <x:v>SUS-000218</x:v>
      </x:c>
      <x:c r="F241" t="str">
        <x:v>Plus mensual</x:v>
      </x:c>
      <x:c r="G241" t="str">
        <x:v>Mensual</x:v>
      </x:c>
      <x:c r="H241" t="n">
        <x:v>1</x:v>
      </x:c>
      <x:c r="I241" t="str">
        <x:v>Aprobado</x:v>
      </x:c>
      <x:c r="J241" t="n">
        <x:v>29900</x:v>
      </x:c>
      <x:c r="K241" t="str">
        <x:v>PSE</x:v>
      </x:c>
      <x:c r="L241" t="str">
        <x:v>Sin error</x:v>
      </x:c>
    </x:row>
    <x:row r="242">
      <x:c r="A242" t="str">
        <x:v>TXN-0000241</x:v>
      </x:c>
      <x:c r="B242" t="str">
        <x:v>2025-09</x:v>
      </x:c>
      <x:c r="C242" t="n">
        <x:v>45912</x:v>
      </x:c>
      <x:c r="D242" t="str">
        <x:v>USR-00087</x:v>
      </x:c>
      <x:c r="E242" t="str">
        <x:v>SUS-000219</x:v>
      </x:c>
      <x:c r="F242" t="str">
        <x:v>Plus mensual</x:v>
      </x:c>
      <x:c r="G242" t="str">
        <x:v>Mensual</x:v>
      </x:c>
      <x:c r="H242" t="n">
        <x:v>1</x:v>
      </x:c>
      <x:c r="I242" t="str">
        <x:v>Aprobado</x:v>
      </x:c>
      <x:c r="J242" t="n">
        <x:v>29900</x:v>
      </x:c>
      <x:c r="K242" t="str">
        <x:v>Tarjeta débito</x:v>
      </x:c>
      <x:c r="L242" t="str">
        <x:v>Sin error</x:v>
      </x:c>
    </x:row>
    <x:row r="243">
      <x:c r="A243" t="str">
        <x:v>TXN-0000242</x:v>
      </x:c>
      <x:c r="B243" t="str">
        <x:v>2025-09</x:v>
      </x:c>
      <x:c r="C243" t="n">
        <x:v>45907</x:v>
      </x:c>
      <x:c r="D243" t="str">
        <x:v>USR-00091</x:v>
      </x:c>
      <x:c r="E243" t="str">
        <x:v>SUS-000096</x:v>
      </x:c>
      <x:c r="F243" t="str">
        <x:v>Plus mensual</x:v>
      </x:c>
      <x:c r="G243" t="str">
        <x:v>Mensual</x:v>
      </x:c>
      <x:c r="H243" t="n">
        <x:v>1</x:v>
      </x:c>
      <x:c r="I243" t="str">
        <x:v>Aprobado</x:v>
      </x:c>
      <x:c r="J243" t="n">
        <x:v>29900</x:v>
      </x:c>
      <x:c r="K243" t="str">
        <x:v>PSE</x:v>
      </x:c>
      <x:c r="L243" t="str">
        <x:v>Sin error</x:v>
      </x:c>
    </x:row>
    <x:row r="244">
      <x:c r="A244" t="str">
        <x:v>TXN-0000243</x:v>
      </x:c>
      <x:c r="B244" t="str">
        <x:v>2025-09</x:v>
      </x:c>
      <x:c r="C244" t="n">
        <x:v>45905</x:v>
      </x:c>
      <x:c r="D244" t="str">
        <x:v>USR-00096</x:v>
      </x:c>
      <x:c r="E244" t="str">
        <x:v>SUS-000273</x:v>
      </x:c>
      <x:c r="F244" t="str">
        <x:v>Plus mensual</x:v>
      </x:c>
      <x:c r="G244" t="str">
        <x:v>Mensual</x:v>
      </x:c>
      <x:c r="H244" t="n">
        <x:v>1</x:v>
      </x:c>
      <x:c r="I244" t="str">
        <x:v>Aprobado</x:v>
      </x:c>
      <x:c r="J244" t="n">
        <x:v>29900</x:v>
      </x:c>
      <x:c r="K244" t="str">
        <x:v>Tarjeta crédito</x:v>
      </x:c>
      <x:c r="L244" t="str">
        <x:v>Sin error</x:v>
      </x:c>
    </x:row>
    <x:row r="245">
      <x:c r="A245" t="str">
        <x:v>TXN-0000244</x:v>
      </x:c>
      <x:c r="B245" t="str">
        <x:v>2025-09</x:v>
      </x:c>
      <x:c r="C245" t="n">
        <x:v>45910</x:v>
      </x:c>
      <x:c r="D245" t="str">
        <x:v>USR-00099</x:v>
      </x:c>
      <x:c r="E245" t="str">
        <x:v>SUS-000337</x:v>
      </x:c>
      <x:c r="F245" t="str">
        <x:v>Plus mensual</x:v>
      </x:c>
      <x:c r="G245" t="str">
        <x:v>Mensual</x:v>
      </x:c>
      <x:c r="H245" t="n">
        <x:v>1</x:v>
      </x:c>
      <x:c r="I245" t="str">
        <x:v>Aprobado</x:v>
      </x:c>
      <x:c r="J245" t="n">
        <x:v>29900</x:v>
      </x:c>
      <x:c r="K245" t="str">
        <x:v>PSE</x:v>
      </x:c>
      <x:c r="L245" t="str">
        <x:v>Sin error</x:v>
      </x:c>
    </x:row>
    <x:row r="246">
      <x:c r="A246" t="str">
        <x:v>TXN-0000245</x:v>
      </x:c>
      <x:c r="B246" t="str">
        <x:v>2025-09</x:v>
      </x:c>
      <x:c r="C246" t="n">
        <x:v>45905</x:v>
      </x:c>
      <x:c r="D246" t="str">
        <x:v>USR-00100</x:v>
      </x:c>
      <x:c r="E246" t="str">
        <x:v>SUS-000108</x:v>
      </x:c>
      <x:c r="F246" t="str">
        <x:v>Plus mensual</x:v>
      </x:c>
      <x:c r="G246" t="str">
        <x:v>Mensual</x:v>
      </x:c>
      <x:c r="H246" t="n">
        <x:v>1</x:v>
      </x:c>
      <x:c r="I246" t="str">
        <x:v>Aprobado</x:v>
      </x:c>
      <x:c r="J246" t="n">
        <x:v>29900</x:v>
      </x:c>
      <x:c r="K246" t="str">
        <x:v>Tarjeta crédito</x:v>
      </x:c>
      <x:c r="L246" t="str">
        <x:v>Sin error</x:v>
      </x:c>
    </x:row>
    <x:row r="247">
      <x:c r="A247" t="str">
        <x:v>TXN-0000246</x:v>
      </x:c>
      <x:c r="B247" t="str">
        <x:v>2025-09</x:v>
      </x:c>
      <x:c r="C247" t="n">
        <x:v>45908</x:v>
      </x:c>
      <x:c r="D247" t="str">
        <x:v>USR-00107</x:v>
      </x:c>
      <x:c r="E247" t="str">
        <x:v>SUS-000338</x:v>
      </x:c>
      <x:c r="F247" t="str">
        <x:v>Plus anual</x:v>
      </x:c>
      <x:c r="G247" t="str">
        <x:v>Anual</x:v>
      </x:c>
      <x:c r="H247" t="n">
        <x:v>1</x:v>
      </x:c>
      <x:c r="I247" t="str">
        <x:v>Aprobado</x:v>
      </x:c>
      <x:c r="J247" t="n">
        <x:v>299000</x:v>
      </x:c>
      <x:c r="K247" t="str">
        <x:v>Tarjeta débito</x:v>
      </x:c>
      <x:c r="L247" t="str">
        <x:v>Sin error</x:v>
      </x:c>
    </x:row>
    <x:row r="248">
      <x:c r="A248" t="str">
        <x:v>TXN-0000247</x:v>
      </x:c>
      <x:c r="B248" t="str">
        <x:v>2025-09</x:v>
      </x:c>
      <x:c r="C248" t="n">
        <x:v>45910</x:v>
      </x:c>
      <x:c r="D248" t="str">
        <x:v>USR-00112</x:v>
      </x:c>
      <x:c r="E248" t="str">
        <x:v>SUS-000339</x:v>
      </x:c>
      <x:c r="F248" t="str">
        <x:v>Plus anual</x:v>
      </x:c>
      <x:c r="G248" t="str">
        <x:v>Anual</x:v>
      </x:c>
      <x:c r="H248" t="n">
        <x:v>1</x:v>
      </x:c>
      <x:c r="I248" t="str">
        <x:v>Aprobado</x:v>
      </x:c>
      <x:c r="J248" t="n">
        <x:v>299000</x:v>
      </x:c>
      <x:c r="K248" t="str">
        <x:v>Tarjeta crédito</x:v>
      </x:c>
      <x:c r="L248" t="str">
        <x:v>Sin error</x:v>
      </x:c>
    </x:row>
    <x:row r="249">
      <x:c r="A249" t="str">
        <x:v>TXN-0000248</x:v>
      </x:c>
      <x:c r="B249" t="str">
        <x:v>2025-09</x:v>
      </x:c>
      <x:c r="C249" t="n">
        <x:v>45905</x:v>
      </x:c>
      <x:c r="D249" t="str">
        <x:v>USR-00119</x:v>
      </x:c>
      <x:c r="E249" t="str">
        <x:v>SUS-000340</x:v>
      </x:c>
      <x:c r="F249" t="str">
        <x:v>Plus mensual</x:v>
      </x:c>
      <x:c r="G249" t="str">
        <x:v>Mensual</x:v>
      </x:c>
      <x:c r="H249" t="n">
        <x:v>1</x:v>
      </x:c>
      <x:c r="I249" t="str">
        <x:v>Aprobado</x:v>
      </x:c>
      <x:c r="J249" t="n">
        <x:v>29900</x:v>
      </x:c>
      <x:c r="K249" t="str">
        <x:v>Tarjeta crédito</x:v>
      </x:c>
      <x:c r="L249" t="str">
        <x:v>Sin error</x:v>
      </x:c>
    </x:row>
    <x:row r="250">
      <x:c r="A250" t="str">
        <x:v>TXN-0000249</x:v>
      </x:c>
      <x:c r="B250" t="str">
        <x:v>2025-09</x:v>
      </x:c>
      <x:c r="C250" t="n">
        <x:v>45907</x:v>
      </x:c>
      <x:c r="D250" t="str">
        <x:v>USR-00121</x:v>
      </x:c>
      <x:c r="E250" t="str">
        <x:v>SUS-000222</x:v>
      </x:c>
      <x:c r="F250" t="str">
        <x:v>Plus mensual</x:v>
      </x:c>
      <x:c r="G250" t="str">
        <x:v>Mensual</x:v>
      </x:c>
      <x:c r="H250" t="n">
        <x:v>1</x:v>
      </x:c>
      <x:c r="I250" t="str">
        <x:v>Aprobado</x:v>
      </x:c>
      <x:c r="J250" t="n">
        <x:v>29900</x:v>
      </x:c>
      <x:c r="K250" t="str">
        <x:v>PSE</x:v>
      </x:c>
      <x:c r="L250" t="str">
        <x:v>Sin error</x:v>
      </x:c>
    </x:row>
    <x:row r="251">
      <x:c r="A251" t="str">
        <x:v>TXN-0000250</x:v>
      </x:c>
      <x:c r="B251" t="str">
        <x:v>2025-09</x:v>
      </x:c>
      <x:c r="C251" t="n">
        <x:v>45905</x:v>
      </x:c>
      <x:c r="D251" t="str">
        <x:v>USR-00123</x:v>
      </x:c>
      <x:c r="E251" t="str">
        <x:v>SUS-000223</x:v>
      </x:c>
      <x:c r="F251" t="str">
        <x:v>Plus mensual</x:v>
      </x:c>
      <x:c r="G251" t="str">
        <x:v>Mensual</x:v>
      </x:c>
      <x:c r="H251" t="n">
        <x:v>1</x:v>
      </x:c>
      <x:c r="I251" t="str">
        <x:v>Aprobado</x:v>
      </x:c>
      <x:c r="J251" t="n">
        <x:v>29900</x:v>
      </x:c>
      <x:c r="K251" t="str">
        <x:v>PSE</x:v>
      </x:c>
      <x:c r="L251" t="str">
        <x:v>Sin error</x:v>
      </x:c>
    </x:row>
    <x:row r="252">
      <x:c r="A252" t="str">
        <x:v>TXN-0000251</x:v>
      </x:c>
      <x:c r="B252" t="str">
        <x:v>2025-09</x:v>
      </x:c>
      <x:c r="C252" t="n">
        <x:v>45912</x:v>
      </x:c>
      <x:c r="D252" t="str">
        <x:v>USR-00143</x:v>
      </x:c>
      <x:c r="E252" t="str">
        <x:v>SUS-000277</x:v>
      </x:c>
      <x:c r="F252" t="str">
        <x:v>Plus mensual</x:v>
      </x:c>
      <x:c r="G252" t="str">
        <x:v>Mensual</x:v>
      </x:c>
      <x:c r="H252" t="n">
        <x:v>1</x:v>
      </x:c>
      <x:c r="I252" t="str">
        <x:v>Aprobado</x:v>
      </x:c>
      <x:c r="J252" t="n">
        <x:v>29900</x:v>
      </x:c>
      <x:c r="K252" t="str">
        <x:v>PSE</x:v>
      </x:c>
      <x:c r="L252" t="str">
        <x:v>Sin error</x:v>
      </x:c>
    </x:row>
    <x:row r="253">
      <x:c r="A253" t="str">
        <x:v>TXN-0000252</x:v>
      </x:c>
      <x:c r="B253" t="str">
        <x:v>2025-09</x:v>
      </x:c>
      <x:c r="C253" t="n">
        <x:v>45912</x:v>
      </x:c>
      <x:c r="D253" t="str">
        <x:v>USR-00145</x:v>
      </x:c>
      <x:c r="E253" t="str">
        <x:v>SUS-000168</x:v>
      </x:c>
      <x:c r="F253" t="str">
        <x:v>Plus mensual</x:v>
      </x:c>
      <x:c r="G253" t="str">
        <x:v>Mensual</x:v>
      </x:c>
      <x:c r="H253" t="n">
        <x:v>1</x:v>
      </x:c>
      <x:c r="I253" t="str">
        <x:v>Aprobado</x:v>
      </x:c>
      <x:c r="J253" t="n">
        <x:v>29900</x:v>
      </x:c>
      <x:c r="K253" t="str">
        <x:v>Tarjeta débito</x:v>
      </x:c>
      <x:c r="L253" t="str">
        <x:v>Sin error</x:v>
      </x:c>
    </x:row>
    <x:row r="254">
      <x:c r="A254" t="str">
        <x:v>TXN-0000253</x:v>
      </x:c>
      <x:c r="B254" t="str">
        <x:v>2025-09</x:v>
      </x:c>
      <x:c r="C254" t="n">
        <x:v>45911</x:v>
      </x:c>
      <x:c r="D254" t="str">
        <x:v>USR-00146</x:v>
      </x:c>
      <x:c r="E254" t="str">
        <x:v>SUS-000169</x:v>
      </x:c>
      <x:c r="F254" t="str">
        <x:v>Plus mensual</x:v>
      </x:c>
      <x:c r="G254" t="str">
        <x:v>Mensual</x:v>
      </x:c>
      <x:c r="H254" t="n">
        <x:v>1</x:v>
      </x:c>
      <x:c r="I254" t="str">
        <x:v>Aprobado</x:v>
      </x:c>
      <x:c r="J254" t="n">
        <x:v>29900</x:v>
      </x:c>
      <x:c r="K254" t="str">
        <x:v>Tarjeta crédito</x:v>
      </x:c>
      <x:c r="L254" t="str">
        <x:v>Sin error</x:v>
      </x:c>
    </x:row>
    <x:row r="255">
      <x:c r="A255" t="str">
        <x:v>TXN-0000254</x:v>
      </x:c>
      <x:c r="B255" t="str">
        <x:v>2025-09</x:v>
      </x:c>
      <x:c r="C255" t="n">
        <x:v>45910</x:v>
      </x:c>
      <x:c r="D255" t="str">
        <x:v>USR-00152</x:v>
      </x:c>
      <x:c r="E255" t="str">
        <x:v>SUS-000341</x:v>
      </x:c>
      <x:c r="F255" t="str">
        <x:v>Plus mensual</x:v>
      </x:c>
      <x:c r="G255" t="str">
        <x:v>Mensual</x:v>
      </x:c>
      <x:c r="H255" t="n">
        <x:v>1</x:v>
      </x:c>
      <x:c r="I255" t="str">
        <x:v>Aprobado</x:v>
      </x:c>
      <x:c r="J255" t="n">
        <x:v>29900</x:v>
      </x:c>
      <x:c r="K255" t="str">
        <x:v>PSE</x:v>
      </x:c>
      <x:c r="L255" t="str">
        <x:v>Sin error</x:v>
      </x:c>
    </x:row>
    <x:row r="256">
      <x:c r="A256" t="str">
        <x:v>TXN-0000255</x:v>
      </x:c>
      <x:c r="B256" t="str">
        <x:v>2025-09</x:v>
      </x:c>
      <x:c r="C256" t="n">
        <x:v>45911</x:v>
      </x:c>
      <x:c r="D256" t="str">
        <x:v>USR-00154</x:v>
      </x:c>
      <x:c r="E256" t="str">
        <x:v>SUS-000278</x:v>
      </x:c>
      <x:c r="F256" t="str">
        <x:v>Plus mensual</x:v>
      </x:c>
      <x:c r="G256" t="str">
        <x:v>Mensual</x:v>
      </x:c>
      <x:c r="H256" t="n">
        <x:v>1</x:v>
      </x:c>
      <x:c r="I256" t="str">
        <x:v>Aprobado</x:v>
      </x:c>
      <x:c r="J256" t="n">
        <x:v>29900</x:v>
      </x:c>
      <x:c r="K256" t="str">
        <x:v>Tarjeta débito</x:v>
      </x:c>
      <x:c r="L256" t="str">
        <x:v>Sin error</x:v>
      </x:c>
    </x:row>
    <x:row r="257">
      <x:c r="A257" t="str">
        <x:v>TXN-0000256</x:v>
      </x:c>
      <x:c r="B257" t="str">
        <x:v>2025-09</x:v>
      </x:c>
      <x:c r="C257" t="n">
        <x:v>45905</x:v>
      </x:c>
      <x:c r="D257" t="str">
        <x:v>USR-00156</x:v>
      </x:c>
      <x:c r="E257" t="str">
        <x:v>SUS-000224</x:v>
      </x:c>
      <x:c r="F257" t="str">
        <x:v>Plus mensual</x:v>
      </x:c>
      <x:c r="G257" t="str">
        <x:v>Mensual</x:v>
      </x:c>
      <x:c r="H257" t="n">
        <x:v>1</x:v>
      </x:c>
      <x:c r="I257" t="str">
        <x:v>Aprobado</x:v>
      </x:c>
      <x:c r="J257" t="n">
        <x:v>29900</x:v>
      </x:c>
      <x:c r="K257" t="str">
        <x:v>Tarjeta débito</x:v>
      </x:c>
      <x:c r="L257" t="str">
        <x:v>Sin error</x:v>
      </x:c>
    </x:row>
    <x:row r="258">
      <x:c r="A258" t="str">
        <x:v>TXN-0000257</x:v>
      </x:c>
      <x:c r="B258" t="str">
        <x:v>2025-09</x:v>
      </x:c>
      <x:c r="C258" t="n">
        <x:v>45909</x:v>
      </x:c>
      <x:c r="D258" t="str">
        <x:v>USR-00157</x:v>
      </x:c>
      <x:c r="E258" t="str">
        <x:v>SUS-000342</x:v>
      </x:c>
      <x:c r="F258" t="str">
        <x:v>Plus anual</x:v>
      </x:c>
      <x:c r="G258" t="str">
        <x:v>Anual</x:v>
      </x:c>
      <x:c r="H258" t="n">
        <x:v>1</x:v>
      </x:c>
      <x:c r="I258" t="str">
        <x:v>Aprobado</x:v>
      </x:c>
      <x:c r="J258" t="n">
        <x:v>299000</x:v>
      </x:c>
      <x:c r="K258" t="str">
        <x:v>Tarjeta débito</x:v>
      </x:c>
      <x:c r="L258" t="str">
        <x:v>Sin error</x:v>
      </x:c>
    </x:row>
    <x:row r="259">
      <x:c r="A259" t="str">
        <x:v>TXN-0000258</x:v>
      </x:c>
      <x:c r="B259" t="str">
        <x:v>2025-09</x:v>
      </x:c>
      <x:c r="C259" t="n">
        <x:v>45907</x:v>
      </x:c>
      <x:c r="D259" t="str">
        <x:v>USR-00158</x:v>
      </x:c>
      <x:c r="E259" t="str">
        <x:v>SUS-000181</x:v>
      </x:c>
      <x:c r="F259" t="str">
        <x:v>Plus mensual</x:v>
      </x:c>
      <x:c r="G259" t="str">
        <x:v>Mensual</x:v>
      </x:c>
      <x:c r="H259" t="n">
        <x:v>1</x:v>
      </x:c>
      <x:c r="I259" t="str">
        <x:v>Aprobado</x:v>
      </x:c>
      <x:c r="J259" t="n">
        <x:v>29900</x:v>
      </x:c>
      <x:c r="K259" t="str">
        <x:v>PSE</x:v>
      </x:c>
      <x:c r="L259" t="str">
        <x:v>Sin error</x:v>
      </x:c>
    </x:row>
    <x:row r="260">
      <x:c r="A260" t="str">
        <x:v>TXN-0000259</x:v>
      </x:c>
      <x:c r="B260" t="str">
        <x:v>2025-09</x:v>
      </x:c>
      <x:c r="C260" t="n">
        <x:v>45906</x:v>
      </x:c>
      <x:c r="D260" t="str">
        <x:v>USR-00159</x:v>
      </x:c>
      <x:c r="E260" t="str">
        <x:v>SUS-000343</x:v>
      </x:c>
      <x:c r="F260" t="str">
        <x:v>Plus anual</x:v>
      </x:c>
      <x:c r="G260" t="str">
        <x:v>Anual</x:v>
      </x:c>
      <x:c r="H260" t="n">
        <x:v>1</x:v>
      </x:c>
      <x:c r="I260" t="str">
        <x:v>Aprobado</x:v>
      </x:c>
      <x:c r="J260" t="n">
        <x:v>299000</x:v>
      </x:c>
      <x:c r="K260" t="str">
        <x:v>Tarjeta débito</x:v>
      </x:c>
      <x:c r="L260" t="str">
        <x:v>Sin error</x:v>
      </x:c>
    </x:row>
    <x:row r="261">
      <x:c r="A261" t="str">
        <x:v>TXN-0000260</x:v>
      </x:c>
      <x:c r="B261" t="str">
        <x:v>2025-09</x:v>
      </x:c>
      <x:c r="C261" t="n">
        <x:v>45909</x:v>
      </x:c>
      <x:c r="D261" t="str">
        <x:v>USR-00162</x:v>
      </x:c>
      <x:c r="E261" t="str">
        <x:v>SUS-000225</x:v>
      </x:c>
      <x:c r="F261" t="str">
        <x:v>Plus mensual</x:v>
      </x:c>
      <x:c r="G261" t="str">
        <x:v>Mensual</x:v>
      </x:c>
      <x:c r="H261" t="n">
        <x:v>1</x:v>
      </x:c>
      <x:c r="I261" t="str">
        <x:v>Aprobado</x:v>
      </x:c>
      <x:c r="J261" t="n">
        <x:v>29900</x:v>
      </x:c>
      <x:c r="K261" t="str">
        <x:v>Tarjeta débito</x:v>
      </x:c>
      <x:c r="L261" t="str">
        <x:v>Sin error</x:v>
      </x:c>
    </x:row>
    <x:row r="262">
      <x:c r="A262" t="str">
        <x:v>TXN-0000261</x:v>
      </x:c>
      <x:c r="B262" t="str">
        <x:v>2025-09</x:v>
      </x:c>
      <x:c r="C262" t="n">
        <x:v>45910</x:v>
      </x:c>
      <x:c r="D262" t="str">
        <x:v>USR-00167</x:v>
      </x:c>
      <x:c r="E262" t="str">
        <x:v>SUS-000226</x:v>
      </x:c>
      <x:c r="F262" t="str">
        <x:v>Plus mensual</x:v>
      </x:c>
      <x:c r="G262" t="str">
        <x:v>Mensual</x:v>
      </x:c>
      <x:c r="H262" t="n">
        <x:v>1</x:v>
      </x:c>
      <x:c r="I262" t="str">
        <x:v>Aprobado</x:v>
      </x:c>
      <x:c r="J262" t="n">
        <x:v>29900</x:v>
      </x:c>
      <x:c r="K262" t="str">
        <x:v>PSE</x:v>
      </x:c>
      <x:c r="L262" t="str">
        <x:v>Sin error</x:v>
      </x:c>
    </x:row>
    <x:row r="263">
      <x:c r="A263" t="str">
        <x:v>TXN-0000262</x:v>
      </x:c>
      <x:c r="B263" t="str">
        <x:v>2025-09</x:v>
      </x:c>
      <x:c r="C263" t="n">
        <x:v>45908</x:v>
      </x:c>
      <x:c r="D263" t="str">
        <x:v>USR-00168</x:v>
      </x:c>
      <x:c r="E263" t="str">
        <x:v>SUS-000191</x:v>
      </x:c>
      <x:c r="F263" t="str">
        <x:v>Plus mensual</x:v>
      </x:c>
      <x:c r="G263" t="str">
        <x:v>Mensual</x:v>
      </x:c>
      <x:c r="H263" t="n">
        <x:v>1</x:v>
      </x:c>
      <x:c r="I263" t="str">
        <x:v>Aprobado</x:v>
      </x:c>
      <x:c r="J263" t="n">
        <x:v>29900</x:v>
      </x:c>
      <x:c r="K263" t="str">
        <x:v>PSE</x:v>
      </x:c>
      <x:c r="L263" t="str">
        <x:v>Sin error</x:v>
      </x:c>
    </x:row>
    <x:row r="264">
      <x:c r="A264" t="str">
        <x:v>TXN-0000263</x:v>
      </x:c>
      <x:c r="B264" t="str">
        <x:v>2025-09</x:v>
      </x:c>
      <x:c r="C264" t="n">
        <x:v>45906</x:v>
      </x:c>
      <x:c r="D264" t="str">
        <x:v>USR-00174</x:v>
      </x:c>
      <x:c r="E264" t="str">
        <x:v>SUS-000280</x:v>
      </x:c>
      <x:c r="F264" t="str">
        <x:v>Plus mensual</x:v>
      </x:c>
      <x:c r="G264" t="str">
        <x:v>Mensual</x:v>
      </x:c>
      <x:c r="H264" t="n">
        <x:v>1</x:v>
      </x:c>
      <x:c r="I264" t="str">
        <x:v>Aprobado</x:v>
      </x:c>
      <x:c r="J264" t="n">
        <x:v>29900</x:v>
      </x:c>
      <x:c r="K264" t="str">
        <x:v>PSE</x:v>
      </x:c>
      <x:c r="L264" t="str">
        <x:v>Sin error</x:v>
      </x:c>
    </x:row>
    <x:row r="265">
      <x:c r="A265" t="str">
        <x:v>TXN-0000264</x:v>
      </x:c>
      <x:c r="B265" t="str">
        <x:v>2025-09</x:v>
      </x:c>
      <x:c r="C265" t="n">
        <x:v>45911</x:v>
      </x:c>
      <x:c r="D265" t="str">
        <x:v>USR-00177</x:v>
      </x:c>
      <x:c r="E265" t="str">
        <x:v>SUS-000200</x:v>
      </x:c>
      <x:c r="F265" t="str">
        <x:v>Plus mensual</x:v>
      </x:c>
      <x:c r="G265" t="str">
        <x:v>Mensual</x:v>
      </x:c>
      <x:c r="H265" t="n">
        <x:v>1</x:v>
      </x:c>
      <x:c r="I265" t="str">
        <x:v>Aprobado</x:v>
      </x:c>
      <x:c r="J265" t="n">
        <x:v>29900</x:v>
      </x:c>
      <x:c r="K265" t="str">
        <x:v>Tarjeta crédito</x:v>
      </x:c>
      <x:c r="L265" t="str">
        <x:v>Sin error</x:v>
      </x:c>
    </x:row>
    <x:row r="266">
      <x:c r="A266" t="str">
        <x:v>TXN-0000265</x:v>
      </x:c>
      <x:c r="B266" t="str">
        <x:v>2025-09</x:v>
      </x:c>
      <x:c r="C266" t="n">
        <x:v>45907</x:v>
      </x:c>
      <x:c r="D266" t="str">
        <x:v>USR-00184</x:v>
      </x:c>
      <x:c r="E266" t="str">
        <x:v>SUS-000281</x:v>
      </x:c>
      <x:c r="F266" t="str">
        <x:v>Plus mensual</x:v>
      </x:c>
      <x:c r="G266" t="str">
        <x:v>Mensual</x:v>
      </x:c>
      <x:c r="H266" t="n">
        <x:v>1</x:v>
      </x:c>
      <x:c r="I266" t="str">
        <x:v>Aprobado</x:v>
      </x:c>
      <x:c r="J266" t="n">
        <x:v>29900</x:v>
      </x:c>
      <x:c r="K266" t="str">
        <x:v>PSE</x:v>
      </x:c>
      <x:c r="L266" t="str">
        <x:v>Sin error</x:v>
      </x:c>
    </x:row>
    <x:row r="267">
      <x:c r="A267" t="str">
        <x:v>TXN-0000266</x:v>
      </x:c>
      <x:c r="B267" t="str">
        <x:v>2025-09</x:v>
      </x:c>
      <x:c r="C267" t="n">
        <x:v>45910</x:v>
      </x:c>
      <x:c r="D267" t="str">
        <x:v>USR-00188</x:v>
      </x:c>
      <x:c r="E267" t="str">
        <x:v>SUS-000229</x:v>
      </x:c>
      <x:c r="F267" t="str">
        <x:v>Plus mensual</x:v>
      </x:c>
      <x:c r="G267" t="str">
        <x:v>Mensual</x:v>
      </x:c>
      <x:c r="H267" t="n">
        <x:v>1</x:v>
      </x:c>
      <x:c r="I267" t="str">
        <x:v>Aprobado</x:v>
      </x:c>
      <x:c r="J267" t="n">
        <x:v>29900</x:v>
      </x:c>
      <x:c r="K267" t="str">
        <x:v>Tarjeta crédito</x:v>
      </x:c>
      <x:c r="L267" t="str">
        <x:v>Sin error</x:v>
      </x:c>
    </x:row>
    <x:row r="268">
      <x:c r="A268" t="str">
        <x:v>TXN-0000267</x:v>
      </x:c>
      <x:c r="B268" t="str">
        <x:v>2025-09</x:v>
      </x:c>
      <x:c r="C268" t="n">
        <x:v>45908</x:v>
      </x:c>
      <x:c r="D268" t="str">
        <x:v>USR-00191</x:v>
      </x:c>
      <x:c r="E268" t="str">
        <x:v>SUS-000344</x:v>
      </x:c>
      <x:c r="F268" t="str">
        <x:v>Plus mensual</x:v>
      </x:c>
      <x:c r="G268" t="str">
        <x:v>Mensual</x:v>
      </x:c>
      <x:c r="H268" t="n">
        <x:v>1</x:v>
      </x:c>
      <x:c r="I268" t="str">
        <x:v>Rechazado</x:v>
      </x:c>
      <x:c r="J268" t="n">
        <x:v>29900</x:v>
      </x:c>
      <x:c r="K268" t="str">
        <x:v>Tarjeta débito</x:v>
      </x:c>
      <x:c r="L268" t="str">
        <x:v>Error temporal</x:v>
      </x:c>
    </x:row>
    <x:row r="269">
      <x:c r="A269" t="str">
        <x:v>TXN-0000268</x:v>
      </x:c>
      <x:c r="B269" t="str">
        <x:v>2025-09</x:v>
      </x:c>
      <x:c r="C269" t="n">
        <x:v>45912</x:v>
      </x:c>
      <x:c r="D269" t="str">
        <x:v>USR-00191</x:v>
      </x:c>
      <x:c r="E269" t="str">
        <x:v>SUS-000344</x:v>
      </x:c>
      <x:c r="F269" t="str">
        <x:v>Plus mensual</x:v>
      </x:c>
      <x:c r="G269" t="str">
        <x:v>Mensual</x:v>
      </x:c>
      <x:c r="H269" t="n">
        <x:v>2</x:v>
      </x:c>
      <x:c r="I269" t="str">
        <x:v>Aprobado</x:v>
      </x:c>
      <x:c r="J269" t="n">
        <x:v>29900</x:v>
      </x:c>
      <x:c r="K269" t="str">
        <x:v>Tarjeta débito</x:v>
      </x:c>
      <x:c r="L269" t="str">
        <x:v>Sin error</x:v>
      </x:c>
    </x:row>
    <x:row r="270">
      <x:c r="A270" t="str">
        <x:v>TXN-0000269</x:v>
      </x:c>
      <x:c r="B270" t="str">
        <x:v>2025-09</x:v>
      </x:c>
      <x:c r="C270" t="n">
        <x:v>45910</x:v>
      </x:c>
      <x:c r="D270" t="str">
        <x:v>USR-00199</x:v>
      </x:c>
      <x:c r="E270" t="str">
        <x:v>SUS-000240</x:v>
      </x:c>
      <x:c r="F270" t="str">
        <x:v>Plus mensual</x:v>
      </x:c>
      <x:c r="G270" t="str">
        <x:v>Mensual</x:v>
      </x:c>
      <x:c r="H270" t="n">
        <x:v>1</x:v>
      </x:c>
      <x:c r="I270" t="str">
        <x:v>Aprobado</x:v>
      </x:c>
      <x:c r="J270" t="n">
        <x:v>29900</x:v>
      </x:c>
      <x:c r="K270" t="str">
        <x:v>PSE</x:v>
      </x:c>
      <x:c r="L270" t="str">
        <x:v>Sin error</x:v>
      </x:c>
    </x:row>
    <x:row r="271">
      <x:c r="A271" t="str">
        <x:v>TXN-0000270</x:v>
      </x:c>
      <x:c r="B271" t="str">
        <x:v>2025-09</x:v>
      </x:c>
      <x:c r="C271" t="n">
        <x:v>45906</x:v>
      </x:c>
      <x:c r="D271" t="str">
        <x:v>USR-00201</x:v>
      </x:c>
      <x:c r="E271" t="str">
        <x:v>SUS-000242</x:v>
      </x:c>
      <x:c r="F271" t="str">
        <x:v>Plus mensual</x:v>
      </x:c>
      <x:c r="G271" t="str">
        <x:v>Mensual</x:v>
      </x:c>
      <x:c r="H271" t="n">
        <x:v>1</x:v>
      </x:c>
      <x:c r="I271" t="str">
        <x:v>Aprobado</x:v>
      </x:c>
      <x:c r="J271" t="n">
        <x:v>29900</x:v>
      </x:c>
      <x:c r="K271" t="str">
        <x:v>Tarjeta crédito</x:v>
      </x:c>
      <x:c r="L271" t="str">
        <x:v>Sin error</x:v>
      </x:c>
    </x:row>
    <x:row r="272">
      <x:c r="A272" t="str">
        <x:v>TXN-0000271</x:v>
      </x:c>
      <x:c r="B272" t="str">
        <x:v>2025-09</x:v>
      </x:c>
      <x:c r="C272" t="n">
        <x:v>45910</x:v>
      </x:c>
      <x:c r="D272" t="str">
        <x:v>USR-00203</x:v>
      </x:c>
      <x:c r="E272" t="str">
        <x:v>SUS-000283</x:v>
      </x:c>
      <x:c r="F272" t="str">
        <x:v>Plus mensual</x:v>
      </x:c>
      <x:c r="G272" t="str">
        <x:v>Mensual</x:v>
      </x:c>
      <x:c r="H272" t="n">
        <x:v>1</x:v>
      </x:c>
      <x:c r="I272" t="str">
        <x:v>Aprobado</x:v>
      </x:c>
      <x:c r="J272" t="n">
        <x:v>29900</x:v>
      </x:c>
      <x:c r="K272" t="str">
        <x:v>Tarjeta crédito</x:v>
      </x:c>
      <x:c r="L272" t="str">
        <x:v>Sin error</x:v>
      </x:c>
    </x:row>
    <x:row r="273">
      <x:c r="A273" t="str">
        <x:v>TXN-0000272</x:v>
      </x:c>
      <x:c r="B273" t="str">
        <x:v>2025-09</x:v>
      </x:c>
      <x:c r="C273" t="n">
        <x:v>45912</x:v>
      </x:c>
      <x:c r="D273" t="str">
        <x:v>USR-00220</x:v>
      </x:c>
      <x:c r="E273" t="str">
        <x:v>SUS-000261</x:v>
      </x:c>
      <x:c r="F273" t="str">
        <x:v>Plus mensual</x:v>
      </x:c>
      <x:c r="G273" t="str">
        <x:v>Mensual</x:v>
      </x:c>
      <x:c r="H273" t="n">
        <x:v>1</x:v>
      </x:c>
      <x:c r="I273" t="str">
        <x:v>Aprobado</x:v>
      </x:c>
      <x:c r="J273" t="n">
        <x:v>29900</x:v>
      </x:c>
      <x:c r="K273" t="str">
        <x:v>Tarjeta débito</x:v>
      </x:c>
      <x:c r="L273" t="str">
        <x:v>Sin error</x:v>
      </x:c>
    </x:row>
    <x:row r="274">
      <x:c r="A274" t="str">
        <x:v>TXN-0000273</x:v>
      </x:c>
      <x:c r="B274" t="str">
        <x:v>2025-09</x:v>
      </x:c>
      <x:c r="C274" t="n">
        <x:v>45907</x:v>
      </x:c>
      <x:c r="D274" t="str">
        <x:v>USR-00222</x:v>
      </x:c>
      <x:c r="E274" t="str">
        <x:v>SIN_SUSCRIPCION</x:v>
      </x:c>
      <x:c r="F274" t="str">
        <x:v>Plus mensual</x:v>
      </x:c>
      <x:c r="G274" t="str">
        <x:v>Mensual</x:v>
      </x:c>
      <x:c r="H274" t="n">
        <x:v>1</x:v>
      </x:c>
      <x:c r="I274" t="str">
        <x:v>Rechazado</x:v>
      </x:c>
      <x:c r="J274" t="n">
        <x:v>29900</x:v>
      </x:c>
      <x:c r="K274" t="str">
        <x:v>Tarjeta débito</x:v>
      </x:c>
      <x:c r="L274" t="str">
        <x:v>Fondos insuficientes</x:v>
      </x:c>
    </x:row>
    <x:row r="275">
      <x:c r="A275" t="str">
        <x:v>TXN-0000274</x:v>
      </x:c>
      <x:c r="B275" t="str">
        <x:v>2025-09</x:v>
      </x:c>
      <x:c r="C275" t="n">
        <x:v>45908</x:v>
      </x:c>
      <x:c r="D275" t="str">
        <x:v>USR-00222</x:v>
      </x:c>
      <x:c r="E275" t="str">
        <x:v>SIN_SUSCRIPCION</x:v>
      </x:c>
      <x:c r="F275" t="str">
        <x:v>Plus mensual</x:v>
      </x:c>
      <x:c r="G275" t="str">
        <x:v>Mensual</x:v>
      </x:c>
      <x:c r="H275" t="n">
        <x:v>2</x:v>
      </x:c>
      <x:c r="I275" t="str">
        <x:v>Rechazado</x:v>
      </x:c>
      <x:c r="J275" t="n">
        <x:v>29900</x:v>
      </x:c>
      <x:c r="K275" t="str">
        <x:v>PSE</x:v>
      </x:c>
      <x:c r="L275" t="str">
        <x:v>Fondos insuficientes</x:v>
      </x:c>
    </x:row>
    <x:row r="276">
      <x:c r="A276" t="str">
        <x:v>TXN-0000275</x:v>
      </x:c>
      <x:c r="B276" t="str">
        <x:v>2025-09</x:v>
      </x:c>
      <x:c r="C276" t="n">
        <x:v>45906</x:v>
      </x:c>
      <x:c r="D276" t="str">
        <x:v>USR-00224</x:v>
      </x:c>
      <x:c r="E276" t="str">
        <x:v>SUS-000265</x:v>
      </x:c>
      <x:c r="F276" t="str">
        <x:v>Plus mensual</x:v>
      </x:c>
      <x:c r="G276" t="str">
        <x:v>Mensual</x:v>
      </x:c>
      <x:c r="H276" t="n">
        <x:v>1</x:v>
      </x:c>
      <x:c r="I276" t="str">
        <x:v>Aprobado</x:v>
      </x:c>
      <x:c r="J276" t="n">
        <x:v>29900</x:v>
      </x:c>
      <x:c r="K276" t="str">
        <x:v>Tarjeta débito</x:v>
      </x:c>
      <x:c r="L276" t="str">
        <x:v>Sin error</x:v>
      </x:c>
    </x:row>
    <x:row r="277">
      <x:c r="A277" t="str">
        <x:v>TXN-0000276</x:v>
      </x:c>
      <x:c r="B277" t="str">
        <x:v>2025-09</x:v>
      </x:c>
      <x:c r="C277" t="n">
        <x:v>45907</x:v>
      </x:c>
      <x:c r="D277" t="str">
        <x:v>USR-00225</x:v>
      </x:c>
      <x:c r="E277" t="str">
        <x:v>SUS-000266</x:v>
      </x:c>
      <x:c r="F277" t="str">
        <x:v>Plus mensual</x:v>
      </x:c>
      <x:c r="G277" t="str">
        <x:v>Mensual</x:v>
      </x:c>
      <x:c r="H277" t="n">
        <x:v>1</x:v>
      </x:c>
      <x:c r="I277" t="str">
        <x:v>Aprobado</x:v>
      </x:c>
      <x:c r="J277" t="n">
        <x:v>29900</x:v>
      </x:c>
      <x:c r="K277" t="str">
        <x:v>Tarjeta crédito</x:v>
      </x:c>
      <x:c r="L277" t="str">
        <x:v>Sin error</x:v>
      </x:c>
    </x:row>
    <x:row r="278">
      <x:c r="A278" t="str">
        <x:v>TXN-0000277</x:v>
      </x:c>
      <x:c r="B278" t="str">
        <x:v>2025-09</x:v>
      </x:c>
      <x:c r="C278" t="n">
        <x:v>45912</x:v>
      </x:c>
      <x:c r="D278" t="str">
        <x:v>USR-00232</x:v>
      </x:c>
      <x:c r="E278" t="str">
        <x:v>SUS-000293</x:v>
      </x:c>
      <x:c r="F278" t="str">
        <x:v>Plus mensual</x:v>
      </x:c>
      <x:c r="G278" t="str">
        <x:v>Mensual</x:v>
      </x:c>
      <x:c r="H278" t="n">
        <x:v>1</x:v>
      </x:c>
      <x:c r="I278" t="str">
        <x:v>Aprobado</x:v>
      </x:c>
      <x:c r="J278" t="n">
        <x:v>29900</x:v>
      </x:c>
      <x:c r="K278" t="str">
        <x:v>PSE</x:v>
      </x:c>
      <x:c r="L278" t="str">
        <x:v>Sin error</x:v>
      </x:c>
    </x:row>
    <x:row r="279">
      <x:c r="A279" t="str">
        <x:v>TXN-0000278</x:v>
      </x:c>
      <x:c r="B279" t="str">
        <x:v>2025-09</x:v>
      </x:c>
      <x:c r="C279" t="n">
        <x:v>45905</x:v>
      </x:c>
      <x:c r="D279" t="str">
        <x:v>USR-00238</x:v>
      </x:c>
      <x:c r="E279" t="str">
        <x:v>SUS-000299</x:v>
      </x:c>
      <x:c r="F279" t="str">
        <x:v>Plus mensual</x:v>
      </x:c>
      <x:c r="G279" t="str">
        <x:v>Mensual</x:v>
      </x:c>
      <x:c r="H279" t="n">
        <x:v>1</x:v>
      </x:c>
      <x:c r="I279" t="str">
        <x:v>Aprobado</x:v>
      </x:c>
      <x:c r="J279" t="n">
        <x:v>29900</x:v>
      </x:c>
      <x:c r="K279" t="str">
        <x:v>PSE</x:v>
      </x:c>
      <x:c r="L279" t="str">
        <x:v>Sin error</x:v>
      </x:c>
    </x:row>
    <x:row r="280">
      <x:c r="A280" t="str">
        <x:v>TXN-0000279</x:v>
      </x:c>
      <x:c r="B280" t="str">
        <x:v>2025-09</x:v>
      </x:c>
      <x:c r="C280" t="n">
        <x:v>45905</x:v>
      </x:c>
      <x:c r="D280" t="str">
        <x:v>USR-00249</x:v>
      </x:c>
      <x:c r="E280" t="str">
        <x:v>SUS-000310</x:v>
      </x:c>
      <x:c r="F280" t="str">
        <x:v>Plus mensual</x:v>
      </x:c>
      <x:c r="G280" t="str">
        <x:v>Mensual</x:v>
      </x:c>
      <x:c r="H280" t="n">
        <x:v>1</x:v>
      </x:c>
      <x:c r="I280" t="str">
        <x:v>Aprobado</x:v>
      </x:c>
      <x:c r="J280" t="n">
        <x:v>29900</x:v>
      </x:c>
      <x:c r="K280" t="str">
        <x:v>Tarjeta débito</x:v>
      </x:c>
      <x:c r="L280" t="str">
        <x:v>Sin error</x:v>
      </x:c>
    </x:row>
    <x:row r="281">
      <x:c r="A281" t="str">
        <x:v>TXN-0000280</x:v>
      </x:c>
      <x:c r="B281" t="str">
        <x:v>2025-09</x:v>
      </x:c>
      <x:c r="C281" t="n">
        <x:v>45910</x:v>
      </x:c>
      <x:c r="D281" t="str">
        <x:v>USR-00254</x:v>
      </x:c>
      <x:c r="E281" t="str">
        <x:v>SUS-000315</x:v>
      </x:c>
      <x:c r="F281" t="str">
        <x:v>Plus mensual</x:v>
      </x:c>
      <x:c r="G281" t="str">
        <x:v>Mensual</x:v>
      </x:c>
      <x:c r="H281" t="n">
        <x:v>1</x:v>
      </x:c>
      <x:c r="I281" t="str">
        <x:v>Aprobado</x:v>
      </x:c>
      <x:c r="J281" t="n">
        <x:v>29900</x:v>
      </x:c>
      <x:c r="K281" t="str">
        <x:v>Tarjeta crédito</x:v>
      </x:c>
      <x:c r="L281" t="str">
        <x:v>Sin error</x:v>
      </x:c>
    </x:row>
    <x:row r="282">
      <x:c r="A282" t="str">
        <x:v>TXN-0000281</x:v>
      </x:c>
      <x:c r="B282" t="str">
        <x:v>2025-09</x:v>
      </x:c>
      <x:c r="C282" t="n">
        <x:v>45907</x:v>
      </x:c>
      <x:c r="D282" t="str">
        <x:v>USR-00255</x:v>
      </x:c>
      <x:c r="E282" t="str">
        <x:v>SUS-000316</x:v>
      </x:c>
      <x:c r="F282" t="str">
        <x:v>Plus mensual</x:v>
      </x:c>
      <x:c r="G282" t="str">
        <x:v>Mensual</x:v>
      </x:c>
      <x:c r="H282" t="n">
        <x:v>1</x:v>
      </x:c>
      <x:c r="I282" t="str">
        <x:v>Aprobado</x:v>
      </x:c>
      <x:c r="J282" t="n">
        <x:v>29900</x:v>
      </x:c>
      <x:c r="K282" t="str">
        <x:v>Tarjeta débito</x:v>
      </x:c>
      <x:c r="L282" t="str">
        <x:v>Sin error</x:v>
      </x:c>
    </x:row>
    <x:row r="283">
      <x:c r="A283" t="str">
        <x:v>TXN-0000282</x:v>
      </x:c>
      <x:c r="B283" t="str">
        <x:v>2025-09</x:v>
      </x:c>
      <x:c r="C283" t="n">
        <x:v>45910</x:v>
      </x:c>
      <x:c r="D283" t="str">
        <x:v>USR-00267</x:v>
      </x:c>
      <x:c r="E283" t="str">
        <x:v>SUS-000349</x:v>
      </x:c>
      <x:c r="F283" t="str">
        <x:v>Plus mensual</x:v>
      </x:c>
      <x:c r="G283" t="str">
        <x:v>Mensual</x:v>
      </x:c>
      <x:c r="H283" t="n">
        <x:v>1</x:v>
      </x:c>
      <x:c r="I283" t="str">
        <x:v>Aprobado</x:v>
      </x:c>
      <x:c r="J283" t="n">
        <x:v>29900</x:v>
      </x:c>
      <x:c r="K283" t="str">
        <x:v>Tarjeta crédito</x:v>
      </x:c>
      <x:c r="L283" t="str">
        <x:v>Sin error</x:v>
      </x:c>
    </x:row>
    <x:row r="284">
      <x:c r="A284" t="str">
        <x:v>TXN-0000283</x:v>
      </x:c>
      <x:c r="B284" t="str">
        <x:v>2025-09</x:v>
      </x:c>
      <x:c r="C284" t="n">
        <x:v>45911</x:v>
      </x:c>
      <x:c r="D284" t="str">
        <x:v>USR-00274</x:v>
      </x:c>
      <x:c r="E284" t="str">
        <x:v>SUS-000356</x:v>
      </x:c>
      <x:c r="F284" t="str">
        <x:v>Plus anual</x:v>
      </x:c>
      <x:c r="G284" t="str">
        <x:v>Anual</x:v>
      </x:c>
      <x:c r="H284" t="n">
        <x:v>1</x:v>
      </x:c>
      <x:c r="I284" t="str">
        <x:v>Aprobado</x:v>
      </x:c>
      <x:c r="J284" t="n">
        <x:v>299000</x:v>
      </x:c>
      <x:c r="K284" t="str">
        <x:v>Tarjeta crédito</x:v>
      </x:c>
      <x:c r="L284" t="str">
        <x:v>Sin error</x:v>
      </x:c>
    </x:row>
    <x:row r="285">
      <x:c r="A285" t="str">
        <x:v>TXN-0000284</x:v>
      </x:c>
      <x:c r="B285" t="str">
        <x:v>2025-09</x:v>
      </x:c>
      <x:c r="C285" t="n">
        <x:v>45910</x:v>
      </x:c>
      <x:c r="D285" t="str">
        <x:v>USR-00275</x:v>
      </x:c>
      <x:c r="E285" t="str">
        <x:v>SUS-000357</x:v>
      </x:c>
      <x:c r="F285" t="str">
        <x:v>Plus mensual</x:v>
      </x:c>
      <x:c r="G285" t="str">
        <x:v>Mensual</x:v>
      </x:c>
      <x:c r="H285" t="n">
        <x:v>1</x:v>
      </x:c>
      <x:c r="I285" t="str">
        <x:v>Aprobado</x:v>
      </x:c>
      <x:c r="J285" t="n">
        <x:v>29900</x:v>
      </x:c>
      <x:c r="K285" t="str">
        <x:v>PSE</x:v>
      </x:c>
      <x:c r="L285" t="str">
        <x:v>Sin error</x:v>
      </x:c>
    </x:row>
    <x:row r="286">
      <x:c r="A286" t="str">
        <x:v>TXN-0000285</x:v>
      </x:c>
      <x:c r="B286" t="str">
        <x:v>2025-09</x:v>
      </x:c>
      <x:c r="C286" t="n">
        <x:v>45909</x:v>
      </x:c>
      <x:c r="D286" t="str">
        <x:v>USR-00286</x:v>
      </x:c>
      <x:c r="E286" t="str">
        <x:v>SUS-000368</x:v>
      </x:c>
      <x:c r="F286" t="str">
        <x:v>Plus mensual</x:v>
      </x:c>
      <x:c r="G286" t="str">
        <x:v>Mensual</x:v>
      </x:c>
      <x:c r="H286" t="n">
        <x:v>1</x:v>
      </x:c>
      <x:c r="I286" t="str">
        <x:v>Aprobado</x:v>
      </x:c>
      <x:c r="J286" t="n">
        <x:v>29900</x:v>
      </x:c>
      <x:c r="K286" t="str">
        <x:v>Tarjeta crédito</x:v>
      </x:c>
      <x:c r="L286" t="str">
        <x:v>Sin error</x:v>
      </x:c>
    </x:row>
    <x:row r="287">
      <x:c r="A287" t="str">
        <x:v>TXN-0000286</x:v>
      </x:c>
      <x:c r="B287" t="str">
        <x:v>2025-09</x:v>
      </x:c>
      <x:c r="C287" t="n">
        <x:v>45905</x:v>
      </x:c>
      <x:c r="D287" t="str">
        <x:v>USR-00289</x:v>
      </x:c>
      <x:c r="E287" t="str">
        <x:v>SUS-000371</x:v>
      </x:c>
      <x:c r="F287" t="str">
        <x:v>Plus mensual</x:v>
      </x:c>
      <x:c r="G287" t="str">
        <x:v>Mensual</x:v>
      </x:c>
      <x:c r="H287" t="n">
        <x:v>1</x:v>
      </x:c>
      <x:c r="I287" t="str">
        <x:v>Aprobado</x:v>
      </x:c>
      <x:c r="J287" t="n">
        <x:v>29900</x:v>
      </x:c>
      <x:c r="K287" t="str">
        <x:v>PSE</x:v>
      </x:c>
      <x:c r="L287" t="str">
        <x:v>Sin error</x:v>
      </x:c>
    </x:row>
    <x:row r="288">
      <x:c r="A288" t="str">
        <x:v>TXN-0000287</x:v>
      </x:c>
      <x:c r="B288" t="str">
        <x:v>2025-10</x:v>
      </x:c>
      <x:c r="C288" t="n">
        <x:v>45942</x:v>
      </x:c>
      <x:c r="D288" t="str">
        <x:v>USR-00002</x:v>
      </x:c>
      <x:c r="E288" t="str">
        <x:v>SUS-000212</x:v>
      </x:c>
      <x:c r="F288" t="str">
        <x:v>Plus mensual</x:v>
      </x:c>
      <x:c r="G288" t="str">
        <x:v>Mensual</x:v>
      </x:c>
      <x:c r="H288" t="n">
        <x:v>1</x:v>
      </x:c>
      <x:c r="I288" t="str">
        <x:v>Aprobado</x:v>
      </x:c>
      <x:c r="J288" t="n">
        <x:v>29900</x:v>
      </x:c>
      <x:c r="K288" t="str">
        <x:v>Tarjeta crédito</x:v>
      </x:c>
      <x:c r="L288" t="str">
        <x:v>Sin error</x:v>
      </x:c>
    </x:row>
    <x:row r="289">
      <x:c r="A289" t="str">
        <x:v>TXN-0000288</x:v>
      </x:c>
      <x:c r="B289" t="str">
        <x:v>2025-10</x:v>
      </x:c>
      <x:c r="C289" t="n">
        <x:v>45936</x:v>
      </x:c>
      <x:c r="D289" t="str">
        <x:v>USR-00010</x:v>
      </x:c>
      <x:c r="E289" t="str">
        <x:v>SUS-000327</x:v>
      </x:c>
      <x:c r="F289" t="str">
        <x:v>Plus mensual</x:v>
      </x:c>
      <x:c r="G289" t="str">
        <x:v>Mensual</x:v>
      </x:c>
      <x:c r="H289" t="n">
        <x:v>1</x:v>
      </x:c>
      <x:c r="I289" t="str">
        <x:v>Aprobado</x:v>
      </x:c>
      <x:c r="J289" t="n">
        <x:v>29900</x:v>
      </x:c>
      <x:c r="K289" t="str">
        <x:v>Tarjeta débito</x:v>
      </x:c>
      <x:c r="L289" t="str">
        <x:v>Sin error</x:v>
      </x:c>
    </x:row>
    <x:row r="290">
      <x:c r="A290" t="str">
        <x:v>TXN-0000289</x:v>
      </x:c>
      <x:c r="B290" t="str">
        <x:v>2025-10</x:v>
      </x:c>
      <x:c r="C290" t="n">
        <x:v>45937</x:v>
      </x:c>
      <x:c r="D290" t="str">
        <x:v>USR-00018</x:v>
      </x:c>
      <x:c r="E290" t="str">
        <x:v>SUS-000157</x:v>
      </x:c>
      <x:c r="F290" t="str">
        <x:v>Plus mensual</x:v>
      </x:c>
      <x:c r="G290" t="str">
        <x:v>Mensual</x:v>
      </x:c>
      <x:c r="H290" t="n">
        <x:v>1</x:v>
      </x:c>
      <x:c r="I290" t="str">
        <x:v>Rechazado</x:v>
      </x:c>
      <x:c r="J290" t="n">
        <x:v>29900</x:v>
      </x:c>
      <x:c r="K290" t="str">
        <x:v>PSE</x:v>
      </x:c>
      <x:c r="L290" t="str">
        <x:v>Fondos insuficientes</x:v>
      </x:c>
    </x:row>
    <x:row r="291">
      <x:c r="A291" t="str">
        <x:v>TXN-0000290</x:v>
      </x:c>
      <x:c r="B291" t="str">
        <x:v>2025-10</x:v>
      </x:c>
      <x:c r="C291" t="n">
        <x:v>45941</x:v>
      </x:c>
      <x:c r="D291" t="str">
        <x:v>USR-00018</x:v>
      </x:c>
      <x:c r="E291" t="str">
        <x:v>SUS-000157</x:v>
      </x:c>
      <x:c r="F291" t="str">
        <x:v>Plus mensual</x:v>
      </x:c>
      <x:c r="G291" t="str">
        <x:v>Mensual</x:v>
      </x:c>
      <x:c r="H291" t="n">
        <x:v>2</x:v>
      </x:c>
      <x:c r="I291" t="str">
        <x:v>Aprobado</x:v>
      </x:c>
      <x:c r="J291" t="n">
        <x:v>29900</x:v>
      </x:c>
      <x:c r="K291" t="str">
        <x:v>Tarjeta débito</x:v>
      </x:c>
      <x:c r="L291" t="str">
        <x:v>Sin error</x:v>
      </x:c>
    </x:row>
    <x:row r="292">
      <x:c r="A292" t="str">
        <x:v>TXN-0000291</x:v>
      </x:c>
      <x:c r="B292" t="str">
        <x:v>2025-10</x:v>
      </x:c>
      <x:c r="C292" t="n">
        <x:v>45942</x:v>
      </x:c>
      <x:c r="D292" t="str">
        <x:v>USR-00019</x:v>
      </x:c>
      <x:c r="E292" t="str">
        <x:v>SUS-000158</x:v>
      </x:c>
      <x:c r="F292" t="str">
        <x:v>Plus mensual</x:v>
      </x:c>
      <x:c r="G292" t="str">
        <x:v>Mensual</x:v>
      </x:c>
      <x:c r="H292" t="n">
        <x:v>1</x:v>
      </x:c>
      <x:c r="I292" t="str">
        <x:v>Aprobado</x:v>
      </x:c>
      <x:c r="J292" t="n">
        <x:v>29900</x:v>
      </x:c>
      <x:c r="K292" t="str">
        <x:v>PSE</x:v>
      </x:c>
      <x:c r="L292" t="str">
        <x:v>Sin error</x:v>
      </x:c>
    </x:row>
    <x:row r="293">
      <x:c r="A293" t="str">
        <x:v>TXN-0000292</x:v>
      </x:c>
      <x:c r="B293" t="str">
        <x:v>2025-10</x:v>
      </x:c>
      <x:c r="C293" t="n">
        <x:v>45939</x:v>
      </x:c>
      <x:c r="D293" t="str">
        <x:v>USR-00026</x:v>
      </x:c>
      <x:c r="E293" t="str">
        <x:v>SUS-000101</x:v>
      </x:c>
      <x:c r="F293" t="str">
        <x:v>Plus mensual</x:v>
      </x:c>
      <x:c r="G293" t="str">
        <x:v>Mensual</x:v>
      </x:c>
      <x:c r="H293" t="n">
        <x:v>1</x:v>
      </x:c>
      <x:c r="I293" t="str">
        <x:v>Rechazado</x:v>
      </x:c>
      <x:c r="J293" t="n">
        <x:v>29900</x:v>
      </x:c>
      <x:c r="K293" t="str">
        <x:v>PSE</x:v>
      </x:c>
      <x:c r="L293" t="str">
        <x:v>Fondos insuficientes</x:v>
      </x:c>
    </x:row>
    <x:row r="294">
      <x:c r="A294" t="str">
        <x:v>TXN-0000293</x:v>
      </x:c>
      <x:c r="B294" t="str">
        <x:v>2025-10</x:v>
      </x:c>
      <x:c r="C294" t="n">
        <x:v>45942</x:v>
      </x:c>
      <x:c r="D294" t="str">
        <x:v>USR-00026</x:v>
      </x:c>
      <x:c r="E294" t="str">
        <x:v>SUS-000101</x:v>
      </x:c>
      <x:c r="F294" t="str">
        <x:v>Plus mensual</x:v>
      </x:c>
      <x:c r="G294" t="str">
        <x:v>Mensual</x:v>
      </x:c>
      <x:c r="H294" t="n">
        <x:v>2</x:v>
      </x:c>
      <x:c r="I294" t="str">
        <x:v>Aprobado</x:v>
      </x:c>
      <x:c r="J294" t="n">
        <x:v>29900</x:v>
      </x:c>
      <x:c r="K294" t="str">
        <x:v>Tarjeta crédito</x:v>
      </x:c>
      <x:c r="L294" t="str">
        <x:v>Sin error</x:v>
      </x:c>
    </x:row>
    <x:row r="295">
      <x:c r="A295" t="str">
        <x:v>TXN-0000294</x:v>
      </x:c>
      <x:c r="B295" t="str">
        <x:v>2025-10</x:v>
      </x:c>
      <x:c r="C295" t="n">
        <x:v>45935</x:v>
      </x:c>
      <x:c r="D295" t="str">
        <x:v>USR-00031</x:v>
      </x:c>
      <x:c r="E295" t="str">
        <x:v>SUS-000384</x:v>
      </x:c>
      <x:c r="F295" t="str">
        <x:v>Plus anual</x:v>
      </x:c>
      <x:c r="G295" t="str">
        <x:v>Anual</x:v>
      </x:c>
      <x:c r="H295" t="n">
        <x:v>1</x:v>
      </x:c>
      <x:c r="I295" t="str">
        <x:v>Aprobado</x:v>
      </x:c>
      <x:c r="J295" t="n">
        <x:v>299000</x:v>
      </x:c>
      <x:c r="K295" t="str">
        <x:v>PSE</x:v>
      </x:c>
      <x:c r="L295" t="str">
        <x:v>Sin error</x:v>
      </x:c>
    </x:row>
    <x:row r="296">
      <x:c r="A296" t="str">
        <x:v>TXN-0000295</x:v>
      </x:c>
      <x:c r="B296" t="str">
        <x:v>2025-10</x:v>
      </x:c>
      <x:c r="C296" t="n">
        <x:v>45939</x:v>
      </x:c>
      <x:c r="D296" t="str">
        <x:v>USR-00035</x:v>
      </x:c>
      <x:c r="E296" t="str">
        <x:v>SUS-000130</x:v>
      </x:c>
      <x:c r="F296" t="str">
        <x:v>Plus mensual</x:v>
      </x:c>
      <x:c r="G296" t="str">
        <x:v>Mensual</x:v>
      </x:c>
      <x:c r="H296" t="n">
        <x:v>1</x:v>
      </x:c>
      <x:c r="I296" t="str">
        <x:v>Aprobado</x:v>
      </x:c>
      <x:c r="J296" t="n">
        <x:v>29900</x:v>
      </x:c>
      <x:c r="K296" t="str">
        <x:v>Tarjeta crédito</x:v>
      </x:c>
      <x:c r="L296" t="str">
        <x:v>Sin error</x:v>
      </x:c>
    </x:row>
    <x:row r="297">
      <x:c r="A297" t="str">
        <x:v>TXN-0000296</x:v>
      </x:c>
      <x:c r="B297" t="str">
        <x:v>2025-10</x:v>
      </x:c>
      <x:c r="C297" t="n">
        <x:v>45939</x:v>
      </x:c>
      <x:c r="D297" t="str">
        <x:v>USR-00036</x:v>
      </x:c>
      <x:c r="E297" t="str">
        <x:v>SUS-000329</x:v>
      </x:c>
      <x:c r="F297" t="str">
        <x:v>Plus mensual</x:v>
      </x:c>
      <x:c r="G297" t="str">
        <x:v>Mensual</x:v>
      </x:c>
      <x:c r="H297" t="n">
        <x:v>1</x:v>
      </x:c>
      <x:c r="I297" t="str">
        <x:v>Aprobado</x:v>
      </x:c>
      <x:c r="J297" t="n">
        <x:v>29900</x:v>
      </x:c>
      <x:c r="K297" t="str">
        <x:v>Tarjeta crédito</x:v>
      </x:c>
      <x:c r="L297" t="str">
        <x:v>Sin error</x:v>
      </x:c>
    </x:row>
    <x:row r="298">
      <x:c r="A298" t="str">
        <x:v>TXN-0000297</x:v>
      </x:c>
      <x:c r="B298" t="str">
        <x:v>2025-10</x:v>
      </x:c>
      <x:c r="C298" t="n">
        <x:v>45935</x:v>
      </x:c>
      <x:c r="D298" t="str">
        <x:v>USR-00042</x:v>
      </x:c>
      <x:c r="E298" t="str">
        <x:v>SUS-000215</x:v>
      </x:c>
      <x:c r="F298" t="str">
        <x:v>Plus mensual</x:v>
      </x:c>
      <x:c r="G298" t="str">
        <x:v>Mensual</x:v>
      </x:c>
      <x:c r="H298" t="n">
        <x:v>1</x:v>
      </x:c>
      <x:c r="I298" t="str">
        <x:v>Aprobado</x:v>
      </x:c>
      <x:c r="J298" t="n">
        <x:v>29900</x:v>
      </x:c>
      <x:c r="K298" t="str">
        <x:v>Tarjeta crédito</x:v>
      </x:c>
      <x:c r="L298" t="str">
        <x:v>Sin error</x:v>
      </x:c>
    </x:row>
    <x:row r="299">
      <x:c r="A299" t="str">
        <x:v>TXN-0000298</x:v>
      </x:c>
      <x:c r="B299" t="str">
        <x:v>2025-10</x:v>
      </x:c>
      <x:c r="C299" t="n">
        <x:v>45939</x:v>
      </x:c>
      <x:c r="D299" t="str">
        <x:v>USR-00048</x:v>
      </x:c>
      <x:c r="E299" t="str">
        <x:v>SUS-000160</x:v>
      </x:c>
      <x:c r="F299" t="str">
        <x:v>Plus mensual</x:v>
      </x:c>
      <x:c r="G299" t="str">
        <x:v>Mensual</x:v>
      </x:c>
      <x:c r="H299" t="n">
        <x:v>1</x:v>
      </x:c>
      <x:c r="I299" t="str">
        <x:v>Aprobado</x:v>
      </x:c>
      <x:c r="J299" t="n">
        <x:v>29900</x:v>
      </x:c>
      <x:c r="K299" t="str">
        <x:v>Tarjeta crédito</x:v>
      </x:c>
      <x:c r="L299" t="str">
        <x:v>Sin error</x:v>
      </x:c>
    </x:row>
    <x:row r="300">
      <x:c r="A300" t="str">
        <x:v>TXN-0000299</x:v>
      </x:c>
      <x:c r="B300" t="str">
        <x:v>2025-10</x:v>
      </x:c>
      <x:c r="C300" t="n">
        <x:v>45935</x:v>
      </x:c>
      <x:c r="D300" t="str">
        <x:v>USR-00049</x:v>
      </x:c>
      <x:c r="E300" t="str">
        <x:v>SUS-000330</x:v>
      </x:c>
      <x:c r="F300" t="str">
        <x:v>Plus mensual</x:v>
      </x:c>
      <x:c r="G300" t="str">
        <x:v>Mensual</x:v>
      </x:c>
      <x:c r="H300" t="n">
        <x:v>1</x:v>
      </x:c>
      <x:c r="I300" t="str">
        <x:v>Aprobado</x:v>
      </x:c>
      <x:c r="J300" t="n">
        <x:v>29900</x:v>
      </x:c>
      <x:c r="K300" t="str">
        <x:v>Tarjeta débito</x:v>
      </x:c>
      <x:c r="L300" t="str">
        <x:v>Sin error</x:v>
      </x:c>
    </x:row>
    <x:row r="301">
      <x:c r="A301" t="str">
        <x:v>TXN-0000300</x:v>
      </x:c>
      <x:c r="B301" t="str">
        <x:v>2025-10</x:v>
      </x:c>
      <x:c r="C301" t="n">
        <x:v>45939</x:v>
      </x:c>
      <x:c r="D301" t="str">
        <x:v>USR-00051</x:v>
      </x:c>
      <x:c r="E301" t="str">
        <x:v>SUS-000055</x:v>
      </x:c>
      <x:c r="F301" t="str">
        <x:v>Plus mensual</x:v>
      </x:c>
      <x:c r="G301" t="str">
        <x:v>Mensual</x:v>
      </x:c>
      <x:c r="H301" t="n">
        <x:v>1</x:v>
      </x:c>
      <x:c r="I301" t="str">
        <x:v>Aprobado</x:v>
      </x:c>
      <x:c r="J301" t="n">
        <x:v>29900</x:v>
      </x:c>
      <x:c r="K301" t="str">
        <x:v>Tarjeta débito</x:v>
      </x:c>
      <x:c r="L301" t="str">
        <x:v>Sin error</x:v>
      </x:c>
    </x:row>
    <x:row r="302">
      <x:c r="A302" t="str">
        <x:v>TXN-0000301</x:v>
      </x:c>
      <x:c r="B302" t="str">
        <x:v>2025-10</x:v>
      </x:c>
      <x:c r="C302" t="n">
        <x:v>45940</x:v>
      </x:c>
      <x:c r="D302" t="str">
        <x:v>USR-00052</x:v>
      </x:c>
      <x:c r="E302" t="str">
        <x:v>SUS-000385</x:v>
      </x:c>
      <x:c r="F302" t="str">
        <x:v>Plus mensual</x:v>
      </x:c>
      <x:c r="G302" t="str">
        <x:v>Mensual</x:v>
      </x:c>
      <x:c r="H302" t="n">
        <x:v>1</x:v>
      </x:c>
      <x:c r="I302" t="str">
        <x:v>Aprobado</x:v>
      </x:c>
      <x:c r="J302" t="n">
        <x:v>29900</x:v>
      </x:c>
      <x:c r="K302" t="str">
        <x:v>Tarjeta crédito</x:v>
      </x:c>
      <x:c r="L302" t="str">
        <x:v>Sin error</x:v>
      </x:c>
    </x:row>
    <x:row r="303">
      <x:c r="A303" t="str">
        <x:v>TXN-0000302</x:v>
      </x:c>
      <x:c r="B303" t="str">
        <x:v>2025-10</x:v>
      </x:c>
      <x:c r="C303" t="n">
        <x:v>45940</x:v>
      </x:c>
      <x:c r="D303" t="str">
        <x:v>USR-00053</x:v>
      </x:c>
      <x:c r="E303" t="str">
        <x:v>SUS-000057</x:v>
      </x:c>
      <x:c r="F303" t="str">
        <x:v>Plus mensual</x:v>
      </x:c>
      <x:c r="G303" t="str">
        <x:v>Mensual</x:v>
      </x:c>
      <x:c r="H303" t="n">
        <x:v>1</x:v>
      </x:c>
      <x:c r="I303" t="str">
        <x:v>Aprobado</x:v>
      </x:c>
      <x:c r="J303" t="n">
        <x:v>29900</x:v>
      </x:c>
      <x:c r="K303" t="str">
        <x:v>PSE</x:v>
      </x:c>
      <x:c r="L303" t="str">
        <x:v>Sin error</x:v>
      </x:c>
    </x:row>
    <x:row r="304">
      <x:c r="A304" t="str">
        <x:v>TXN-0000303</x:v>
      </x:c>
      <x:c r="B304" t="str">
        <x:v>2025-10</x:v>
      </x:c>
      <x:c r="C304" t="n">
        <x:v>45937</x:v>
      </x:c>
      <x:c r="D304" t="str">
        <x:v>USR-00057</x:v>
      </x:c>
      <x:c r="E304" t="str">
        <x:v>SUS-000386</x:v>
      </x:c>
      <x:c r="F304" t="str">
        <x:v>Plus mensual</x:v>
      </x:c>
      <x:c r="G304" t="str">
        <x:v>Mensual</x:v>
      </x:c>
      <x:c r="H304" t="n">
        <x:v>1</x:v>
      </x:c>
      <x:c r="I304" t="str">
        <x:v>Aprobado</x:v>
      </x:c>
      <x:c r="J304" t="n">
        <x:v>29900</x:v>
      </x:c>
      <x:c r="K304" t="str">
        <x:v>PSE</x:v>
      </x:c>
      <x:c r="L304" t="str">
        <x:v>Sin error</x:v>
      </x:c>
    </x:row>
    <x:row r="305">
      <x:c r="A305" t="str">
        <x:v>TXN-0000304</x:v>
      </x:c>
      <x:c r="B305" t="str">
        <x:v>2025-10</x:v>
      </x:c>
      <x:c r="C305" t="n">
        <x:v>45937</x:v>
      </x:c>
      <x:c r="D305" t="str">
        <x:v>USR-00061</x:v>
      </x:c>
      <x:c r="E305" t="str">
        <x:v>SUS-000267</x:v>
      </x:c>
      <x:c r="F305" t="str">
        <x:v>Plus mensual</x:v>
      </x:c>
      <x:c r="G305" t="str">
        <x:v>Mensual</x:v>
      </x:c>
      <x:c r="H305" t="n">
        <x:v>1</x:v>
      </x:c>
      <x:c r="I305" t="str">
        <x:v>Aprobado</x:v>
      </x:c>
      <x:c r="J305" t="n">
        <x:v>29900</x:v>
      </x:c>
      <x:c r="K305" t="str">
        <x:v>Tarjeta débito</x:v>
      </x:c>
      <x:c r="L305" t="str">
        <x:v>Sin error</x:v>
      </x:c>
    </x:row>
    <x:row r="306">
      <x:c r="A306" t="str">
        <x:v>TXN-0000305</x:v>
      </x:c>
      <x:c r="B306" t="str">
        <x:v>2025-10</x:v>
      </x:c>
      <x:c r="C306" t="n">
        <x:v>45937</x:v>
      </x:c>
      <x:c r="D306" t="str">
        <x:v>USR-00064</x:v>
      </x:c>
      <x:c r="E306" t="str">
        <x:v>SUS-000333</x:v>
      </x:c>
      <x:c r="F306" t="str">
        <x:v>Plus mensual</x:v>
      </x:c>
      <x:c r="G306" t="str">
        <x:v>Mensual</x:v>
      </x:c>
      <x:c r="H306" t="n">
        <x:v>1</x:v>
      </x:c>
      <x:c r="I306" t="str">
        <x:v>Aprobado</x:v>
      </x:c>
      <x:c r="J306" t="n">
        <x:v>29900</x:v>
      </x:c>
      <x:c r="K306" t="str">
        <x:v>Tarjeta crédito</x:v>
      </x:c>
      <x:c r="L306" t="str">
        <x:v>Sin error</x:v>
      </x:c>
    </x:row>
    <x:row r="307">
      <x:c r="A307" t="str">
        <x:v>TXN-0000306</x:v>
      </x:c>
      <x:c r="B307" t="str">
        <x:v>2025-10</x:v>
      </x:c>
      <x:c r="C307" t="n">
        <x:v>45936</x:v>
      </x:c>
      <x:c r="D307" t="str">
        <x:v>USR-00069</x:v>
      </x:c>
      <x:c r="E307" t="str">
        <x:v>SUS-000388</x:v>
      </x:c>
      <x:c r="F307" t="str">
        <x:v>Plus anual</x:v>
      </x:c>
      <x:c r="G307" t="str">
        <x:v>Anual</x:v>
      </x:c>
      <x:c r="H307" t="n">
        <x:v>1</x:v>
      </x:c>
      <x:c r="I307" t="str">
        <x:v>Aprobado</x:v>
      </x:c>
      <x:c r="J307" t="n">
        <x:v>299000</x:v>
      </x:c>
      <x:c r="K307" t="str">
        <x:v>Tarjeta débito</x:v>
      </x:c>
      <x:c r="L307" t="str">
        <x:v>Sin error</x:v>
      </x:c>
    </x:row>
    <x:row r="308">
      <x:c r="A308" t="str">
        <x:v>TXN-0000307</x:v>
      </x:c>
      <x:c r="B308" t="str">
        <x:v>2025-10</x:v>
      </x:c>
      <x:c r="C308" t="n">
        <x:v>45936</x:v>
      </x:c>
      <x:c r="D308" t="str">
        <x:v>USR-00071</x:v>
      </x:c>
      <x:c r="E308" t="str">
        <x:v>SUS-000217</x:v>
      </x:c>
      <x:c r="F308" t="str">
        <x:v>Plus mensual</x:v>
      </x:c>
      <x:c r="G308" t="str">
        <x:v>Mensual</x:v>
      </x:c>
      <x:c r="H308" t="n">
        <x:v>1</x:v>
      </x:c>
      <x:c r="I308" t="str">
        <x:v>Aprobado</x:v>
      </x:c>
      <x:c r="J308" t="n">
        <x:v>29900</x:v>
      </x:c>
      <x:c r="K308" t="str">
        <x:v>PSE</x:v>
      </x:c>
      <x:c r="L308" t="str">
        <x:v>Sin error</x:v>
      </x:c>
    </x:row>
    <x:row r="309">
      <x:c r="A309" t="str">
        <x:v>TXN-0000308</x:v>
      </x:c>
      <x:c r="B309" t="str">
        <x:v>2025-10</x:v>
      </x:c>
      <x:c r="C309" t="n">
        <x:v>45940</x:v>
      </x:c>
      <x:c r="D309" t="str">
        <x:v>USR-00072</x:v>
      </x:c>
      <x:c r="E309" t="str">
        <x:v>SUS-000389</x:v>
      </x:c>
      <x:c r="F309" t="str">
        <x:v>Plus anual</x:v>
      </x:c>
      <x:c r="G309" t="str">
        <x:v>Anual</x:v>
      </x:c>
      <x:c r="H309" t="n">
        <x:v>1</x:v>
      </x:c>
      <x:c r="I309" t="str">
        <x:v>Aprobado</x:v>
      </x:c>
      <x:c r="J309" t="n">
        <x:v>299000</x:v>
      </x:c>
      <x:c r="K309" t="str">
        <x:v>PSE</x:v>
      </x:c>
      <x:c r="L309" t="str">
        <x:v>Sin error</x:v>
      </x:c>
    </x:row>
    <x:row r="310">
      <x:c r="A310" t="str">
        <x:v>TXN-0000309</x:v>
      </x:c>
      <x:c r="B310" t="str">
        <x:v>2025-10</x:v>
      </x:c>
      <x:c r="C310" t="n">
        <x:v>45937</x:v>
      </x:c>
      <x:c r="D310" t="str">
        <x:v>USR-00073</x:v>
      </x:c>
      <x:c r="E310" t="str">
        <x:v>SUS-000335</x:v>
      </x:c>
      <x:c r="F310" t="str">
        <x:v>Plus mensual</x:v>
      </x:c>
      <x:c r="G310" t="str">
        <x:v>Mensual</x:v>
      </x:c>
      <x:c r="H310" t="n">
        <x:v>1</x:v>
      </x:c>
      <x:c r="I310" t="str">
        <x:v>Aprobado</x:v>
      </x:c>
      <x:c r="J310" t="n">
        <x:v>29900</x:v>
      </x:c>
      <x:c r="K310" t="str">
        <x:v>Tarjeta débito</x:v>
      </x:c>
      <x:c r="L310" t="str">
        <x:v>Sin error</x:v>
      </x:c>
    </x:row>
    <x:row r="311">
      <x:c r="A311" t="str">
        <x:v>TXN-0000310</x:v>
      </x:c>
      <x:c r="B311" t="str">
        <x:v>2025-10</x:v>
      </x:c>
      <x:c r="C311" t="n">
        <x:v>45938</x:v>
      </x:c>
      <x:c r="D311" t="str">
        <x:v>USR-00078</x:v>
      </x:c>
      <x:c r="E311" t="str">
        <x:v>SUS-000083</x:v>
      </x:c>
      <x:c r="F311" t="str">
        <x:v>Plus mensual</x:v>
      </x:c>
      <x:c r="G311" t="str">
        <x:v>Mensual</x:v>
      </x:c>
      <x:c r="H311" t="n">
        <x:v>1</x:v>
      </x:c>
      <x:c r="I311" t="str">
        <x:v>Aprobado</x:v>
      </x:c>
      <x:c r="J311" t="n">
        <x:v>29900</x:v>
      </x:c>
      <x:c r="K311" t="str">
        <x:v>PSE</x:v>
      </x:c>
      <x:c r="L311" t="str">
        <x:v>Sin error</x:v>
      </x:c>
    </x:row>
    <x:row r="312">
      <x:c r="A312" t="str">
        <x:v>TXN-0000311</x:v>
      </x:c>
      <x:c r="B312" t="str">
        <x:v>2025-10</x:v>
      </x:c>
      <x:c r="C312" t="n">
        <x:v>45935</x:v>
      </x:c>
      <x:c r="D312" t="str">
        <x:v>USR-00079</x:v>
      </x:c>
      <x:c r="E312" t="str">
        <x:v>SUS-000336</x:v>
      </x:c>
      <x:c r="F312" t="str">
        <x:v>Plus mensual</x:v>
      </x:c>
      <x:c r="G312" t="str">
        <x:v>Mensual</x:v>
      </x:c>
      <x:c r="H312" t="n">
        <x:v>1</x:v>
      </x:c>
      <x:c r="I312" t="str">
        <x:v>Aprobado</x:v>
      </x:c>
      <x:c r="J312" t="n">
        <x:v>29900</x:v>
      </x:c>
      <x:c r="K312" t="str">
        <x:v>Tarjeta débito</x:v>
      </x:c>
      <x:c r="L312" t="str">
        <x:v>Sin error</x:v>
      </x:c>
    </x:row>
    <x:row r="313">
      <x:c r="A313" t="str">
        <x:v>TXN-0000312</x:v>
      </x:c>
      <x:c r="B313" t="str">
        <x:v>2025-10</x:v>
      </x:c>
      <x:c r="C313" t="n">
        <x:v>45937</x:v>
      </x:c>
      <x:c r="D313" t="str">
        <x:v>USR-00083</x:v>
      </x:c>
      <x:c r="E313" t="str">
        <x:v>SUS-000218</x:v>
      </x:c>
      <x:c r="F313" t="str">
        <x:v>Plus mensual</x:v>
      </x:c>
      <x:c r="G313" t="str">
        <x:v>Mensual</x:v>
      </x:c>
      <x:c r="H313" t="n">
        <x:v>1</x:v>
      </x:c>
      <x:c r="I313" t="str">
        <x:v>Aprobado</x:v>
      </x:c>
      <x:c r="J313" t="n">
        <x:v>29900</x:v>
      </x:c>
      <x:c r="K313" t="str">
        <x:v>Tarjeta débito</x:v>
      </x:c>
      <x:c r="L313" t="str">
        <x:v>Sin error</x:v>
      </x:c>
    </x:row>
    <x:row r="314">
      <x:c r="A314" t="str">
        <x:v>TXN-0000313</x:v>
      </x:c>
      <x:c r="B314" t="str">
        <x:v>2025-10</x:v>
      </x:c>
      <x:c r="C314" t="n">
        <x:v>45936</x:v>
      </x:c>
      <x:c r="D314" t="str">
        <x:v>USR-00087</x:v>
      </x:c>
      <x:c r="E314" t="str">
        <x:v>SUS-000219</x:v>
      </x:c>
      <x:c r="F314" t="str">
        <x:v>Plus mensual</x:v>
      </x:c>
      <x:c r="G314" t="str">
        <x:v>Mensual</x:v>
      </x:c>
      <x:c r="H314" t="n">
        <x:v>1</x:v>
      </x:c>
      <x:c r="I314" t="str">
        <x:v>Aprobado</x:v>
      </x:c>
      <x:c r="J314" t="n">
        <x:v>29900</x:v>
      </x:c>
      <x:c r="K314" t="str">
        <x:v>Tarjeta débito</x:v>
      </x:c>
      <x:c r="L314" t="str">
        <x:v>Sin error</x:v>
      </x:c>
    </x:row>
    <x:row r="315">
      <x:c r="A315" t="str">
        <x:v>TXN-0000314</x:v>
      </x:c>
      <x:c r="B315" t="str">
        <x:v>2025-10</x:v>
      </x:c>
      <x:c r="C315" t="n">
        <x:v>45941</x:v>
      </x:c>
      <x:c r="D315" t="str">
        <x:v>USR-00091</x:v>
      </x:c>
      <x:c r="E315" t="str">
        <x:v>SUS-000096</x:v>
      </x:c>
      <x:c r="F315" t="str">
        <x:v>Plus mensual</x:v>
      </x:c>
      <x:c r="G315" t="str">
        <x:v>Mensual</x:v>
      </x:c>
      <x:c r="H315" t="n">
        <x:v>1</x:v>
      </x:c>
      <x:c r="I315" t="str">
        <x:v>Aprobado</x:v>
      </x:c>
      <x:c r="J315" t="n">
        <x:v>29900</x:v>
      </x:c>
      <x:c r="K315" t="str">
        <x:v>Tarjeta débito</x:v>
      </x:c>
      <x:c r="L315" t="str">
        <x:v>Sin error</x:v>
      </x:c>
    </x:row>
    <x:row r="316">
      <x:c r="A316" t="str">
        <x:v>TXN-0000315</x:v>
      </x:c>
      <x:c r="B316" t="str">
        <x:v>2025-10</x:v>
      </x:c>
      <x:c r="C316" t="n">
        <x:v>45938</x:v>
      </x:c>
      <x:c r="D316" t="str">
        <x:v>USR-00096</x:v>
      </x:c>
      <x:c r="E316" t="str">
        <x:v>SUS-000273</x:v>
      </x:c>
      <x:c r="F316" t="str">
        <x:v>Plus mensual</x:v>
      </x:c>
      <x:c r="G316" t="str">
        <x:v>Mensual</x:v>
      </x:c>
      <x:c r="H316" t="n">
        <x:v>1</x:v>
      </x:c>
      <x:c r="I316" t="str">
        <x:v>Aprobado</x:v>
      </x:c>
      <x:c r="J316" t="n">
        <x:v>29900</x:v>
      </x:c>
      <x:c r="K316" t="str">
        <x:v>PSE</x:v>
      </x:c>
      <x:c r="L316" t="str">
        <x:v>Sin error</x:v>
      </x:c>
    </x:row>
    <x:row r="317">
      <x:c r="A317" t="str">
        <x:v>TXN-0000316</x:v>
      </x:c>
      <x:c r="B317" t="str">
        <x:v>2025-10</x:v>
      </x:c>
      <x:c r="C317" t="n">
        <x:v>45939</x:v>
      </x:c>
      <x:c r="D317" t="str">
        <x:v>USR-00099</x:v>
      </x:c>
      <x:c r="E317" t="str">
        <x:v>SUS-000337</x:v>
      </x:c>
      <x:c r="F317" t="str">
        <x:v>Plus mensual</x:v>
      </x:c>
      <x:c r="G317" t="str">
        <x:v>Mensual</x:v>
      </x:c>
      <x:c r="H317" t="n">
        <x:v>1</x:v>
      </x:c>
      <x:c r="I317" t="str">
        <x:v>Aprobado</x:v>
      </x:c>
      <x:c r="J317" t="n">
        <x:v>29900</x:v>
      </x:c>
      <x:c r="K317" t="str">
        <x:v>Tarjeta crédito</x:v>
      </x:c>
      <x:c r="L317" t="str">
        <x:v>Sin error</x:v>
      </x:c>
    </x:row>
    <x:row r="318">
      <x:c r="A318" t="str">
        <x:v>TXN-0000317</x:v>
      </x:c>
      <x:c r="B318" t="str">
        <x:v>2025-10</x:v>
      </x:c>
      <x:c r="C318" t="n">
        <x:v>45937</x:v>
      </x:c>
      <x:c r="D318" t="str">
        <x:v>USR-00100</x:v>
      </x:c>
      <x:c r="E318" t="str">
        <x:v>SUS-000108</x:v>
      </x:c>
      <x:c r="F318" t="str">
        <x:v>Plus mensual</x:v>
      </x:c>
      <x:c r="G318" t="str">
        <x:v>Mensual</x:v>
      </x:c>
      <x:c r="H318" t="n">
        <x:v>1</x:v>
      </x:c>
      <x:c r="I318" t="str">
        <x:v>Aprobado</x:v>
      </x:c>
      <x:c r="J318" t="n">
        <x:v>29900</x:v>
      </x:c>
      <x:c r="K318" t="str">
        <x:v>Tarjeta débito</x:v>
      </x:c>
      <x:c r="L318" t="str">
        <x:v>Sin error</x:v>
      </x:c>
    </x:row>
    <x:row r="319">
      <x:c r="A319" t="str">
        <x:v>TXN-0000318</x:v>
      </x:c>
      <x:c r="B319" t="str">
        <x:v>2025-10</x:v>
      </x:c>
      <x:c r="C319" t="n">
        <x:v>45935</x:v>
      </x:c>
      <x:c r="D319" t="str">
        <x:v>USR-00116</x:v>
      </x:c>
      <x:c r="E319" t="str">
        <x:v>SUS-000390</x:v>
      </x:c>
      <x:c r="F319" t="str">
        <x:v>Plus mensual</x:v>
      </x:c>
      <x:c r="G319" t="str">
        <x:v>Mensual</x:v>
      </x:c>
      <x:c r="H319" t="n">
        <x:v>1</x:v>
      </x:c>
      <x:c r="I319" t="str">
        <x:v>Aprobado</x:v>
      </x:c>
      <x:c r="J319" t="n">
        <x:v>29900</x:v>
      </x:c>
      <x:c r="K319" t="str">
        <x:v>Tarjeta débito</x:v>
      </x:c>
      <x:c r="L319" t="str">
        <x:v>Sin error</x:v>
      </x:c>
    </x:row>
    <x:row r="320">
      <x:c r="A320" t="str">
        <x:v>TXN-0000319</x:v>
      </x:c>
      <x:c r="B320" t="str">
        <x:v>2025-10</x:v>
      </x:c>
      <x:c r="C320" t="n">
        <x:v>45941</x:v>
      </x:c>
      <x:c r="D320" t="str">
        <x:v>USR-00119</x:v>
      </x:c>
      <x:c r="E320" t="str">
        <x:v>SUS-000340</x:v>
      </x:c>
      <x:c r="F320" t="str">
        <x:v>Plus mensual</x:v>
      </x:c>
      <x:c r="G320" t="str">
        <x:v>Mensual</x:v>
      </x:c>
      <x:c r="H320" t="n">
        <x:v>1</x:v>
      </x:c>
      <x:c r="I320" t="str">
        <x:v>Aprobado</x:v>
      </x:c>
      <x:c r="J320" t="n">
        <x:v>29900</x:v>
      </x:c>
      <x:c r="K320" t="str">
        <x:v>PSE</x:v>
      </x:c>
      <x:c r="L320" t="str">
        <x:v>Sin error</x:v>
      </x:c>
    </x:row>
    <x:row r="321">
      <x:c r="A321" t="str">
        <x:v>TXN-0000320</x:v>
      </x:c>
      <x:c r="B321" t="str">
        <x:v>2025-10</x:v>
      </x:c>
      <x:c r="C321" t="n">
        <x:v>45936</x:v>
      </x:c>
      <x:c r="D321" t="str">
        <x:v>USR-00121</x:v>
      </x:c>
      <x:c r="E321" t="str">
        <x:v>SUS-000222</x:v>
      </x:c>
      <x:c r="F321" t="str">
        <x:v>Plus mensual</x:v>
      </x:c>
      <x:c r="G321" t="str">
        <x:v>Mensual</x:v>
      </x:c>
      <x:c r="H321" t="n">
        <x:v>1</x:v>
      </x:c>
      <x:c r="I321" t="str">
        <x:v>Aprobado</x:v>
      </x:c>
      <x:c r="J321" t="n">
        <x:v>29900</x:v>
      </x:c>
      <x:c r="K321" t="str">
        <x:v>Tarjeta débito</x:v>
      </x:c>
      <x:c r="L321" t="str">
        <x:v>Sin error</x:v>
      </x:c>
    </x:row>
    <x:row r="322">
      <x:c r="A322" t="str">
        <x:v>TXN-0000321</x:v>
      </x:c>
      <x:c r="B322" t="str">
        <x:v>2025-10</x:v>
      </x:c>
      <x:c r="C322" t="n">
        <x:v>45935</x:v>
      </x:c>
      <x:c r="D322" t="str">
        <x:v>USR-00123</x:v>
      </x:c>
      <x:c r="E322" t="str">
        <x:v>SUS-000223</x:v>
      </x:c>
      <x:c r="F322" t="str">
        <x:v>Plus mensual</x:v>
      </x:c>
      <x:c r="G322" t="str">
        <x:v>Mensual</x:v>
      </x:c>
      <x:c r="H322" t="n">
        <x:v>1</x:v>
      </x:c>
      <x:c r="I322" t="str">
        <x:v>Aprobado</x:v>
      </x:c>
      <x:c r="J322" t="n">
        <x:v>29900</x:v>
      </x:c>
      <x:c r="K322" t="str">
        <x:v>Tarjeta crédito</x:v>
      </x:c>
      <x:c r="L322" t="str">
        <x:v>Sin error</x:v>
      </x:c>
    </x:row>
    <x:row r="323">
      <x:c r="A323" t="str">
        <x:v>TXN-0000322</x:v>
      </x:c>
      <x:c r="B323" t="str">
        <x:v>2025-10</x:v>
      </x:c>
      <x:c r="C323" t="n">
        <x:v>45941</x:v>
      </x:c>
      <x:c r="D323" t="str">
        <x:v>USR-00143</x:v>
      </x:c>
      <x:c r="E323" t="str">
        <x:v>SUS-000277</x:v>
      </x:c>
      <x:c r="F323" t="str">
        <x:v>Plus mensual</x:v>
      </x:c>
      <x:c r="G323" t="str">
        <x:v>Mensual</x:v>
      </x:c>
      <x:c r="H323" t="n">
        <x:v>1</x:v>
      </x:c>
      <x:c r="I323" t="str">
        <x:v>Aprobado</x:v>
      </x:c>
      <x:c r="J323" t="n">
        <x:v>29900</x:v>
      </x:c>
      <x:c r="K323" t="str">
        <x:v>Tarjeta crédito</x:v>
      </x:c>
      <x:c r="L323" t="str">
        <x:v>Sin error</x:v>
      </x:c>
    </x:row>
    <x:row r="324">
      <x:c r="A324" t="str">
        <x:v>TXN-0000323</x:v>
      </x:c>
      <x:c r="B324" t="str">
        <x:v>2025-10</x:v>
      </x:c>
      <x:c r="C324" t="n">
        <x:v>45940</x:v>
      </x:c>
      <x:c r="D324" t="str">
        <x:v>USR-00145</x:v>
      </x:c>
      <x:c r="E324" t="str">
        <x:v>SUS-000168</x:v>
      </x:c>
      <x:c r="F324" t="str">
        <x:v>Plus mensual</x:v>
      </x:c>
      <x:c r="G324" t="str">
        <x:v>Mensual</x:v>
      </x:c>
      <x:c r="H324" t="n">
        <x:v>1</x:v>
      </x:c>
      <x:c r="I324" t="str">
        <x:v>Aprobado</x:v>
      </x:c>
      <x:c r="J324" t="n">
        <x:v>29900</x:v>
      </x:c>
      <x:c r="K324" t="str">
        <x:v>PSE</x:v>
      </x:c>
      <x:c r="L324" t="str">
        <x:v>Sin error</x:v>
      </x:c>
    </x:row>
    <x:row r="325">
      <x:c r="A325" t="str">
        <x:v>TXN-0000324</x:v>
      </x:c>
      <x:c r="B325" t="str">
        <x:v>2025-10</x:v>
      </x:c>
      <x:c r="C325" t="n">
        <x:v>45940</x:v>
      </x:c>
      <x:c r="D325" t="str">
        <x:v>USR-00146</x:v>
      </x:c>
      <x:c r="E325" t="str">
        <x:v>SUS-000169</x:v>
      </x:c>
      <x:c r="F325" t="str">
        <x:v>Plus mensual</x:v>
      </x:c>
      <x:c r="G325" t="str">
        <x:v>Mensual</x:v>
      </x:c>
      <x:c r="H325" t="n">
        <x:v>1</x:v>
      </x:c>
      <x:c r="I325" t="str">
        <x:v>Aprobado</x:v>
      </x:c>
      <x:c r="J325" t="n">
        <x:v>29900</x:v>
      </x:c>
      <x:c r="K325" t="str">
        <x:v>Tarjeta débito</x:v>
      </x:c>
      <x:c r="L325" t="str">
        <x:v>Sin error</x:v>
      </x:c>
    </x:row>
    <x:row r="326">
      <x:c r="A326" t="str">
        <x:v>TXN-0000325</x:v>
      </x:c>
      <x:c r="B326" t="str">
        <x:v>2025-10</x:v>
      </x:c>
      <x:c r="C326" t="n">
        <x:v>45936</x:v>
      </x:c>
      <x:c r="D326" t="str">
        <x:v>USR-00152</x:v>
      </x:c>
      <x:c r="E326" t="str">
        <x:v>SUS-000341</x:v>
      </x:c>
      <x:c r="F326" t="str">
        <x:v>Plus mensual</x:v>
      </x:c>
      <x:c r="G326" t="str">
        <x:v>Mensual</x:v>
      </x:c>
      <x:c r="H326" t="n">
        <x:v>1</x:v>
      </x:c>
      <x:c r="I326" t="str">
        <x:v>Aprobado</x:v>
      </x:c>
      <x:c r="J326" t="n">
        <x:v>29900</x:v>
      </x:c>
      <x:c r="K326" t="str">
        <x:v>PSE</x:v>
      </x:c>
      <x:c r="L326" t="str">
        <x:v>Sin error</x:v>
      </x:c>
    </x:row>
    <x:row r="327">
      <x:c r="A327" t="str">
        <x:v>TXN-0000326</x:v>
      </x:c>
      <x:c r="B327" t="str">
        <x:v>2025-10</x:v>
      </x:c>
      <x:c r="C327" t="n">
        <x:v>45935</x:v>
      </x:c>
      <x:c r="D327" t="str">
        <x:v>USR-00154</x:v>
      </x:c>
      <x:c r="E327" t="str">
        <x:v>SUS-000278</x:v>
      </x:c>
      <x:c r="F327" t="str">
        <x:v>Plus mensual</x:v>
      </x:c>
      <x:c r="G327" t="str">
        <x:v>Mensual</x:v>
      </x:c>
      <x:c r="H327" t="n">
        <x:v>1</x:v>
      </x:c>
      <x:c r="I327" t="str">
        <x:v>Aprobado</x:v>
      </x:c>
      <x:c r="J327" t="n">
        <x:v>29900</x:v>
      </x:c>
      <x:c r="K327" t="str">
        <x:v>Tarjeta crédito</x:v>
      </x:c>
      <x:c r="L327" t="str">
        <x:v>Sin error</x:v>
      </x:c>
    </x:row>
    <x:row r="328">
      <x:c r="A328" t="str">
        <x:v>TXN-0000327</x:v>
      </x:c>
      <x:c r="B328" t="str">
        <x:v>2025-10</x:v>
      </x:c>
      <x:c r="C328" t="n">
        <x:v>45939</x:v>
      </x:c>
      <x:c r="D328" t="str">
        <x:v>USR-00156</x:v>
      </x:c>
      <x:c r="E328" t="str">
        <x:v>SUS-000224</x:v>
      </x:c>
      <x:c r="F328" t="str">
        <x:v>Plus mensual</x:v>
      </x:c>
      <x:c r="G328" t="str">
        <x:v>Mensual</x:v>
      </x:c>
      <x:c r="H328" t="n">
        <x:v>1</x:v>
      </x:c>
      <x:c r="I328" t="str">
        <x:v>Aprobado</x:v>
      </x:c>
      <x:c r="J328" t="n">
        <x:v>29900</x:v>
      </x:c>
      <x:c r="K328" t="str">
        <x:v>PSE</x:v>
      </x:c>
      <x:c r="L328" t="str">
        <x:v>Sin error</x:v>
      </x:c>
    </x:row>
    <x:row r="329">
      <x:c r="A329" t="str">
        <x:v>TXN-0000328</x:v>
      </x:c>
      <x:c r="B329" t="str">
        <x:v>2025-10</x:v>
      </x:c>
      <x:c r="C329" t="n">
        <x:v>45939</x:v>
      </x:c>
      <x:c r="D329" t="str">
        <x:v>USR-00162</x:v>
      </x:c>
      <x:c r="E329" t="str">
        <x:v>SUS-000225</x:v>
      </x:c>
      <x:c r="F329" t="str">
        <x:v>Plus mensual</x:v>
      </x:c>
      <x:c r="G329" t="str">
        <x:v>Mensual</x:v>
      </x:c>
      <x:c r="H329" t="n">
        <x:v>1</x:v>
      </x:c>
      <x:c r="I329" t="str">
        <x:v>Aprobado</x:v>
      </x:c>
      <x:c r="J329" t="n">
        <x:v>29900</x:v>
      </x:c>
      <x:c r="K329" t="str">
        <x:v>PSE</x:v>
      </x:c>
      <x:c r="L329" t="str">
        <x:v>Sin error</x:v>
      </x:c>
    </x:row>
    <x:row r="330">
      <x:c r="A330" t="str">
        <x:v>TXN-0000329</x:v>
      </x:c>
      <x:c r="B330" t="str">
        <x:v>2025-10</x:v>
      </x:c>
      <x:c r="C330" t="n">
        <x:v>45936</x:v>
      </x:c>
      <x:c r="D330" t="str">
        <x:v>USR-00167</x:v>
      </x:c>
      <x:c r="E330" t="str">
        <x:v>SUS-000226</x:v>
      </x:c>
      <x:c r="F330" t="str">
        <x:v>Plus mensual</x:v>
      </x:c>
      <x:c r="G330" t="str">
        <x:v>Mensual</x:v>
      </x:c>
      <x:c r="H330" t="n">
        <x:v>1</x:v>
      </x:c>
      <x:c r="I330" t="str">
        <x:v>Aprobado</x:v>
      </x:c>
      <x:c r="J330" t="n">
        <x:v>29900</x:v>
      </x:c>
      <x:c r="K330" t="str">
        <x:v>Tarjeta débito</x:v>
      </x:c>
      <x:c r="L330" t="str">
        <x:v>Sin error</x:v>
      </x:c>
    </x:row>
    <x:row r="331">
      <x:c r="A331" t="str">
        <x:v>TXN-0000330</x:v>
      </x:c>
      <x:c r="B331" t="str">
        <x:v>2025-10</x:v>
      </x:c>
      <x:c r="C331" t="n">
        <x:v>45939</x:v>
      </x:c>
      <x:c r="D331" t="str">
        <x:v>USR-00168</x:v>
      </x:c>
      <x:c r="E331" t="str">
        <x:v>SUS-000191</x:v>
      </x:c>
      <x:c r="F331" t="str">
        <x:v>Plus mensual</x:v>
      </x:c>
      <x:c r="G331" t="str">
        <x:v>Mensual</x:v>
      </x:c>
      <x:c r="H331" t="n">
        <x:v>1</x:v>
      </x:c>
      <x:c r="I331" t="str">
        <x:v>Aprobado</x:v>
      </x:c>
      <x:c r="J331" t="n">
        <x:v>29900</x:v>
      </x:c>
      <x:c r="K331" t="str">
        <x:v>Tarjeta crédito</x:v>
      </x:c>
      <x:c r="L331" t="str">
        <x:v>Sin error</x:v>
      </x:c>
    </x:row>
    <x:row r="332">
      <x:c r="A332" t="str">
        <x:v>TXN-0000331</x:v>
      </x:c>
      <x:c r="B332" t="str">
        <x:v>2025-10</x:v>
      </x:c>
      <x:c r="C332" t="n">
        <x:v>45936</x:v>
      </x:c>
      <x:c r="D332" t="str">
        <x:v>USR-00170</x:v>
      </x:c>
      <x:c r="E332" t="str">
        <x:v>SUS-000392</x:v>
      </x:c>
      <x:c r="F332" t="str">
        <x:v>Plus mensual</x:v>
      </x:c>
      <x:c r="G332" t="str">
        <x:v>Mensual</x:v>
      </x:c>
      <x:c r="H332" t="n">
        <x:v>1</x:v>
      </x:c>
      <x:c r="I332" t="str">
        <x:v>Aprobado</x:v>
      </x:c>
      <x:c r="J332" t="n">
        <x:v>29900</x:v>
      </x:c>
      <x:c r="K332" t="str">
        <x:v>PSE</x:v>
      </x:c>
      <x:c r="L332" t="str">
        <x:v>Sin error</x:v>
      </x:c>
    </x:row>
    <x:row r="333">
      <x:c r="A333" t="str">
        <x:v>TXN-0000332</x:v>
      </x:c>
      <x:c r="B333" t="str">
        <x:v>2025-10</x:v>
      </x:c>
      <x:c r="C333" t="n">
        <x:v>45942</x:v>
      </x:c>
      <x:c r="D333" t="str">
        <x:v>USR-00174</x:v>
      </x:c>
      <x:c r="E333" t="str">
        <x:v>SUS-000280</x:v>
      </x:c>
      <x:c r="F333" t="str">
        <x:v>Plus mensual</x:v>
      </x:c>
      <x:c r="G333" t="str">
        <x:v>Mensual</x:v>
      </x:c>
      <x:c r="H333" t="n">
        <x:v>1</x:v>
      </x:c>
      <x:c r="I333" t="str">
        <x:v>Aprobado</x:v>
      </x:c>
      <x:c r="J333" t="n">
        <x:v>29900</x:v>
      </x:c>
      <x:c r="K333" t="str">
        <x:v>Tarjeta débito</x:v>
      </x:c>
      <x:c r="L333" t="str">
        <x:v>Sin error</x:v>
      </x:c>
    </x:row>
    <x:row r="334">
      <x:c r="A334" t="str">
        <x:v>TXN-0000333</x:v>
      </x:c>
      <x:c r="B334" t="str">
        <x:v>2025-10</x:v>
      </x:c>
      <x:c r="C334" t="n">
        <x:v>45939</x:v>
      </x:c>
      <x:c r="D334" t="str">
        <x:v>USR-00177</x:v>
      </x:c>
      <x:c r="E334" t="str">
        <x:v>SUS-000200</x:v>
      </x:c>
      <x:c r="F334" t="str">
        <x:v>Plus mensual</x:v>
      </x:c>
      <x:c r="G334" t="str">
        <x:v>Mensual</x:v>
      </x:c>
      <x:c r="H334" t="n">
        <x:v>1</x:v>
      </x:c>
      <x:c r="I334" t="str">
        <x:v>Aprobado</x:v>
      </x:c>
      <x:c r="J334" t="n">
        <x:v>29900</x:v>
      </x:c>
      <x:c r="K334" t="str">
        <x:v>Tarjeta débito</x:v>
      </x:c>
      <x:c r="L334" t="str">
        <x:v>Sin error</x:v>
      </x:c>
    </x:row>
    <x:row r="335">
      <x:c r="A335" t="str">
        <x:v>TXN-0000334</x:v>
      </x:c>
      <x:c r="B335" t="str">
        <x:v>2025-10</x:v>
      </x:c>
      <x:c r="C335" t="n">
        <x:v>45941</x:v>
      </x:c>
      <x:c r="D335" t="str">
        <x:v>USR-00184</x:v>
      </x:c>
      <x:c r="E335" t="str">
        <x:v>SUS-000281</x:v>
      </x:c>
      <x:c r="F335" t="str">
        <x:v>Plus mensual</x:v>
      </x:c>
      <x:c r="G335" t="str">
        <x:v>Mensual</x:v>
      </x:c>
      <x:c r="H335" t="n">
        <x:v>1</x:v>
      </x:c>
      <x:c r="I335" t="str">
        <x:v>Aprobado</x:v>
      </x:c>
      <x:c r="J335" t="n">
        <x:v>29900</x:v>
      </x:c>
      <x:c r="K335" t="str">
        <x:v>Tarjeta débito</x:v>
      </x:c>
      <x:c r="L335" t="str">
        <x:v>Sin error</x:v>
      </x:c>
    </x:row>
    <x:row r="336">
      <x:c r="A336" t="str">
        <x:v>TXN-0000335</x:v>
      </x:c>
      <x:c r="B336" t="str">
        <x:v>2025-10</x:v>
      </x:c>
      <x:c r="C336" t="n">
        <x:v>45942</x:v>
      </x:c>
      <x:c r="D336" t="str">
        <x:v>USR-00188</x:v>
      </x:c>
      <x:c r="E336" t="str">
        <x:v>SUS-000229</x:v>
      </x:c>
      <x:c r="F336" t="str">
        <x:v>Plus mensual</x:v>
      </x:c>
      <x:c r="G336" t="str">
        <x:v>Mensual</x:v>
      </x:c>
      <x:c r="H336" t="n">
        <x:v>1</x:v>
      </x:c>
      <x:c r="I336" t="str">
        <x:v>Rechazado</x:v>
      </x:c>
      <x:c r="J336" t="n">
        <x:v>29900</x:v>
      </x:c>
      <x:c r="K336" t="str">
        <x:v>Tarjeta crédito</x:v>
      </x:c>
      <x:c r="L336" t="str">
        <x:v>Error temporal</x:v>
      </x:c>
    </x:row>
    <x:row r="337">
      <x:c r="A337" t="str">
        <x:v>TXN-0000336</x:v>
      </x:c>
      <x:c r="B337" t="str">
        <x:v>2025-10</x:v>
      </x:c>
      <x:c r="C337" t="n">
        <x:v>45940</x:v>
      </x:c>
      <x:c r="D337" t="str">
        <x:v>USR-00188</x:v>
      </x:c>
      <x:c r="E337" t="str">
        <x:v>SUS-000229</x:v>
      </x:c>
      <x:c r="F337" t="str">
        <x:v>Plus mensual</x:v>
      </x:c>
      <x:c r="G337" t="str">
        <x:v>Mensual</x:v>
      </x:c>
      <x:c r="H337" t="n">
        <x:v>2</x:v>
      </x:c>
      <x:c r="I337" t="str">
        <x:v>Aprobado</x:v>
      </x:c>
      <x:c r="J337" t="n">
        <x:v>29900</x:v>
      </x:c>
      <x:c r="K337" t="str">
        <x:v>Tarjeta crédito</x:v>
      </x:c>
      <x:c r="L337" t="str">
        <x:v>Sin error</x:v>
      </x:c>
    </x:row>
    <x:row r="338">
      <x:c r="A338" t="str">
        <x:v>TXN-0000337</x:v>
      </x:c>
      <x:c r="B338" t="str">
        <x:v>2025-10</x:v>
      </x:c>
      <x:c r="C338" t="n">
        <x:v>45938</x:v>
      </x:c>
      <x:c r="D338" t="str">
        <x:v>USR-00189</x:v>
      </x:c>
      <x:c r="E338" t="str">
        <x:v>SUS-000393</x:v>
      </x:c>
      <x:c r="F338" t="str">
        <x:v>Plus mensual</x:v>
      </x:c>
      <x:c r="G338" t="str">
        <x:v>Mensual</x:v>
      </x:c>
      <x:c r="H338" t="n">
        <x:v>1</x:v>
      </x:c>
      <x:c r="I338" t="str">
        <x:v>Aprobado</x:v>
      </x:c>
      <x:c r="J338" t="n">
        <x:v>29900</x:v>
      </x:c>
      <x:c r="K338" t="str">
        <x:v>Tarjeta débito</x:v>
      </x:c>
      <x:c r="L338" t="str">
        <x:v>Sin error</x:v>
      </x:c>
    </x:row>
    <x:row r="339">
      <x:c r="A339" t="str">
        <x:v>TXN-0000338</x:v>
      </x:c>
      <x:c r="B339" t="str">
        <x:v>2025-10</x:v>
      </x:c>
      <x:c r="C339" t="n">
        <x:v>45935</x:v>
      </x:c>
      <x:c r="D339" t="str">
        <x:v>USR-00190</x:v>
      </x:c>
      <x:c r="E339" t="str">
        <x:v>SUS-000394</x:v>
      </x:c>
      <x:c r="F339" t="str">
        <x:v>Plus anual</x:v>
      </x:c>
      <x:c r="G339" t="str">
        <x:v>Anual</x:v>
      </x:c>
      <x:c r="H339" t="n">
        <x:v>1</x:v>
      </x:c>
      <x:c r="I339" t="str">
        <x:v>Aprobado</x:v>
      </x:c>
      <x:c r="J339" t="n">
        <x:v>299000</x:v>
      </x:c>
      <x:c r="K339" t="str">
        <x:v>Tarjeta débito</x:v>
      </x:c>
      <x:c r="L339" t="str">
        <x:v>Sin error</x:v>
      </x:c>
    </x:row>
    <x:row r="340">
      <x:c r="A340" t="str">
        <x:v>TXN-0000339</x:v>
      </x:c>
      <x:c r="B340" t="str">
        <x:v>2025-10</x:v>
      </x:c>
      <x:c r="C340" t="n">
        <x:v>45936</x:v>
      </x:c>
      <x:c r="D340" t="str">
        <x:v>USR-00191</x:v>
      </x:c>
      <x:c r="E340" t="str">
        <x:v>SUS-000344</x:v>
      </x:c>
      <x:c r="F340" t="str">
        <x:v>Plus mensual</x:v>
      </x:c>
      <x:c r="G340" t="str">
        <x:v>Mensual</x:v>
      </x:c>
      <x:c r="H340" t="n">
        <x:v>1</x:v>
      </x:c>
      <x:c r="I340" t="str">
        <x:v>Aprobado</x:v>
      </x:c>
      <x:c r="J340" t="n">
        <x:v>29900</x:v>
      </x:c>
      <x:c r="K340" t="str">
        <x:v>Tarjeta débito</x:v>
      </x:c>
      <x:c r="L340" t="str">
        <x:v>Sin error</x:v>
      </x:c>
    </x:row>
    <x:row r="341">
      <x:c r="A341" t="str">
        <x:v>TXN-0000340</x:v>
      </x:c>
      <x:c r="B341" t="str">
        <x:v>2025-10</x:v>
      </x:c>
      <x:c r="C341" t="n">
        <x:v>45938</x:v>
      </x:c>
      <x:c r="D341" t="str">
        <x:v>USR-00199</x:v>
      </x:c>
      <x:c r="E341" t="str">
        <x:v>SUS-000240</x:v>
      </x:c>
      <x:c r="F341" t="str">
        <x:v>Plus mensual</x:v>
      </x:c>
      <x:c r="G341" t="str">
        <x:v>Mensual</x:v>
      </x:c>
      <x:c r="H341" t="n">
        <x:v>1</x:v>
      </x:c>
      <x:c r="I341" t="str">
        <x:v>Aprobado</x:v>
      </x:c>
      <x:c r="J341" t="n">
        <x:v>29900</x:v>
      </x:c>
      <x:c r="K341" t="str">
        <x:v>PSE</x:v>
      </x:c>
      <x:c r="L341" t="str">
        <x:v>Sin error</x:v>
      </x:c>
    </x:row>
    <x:row r="342">
      <x:c r="A342" t="str">
        <x:v>TXN-0000341</x:v>
      </x:c>
      <x:c r="B342" t="str">
        <x:v>2025-10</x:v>
      </x:c>
      <x:c r="C342" t="n">
        <x:v>45940</x:v>
      </x:c>
      <x:c r="D342" t="str">
        <x:v>USR-00200</x:v>
      </x:c>
      <x:c r="E342" t="str">
        <x:v>SUS-000395</x:v>
      </x:c>
      <x:c r="F342" t="str">
        <x:v>Plus mensual</x:v>
      </x:c>
      <x:c r="G342" t="str">
        <x:v>Mensual</x:v>
      </x:c>
      <x:c r="H342" t="n">
        <x:v>1</x:v>
      </x:c>
      <x:c r="I342" t="str">
        <x:v>Aprobado</x:v>
      </x:c>
      <x:c r="J342" t="n">
        <x:v>29900</x:v>
      </x:c>
      <x:c r="K342" t="str">
        <x:v>Tarjeta crédito</x:v>
      </x:c>
      <x:c r="L342" t="str">
        <x:v>Sin error</x:v>
      </x:c>
    </x:row>
    <x:row r="343">
      <x:c r="A343" t="str">
        <x:v>TXN-0000342</x:v>
      </x:c>
      <x:c r="B343" t="str">
        <x:v>2025-10</x:v>
      </x:c>
      <x:c r="C343" t="n">
        <x:v>45935</x:v>
      </x:c>
      <x:c r="D343" t="str">
        <x:v>USR-00201</x:v>
      </x:c>
      <x:c r="E343" t="str">
        <x:v>SUS-000242</x:v>
      </x:c>
      <x:c r="F343" t="str">
        <x:v>Plus mensual</x:v>
      </x:c>
      <x:c r="G343" t="str">
        <x:v>Mensual</x:v>
      </x:c>
      <x:c r="H343" t="n">
        <x:v>1</x:v>
      </x:c>
      <x:c r="I343" t="str">
        <x:v>Aprobado</x:v>
      </x:c>
      <x:c r="J343" t="n">
        <x:v>29900</x:v>
      </x:c>
      <x:c r="K343" t="str">
        <x:v>PSE</x:v>
      </x:c>
      <x:c r="L343" t="str">
        <x:v>Sin error</x:v>
      </x:c>
    </x:row>
    <x:row r="344">
      <x:c r="A344" t="str">
        <x:v>TXN-0000343</x:v>
      </x:c>
      <x:c r="B344" t="str">
        <x:v>2025-10</x:v>
      </x:c>
      <x:c r="C344" t="n">
        <x:v>45935</x:v>
      </x:c>
      <x:c r="D344" t="str">
        <x:v>USR-00203</x:v>
      </x:c>
      <x:c r="E344" t="str">
        <x:v>SUS-000283</x:v>
      </x:c>
      <x:c r="F344" t="str">
        <x:v>Plus mensual</x:v>
      </x:c>
      <x:c r="G344" t="str">
        <x:v>Mensual</x:v>
      </x:c>
      <x:c r="H344" t="n">
        <x:v>1</x:v>
      </x:c>
      <x:c r="I344" t="str">
        <x:v>Aprobado</x:v>
      </x:c>
      <x:c r="J344" t="n">
        <x:v>29900</x:v>
      </x:c>
      <x:c r="K344" t="str">
        <x:v>Tarjeta débito</x:v>
      </x:c>
      <x:c r="L344" t="str">
        <x:v>Sin error</x:v>
      </x:c>
    </x:row>
    <x:row r="345">
      <x:c r="A345" t="str">
        <x:v>TXN-0000344</x:v>
      </x:c>
      <x:c r="B345" t="str">
        <x:v>2025-10</x:v>
      </x:c>
      <x:c r="C345" t="n">
        <x:v>45936</x:v>
      </x:c>
      <x:c r="D345" t="str">
        <x:v>USR-00208</x:v>
      </x:c>
      <x:c r="E345" t="str">
        <x:v>SUS-000396</x:v>
      </x:c>
      <x:c r="F345" t="str">
        <x:v>Plus anual</x:v>
      </x:c>
      <x:c r="G345" t="str">
        <x:v>Anual</x:v>
      </x:c>
      <x:c r="H345" t="n">
        <x:v>1</x:v>
      </x:c>
      <x:c r="I345" t="str">
        <x:v>Aprobado</x:v>
      </x:c>
      <x:c r="J345" t="n">
        <x:v>299000</x:v>
      </x:c>
      <x:c r="K345" t="str">
        <x:v>Tarjeta crédito</x:v>
      </x:c>
      <x:c r="L345" t="str">
        <x:v>Sin error</x:v>
      </x:c>
    </x:row>
    <x:row r="346">
      <x:c r="A346" t="str">
        <x:v>TXN-0000345</x:v>
      </x:c>
      <x:c r="B346" t="str">
        <x:v>2025-10</x:v>
      </x:c>
      <x:c r="C346" t="n">
        <x:v>45939</x:v>
      </x:c>
      <x:c r="D346" t="str">
        <x:v>USR-00220</x:v>
      </x:c>
      <x:c r="E346" t="str">
        <x:v>SUS-000261</x:v>
      </x:c>
      <x:c r="F346" t="str">
        <x:v>Plus mensual</x:v>
      </x:c>
      <x:c r="G346" t="str">
        <x:v>Mensual</x:v>
      </x:c>
      <x:c r="H346" t="n">
        <x:v>1</x:v>
      </x:c>
      <x:c r="I346" t="str">
        <x:v>Aprobado</x:v>
      </x:c>
      <x:c r="J346" t="n">
        <x:v>29900</x:v>
      </x:c>
      <x:c r="K346" t="str">
        <x:v>Tarjeta débito</x:v>
      </x:c>
      <x:c r="L346" t="str">
        <x:v>Sin error</x:v>
      </x:c>
    </x:row>
    <x:row r="347">
      <x:c r="A347" t="str">
        <x:v>TXN-0000346</x:v>
      </x:c>
      <x:c r="B347" t="str">
        <x:v>2025-10</x:v>
      </x:c>
      <x:c r="C347" t="n">
        <x:v>45941</x:v>
      </x:c>
      <x:c r="D347" t="str">
        <x:v>USR-00224</x:v>
      </x:c>
      <x:c r="E347" t="str">
        <x:v>SUS-000265</x:v>
      </x:c>
      <x:c r="F347" t="str">
        <x:v>Plus mensual</x:v>
      </x:c>
      <x:c r="G347" t="str">
        <x:v>Mensual</x:v>
      </x:c>
      <x:c r="H347" t="n">
        <x:v>1</x:v>
      </x:c>
      <x:c r="I347" t="str">
        <x:v>Aprobado</x:v>
      </x:c>
      <x:c r="J347" t="n">
        <x:v>29900</x:v>
      </x:c>
      <x:c r="K347" t="str">
        <x:v>Tarjeta débito</x:v>
      </x:c>
      <x:c r="L347" t="str">
        <x:v>Sin error</x:v>
      </x:c>
    </x:row>
    <x:row r="348">
      <x:c r="A348" t="str">
        <x:v>TXN-0000347</x:v>
      </x:c>
      <x:c r="B348" t="str">
        <x:v>2025-10</x:v>
      </x:c>
      <x:c r="C348" t="n">
        <x:v>45938</x:v>
      </x:c>
      <x:c r="D348" t="str">
        <x:v>USR-00225</x:v>
      </x:c>
      <x:c r="E348" t="str">
        <x:v>SUS-000266</x:v>
      </x:c>
      <x:c r="F348" t="str">
        <x:v>Plus mensual</x:v>
      </x:c>
      <x:c r="G348" t="str">
        <x:v>Mensual</x:v>
      </x:c>
      <x:c r="H348" t="n">
        <x:v>1</x:v>
      </x:c>
      <x:c r="I348" t="str">
        <x:v>Aprobado</x:v>
      </x:c>
      <x:c r="J348" t="n">
        <x:v>29900</x:v>
      </x:c>
      <x:c r="K348" t="str">
        <x:v>Tarjeta crédito</x:v>
      </x:c>
      <x:c r="L348" t="str">
        <x:v>Sin error</x:v>
      </x:c>
    </x:row>
    <x:row r="349">
      <x:c r="A349" t="str">
        <x:v>TXN-0000348</x:v>
      </x:c>
      <x:c r="B349" t="str">
        <x:v>2025-10</x:v>
      </x:c>
      <x:c r="C349" t="n">
        <x:v>45939</x:v>
      </x:c>
      <x:c r="D349" t="str">
        <x:v>USR-00232</x:v>
      </x:c>
      <x:c r="E349" t="str">
        <x:v>SUS-000293</x:v>
      </x:c>
      <x:c r="F349" t="str">
        <x:v>Plus mensual</x:v>
      </x:c>
      <x:c r="G349" t="str">
        <x:v>Mensual</x:v>
      </x:c>
      <x:c r="H349" t="n">
        <x:v>1</x:v>
      </x:c>
      <x:c r="I349" t="str">
        <x:v>Aprobado</x:v>
      </x:c>
      <x:c r="J349" t="n">
        <x:v>29900</x:v>
      </x:c>
      <x:c r="K349" t="str">
        <x:v>Tarjeta crédito</x:v>
      </x:c>
      <x:c r="L349" t="str">
        <x:v>Sin error</x:v>
      </x:c>
    </x:row>
    <x:row r="350">
      <x:c r="A350" t="str">
        <x:v>TXN-0000349</x:v>
      </x:c>
      <x:c r="B350" t="str">
        <x:v>2025-10</x:v>
      </x:c>
      <x:c r="C350" t="n">
        <x:v>45938</x:v>
      </x:c>
      <x:c r="D350" t="str">
        <x:v>USR-00238</x:v>
      </x:c>
      <x:c r="E350" t="str">
        <x:v>SUS-000299</x:v>
      </x:c>
      <x:c r="F350" t="str">
        <x:v>Plus mensual</x:v>
      </x:c>
      <x:c r="G350" t="str">
        <x:v>Mensual</x:v>
      </x:c>
      <x:c r="H350" t="n">
        <x:v>1</x:v>
      </x:c>
      <x:c r="I350" t="str">
        <x:v>Aprobado</x:v>
      </x:c>
      <x:c r="J350" t="n">
        <x:v>29900</x:v>
      </x:c>
      <x:c r="K350" t="str">
        <x:v>Tarjeta débito</x:v>
      </x:c>
      <x:c r="L350" t="str">
        <x:v>Sin error</x:v>
      </x:c>
    </x:row>
    <x:row r="351">
      <x:c r="A351" t="str">
        <x:v>TXN-0000350</x:v>
      </x:c>
      <x:c r="B351" t="str">
        <x:v>2025-10</x:v>
      </x:c>
      <x:c r="C351" t="n">
        <x:v>45942</x:v>
      </x:c>
      <x:c r="D351" t="str">
        <x:v>USR-00249</x:v>
      </x:c>
      <x:c r="E351" t="str">
        <x:v>SUS-000310</x:v>
      </x:c>
      <x:c r="F351" t="str">
        <x:v>Plus mensual</x:v>
      </x:c>
      <x:c r="G351" t="str">
        <x:v>Mensual</x:v>
      </x:c>
      <x:c r="H351" t="n">
        <x:v>1</x:v>
      </x:c>
      <x:c r="I351" t="str">
        <x:v>Aprobado</x:v>
      </x:c>
      <x:c r="J351" t="n">
        <x:v>29900</x:v>
      </x:c>
      <x:c r="K351" t="str">
        <x:v>Tarjeta débito</x:v>
      </x:c>
      <x:c r="L351" t="str">
        <x:v>Sin error</x:v>
      </x:c>
    </x:row>
    <x:row r="352">
      <x:c r="A352" t="str">
        <x:v>TXN-0000351</x:v>
      </x:c>
      <x:c r="B352" t="str">
        <x:v>2025-10</x:v>
      </x:c>
      <x:c r="C352" t="n">
        <x:v>45940</x:v>
      </x:c>
      <x:c r="D352" t="str">
        <x:v>USR-00254</x:v>
      </x:c>
      <x:c r="E352" t="str">
        <x:v>SUS-000315</x:v>
      </x:c>
      <x:c r="F352" t="str">
        <x:v>Plus mensual</x:v>
      </x:c>
      <x:c r="G352" t="str">
        <x:v>Mensual</x:v>
      </x:c>
      <x:c r="H352" t="n">
        <x:v>1</x:v>
      </x:c>
      <x:c r="I352" t="str">
        <x:v>Aprobado</x:v>
      </x:c>
      <x:c r="J352" t="n">
        <x:v>29900</x:v>
      </x:c>
      <x:c r="K352" t="str">
        <x:v>Tarjeta débito</x:v>
      </x:c>
      <x:c r="L352" t="str">
        <x:v>Sin error</x:v>
      </x:c>
    </x:row>
    <x:row r="353">
      <x:c r="A353" t="str">
        <x:v>TXN-0000352</x:v>
      </x:c>
      <x:c r="B353" t="str">
        <x:v>2025-10</x:v>
      </x:c>
      <x:c r="C353" t="n">
        <x:v>45939</x:v>
      </x:c>
      <x:c r="D353" t="str">
        <x:v>USR-00266</x:v>
      </x:c>
      <x:c r="E353" t="str">
        <x:v>SUS-000398</x:v>
      </x:c>
      <x:c r="F353" t="str">
        <x:v>Plus mensual</x:v>
      </x:c>
      <x:c r="G353" t="str">
        <x:v>Mensual</x:v>
      </x:c>
      <x:c r="H353" t="n">
        <x:v>1</x:v>
      </x:c>
      <x:c r="I353" t="str">
        <x:v>Aprobado</x:v>
      </x:c>
      <x:c r="J353" t="n">
        <x:v>29900</x:v>
      </x:c>
      <x:c r="K353" t="str">
        <x:v>Tarjeta débito</x:v>
      </x:c>
      <x:c r="L353" t="str">
        <x:v>Sin error</x:v>
      </x:c>
    </x:row>
    <x:row r="354">
      <x:c r="A354" t="str">
        <x:v>TXN-0000353</x:v>
      </x:c>
      <x:c r="B354" t="str">
        <x:v>2025-10</x:v>
      </x:c>
      <x:c r="C354" t="n">
        <x:v>45935</x:v>
      </x:c>
      <x:c r="D354" t="str">
        <x:v>USR-00267</x:v>
      </x:c>
      <x:c r="E354" t="str">
        <x:v>SUS-000349</x:v>
      </x:c>
      <x:c r="F354" t="str">
        <x:v>Plus mensual</x:v>
      </x:c>
      <x:c r="G354" t="str">
        <x:v>Mensual</x:v>
      </x:c>
      <x:c r="H354" t="n">
        <x:v>1</x:v>
      </x:c>
      <x:c r="I354" t="str">
        <x:v>Aprobado</x:v>
      </x:c>
      <x:c r="J354" t="n">
        <x:v>29900</x:v>
      </x:c>
      <x:c r="K354" t="str">
        <x:v>PSE</x:v>
      </x:c>
      <x:c r="L354" t="str">
        <x:v>Sin error</x:v>
      </x:c>
    </x:row>
    <x:row r="355">
      <x:c r="A355" t="str">
        <x:v>TXN-0000354</x:v>
      </x:c>
      <x:c r="B355" t="str">
        <x:v>2025-10</x:v>
      </x:c>
      <x:c r="C355" t="n">
        <x:v>45941</x:v>
      </x:c>
      <x:c r="D355" t="str">
        <x:v>USR-00285</x:v>
      </x:c>
      <x:c r="E355" t="str">
        <x:v>SUS-000400</x:v>
      </x:c>
      <x:c r="F355" t="str">
        <x:v>Plus anual</x:v>
      </x:c>
      <x:c r="G355" t="str">
        <x:v>Anual</x:v>
      </x:c>
      <x:c r="H355" t="n">
        <x:v>1</x:v>
      </x:c>
      <x:c r="I355" t="str">
        <x:v>Aprobado</x:v>
      </x:c>
      <x:c r="J355" t="n">
        <x:v>299000</x:v>
      </x:c>
      <x:c r="K355" t="str">
        <x:v>Tarjeta crédito</x:v>
      </x:c>
      <x:c r="L355" t="str">
        <x:v>Sin error</x:v>
      </x:c>
    </x:row>
    <x:row r="356">
      <x:c r="A356" t="str">
        <x:v>TXN-0000355</x:v>
      </x:c>
      <x:c r="B356" t="str">
        <x:v>2025-10</x:v>
      </x:c>
      <x:c r="C356" t="n">
        <x:v>45938</x:v>
      </x:c>
      <x:c r="D356" t="str">
        <x:v>USR-00286</x:v>
      </x:c>
      <x:c r="E356" t="str">
        <x:v>SUS-000368</x:v>
      </x:c>
      <x:c r="F356" t="str">
        <x:v>Plus mensual</x:v>
      </x:c>
      <x:c r="G356" t="str">
        <x:v>Mensual</x:v>
      </x:c>
      <x:c r="H356" t="n">
        <x:v>1</x:v>
      </x:c>
      <x:c r="I356" t="str">
        <x:v>Aprobado</x:v>
      </x:c>
      <x:c r="J356" t="n">
        <x:v>29900</x:v>
      </x:c>
      <x:c r="K356" t="str">
        <x:v>Tarjeta crédito</x:v>
      </x:c>
      <x:c r="L356" t="str">
        <x:v>Sin error</x:v>
      </x:c>
    </x:row>
    <x:row r="357">
      <x:c r="A357" t="str">
        <x:v>TXN-0000356</x:v>
      </x:c>
      <x:c r="B357" t="str">
        <x:v>2025-10</x:v>
      </x:c>
      <x:c r="C357" t="n">
        <x:v>45940</x:v>
      </x:c>
      <x:c r="D357" t="str">
        <x:v>USR-00289</x:v>
      </x:c>
      <x:c r="E357" t="str">
        <x:v>SUS-000371</x:v>
      </x:c>
      <x:c r="F357" t="str">
        <x:v>Plus mensual</x:v>
      </x:c>
      <x:c r="G357" t="str">
        <x:v>Mensual</x:v>
      </x:c>
      <x:c r="H357" t="n">
        <x:v>1</x:v>
      </x:c>
      <x:c r="I357" t="str">
        <x:v>Aprobado</x:v>
      </x:c>
      <x:c r="J357" t="n">
        <x:v>29900</x:v>
      </x:c>
      <x:c r="K357" t="str">
        <x:v>PSE</x:v>
      </x:c>
      <x:c r="L357" t="str">
        <x:v>Sin error</x:v>
      </x:c>
    </x:row>
    <x:row r="358">
      <x:c r="A358" t="str">
        <x:v>TXN-0000357</x:v>
      </x:c>
      <x:c r="B358" t="str">
        <x:v>2025-10</x:v>
      </x:c>
      <x:c r="C358" t="n">
        <x:v>45939</x:v>
      </x:c>
      <x:c r="D358" t="str">
        <x:v>USR-00307</x:v>
      </x:c>
      <x:c r="E358" t="str">
        <x:v>SUS-000406</x:v>
      </x:c>
      <x:c r="F358" t="str">
        <x:v>Plus mensual</x:v>
      </x:c>
      <x:c r="G358" t="str">
        <x:v>Mensual</x:v>
      </x:c>
      <x:c r="H358" t="n">
        <x:v>1</x:v>
      </x:c>
      <x:c r="I358" t="str">
        <x:v>Aprobado</x:v>
      </x:c>
      <x:c r="J358" t="n">
        <x:v>29900</x:v>
      </x:c>
      <x:c r="K358" t="str">
        <x:v>Tarjeta débito</x:v>
      </x:c>
      <x:c r="L358" t="str">
        <x:v>Sin error</x:v>
      </x:c>
    </x:row>
    <x:row r="359">
      <x:c r="A359" t="str">
        <x:v>TXN-0000358</x:v>
      </x:c>
      <x:c r="B359" t="str">
        <x:v>2025-10</x:v>
      </x:c>
      <x:c r="C359" t="n">
        <x:v>45936</x:v>
      </x:c>
      <x:c r="D359" t="str">
        <x:v>USR-00320</x:v>
      </x:c>
      <x:c r="E359" t="str">
        <x:v>SUS-000419</x:v>
      </x:c>
      <x:c r="F359" t="str">
        <x:v>Plus mensual</x:v>
      </x:c>
      <x:c r="G359" t="str">
        <x:v>Mensual</x:v>
      </x:c>
      <x:c r="H359" t="n">
        <x:v>1</x:v>
      </x:c>
      <x:c r="I359" t="str">
        <x:v>Aprobado</x:v>
      </x:c>
      <x:c r="J359" t="n">
        <x:v>29900</x:v>
      </x:c>
      <x:c r="K359" t="str">
        <x:v>Tarjeta crédito</x:v>
      </x:c>
      <x:c r="L359" t="str">
        <x:v>Sin error</x:v>
      </x:c>
    </x:row>
    <x:row r="360">
      <x:c r="A360" t="str">
        <x:v>TXN-0000359</x:v>
      </x:c>
      <x:c r="B360" t="str">
        <x:v>2025-10</x:v>
      </x:c>
      <x:c r="C360" t="n">
        <x:v>45940</x:v>
      </x:c>
      <x:c r="D360" t="str">
        <x:v>USR-00325</x:v>
      </x:c>
      <x:c r="E360" t="str">
        <x:v>SUS-000424</x:v>
      </x:c>
      <x:c r="F360" t="str">
        <x:v>Plus mensual</x:v>
      </x:c>
      <x:c r="G360" t="str">
        <x:v>Mensual</x:v>
      </x:c>
      <x:c r="H360" t="n">
        <x:v>1</x:v>
      </x:c>
      <x:c r="I360" t="str">
        <x:v>Aprobado</x:v>
      </x:c>
      <x:c r="J360" t="n">
        <x:v>29900</x:v>
      </x:c>
      <x:c r="K360" t="str">
        <x:v>PSE</x:v>
      </x:c>
      <x:c r="L360" t="str">
        <x:v>Sin error</x:v>
      </x:c>
    </x:row>
    <x:row r="361">
      <x:c r="A361" t="str">
        <x:v>TXN-0000360</x:v>
      </x:c>
      <x:c r="B361" t="str">
        <x:v>2025-10</x:v>
      </x:c>
      <x:c r="C361" t="n">
        <x:v>45941</x:v>
      </x:c>
      <x:c r="D361" t="str">
        <x:v>USR-00329</x:v>
      </x:c>
      <x:c r="E361" t="str">
        <x:v>SUS-000428</x:v>
      </x:c>
      <x:c r="F361" t="str">
        <x:v>Plus mensual</x:v>
      </x:c>
      <x:c r="G361" t="str">
        <x:v>Mensual</x:v>
      </x:c>
      <x:c r="H361" t="n">
        <x:v>1</x:v>
      </x:c>
      <x:c r="I361" t="str">
        <x:v>Aprobado</x:v>
      </x:c>
      <x:c r="J361" t="n">
        <x:v>29900</x:v>
      </x:c>
      <x:c r="K361" t="str">
        <x:v>Tarjeta débito</x:v>
      </x:c>
      <x:c r="L361" t="str">
        <x:v>Sin error</x:v>
      </x:c>
    </x:row>
    <x:row r="362">
      <x:c r="A362" t="str">
        <x:v>TXN-0000361</x:v>
      </x:c>
      <x:c r="B362" t="str">
        <x:v>2025-10</x:v>
      </x:c>
      <x:c r="C362" t="n">
        <x:v>45938</x:v>
      </x:c>
      <x:c r="D362" t="str">
        <x:v>USR-00331</x:v>
      </x:c>
      <x:c r="E362" t="str">
        <x:v>SUS-000430</x:v>
      </x:c>
      <x:c r="F362" t="str">
        <x:v>Plus mensual</x:v>
      </x:c>
      <x:c r="G362" t="str">
        <x:v>Mensual</x:v>
      </x:c>
      <x:c r="H362" t="n">
        <x:v>1</x:v>
      </x:c>
      <x:c r="I362" t="str">
        <x:v>Aprobado</x:v>
      </x:c>
      <x:c r="J362" t="n">
        <x:v>29900</x:v>
      </x:c>
      <x:c r="K362" t="str">
        <x:v>Tarjeta débito</x:v>
      </x:c>
      <x:c r="L362" t="str">
        <x:v>Sin error</x:v>
      </x:c>
    </x:row>
    <x:row r="363">
      <x:c r="A363" t="str">
        <x:v>TXN-0000362</x:v>
      </x:c>
      <x:c r="B363" t="str">
        <x:v>2025-10</x:v>
      </x:c>
      <x:c r="C363" t="n">
        <x:v>45938</x:v>
      </x:c>
      <x:c r="D363" t="str">
        <x:v>USR-00332</x:v>
      </x:c>
      <x:c r="E363" t="str">
        <x:v>SIN_SUSCRIPCION</x:v>
      </x:c>
      <x:c r="F363" t="str">
        <x:v>Plus anual</x:v>
      </x:c>
      <x:c r="G363" t="str">
        <x:v>Anual</x:v>
      </x:c>
      <x:c r="H363" t="n">
        <x:v>1</x:v>
      </x:c>
      <x:c r="I363" t="str">
        <x:v>Rechazado</x:v>
      </x:c>
      <x:c r="J363" t="n">
        <x:v>299000</x:v>
      </x:c>
      <x:c r="K363" t="str">
        <x:v>Tarjeta débito</x:v>
      </x:c>
      <x:c r="L363" t="str">
        <x:v>Error temporal</x:v>
      </x:c>
    </x:row>
    <x:row r="364">
      <x:c r="A364" t="str">
        <x:v>TXN-0000363</x:v>
      </x:c>
      <x:c r="B364" t="str">
        <x:v>2025-10</x:v>
      </x:c>
      <x:c r="C364" t="n">
        <x:v>45940</x:v>
      </x:c>
      <x:c r="D364" t="str">
        <x:v>USR-00332</x:v>
      </x:c>
      <x:c r="E364" t="str">
        <x:v>SIN_SUSCRIPCION</x:v>
      </x:c>
      <x:c r="F364" t="str">
        <x:v>Plus anual</x:v>
      </x:c>
      <x:c r="G364" t="str">
        <x:v>Anual</x:v>
      </x:c>
      <x:c r="H364" t="n">
        <x:v>2</x:v>
      </x:c>
      <x:c r="I364" t="str">
        <x:v>Rechazado</x:v>
      </x:c>
      <x:c r="J364" t="n">
        <x:v>299000</x:v>
      </x:c>
      <x:c r="K364" t="str">
        <x:v>PSE</x:v>
      </x:c>
      <x:c r="L364" t="str">
        <x:v>Declinado por entidad</x:v>
      </x:c>
    </x:row>
    <x:row r="365">
      <x:c r="A365" t="str">
        <x:v>TXN-0000364</x:v>
      </x:c>
      <x:c r="B365" t="str">
        <x:v>2025-10</x:v>
      </x:c>
      <x:c r="C365" t="n">
        <x:v>45940</x:v>
      </x:c>
      <x:c r="D365" t="str">
        <x:v>USR-00336</x:v>
      </x:c>
      <x:c r="E365" t="str">
        <x:v>SUS-000435</x:v>
      </x:c>
      <x:c r="F365" t="str">
        <x:v>Plus mensual</x:v>
      </x:c>
      <x:c r="G365" t="str">
        <x:v>Mensual</x:v>
      </x:c>
      <x:c r="H365" t="n">
        <x:v>1</x:v>
      </x:c>
      <x:c r="I365" t="str">
        <x:v>Aprobado</x:v>
      </x:c>
      <x:c r="J365" t="n">
        <x:v>29900</x:v>
      </x:c>
      <x:c r="K365" t="str">
        <x:v>Tarjeta débito</x:v>
      </x:c>
      <x:c r="L365" t="str">
        <x:v>Sin error</x:v>
      </x:c>
    </x:row>
    <x:row r="366">
      <x:c r="A366" t="str">
        <x:v>TXN-0000365</x:v>
      </x:c>
      <x:c r="B366" t="str">
        <x:v>2025-10</x:v>
      </x:c>
      <x:c r="C366" t="n">
        <x:v>45935</x:v>
      </x:c>
      <x:c r="D366" t="str">
        <x:v>USR-00344</x:v>
      </x:c>
      <x:c r="E366" t="str">
        <x:v>SUS-000443</x:v>
      </x:c>
      <x:c r="F366" t="str">
        <x:v>Plus mensual</x:v>
      </x:c>
      <x:c r="G366" t="str">
        <x:v>Mensual</x:v>
      </x:c>
      <x:c r="H366" t="n">
        <x:v>1</x:v>
      </x:c>
      <x:c r="I366" t="str">
        <x:v>Aprobado</x:v>
      </x:c>
      <x:c r="J366" t="n">
        <x:v>29900</x:v>
      </x:c>
      <x:c r="K366" t="str">
        <x:v>Tarjeta débito</x:v>
      </x:c>
      <x:c r="L366" t="str">
        <x:v>Sin error</x:v>
      </x:c>
    </x:row>
    <x:row r="367">
      <x:c r="A367" t="str">
        <x:v>TXN-0000366</x:v>
      </x:c>
      <x:c r="B367" t="str">
        <x:v>2025-10</x:v>
      </x:c>
      <x:c r="C367" t="n">
        <x:v>45937</x:v>
      </x:c>
      <x:c r="D367" t="str">
        <x:v>USR-00350</x:v>
      </x:c>
      <x:c r="E367" t="str">
        <x:v>SUS-000449</x:v>
      </x:c>
      <x:c r="F367" t="str">
        <x:v>Plus mensual</x:v>
      </x:c>
      <x:c r="G367" t="str">
        <x:v>Mensual</x:v>
      </x:c>
      <x:c r="H367" t="n">
        <x:v>1</x:v>
      </x:c>
      <x:c r="I367" t="str">
        <x:v>Aprobado</x:v>
      </x:c>
      <x:c r="J367" t="n">
        <x:v>29900</x:v>
      </x:c>
      <x:c r="K367" t="str">
        <x:v>PSE</x:v>
      </x:c>
      <x:c r="L367" t="str">
        <x:v>Sin error</x:v>
      </x:c>
    </x:row>
    <x:row r="368">
      <x:c r="A368" t="str">
        <x:v>TXN-0000367</x:v>
      </x:c>
      <x:c r="B368" t="str">
        <x:v>2025-10</x:v>
      </x:c>
      <x:c r="C368" t="n">
        <x:v>45935</x:v>
      </x:c>
      <x:c r="D368" t="str">
        <x:v>USR-00354</x:v>
      </x:c>
      <x:c r="E368" t="str">
        <x:v>SUS-000453</x:v>
      </x:c>
      <x:c r="F368" t="str">
        <x:v>Plus mensual</x:v>
      </x:c>
      <x:c r="G368" t="str">
        <x:v>Mensual</x:v>
      </x:c>
      <x:c r="H368" t="n">
        <x:v>1</x:v>
      </x:c>
      <x:c r="I368" t="str">
        <x:v>Aprobado</x:v>
      </x:c>
      <x:c r="J368" t="n">
        <x:v>29900</x:v>
      </x:c>
      <x:c r="K368" t="str">
        <x:v>PSE</x:v>
      </x:c>
      <x:c r="L368" t="str">
        <x:v>Sin error</x:v>
      </x:c>
    </x:row>
    <x:row r="369">
      <x:c r="A369" t="str">
        <x:v>TXN-0000368</x:v>
      </x:c>
      <x:c r="B369" t="str">
        <x:v>2025-11</x:v>
      </x:c>
      <x:c r="C369" t="n">
        <x:v>45968</x:v>
      </x:c>
      <x:c r="D369" t="str">
        <x:v>USR-00002</x:v>
      </x:c>
      <x:c r="E369" t="str">
        <x:v>SUS-000212</x:v>
      </x:c>
      <x:c r="F369" t="str">
        <x:v>Plus mensual</x:v>
      </x:c>
      <x:c r="G369" t="str">
        <x:v>Mensual</x:v>
      </x:c>
      <x:c r="H369" t="n">
        <x:v>1</x:v>
      </x:c>
      <x:c r="I369" t="str">
        <x:v>Aprobado</x:v>
      </x:c>
      <x:c r="J369" t="n">
        <x:v>29900</x:v>
      </x:c>
      <x:c r="K369" t="str">
        <x:v>Tarjeta débito</x:v>
      </x:c>
      <x:c r="L369" t="str">
        <x:v>Sin error</x:v>
      </x:c>
    </x:row>
    <x:row r="370">
      <x:c r="A370" t="str">
        <x:v>TXN-0000369</x:v>
      </x:c>
      <x:c r="B370" t="str">
        <x:v>2025-11</x:v>
      </x:c>
      <x:c r="C370" t="n">
        <x:v>45966</x:v>
      </x:c>
      <x:c r="D370" t="str">
        <x:v>USR-00010</x:v>
      </x:c>
      <x:c r="E370" t="str">
        <x:v>SUS-000327</x:v>
      </x:c>
      <x:c r="F370" t="str">
        <x:v>Plus mensual</x:v>
      </x:c>
      <x:c r="G370" t="str">
        <x:v>Mensual</x:v>
      </x:c>
      <x:c r="H370" t="n">
        <x:v>1</x:v>
      </x:c>
      <x:c r="I370" t="str">
        <x:v>Aprobado</x:v>
      </x:c>
      <x:c r="J370" t="n">
        <x:v>29900</x:v>
      </x:c>
      <x:c r="K370" t="str">
        <x:v>Tarjeta débito</x:v>
      </x:c>
      <x:c r="L370" t="str">
        <x:v>Sin error</x:v>
      </x:c>
    </x:row>
    <x:row r="371">
      <x:c r="A371" t="str">
        <x:v>TXN-0000370</x:v>
      </x:c>
      <x:c r="B371" t="str">
        <x:v>2025-11</x:v>
      </x:c>
      <x:c r="C371" t="n">
        <x:v>45968</x:v>
      </x:c>
      <x:c r="D371" t="str">
        <x:v>USR-00013</x:v>
      </x:c>
      <x:c r="E371" t="str">
        <x:v>SUS-000456</x:v>
      </x:c>
      <x:c r="F371" t="str">
        <x:v>Plus anual</x:v>
      </x:c>
      <x:c r="G371" t="str">
        <x:v>Anual</x:v>
      </x:c>
      <x:c r="H371" t="n">
        <x:v>1</x:v>
      </x:c>
      <x:c r="I371" t="str">
        <x:v>Aprobado</x:v>
      </x:c>
      <x:c r="J371" t="n">
        <x:v>299000</x:v>
      </x:c>
      <x:c r="K371" t="str">
        <x:v>Tarjeta crédito</x:v>
      </x:c>
      <x:c r="L371" t="str">
        <x:v>Sin error</x:v>
      </x:c>
    </x:row>
    <x:row r="372">
      <x:c r="A372" t="str">
        <x:v>TXN-0000371</x:v>
      </x:c>
      <x:c r="B372" t="str">
        <x:v>2025-11</x:v>
      </x:c>
      <x:c r="C372" t="n">
        <x:v>45971</x:v>
      </x:c>
      <x:c r="D372" t="str">
        <x:v>USR-00018</x:v>
      </x:c>
      <x:c r="E372" t="str">
        <x:v>SUS-000157</x:v>
      </x:c>
      <x:c r="F372" t="str">
        <x:v>Plus mensual</x:v>
      </x:c>
      <x:c r="G372" t="str">
        <x:v>Mensual</x:v>
      </x:c>
      <x:c r="H372" t="n">
        <x:v>1</x:v>
      </x:c>
      <x:c r="I372" t="str">
        <x:v>Aprobado</x:v>
      </x:c>
      <x:c r="J372" t="n">
        <x:v>29900</x:v>
      </x:c>
      <x:c r="K372" t="str">
        <x:v>Tarjeta crédito</x:v>
      </x:c>
      <x:c r="L372" t="str">
        <x:v>Sin error</x:v>
      </x:c>
    </x:row>
    <x:row r="373">
      <x:c r="A373" t="str">
        <x:v>TXN-0000372</x:v>
      </x:c>
      <x:c r="B373" t="str">
        <x:v>2025-11</x:v>
      </x:c>
      <x:c r="C373" t="n">
        <x:v>45973</x:v>
      </x:c>
      <x:c r="D373" t="str">
        <x:v>USR-00019</x:v>
      </x:c>
      <x:c r="E373" t="str">
        <x:v>SUS-000158</x:v>
      </x:c>
      <x:c r="F373" t="str">
        <x:v>Plus mensual</x:v>
      </x:c>
      <x:c r="G373" t="str">
        <x:v>Mensual</x:v>
      </x:c>
      <x:c r="H373" t="n">
        <x:v>1</x:v>
      </x:c>
      <x:c r="I373" t="str">
        <x:v>Aprobado</x:v>
      </x:c>
      <x:c r="J373" t="n">
        <x:v>29900</x:v>
      </x:c>
      <x:c r="K373" t="str">
        <x:v>Tarjeta crédito</x:v>
      </x:c>
      <x:c r="L373" t="str">
        <x:v>Sin error</x:v>
      </x:c>
    </x:row>
    <x:row r="374">
      <x:c r="A374" t="str">
        <x:v>TXN-0000373</x:v>
      </x:c>
      <x:c r="B374" t="str">
        <x:v>2025-11</x:v>
      </x:c>
      <x:c r="C374" t="n">
        <x:v>45967</x:v>
      </x:c>
      <x:c r="D374" t="str">
        <x:v>USR-00026</x:v>
      </x:c>
      <x:c r="E374" t="str">
        <x:v>SUS-000101</x:v>
      </x:c>
      <x:c r="F374" t="str">
        <x:v>Plus mensual</x:v>
      </x:c>
      <x:c r="G374" t="str">
        <x:v>Mensual</x:v>
      </x:c>
      <x:c r="H374" t="n">
        <x:v>1</x:v>
      </x:c>
      <x:c r="I374" t="str">
        <x:v>Aprobado</x:v>
      </x:c>
      <x:c r="J374" t="n">
        <x:v>29900</x:v>
      </x:c>
      <x:c r="K374" t="str">
        <x:v>Tarjeta crédito</x:v>
      </x:c>
      <x:c r="L374" t="str">
        <x:v>Sin error</x:v>
      </x:c>
    </x:row>
    <x:row r="375">
      <x:c r="A375" t="str">
        <x:v>TXN-0000374</x:v>
      </x:c>
      <x:c r="B375" t="str">
        <x:v>2025-11</x:v>
      </x:c>
      <x:c r="C375" t="n">
        <x:v>45969</x:v>
      </x:c>
      <x:c r="D375" t="str">
        <x:v>USR-00035</x:v>
      </x:c>
      <x:c r="E375" t="str">
        <x:v>SUS-000130</x:v>
      </x:c>
      <x:c r="F375" t="str">
        <x:v>Plus mensual</x:v>
      </x:c>
      <x:c r="G375" t="str">
        <x:v>Mensual</x:v>
      </x:c>
      <x:c r="H375" t="n">
        <x:v>1</x:v>
      </x:c>
      <x:c r="I375" t="str">
        <x:v>Aprobado</x:v>
      </x:c>
      <x:c r="J375" t="n">
        <x:v>29900</x:v>
      </x:c>
      <x:c r="K375" t="str">
        <x:v>Tarjeta crédito</x:v>
      </x:c>
      <x:c r="L375" t="str">
        <x:v>Sin error</x:v>
      </x:c>
    </x:row>
    <x:row r="376">
      <x:c r="A376" t="str">
        <x:v>TXN-0000375</x:v>
      </x:c>
      <x:c r="B376" t="str">
        <x:v>2025-11</x:v>
      </x:c>
      <x:c r="C376" t="n">
        <x:v>45967</x:v>
      </x:c>
      <x:c r="D376" t="str">
        <x:v>USR-00036</x:v>
      </x:c>
      <x:c r="E376" t="str">
        <x:v>SUS-000329</x:v>
      </x:c>
      <x:c r="F376" t="str">
        <x:v>Plus mensual</x:v>
      </x:c>
      <x:c r="G376" t="str">
        <x:v>Mensual</x:v>
      </x:c>
      <x:c r="H376" t="n">
        <x:v>1</x:v>
      </x:c>
      <x:c r="I376" t="str">
        <x:v>Aprobado</x:v>
      </x:c>
      <x:c r="J376" t="n">
        <x:v>29900</x:v>
      </x:c>
      <x:c r="K376" t="str">
        <x:v>PSE</x:v>
      </x:c>
      <x:c r="L376" t="str">
        <x:v>Sin error</x:v>
      </x:c>
    </x:row>
    <x:row r="377">
      <x:c r="A377" t="str">
        <x:v>TXN-0000376</x:v>
      </x:c>
      <x:c r="B377" t="str">
        <x:v>2025-11</x:v>
      </x:c>
      <x:c r="C377" t="n">
        <x:v>45966</x:v>
      </x:c>
      <x:c r="D377" t="str">
        <x:v>USR-00037</x:v>
      </x:c>
      <x:c r="E377" t="str">
        <x:v>SUS-000457</x:v>
      </x:c>
      <x:c r="F377" t="str">
        <x:v>Plus mensual</x:v>
      </x:c>
      <x:c r="G377" t="str">
        <x:v>Mensual</x:v>
      </x:c>
      <x:c r="H377" t="n">
        <x:v>1</x:v>
      </x:c>
      <x:c r="I377" t="str">
        <x:v>Aprobado</x:v>
      </x:c>
      <x:c r="J377" t="n">
        <x:v>29900</x:v>
      </x:c>
      <x:c r="K377" t="str">
        <x:v>PSE</x:v>
      </x:c>
      <x:c r="L377" t="str">
        <x:v>Sin error</x:v>
      </x:c>
    </x:row>
    <x:row r="378">
      <x:c r="A378" t="str">
        <x:v>TXN-0000377</x:v>
      </x:c>
      <x:c r="B378" t="str">
        <x:v>2025-11</x:v>
      </x:c>
      <x:c r="C378" t="n">
        <x:v>45971</x:v>
      </x:c>
      <x:c r="D378" t="str">
        <x:v>USR-00042</x:v>
      </x:c>
      <x:c r="E378" t="str">
        <x:v>SUS-000215</x:v>
      </x:c>
      <x:c r="F378" t="str">
        <x:v>Plus mensual</x:v>
      </x:c>
      <x:c r="G378" t="str">
        <x:v>Mensual</x:v>
      </x:c>
      <x:c r="H378" t="n">
        <x:v>1</x:v>
      </x:c>
      <x:c r="I378" t="str">
        <x:v>Aprobado</x:v>
      </x:c>
      <x:c r="J378" t="n">
        <x:v>29900</x:v>
      </x:c>
      <x:c r="K378" t="str">
        <x:v>Tarjeta crédito</x:v>
      </x:c>
      <x:c r="L378" t="str">
        <x:v>Sin error</x:v>
      </x:c>
    </x:row>
    <x:row r="379">
      <x:c r="A379" t="str">
        <x:v>TXN-0000378</x:v>
      </x:c>
      <x:c r="B379" t="str">
        <x:v>2025-11</x:v>
      </x:c>
      <x:c r="C379" t="n">
        <x:v>45971</x:v>
      </x:c>
      <x:c r="D379" t="str">
        <x:v>USR-00048</x:v>
      </x:c>
      <x:c r="E379" t="str">
        <x:v>SUS-000160</x:v>
      </x:c>
      <x:c r="F379" t="str">
        <x:v>Plus mensual</x:v>
      </x:c>
      <x:c r="G379" t="str">
        <x:v>Mensual</x:v>
      </x:c>
      <x:c r="H379" t="n">
        <x:v>1</x:v>
      </x:c>
      <x:c r="I379" t="str">
        <x:v>Aprobado</x:v>
      </x:c>
      <x:c r="J379" t="n">
        <x:v>29900</x:v>
      </x:c>
      <x:c r="K379" t="str">
        <x:v>PSE</x:v>
      </x:c>
      <x:c r="L379" t="str">
        <x:v>Sin error</x:v>
      </x:c>
    </x:row>
    <x:row r="380">
      <x:c r="A380" t="str">
        <x:v>TXN-0000379</x:v>
      </x:c>
      <x:c r="B380" t="str">
        <x:v>2025-11</x:v>
      </x:c>
      <x:c r="C380" t="n">
        <x:v>45972</x:v>
      </x:c>
      <x:c r="D380" t="str">
        <x:v>USR-00051</x:v>
      </x:c>
      <x:c r="E380" t="str">
        <x:v>SUS-000055</x:v>
      </x:c>
      <x:c r="F380" t="str">
        <x:v>Plus mensual</x:v>
      </x:c>
      <x:c r="G380" t="str">
        <x:v>Mensual</x:v>
      </x:c>
      <x:c r="H380" t="n">
        <x:v>1</x:v>
      </x:c>
      <x:c r="I380" t="str">
        <x:v>Aprobado</x:v>
      </x:c>
      <x:c r="J380" t="n">
        <x:v>29900</x:v>
      </x:c>
      <x:c r="K380" t="str">
        <x:v>PSE</x:v>
      </x:c>
      <x:c r="L380" t="str">
        <x:v>Sin error</x:v>
      </x:c>
    </x:row>
    <x:row r="381">
      <x:c r="A381" t="str">
        <x:v>TXN-0000380</x:v>
      </x:c>
      <x:c r="B381" t="str">
        <x:v>2025-11</x:v>
      </x:c>
      <x:c r="C381" t="n">
        <x:v>45970</x:v>
      </x:c>
      <x:c r="D381" t="str">
        <x:v>USR-00052</x:v>
      </x:c>
      <x:c r="E381" t="str">
        <x:v>SUS-000385</x:v>
      </x:c>
      <x:c r="F381" t="str">
        <x:v>Plus mensual</x:v>
      </x:c>
      <x:c r="G381" t="str">
        <x:v>Mensual</x:v>
      </x:c>
      <x:c r="H381" t="n">
        <x:v>1</x:v>
      </x:c>
      <x:c r="I381" t="str">
        <x:v>Aprobado</x:v>
      </x:c>
      <x:c r="J381" t="n">
        <x:v>29900</x:v>
      </x:c>
      <x:c r="K381" t="str">
        <x:v>Tarjeta débito</x:v>
      </x:c>
      <x:c r="L381" t="str">
        <x:v>Sin error</x:v>
      </x:c>
    </x:row>
    <x:row r="382">
      <x:c r="A382" t="str">
        <x:v>TXN-0000381</x:v>
      </x:c>
      <x:c r="B382" t="str">
        <x:v>2025-11</x:v>
      </x:c>
      <x:c r="C382" t="n">
        <x:v>45967</x:v>
      </x:c>
      <x:c r="D382" t="str">
        <x:v>USR-00053</x:v>
      </x:c>
      <x:c r="E382" t="str">
        <x:v>SUS-000057</x:v>
      </x:c>
      <x:c r="F382" t="str">
        <x:v>Plus mensual</x:v>
      </x:c>
      <x:c r="G382" t="str">
        <x:v>Mensual</x:v>
      </x:c>
      <x:c r="H382" t="n">
        <x:v>1</x:v>
      </x:c>
      <x:c r="I382" t="str">
        <x:v>Aprobado</x:v>
      </x:c>
      <x:c r="J382" t="n">
        <x:v>29900</x:v>
      </x:c>
      <x:c r="K382" t="str">
        <x:v>Tarjeta crédito</x:v>
      </x:c>
      <x:c r="L382" t="str">
        <x:v>Sin error</x:v>
      </x:c>
    </x:row>
    <x:row r="383">
      <x:c r="A383" t="str">
        <x:v>TXN-0000382</x:v>
      </x:c>
      <x:c r="B383" t="str">
        <x:v>2025-11</x:v>
      </x:c>
      <x:c r="C383" t="n">
        <x:v>45969</x:v>
      </x:c>
      <x:c r="D383" t="str">
        <x:v>USR-00056</x:v>
      </x:c>
      <x:c r="E383" t="str">
        <x:v>SUS-000459</x:v>
      </x:c>
      <x:c r="F383" t="str">
        <x:v>Plus anual</x:v>
      </x:c>
      <x:c r="G383" t="str">
        <x:v>Anual</x:v>
      </x:c>
      <x:c r="H383" t="n">
        <x:v>1</x:v>
      </x:c>
      <x:c r="I383" t="str">
        <x:v>Aprobado</x:v>
      </x:c>
      <x:c r="J383" t="n">
        <x:v>299000</x:v>
      </x:c>
      <x:c r="K383" t="str">
        <x:v>Tarjeta crédito</x:v>
      </x:c>
      <x:c r="L383" t="str">
        <x:v>Sin error</x:v>
      </x:c>
    </x:row>
    <x:row r="384">
      <x:c r="A384" t="str">
        <x:v>TXN-0000383</x:v>
      </x:c>
      <x:c r="B384" t="str">
        <x:v>2025-11</x:v>
      </x:c>
      <x:c r="C384" t="n">
        <x:v>45970</x:v>
      </x:c>
      <x:c r="D384" t="str">
        <x:v>USR-00057</x:v>
      </x:c>
      <x:c r="E384" t="str">
        <x:v>SUS-000386</x:v>
      </x:c>
      <x:c r="F384" t="str">
        <x:v>Plus mensual</x:v>
      </x:c>
      <x:c r="G384" t="str">
        <x:v>Mensual</x:v>
      </x:c>
      <x:c r="H384" t="n">
        <x:v>1</x:v>
      </x:c>
      <x:c r="I384" t="str">
        <x:v>Aprobado</x:v>
      </x:c>
      <x:c r="J384" t="n">
        <x:v>29900</x:v>
      </x:c>
      <x:c r="K384" t="str">
        <x:v>Tarjeta crédito</x:v>
      </x:c>
      <x:c r="L384" t="str">
        <x:v>Sin error</x:v>
      </x:c>
    </x:row>
    <x:row r="385">
      <x:c r="A385" t="str">
        <x:v>TXN-0000384</x:v>
      </x:c>
      <x:c r="B385" t="str">
        <x:v>2025-11</x:v>
      </x:c>
      <x:c r="C385" t="n">
        <x:v>45973</x:v>
      </x:c>
      <x:c r="D385" t="str">
        <x:v>USR-00061</x:v>
      </x:c>
      <x:c r="E385" t="str">
        <x:v>SUS-000267</x:v>
      </x:c>
      <x:c r="F385" t="str">
        <x:v>Plus mensual</x:v>
      </x:c>
      <x:c r="G385" t="str">
        <x:v>Mensual</x:v>
      </x:c>
      <x:c r="H385" t="n">
        <x:v>1</x:v>
      </x:c>
      <x:c r="I385" t="str">
        <x:v>Aprobado</x:v>
      </x:c>
      <x:c r="J385" t="n">
        <x:v>29900</x:v>
      </x:c>
      <x:c r="K385" t="str">
        <x:v>PSE</x:v>
      </x:c>
      <x:c r="L385" t="str">
        <x:v>Sin error</x:v>
      </x:c>
    </x:row>
    <x:row r="386">
      <x:c r="A386" t="str">
        <x:v>TXN-0000385</x:v>
      </x:c>
      <x:c r="B386" t="str">
        <x:v>2025-11</x:v>
      </x:c>
      <x:c r="C386" t="n">
        <x:v>45972</x:v>
      </x:c>
      <x:c r="D386" t="str">
        <x:v>USR-00064</x:v>
      </x:c>
      <x:c r="E386" t="str">
        <x:v>SUS-000333</x:v>
      </x:c>
      <x:c r="F386" t="str">
        <x:v>Plus mensual</x:v>
      </x:c>
      <x:c r="G386" t="str">
        <x:v>Mensual</x:v>
      </x:c>
      <x:c r="H386" t="n">
        <x:v>1</x:v>
      </x:c>
      <x:c r="I386" t="str">
        <x:v>Aprobado</x:v>
      </x:c>
      <x:c r="J386" t="n">
        <x:v>29900</x:v>
      </x:c>
      <x:c r="K386" t="str">
        <x:v>Tarjeta débito</x:v>
      </x:c>
      <x:c r="L386" t="str">
        <x:v>Sin error</x:v>
      </x:c>
    </x:row>
    <x:row r="387">
      <x:c r="A387" t="str">
        <x:v>TXN-0000386</x:v>
      </x:c>
      <x:c r="B387" t="str">
        <x:v>2025-11</x:v>
      </x:c>
      <x:c r="C387" t="n">
        <x:v>45973</x:v>
      </x:c>
      <x:c r="D387" t="str">
        <x:v>USR-00067</x:v>
      </x:c>
      <x:c r="E387" t="str">
        <x:v>SUS-000460</x:v>
      </x:c>
      <x:c r="F387" t="str">
        <x:v>Plus mensual</x:v>
      </x:c>
      <x:c r="G387" t="str">
        <x:v>Mensual</x:v>
      </x:c>
      <x:c r="H387" t="n">
        <x:v>1</x:v>
      </x:c>
      <x:c r="I387" t="str">
        <x:v>Aprobado</x:v>
      </x:c>
      <x:c r="J387" t="n">
        <x:v>29900</x:v>
      </x:c>
      <x:c r="K387" t="str">
        <x:v>Tarjeta débito</x:v>
      </x:c>
      <x:c r="L387" t="str">
        <x:v>Sin error</x:v>
      </x:c>
    </x:row>
    <x:row r="388">
      <x:c r="A388" t="str">
        <x:v>TXN-0000387</x:v>
      </x:c>
      <x:c r="B388" t="str">
        <x:v>2025-11</x:v>
      </x:c>
      <x:c r="C388" t="n">
        <x:v>45973</x:v>
      </x:c>
      <x:c r="D388" t="str">
        <x:v>USR-00071</x:v>
      </x:c>
      <x:c r="E388" t="str">
        <x:v>SUS-000217</x:v>
      </x:c>
      <x:c r="F388" t="str">
        <x:v>Plus mensual</x:v>
      </x:c>
      <x:c r="G388" t="str">
        <x:v>Mensual</x:v>
      </x:c>
      <x:c r="H388" t="n">
        <x:v>1</x:v>
      </x:c>
      <x:c r="I388" t="str">
        <x:v>Aprobado</x:v>
      </x:c>
      <x:c r="J388" t="n">
        <x:v>29900</x:v>
      </x:c>
      <x:c r="K388" t="str">
        <x:v>Tarjeta crédito</x:v>
      </x:c>
      <x:c r="L388" t="str">
        <x:v>Sin error</x:v>
      </x:c>
    </x:row>
    <x:row r="389">
      <x:c r="A389" t="str">
        <x:v>TXN-0000388</x:v>
      </x:c>
      <x:c r="B389" t="str">
        <x:v>2025-11</x:v>
      </x:c>
      <x:c r="C389" t="n">
        <x:v>45966</x:v>
      </x:c>
      <x:c r="D389" t="str">
        <x:v>USR-00073</x:v>
      </x:c>
      <x:c r="E389" t="str">
        <x:v>SUS-000335</x:v>
      </x:c>
      <x:c r="F389" t="str">
        <x:v>Plus mensual</x:v>
      </x:c>
      <x:c r="G389" t="str">
        <x:v>Mensual</x:v>
      </x:c>
      <x:c r="H389" t="n">
        <x:v>1</x:v>
      </x:c>
      <x:c r="I389" t="str">
        <x:v>Aprobado</x:v>
      </x:c>
      <x:c r="J389" t="n">
        <x:v>29900</x:v>
      </x:c>
      <x:c r="K389" t="str">
        <x:v>Tarjeta débito</x:v>
      </x:c>
      <x:c r="L389" t="str">
        <x:v>Sin error</x:v>
      </x:c>
    </x:row>
    <x:row r="390">
      <x:c r="A390" t="str">
        <x:v>TXN-0000389</x:v>
      </x:c>
      <x:c r="B390" t="str">
        <x:v>2025-11</x:v>
      </x:c>
      <x:c r="C390" t="n">
        <x:v>45967</x:v>
      </x:c>
      <x:c r="D390" t="str">
        <x:v>USR-00078</x:v>
      </x:c>
      <x:c r="E390" t="str">
        <x:v>SUS-000083</x:v>
      </x:c>
      <x:c r="F390" t="str">
        <x:v>Plus mensual</x:v>
      </x:c>
      <x:c r="G390" t="str">
        <x:v>Mensual</x:v>
      </x:c>
      <x:c r="H390" t="n">
        <x:v>1</x:v>
      </x:c>
      <x:c r="I390" t="str">
        <x:v>Aprobado</x:v>
      </x:c>
      <x:c r="J390" t="n">
        <x:v>29900</x:v>
      </x:c>
      <x:c r="K390" t="str">
        <x:v>Tarjeta débito</x:v>
      </x:c>
      <x:c r="L390" t="str">
        <x:v>Sin error</x:v>
      </x:c>
    </x:row>
    <x:row r="391">
      <x:c r="A391" t="str">
        <x:v>TXN-0000390</x:v>
      </x:c>
      <x:c r="B391" t="str">
        <x:v>2025-11</x:v>
      </x:c>
      <x:c r="C391" t="n">
        <x:v>45972</x:v>
      </x:c>
      <x:c r="D391" t="str">
        <x:v>USR-00079</x:v>
      </x:c>
      <x:c r="E391" t="str">
        <x:v>SUS-000336</x:v>
      </x:c>
      <x:c r="F391" t="str">
        <x:v>Plus mensual</x:v>
      </x:c>
      <x:c r="G391" t="str">
        <x:v>Mensual</x:v>
      </x:c>
      <x:c r="H391" t="n">
        <x:v>1</x:v>
      </x:c>
      <x:c r="I391" t="str">
        <x:v>Aprobado</x:v>
      </x:c>
      <x:c r="J391" t="n">
        <x:v>29900</x:v>
      </x:c>
      <x:c r="K391" t="str">
        <x:v>Tarjeta débito</x:v>
      </x:c>
      <x:c r="L391" t="str">
        <x:v>Sin error</x:v>
      </x:c>
    </x:row>
    <x:row r="392">
      <x:c r="A392" t="str">
        <x:v>TXN-0000391</x:v>
      </x:c>
      <x:c r="B392" t="str">
        <x:v>2025-11</x:v>
      </x:c>
      <x:c r="C392" t="n">
        <x:v>45971</x:v>
      </x:c>
      <x:c r="D392" t="str">
        <x:v>USR-00083</x:v>
      </x:c>
      <x:c r="E392" t="str">
        <x:v>SUS-000218</x:v>
      </x:c>
      <x:c r="F392" t="str">
        <x:v>Plus mensual</x:v>
      </x:c>
      <x:c r="G392" t="str">
        <x:v>Mensual</x:v>
      </x:c>
      <x:c r="H392" t="n">
        <x:v>1</x:v>
      </x:c>
      <x:c r="I392" t="str">
        <x:v>Aprobado</x:v>
      </x:c>
      <x:c r="J392" t="n">
        <x:v>29900</x:v>
      </x:c>
      <x:c r="K392" t="str">
        <x:v>Tarjeta débito</x:v>
      </x:c>
      <x:c r="L392" t="str">
        <x:v>Sin error</x:v>
      </x:c>
    </x:row>
    <x:row r="393">
      <x:c r="A393" t="str">
        <x:v>TXN-0000392</x:v>
      </x:c>
      <x:c r="B393" t="str">
        <x:v>2025-11</x:v>
      </x:c>
      <x:c r="C393" t="n">
        <x:v>45967</x:v>
      </x:c>
      <x:c r="D393" t="str">
        <x:v>USR-00087</x:v>
      </x:c>
      <x:c r="E393" t="str">
        <x:v>SUS-000219</x:v>
      </x:c>
      <x:c r="F393" t="str">
        <x:v>Plus mensual</x:v>
      </x:c>
      <x:c r="G393" t="str">
        <x:v>Mensual</x:v>
      </x:c>
      <x:c r="H393" t="n">
        <x:v>1</x:v>
      </x:c>
      <x:c r="I393" t="str">
        <x:v>Aprobado</x:v>
      </x:c>
      <x:c r="J393" t="n">
        <x:v>29900</x:v>
      </x:c>
      <x:c r="K393" t="str">
        <x:v>PSE</x:v>
      </x:c>
      <x:c r="L393" t="str">
        <x:v>Sin error</x:v>
      </x:c>
    </x:row>
    <x:row r="394">
      <x:c r="A394" t="str">
        <x:v>TXN-0000393</x:v>
      </x:c>
      <x:c r="B394" t="str">
        <x:v>2025-11</x:v>
      </x:c>
      <x:c r="C394" t="n">
        <x:v>45968</x:v>
      </x:c>
      <x:c r="D394" t="str">
        <x:v>USR-00091</x:v>
      </x:c>
      <x:c r="E394" t="str">
        <x:v>SUS-000096</x:v>
      </x:c>
      <x:c r="F394" t="str">
        <x:v>Plus mensual</x:v>
      </x:c>
      <x:c r="G394" t="str">
        <x:v>Mensual</x:v>
      </x:c>
      <x:c r="H394" t="n">
        <x:v>1</x:v>
      </x:c>
      <x:c r="I394" t="str">
        <x:v>Aprobado</x:v>
      </x:c>
      <x:c r="J394" t="n">
        <x:v>29900</x:v>
      </x:c>
      <x:c r="K394" t="str">
        <x:v>PSE</x:v>
      </x:c>
      <x:c r="L394" t="str">
        <x:v>Sin error</x:v>
      </x:c>
    </x:row>
    <x:row r="395">
      <x:c r="A395" t="str">
        <x:v>TXN-0000394</x:v>
      </x:c>
      <x:c r="B395" t="str">
        <x:v>2025-11</x:v>
      </x:c>
      <x:c r="C395" t="n">
        <x:v>45968</x:v>
      </x:c>
      <x:c r="D395" t="str">
        <x:v>USR-00096</x:v>
      </x:c>
      <x:c r="E395" t="str">
        <x:v>SUS-000273</x:v>
      </x:c>
      <x:c r="F395" t="str">
        <x:v>Plus mensual</x:v>
      </x:c>
      <x:c r="G395" t="str">
        <x:v>Mensual</x:v>
      </x:c>
      <x:c r="H395" t="n">
        <x:v>1</x:v>
      </x:c>
      <x:c r="I395" t="str">
        <x:v>Aprobado</x:v>
      </x:c>
      <x:c r="J395" t="n">
        <x:v>29900</x:v>
      </x:c>
      <x:c r="K395" t="str">
        <x:v>Tarjeta crédito</x:v>
      </x:c>
      <x:c r="L395" t="str">
        <x:v>Sin error</x:v>
      </x:c>
    </x:row>
    <x:row r="396">
      <x:c r="A396" t="str">
        <x:v>TXN-0000395</x:v>
      </x:c>
      <x:c r="B396" t="str">
        <x:v>2025-11</x:v>
      </x:c>
      <x:c r="C396" t="n">
        <x:v>45967</x:v>
      </x:c>
      <x:c r="D396" t="str">
        <x:v>USR-00099</x:v>
      </x:c>
      <x:c r="E396" t="str">
        <x:v>SUS-000337</x:v>
      </x:c>
      <x:c r="F396" t="str">
        <x:v>Plus mensual</x:v>
      </x:c>
      <x:c r="G396" t="str">
        <x:v>Mensual</x:v>
      </x:c>
      <x:c r="H396" t="n">
        <x:v>1</x:v>
      </x:c>
      <x:c r="I396" t="str">
        <x:v>Aprobado</x:v>
      </x:c>
      <x:c r="J396" t="n">
        <x:v>29900</x:v>
      </x:c>
      <x:c r="K396" t="str">
        <x:v>Tarjeta débito</x:v>
      </x:c>
      <x:c r="L396" t="str">
        <x:v>Sin error</x:v>
      </x:c>
    </x:row>
    <x:row r="397">
      <x:c r="A397" t="str">
        <x:v>TXN-0000396</x:v>
      </x:c>
      <x:c r="B397" t="str">
        <x:v>2025-11</x:v>
      </x:c>
      <x:c r="C397" t="n">
        <x:v>45968</x:v>
      </x:c>
      <x:c r="D397" t="str">
        <x:v>USR-00100</x:v>
      </x:c>
      <x:c r="E397" t="str">
        <x:v>SUS-000108</x:v>
      </x:c>
      <x:c r="F397" t="str">
        <x:v>Plus mensual</x:v>
      </x:c>
      <x:c r="G397" t="str">
        <x:v>Mensual</x:v>
      </x:c>
      <x:c r="H397" t="n">
        <x:v>1</x:v>
      </x:c>
      <x:c r="I397" t="str">
        <x:v>Aprobado</x:v>
      </x:c>
      <x:c r="J397" t="n">
        <x:v>29900</x:v>
      </x:c>
      <x:c r="K397" t="str">
        <x:v>Tarjeta débito</x:v>
      </x:c>
      <x:c r="L397" t="str">
        <x:v>Sin error</x:v>
      </x:c>
    </x:row>
    <x:row r="398">
      <x:c r="A398" t="str">
        <x:v>TXN-0000397</x:v>
      </x:c>
      <x:c r="B398" t="str">
        <x:v>2025-11</x:v>
      </x:c>
      <x:c r="C398" t="n">
        <x:v>45967</x:v>
      </x:c>
      <x:c r="D398" t="str">
        <x:v>USR-00116</x:v>
      </x:c>
      <x:c r="E398" t="str">
        <x:v>SUS-000390</x:v>
      </x:c>
      <x:c r="F398" t="str">
        <x:v>Plus mensual</x:v>
      </x:c>
      <x:c r="G398" t="str">
        <x:v>Mensual</x:v>
      </x:c>
      <x:c r="H398" t="n">
        <x:v>1</x:v>
      </x:c>
      <x:c r="I398" t="str">
        <x:v>Aprobado</x:v>
      </x:c>
      <x:c r="J398" t="n">
        <x:v>29900</x:v>
      </x:c>
      <x:c r="K398" t="str">
        <x:v>Tarjeta débito</x:v>
      </x:c>
      <x:c r="L398" t="str">
        <x:v>Sin error</x:v>
      </x:c>
    </x:row>
    <x:row r="399">
      <x:c r="A399" t="str">
        <x:v>TXN-0000398</x:v>
      </x:c>
      <x:c r="B399" t="str">
        <x:v>2025-11</x:v>
      </x:c>
      <x:c r="C399" t="n">
        <x:v>45967</x:v>
      </x:c>
      <x:c r="D399" t="str">
        <x:v>USR-00119</x:v>
      </x:c>
      <x:c r="E399" t="str">
        <x:v>SUS-000340</x:v>
      </x:c>
      <x:c r="F399" t="str">
        <x:v>Plus mensual</x:v>
      </x:c>
      <x:c r="G399" t="str">
        <x:v>Mensual</x:v>
      </x:c>
      <x:c r="H399" t="n">
        <x:v>1</x:v>
      </x:c>
      <x:c r="I399" t="str">
        <x:v>Aprobado</x:v>
      </x:c>
      <x:c r="J399" t="n">
        <x:v>29900</x:v>
      </x:c>
      <x:c r="K399" t="str">
        <x:v>Tarjeta crédito</x:v>
      </x:c>
      <x:c r="L399" t="str">
        <x:v>Sin error</x:v>
      </x:c>
    </x:row>
    <x:row r="400">
      <x:c r="A400" t="str">
        <x:v>TXN-0000399</x:v>
      </x:c>
      <x:c r="B400" t="str">
        <x:v>2025-11</x:v>
      </x:c>
      <x:c r="C400" t="n">
        <x:v>45966</x:v>
      </x:c>
      <x:c r="D400" t="str">
        <x:v>USR-00121</x:v>
      </x:c>
      <x:c r="E400" t="str">
        <x:v>SUS-000222</x:v>
      </x:c>
      <x:c r="F400" t="str">
        <x:v>Plus mensual</x:v>
      </x:c>
      <x:c r="G400" t="str">
        <x:v>Mensual</x:v>
      </x:c>
      <x:c r="H400" t="n">
        <x:v>1</x:v>
      </x:c>
      <x:c r="I400" t="str">
        <x:v>Aprobado</x:v>
      </x:c>
      <x:c r="J400" t="n">
        <x:v>29900</x:v>
      </x:c>
      <x:c r="K400" t="str">
        <x:v>Tarjeta débito</x:v>
      </x:c>
      <x:c r="L400" t="str">
        <x:v>Sin error</x:v>
      </x:c>
    </x:row>
    <x:row r="401">
      <x:c r="A401" t="str">
        <x:v>TXN-0000400</x:v>
      </x:c>
      <x:c r="B401" t="str">
        <x:v>2025-11</x:v>
      </x:c>
      <x:c r="C401" t="n">
        <x:v>45973</x:v>
      </x:c>
      <x:c r="D401" t="str">
        <x:v>USR-00123</x:v>
      </x:c>
      <x:c r="E401" t="str">
        <x:v>SUS-000223</x:v>
      </x:c>
      <x:c r="F401" t="str">
        <x:v>Plus mensual</x:v>
      </x:c>
      <x:c r="G401" t="str">
        <x:v>Mensual</x:v>
      </x:c>
      <x:c r="H401" t="n">
        <x:v>1</x:v>
      </x:c>
      <x:c r="I401" t="str">
        <x:v>Aprobado</x:v>
      </x:c>
      <x:c r="J401" t="n">
        <x:v>29900</x:v>
      </x:c>
      <x:c r="K401" t="str">
        <x:v>Tarjeta débito</x:v>
      </x:c>
      <x:c r="L401" t="str">
        <x:v>Sin error</x:v>
      </x:c>
    </x:row>
    <x:row r="402">
      <x:c r="A402" t="str">
        <x:v>TXN-0000401</x:v>
      </x:c>
      <x:c r="B402" t="str">
        <x:v>2025-11</x:v>
      </x:c>
      <x:c r="C402" t="n">
        <x:v>45972</x:v>
      </x:c>
      <x:c r="D402" t="str">
        <x:v>USR-00143</x:v>
      </x:c>
      <x:c r="E402" t="str">
        <x:v>SUS-000277</x:v>
      </x:c>
      <x:c r="F402" t="str">
        <x:v>Plus mensual</x:v>
      </x:c>
      <x:c r="G402" t="str">
        <x:v>Mensual</x:v>
      </x:c>
      <x:c r="H402" t="n">
        <x:v>1</x:v>
      </x:c>
      <x:c r="I402" t="str">
        <x:v>Aprobado</x:v>
      </x:c>
      <x:c r="J402" t="n">
        <x:v>29900</x:v>
      </x:c>
      <x:c r="K402" t="str">
        <x:v>Tarjeta débito</x:v>
      </x:c>
      <x:c r="L402" t="str">
        <x:v>Sin error</x:v>
      </x:c>
    </x:row>
    <x:row r="403">
      <x:c r="A403" t="str">
        <x:v>TXN-0000402</x:v>
      </x:c>
      <x:c r="B403" t="str">
        <x:v>2025-11</x:v>
      </x:c>
      <x:c r="C403" t="n">
        <x:v>45966</x:v>
      </x:c>
      <x:c r="D403" t="str">
        <x:v>USR-00145</x:v>
      </x:c>
      <x:c r="E403" t="str">
        <x:v>SUS-000168</x:v>
      </x:c>
      <x:c r="F403" t="str">
        <x:v>Plus mensual</x:v>
      </x:c>
      <x:c r="G403" t="str">
        <x:v>Mensual</x:v>
      </x:c>
      <x:c r="H403" t="n">
        <x:v>1</x:v>
      </x:c>
      <x:c r="I403" t="str">
        <x:v>Aprobado</x:v>
      </x:c>
      <x:c r="J403" t="n">
        <x:v>29900</x:v>
      </x:c>
      <x:c r="K403" t="str">
        <x:v>PSE</x:v>
      </x:c>
      <x:c r="L403" t="str">
        <x:v>Sin error</x:v>
      </x:c>
    </x:row>
    <x:row r="404">
      <x:c r="A404" t="str">
        <x:v>TXN-0000403</x:v>
      </x:c>
      <x:c r="B404" t="str">
        <x:v>2025-11</x:v>
      </x:c>
      <x:c r="C404" t="n">
        <x:v>45967</x:v>
      </x:c>
      <x:c r="D404" t="str">
        <x:v>USR-00146</x:v>
      </x:c>
      <x:c r="E404" t="str">
        <x:v>SUS-000169</x:v>
      </x:c>
      <x:c r="F404" t="str">
        <x:v>Plus mensual</x:v>
      </x:c>
      <x:c r="G404" t="str">
        <x:v>Mensual</x:v>
      </x:c>
      <x:c r="H404" t="n">
        <x:v>1</x:v>
      </x:c>
      <x:c r="I404" t="str">
        <x:v>Aprobado</x:v>
      </x:c>
      <x:c r="J404" t="n">
        <x:v>29900</x:v>
      </x:c>
      <x:c r="K404" t="str">
        <x:v>Tarjeta crédito</x:v>
      </x:c>
      <x:c r="L404" t="str">
        <x:v>Sin error</x:v>
      </x:c>
    </x:row>
    <x:row r="405">
      <x:c r="A405" t="str">
        <x:v>TXN-0000404</x:v>
      </x:c>
      <x:c r="B405" t="str">
        <x:v>2025-11</x:v>
      </x:c>
      <x:c r="C405" t="n">
        <x:v>45968</x:v>
      </x:c>
      <x:c r="D405" t="str">
        <x:v>USR-00152</x:v>
      </x:c>
      <x:c r="E405" t="str">
        <x:v>SUS-000461</x:v>
      </x:c>
      <x:c r="F405" t="str">
        <x:v>Plus anual</x:v>
      </x:c>
      <x:c r="G405" t="str">
        <x:v>Anual</x:v>
      </x:c>
      <x:c r="H405" t="n">
        <x:v>1</x:v>
      </x:c>
      <x:c r="I405" t="str">
        <x:v>Aprobado</x:v>
      </x:c>
      <x:c r="J405" t="n">
        <x:v>299000</x:v>
      </x:c>
      <x:c r="K405" t="str">
        <x:v>Tarjeta crédito</x:v>
      </x:c>
      <x:c r="L405" t="str">
        <x:v>Sin error</x:v>
      </x:c>
    </x:row>
    <x:row r="406">
      <x:c r="A406" t="str">
        <x:v>TXN-0000405</x:v>
      </x:c>
      <x:c r="B406" t="str">
        <x:v>2025-11</x:v>
      </x:c>
      <x:c r="C406" t="n">
        <x:v>45967</x:v>
      </x:c>
      <x:c r="D406" t="str">
        <x:v>USR-00154</x:v>
      </x:c>
      <x:c r="E406" t="str">
        <x:v>SUS-000278</x:v>
      </x:c>
      <x:c r="F406" t="str">
        <x:v>Plus mensual</x:v>
      </x:c>
      <x:c r="G406" t="str">
        <x:v>Mensual</x:v>
      </x:c>
      <x:c r="H406" t="n">
        <x:v>1</x:v>
      </x:c>
      <x:c r="I406" t="str">
        <x:v>Aprobado</x:v>
      </x:c>
      <x:c r="J406" t="n">
        <x:v>29900</x:v>
      </x:c>
      <x:c r="K406" t="str">
        <x:v>Tarjeta crédito</x:v>
      </x:c>
      <x:c r="L406" t="str">
        <x:v>Sin error</x:v>
      </x:c>
    </x:row>
    <x:row r="407">
      <x:c r="A407" t="str">
        <x:v>TXN-0000406</x:v>
      </x:c>
      <x:c r="B407" t="str">
        <x:v>2025-11</x:v>
      </x:c>
      <x:c r="C407" t="n">
        <x:v>45972</x:v>
      </x:c>
      <x:c r="D407" t="str">
        <x:v>USR-00155</x:v>
      </x:c>
      <x:c r="E407" t="str">
        <x:v>SUS-000462</x:v>
      </x:c>
      <x:c r="F407" t="str">
        <x:v>Plus mensual</x:v>
      </x:c>
      <x:c r="G407" t="str">
        <x:v>Mensual</x:v>
      </x:c>
      <x:c r="H407" t="n">
        <x:v>1</x:v>
      </x:c>
      <x:c r="I407" t="str">
        <x:v>Aprobado</x:v>
      </x:c>
      <x:c r="J407" t="n">
        <x:v>29900</x:v>
      </x:c>
      <x:c r="K407" t="str">
        <x:v>Tarjeta crédito</x:v>
      </x:c>
      <x:c r="L407" t="str">
        <x:v>Sin error</x:v>
      </x:c>
    </x:row>
    <x:row r="408">
      <x:c r="A408" t="str">
        <x:v>TXN-0000407</x:v>
      </x:c>
      <x:c r="B408" t="str">
        <x:v>2025-11</x:v>
      </x:c>
      <x:c r="C408" t="n">
        <x:v>45972</x:v>
      </x:c>
      <x:c r="D408" t="str">
        <x:v>USR-00156</x:v>
      </x:c>
      <x:c r="E408" t="str">
        <x:v>SUS-000224</x:v>
      </x:c>
      <x:c r="F408" t="str">
        <x:v>Plus mensual</x:v>
      </x:c>
      <x:c r="G408" t="str">
        <x:v>Mensual</x:v>
      </x:c>
      <x:c r="H408" t="n">
        <x:v>1</x:v>
      </x:c>
      <x:c r="I408" t="str">
        <x:v>Aprobado</x:v>
      </x:c>
      <x:c r="J408" t="n">
        <x:v>29900</x:v>
      </x:c>
      <x:c r="K408" t="str">
        <x:v>PSE</x:v>
      </x:c>
      <x:c r="L408" t="str">
        <x:v>Sin error</x:v>
      </x:c>
    </x:row>
    <x:row r="409">
      <x:c r="A409" t="str">
        <x:v>TXN-0000408</x:v>
      </x:c>
      <x:c r="B409" t="str">
        <x:v>2025-11</x:v>
      </x:c>
      <x:c r="C409" t="n">
        <x:v>45973</x:v>
      </x:c>
      <x:c r="D409" t="str">
        <x:v>USR-00162</x:v>
      </x:c>
      <x:c r="E409" t="str">
        <x:v>SUS-000225</x:v>
      </x:c>
      <x:c r="F409" t="str">
        <x:v>Plus mensual</x:v>
      </x:c>
      <x:c r="G409" t="str">
        <x:v>Mensual</x:v>
      </x:c>
      <x:c r="H409" t="n">
        <x:v>1</x:v>
      </x:c>
      <x:c r="I409" t="str">
        <x:v>Aprobado</x:v>
      </x:c>
      <x:c r="J409" t="n">
        <x:v>29900</x:v>
      </x:c>
      <x:c r="K409" t="str">
        <x:v>Tarjeta débito</x:v>
      </x:c>
      <x:c r="L409" t="str">
        <x:v>Sin error</x:v>
      </x:c>
    </x:row>
    <x:row r="410">
      <x:c r="A410" t="str">
        <x:v>TXN-0000409</x:v>
      </x:c>
      <x:c r="B410" t="str">
        <x:v>2025-11</x:v>
      </x:c>
      <x:c r="C410" t="n">
        <x:v>45967</x:v>
      </x:c>
      <x:c r="D410" t="str">
        <x:v>USR-00167</x:v>
      </x:c>
      <x:c r="E410" t="str">
        <x:v>SUS-000226</x:v>
      </x:c>
      <x:c r="F410" t="str">
        <x:v>Plus mensual</x:v>
      </x:c>
      <x:c r="G410" t="str">
        <x:v>Mensual</x:v>
      </x:c>
      <x:c r="H410" t="n">
        <x:v>1</x:v>
      </x:c>
      <x:c r="I410" t="str">
        <x:v>Aprobado</x:v>
      </x:c>
      <x:c r="J410" t="n">
        <x:v>29900</x:v>
      </x:c>
      <x:c r="K410" t="str">
        <x:v>Tarjeta débito</x:v>
      </x:c>
      <x:c r="L410" t="str">
        <x:v>Sin error</x:v>
      </x:c>
    </x:row>
    <x:row r="411">
      <x:c r="A411" t="str">
        <x:v>TXN-0000410</x:v>
      </x:c>
      <x:c r="B411" t="str">
        <x:v>2025-11</x:v>
      </x:c>
      <x:c r="C411" t="n">
        <x:v>45968</x:v>
      </x:c>
      <x:c r="D411" t="str">
        <x:v>USR-00168</x:v>
      </x:c>
      <x:c r="E411" t="str">
        <x:v>SUS-000191</x:v>
      </x:c>
      <x:c r="F411" t="str">
        <x:v>Plus mensual</x:v>
      </x:c>
      <x:c r="G411" t="str">
        <x:v>Mensual</x:v>
      </x:c>
      <x:c r="H411" t="n">
        <x:v>1</x:v>
      </x:c>
      <x:c r="I411" t="str">
        <x:v>Aprobado</x:v>
      </x:c>
      <x:c r="J411" t="n">
        <x:v>29900</x:v>
      </x:c>
      <x:c r="K411" t="str">
        <x:v>Tarjeta débito</x:v>
      </x:c>
      <x:c r="L411" t="str">
        <x:v>Sin error</x:v>
      </x:c>
    </x:row>
    <x:row r="412">
      <x:c r="A412" t="str">
        <x:v>TXN-0000411</x:v>
      </x:c>
      <x:c r="B412" t="str">
        <x:v>2025-11</x:v>
      </x:c>
      <x:c r="C412" t="n">
        <x:v>45966</x:v>
      </x:c>
      <x:c r="D412" t="str">
        <x:v>USR-00170</x:v>
      </x:c>
      <x:c r="E412" t="str">
        <x:v>SUS-000392</x:v>
      </x:c>
      <x:c r="F412" t="str">
        <x:v>Plus mensual</x:v>
      </x:c>
      <x:c r="G412" t="str">
        <x:v>Mensual</x:v>
      </x:c>
      <x:c r="H412" t="n">
        <x:v>1</x:v>
      </x:c>
      <x:c r="I412" t="str">
        <x:v>Aprobado</x:v>
      </x:c>
      <x:c r="J412" t="n">
        <x:v>29900</x:v>
      </x:c>
      <x:c r="K412" t="str">
        <x:v>PSE</x:v>
      </x:c>
      <x:c r="L412" t="str">
        <x:v>Sin error</x:v>
      </x:c>
    </x:row>
    <x:row r="413">
      <x:c r="A413" t="str">
        <x:v>TXN-0000412</x:v>
      </x:c>
      <x:c r="B413" t="str">
        <x:v>2025-11</x:v>
      </x:c>
      <x:c r="C413" t="n">
        <x:v>45969</x:v>
      </x:c>
      <x:c r="D413" t="str">
        <x:v>USR-00174</x:v>
      </x:c>
      <x:c r="E413" t="str">
        <x:v>SUS-000280</x:v>
      </x:c>
      <x:c r="F413" t="str">
        <x:v>Plus mensual</x:v>
      </x:c>
      <x:c r="G413" t="str">
        <x:v>Mensual</x:v>
      </x:c>
      <x:c r="H413" t="n">
        <x:v>1</x:v>
      </x:c>
      <x:c r="I413" t="str">
        <x:v>Aprobado</x:v>
      </x:c>
      <x:c r="J413" t="n">
        <x:v>29900</x:v>
      </x:c>
      <x:c r="K413" t="str">
        <x:v>Tarjeta débito</x:v>
      </x:c>
      <x:c r="L413" t="str">
        <x:v>Sin error</x:v>
      </x:c>
    </x:row>
    <x:row r="414">
      <x:c r="A414" t="str">
        <x:v>TXN-0000413</x:v>
      </x:c>
      <x:c r="B414" t="str">
        <x:v>2025-11</x:v>
      </x:c>
      <x:c r="C414" t="n">
        <x:v>45968</x:v>
      </x:c>
      <x:c r="D414" t="str">
        <x:v>USR-00184</x:v>
      </x:c>
      <x:c r="E414" t="str">
        <x:v>SUS-000281</x:v>
      </x:c>
      <x:c r="F414" t="str">
        <x:v>Plus mensual</x:v>
      </x:c>
      <x:c r="G414" t="str">
        <x:v>Mensual</x:v>
      </x:c>
      <x:c r="H414" t="n">
        <x:v>1</x:v>
      </x:c>
      <x:c r="I414" t="str">
        <x:v>Aprobado</x:v>
      </x:c>
      <x:c r="J414" t="n">
        <x:v>29900</x:v>
      </x:c>
      <x:c r="K414" t="str">
        <x:v>PSE</x:v>
      </x:c>
      <x:c r="L414" t="str">
        <x:v>Sin error</x:v>
      </x:c>
    </x:row>
    <x:row r="415">
      <x:c r="A415" t="str">
        <x:v>TXN-0000414</x:v>
      </x:c>
      <x:c r="B415" t="str">
        <x:v>2025-11</x:v>
      </x:c>
      <x:c r="C415" t="n">
        <x:v>45966</x:v>
      </x:c>
      <x:c r="D415" t="str">
        <x:v>USR-00188</x:v>
      </x:c>
      <x:c r="E415" t="str">
        <x:v>SUS-000229</x:v>
      </x:c>
      <x:c r="F415" t="str">
        <x:v>Plus mensual</x:v>
      </x:c>
      <x:c r="G415" t="str">
        <x:v>Mensual</x:v>
      </x:c>
      <x:c r="H415" t="n">
        <x:v>1</x:v>
      </x:c>
      <x:c r="I415" t="str">
        <x:v>Aprobado</x:v>
      </x:c>
      <x:c r="J415" t="n">
        <x:v>29900</x:v>
      </x:c>
      <x:c r="K415" t="str">
        <x:v>PSE</x:v>
      </x:c>
      <x:c r="L415" t="str">
        <x:v>Sin error</x:v>
      </x:c>
    </x:row>
    <x:row r="416">
      <x:c r="A416" t="str">
        <x:v>TXN-0000415</x:v>
      </x:c>
      <x:c r="B416" t="str">
        <x:v>2025-11</x:v>
      </x:c>
      <x:c r="C416" t="n">
        <x:v>45971</x:v>
      </x:c>
      <x:c r="D416" t="str">
        <x:v>USR-00189</x:v>
      </x:c>
      <x:c r="E416" t="str">
        <x:v>SUS-000393</x:v>
      </x:c>
      <x:c r="F416" t="str">
        <x:v>Plus mensual</x:v>
      </x:c>
      <x:c r="G416" t="str">
        <x:v>Mensual</x:v>
      </x:c>
      <x:c r="H416" t="n">
        <x:v>1</x:v>
      </x:c>
      <x:c r="I416" t="str">
        <x:v>Aprobado</x:v>
      </x:c>
      <x:c r="J416" t="n">
        <x:v>29900</x:v>
      </x:c>
      <x:c r="K416" t="str">
        <x:v>Tarjeta crédito</x:v>
      </x:c>
      <x:c r="L416" t="str">
        <x:v>Sin error</x:v>
      </x:c>
    </x:row>
    <x:row r="417">
      <x:c r="A417" t="str">
        <x:v>TXN-0000416</x:v>
      </x:c>
      <x:c r="B417" t="str">
        <x:v>2025-11</x:v>
      </x:c>
      <x:c r="C417" t="n">
        <x:v>45966</x:v>
      </x:c>
      <x:c r="D417" t="str">
        <x:v>USR-00191</x:v>
      </x:c>
      <x:c r="E417" t="str">
        <x:v>SUS-000344</x:v>
      </x:c>
      <x:c r="F417" t="str">
        <x:v>Plus mensual</x:v>
      </x:c>
      <x:c r="G417" t="str">
        <x:v>Mensual</x:v>
      </x:c>
      <x:c r="H417" t="n">
        <x:v>1</x:v>
      </x:c>
      <x:c r="I417" t="str">
        <x:v>Aprobado</x:v>
      </x:c>
      <x:c r="J417" t="n">
        <x:v>29900</x:v>
      </x:c>
      <x:c r="K417" t="str">
        <x:v>Tarjeta crédito</x:v>
      </x:c>
      <x:c r="L417" t="str">
        <x:v>Sin error</x:v>
      </x:c>
    </x:row>
    <x:row r="418">
      <x:c r="A418" t="str">
        <x:v>TXN-0000417</x:v>
      </x:c>
      <x:c r="B418" t="str">
        <x:v>2025-11</x:v>
      </x:c>
      <x:c r="C418" t="n">
        <x:v>45968</x:v>
      </x:c>
      <x:c r="D418" t="str">
        <x:v>USR-00199</x:v>
      </x:c>
      <x:c r="E418" t="str">
        <x:v>SUS-000240</x:v>
      </x:c>
      <x:c r="F418" t="str">
        <x:v>Plus mensual</x:v>
      </x:c>
      <x:c r="G418" t="str">
        <x:v>Mensual</x:v>
      </x:c>
      <x:c r="H418" t="n">
        <x:v>1</x:v>
      </x:c>
      <x:c r="I418" t="str">
        <x:v>Aprobado</x:v>
      </x:c>
      <x:c r="J418" t="n">
        <x:v>29900</x:v>
      </x:c>
      <x:c r="K418" t="str">
        <x:v>PSE</x:v>
      </x:c>
      <x:c r="L418" t="str">
        <x:v>Sin error</x:v>
      </x:c>
    </x:row>
    <x:row r="419">
      <x:c r="A419" t="str">
        <x:v>TXN-0000418</x:v>
      </x:c>
      <x:c r="B419" t="str">
        <x:v>2025-11</x:v>
      </x:c>
      <x:c r="C419" t="n">
        <x:v>45971</x:v>
      </x:c>
      <x:c r="D419" t="str">
        <x:v>USR-00200</x:v>
      </x:c>
      <x:c r="E419" t="str">
        <x:v>SUS-000395</x:v>
      </x:c>
      <x:c r="F419" t="str">
        <x:v>Plus mensual</x:v>
      </x:c>
      <x:c r="G419" t="str">
        <x:v>Mensual</x:v>
      </x:c>
      <x:c r="H419" t="n">
        <x:v>1</x:v>
      </x:c>
      <x:c r="I419" t="str">
        <x:v>Aprobado</x:v>
      </x:c>
      <x:c r="J419" t="n">
        <x:v>29900</x:v>
      </x:c>
      <x:c r="K419" t="str">
        <x:v>PSE</x:v>
      </x:c>
      <x:c r="L419" t="str">
        <x:v>Sin error</x:v>
      </x:c>
    </x:row>
    <x:row r="420">
      <x:c r="A420" t="str">
        <x:v>TXN-0000419</x:v>
      </x:c>
      <x:c r="B420" t="str">
        <x:v>2025-11</x:v>
      </x:c>
      <x:c r="C420" t="n">
        <x:v>45968</x:v>
      </x:c>
      <x:c r="D420" t="str">
        <x:v>USR-00201</x:v>
      </x:c>
      <x:c r="E420" t="str">
        <x:v>SUS-000242</x:v>
      </x:c>
      <x:c r="F420" t="str">
        <x:v>Plus mensual</x:v>
      </x:c>
      <x:c r="G420" t="str">
        <x:v>Mensual</x:v>
      </x:c>
      <x:c r="H420" t="n">
        <x:v>1</x:v>
      </x:c>
      <x:c r="I420" t="str">
        <x:v>Aprobado</x:v>
      </x:c>
      <x:c r="J420" t="n">
        <x:v>29900</x:v>
      </x:c>
      <x:c r="K420" t="str">
        <x:v>PSE</x:v>
      </x:c>
      <x:c r="L420" t="str">
        <x:v>Sin error</x:v>
      </x:c>
    </x:row>
    <x:row r="421">
      <x:c r="A421" t="str">
        <x:v>TXN-0000420</x:v>
      </x:c>
      <x:c r="B421" t="str">
        <x:v>2025-11</x:v>
      </x:c>
      <x:c r="C421" t="n">
        <x:v>45968</x:v>
      </x:c>
      <x:c r="D421" t="str">
        <x:v>USR-00220</x:v>
      </x:c>
      <x:c r="E421" t="str">
        <x:v>SUS-000261</x:v>
      </x:c>
      <x:c r="F421" t="str">
        <x:v>Plus mensual</x:v>
      </x:c>
      <x:c r="G421" t="str">
        <x:v>Mensual</x:v>
      </x:c>
      <x:c r="H421" t="n">
        <x:v>1</x:v>
      </x:c>
      <x:c r="I421" t="str">
        <x:v>Aprobado</x:v>
      </x:c>
      <x:c r="J421" t="n">
        <x:v>29900</x:v>
      </x:c>
      <x:c r="K421" t="str">
        <x:v>Tarjeta débito</x:v>
      </x:c>
      <x:c r="L421" t="str">
        <x:v>Sin error</x:v>
      </x:c>
    </x:row>
    <x:row r="422">
      <x:c r="A422" t="str">
        <x:v>TXN-0000421</x:v>
      </x:c>
      <x:c r="B422" t="str">
        <x:v>2025-11</x:v>
      </x:c>
      <x:c r="C422" t="n">
        <x:v>45966</x:v>
      </x:c>
      <x:c r="D422" t="str">
        <x:v>USR-00224</x:v>
      </x:c>
      <x:c r="E422" t="str">
        <x:v>SUS-000265</x:v>
      </x:c>
      <x:c r="F422" t="str">
        <x:v>Plus mensual</x:v>
      </x:c>
      <x:c r="G422" t="str">
        <x:v>Mensual</x:v>
      </x:c>
      <x:c r="H422" t="n">
        <x:v>1</x:v>
      </x:c>
      <x:c r="I422" t="str">
        <x:v>Aprobado</x:v>
      </x:c>
      <x:c r="J422" t="n">
        <x:v>29900</x:v>
      </x:c>
      <x:c r="K422" t="str">
        <x:v>Tarjeta débito</x:v>
      </x:c>
      <x:c r="L422" t="str">
        <x:v>Sin error</x:v>
      </x:c>
    </x:row>
    <x:row r="423">
      <x:c r="A423" t="str">
        <x:v>TXN-0000422</x:v>
      </x:c>
      <x:c r="B423" t="str">
        <x:v>2025-11</x:v>
      </x:c>
      <x:c r="C423" t="n">
        <x:v>45969</x:v>
      </x:c>
      <x:c r="D423" t="str">
        <x:v>USR-00232</x:v>
      </x:c>
      <x:c r="E423" t="str">
        <x:v>SUS-000293</x:v>
      </x:c>
      <x:c r="F423" t="str">
        <x:v>Plus mensual</x:v>
      </x:c>
      <x:c r="G423" t="str">
        <x:v>Mensual</x:v>
      </x:c>
      <x:c r="H423" t="n">
        <x:v>1</x:v>
      </x:c>
      <x:c r="I423" t="str">
        <x:v>Aprobado</x:v>
      </x:c>
      <x:c r="J423" t="n">
        <x:v>29900</x:v>
      </x:c>
      <x:c r="K423" t="str">
        <x:v>Tarjeta crédito</x:v>
      </x:c>
      <x:c r="L423" t="str">
        <x:v>Sin error</x:v>
      </x:c>
    </x:row>
    <x:row r="424">
      <x:c r="A424" t="str">
        <x:v>TXN-0000423</x:v>
      </x:c>
      <x:c r="B424" t="str">
        <x:v>2025-11</x:v>
      </x:c>
      <x:c r="C424" t="n">
        <x:v>45970</x:v>
      </x:c>
      <x:c r="D424" t="str">
        <x:v>USR-00238</x:v>
      </x:c>
      <x:c r="E424" t="str">
        <x:v>SUS-000299</x:v>
      </x:c>
      <x:c r="F424" t="str">
        <x:v>Plus mensual</x:v>
      </x:c>
      <x:c r="G424" t="str">
        <x:v>Mensual</x:v>
      </x:c>
      <x:c r="H424" t="n">
        <x:v>1</x:v>
      </x:c>
      <x:c r="I424" t="str">
        <x:v>Aprobado</x:v>
      </x:c>
      <x:c r="J424" t="n">
        <x:v>29900</x:v>
      </x:c>
      <x:c r="K424" t="str">
        <x:v>Tarjeta débito</x:v>
      </x:c>
      <x:c r="L424" t="str">
        <x:v>Sin error</x:v>
      </x:c>
    </x:row>
    <x:row r="425">
      <x:c r="A425" t="str">
        <x:v>TXN-0000424</x:v>
      </x:c>
      <x:c r="B425" t="str">
        <x:v>2025-11</x:v>
      </x:c>
      <x:c r="C425" t="n">
        <x:v>45973</x:v>
      </x:c>
      <x:c r="D425" t="str">
        <x:v>USR-00249</x:v>
      </x:c>
      <x:c r="E425" t="str">
        <x:v>SUS-000310</x:v>
      </x:c>
      <x:c r="F425" t="str">
        <x:v>Plus mensual</x:v>
      </x:c>
      <x:c r="G425" t="str">
        <x:v>Mensual</x:v>
      </x:c>
      <x:c r="H425" t="n">
        <x:v>1</x:v>
      </x:c>
      <x:c r="I425" t="str">
        <x:v>Aprobado</x:v>
      </x:c>
      <x:c r="J425" t="n">
        <x:v>29900</x:v>
      </x:c>
      <x:c r="K425" t="str">
        <x:v>PSE</x:v>
      </x:c>
      <x:c r="L425" t="str">
        <x:v>Sin error</x:v>
      </x:c>
    </x:row>
    <x:row r="426">
      <x:c r="A426" t="str">
        <x:v>TXN-0000425</x:v>
      </x:c>
      <x:c r="B426" t="str">
        <x:v>2025-11</x:v>
      </x:c>
      <x:c r="C426" t="n">
        <x:v>45972</x:v>
      </x:c>
      <x:c r="D426" t="str">
        <x:v>USR-00254</x:v>
      </x:c>
      <x:c r="E426" t="str">
        <x:v>SUS-000315</x:v>
      </x:c>
      <x:c r="F426" t="str">
        <x:v>Plus mensual</x:v>
      </x:c>
      <x:c r="G426" t="str">
        <x:v>Mensual</x:v>
      </x:c>
      <x:c r="H426" t="n">
        <x:v>1</x:v>
      </x:c>
      <x:c r="I426" t="str">
        <x:v>Aprobado</x:v>
      </x:c>
      <x:c r="J426" t="n">
        <x:v>29900</x:v>
      </x:c>
      <x:c r="K426" t="str">
        <x:v>Tarjeta débito</x:v>
      </x:c>
      <x:c r="L426" t="str">
        <x:v>Sin error</x:v>
      </x:c>
    </x:row>
    <x:row r="427">
      <x:c r="A427" t="str">
        <x:v>TXN-0000426</x:v>
      </x:c>
      <x:c r="B427" t="str">
        <x:v>2025-11</x:v>
      </x:c>
      <x:c r="C427" t="n">
        <x:v>45971</x:v>
      </x:c>
      <x:c r="D427" t="str">
        <x:v>USR-00259</x:v>
      </x:c>
      <x:c r="E427" t="str">
        <x:v>SUS-000466</x:v>
      </x:c>
      <x:c r="F427" t="str">
        <x:v>Plus mensual</x:v>
      </x:c>
      <x:c r="G427" t="str">
        <x:v>Mensual</x:v>
      </x:c>
      <x:c r="H427" t="n">
        <x:v>1</x:v>
      </x:c>
      <x:c r="I427" t="str">
        <x:v>Aprobado</x:v>
      </x:c>
      <x:c r="J427" t="n">
        <x:v>29900</x:v>
      </x:c>
      <x:c r="K427" t="str">
        <x:v>Tarjeta crédito</x:v>
      </x:c>
      <x:c r="L427" t="str">
        <x:v>Sin error</x:v>
      </x:c>
    </x:row>
    <x:row r="428">
      <x:c r="A428" t="str">
        <x:v>TXN-0000427</x:v>
      </x:c>
      <x:c r="B428" t="str">
        <x:v>2025-11</x:v>
      </x:c>
      <x:c r="C428" t="n">
        <x:v>45967</x:v>
      </x:c>
      <x:c r="D428" t="str">
        <x:v>USR-00260</x:v>
      </x:c>
      <x:c r="E428" t="str">
        <x:v>SUS-000467</x:v>
      </x:c>
      <x:c r="F428" t="str">
        <x:v>Plus mensual</x:v>
      </x:c>
      <x:c r="G428" t="str">
        <x:v>Mensual</x:v>
      </x:c>
      <x:c r="H428" t="n">
        <x:v>1</x:v>
      </x:c>
      <x:c r="I428" t="str">
        <x:v>Aprobado</x:v>
      </x:c>
      <x:c r="J428" t="n">
        <x:v>29900</x:v>
      </x:c>
      <x:c r="K428" t="str">
        <x:v>Tarjeta crédito</x:v>
      </x:c>
      <x:c r="L428" t="str">
        <x:v>Sin error</x:v>
      </x:c>
    </x:row>
    <x:row r="429">
      <x:c r="A429" t="str">
        <x:v>TXN-0000428</x:v>
      </x:c>
      <x:c r="B429" t="str">
        <x:v>2025-11</x:v>
      </x:c>
      <x:c r="C429" t="n">
        <x:v>45973</x:v>
      </x:c>
      <x:c r="D429" t="str">
        <x:v>USR-00262</x:v>
      </x:c>
      <x:c r="E429" t="str">
        <x:v>SUS-000468</x:v>
      </x:c>
      <x:c r="F429" t="str">
        <x:v>Plus mensual</x:v>
      </x:c>
      <x:c r="G429" t="str">
        <x:v>Mensual</x:v>
      </x:c>
      <x:c r="H429" t="n">
        <x:v>1</x:v>
      </x:c>
      <x:c r="I429" t="str">
        <x:v>Rechazado</x:v>
      </x:c>
      <x:c r="J429" t="n">
        <x:v>29900</x:v>
      </x:c>
      <x:c r="K429" t="str">
        <x:v>Tarjeta crédito</x:v>
      </x:c>
      <x:c r="L429" t="str">
        <x:v>Declinado por entidad</x:v>
      </x:c>
    </x:row>
    <x:row r="430">
      <x:c r="A430" t="str">
        <x:v>TXN-0000429</x:v>
      </x:c>
      <x:c r="B430" t="str">
        <x:v>2025-11</x:v>
      </x:c>
      <x:c r="C430" t="n">
        <x:v>45968</x:v>
      </x:c>
      <x:c r="D430" t="str">
        <x:v>USR-00262</x:v>
      </x:c>
      <x:c r="E430" t="str">
        <x:v>SUS-000468</x:v>
      </x:c>
      <x:c r="F430" t="str">
        <x:v>Plus mensual</x:v>
      </x:c>
      <x:c r="G430" t="str">
        <x:v>Mensual</x:v>
      </x:c>
      <x:c r="H430" t="n">
        <x:v>2</x:v>
      </x:c>
      <x:c r="I430" t="str">
        <x:v>Aprobado</x:v>
      </x:c>
      <x:c r="J430" t="n">
        <x:v>29900</x:v>
      </x:c>
      <x:c r="K430" t="str">
        <x:v>Tarjeta débito</x:v>
      </x:c>
      <x:c r="L430" t="str">
        <x:v>Sin error</x:v>
      </x:c>
    </x:row>
    <x:row r="431">
      <x:c r="A431" t="str">
        <x:v>TXN-0000430</x:v>
      </x:c>
      <x:c r="B431" t="str">
        <x:v>2025-11</x:v>
      </x:c>
      <x:c r="C431" t="n">
        <x:v>45968</x:v>
      </x:c>
      <x:c r="D431" t="str">
        <x:v>USR-00265</x:v>
      </x:c>
      <x:c r="E431" t="str">
        <x:v>SUS-000469</x:v>
      </x:c>
      <x:c r="F431" t="str">
        <x:v>Plus mensual</x:v>
      </x:c>
      <x:c r="G431" t="str">
        <x:v>Mensual</x:v>
      </x:c>
      <x:c r="H431" t="n">
        <x:v>1</x:v>
      </x:c>
      <x:c r="I431" t="str">
        <x:v>Aprobado</x:v>
      </x:c>
      <x:c r="J431" t="n">
        <x:v>29900</x:v>
      </x:c>
      <x:c r="K431" t="str">
        <x:v>Tarjeta crédito</x:v>
      </x:c>
      <x:c r="L431" t="str">
        <x:v>Sin error</x:v>
      </x:c>
    </x:row>
    <x:row r="432">
      <x:c r="A432" t="str">
        <x:v>TXN-0000431</x:v>
      </x:c>
      <x:c r="B432" t="str">
        <x:v>2025-11</x:v>
      </x:c>
      <x:c r="C432" t="n">
        <x:v>45968</x:v>
      </x:c>
      <x:c r="D432" t="str">
        <x:v>USR-00267</x:v>
      </x:c>
      <x:c r="E432" t="str">
        <x:v>SUS-000349</x:v>
      </x:c>
      <x:c r="F432" t="str">
        <x:v>Plus mensual</x:v>
      </x:c>
      <x:c r="G432" t="str">
        <x:v>Mensual</x:v>
      </x:c>
      <x:c r="H432" t="n">
        <x:v>1</x:v>
      </x:c>
      <x:c r="I432" t="str">
        <x:v>Aprobado</x:v>
      </x:c>
      <x:c r="J432" t="n">
        <x:v>29900</x:v>
      </x:c>
      <x:c r="K432" t="str">
        <x:v>Tarjeta crédito</x:v>
      </x:c>
      <x:c r="L432" t="str">
        <x:v>Sin error</x:v>
      </x:c>
    </x:row>
    <x:row r="433">
      <x:c r="A433" t="str">
        <x:v>TXN-0000432</x:v>
      </x:c>
      <x:c r="B433" t="str">
        <x:v>2025-11</x:v>
      </x:c>
      <x:c r="C433" t="n">
        <x:v>45967</x:v>
      </x:c>
      <x:c r="D433" t="str">
        <x:v>USR-00286</x:v>
      </x:c>
      <x:c r="E433" t="str">
        <x:v>SUS-000368</x:v>
      </x:c>
      <x:c r="F433" t="str">
        <x:v>Plus mensual</x:v>
      </x:c>
      <x:c r="G433" t="str">
        <x:v>Mensual</x:v>
      </x:c>
      <x:c r="H433" t="n">
        <x:v>1</x:v>
      </x:c>
      <x:c r="I433" t="str">
        <x:v>Aprobado</x:v>
      </x:c>
      <x:c r="J433" t="n">
        <x:v>29900</x:v>
      </x:c>
      <x:c r="K433" t="str">
        <x:v>Tarjeta débito</x:v>
      </x:c>
      <x:c r="L433" t="str">
        <x:v>Sin error</x:v>
      </x:c>
    </x:row>
    <x:row r="434">
      <x:c r="A434" t="str">
        <x:v>TXN-0000433</x:v>
      </x:c>
      <x:c r="B434" t="str">
        <x:v>2025-11</x:v>
      </x:c>
      <x:c r="C434" t="n">
        <x:v>45967</x:v>
      </x:c>
      <x:c r="D434" t="str">
        <x:v>USR-00289</x:v>
      </x:c>
      <x:c r="E434" t="str">
        <x:v>SUS-000371</x:v>
      </x:c>
      <x:c r="F434" t="str">
        <x:v>Plus mensual</x:v>
      </x:c>
      <x:c r="G434" t="str">
        <x:v>Mensual</x:v>
      </x:c>
      <x:c r="H434" t="n">
        <x:v>1</x:v>
      </x:c>
      <x:c r="I434" t="str">
        <x:v>Aprobado</x:v>
      </x:c>
      <x:c r="J434" t="n">
        <x:v>29900</x:v>
      </x:c>
      <x:c r="K434" t="str">
        <x:v>PSE</x:v>
      </x:c>
      <x:c r="L434" t="str">
        <x:v>Sin error</x:v>
      </x:c>
    </x:row>
    <x:row r="435">
      <x:c r="A435" t="str">
        <x:v>TXN-0000434</x:v>
      </x:c>
      <x:c r="B435" t="str">
        <x:v>2025-11</x:v>
      </x:c>
      <x:c r="C435" t="n">
        <x:v>45968</x:v>
      </x:c>
      <x:c r="D435" t="str">
        <x:v>USR-00307</x:v>
      </x:c>
      <x:c r="E435" t="str">
        <x:v>SUS-000406</x:v>
      </x:c>
      <x:c r="F435" t="str">
        <x:v>Plus mensual</x:v>
      </x:c>
      <x:c r="G435" t="str">
        <x:v>Mensual</x:v>
      </x:c>
      <x:c r="H435" t="n">
        <x:v>1</x:v>
      </x:c>
      <x:c r="I435" t="str">
        <x:v>Aprobado</x:v>
      </x:c>
      <x:c r="J435" t="n">
        <x:v>29900</x:v>
      </x:c>
      <x:c r="K435" t="str">
        <x:v>PSE</x:v>
      </x:c>
      <x:c r="L435" t="str">
        <x:v>Sin error</x:v>
      </x:c>
    </x:row>
    <x:row r="436">
      <x:c r="A436" t="str">
        <x:v>TXN-0000435</x:v>
      </x:c>
      <x:c r="B436" t="str">
        <x:v>2025-11</x:v>
      </x:c>
      <x:c r="C436" t="n">
        <x:v>45966</x:v>
      </x:c>
      <x:c r="D436" t="str">
        <x:v>USR-00320</x:v>
      </x:c>
      <x:c r="E436" t="str">
        <x:v>SUS-000419</x:v>
      </x:c>
      <x:c r="F436" t="str">
        <x:v>Plus mensual</x:v>
      </x:c>
      <x:c r="G436" t="str">
        <x:v>Mensual</x:v>
      </x:c>
      <x:c r="H436" t="n">
        <x:v>1</x:v>
      </x:c>
      <x:c r="I436" t="str">
        <x:v>Aprobado</x:v>
      </x:c>
      <x:c r="J436" t="n">
        <x:v>29900</x:v>
      </x:c>
      <x:c r="K436" t="str">
        <x:v>PSE</x:v>
      </x:c>
      <x:c r="L436" t="str">
        <x:v>Sin error</x:v>
      </x:c>
    </x:row>
    <x:row r="437">
      <x:c r="A437" t="str">
        <x:v>TXN-0000436</x:v>
      </x:c>
      <x:c r="B437" t="str">
        <x:v>2025-11</x:v>
      </x:c>
      <x:c r="C437" t="n">
        <x:v>45973</x:v>
      </x:c>
      <x:c r="D437" t="str">
        <x:v>USR-00325</x:v>
      </x:c>
      <x:c r="E437" t="str">
        <x:v>SUS-000424</x:v>
      </x:c>
      <x:c r="F437" t="str">
        <x:v>Plus mensual</x:v>
      </x:c>
      <x:c r="G437" t="str">
        <x:v>Mensual</x:v>
      </x:c>
      <x:c r="H437" t="n">
        <x:v>1</x:v>
      </x:c>
      <x:c r="I437" t="str">
        <x:v>Aprobado</x:v>
      </x:c>
      <x:c r="J437" t="n">
        <x:v>29900</x:v>
      </x:c>
      <x:c r="K437" t="str">
        <x:v>Tarjeta débito</x:v>
      </x:c>
      <x:c r="L437" t="str">
        <x:v>Sin error</x:v>
      </x:c>
    </x:row>
    <x:row r="438">
      <x:c r="A438" t="str">
        <x:v>TXN-0000437</x:v>
      </x:c>
      <x:c r="B438" t="str">
        <x:v>2025-11</x:v>
      </x:c>
      <x:c r="C438" t="n">
        <x:v>45967</x:v>
      </x:c>
      <x:c r="D438" t="str">
        <x:v>USR-00329</x:v>
      </x:c>
      <x:c r="E438" t="str">
        <x:v>SUS-000428</x:v>
      </x:c>
      <x:c r="F438" t="str">
        <x:v>Plus mensual</x:v>
      </x:c>
      <x:c r="G438" t="str">
        <x:v>Mensual</x:v>
      </x:c>
      <x:c r="H438" t="n">
        <x:v>1</x:v>
      </x:c>
      <x:c r="I438" t="str">
        <x:v>Aprobado</x:v>
      </x:c>
      <x:c r="J438" t="n">
        <x:v>29900</x:v>
      </x:c>
      <x:c r="K438" t="str">
        <x:v>Tarjeta crédito</x:v>
      </x:c>
      <x:c r="L438" t="str">
        <x:v>Sin error</x:v>
      </x:c>
    </x:row>
    <x:row r="439">
      <x:c r="A439" t="str">
        <x:v>TXN-0000438</x:v>
      </x:c>
      <x:c r="B439" t="str">
        <x:v>2025-11</x:v>
      </x:c>
      <x:c r="C439" t="n">
        <x:v>45966</x:v>
      </x:c>
      <x:c r="D439" t="str">
        <x:v>USR-00331</x:v>
      </x:c>
      <x:c r="E439" t="str">
        <x:v>SUS-000430</x:v>
      </x:c>
      <x:c r="F439" t="str">
        <x:v>Plus mensual</x:v>
      </x:c>
      <x:c r="G439" t="str">
        <x:v>Mensual</x:v>
      </x:c>
      <x:c r="H439" t="n">
        <x:v>1</x:v>
      </x:c>
      <x:c r="I439" t="str">
        <x:v>Aprobado</x:v>
      </x:c>
      <x:c r="J439" t="n">
        <x:v>29900</x:v>
      </x:c>
      <x:c r="K439" t="str">
        <x:v>Tarjeta débito</x:v>
      </x:c>
      <x:c r="L439" t="str">
        <x:v>Sin error</x:v>
      </x:c>
    </x:row>
    <x:row r="440">
      <x:c r="A440" t="str">
        <x:v>TXN-0000439</x:v>
      </x:c>
      <x:c r="B440" t="str">
        <x:v>2025-11</x:v>
      </x:c>
      <x:c r="C440" t="n">
        <x:v>45966</x:v>
      </x:c>
      <x:c r="D440" t="str">
        <x:v>USR-00332</x:v>
      </x:c>
      <x:c r="E440" t="str">
        <x:v>SUS-000470</x:v>
      </x:c>
      <x:c r="F440" t="str">
        <x:v>Plus mensual</x:v>
      </x:c>
      <x:c r="G440" t="str">
        <x:v>Mensual</x:v>
      </x:c>
      <x:c r="H440" t="n">
        <x:v>1</x:v>
      </x:c>
      <x:c r="I440" t="str">
        <x:v>Aprobado</x:v>
      </x:c>
      <x:c r="J440" t="n">
        <x:v>29900</x:v>
      </x:c>
      <x:c r="K440" t="str">
        <x:v>Tarjeta crédito</x:v>
      </x:c>
      <x:c r="L440" t="str">
        <x:v>Sin error</x:v>
      </x:c>
    </x:row>
    <x:row r="441">
      <x:c r="A441" t="str">
        <x:v>TXN-0000440</x:v>
      </x:c>
      <x:c r="B441" t="str">
        <x:v>2025-11</x:v>
      </x:c>
      <x:c r="C441" t="n">
        <x:v>45971</x:v>
      </x:c>
      <x:c r="D441" t="str">
        <x:v>USR-00336</x:v>
      </x:c>
      <x:c r="E441" t="str">
        <x:v>SUS-000435</x:v>
      </x:c>
      <x:c r="F441" t="str">
        <x:v>Plus mensual</x:v>
      </x:c>
      <x:c r="G441" t="str">
        <x:v>Mensual</x:v>
      </x:c>
      <x:c r="H441" t="n">
        <x:v>1</x:v>
      </x:c>
      <x:c r="I441" t="str">
        <x:v>Aprobado</x:v>
      </x:c>
      <x:c r="J441" t="n">
        <x:v>29900</x:v>
      </x:c>
      <x:c r="K441" t="str">
        <x:v>Tarjeta débito</x:v>
      </x:c>
      <x:c r="L441" t="str">
        <x:v>Sin error</x:v>
      </x:c>
    </x:row>
    <x:row r="442">
      <x:c r="A442" t="str">
        <x:v>TXN-0000441</x:v>
      </x:c>
      <x:c r="B442" t="str">
        <x:v>2025-11</x:v>
      </x:c>
      <x:c r="C442" t="n">
        <x:v>45969</x:v>
      </x:c>
      <x:c r="D442" t="str">
        <x:v>USR-00344</x:v>
      </x:c>
      <x:c r="E442" t="str">
        <x:v>SUS-000443</x:v>
      </x:c>
      <x:c r="F442" t="str">
        <x:v>Plus mensual</x:v>
      </x:c>
      <x:c r="G442" t="str">
        <x:v>Mensual</x:v>
      </x:c>
      <x:c r="H442" t="n">
        <x:v>1</x:v>
      </x:c>
      <x:c r="I442" t="str">
        <x:v>Aprobado</x:v>
      </x:c>
      <x:c r="J442" t="n">
        <x:v>29900</x:v>
      </x:c>
      <x:c r="K442" t="str">
        <x:v>Tarjeta débito</x:v>
      </x:c>
      <x:c r="L442" t="str">
        <x:v>Sin error</x:v>
      </x:c>
    </x:row>
    <x:row r="443">
      <x:c r="A443" t="str">
        <x:v>TXN-0000442</x:v>
      </x:c>
      <x:c r="B443" t="str">
        <x:v>2025-11</x:v>
      </x:c>
      <x:c r="C443" t="n">
        <x:v>45968</x:v>
      </x:c>
      <x:c r="D443" t="str">
        <x:v>USR-00346</x:v>
      </x:c>
      <x:c r="E443" t="str">
        <x:v>SUS-000471</x:v>
      </x:c>
      <x:c r="F443" t="str">
        <x:v>Plus mensual</x:v>
      </x:c>
      <x:c r="G443" t="str">
        <x:v>Mensual</x:v>
      </x:c>
      <x:c r="H443" t="n">
        <x:v>1</x:v>
      </x:c>
      <x:c r="I443" t="str">
        <x:v>Aprobado</x:v>
      </x:c>
      <x:c r="J443" t="n">
        <x:v>29900</x:v>
      </x:c>
      <x:c r="K443" t="str">
        <x:v>Tarjeta crédito</x:v>
      </x:c>
      <x:c r="L443" t="str">
        <x:v>Sin error</x:v>
      </x:c>
    </x:row>
    <x:row r="444">
      <x:c r="A444" t="str">
        <x:v>TXN-0000443</x:v>
      </x:c>
      <x:c r="B444" t="str">
        <x:v>2025-11</x:v>
      </x:c>
      <x:c r="C444" t="n">
        <x:v>45971</x:v>
      </x:c>
      <x:c r="D444" t="str">
        <x:v>USR-00350</x:v>
      </x:c>
      <x:c r="E444" t="str">
        <x:v>SUS-000449</x:v>
      </x:c>
      <x:c r="F444" t="str">
        <x:v>Plus mensual</x:v>
      </x:c>
      <x:c r="G444" t="str">
        <x:v>Mensual</x:v>
      </x:c>
      <x:c r="H444" t="n">
        <x:v>1</x:v>
      </x:c>
      <x:c r="I444" t="str">
        <x:v>Aprobado</x:v>
      </x:c>
      <x:c r="J444" t="n">
        <x:v>29900</x:v>
      </x:c>
      <x:c r="K444" t="str">
        <x:v>Tarjeta crédito</x:v>
      </x:c>
      <x:c r="L444" t="str">
        <x:v>Sin error</x:v>
      </x:c>
    </x:row>
    <x:row r="445">
      <x:c r="A445" t="str">
        <x:v>TXN-0000444</x:v>
      </x:c>
      <x:c r="B445" t="str">
        <x:v>2025-11</x:v>
      </x:c>
      <x:c r="C445" t="n">
        <x:v>45970</x:v>
      </x:c>
      <x:c r="D445" t="str">
        <x:v>USR-00354</x:v>
      </x:c>
      <x:c r="E445" t="str">
        <x:v>SUS-000453</x:v>
      </x:c>
      <x:c r="F445" t="str">
        <x:v>Plus mensual</x:v>
      </x:c>
      <x:c r="G445" t="str">
        <x:v>Mensual</x:v>
      </x:c>
      <x:c r="H445" t="n">
        <x:v>1</x:v>
      </x:c>
      <x:c r="I445" t="str">
        <x:v>Rechazado</x:v>
      </x:c>
      <x:c r="J445" t="n">
        <x:v>29900</x:v>
      </x:c>
      <x:c r="K445" t="str">
        <x:v>PSE</x:v>
      </x:c>
      <x:c r="L445" t="str">
        <x:v>Error temporal</x:v>
      </x:c>
    </x:row>
    <x:row r="446">
      <x:c r="A446" t="str">
        <x:v>TXN-0000445</x:v>
      </x:c>
      <x:c r="B446" t="str">
        <x:v>2025-11</x:v>
      </x:c>
      <x:c r="C446" t="n">
        <x:v>45966</x:v>
      </x:c>
      <x:c r="D446" t="str">
        <x:v>USR-00354</x:v>
      </x:c>
      <x:c r="E446" t="str">
        <x:v>SUS-000453</x:v>
      </x:c>
      <x:c r="F446" t="str">
        <x:v>Plus mensual</x:v>
      </x:c>
      <x:c r="G446" t="str">
        <x:v>Mensual</x:v>
      </x:c>
      <x:c r="H446" t="n">
        <x:v>2</x:v>
      </x:c>
      <x:c r="I446" t="str">
        <x:v>Aprobado</x:v>
      </x:c>
      <x:c r="J446" t="n">
        <x:v>29900</x:v>
      </x:c>
      <x:c r="K446" t="str">
        <x:v>Tarjeta débito</x:v>
      </x:c>
      <x:c r="L446" t="str">
        <x:v>Sin error</x:v>
      </x:c>
    </x:row>
    <x:row r="447">
      <x:c r="A447" t="str">
        <x:v>TXN-0000446</x:v>
      </x:c>
      <x:c r="B447" t="str">
        <x:v>2025-11</x:v>
      </x:c>
      <x:c r="C447" t="n">
        <x:v>45967</x:v>
      </x:c>
      <x:c r="D447" t="str">
        <x:v>USR-00370</x:v>
      </x:c>
      <x:c r="E447" t="str">
        <x:v>SUS-000485</x:v>
      </x:c>
      <x:c r="F447" t="str">
        <x:v>Plus anual</x:v>
      </x:c>
      <x:c r="G447" t="str">
        <x:v>Anual</x:v>
      </x:c>
      <x:c r="H447" t="n">
        <x:v>1</x:v>
      </x:c>
      <x:c r="I447" t="str">
        <x:v>Aprobado</x:v>
      </x:c>
      <x:c r="J447" t="n">
        <x:v>299000</x:v>
      </x:c>
      <x:c r="K447" t="str">
        <x:v>PSE</x:v>
      </x:c>
      <x:c r="L447" t="str">
        <x:v>Sin error</x:v>
      </x:c>
    </x:row>
    <x:row r="448">
      <x:c r="A448" t="str">
        <x:v>TXN-0000447</x:v>
      </x:c>
      <x:c r="B448" t="str">
        <x:v>2025-11</x:v>
      </x:c>
      <x:c r="C448" t="n">
        <x:v>45968</x:v>
      </x:c>
      <x:c r="D448" t="str">
        <x:v>USR-00377</x:v>
      </x:c>
      <x:c r="E448" t="str">
        <x:v>SUS-000492</x:v>
      </x:c>
      <x:c r="F448" t="str">
        <x:v>Plus mensual</x:v>
      </x:c>
      <x:c r="G448" t="str">
        <x:v>Mensual</x:v>
      </x:c>
      <x:c r="H448" t="n">
        <x:v>1</x:v>
      </x:c>
      <x:c r="I448" t="str">
        <x:v>Aprobado</x:v>
      </x:c>
      <x:c r="J448" t="n">
        <x:v>29900</x:v>
      </x:c>
      <x:c r="K448" t="str">
        <x:v>PSE</x:v>
      </x:c>
      <x:c r="L448" t="str">
        <x:v>Sin error</x:v>
      </x:c>
    </x:row>
    <x:row r="449">
      <x:c r="A449" t="str">
        <x:v>TXN-0000448</x:v>
      </x:c>
      <x:c r="B449" t="str">
        <x:v>2025-11</x:v>
      </x:c>
      <x:c r="C449" t="n">
        <x:v>45966</x:v>
      </x:c>
      <x:c r="D449" t="str">
        <x:v>USR-00380</x:v>
      </x:c>
      <x:c r="E449" t="str">
        <x:v>SUS-000495</x:v>
      </x:c>
      <x:c r="F449" t="str">
        <x:v>Plus mensual</x:v>
      </x:c>
      <x:c r="G449" t="str">
        <x:v>Mensual</x:v>
      </x:c>
      <x:c r="H449" t="n">
        <x:v>1</x:v>
      </x:c>
      <x:c r="I449" t="str">
        <x:v>Aprobado</x:v>
      </x:c>
      <x:c r="J449" t="n">
        <x:v>29900</x:v>
      </x:c>
      <x:c r="K449" t="str">
        <x:v>Tarjeta crédito</x:v>
      </x:c>
      <x:c r="L449" t="str">
        <x:v>Sin error</x:v>
      </x:c>
    </x:row>
    <x:row r="450">
      <x:c r="A450" t="str">
        <x:v>TXN-0000449</x:v>
      </x:c>
      <x:c r="B450" t="str">
        <x:v>2025-11</x:v>
      </x:c>
      <x:c r="C450" t="n">
        <x:v>45970</x:v>
      </x:c>
      <x:c r="D450" t="str">
        <x:v>USR-00387</x:v>
      </x:c>
      <x:c r="E450" t="str">
        <x:v>SUS-000502</x:v>
      </x:c>
      <x:c r="F450" t="str">
        <x:v>Plus mensual</x:v>
      </x:c>
      <x:c r="G450" t="str">
        <x:v>Mensual</x:v>
      </x:c>
      <x:c r="H450" t="n">
        <x:v>1</x:v>
      </x:c>
      <x:c r="I450" t="str">
        <x:v>Aprobado</x:v>
      </x:c>
      <x:c r="J450" t="n">
        <x:v>29900</x:v>
      </x:c>
      <x:c r="K450" t="str">
        <x:v>Tarjeta crédito</x:v>
      </x:c>
      <x:c r="L450" t="str">
        <x:v>Sin error</x:v>
      </x:c>
    </x:row>
    <x:row r="451">
      <x:c r="A451" t="str">
        <x:v>TXN-0000450</x:v>
      </x:c>
      <x:c r="B451" t="str">
        <x:v>2025-11</x:v>
      </x:c>
      <x:c r="C451" t="n">
        <x:v>45972</x:v>
      </x:c>
      <x:c r="D451" t="str">
        <x:v>USR-00391</x:v>
      </x:c>
      <x:c r="E451" t="str">
        <x:v>SUS-000506</x:v>
      </x:c>
      <x:c r="F451" t="str">
        <x:v>Plus mensual</x:v>
      </x:c>
      <x:c r="G451" t="str">
        <x:v>Mensual</x:v>
      </x:c>
      <x:c r="H451" t="n">
        <x:v>1</x:v>
      </x:c>
      <x:c r="I451" t="str">
        <x:v>Aprobado</x:v>
      </x:c>
      <x:c r="J451" t="n">
        <x:v>29900</x:v>
      </x:c>
      <x:c r="K451" t="str">
        <x:v>Tarjeta crédito</x:v>
      </x:c>
      <x:c r="L451" t="str">
        <x:v>Sin error</x:v>
      </x:c>
    </x:row>
    <x:row r="452">
      <x:c r="A452" t="str">
        <x:v>TXN-0000451</x:v>
      </x:c>
      <x:c r="B452" t="str">
        <x:v>2025-11</x:v>
      </x:c>
      <x:c r="C452" t="n">
        <x:v>45972</x:v>
      </x:c>
      <x:c r="D452" t="str">
        <x:v>USR-00396</x:v>
      </x:c>
      <x:c r="E452" t="str">
        <x:v>SUS-000511</x:v>
      </x:c>
      <x:c r="F452" t="str">
        <x:v>Plus mensual</x:v>
      </x:c>
      <x:c r="G452" t="str">
        <x:v>Mensual</x:v>
      </x:c>
      <x:c r="H452" t="n">
        <x:v>1</x:v>
      </x:c>
      <x:c r="I452" t="str">
        <x:v>Aprobado</x:v>
      </x:c>
      <x:c r="J452" t="n">
        <x:v>29900</x:v>
      </x:c>
      <x:c r="K452" t="str">
        <x:v>Tarjeta débito</x:v>
      </x:c>
      <x:c r="L452" t="str">
        <x:v>Sin error</x:v>
      </x:c>
    </x:row>
    <x:row r="453">
      <x:c r="A453" t="str">
        <x:v>TXN-0000452</x:v>
      </x:c>
      <x:c r="B453" t="str">
        <x:v>2025-11</x:v>
      </x:c>
      <x:c r="C453" t="n">
        <x:v>45972</x:v>
      </x:c>
      <x:c r="D453" t="str">
        <x:v>USR-00405</x:v>
      </x:c>
      <x:c r="E453" t="str">
        <x:v>SUS-000520</x:v>
      </x:c>
      <x:c r="F453" t="str">
        <x:v>Plus anual</x:v>
      </x:c>
      <x:c r="G453" t="str">
        <x:v>Anual</x:v>
      </x:c>
      <x:c r="H453" t="n">
        <x:v>1</x:v>
      </x:c>
      <x:c r="I453" t="str">
        <x:v>Aprobado</x:v>
      </x:c>
      <x:c r="J453" t="n">
        <x:v>299000</x:v>
      </x:c>
      <x:c r="K453" t="str">
        <x:v>PSE</x:v>
      </x:c>
      <x:c r="L453" t="str">
        <x:v>Sin error</x:v>
      </x:c>
    </x:row>
    <x:row r="454">
      <x:c r="A454" t="str">
        <x:v>TXN-0000453</x:v>
      </x:c>
      <x:c r="B454" t="str">
        <x:v>2025-12</x:v>
      </x:c>
      <x:c r="C454" t="n">
        <x:v>45997</x:v>
      </x:c>
      <x:c r="D454" t="str">
        <x:v>USR-00002</x:v>
      </x:c>
      <x:c r="E454" t="str">
        <x:v>SUS-000212</x:v>
      </x:c>
      <x:c r="F454" t="str">
        <x:v>Plus mensual</x:v>
      </x:c>
      <x:c r="G454" t="str">
        <x:v>Mensual</x:v>
      </x:c>
      <x:c r="H454" t="n">
        <x:v>1</x:v>
      </x:c>
      <x:c r="I454" t="str">
        <x:v>Aprobado</x:v>
      </x:c>
      <x:c r="J454" t="n">
        <x:v>29900</x:v>
      </x:c>
      <x:c r="K454" t="str">
        <x:v>Tarjeta débito</x:v>
      </x:c>
      <x:c r="L454" t="str">
        <x:v>Sin error</x:v>
      </x:c>
    </x:row>
    <x:row r="455">
      <x:c r="A455" t="str">
        <x:v>TXN-0000454</x:v>
      </x:c>
      <x:c r="B455" t="str">
        <x:v>2025-12</x:v>
      </x:c>
      <x:c r="C455" t="n">
        <x:v>46001</x:v>
      </x:c>
      <x:c r="D455" t="str">
        <x:v>USR-00018</x:v>
      </x:c>
      <x:c r="E455" t="str">
        <x:v>SUS-000157</x:v>
      </x:c>
      <x:c r="F455" t="str">
        <x:v>Plus mensual</x:v>
      </x:c>
      <x:c r="G455" t="str">
        <x:v>Mensual</x:v>
      </x:c>
      <x:c r="H455" t="n">
        <x:v>1</x:v>
      </x:c>
      <x:c r="I455" t="str">
        <x:v>Aprobado</x:v>
      </x:c>
      <x:c r="J455" t="n">
        <x:v>29900</x:v>
      </x:c>
      <x:c r="K455" t="str">
        <x:v>PSE</x:v>
      </x:c>
      <x:c r="L455" t="str">
        <x:v>Sin error</x:v>
      </x:c>
    </x:row>
    <x:row r="456">
      <x:c r="A456" t="str">
        <x:v>TXN-0000455</x:v>
      </x:c>
      <x:c r="B456" t="str">
        <x:v>2025-12</x:v>
      </x:c>
      <x:c r="C456" t="n">
        <x:v>46002</x:v>
      </x:c>
      <x:c r="D456" t="str">
        <x:v>USR-00019</x:v>
      </x:c>
      <x:c r="E456" t="str">
        <x:v>SUS-000158</x:v>
      </x:c>
      <x:c r="F456" t="str">
        <x:v>Plus mensual</x:v>
      </x:c>
      <x:c r="G456" t="str">
        <x:v>Mensual</x:v>
      </x:c>
      <x:c r="H456" t="n">
        <x:v>1</x:v>
      </x:c>
      <x:c r="I456" t="str">
        <x:v>Aprobado</x:v>
      </x:c>
      <x:c r="J456" t="n">
        <x:v>29900</x:v>
      </x:c>
      <x:c r="K456" t="str">
        <x:v>PSE</x:v>
      </x:c>
      <x:c r="L456" t="str">
        <x:v>Sin error</x:v>
      </x:c>
    </x:row>
    <x:row r="457">
      <x:c r="A457" t="str">
        <x:v>TXN-0000456</x:v>
      </x:c>
      <x:c r="B457" t="str">
        <x:v>2025-12</x:v>
      </x:c>
      <x:c r="C457" t="n">
        <x:v>45997</x:v>
      </x:c>
      <x:c r="D457" t="str">
        <x:v>USR-00026</x:v>
      </x:c>
      <x:c r="E457" t="str">
        <x:v>SUS-000101</x:v>
      </x:c>
      <x:c r="F457" t="str">
        <x:v>Plus mensual</x:v>
      </x:c>
      <x:c r="G457" t="str">
        <x:v>Mensual</x:v>
      </x:c>
      <x:c r="H457" t="n">
        <x:v>1</x:v>
      </x:c>
      <x:c r="I457" t="str">
        <x:v>Aprobado</x:v>
      </x:c>
      <x:c r="J457" t="n">
        <x:v>29900</x:v>
      </x:c>
      <x:c r="K457" t="str">
        <x:v>Tarjeta débito</x:v>
      </x:c>
      <x:c r="L457" t="str">
        <x:v>Sin error</x:v>
      </x:c>
    </x:row>
    <x:row r="458">
      <x:c r="A458" t="str">
        <x:v>TXN-0000457</x:v>
      </x:c>
      <x:c r="B458" t="str">
        <x:v>2025-12</x:v>
      </x:c>
      <x:c r="C458" t="n">
        <x:v>46000</x:v>
      </x:c>
      <x:c r="D458" t="str">
        <x:v>USR-00035</x:v>
      </x:c>
      <x:c r="E458" t="str">
        <x:v>SUS-000130</x:v>
      </x:c>
      <x:c r="F458" t="str">
        <x:v>Plus mensual</x:v>
      </x:c>
      <x:c r="G458" t="str">
        <x:v>Mensual</x:v>
      </x:c>
      <x:c r="H458" t="n">
        <x:v>1</x:v>
      </x:c>
      <x:c r="I458" t="str">
        <x:v>Aprobado</x:v>
      </x:c>
      <x:c r="J458" t="n">
        <x:v>29900</x:v>
      </x:c>
      <x:c r="K458" t="str">
        <x:v>Tarjeta débito</x:v>
      </x:c>
      <x:c r="L458" t="str">
        <x:v>Sin error</x:v>
      </x:c>
    </x:row>
    <x:row r="459">
      <x:c r="A459" t="str">
        <x:v>TXN-0000458</x:v>
      </x:c>
      <x:c r="B459" t="str">
        <x:v>2025-12</x:v>
      </x:c>
      <x:c r="C459" t="n">
        <x:v>46003</x:v>
      </x:c>
      <x:c r="D459" t="str">
        <x:v>USR-00036</x:v>
      </x:c>
      <x:c r="E459" t="str">
        <x:v>SUS-000329</x:v>
      </x:c>
      <x:c r="F459" t="str">
        <x:v>Plus mensual</x:v>
      </x:c>
      <x:c r="G459" t="str">
        <x:v>Mensual</x:v>
      </x:c>
      <x:c r="H459" t="n">
        <x:v>1</x:v>
      </x:c>
      <x:c r="I459" t="str">
        <x:v>Aprobado</x:v>
      </x:c>
      <x:c r="J459" t="n">
        <x:v>29900</x:v>
      </x:c>
      <x:c r="K459" t="str">
        <x:v>Tarjeta débito</x:v>
      </x:c>
      <x:c r="L459" t="str">
        <x:v>Sin error</x:v>
      </x:c>
    </x:row>
    <x:row r="460">
      <x:c r="A460" t="str">
        <x:v>TXN-0000459</x:v>
      </x:c>
      <x:c r="B460" t="str">
        <x:v>2025-12</x:v>
      </x:c>
      <x:c r="C460" t="n">
        <x:v>46002</x:v>
      </x:c>
      <x:c r="D460" t="str">
        <x:v>USR-00037</x:v>
      </x:c>
      <x:c r="E460" t="str">
        <x:v>SUS-000457</x:v>
      </x:c>
      <x:c r="F460" t="str">
        <x:v>Plus mensual</x:v>
      </x:c>
      <x:c r="G460" t="str">
        <x:v>Mensual</x:v>
      </x:c>
      <x:c r="H460" t="n">
        <x:v>1</x:v>
      </x:c>
      <x:c r="I460" t="str">
        <x:v>Aprobado</x:v>
      </x:c>
      <x:c r="J460" t="n">
        <x:v>29900</x:v>
      </x:c>
      <x:c r="K460" t="str">
        <x:v>PSE</x:v>
      </x:c>
      <x:c r="L460" t="str">
        <x:v>Sin error</x:v>
      </x:c>
    </x:row>
    <x:row r="461">
      <x:c r="A461" t="str">
        <x:v>TXN-0000460</x:v>
      </x:c>
      <x:c r="B461" t="str">
        <x:v>2025-12</x:v>
      </x:c>
      <x:c r="C461" t="n">
        <x:v>46001</x:v>
      </x:c>
      <x:c r="D461" t="str">
        <x:v>USR-00042</x:v>
      </x:c>
      <x:c r="E461" t="str">
        <x:v>SUS-000215</x:v>
      </x:c>
      <x:c r="F461" t="str">
        <x:v>Plus mensual</x:v>
      </x:c>
      <x:c r="G461" t="str">
        <x:v>Mensual</x:v>
      </x:c>
      <x:c r="H461" t="n">
        <x:v>1</x:v>
      </x:c>
      <x:c r="I461" t="str">
        <x:v>Aprobado</x:v>
      </x:c>
      <x:c r="J461" t="n">
        <x:v>29900</x:v>
      </x:c>
      <x:c r="K461" t="str">
        <x:v>Tarjeta crédito</x:v>
      </x:c>
      <x:c r="L461" t="str">
        <x:v>Sin error</x:v>
      </x:c>
    </x:row>
    <x:row r="462">
      <x:c r="A462" t="str">
        <x:v>TXN-0000461</x:v>
      </x:c>
      <x:c r="B462" t="str">
        <x:v>2025-12</x:v>
      </x:c>
      <x:c r="C462" t="n">
        <x:v>45997</x:v>
      </x:c>
      <x:c r="D462" t="str">
        <x:v>USR-00047</x:v>
      </x:c>
      <x:c r="E462" t="str">
        <x:v>SUS-000523</x:v>
      </x:c>
      <x:c r="F462" t="str">
        <x:v>Plus anual</x:v>
      </x:c>
      <x:c r="G462" t="str">
        <x:v>Anual</x:v>
      </x:c>
      <x:c r="H462" t="n">
        <x:v>1</x:v>
      </x:c>
      <x:c r="I462" t="str">
        <x:v>Aprobado</x:v>
      </x:c>
      <x:c r="J462" t="n">
        <x:v>299000</x:v>
      </x:c>
      <x:c r="K462" t="str">
        <x:v>Tarjeta débito</x:v>
      </x:c>
      <x:c r="L462" t="str">
        <x:v>Sin error</x:v>
      </x:c>
    </x:row>
    <x:row r="463">
      <x:c r="A463" t="str">
        <x:v>TXN-0000462</x:v>
      </x:c>
      <x:c r="B463" t="str">
        <x:v>2025-12</x:v>
      </x:c>
      <x:c r="C463" t="n">
        <x:v>45998</x:v>
      </x:c>
      <x:c r="D463" t="str">
        <x:v>USR-00048</x:v>
      </x:c>
      <x:c r="E463" t="str">
        <x:v>SUS-000160</x:v>
      </x:c>
      <x:c r="F463" t="str">
        <x:v>Plus mensual</x:v>
      </x:c>
      <x:c r="G463" t="str">
        <x:v>Mensual</x:v>
      </x:c>
      <x:c r="H463" t="n">
        <x:v>1</x:v>
      </x:c>
      <x:c r="I463" t="str">
        <x:v>Aprobado</x:v>
      </x:c>
      <x:c r="J463" t="n">
        <x:v>29900</x:v>
      </x:c>
      <x:c r="K463" t="str">
        <x:v>Tarjeta crédito</x:v>
      </x:c>
      <x:c r="L463" t="str">
        <x:v>Sin error</x:v>
      </x:c>
    </x:row>
    <x:row r="464">
      <x:c r="A464" t="str">
        <x:v>TXN-0000463</x:v>
      </x:c>
      <x:c r="B464" t="str">
        <x:v>2025-12</x:v>
      </x:c>
      <x:c r="C464" t="n">
        <x:v>46002</x:v>
      </x:c>
      <x:c r="D464" t="str">
        <x:v>USR-00050</x:v>
      </x:c>
      <x:c r="E464" t="str">
        <x:v>SUS-000524</x:v>
      </x:c>
      <x:c r="F464" t="str">
        <x:v>Plus anual</x:v>
      </x:c>
      <x:c r="G464" t="str">
        <x:v>Anual</x:v>
      </x:c>
      <x:c r="H464" t="n">
        <x:v>1</x:v>
      </x:c>
      <x:c r="I464" t="str">
        <x:v>Rechazado</x:v>
      </x:c>
      <x:c r="J464" t="n">
        <x:v>299000</x:v>
      </x:c>
      <x:c r="K464" t="str">
        <x:v>PSE</x:v>
      </x:c>
      <x:c r="L464" t="str">
        <x:v>Declinado por entidad</x:v>
      </x:c>
    </x:row>
    <x:row r="465">
      <x:c r="A465" t="str">
        <x:v>TXN-0000464</x:v>
      </x:c>
      <x:c r="B465" t="str">
        <x:v>2025-12</x:v>
      </x:c>
      <x:c r="C465" t="n">
        <x:v>46000</x:v>
      </x:c>
      <x:c r="D465" t="str">
        <x:v>USR-00050</x:v>
      </x:c>
      <x:c r="E465" t="str">
        <x:v>SUS-000524</x:v>
      </x:c>
      <x:c r="F465" t="str">
        <x:v>Plus anual</x:v>
      </x:c>
      <x:c r="G465" t="str">
        <x:v>Anual</x:v>
      </x:c>
      <x:c r="H465" t="n">
        <x:v>2</x:v>
      </x:c>
      <x:c r="I465" t="str">
        <x:v>Aprobado</x:v>
      </x:c>
      <x:c r="J465" t="n">
        <x:v>299000</x:v>
      </x:c>
      <x:c r="K465" t="str">
        <x:v>Tarjeta crédito</x:v>
      </x:c>
      <x:c r="L465" t="str">
        <x:v>Sin error</x:v>
      </x:c>
    </x:row>
    <x:row r="466">
      <x:c r="A466" t="str">
        <x:v>TXN-0000465</x:v>
      </x:c>
      <x:c r="B466" t="str">
        <x:v>2025-12</x:v>
      </x:c>
      <x:c r="C466" t="n">
        <x:v>45996</x:v>
      </x:c>
      <x:c r="D466" t="str">
        <x:v>USR-00051</x:v>
      </x:c>
      <x:c r="E466" t="str">
        <x:v>SUS-000055</x:v>
      </x:c>
      <x:c r="F466" t="str">
        <x:v>Plus mensual</x:v>
      </x:c>
      <x:c r="G466" t="str">
        <x:v>Mensual</x:v>
      </x:c>
      <x:c r="H466" t="n">
        <x:v>1</x:v>
      </x:c>
      <x:c r="I466" t="str">
        <x:v>Aprobado</x:v>
      </x:c>
      <x:c r="J466" t="n">
        <x:v>29900</x:v>
      </x:c>
      <x:c r="K466" t="str">
        <x:v>Tarjeta crédito</x:v>
      </x:c>
      <x:c r="L466" t="str">
        <x:v>Sin error</x:v>
      </x:c>
    </x:row>
    <x:row r="467">
      <x:c r="A467" t="str">
        <x:v>TXN-0000466</x:v>
      </x:c>
      <x:c r="B467" t="str">
        <x:v>2025-12</x:v>
      </x:c>
      <x:c r="C467" t="n">
        <x:v>46001</x:v>
      </x:c>
      <x:c r="D467" t="str">
        <x:v>USR-00052</x:v>
      </x:c>
      <x:c r="E467" t="str">
        <x:v>SUS-000385</x:v>
      </x:c>
      <x:c r="F467" t="str">
        <x:v>Plus mensual</x:v>
      </x:c>
      <x:c r="G467" t="str">
        <x:v>Mensual</x:v>
      </x:c>
      <x:c r="H467" t="n">
        <x:v>1</x:v>
      </x:c>
      <x:c r="I467" t="str">
        <x:v>Aprobado</x:v>
      </x:c>
      <x:c r="J467" t="n">
        <x:v>29900</x:v>
      </x:c>
      <x:c r="K467" t="str">
        <x:v>PSE</x:v>
      </x:c>
      <x:c r="L467" t="str">
        <x:v>Sin error</x:v>
      </x:c>
    </x:row>
    <x:row r="468">
      <x:c r="A468" t="str">
        <x:v>TXN-0000467</x:v>
      </x:c>
      <x:c r="B468" t="str">
        <x:v>2025-12</x:v>
      </x:c>
      <x:c r="C468" t="n">
        <x:v>46003</x:v>
      </x:c>
      <x:c r="D468" t="str">
        <x:v>USR-00057</x:v>
      </x:c>
      <x:c r="E468" t="str">
        <x:v>SUS-000386</x:v>
      </x:c>
      <x:c r="F468" t="str">
        <x:v>Plus mensual</x:v>
      </x:c>
      <x:c r="G468" t="str">
        <x:v>Mensual</x:v>
      </x:c>
      <x:c r="H468" t="n">
        <x:v>1</x:v>
      </x:c>
      <x:c r="I468" t="str">
        <x:v>Aprobado</x:v>
      </x:c>
      <x:c r="J468" t="n">
        <x:v>29900</x:v>
      </x:c>
      <x:c r="K468" t="str">
        <x:v>PSE</x:v>
      </x:c>
      <x:c r="L468" t="str">
        <x:v>Sin error</x:v>
      </x:c>
    </x:row>
    <x:row r="469">
      <x:c r="A469" t="str">
        <x:v>TXN-0000468</x:v>
      </x:c>
      <x:c r="B469" t="str">
        <x:v>2025-12</x:v>
      </x:c>
      <x:c r="C469" t="n">
        <x:v>46003</x:v>
      </x:c>
      <x:c r="D469" t="str">
        <x:v>USR-00061</x:v>
      </x:c>
      <x:c r="E469" t="str">
        <x:v>SIN_SUSCRIPCION</x:v>
      </x:c>
      <x:c r="F469" t="str">
        <x:v>Plus mensual</x:v>
      </x:c>
      <x:c r="G469" t="str">
        <x:v>Mensual</x:v>
      </x:c>
      <x:c r="H469" t="n">
        <x:v>1</x:v>
      </x:c>
      <x:c r="I469" t="str">
        <x:v>Rechazado</x:v>
      </x:c>
      <x:c r="J469" t="n">
        <x:v>29900</x:v>
      </x:c>
      <x:c r="K469" t="str">
        <x:v>PSE</x:v>
      </x:c>
      <x:c r="L469" t="str">
        <x:v>Error temporal</x:v>
      </x:c>
    </x:row>
    <x:row r="470">
      <x:c r="A470" t="str">
        <x:v>TXN-0000469</x:v>
      </x:c>
      <x:c r="B470" t="str">
        <x:v>2025-12</x:v>
      </x:c>
      <x:c r="C470" t="n">
        <x:v>46001</x:v>
      </x:c>
      <x:c r="D470" t="str">
        <x:v>USR-00061</x:v>
      </x:c>
      <x:c r="E470" t="str">
        <x:v>SIN_SUSCRIPCION</x:v>
      </x:c>
      <x:c r="F470" t="str">
        <x:v>Plus mensual</x:v>
      </x:c>
      <x:c r="G470" t="str">
        <x:v>Mensual</x:v>
      </x:c>
      <x:c r="H470" t="n">
        <x:v>2</x:v>
      </x:c>
      <x:c r="I470" t="str">
        <x:v>Rechazado</x:v>
      </x:c>
      <x:c r="J470" t="n">
        <x:v>29900</x:v>
      </x:c>
      <x:c r="K470" t="str">
        <x:v>Tarjeta crédito</x:v>
      </x:c>
      <x:c r="L470" t="str">
        <x:v>Error temporal</x:v>
      </x:c>
    </x:row>
    <x:row r="471">
      <x:c r="A471" t="str">
        <x:v>TXN-0000470</x:v>
      </x:c>
      <x:c r="B471" t="str">
        <x:v>2025-12</x:v>
      </x:c>
      <x:c r="C471" t="n">
        <x:v>45997</x:v>
      </x:c>
      <x:c r="D471" t="str">
        <x:v>USR-00064</x:v>
      </x:c>
      <x:c r="E471" t="str">
        <x:v>SUS-000333</x:v>
      </x:c>
      <x:c r="F471" t="str">
        <x:v>Plus mensual</x:v>
      </x:c>
      <x:c r="G471" t="str">
        <x:v>Mensual</x:v>
      </x:c>
      <x:c r="H471" t="n">
        <x:v>1</x:v>
      </x:c>
      <x:c r="I471" t="str">
        <x:v>Aprobado</x:v>
      </x:c>
      <x:c r="J471" t="n">
        <x:v>29900</x:v>
      </x:c>
      <x:c r="K471" t="str">
        <x:v>PSE</x:v>
      </x:c>
      <x:c r="L471" t="str">
        <x:v>Sin error</x:v>
      </x:c>
    </x:row>
    <x:row r="472">
      <x:c r="A472" t="str">
        <x:v>TXN-0000471</x:v>
      </x:c>
      <x:c r="B472" t="str">
        <x:v>2025-12</x:v>
      </x:c>
      <x:c r="C472" t="n">
        <x:v>45998</x:v>
      </x:c>
      <x:c r="D472" t="str">
        <x:v>USR-00067</x:v>
      </x:c>
      <x:c r="E472" t="str">
        <x:v>SUS-000460</x:v>
      </x:c>
      <x:c r="F472" t="str">
        <x:v>Plus mensual</x:v>
      </x:c>
      <x:c r="G472" t="str">
        <x:v>Mensual</x:v>
      </x:c>
      <x:c r="H472" t="n">
        <x:v>1</x:v>
      </x:c>
      <x:c r="I472" t="str">
        <x:v>Aprobado</x:v>
      </x:c>
      <x:c r="J472" t="n">
        <x:v>29900</x:v>
      </x:c>
      <x:c r="K472" t="str">
        <x:v>PSE</x:v>
      </x:c>
      <x:c r="L472" t="str">
        <x:v>Sin error</x:v>
      </x:c>
    </x:row>
    <x:row r="473">
      <x:c r="A473" t="str">
        <x:v>TXN-0000472</x:v>
      </x:c>
      <x:c r="B473" t="str">
        <x:v>2025-12</x:v>
      </x:c>
      <x:c r="C473" t="n">
        <x:v>45999</x:v>
      </x:c>
      <x:c r="D473" t="str">
        <x:v>USR-00070</x:v>
      </x:c>
      <x:c r="E473" t="str">
        <x:v>SUS-000527</x:v>
      </x:c>
      <x:c r="F473" t="str">
        <x:v>Plus mensual</x:v>
      </x:c>
      <x:c r="G473" t="str">
        <x:v>Mensual</x:v>
      </x:c>
      <x:c r="H473" t="n">
        <x:v>1</x:v>
      </x:c>
      <x:c r="I473" t="str">
        <x:v>Aprobado</x:v>
      </x:c>
      <x:c r="J473" t="n">
        <x:v>29900</x:v>
      </x:c>
      <x:c r="K473" t="str">
        <x:v>PSE</x:v>
      </x:c>
      <x:c r="L473" t="str">
        <x:v>Sin error</x:v>
      </x:c>
    </x:row>
    <x:row r="474">
      <x:c r="A474" t="str">
        <x:v>TXN-0000473</x:v>
      </x:c>
      <x:c r="B474" t="str">
        <x:v>2025-12</x:v>
      </x:c>
      <x:c r="C474" t="n">
        <x:v>45998</x:v>
      </x:c>
      <x:c r="D474" t="str">
        <x:v>USR-00071</x:v>
      </x:c>
      <x:c r="E474" t="str">
        <x:v>SUS-000217</x:v>
      </x:c>
      <x:c r="F474" t="str">
        <x:v>Plus mensual</x:v>
      </x:c>
      <x:c r="G474" t="str">
        <x:v>Mensual</x:v>
      </x:c>
      <x:c r="H474" t="n">
        <x:v>1</x:v>
      </x:c>
      <x:c r="I474" t="str">
        <x:v>Aprobado</x:v>
      </x:c>
      <x:c r="J474" t="n">
        <x:v>29900</x:v>
      </x:c>
      <x:c r="K474" t="str">
        <x:v>Tarjeta débito</x:v>
      </x:c>
      <x:c r="L474" t="str">
        <x:v>Sin error</x:v>
      </x:c>
    </x:row>
    <x:row r="475">
      <x:c r="A475" t="str">
        <x:v>TXN-0000474</x:v>
      </x:c>
      <x:c r="B475" t="str">
        <x:v>2025-12</x:v>
      </x:c>
      <x:c r="C475" t="n">
        <x:v>46003</x:v>
      </x:c>
      <x:c r="D475" t="str">
        <x:v>USR-00073</x:v>
      </x:c>
      <x:c r="E475" t="str">
        <x:v>SUS-000335</x:v>
      </x:c>
      <x:c r="F475" t="str">
        <x:v>Plus mensual</x:v>
      </x:c>
      <x:c r="G475" t="str">
        <x:v>Mensual</x:v>
      </x:c>
      <x:c r="H475" t="n">
        <x:v>1</x:v>
      </x:c>
      <x:c r="I475" t="str">
        <x:v>Rechazado</x:v>
      </x:c>
      <x:c r="J475" t="n">
        <x:v>29900</x:v>
      </x:c>
      <x:c r="K475" t="str">
        <x:v>PSE</x:v>
      </x:c>
      <x:c r="L475" t="str">
        <x:v>Error temporal</x:v>
      </x:c>
    </x:row>
    <x:row r="476">
      <x:c r="A476" t="str">
        <x:v>TXN-0000475</x:v>
      </x:c>
      <x:c r="B476" t="str">
        <x:v>2025-12</x:v>
      </x:c>
      <x:c r="C476" t="n">
        <x:v>46000</x:v>
      </x:c>
      <x:c r="D476" t="str">
        <x:v>USR-00073</x:v>
      </x:c>
      <x:c r="E476" t="str">
        <x:v>SUS-000335</x:v>
      </x:c>
      <x:c r="F476" t="str">
        <x:v>Plus mensual</x:v>
      </x:c>
      <x:c r="G476" t="str">
        <x:v>Mensual</x:v>
      </x:c>
      <x:c r="H476" t="n">
        <x:v>2</x:v>
      </x:c>
      <x:c r="I476" t="str">
        <x:v>Aprobado</x:v>
      </x:c>
      <x:c r="J476" t="n">
        <x:v>29900</x:v>
      </x:c>
      <x:c r="K476" t="str">
        <x:v>Tarjeta crédito</x:v>
      </x:c>
      <x:c r="L476" t="str">
        <x:v>Sin error</x:v>
      </x:c>
    </x:row>
    <x:row r="477">
      <x:c r="A477" t="str">
        <x:v>TXN-0000476</x:v>
      </x:c>
      <x:c r="B477" t="str">
        <x:v>2025-12</x:v>
      </x:c>
      <x:c r="C477" t="n">
        <x:v>46000</x:v>
      </x:c>
      <x:c r="D477" t="str">
        <x:v>USR-00078</x:v>
      </x:c>
      <x:c r="E477" t="str">
        <x:v>SUS-000083</x:v>
      </x:c>
      <x:c r="F477" t="str">
        <x:v>Plus mensual</x:v>
      </x:c>
      <x:c r="G477" t="str">
        <x:v>Mensual</x:v>
      </x:c>
      <x:c r="H477" t="n">
        <x:v>1</x:v>
      </x:c>
      <x:c r="I477" t="str">
        <x:v>Aprobado</x:v>
      </x:c>
      <x:c r="J477" t="n">
        <x:v>29900</x:v>
      </x:c>
      <x:c r="K477" t="str">
        <x:v>PSE</x:v>
      </x:c>
      <x:c r="L477" t="str">
        <x:v>Sin error</x:v>
      </x:c>
    </x:row>
    <x:row r="478">
      <x:c r="A478" t="str">
        <x:v>TXN-0000477</x:v>
      </x:c>
      <x:c r="B478" t="str">
        <x:v>2025-12</x:v>
      </x:c>
      <x:c r="C478" t="n">
        <x:v>45997</x:v>
      </x:c>
      <x:c r="D478" t="str">
        <x:v>USR-00079</x:v>
      </x:c>
      <x:c r="E478" t="str">
        <x:v>SUS-000336</x:v>
      </x:c>
      <x:c r="F478" t="str">
        <x:v>Plus mensual</x:v>
      </x:c>
      <x:c r="G478" t="str">
        <x:v>Mensual</x:v>
      </x:c>
      <x:c r="H478" t="n">
        <x:v>1</x:v>
      </x:c>
      <x:c r="I478" t="str">
        <x:v>Aprobado</x:v>
      </x:c>
      <x:c r="J478" t="n">
        <x:v>29900</x:v>
      </x:c>
      <x:c r="K478" t="str">
        <x:v>Tarjeta crédito</x:v>
      </x:c>
      <x:c r="L478" t="str">
        <x:v>Sin error</x:v>
      </x:c>
    </x:row>
    <x:row r="479">
      <x:c r="A479" t="str">
        <x:v>TXN-0000478</x:v>
      </x:c>
      <x:c r="B479" t="str">
        <x:v>2025-12</x:v>
      </x:c>
      <x:c r="C479" t="n">
        <x:v>45996</x:v>
      </x:c>
      <x:c r="D479" t="str">
        <x:v>USR-00082</x:v>
      </x:c>
      <x:c r="E479" t="str">
        <x:v>SUS-000528</x:v>
      </x:c>
      <x:c r="F479" t="str">
        <x:v>Plus mensual</x:v>
      </x:c>
      <x:c r="G479" t="str">
        <x:v>Mensual</x:v>
      </x:c>
      <x:c r="H479" t="n">
        <x:v>1</x:v>
      </x:c>
      <x:c r="I479" t="str">
        <x:v>Aprobado</x:v>
      </x:c>
      <x:c r="J479" t="n">
        <x:v>29900</x:v>
      </x:c>
      <x:c r="K479" t="str">
        <x:v>Tarjeta crédito</x:v>
      </x:c>
      <x:c r="L479" t="str">
        <x:v>Sin error</x:v>
      </x:c>
    </x:row>
    <x:row r="480">
      <x:c r="A480" t="str">
        <x:v>TXN-0000479</x:v>
      </x:c>
      <x:c r="B480" t="str">
        <x:v>2025-12</x:v>
      </x:c>
      <x:c r="C480" t="n">
        <x:v>46003</x:v>
      </x:c>
      <x:c r="D480" t="str">
        <x:v>USR-00083</x:v>
      </x:c>
      <x:c r="E480" t="str">
        <x:v>SUS-000218</x:v>
      </x:c>
      <x:c r="F480" t="str">
        <x:v>Plus mensual</x:v>
      </x:c>
      <x:c r="G480" t="str">
        <x:v>Mensual</x:v>
      </x:c>
      <x:c r="H480" t="n">
        <x:v>1</x:v>
      </x:c>
      <x:c r="I480" t="str">
        <x:v>Aprobado</x:v>
      </x:c>
      <x:c r="J480" t="n">
        <x:v>29900</x:v>
      </x:c>
      <x:c r="K480" t="str">
        <x:v>PSE</x:v>
      </x:c>
      <x:c r="L480" t="str">
        <x:v>Sin error</x:v>
      </x:c>
    </x:row>
    <x:row r="481">
      <x:c r="A481" t="str">
        <x:v>TXN-0000480</x:v>
      </x:c>
      <x:c r="B481" t="str">
        <x:v>2025-12</x:v>
      </x:c>
      <x:c r="C481" t="n">
        <x:v>45999</x:v>
      </x:c>
      <x:c r="D481" t="str">
        <x:v>USR-00087</x:v>
      </x:c>
      <x:c r="E481" t="str">
        <x:v>SUS-000219</x:v>
      </x:c>
      <x:c r="F481" t="str">
        <x:v>Plus mensual</x:v>
      </x:c>
      <x:c r="G481" t="str">
        <x:v>Mensual</x:v>
      </x:c>
      <x:c r="H481" t="n">
        <x:v>1</x:v>
      </x:c>
      <x:c r="I481" t="str">
        <x:v>Aprobado</x:v>
      </x:c>
      <x:c r="J481" t="n">
        <x:v>29900</x:v>
      </x:c>
      <x:c r="K481" t="str">
        <x:v>Tarjeta débito</x:v>
      </x:c>
      <x:c r="L481" t="str">
        <x:v>Sin error</x:v>
      </x:c>
    </x:row>
    <x:row r="482">
      <x:c r="A482" t="str">
        <x:v>TXN-0000481</x:v>
      </x:c>
      <x:c r="B482" t="str">
        <x:v>2025-12</x:v>
      </x:c>
      <x:c r="C482" t="n">
        <x:v>45997</x:v>
      </x:c>
      <x:c r="D482" t="str">
        <x:v>USR-00091</x:v>
      </x:c>
      <x:c r="E482" t="str">
        <x:v>SUS-000096</x:v>
      </x:c>
      <x:c r="F482" t="str">
        <x:v>Plus mensual</x:v>
      </x:c>
      <x:c r="G482" t="str">
        <x:v>Mensual</x:v>
      </x:c>
      <x:c r="H482" t="n">
        <x:v>1</x:v>
      </x:c>
      <x:c r="I482" t="str">
        <x:v>Aprobado</x:v>
      </x:c>
      <x:c r="J482" t="n">
        <x:v>29900</x:v>
      </x:c>
      <x:c r="K482" t="str">
        <x:v>Tarjeta crédito</x:v>
      </x:c>
      <x:c r="L482" t="str">
        <x:v>Sin error</x:v>
      </x:c>
    </x:row>
    <x:row r="483">
      <x:c r="A483" t="str">
        <x:v>TXN-0000482</x:v>
      </x:c>
      <x:c r="B483" t="str">
        <x:v>2025-12</x:v>
      </x:c>
      <x:c r="C483" t="n">
        <x:v>46001</x:v>
      </x:c>
      <x:c r="D483" t="str">
        <x:v>USR-00096</x:v>
      </x:c>
      <x:c r="E483" t="str">
        <x:v>SUS-000273</x:v>
      </x:c>
      <x:c r="F483" t="str">
        <x:v>Plus mensual</x:v>
      </x:c>
      <x:c r="G483" t="str">
        <x:v>Mensual</x:v>
      </x:c>
      <x:c r="H483" t="n">
        <x:v>1</x:v>
      </x:c>
      <x:c r="I483" t="str">
        <x:v>Aprobado</x:v>
      </x:c>
      <x:c r="J483" t="n">
        <x:v>29900</x:v>
      </x:c>
      <x:c r="K483" t="str">
        <x:v>Tarjeta débito</x:v>
      </x:c>
      <x:c r="L483" t="str">
        <x:v>Sin error</x:v>
      </x:c>
    </x:row>
    <x:row r="484">
      <x:c r="A484" t="str">
        <x:v>TXN-0000483</x:v>
      </x:c>
      <x:c r="B484" t="str">
        <x:v>2025-12</x:v>
      </x:c>
      <x:c r="C484" t="n">
        <x:v>46001</x:v>
      </x:c>
      <x:c r="D484" t="str">
        <x:v>USR-00097</x:v>
      </x:c>
      <x:c r="E484" t="str">
        <x:v>SUS-000529</x:v>
      </x:c>
      <x:c r="F484" t="str">
        <x:v>Plus mensual</x:v>
      </x:c>
      <x:c r="G484" t="str">
        <x:v>Mensual</x:v>
      </x:c>
      <x:c r="H484" t="n">
        <x:v>1</x:v>
      </x:c>
      <x:c r="I484" t="str">
        <x:v>Aprobado</x:v>
      </x:c>
      <x:c r="J484" t="n">
        <x:v>29900</x:v>
      </x:c>
      <x:c r="K484" t="str">
        <x:v>PSE</x:v>
      </x:c>
      <x:c r="L484" t="str">
        <x:v>Sin error</x:v>
      </x:c>
    </x:row>
    <x:row r="485">
      <x:c r="A485" t="str">
        <x:v>TXN-0000484</x:v>
      </x:c>
      <x:c r="B485" t="str">
        <x:v>2025-12</x:v>
      </x:c>
      <x:c r="C485" t="n">
        <x:v>46003</x:v>
      </x:c>
      <x:c r="D485" t="str">
        <x:v>USR-00099</x:v>
      </x:c>
      <x:c r="E485" t="str">
        <x:v>SUS-000337</x:v>
      </x:c>
      <x:c r="F485" t="str">
        <x:v>Plus mensual</x:v>
      </x:c>
      <x:c r="G485" t="str">
        <x:v>Mensual</x:v>
      </x:c>
      <x:c r="H485" t="n">
        <x:v>1</x:v>
      </x:c>
      <x:c r="I485" t="str">
        <x:v>Aprobado</x:v>
      </x:c>
      <x:c r="J485" t="n">
        <x:v>29900</x:v>
      </x:c>
      <x:c r="K485" t="str">
        <x:v>PSE</x:v>
      </x:c>
      <x:c r="L485" t="str">
        <x:v>Sin error</x:v>
      </x:c>
    </x:row>
    <x:row r="486">
      <x:c r="A486" t="str">
        <x:v>TXN-0000485</x:v>
      </x:c>
      <x:c r="B486" t="str">
        <x:v>2025-12</x:v>
      </x:c>
      <x:c r="C486" t="n">
        <x:v>46002</x:v>
      </x:c>
      <x:c r="D486" t="str">
        <x:v>USR-00100</x:v>
      </x:c>
      <x:c r="E486" t="str">
        <x:v>SUS-000108</x:v>
      </x:c>
      <x:c r="F486" t="str">
        <x:v>Plus mensual</x:v>
      </x:c>
      <x:c r="G486" t="str">
        <x:v>Mensual</x:v>
      </x:c>
      <x:c r="H486" t="n">
        <x:v>1</x:v>
      </x:c>
      <x:c r="I486" t="str">
        <x:v>Aprobado</x:v>
      </x:c>
      <x:c r="J486" t="n">
        <x:v>29900</x:v>
      </x:c>
      <x:c r="K486" t="str">
        <x:v>Tarjeta crédito</x:v>
      </x:c>
      <x:c r="L486" t="str">
        <x:v>Sin error</x:v>
      </x:c>
    </x:row>
    <x:row r="487">
      <x:c r="A487" t="str">
        <x:v>TXN-0000486</x:v>
      </x:c>
      <x:c r="B487" t="str">
        <x:v>2025-12</x:v>
      </x:c>
      <x:c r="C487" t="n">
        <x:v>46003</x:v>
      </x:c>
      <x:c r="D487" t="str">
        <x:v>USR-00116</x:v>
      </x:c>
      <x:c r="E487" t="str">
        <x:v>SUS-000390</x:v>
      </x:c>
      <x:c r="F487" t="str">
        <x:v>Plus mensual</x:v>
      </x:c>
      <x:c r="G487" t="str">
        <x:v>Mensual</x:v>
      </x:c>
      <x:c r="H487" t="n">
        <x:v>1</x:v>
      </x:c>
      <x:c r="I487" t="str">
        <x:v>Aprobado</x:v>
      </x:c>
      <x:c r="J487" t="n">
        <x:v>29900</x:v>
      </x:c>
      <x:c r="K487" t="str">
        <x:v>PSE</x:v>
      </x:c>
      <x:c r="L487" t="str">
        <x:v>Sin error</x:v>
      </x:c>
    </x:row>
    <x:row r="488">
      <x:c r="A488" t="str">
        <x:v>TXN-0000487</x:v>
      </x:c>
      <x:c r="B488" t="str">
        <x:v>2025-12</x:v>
      </x:c>
      <x:c r="C488" t="n">
        <x:v>45999</x:v>
      </x:c>
      <x:c r="D488" t="str">
        <x:v>USR-00117</x:v>
      </x:c>
      <x:c r="E488" t="str">
        <x:v>SUS-000530</x:v>
      </x:c>
      <x:c r="F488" t="str">
        <x:v>Plus anual</x:v>
      </x:c>
      <x:c r="G488" t="str">
        <x:v>Anual</x:v>
      </x:c>
      <x:c r="H488" t="n">
        <x:v>1</x:v>
      </x:c>
      <x:c r="I488" t="str">
        <x:v>Aprobado</x:v>
      </x:c>
      <x:c r="J488" t="n">
        <x:v>299000</x:v>
      </x:c>
      <x:c r="K488" t="str">
        <x:v>Tarjeta crédito</x:v>
      </x:c>
      <x:c r="L488" t="str">
        <x:v>Sin error</x:v>
      </x:c>
    </x:row>
    <x:row r="489">
      <x:c r="A489" t="str">
        <x:v>TXN-0000488</x:v>
      </x:c>
      <x:c r="B489" t="str">
        <x:v>2025-12</x:v>
      </x:c>
      <x:c r="C489" t="n">
        <x:v>46000</x:v>
      </x:c>
      <x:c r="D489" t="str">
        <x:v>USR-00121</x:v>
      </x:c>
      <x:c r="E489" t="str">
        <x:v>SUS-000222</x:v>
      </x:c>
      <x:c r="F489" t="str">
        <x:v>Plus mensual</x:v>
      </x:c>
      <x:c r="G489" t="str">
        <x:v>Mensual</x:v>
      </x:c>
      <x:c r="H489" t="n">
        <x:v>1</x:v>
      </x:c>
      <x:c r="I489" t="str">
        <x:v>Aprobado</x:v>
      </x:c>
      <x:c r="J489" t="n">
        <x:v>29900</x:v>
      </x:c>
      <x:c r="K489" t="str">
        <x:v>Tarjeta crédito</x:v>
      </x:c>
      <x:c r="L489" t="str">
        <x:v>Sin error</x:v>
      </x:c>
    </x:row>
    <x:row r="490">
      <x:c r="A490" t="str">
        <x:v>TXN-0000489</x:v>
      </x:c>
      <x:c r="B490" t="str">
        <x:v>2025-12</x:v>
      </x:c>
      <x:c r="C490" t="n">
        <x:v>45998</x:v>
      </x:c>
      <x:c r="D490" t="str">
        <x:v>USR-00123</x:v>
      </x:c>
      <x:c r="E490" t="str">
        <x:v>SUS-000223</x:v>
      </x:c>
      <x:c r="F490" t="str">
        <x:v>Plus mensual</x:v>
      </x:c>
      <x:c r="G490" t="str">
        <x:v>Mensual</x:v>
      </x:c>
      <x:c r="H490" t="n">
        <x:v>1</x:v>
      </x:c>
      <x:c r="I490" t="str">
        <x:v>Aprobado</x:v>
      </x:c>
      <x:c r="J490" t="n">
        <x:v>29900</x:v>
      </x:c>
      <x:c r="K490" t="str">
        <x:v>PSE</x:v>
      </x:c>
      <x:c r="L490" t="str">
        <x:v>Sin error</x:v>
      </x:c>
    </x:row>
    <x:row r="491">
      <x:c r="A491" t="str">
        <x:v>TXN-0000490</x:v>
      </x:c>
      <x:c r="B491" t="str">
        <x:v>2025-12</x:v>
      </x:c>
      <x:c r="C491" t="n">
        <x:v>46003</x:v>
      </x:c>
      <x:c r="D491" t="str">
        <x:v>USR-00145</x:v>
      </x:c>
      <x:c r="E491" t="str">
        <x:v>SUS-000168</x:v>
      </x:c>
      <x:c r="F491" t="str">
        <x:v>Plus mensual</x:v>
      </x:c>
      <x:c r="G491" t="str">
        <x:v>Mensual</x:v>
      </x:c>
      <x:c r="H491" t="n">
        <x:v>1</x:v>
      </x:c>
      <x:c r="I491" t="str">
        <x:v>Aprobado</x:v>
      </x:c>
      <x:c r="J491" t="n">
        <x:v>29900</x:v>
      </x:c>
      <x:c r="K491" t="str">
        <x:v>PSE</x:v>
      </x:c>
      <x:c r="L491" t="str">
        <x:v>Sin error</x:v>
      </x:c>
    </x:row>
    <x:row r="492">
      <x:c r="A492" t="str">
        <x:v>TXN-0000491</x:v>
      </x:c>
      <x:c r="B492" t="str">
        <x:v>2025-12</x:v>
      </x:c>
      <x:c r="C492" t="n">
        <x:v>46003</x:v>
      </x:c>
      <x:c r="D492" t="str">
        <x:v>USR-00146</x:v>
      </x:c>
      <x:c r="E492" t="str">
        <x:v>SUS-000169</x:v>
      </x:c>
      <x:c r="F492" t="str">
        <x:v>Plus mensual</x:v>
      </x:c>
      <x:c r="G492" t="str">
        <x:v>Mensual</x:v>
      </x:c>
      <x:c r="H492" t="n">
        <x:v>1</x:v>
      </x:c>
      <x:c r="I492" t="str">
        <x:v>Aprobado</x:v>
      </x:c>
      <x:c r="J492" t="n">
        <x:v>29900</x:v>
      </x:c>
      <x:c r="K492" t="str">
        <x:v>Tarjeta crédito</x:v>
      </x:c>
      <x:c r="L492" t="str">
        <x:v>Sin error</x:v>
      </x:c>
    </x:row>
    <x:row r="493">
      <x:c r="A493" t="str">
        <x:v>TXN-0000492</x:v>
      </x:c>
      <x:c r="B493" t="str">
        <x:v>2025-12</x:v>
      </x:c>
      <x:c r="C493" t="n">
        <x:v>45997</x:v>
      </x:c>
      <x:c r="D493" t="str">
        <x:v>USR-00154</x:v>
      </x:c>
      <x:c r="E493" t="str">
        <x:v>SUS-000278</x:v>
      </x:c>
      <x:c r="F493" t="str">
        <x:v>Plus mensual</x:v>
      </x:c>
      <x:c r="G493" t="str">
        <x:v>Mensual</x:v>
      </x:c>
      <x:c r="H493" t="n">
        <x:v>1</x:v>
      </x:c>
      <x:c r="I493" t="str">
        <x:v>Aprobado</x:v>
      </x:c>
      <x:c r="J493" t="n">
        <x:v>29900</x:v>
      </x:c>
      <x:c r="K493" t="str">
        <x:v>Tarjeta débito</x:v>
      </x:c>
      <x:c r="L493" t="str">
        <x:v>Sin error</x:v>
      </x:c>
    </x:row>
    <x:row r="494">
      <x:c r="A494" t="str">
        <x:v>TXN-0000493</x:v>
      </x:c>
      <x:c r="B494" t="str">
        <x:v>2025-12</x:v>
      </x:c>
      <x:c r="C494" t="n">
        <x:v>45998</x:v>
      </x:c>
      <x:c r="D494" t="str">
        <x:v>USR-00155</x:v>
      </x:c>
      <x:c r="E494" t="str">
        <x:v>SUS-000462</x:v>
      </x:c>
      <x:c r="F494" t="str">
        <x:v>Plus mensual</x:v>
      </x:c>
      <x:c r="G494" t="str">
        <x:v>Mensual</x:v>
      </x:c>
      <x:c r="H494" t="n">
        <x:v>1</x:v>
      </x:c>
      <x:c r="I494" t="str">
        <x:v>Aprobado</x:v>
      </x:c>
      <x:c r="J494" t="n">
        <x:v>29900</x:v>
      </x:c>
      <x:c r="K494" t="str">
        <x:v>Tarjeta crédito</x:v>
      </x:c>
      <x:c r="L494" t="str">
        <x:v>Sin error</x:v>
      </x:c>
    </x:row>
    <x:row r="495">
      <x:c r="A495" t="str">
        <x:v>TXN-0000494</x:v>
      </x:c>
      <x:c r="B495" t="str">
        <x:v>2025-12</x:v>
      </x:c>
      <x:c r="C495" t="n">
        <x:v>45997</x:v>
      </x:c>
      <x:c r="D495" t="str">
        <x:v>USR-00162</x:v>
      </x:c>
      <x:c r="E495" t="str">
        <x:v>SUS-000225</x:v>
      </x:c>
      <x:c r="F495" t="str">
        <x:v>Plus mensual</x:v>
      </x:c>
      <x:c r="G495" t="str">
        <x:v>Mensual</x:v>
      </x:c>
      <x:c r="H495" t="n">
        <x:v>1</x:v>
      </x:c>
      <x:c r="I495" t="str">
        <x:v>Aprobado</x:v>
      </x:c>
      <x:c r="J495" t="n">
        <x:v>29900</x:v>
      </x:c>
      <x:c r="K495" t="str">
        <x:v>Tarjeta débito</x:v>
      </x:c>
      <x:c r="L495" t="str">
        <x:v>Sin error</x:v>
      </x:c>
    </x:row>
    <x:row r="496">
      <x:c r="A496" t="str">
        <x:v>TXN-0000495</x:v>
      </x:c>
      <x:c r="B496" t="str">
        <x:v>2025-12</x:v>
      </x:c>
      <x:c r="C496" t="n">
        <x:v>46000</x:v>
      </x:c>
      <x:c r="D496" t="str">
        <x:v>USR-00164</x:v>
      </x:c>
      <x:c r="E496" t="str">
        <x:v>SUS-000534</x:v>
      </x:c>
      <x:c r="F496" t="str">
        <x:v>Plus mensual</x:v>
      </x:c>
      <x:c r="G496" t="str">
        <x:v>Mensual</x:v>
      </x:c>
      <x:c r="H496" t="n">
        <x:v>1</x:v>
      </x:c>
      <x:c r="I496" t="str">
        <x:v>Aprobado</x:v>
      </x:c>
      <x:c r="J496" t="n">
        <x:v>29900</x:v>
      </x:c>
      <x:c r="K496" t="str">
        <x:v>Tarjeta débito</x:v>
      </x:c>
      <x:c r="L496" t="str">
        <x:v>Sin error</x:v>
      </x:c>
    </x:row>
    <x:row r="497">
      <x:c r="A497" t="str">
        <x:v>TXN-0000496</x:v>
      </x:c>
      <x:c r="B497" t="str">
        <x:v>2025-12</x:v>
      </x:c>
      <x:c r="C497" t="n">
        <x:v>46002</x:v>
      </x:c>
      <x:c r="D497" t="str">
        <x:v>USR-00167</x:v>
      </x:c>
      <x:c r="E497" t="str">
        <x:v>SUS-000226</x:v>
      </x:c>
      <x:c r="F497" t="str">
        <x:v>Plus mensual</x:v>
      </x:c>
      <x:c r="G497" t="str">
        <x:v>Mensual</x:v>
      </x:c>
      <x:c r="H497" t="n">
        <x:v>1</x:v>
      </x:c>
      <x:c r="I497" t="str">
        <x:v>Aprobado</x:v>
      </x:c>
      <x:c r="J497" t="n">
        <x:v>29900</x:v>
      </x:c>
      <x:c r="K497" t="str">
        <x:v>Tarjeta crédito</x:v>
      </x:c>
      <x:c r="L497" t="str">
        <x:v>Sin error</x:v>
      </x:c>
    </x:row>
    <x:row r="498">
      <x:c r="A498" t="str">
        <x:v>TXN-0000497</x:v>
      </x:c>
      <x:c r="B498" t="str">
        <x:v>2025-12</x:v>
      </x:c>
      <x:c r="C498" t="n">
        <x:v>46003</x:v>
      </x:c>
      <x:c r="D498" t="str">
        <x:v>USR-00168</x:v>
      </x:c>
      <x:c r="E498" t="str">
        <x:v>SUS-000191</x:v>
      </x:c>
      <x:c r="F498" t="str">
        <x:v>Plus mensual</x:v>
      </x:c>
      <x:c r="G498" t="str">
        <x:v>Mensual</x:v>
      </x:c>
      <x:c r="H498" t="n">
        <x:v>1</x:v>
      </x:c>
      <x:c r="I498" t="str">
        <x:v>Aprobado</x:v>
      </x:c>
      <x:c r="J498" t="n">
        <x:v>29900</x:v>
      </x:c>
      <x:c r="K498" t="str">
        <x:v>Tarjeta débito</x:v>
      </x:c>
      <x:c r="L498" t="str">
        <x:v>Sin error</x:v>
      </x:c>
    </x:row>
    <x:row r="499">
      <x:c r="A499" t="str">
        <x:v>TXN-0000498</x:v>
      </x:c>
      <x:c r="B499" t="str">
        <x:v>2025-12</x:v>
      </x:c>
      <x:c r="C499" t="n">
        <x:v>46002</x:v>
      </x:c>
      <x:c r="D499" t="str">
        <x:v>USR-00170</x:v>
      </x:c>
      <x:c r="E499" t="str">
        <x:v>SUS-000392</x:v>
      </x:c>
      <x:c r="F499" t="str">
        <x:v>Plus mensual</x:v>
      </x:c>
      <x:c r="G499" t="str">
        <x:v>Mensual</x:v>
      </x:c>
      <x:c r="H499" t="n">
        <x:v>1</x:v>
      </x:c>
      <x:c r="I499" t="str">
        <x:v>Aprobado</x:v>
      </x:c>
      <x:c r="J499" t="n">
        <x:v>29900</x:v>
      </x:c>
      <x:c r="K499" t="str">
        <x:v>PSE</x:v>
      </x:c>
      <x:c r="L499" t="str">
        <x:v>Sin error</x:v>
      </x:c>
    </x:row>
    <x:row r="500">
      <x:c r="A500" t="str">
        <x:v>TXN-0000499</x:v>
      </x:c>
      <x:c r="B500" t="str">
        <x:v>2025-12</x:v>
      </x:c>
      <x:c r="C500" t="n">
        <x:v>45999</x:v>
      </x:c>
      <x:c r="D500" t="str">
        <x:v>USR-00171</x:v>
      </x:c>
      <x:c r="E500" t="str">
        <x:v>SUS-000535</x:v>
      </x:c>
      <x:c r="F500" t="str">
        <x:v>Plus mensual</x:v>
      </x:c>
      <x:c r="G500" t="str">
        <x:v>Mensual</x:v>
      </x:c>
      <x:c r="H500" t="n">
        <x:v>1</x:v>
      </x:c>
      <x:c r="I500" t="str">
        <x:v>Aprobado</x:v>
      </x:c>
      <x:c r="J500" t="n">
        <x:v>29900</x:v>
      </x:c>
      <x:c r="K500" t="str">
        <x:v>PSE</x:v>
      </x:c>
      <x:c r="L500" t="str">
        <x:v>Sin error</x:v>
      </x:c>
    </x:row>
    <x:row r="501">
      <x:c r="A501" t="str">
        <x:v>TXN-0000500</x:v>
      </x:c>
      <x:c r="B501" t="str">
        <x:v>2025-12</x:v>
      </x:c>
      <x:c r="C501" t="n">
        <x:v>45999</x:v>
      </x:c>
      <x:c r="D501" t="str">
        <x:v>USR-00174</x:v>
      </x:c>
      <x:c r="E501" t="str">
        <x:v>SUS-000280</x:v>
      </x:c>
      <x:c r="F501" t="str">
        <x:v>Plus mensual</x:v>
      </x:c>
      <x:c r="G501" t="str">
        <x:v>Mensual</x:v>
      </x:c>
      <x:c r="H501" t="n">
        <x:v>1</x:v>
      </x:c>
      <x:c r="I501" t="str">
        <x:v>Aprobado</x:v>
      </x:c>
      <x:c r="J501" t="n">
        <x:v>29900</x:v>
      </x:c>
      <x:c r="K501" t="str">
        <x:v>PSE</x:v>
      </x:c>
      <x:c r="L501" t="str">
        <x:v>Sin error</x:v>
      </x:c>
    </x:row>
    <x:row r="502">
      <x:c r="A502" t="str">
        <x:v>TXN-0000501</x:v>
      </x:c>
      <x:c r="B502" t="str">
        <x:v>2025-12</x:v>
      </x:c>
      <x:c r="C502" t="n">
        <x:v>45999</x:v>
      </x:c>
      <x:c r="D502" t="str">
        <x:v>USR-00181</x:v>
      </x:c>
      <x:c r="E502" t="str">
        <x:v>SUS-000536</x:v>
      </x:c>
      <x:c r="F502" t="str">
        <x:v>Plus mensual</x:v>
      </x:c>
      <x:c r="G502" t="str">
        <x:v>Mensual</x:v>
      </x:c>
      <x:c r="H502" t="n">
        <x:v>1</x:v>
      </x:c>
      <x:c r="I502" t="str">
        <x:v>Aprobado</x:v>
      </x:c>
      <x:c r="J502" t="n">
        <x:v>29900</x:v>
      </x:c>
      <x:c r="K502" t="str">
        <x:v>PSE</x:v>
      </x:c>
      <x:c r="L502" t="str">
        <x:v>Sin error</x:v>
      </x:c>
    </x:row>
    <x:row r="503">
      <x:c r="A503" t="str">
        <x:v>TXN-0000502</x:v>
      </x:c>
      <x:c r="B503" t="str">
        <x:v>2025-12</x:v>
      </x:c>
      <x:c r="C503" t="n">
        <x:v>45997</x:v>
      </x:c>
      <x:c r="D503" t="str">
        <x:v>USR-00184</x:v>
      </x:c>
      <x:c r="E503" t="str">
        <x:v>SUS-000281</x:v>
      </x:c>
      <x:c r="F503" t="str">
        <x:v>Plus mensual</x:v>
      </x:c>
      <x:c r="G503" t="str">
        <x:v>Mensual</x:v>
      </x:c>
      <x:c r="H503" t="n">
        <x:v>1</x:v>
      </x:c>
      <x:c r="I503" t="str">
        <x:v>Aprobado</x:v>
      </x:c>
      <x:c r="J503" t="n">
        <x:v>29900</x:v>
      </x:c>
      <x:c r="K503" t="str">
        <x:v>PSE</x:v>
      </x:c>
      <x:c r="L503" t="str">
        <x:v>Sin error</x:v>
      </x:c>
    </x:row>
    <x:row r="504">
      <x:c r="A504" t="str">
        <x:v>TXN-0000503</x:v>
      </x:c>
      <x:c r="B504" t="str">
        <x:v>2025-12</x:v>
      </x:c>
      <x:c r="C504" t="n">
        <x:v>46002</x:v>
      </x:c>
      <x:c r="D504" t="str">
        <x:v>USR-00188</x:v>
      </x:c>
      <x:c r="E504" t="str">
        <x:v>SUS-000229</x:v>
      </x:c>
      <x:c r="F504" t="str">
        <x:v>Plus mensual</x:v>
      </x:c>
      <x:c r="G504" t="str">
        <x:v>Mensual</x:v>
      </x:c>
      <x:c r="H504" t="n">
        <x:v>1</x:v>
      </x:c>
      <x:c r="I504" t="str">
        <x:v>Aprobado</x:v>
      </x:c>
      <x:c r="J504" t="n">
        <x:v>29900</x:v>
      </x:c>
      <x:c r="K504" t="str">
        <x:v>Tarjeta crédito</x:v>
      </x:c>
      <x:c r="L504" t="str">
        <x:v>Sin error</x:v>
      </x:c>
    </x:row>
    <x:row r="505">
      <x:c r="A505" t="str">
        <x:v>TXN-0000504</x:v>
      </x:c>
      <x:c r="B505" t="str">
        <x:v>2025-12</x:v>
      </x:c>
      <x:c r="C505" t="n">
        <x:v>46002</x:v>
      </x:c>
      <x:c r="D505" t="str">
        <x:v>USR-00189</x:v>
      </x:c>
      <x:c r="E505" t="str">
        <x:v>SUS-000393</x:v>
      </x:c>
      <x:c r="F505" t="str">
        <x:v>Plus mensual</x:v>
      </x:c>
      <x:c r="G505" t="str">
        <x:v>Mensual</x:v>
      </x:c>
      <x:c r="H505" t="n">
        <x:v>1</x:v>
      </x:c>
      <x:c r="I505" t="str">
        <x:v>Rechazado</x:v>
      </x:c>
      <x:c r="J505" t="n">
        <x:v>29900</x:v>
      </x:c>
      <x:c r="K505" t="str">
        <x:v>Tarjeta débito</x:v>
      </x:c>
      <x:c r="L505" t="str">
        <x:v>Error temporal</x:v>
      </x:c>
    </x:row>
    <x:row r="506">
      <x:c r="A506" t="str">
        <x:v>TXN-0000505</x:v>
      </x:c>
      <x:c r="B506" t="str">
        <x:v>2025-12</x:v>
      </x:c>
      <x:c r="C506" t="n">
        <x:v>45997</x:v>
      </x:c>
      <x:c r="D506" t="str">
        <x:v>USR-00189</x:v>
      </x:c>
      <x:c r="E506" t="str">
        <x:v>SUS-000393</x:v>
      </x:c>
      <x:c r="F506" t="str">
        <x:v>Plus mensual</x:v>
      </x:c>
      <x:c r="G506" t="str">
        <x:v>Mensual</x:v>
      </x:c>
      <x:c r="H506" t="n">
        <x:v>2</x:v>
      </x:c>
      <x:c r="I506" t="str">
        <x:v>Aprobado</x:v>
      </x:c>
      <x:c r="J506" t="n">
        <x:v>29900</x:v>
      </x:c>
      <x:c r="K506" t="str">
        <x:v>PSE</x:v>
      </x:c>
      <x:c r="L506" t="str">
        <x:v>Sin error</x:v>
      </x:c>
    </x:row>
    <x:row r="507">
      <x:c r="A507" t="str">
        <x:v>TXN-0000506</x:v>
      </x:c>
      <x:c r="B507" t="str">
        <x:v>2025-12</x:v>
      </x:c>
      <x:c r="C507" t="n">
        <x:v>46000</x:v>
      </x:c>
      <x:c r="D507" t="str">
        <x:v>USR-00191</x:v>
      </x:c>
      <x:c r="E507" t="str">
        <x:v>SUS-000344</x:v>
      </x:c>
      <x:c r="F507" t="str">
        <x:v>Plus mensual</x:v>
      </x:c>
      <x:c r="G507" t="str">
        <x:v>Mensual</x:v>
      </x:c>
      <x:c r="H507" t="n">
        <x:v>1</x:v>
      </x:c>
      <x:c r="I507" t="str">
        <x:v>Aprobado</x:v>
      </x:c>
      <x:c r="J507" t="n">
        <x:v>29900</x:v>
      </x:c>
      <x:c r="K507" t="str">
        <x:v>Tarjeta débito</x:v>
      </x:c>
      <x:c r="L507" t="str">
        <x:v>Sin error</x:v>
      </x:c>
    </x:row>
    <x:row r="508">
      <x:c r="A508" t="str">
        <x:v>TXN-0000507</x:v>
      </x:c>
      <x:c r="B508" t="str">
        <x:v>2025-12</x:v>
      </x:c>
      <x:c r="C508" t="n">
        <x:v>46000</x:v>
      </x:c>
      <x:c r="D508" t="str">
        <x:v>USR-00199</x:v>
      </x:c>
      <x:c r="E508" t="str">
        <x:v>SUS-000537</x:v>
      </x:c>
      <x:c r="F508" t="str">
        <x:v>Plus anual</x:v>
      </x:c>
      <x:c r="G508" t="str">
        <x:v>Anual</x:v>
      </x:c>
      <x:c r="H508" t="n">
        <x:v>1</x:v>
      </x:c>
      <x:c r="I508" t="str">
        <x:v>Aprobado</x:v>
      </x:c>
      <x:c r="J508" t="n">
        <x:v>299000</x:v>
      </x:c>
      <x:c r="K508" t="str">
        <x:v>PSE</x:v>
      </x:c>
      <x:c r="L508" t="str">
        <x:v>Sin error</x:v>
      </x:c>
    </x:row>
    <x:row r="509">
      <x:c r="A509" t="str">
        <x:v>TXN-0000508</x:v>
      </x:c>
      <x:c r="B509" t="str">
        <x:v>2025-12</x:v>
      </x:c>
      <x:c r="C509" t="n">
        <x:v>46001</x:v>
      </x:c>
      <x:c r="D509" t="str">
        <x:v>USR-00200</x:v>
      </x:c>
      <x:c r="E509" t="str">
        <x:v>SUS-000395</x:v>
      </x:c>
      <x:c r="F509" t="str">
        <x:v>Plus mensual</x:v>
      </x:c>
      <x:c r="G509" t="str">
        <x:v>Mensual</x:v>
      </x:c>
      <x:c r="H509" t="n">
        <x:v>1</x:v>
      </x:c>
      <x:c r="I509" t="str">
        <x:v>Aprobado</x:v>
      </x:c>
      <x:c r="J509" t="n">
        <x:v>29900</x:v>
      </x:c>
      <x:c r="K509" t="str">
        <x:v>PSE</x:v>
      </x:c>
      <x:c r="L509" t="str">
        <x:v>Sin error</x:v>
      </x:c>
    </x:row>
    <x:row r="510">
      <x:c r="A510" t="str">
        <x:v>TXN-0000509</x:v>
      </x:c>
      <x:c r="B510" t="str">
        <x:v>2025-12</x:v>
      </x:c>
      <x:c r="C510" t="n">
        <x:v>46001</x:v>
      </x:c>
      <x:c r="D510" t="str">
        <x:v>USR-00201</x:v>
      </x:c>
      <x:c r="E510" t="str">
        <x:v>SUS-000242</x:v>
      </x:c>
      <x:c r="F510" t="str">
        <x:v>Plus mensual</x:v>
      </x:c>
      <x:c r="G510" t="str">
        <x:v>Mensual</x:v>
      </x:c>
      <x:c r="H510" t="n">
        <x:v>1</x:v>
      </x:c>
      <x:c r="I510" t="str">
        <x:v>Aprobado</x:v>
      </x:c>
      <x:c r="J510" t="n">
        <x:v>29900</x:v>
      </x:c>
      <x:c r="K510" t="str">
        <x:v>PSE</x:v>
      </x:c>
      <x:c r="L510" t="str">
        <x:v>Sin error</x:v>
      </x:c>
    </x:row>
    <x:row r="511">
      <x:c r="A511" t="str">
        <x:v>TXN-0000510</x:v>
      </x:c>
      <x:c r="B511" t="str">
        <x:v>2025-12</x:v>
      </x:c>
      <x:c r="C511" t="n">
        <x:v>45999</x:v>
      </x:c>
      <x:c r="D511" t="str">
        <x:v>USR-00220</x:v>
      </x:c>
      <x:c r="E511" t="str">
        <x:v>SUS-000261</x:v>
      </x:c>
      <x:c r="F511" t="str">
        <x:v>Plus mensual</x:v>
      </x:c>
      <x:c r="G511" t="str">
        <x:v>Mensual</x:v>
      </x:c>
      <x:c r="H511" t="n">
        <x:v>1</x:v>
      </x:c>
      <x:c r="I511" t="str">
        <x:v>Aprobado</x:v>
      </x:c>
      <x:c r="J511" t="n">
        <x:v>29900</x:v>
      </x:c>
      <x:c r="K511" t="str">
        <x:v>Tarjeta débito</x:v>
      </x:c>
      <x:c r="L511" t="str">
        <x:v>Sin error</x:v>
      </x:c>
    </x:row>
    <x:row r="512">
      <x:c r="A512" t="str">
        <x:v>TXN-0000511</x:v>
      </x:c>
      <x:c r="B512" t="str">
        <x:v>2025-12</x:v>
      </x:c>
      <x:c r="C512" t="n">
        <x:v>45998</x:v>
      </x:c>
      <x:c r="D512" t="str">
        <x:v>USR-00224</x:v>
      </x:c>
      <x:c r="E512" t="str">
        <x:v>SUS-000265</x:v>
      </x:c>
      <x:c r="F512" t="str">
        <x:v>Plus mensual</x:v>
      </x:c>
      <x:c r="G512" t="str">
        <x:v>Mensual</x:v>
      </x:c>
      <x:c r="H512" t="n">
        <x:v>1</x:v>
      </x:c>
      <x:c r="I512" t="str">
        <x:v>Aprobado</x:v>
      </x:c>
      <x:c r="J512" t="n">
        <x:v>29900</x:v>
      </x:c>
      <x:c r="K512" t="str">
        <x:v>Tarjeta débito</x:v>
      </x:c>
      <x:c r="L512" t="str">
        <x:v>Sin error</x:v>
      </x:c>
    </x:row>
    <x:row r="513">
      <x:c r="A513" t="str">
        <x:v>TXN-0000512</x:v>
      </x:c>
      <x:c r="B513" t="str">
        <x:v>2025-12</x:v>
      </x:c>
      <x:c r="C513" t="n">
        <x:v>45997</x:v>
      </x:c>
      <x:c r="D513" t="str">
        <x:v>USR-00231</x:v>
      </x:c>
      <x:c r="E513" t="str">
        <x:v>SUS-000538</x:v>
      </x:c>
      <x:c r="F513" t="str">
        <x:v>Plus mensual</x:v>
      </x:c>
      <x:c r="G513" t="str">
        <x:v>Mensual</x:v>
      </x:c>
      <x:c r="H513" t="n">
        <x:v>1</x:v>
      </x:c>
      <x:c r="I513" t="str">
        <x:v>Aprobado</x:v>
      </x:c>
      <x:c r="J513" t="n">
        <x:v>29900</x:v>
      </x:c>
      <x:c r="K513" t="str">
        <x:v>Tarjeta débito</x:v>
      </x:c>
      <x:c r="L513" t="str">
        <x:v>Sin error</x:v>
      </x:c>
    </x:row>
    <x:row r="514">
      <x:c r="A514" t="str">
        <x:v>TXN-0000513</x:v>
      </x:c>
      <x:c r="B514" t="str">
        <x:v>2025-12</x:v>
      </x:c>
      <x:c r="C514" t="n">
        <x:v>45999</x:v>
      </x:c>
      <x:c r="D514" t="str">
        <x:v>USR-00232</x:v>
      </x:c>
      <x:c r="E514" t="str">
        <x:v>SUS-000293</x:v>
      </x:c>
      <x:c r="F514" t="str">
        <x:v>Plus mensual</x:v>
      </x:c>
      <x:c r="G514" t="str">
        <x:v>Mensual</x:v>
      </x:c>
      <x:c r="H514" t="n">
        <x:v>1</x:v>
      </x:c>
      <x:c r="I514" t="str">
        <x:v>Aprobado</x:v>
      </x:c>
      <x:c r="J514" t="n">
        <x:v>29900</x:v>
      </x:c>
      <x:c r="K514" t="str">
        <x:v>Tarjeta débito</x:v>
      </x:c>
      <x:c r="L514" t="str">
        <x:v>Sin error</x:v>
      </x:c>
    </x:row>
    <x:row r="515">
      <x:c r="A515" t="str">
        <x:v>TXN-0000514</x:v>
      </x:c>
      <x:c r="B515" t="str">
        <x:v>2025-12</x:v>
      </x:c>
      <x:c r="C515" t="n">
        <x:v>46003</x:v>
      </x:c>
      <x:c r="D515" t="str">
        <x:v>USR-00238</x:v>
      </x:c>
      <x:c r="E515" t="str">
        <x:v>SUS-000299</x:v>
      </x:c>
      <x:c r="F515" t="str">
        <x:v>Plus mensual</x:v>
      </x:c>
      <x:c r="G515" t="str">
        <x:v>Mensual</x:v>
      </x:c>
      <x:c r="H515" t="n">
        <x:v>1</x:v>
      </x:c>
      <x:c r="I515" t="str">
        <x:v>Aprobado</x:v>
      </x:c>
      <x:c r="J515" t="n">
        <x:v>29900</x:v>
      </x:c>
      <x:c r="K515" t="str">
        <x:v>Tarjeta débito</x:v>
      </x:c>
      <x:c r="L515" t="str">
        <x:v>Sin error</x:v>
      </x:c>
    </x:row>
    <x:row r="516">
      <x:c r="A516" t="str">
        <x:v>TXN-0000515</x:v>
      </x:c>
      <x:c r="B516" t="str">
        <x:v>2025-12</x:v>
      </x:c>
      <x:c r="C516" t="n">
        <x:v>45999</x:v>
      </x:c>
      <x:c r="D516" t="str">
        <x:v>USR-00249</x:v>
      </x:c>
      <x:c r="E516" t="str">
        <x:v>SUS-000310</x:v>
      </x:c>
      <x:c r="F516" t="str">
        <x:v>Plus mensual</x:v>
      </x:c>
      <x:c r="G516" t="str">
        <x:v>Mensual</x:v>
      </x:c>
      <x:c r="H516" t="n">
        <x:v>1</x:v>
      </x:c>
      <x:c r="I516" t="str">
        <x:v>Aprobado</x:v>
      </x:c>
      <x:c r="J516" t="n">
        <x:v>29900</x:v>
      </x:c>
      <x:c r="K516" t="str">
        <x:v>Tarjeta débito</x:v>
      </x:c>
      <x:c r="L516" t="str">
        <x:v>Sin error</x:v>
      </x:c>
    </x:row>
    <x:row r="517">
      <x:c r="A517" t="str">
        <x:v>TXN-0000516</x:v>
      </x:c>
      <x:c r="B517" t="str">
        <x:v>2025-12</x:v>
      </x:c>
      <x:c r="C517" t="n">
        <x:v>45997</x:v>
      </x:c>
      <x:c r="D517" t="str">
        <x:v>USR-00250</x:v>
      </x:c>
      <x:c r="E517" t="str">
        <x:v>SUS-000539</x:v>
      </x:c>
      <x:c r="F517" t="str">
        <x:v>Plus mensual</x:v>
      </x:c>
      <x:c r="G517" t="str">
        <x:v>Mensual</x:v>
      </x:c>
      <x:c r="H517" t="n">
        <x:v>1</x:v>
      </x:c>
      <x:c r="I517" t="str">
        <x:v>Aprobado</x:v>
      </x:c>
      <x:c r="J517" t="n">
        <x:v>29900</x:v>
      </x:c>
      <x:c r="K517" t="str">
        <x:v>Tarjeta débito</x:v>
      </x:c>
      <x:c r="L517" t="str">
        <x:v>Sin error</x:v>
      </x:c>
    </x:row>
    <x:row r="518">
      <x:c r="A518" t="str">
        <x:v>TXN-0000517</x:v>
      </x:c>
      <x:c r="B518" t="str">
        <x:v>2025-12</x:v>
      </x:c>
      <x:c r="C518" t="n">
        <x:v>45999</x:v>
      </x:c>
      <x:c r="D518" t="str">
        <x:v>USR-00254</x:v>
      </x:c>
      <x:c r="E518" t="str">
        <x:v>SIN_SUSCRIPCION</x:v>
      </x:c>
      <x:c r="F518" t="str">
        <x:v>Plus mensual</x:v>
      </x:c>
      <x:c r="G518" t="str">
        <x:v>Mensual</x:v>
      </x:c>
      <x:c r="H518" t="n">
        <x:v>1</x:v>
      </x:c>
      <x:c r="I518" t="str">
        <x:v>Rechazado</x:v>
      </x:c>
      <x:c r="J518" t="n">
        <x:v>29900</x:v>
      </x:c>
      <x:c r="K518" t="str">
        <x:v>Tarjeta débito</x:v>
      </x:c>
      <x:c r="L518" t="str">
        <x:v>Error temporal</x:v>
      </x:c>
    </x:row>
    <x:row r="519">
      <x:c r="A519" t="str">
        <x:v>TXN-0000518</x:v>
      </x:c>
      <x:c r="B519" t="str">
        <x:v>2025-12</x:v>
      </x:c>
      <x:c r="C519" t="n">
        <x:v>45996</x:v>
      </x:c>
      <x:c r="D519" t="str">
        <x:v>USR-00254</x:v>
      </x:c>
      <x:c r="E519" t="str">
        <x:v>SIN_SUSCRIPCION</x:v>
      </x:c>
      <x:c r="F519" t="str">
        <x:v>Plus mensual</x:v>
      </x:c>
      <x:c r="G519" t="str">
        <x:v>Mensual</x:v>
      </x:c>
      <x:c r="H519" t="n">
        <x:v>2</x:v>
      </x:c>
      <x:c r="I519" t="str">
        <x:v>Rechazado</x:v>
      </x:c>
      <x:c r="J519" t="n">
        <x:v>29900</x:v>
      </x:c>
      <x:c r="K519" t="str">
        <x:v>PSE</x:v>
      </x:c>
      <x:c r="L519" t="str">
        <x:v>Fondos insuficientes</x:v>
      </x:c>
    </x:row>
    <x:row r="520">
      <x:c r="A520" t="str">
        <x:v>TXN-0000519</x:v>
      </x:c>
      <x:c r="B520" t="str">
        <x:v>2025-12</x:v>
      </x:c>
      <x:c r="C520" t="n">
        <x:v>45997</x:v>
      </x:c>
      <x:c r="D520" t="str">
        <x:v>USR-00259</x:v>
      </x:c>
      <x:c r="E520" t="str">
        <x:v>SUS-000466</x:v>
      </x:c>
      <x:c r="F520" t="str">
        <x:v>Plus mensual</x:v>
      </x:c>
      <x:c r="G520" t="str">
        <x:v>Mensual</x:v>
      </x:c>
      <x:c r="H520" t="n">
        <x:v>1</x:v>
      </x:c>
      <x:c r="I520" t="str">
        <x:v>Aprobado</x:v>
      </x:c>
      <x:c r="J520" t="n">
        <x:v>29900</x:v>
      </x:c>
      <x:c r="K520" t="str">
        <x:v>Tarjeta débito</x:v>
      </x:c>
      <x:c r="L520" t="str">
        <x:v>Sin error</x:v>
      </x:c>
    </x:row>
    <x:row r="521">
      <x:c r="A521" t="str">
        <x:v>TXN-0000520</x:v>
      </x:c>
      <x:c r="B521" t="str">
        <x:v>2025-12</x:v>
      </x:c>
      <x:c r="C521" t="n">
        <x:v>45999</x:v>
      </x:c>
      <x:c r="D521" t="str">
        <x:v>USR-00260</x:v>
      </x:c>
      <x:c r="E521" t="str">
        <x:v>SUS-000541</x:v>
      </x:c>
      <x:c r="F521" t="str">
        <x:v>Plus anual</x:v>
      </x:c>
      <x:c r="G521" t="str">
        <x:v>Anual</x:v>
      </x:c>
      <x:c r="H521" t="n">
        <x:v>1</x:v>
      </x:c>
      <x:c r="I521" t="str">
        <x:v>Aprobado</x:v>
      </x:c>
      <x:c r="J521" t="n">
        <x:v>299000</x:v>
      </x:c>
      <x:c r="K521" t="str">
        <x:v>PSE</x:v>
      </x:c>
      <x:c r="L521" t="str">
        <x:v>Sin error</x:v>
      </x:c>
    </x:row>
    <x:row r="522">
      <x:c r="A522" t="str">
        <x:v>TXN-0000521</x:v>
      </x:c>
      <x:c r="B522" t="str">
        <x:v>2025-12</x:v>
      </x:c>
      <x:c r="C522" t="n">
        <x:v>45998</x:v>
      </x:c>
      <x:c r="D522" t="str">
        <x:v>USR-00262</x:v>
      </x:c>
      <x:c r="E522" t="str">
        <x:v>SUS-000468</x:v>
      </x:c>
      <x:c r="F522" t="str">
        <x:v>Plus mensual</x:v>
      </x:c>
      <x:c r="G522" t="str">
        <x:v>Mensual</x:v>
      </x:c>
      <x:c r="H522" t="n">
        <x:v>1</x:v>
      </x:c>
      <x:c r="I522" t="str">
        <x:v>Aprobado</x:v>
      </x:c>
      <x:c r="J522" t="n">
        <x:v>29900</x:v>
      </x:c>
      <x:c r="K522" t="str">
        <x:v>PSE</x:v>
      </x:c>
      <x:c r="L522" t="str">
        <x:v>Sin error</x:v>
      </x:c>
    </x:row>
    <x:row r="523">
      <x:c r="A523" t="str">
        <x:v>TXN-0000522</x:v>
      </x:c>
      <x:c r="B523" t="str">
        <x:v>2025-12</x:v>
      </x:c>
      <x:c r="C523" t="n">
        <x:v>46002</x:v>
      </x:c>
      <x:c r="D523" t="str">
        <x:v>USR-00265</x:v>
      </x:c>
      <x:c r="E523" t="str">
        <x:v>SUS-000469</x:v>
      </x:c>
      <x:c r="F523" t="str">
        <x:v>Plus mensual</x:v>
      </x:c>
      <x:c r="G523" t="str">
        <x:v>Mensual</x:v>
      </x:c>
      <x:c r="H523" t="n">
        <x:v>1</x:v>
      </x:c>
      <x:c r="I523" t="str">
        <x:v>Aprobado</x:v>
      </x:c>
      <x:c r="J523" t="n">
        <x:v>29900</x:v>
      </x:c>
      <x:c r="K523" t="str">
        <x:v>Tarjeta débito</x:v>
      </x:c>
      <x:c r="L523" t="str">
        <x:v>Sin error</x:v>
      </x:c>
    </x:row>
    <x:row r="524">
      <x:c r="A524" t="str">
        <x:v>TXN-0000523</x:v>
      </x:c>
      <x:c r="B524" t="str">
        <x:v>2025-12</x:v>
      </x:c>
      <x:c r="C524" t="n">
        <x:v>46001</x:v>
      </x:c>
      <x:c r="D524" t="str">
        <x:v>USR-00267</x:v>
      </x:c>
      <x:c r="E524" t="str">
        <x:v>SUS-000349</x:v>
      </x:c>
      <x:c r="F524" t="str">
        <x:v>Plus mensual</x:v>
      </x:c>
      <x:c r="G524" t="str">
        <x:v>Mensual</x:v>
      </x:c>
      <x:c r="H524" t="n">
        <x:v>1</x:v>
      </x:c>
      <x:c r="I524" t="str">
        <x:v>Aprobado</x:v>
      </x:c>
      <x:c r="J524" t="n">
        <x:v>29900</x:v>
      </x:c>
      <x:c r="K524" t="str">
        <x:v>PSE</x:v>
      </x:c>
      <x:c r="L524" t="str">
        <x:v>Sin error</x:v>
      </x:c>
    </x:row>
    <x:row r="525">
      <x:c r="A525" t="str">
        <x:v>TXN-0000524</x:v>
      </x:c>
      <x:c r="B525" t="str">
        <x:v>2025-12</x:v>
      </x:c>
      <x:c r="C525" t="n">
        <x:v>46001</x:v>
      </x:c>
      <x:c r="D525" t="str">
        <x:v>USR-00271</x:v>
      </x:c>
      <x:c r="E525" t="str">
        <x:v>SUS-000542</x:v>
      </x:c>
      <x:c r="F525" t="str">
        <x:v>Plus anual</x:v>
      </x:c>
      <x:c r="G525" t="str">
        <x:v>Anual</x:v>
      </x:c>
      <x:c r="H525" t="n">
        <x:v>1</x:v>
      </x:c>
      <x:c r="I525" t="str">
        <x:v>Rechazado</x:v>
      </x:c>
      <x:c r="J525" t="n">
        <x:v>299000</x:v>
      </x:c>
      <x:c r="K525" t="str">
        <x:v>Tarjeta débito</x:v>
      </x:c>
      <x:c r="L525" t="str">
        <x:v>Error temporal</x:v>
      </x:c>
    </x:row>
    <x:row r="526">
      <x:c r="A526" t="str">
        <x:v>TXN-0000525</x:v>
      </x:c>
      <x:c r="B526" t="str">
        <x:v>2025-12</x:v>
      </x:c>
      <x:c r="C526" t="n">
        <x:v>45997</x:v>
      </x:c>
      <x:c r="D526" t="str">
        <x:v>USR-00271</x:v>
      </x:c>
      <x:c r="E526" t="str">
        <x:v>SUS-000542</x:v>
      </x:c>
      <x:c r="F526" t="str">
        <x:v>Plus anual</x:v>
      </x:c>
      <x:c r="G526" t="str">
        <x:v>Anual</x:v>
      </x:c>
      <x:c r="H526" t="n">
        <x:v>2</x:v>
      </x:c>
      <x:c r="I526" t="str">
        <x:v>Aprobado</x:v>
      </x:c>
      <x:c r="J526" t="n">
        <x:v>299000</x:v>
      </x:c>
      <x:c r="K526" t="str">
        <x:v>Tarjeta crédito</x:v>
      </x:c>
      <x:c r="L526" t="str">
        <x:v>Sin error</x:v>
      </x:c>
    </x:row>
    <x:row r="527">
      <x:c r="A527" t="str">
        <x:v>TXN-0000526</x:v>
      </x:c>
      <x:c r="B527" t="str">
        <x:v>2025-12</x:v>
      </x:c>
      <x:c r="C527" t="n">
        <x:v>46001</x:v>
      </x:c>
      <x:c r="D527" t="str">
        <x:v>USR-00279</x:v>
      </x:c>
      <x:c r="E527" t="str">
        <x:v>SUS-000543</x:v>
      </x:c>
      <x:c r="F527" t="str">
        <x:v>Plus mensual</x:v>
      </x:c>
      <x:c r="G527" t="str">
        <x:v>Mensual</x:v>
      </x:c>
      <x:c r="H527" t="n">
        <x:v>1</x:v>
      </x:c>
      <x:c r="I527" t="str">
        <x:v>Aprobado</x:v>
      </x:c>
      <x:c r="J527" t="n">
        <x:v>29900</x:v>
      </x:c>
      <x:c r="K527" t="str">
        <x:v>Tarjeta crédito</x:v>
      </x:c>
      <x:c r="L527" t="str">
        <x:v>Sin error</x:v>
      </x:c>
    </x:row>
    <x:row r="528">
      <x:c r="A528" t="str">
        <x:v>TXN-0000527</x:v>
      </x:c>
      <x:c r="B528" t="str">
        <x:v>2025-12</x:v>
      </x:c>
      <x:c r="C528" t="n">
        <x:v>46002</x:v>
      </x:c>
      <x:c r="D528" t="str">
        <x:v>USR-00286</x:v>
      </x:c>
      <x:c r="E528" t="str">
        <x:v>SUS-000368</x:v>
      </x:c>
      <x:c r="F528" t="str">
        <x:v>Plus mensual</x:v>
      </x:c>
      <x:c r="G528" t="str">
        <x:v>Mensual</x:v>
      </x:c>
      <x:c r="H528" t="n">
        <x:v>1</x:v>
      </x:c>
      <x:c r="I528" t="str">
        <x:v>Aprobado</x:v>
      </x:c>
      <x:c r="J528" t="n">
        <x:v>29900</x:v>
      </x:c>
      <x:c r="K528" t="str">
        <x:v>Tarjeta débito</x:v>
      </x:c>
      <x:c r="L528" t="str">
        <x:v>Sin error</x:v>
      </x:c>
    </x:row>
    <x:row r="529">
      <x:c r="A529" t="str">
        <x:v>TXN-0000528</x:v>
      </x:c>
      <x:c r="B529" t="str">
        <x:v>2025-12</x:v>
      </x:c>
      <x:c r="C529" t="n">
        <x:v>45998</x:v>
      </x:c>
      <x:c r="D529" t="str">
        <x:v>USR-00289</x:v>
      </x:c>
      <x:c r="E529" t="str">
        <x:v>SUS-000371</x:v>
      </x:c>
      <x:c r="F529" t="str">
        <x:v>Plus mensual</x:v>
      </x:c>
      <x:c r="G529" t="str">
        <x:v>Mensual</x:v>
      </x:c>
      <x:c r="H529" t="n">
        <x:v>1</x:v>
      </x:c>
      <x:c r="I529" t="str">
        <x:v>Aprobado</x:v>
      </x:c>
      <x:c r="J529" t="n">
        <x:v>29900</x:v>
      </x:c>
      <x:c r="K529" t="str">
        <x:v>Tarjeta débito</x:v>
      </x:c>
      <x:c r="L529" t="str">
        <x:v>Sin error</x:v>
      </x:c>
    </x:row>
    <x:row r="530">
      <x:c r="A530" t="str">
        <x:v>TXN-0000529</x:v>
      </x:c>
      <x:c r="B530" t="str">
        <x:v>2025-12</x:v>
      </x:c>
      <x:c r="C530" t="n">
        <x:v>45997</x:v>
      </x:c>
      <x:c r="D530" t="str">
        <x:v>USR-00304</x:v>
      </x:c>
      <x:c r="E530" t="str">
        <x:v>SUS-000544</x:v>
      </x:c>
      <x:c r="F530" t="str">
        <x:v>Plus anual</x:v>
      </x:c>
      <x:c r="G530" t="str">
        <x:v>Anual</x:v>
      </x:c>
      <x:c r="H530" t="n">
        <x:v>1</x:v>
      </x:c>
      <x:c r="I530" t="str">
        <x:v>Aprobado</x:v>
      </x:c>
      <x:c r="J530" t="n">
        <x:v>299000</x:v>
      </x:c>
      <x:c r="K530" t="str">
        <x:v>Tarjeta débito</x:v>
      </x:c>
      <x:c r="L530" t="str">
        <x:v>Sin error</x:v>
      </x:c>
    </x:row>
    <x:row r="531">
      <x:c r="A531" t="str">
        <x:v>TXN-0000530</x:v>
      </x:c>
      <x:c r="B531" t="str">
        <x:v>2025-12</x:v>
      </x:c>
      <x:c r="C531" t="n">
        <x:v>46000</x:v>
      </x:c>
      <x:c r="D531" t="str">
        <x:v>USR-00317</x:v>
      </x:c>
      <x:c r="E531" t="str">
        <x:v>SUS-000546</x:v>
      </x:c>
      <x:c r="F531" t="str">
        <x:v>Plus mensual</x:v>
      </x:c>
      <x:c r="G531" t="str">
        <x:v>Mensual</x:v>
      </x:c>
      <x:c r="H531" t="n">
        <x:v>1</x:v>
      </x:c>
      <x:c r="I531" t="str">
        <x:v>Aprobado</x:v>
      </x:c>
      <x:c r="J531" t="n">
        <x:v>29900</x:v>
      </x:c>
      <x:c r="K531" t="str">
        <x:v>Tarjeta crédito</x:v>
      </x:c>
      <x:c r="L531" t="str">
        <x:v>Sin error</x:v>
      </x:c>
    </x:row>
    <x:row r="532">
      <x:c r="A532" t="str">
        <x:v>TXN-0000531</x:v>
      </x:c>
      <x:c r="B532" t="str">
        <x:v>2025-12</x:v>
      </x:c>
      <x:c r="C532" t="n">
        <x:v>46002</x:v>
      </x:c>
      <x:c r="D532" t="str">
        <x:v>USR-00320</x:v>
      </x:c>
      <x:c r="E532" t="str">
        <x:v>SUS-000419</x:v>
      </x:c>
      <x:c r="F532" t="str">
        <x:v>Plus mensual</x:v>
      </x:c>
      <x:c r="G532" t="str">
        <x:v>Mensual</x:v>
      </x:c>
      <x:c r="H532" t="n">
        <x:v>1</x:v>
      </x:c>
      <x:c r="I532" t="str">
        <x:v>Aprobado</x:v>
      </x:c>
      <x:c r="J532" t="n">
        <x:v>29900</x:v>
      </x:c>
      <x:c r="K532" t="str">
        <x:v>Tarjeta débito</x:v>
      </x:c>
      <x:c r="L532" t="str">
        <x:v>Sin error</x:v>
      </x:c>
    </x:row>
    <x:row r="533">
      <x:c r="A533" t="str">
        <x:v>TXN-0000532</x:v>
      </x:c>
      <x:c r="B533" t="str">
        <x:v>2025-12</x:v>
      </x:c>
      <x:c r="C533" t="n">
        <x:v>45996</x:v>
      </x:c>
      <x:c r="D533" t="str">
        <x:v>USR-00325</x:v>
      </x:c>
      <x:c r="E533" t="str">
        <x:v>SUS-000424</x:v>
      </x:c>
      <x:c r="F533" t="str">
        <x:v>Plus mensual</x:v>
      </x:c>
      <x:c r="G533" t="str">
        <x:v>Mensual</x:v>
      </x:c>
      <x:c r="H533" t="n">
        <x:v>1</x:v>
      </x:c>
      <x:c r="I533" t="str">
        <x:v>Aprobado</x:v>
      </x:c>
      <x:c r="J533" t="n">
        <x:v>29900</x:v>
      </x:c>
      <x:c r="K533" t="str">
        <x:v>PSE</x:v>
      </x:c>
      <x:c r="L533" t="str">
        <x:v>Sin error</x:v>
      </x:c>
    </x:row>
    <x:row r="534">
      <x:c r="A534" t="str">
        <x:v>TXN-0000533</x:v>
      </x:c>
      <x:c r="B534" t="str">
        <x:v>2025-12</x:v>
      </x:c>
      <x:c r="C534" t="n">
        <x:v>46002</x:v>
      </x:c>
      <x:c r="D534" t="str">
        <x:v>USR-00329</x:v>
      </x:c>
      <x:c r="E534" t="str">
        <x:v>SUS-000428</x:v>
      </x:c>
      <x:c r="F534" t="str">
        <x:v>Plus mensual</x:v>
      </x:c>
      <x:c r="G534" t="str">
        <x:v>Mensual</x:v>
      </x:c>
      <x:c r="H534" t="n">
        <x:v>1</x:v>
      </x:c>
      <x:c r="I534" t="str">
        <x:v>Aprobado</x:v>
      </x:c>
      <x:c r="J534" t="n">
        <x:v>29900</x:v>
      </x:c>
      <x:c r="K534" t="str">
        <x:v>Tarjeta débito</x:v>
      </x:c>
      <x:c r="L534" t="str">
        <x:v>Sin error</x:v>
      </x:c>
    </x:row>
    <x:row r="535">
      <x:c r="A535" t="str">
        <x:v>TXN-0000534</x:v>
      </x:c>
      <x:c r="B535" t="str">
        <x:v>2025-12</x:v>
      </x:c>
      <x:c r="C535" t="n">
        <x:v>45996</x:v>
      </x:c>
      <x:c r="D535" t="str">
        <x:v>USR-00331</x:v>
      </x:c>
      <x:c r="E535" t="str">
        <x:v>SUS-000430</x:v>
      </x:c>
      <x:c r="F535" t="str">
        <x:v>Plus mensual</x:v>
      </x:c>
      <x:c r="G535" t="str">
        <x:v>Mensual</x:v>
      </x:c>
      <x:c r="H535" t="n">
        <x:v>1</x:v>
      </x:c>
      <x:c r="I535" t="str">
        <x:v>Aprobado</x:v>
      </x:c>
      <x:c r="J535" t="n">
        <x:v>29900</x:v>
      </x:c>
      <x:c r="K535" t="str">
        <x:v>Tarjeta crédito</x:v>
      </x:c>
      <x:c r="L535" t="str">
        <x:v>Sin error</x:v>
      </x:c>
    </x:row>
    <x:row r="536">
      <x:c r="A536" t="str">
        <x:v>TXN-0000535</x:v>
      </x:c>
      <x:c r="B536" t="str">
        <x:v>2025-12</x:v>
      </x:c>
      <x:c r="C536" t="n">
        <x:v>45998</x:v>
      </x:c>
      <x:c r="D536" t="str">
        <x:v>USR-00332</x:v>
      </x:c>
      <x:c r="E536" t="str">
        <x:v>SUS-000470</x:v>
      </x:c>
      <x:c r="F536" t="str">
        <x:v>Plus mensual</x:v>
      </x:c>
      <x:c r="G536" t="str">
        <x:v>Mensual</x:v>
      </x:c>
      <x:c r="H536" t="n">
        <x:v>1</x:v>
      </x:c>
      <x:c r="I536" t="str">
        <x:v>Aprobado</x:v>
      </x:c>
      <x:c r="J536" t="n">
        <x:v>29900</x:v>
      </x:c>
      <x:c r="K536" t="str">
        <x:v>Tarjeta crédito</x:v>
      </x:c>
      <x:c r="L536" t="str">
        <x:v>Sin error</x:v>
      </x:c>
    </x:row>
    <x:row r="537">
      <x:c r="A537" t="str">
        <x:v>TXN-0000536</x:v>
      </x:c>
      <x:c r="B537" t="str">
        <x:v>2025-12</x:v>
      </x:c>
      <x:c r="C537" t="n">
        <x:v>45999</x:v>
      </x:c>
      <x:c r="D537" t="str">
        <x:v>USR-00336</x:v>
      </x:c>
      <x:c r="E537" t="str">
        <x:v>SUS-000435</x:v>
      </x:c>
      <x:c r="F537" t="str">
        <x:v>Plus mensual</x:v>
      </x:c>
      <x:c r="G537" t="str">
        <x:v>Mensual</x:v>
      </x:c>
      <x:c r="H537" t="n">
        <x:v>1</x:v>
      </x:c>
      <x:c r="I537" t="str">
        <x:v>Rechazado</x:v>
      </x:c>
      <x:c r="J537" t="n">
        <x:v>29900</x:v>
      </x:c>
      <x:c r="K537" t="str">
        <x:v>PSE</x:v>
      </x:c>
      <x:c r="L537" t="str">
        <x:v>Declinado por entidad</x:v>
      </x:c>
    </x:row>
    <x:row r="538">
      <x:c r="A538" t="str">
        <x:v>TXN-0000537</x:v>
      </x:c>
      <x:c r="B538" t="str">
        <x:v>2025-12</x:v>
      </x:c>
      <x:c r="C538" t="n">
        <x:v>45999</x:v>
      </x:c>
      <x:c r="D538" t="str">
        <x:v>USR-00336</x:v>
      </x:c>
      <x:c r="E538" t="str">
        <x:v>SUS-000435</x:v>
      </x:c>
      <x:c r="F538" t="str">
        <x:v>Plus mensual</x:v>
      </x:c>
      <x:c r="G538" t="str">
        <x:v>Mensual</x:v>
      </x:c>
      <x:c r="H538" t="n">
        <x:v>2</x:v>
      </x:c>
      <x:c r="I538" t="str">
        <x:v>Aprobado</x:v>
      </x:c>
      <x:c r="J538" t="n">
        <x:v>29900</x:v>
      </x:c>
      <x:c r="K538" t="str">
        <x:v>Tarjeta débito</x:v>
      </x:c>
      <x:c r="L538" t="str">
        <x:v>Sin error</x:v>
      </x:c>
    </x:row>
    <x:row r="539">
      <x:c r="A539" t="str">
        <x:v>TXN-0000538</x:v>
      </x:c>
      <x:c r="B539" t="str">
        <x:v>2025-12</x:v>
      </x:c>
      <x:c r="C539" t="n">
        <x:v>46003</x:v>
      </x:c>
      <x:c r="D539" t="str">
        <x:v>USR-00344</x:v>
      </x:c>
      <x:c r="E539" t="str">
        <x:v>SUS-000443</x:v>
      </x:c>
      <x:c r="F539" t="str">
        <x:v>Plus mensual</x:v>
      </x:c>
      <x:c r="G539" t="str">
        <x:v>Mensual</x:v>
      </x:c>
      <x:c r="H539" t="n">
        <x:v>1</x:v>
      </x:c>
      <x:c r="I539" t="str">
        <x:v>Aprobado</x:v>
      </x:c>
      <x:c r="J539" t="n">
        <x:v>29900</x:v>
      </x:c>
      <x:c r="K539" t="str">
        <x:v>Tarjeta crédito</x:v>
      </x:c>
      <x:c r="L539" t="str">
        <x:v>Sin error</x:v>
      </x:c>
    </x:row>
    <x:row r="540">
      <x:c r="A540" t="str">
        <x:v>TXN-0000539</x:v>
      </x:c>
      <x:c r="B540" t="str">
        <x:v>2025-12</x:v>
      </x:c>
      <x:c r="C540" t="n">
        <x:v>46001</x:v>
      </x:c>
      <x:c r="D540" t="str">
        <x:v>USR-00346</x:v>
      </x:c>
      <x:c r="E540" t="str">
        <x:v>SUS-000471</x:v>
      </x:c>
      <x:c r="F540" t="str">
        <x:v>Plus mensual</x:v>
      </x:c>
      <x:c r="G540" t="str">
        <x:v>Mensual</x:v>
      </x:c>
      <x:c r="H540" t="n">
        <x:v>1</x:v>
      </x:c>
      <x:c r="I540" t="str">
        <x:v>Aprobado</x:v>
      </x:c>
      <x:c r="J540" t="n">
        <x:v>29900</x:v>
      </x:c>
      <x:c r="K540" t="str">
        <x:v>Tarjeta débito</x:v>
      </x:c>
      <x:c r="L540" t="str">
        <x:v>Sin error</x:v>
      </x:c>
    </x:row>
    <x:row r="541">
      <x:c r="A541" t="str">
        <x:v>TXN-0000540</x:v>
      </x:c>
      <x:c r="B541" t="str">
        <x:v>2025-12</x:v>
      </x:c>
      <x:c r="C541" t="n">
        <x:v>46002</x:v>
      </x:c>
      <x:c r="D541" t="str">
        <x:v>USR-00354</x:v>
      </x:c>
      <x:c r="E541" t="str">
        <x:v>SUS-000453</x:v>
      </x:c>
      <x:c r="F541" t="str">
        <x:v>Plus mensual</x:v>
      </x:c>
      <x:c r="G541" t="str">
        <x:v>Mensual</x:v>
      </x:c>
      <x:c r="H541" t="n">
        <x:v>1</x:v>
      </x:c>
      <x:c r="I541" t="str">
        <x:v>Aprobado</x:v>
      </x:c>
      <x:c r="J541" t="n">
        <x:v>29900</x:v>
      </x:c>
      <x:c r="K541" t="str">
        <x:v>Tarjeta crédito</x:v>
      </x:c>
      <x:c r="L541" t="str">
        <x:v>Sin error</x:v>
      </x:c>
    </x:row>
    <x:row r="542">
      <x:c r="A542" t="str">
        <x:v>TXN-0000541</x:v>
      </x:c>
      <x:c r="B542" t="str">
        <x:v>2025-12</x:v>
      </x:c>
      <x:c r="C542" t="n">
        <x:v>46000</x:v>
      </x:c>
      <x:c r="D542" t="str">
        <x:v>USR-00357</x:v>
      </x:c>
      <x:c r="E542" t="str">
        <x:v>SUS-000547</x:v>
      </x:c>
      <x:c r="F542" t="str">
        <x:v>Plus anual</x:v>
      </x:c>
      <x:c r="G542" t="str">
        <x:v>Anual</x:v>
      </x:c>
      <x:c r="H542" t="n">
        <x:v>1</x:v>
      </x:c>
      <x:c r="I542" t="str">
        <x:v>Aprobado</x:v>
      </x:c>
      <x:c r="J542" t="n">
        <x:v>299000</x:v>
      </x:c>
      <x:c r="K542" t="str">
        <x:v>Tarjeta débito</x:v>
      </x:c>
      <x:c r="L542" t="str">
        <x:v>Sin error</x:v>
      </x:c>
    </x:row>
    <x:row r="543">
      <x:c r="A543" t="str">
        <x:v>TXN-0000542</x:v>
      </x:c>
      <x:c r="B543" t="str">
        <x:v>2025-12</x:v>
      </x:c>
      <x:c r="C543" t="n">
        <x:v>46002</x:v>
      </x:c>
      <x:c r="D543" t="str">
        <x:v>USR-00377</x:v>
      </x:c>
      <x:c r="E543" t="str">
        <x:v>SUS-000492</x:v>
      </x:c>
      <x:c r="F543" t="str">
        <x:v>Plus mensual</x:v>
      </x:c>
      <x:c r="G543" t="str">
        <x:v>Mensual</x:v>
      </x:c>
      <x:c r="H543" t="n">
        <x:v>1</x:v>
      </x:c>
      <x:c r="I543" t="str">
        <x:v>Aprobado</x:v>
      </x:c>
      <x:c r="J543" t="n">
        <x:v>29900</x:v>
      </x:c>
      <x:c r="K543" t="str">
        <x:v>Tarjeta crédito</x:v>
      </x:c>
      <x:c r="L543" t="str">
        <x:v>Sin error</x:v>
      </x:c>
    </x:row>
    <x:row r="544">
      <x:c r="A544" t="str">
        <x:v>TXN-0000543</x:v>
      </x:c>
      <x:c r="B544" t="str">
        <x:v>2025-12</x:v>
      </x:c>
      <x:c r="C544" t="n">
        <x:v>46000</x:v>
      </x:c>
      <x:c r="D544" t="str">
        <x:v>USR-00380</x:v>
      </x:c>
      <x:c r="E544" t="str">
        <x:v>SUS-000495</x:v>
      </x:c>
      <x:c r="F544" t="str">
        <x:v>Plus mensual</x:v>
      </x:c>
      <x:c r="G544" t="str">
        <x:v>Mensual</x:v>
      </x:c>
      <x:c r="H544" t="n">
        <x:v>1</x:v>
      </x:c>
      <x:c r="I544" t="str">
        <x:v>Rechazado</x:v>
      </x:c>
      <x:c r="J544" t="n">
        <x:v>29900</x:v>
      </x:c>
      <x:c r="K544" t="str">
        <x:v>Tarjeta débito</x:v>
      </x:c>
      <x:c r="L544" t="str">
        <x:v>Fondos insuficientes</x:v>
      </x:c>
    </x:row>
    <x:row r="545">
      <x:c r="A545" t="str">
        <x:v>TXN-0000544</x:v>
      </x:c>
      <x:c r="B545" t="str">
        <x:v>2025-12</x:v>
      </x:c>
      <x:c r="C545" t="n">
        <x:v>45998</x:v>
      </x:c>
      <x:c r="D545" t="str">
        <x:v>USR-00380</x:v>
      </x:c>
      <x:c r="E545" t="str">
        <x:v>SUS-000495</x:v>
      </x:c>
      <x:c r="F545" t="str">
        <x:v>Plus mensual</x:v>
      </x:c>
      <x:c r="G545" t="str">
        <x:v>Mensual</x:v>
      </x:c>
      <x:c r="H545" t="n">
        <x:v>2</x:v>
      </x:c>
      <x:c r="I545" t="str">
        <x:v>Aprobado</x:v>
      </x:c>
      <x:c r="J545" t="n">
        <x:v>29900</x:v>
      </x:c>
      <x:c r="K545" t="str">
        <x:v>PSE</x:v>
      </x:c>
      <x:c r="L545" t="str">
        <x:v>Sin error</x:v>
      </x:c>
    </x:row>
    <x:row r="546">
      <x:c r="A546" t="str">
        <x:v>TXN-0000545</x:v>
      </x:c>
      <x:c r="B546" t="str">
        <x:v>2025-12</x:v>
      </x:c>
      <x:c r="C546" t="n">
        <x:v>46000</x:v>
      </x:c>
      <x:c r="D546" t="str">
        <x:v>USR-00387</x:v>
      </x:c>
      <x:c r="E546" t="str">
        <x:v>SUS-000502</x:v>
      </x:c>
      <x:c r="F546" t="str">
        <x:v>Plus mensual</x:v>
      </x:c>
      <x:c r="G546" t="str">
        <x:v>Mensual</x:v>
      </x:c>
      <x:c r="H546" t="n">
        <x:v>1</x:v>
      </x:c>
      <x:c r="I546" t="str">
        <x:v>Aprobado</x:v>
      </x:c>
      <x:c r="J546" t="n">
        <x:v>29900</x:v>
      </x:c>
      <x:c r="K546" t="str">
        <x:v>Tarjeta débito</x:v>
      </x:c>
      <x:c r="L546" t="str">
        <x:v>Sin error</x:v>
      </x:c>
    </x:row>
    <x:row r="547">
      <x:c r="A547" t="str">
        <x:v>TXN-0000546</x:v>
      </x:c>
      <x:c r="B547" t="str">
        <x:v>2025-12</x:v>
      </x:c>
      <x:c r="C547" t="n">
        <x:v>45996</x:v>
      </x:c>
      <x:c r="D547" t="str">
        <x:v>USR-00391</x:v>
      </x:c>
      <x:c r="E547" t="str">
        <x:v>SUS-000506</x:v>
      </x:c>
      <x:c r="F547" t="str">
        <x:v>Plus mensual</x:v>
      </x:c>
      <x:c r="G547" t="str">
        <x:v>Mensual</x:v>
      </x:c>
      <x:c r="H547" t="n">
        <x:v>1</x:v>
      </x:c>
      <x:c r="I547" t="str">
        <x:v>Aprobado</x:v>
      </x:c>
      <x:c r="J547" t="n">
        <x:v>29900</x:v>
      </x:c>
      <x:c r="K547" t="str">
        <x:v>PSE</x:v>
      </x:c>
      <x:c r="L547" t="str">
        <x:v>Sin error</x:v>
      </x:c>
    </x:row>
    <x:row r="548">
      <x:c r="A548" t="str">
        <x:v>TXN-0000547</x:v>
      </x:c>
      <x:c r="B548" t="str">
        <x:v>2025-12</x:v>
      </x:c>
      <x:c r="C548" t="n">
        <x:v>45999</x:v>
      </x:c>
      <x:c r="D548" t="str">
        <x:v>USR-00396</x:v>
      </x:c>
      <x:c r="E548" t="str">
        <x:v>SUS-000511</x:v>
      </x:c>
      <x:c r="F548" t="str">
        <x:v>Plus mensual</x:v>
      </x:c>
      <x:c r="G548" t="str">
        <x:v>Mensual</x:v>
      </x:c>
      <x:c r="H548" t="n">
        <x:v>1</x:v>
      </x:c>
      <x:c r="I548" t="str">
        <x:v>Aprobado</x:v>
      </x:c>
      <x:c r="J548" t="n">
        <x:v>29900</x:v>
      </x:c>
      <x:c r="K548" t="str">
        <x:v>Tarjeta crédito</x:v>
      </x:c>
      <x:c r="L548" t="str">
        <x:v>Sin error</x:v>
      </x:c>
    </x:row>
    <x:row r="549">
      <x:c r="A549" t="str">
        <x:v>TXN-0000548</x:v>
      </x:c>
      <x:c r="B549" t="str">
        <x:v>2025-12</x:v>
      </x:c>
      <x:c r="C549" t="n">
        <x:v>46002</x:v>
      </x:c>
      <x:c r="D549" t="str">
        <x:v>USR-00406</x:v>
      </x:c>
      <x:c r="E549" t="str">
        <x:v>SUS-000548</x:v>
      </x:c>
      <x:c r="F549" t="str">
        <x:v>Plus mensual</x:v>
      </x:c>
      <x:c r="G549" t="str">
        <x:v>Mensual</x:v>
      </x:c>
      <x:c r="H549" t="n">
        <x:v>1</x:v>
      </x:c>
      <x:c r="I549" t="str">
        <x:v>Aprobado</x:v>
      </x:c>
      <x:c r="J549" t="n">
        <x:v>29900</x:v>
      </x:c>
      <x:c r="K549" t="str">
        <x:v>PSE</x:v>
      </x:c>
      <x:c r="L549" t="str">
        <x:v>Sin error</x:v>
      </x:c>
    </x:row>
    <x:row r="550">
      <x:c r="A550" t="str">
        <x:v>TXN-0000549</x:v>
      </x:c>
      <x:c r="B550" t="str">
        <x:v>2025-12</x:v>
      </x:c>
      <x:c r="C550" t="n">
        <x:v>45997</x:v>
      </x:c>
      <x:c r="D550" t="str">
        <x:v>USR-00414</x:v>
      </x:c>
      <x:c r="E550" t="str">
        <x:v>SUS-000556</x:v>
      </x:c>
      <x:c r="F550" t="str">
        <x:v>Plus mensual</x:v>
      </x:c>
      <x:c r="G550" t="str">
        <x:v>Mensual</x:v>
      </x:c>
      <x:c r="H550" t="n">
        <x:v>1</x:v>
      </x:c>
      <x:c r="I550" t="str">
        <x:v>Aprobado</x:v>
      </x:c>
      <x:c r="J550" t="n">
        <x:v>29900</x:v>
      </x:c>
      <x:c r="K550" t="str">
        <x:v>Tarjeta débito</x:v>
      </x:c>
      <x:c r="L550" t="str">
        <x:v>Sin error</x:v>
      </x:c>
    </x:row>
    <x:row r="551">
      <x:c r="A551" t="str">
        <x:v>TXN-0000550</x:v>
      </x:c>
      <x:c r="B551" t="str">
        <x:v>2025-12</x:v>
      </x:c>
      <x:c r="C551" t="n">
        <x:v>46003</x:v>
      </x:c>
      <x:c r="D551" t="str">
        <x:v>USR-00420</x:v>
      </x:c>
      <x:c r="E551" t="str">
        <x:v>SUS-000562</x:v>
      </x:c>
      <x:c r="F551" t="str">
        <x:v>Plus mensual</x:v>
      </x:c>
      <x:c r="G551" t="str">
        <x:v>Mensual</x:v>
      </x:c>
      <x:c r="H551" t="n">
        <x:v>1</x:v>
      </x:c>
      <x:c r="I551" t="str">
        <x:v>Aprobado</x:v>
      </x:c>
      <x:c r="J551" t="n">
        <x:v>29900</x:v>
      </x:c>
      <x:c r="K551" t="str">
        <x:v>Tarjeta crédito</x:v>
      </x:c>
      <x:c r="L551" t="str">
        <x:v>Sin error</x:v>
      </x:c>
    </x:row>
    <x:row r="552">
      <x:c r="A552" t="str">
        <x:v>TXN-0000551</x:v>
      </x:c>
      <x:c r="B552" t="str">
        <x:v>2025-12</x:v>
      </x:c>
      <x:c r="C552" t="n">
        <x:v>45997</x:v>
      </x:c>
      <x:c r="D552" t="str">
        <x:v>USR-00422</x:v>
      </x:c>
      <x:c r="E552" t="str">
        <x:v>SUS-000564</x:v>
      </x:c>
      <x:c r="F552" t="str">
        <x:v>Plus mensual</x:v>
      </x:c>
      <x:c r="G552" t="str">
        <x:v>Mensual</x:v>
      </x:c>
      <x:c r="H552" t="n">
        <x:v>1</x:v>
      </x:c>
      <x:c r="I552" t="str">
        <x:v>Aprobado</x:v>
      </x:c>
      <x:c r="J552" t="n">
        <x:v>29900</x:v>
      </x:c>
      <x:c r="K552" t="str">
        <x:v>PSE</x:v>
      </x:c>
      <x:c r="L552" t="str">
        <x:v>Sin error</x:v>
      </x:c>
    </x:row>
    <x:row r="553">
      <x:c r="A553" t="str">
        <x:v>TXN-0000552</x:v>
      </x:c>
      <x:c r="B553" t="str">
        <x:v>2025-12</x:v>
      </x:c>
      <x:c r="C553" t="n">
        <x:v>45996</x:v>
      </x:c>
      <x:c r="D553" t="str">
        <x:v>USR-00423</x:v>
      </x:c>
      <x:c r="E553" t="str">
        <x:v>SUS-000565</x:v>
      </x:c>
      <x:c r="F553" t="str">
        <x:v>Plus mensual</x:v>
      </x:c>
      <x:c r="G553" t="str">
        <x:v>Mensual</x:v>
      </x:c>
      <x:c r="H553" t="n">
        <x:v>1</x:v>
      </x:c>
      <x:c r="I553" t="str">
        <x:v>Aprobado</x:v>
      </x:c>
      <x:c r="J553" t="n">
        <x:v>29900</x:v>
      </x:c>
      <x:c r="K553" t="str">
        <x:v>Tarjeta crédito</x:v>
      </x:c>
      <x:c r="L553" t="str">
        <x:v>Sin error</x:v>
      </x:c>
    </x:row>
    <x:row r="554">
      <x:c r="A554" t="str">
        <x:v>TXN-0000553</x:v>
      </x:c>
      <x:c r="B554" t="str">
        <x:v>2025-12</x:v>
      </x:c>
      <x:c r="C554" t="n">
        <x:v>46000</x:v>
      </x:c>
      <x:c r="D554" t="str">
        <x:v>USR-00424</x:v>
      </x:c>
      <x:c r="E554" t="str">
        <x:v>SUS-000566</x:v>
      </x:c>
      <x:c r="F554" t="str">
        <x:v>Plus anual</x:v>
      </x:c>
      <x:c r="G554" t="str">
        <x:v>Anual</x:v>
      </x:c>
      <x:c r="H554" t="n">
        <x:v>1</x:v>
      </x:c>
      <x:c r="I554" t="str">
        <x:v>Aprobado</x:v>
      </x:c>
      <x:c r="J554" t="n">
        <x:v>299000</x:v>
      </x:c>
      <x:c r="K554" t="str">
        <x:v>Tarjeta crédito</x:v>
      </x:c>
      <x:c r="L554" t="str">
        <x:v>Sin error</x:v>
      </x:c>
    </x:row>
    <x:row r="555">
      <x:c r="A555" t="str">
        <x:v>TXN-0000554</x:v>
      </x:c>
      <x:c r="B555" t="str">
        <x:v>2025-12</x:v>
      </x:c>
      <x:c r="C555" t="n">
        <x:v>46002</x:v>
      </x:c>
      <x:c r="D555" t="str">
        <x:v>USR-00426</x:v>
      </x:c>
      <x:c r="E555" t="str">
        <x:v>SUS-000568</x:v>
      </x:c>
      <x:c r="F555" t="str">
        <x:v>Plus mensual</x:v>
      </x:c>
      <x:c r="G555" t="str">
        <x:v>Mensual</x:v>
      </x:c>
      <x:c r="H555" t="n">
        <x:v>1</x:v>
      </x:c>
      <x:c r="I555" t="str">
        <x:v>Aprobado</x:v>
      </x:c>
      <x:c r="J555" t="n">
        <x:v>29900</x:v>
      </x:c>
      <x:c r="K555" t="str">
        <x:v>Tarjeta crédito</x:v>
      </x:c>
      <x:c r="L555" t="str">
        <x:v>Sin error</x:v>
      </x:c>
    </x:row>
    <x:row r="556">
      <x:c r="A556" t="str">
        <x:v>TXN-0000555</x:v>
      </x:c>
      <x:c r="B556" t="str">
        <x:v>2025-12</x:v>
      </x:c>
      <x:c r="C556" t="n">
        <x:v>46003</x:v>
      </x:c>
      <x:c r="D556" t="str">
        <x:v>USR-00434</x:v>
      </x:c>
      <x:c r="E556" t="str">
        <x:v>SUS-000576</x:v>
      </x:c>
      <x:c r="F556" t="str">
        <x:v>Plus mensual</x:v>
      </x:c>
      <x:c r="G556" t="str">
        <x:v>Mensual</x:v>
      </x:c>
      <x:c r="H556" t="n">
        <x:v>1</x:v>
      </x:c>
      <x:c r="I556" t="str">
        <x:v>Aprobado</x:v>
      </x:c>
      <x:c r="J556" t="n">
        <x:v>29900</x:v>
      </x:c>
      <x:c r="K556" t="str">
        <x:v>Tarjeta débito</x:v>
      </x:c>
      <x:c r="L556" t="str">
        <x:v>Sin error</x:v>
      </x:c>
    </x:row>
    <x:row r="557">
      <x:c r="A557" t="str">
        <x:v>TXN-0000556</x:v>
      </x:c>
      <x:c r="B557" t="str">
        <x:v>2025-12</x:v>
      </x:c>
      <x:c r="C557" t="n">
        <x:v>46001</x:v>
      </x:c>
      <x:c r="D557" t="str">
        <x:v>USR-00435</x:v>
      </x:c>
      <x:c r="E557" t="str">
        <x:v>SUS-000577</x:v>
      </x:c>
      <x:c r="F557" t="str">
        <x:v>Plus mensual</x:v>
      </x:c>
      <x:c r="G557" t="str">
        <x:v>Mensual</x:v>
      </x:c>
      <x:c r="H557" t="n">
        <x:v>1</x:v>
      </x:c>
      <x:c r="I557" t="str">
        <x:v>Aprobado</x:v>
      </x:c>
      <x:c r="J557" t="n">
        <x:v>29900</x:v>
      </x:c>
      <x:c r="K557" t="str">
        <x:v>PSE</x:v>
      </x:c>
      <x:c r="L557" t="str">
        <x:v>Sin error</x:v>
      </x:c>
    </x:row>
    <x:row r="558">
      <x:c r="A558" t="str">
        <x:v>TXN-0000557</x:v>
      </x:c>
      <x:c r="B558" t="str">
        <x:v>2025-12</x:v>
      </x:c>
      <x:c r="C558" t="n">
        <x:v>46000</x:v>
      </x:c>
      <x:c r="D558" t="str">
        <x:v>USR-00446</x:v>
      </x:c>
      <x:c r="E558" t="str">
        <x:v>SUS-000588</x:v>
      </x:c>
      <x:c r="F558" t="str">
        <x:v>Plus mensual</x:v>
      </x:c>
      <x:c r="G558" t="str">
        <x:v>Mensual</x:v>
      </x:c>
      <x:c r="H558" t="n">
        <x:v>1</x:v>
      </x:c>
      <x:c r="I558" t="str">
        <x:v>Aprobado</x:v>
      </x:c>
      <x:c r="J558" t="n">
        <x:v>29900</x:v>
      </x:c>
      <x:c r="K558" t="str">
        <x:v>Tarjeta crédito</x:v>
      </x:c>
      <x:c r="L558" t="str">
        <x:v>Sin error</x:v>
      </x:c>
    </x:row>
    <x:row r="559">
      <x:c r="A559" t="str">
        <x:v>TXN-0000558</x:v>
      </x:c>
      <x:c r="B559" t="str">
        <x:v>2025-12</x:v>
      </x:c>
      <x:c r="C559" t="n">
        <x:v>45999</x:v>
      </x:c>
      <x:c r="D559" t="str">
        <x:v>USR-00447</x:v>
      </x:c>
      <x:c r="E559" t="str">
        <x:v>SUS-000589</x:v>
      </x:c>
      <x:c r="F559" t="str">
        <x:v>Plus mensual</x:v>
      </x:c>
      <x:c r="G559" t="str">
        <x:v>Mensual</x:v>
      </x:c>
      <x:c r="H559" t="n">
        <x:v>1</x:v>
      </x:c>
      <x:c r="I559" t="str">
        <x:v>Aprobado</x:v>
      </x:c>
      <x:c r="J559" t="n">
        <x:v>29900</x:v>
      </x:c>
      <x:c r="K559" t="str">
        <x:v>Tarjeta débito</x:v>
      </x:c>
      <x:c r="L559" t="str">
        <x:v>Sin error</x:v>
      </x:c>
    </x:row>
    <x:row r="560">
      <x:c r="A560" t="str">
        <x:v>TXN-0000559</x:v>
      </x:c>
      <x:c r="B560" t="str">
        <x:v>2025-12</x:v>
      </x:c>
      <x:c r="C560" t="n">
        <x:v>46003</x:v>
      </x:c>
      <x:c r="D560" t="str">
        <x:v>USR-00456</x:v>
      </x:c>
      <x:c r="E560" t="str">
        <x:v>SUS-000598</x:v>
      </x:c>
      <x:c r="F560" t="str">
        <x:v>Plus mensual</x:v>
      </x:c>
      <x:c r="G560" t="str">
        <x:v>Mensual</x:v>
      </x:c>
      <x:c r="H560" t="n">
        <x:v>1</x:v>
      </x:c>
      <x:c r="I560" t="str">
        <x:v>Aprobado</x:v>
      </x:c>
      <x:c r="J560" t="n">
        <x:v>29900</x:v>
      </x:c>
      <x:c r="K560" t="str">
        <x:v>Tarjeta crédito</x:v>
      </x:c>
      <x:c r="L560" t="str">
        <x:v>Sin error</x:v>
      </x:c>
    </x:row>
    <x:row r="561">
      <x:c r="A561" t="str">
        <x:v>TXN-0000560</x:v>
      </x:c>
      <x:c r="B561" t="str">
        <x:v>2025-12</x:v>
      </x:c>
      <x:c r="C561" t="n">
        <x:v>46000</x:v>
      </x:c>
      <x:c r="D561" t="str">
        <x:v>USR-00457</x:v>
      </x:c>
      <x:c r="E561" t="str">
        <x:v>SUS-000599</x:v>
      </x:c>
      <x:c r="F561" t="str">
        <x:v>Plus mensual</x:v>
      </x:c>
      <x:c r="G561" t="str">
        <x:v>Mensual</x:v>
      </x:c>
      <x:c r="H561" t="n">
        <x:v>1</x:v>
      </x:c>
      <x:c r="I561" t="str">
        <x:v>Aprobado</x:v>
      </x:c>
      <x:c r="J561" t="n">
        <x:v>29900</x:v>
      </x:c>
      <x:c r="K561" t="str">
        <x:v>Tarjeta crédito</x:v>
      </x:c>
      <x:c r="L561" t="str">
        <x:v>Sin error</x:v>
      </x:c>
    </x:row>
    <x:row r="562">
      <x:c r="A562" t="str">
        <x:v>TXN-0000561</x:v>
      </x:c>
      <x:c r="B562" t="str">
        <x:v>2025-12</x:v>
      </x:c>
      <x:c r="C562" t="n">
        <x:v>46003</x:v>
      </x:c>
      <x:c r="D562" t="str">
        <x:v>USR-00458</x:v>
      </x:c>
      <x:c r="E562" t="str">
        <x:v>SUS-000600</x:v>
      </x:c>
      <x:c r="F562" t="str">
        <x:v>Plus mensual</x:v>
      </x:c>
      <x:c r="G562" t="str">
        <x:v>Mensual</x:v>
      </x:c>
      <x:c r="H562" t="n">
        <x:v>1</x:v>
      </x:c>
      <x:c r="I562" t="str">
        <x:v>Aprobado</x:v>
      </x:c>
      <x:c r="J562" t="n">
        <x:v>29900</x:v>
      </x:c>
      <x:c r="K562" t="str">
        <x:v>Tarjeta débito</x:v>
      </x:c>
      <x:c r="L562" t="str">
        <x:v>Sin error</x:v>
      </x:c>
    </x:row>
    <x:row r="563">
      <x:c r="A563" t="str">
        <x:v>TXN-0000562</x:v>
      </x:c>
      <x:c r="B563" t="str">
        <x:v>2025-12</x:v>
      </x:c>
      <x:c r="C563" t="n">
        <x:v>45998</x:v>
      </x:c>
      <x:c r="D563" t="str">
        <x:v>USR-00465</x:v>
      </x:c>
      <x:c r="E563" t="str">
        <x:v>SUS-000607</x:v>
      </x:c>
      <x:c r="F563" t="str">
        <x:v>Plus mensual</x:v>
      </x:c>
      <x:c r="G563" t="str">
        <x:v>Mensual</x:v>
      </x:c>
      <x:c r="H563" t="n">
        <x:v>1</x:v>
      </x:c>
      <x:c r="I563" t="str">
        <x:v>Aprobado</x:v>
      </x:c>
      <x:c r="J563" t="n">
        <x:v>29900</x:v>
      </x:c>
      <x:c r="K563" t="str">
        <x:v>Tarjeta débito</x:v>
      </x:c>
      <x:c r="L563" t="str">
        <x:v>Sin error</x:v>
      </x:c>
    </x:row>
    <x:row r="564">
      <x:c r="A564" t="str">
        <x:v>TXN-0000563</x:v>
      </x:c>
      <x:c r="B564" t="str">
        <x:v>2026-01</x:v>
      </x:c>
      <x:c r="C564" t="n">
        <x:v>46028</x:v>
      </x:c>
      <x:c r="D564" t="str">
        <x:v>USR-00002</x:v>
      </x:c>
      <x:c r="E564" t="str">
        <x:v>SUS-000212</x:v>
      </x:c>
      <x:c r="F564" t="str">
        <x:v>Plus mensual</x:v>
      </x:c>
      <x:c r="G564" t="str">
        <x:v>Mensual</x:v>
      </x:c>
      <x:c r="H564" t="n">
        <x:v>1</x:v>
      </x:c>
      <x:c r="I564" t="str">
        <x:v>Aprobado</x:v>
      </x:c>
      <x:c r="J564" t="n">
        <x:v>29900</x:v>
      </x:c>
      <x:c r="K564" t="str">
        <x:v>PSE</x:v>
      </x:c>
      <x:c r="L564" t="str">
        <x:v>Sin error</x:v>
      </x:c>
    </x:row>
    <x:row r="565">
      <x:c r="A565" t="str">
        <x:v>TXN-0000564</x:v>
      </x:c>
      <x:c r="B565" t="str">
        <x:v>2026-01</x:v>
      </x:c>
      <x:c r="C565" t="n">
        <x:v>46032</x:v>
      </x:c>
      <x:c r="D565" t="str">
        <x:v>USR-00016</x:v>
      </x:c>
      <x:c r="E565" t="str">
        <x:v>SUS-000613</x:v>
      </x:c>
      <x:c r="F565" t="str">
        <x:v>Plus anual</x:v>
      </x:c>
      <x:c r="G565" t="str">
        <x:v>Anual</x:v>
      </x:c>
      <x:c r="H565" t="n">
        <x:v>1</x:v>
      </x:c>
      <x:c r="I565" t="str">
        <x:v>Aprobado</x:v>
      </x:c>
      <x:c r="J565" t="n">
        <x:v>299000</x:v>
      </x:c>
      <x:c r="K565" t="str">
        <x:v>Tarjeta débito</x:v>
      </x:c>
      <x:c r="L565" t="str">
        <x:v>Sin error</x:v>
      </x:c>
    </x:row>
    <x:row r="566">
      <x:c r="A566" t="str">
        <x:v>TXN-0000565</x:v>
      </x:c>
      <x:c r="B566" t="str">
        <x:v>2026-01</x:v>
      </x:c>
      <x:c r="C566" t="n">
        <x:v>46031</x:v>
      </x:c>
      <x:c r="D566" t="str">
        <x:v>USR-00018</x:v>
      </x:c>
      <x:c r="E566" t="str">
        <x:v>SUS-000157</x:v>
      </x:c>
      <x:c r="F566" t="str">
        <x:v>Plus mensual</x:v>
      </x:c>
      <x:c r="G566" t="str">
        <x:v>Mensual</x:v>
      </x:c>
      <x:c r="H566" t="n">
        <x:v>1</x:v>
      </x:c>
      <x:c r="I566" t="str">
        <x:v>Aprobado</x:v>
      </x:c>
      <x:c r="J566" t="n">
        <x:v>29900</x:v>
      </x:c>
      <x:c r="K566" t="str">
        <x:v>Tarjeta crédito</x:v>
      </x:c>
      <x:c r="L566" t="str">
        <x:v>Sin error</x:v>
      </x:c>
    </x:row>
    <x:row r="567">
      <x:c r="A567" t="str">
        <x:v>TXN-0000566</x:v>
      </x:c>
      <x:c r="B567" t="str">
        <x:v>2026-01</x:v>
      </x:c>
      <x:c r="C567" t="n">
        <x:v>46028</x:v>
      </x:c>
      <x:c r="D567" t="str">
        <x:v>USR-00019</x:v>
      </x:c>
      <x:c r="E567" t="str">
        <x:v>SUS-000158</x:v>
      </x:c>
      <x:c r="F567" t="str">
        <x:v>Plus mensual</x:v>
      </x:c>
      <x:c r="G567" t="str">
        <x:v>Mensual</x:v>
      </x:c>
      <x:c r="H567" t="n">
        <x:v>1</x:v>
      </x:c>
      <x:c r="I567" t="str">
        <x:v>Aprobado</x:v>
      </x:c>
      <x:c r="J567" t="n">
        <x:v>29900</x:v>
      </x:c>
      <x:c r="K567" t="str">
        <x:v>Tarjeta débito</x:v>
      </x:c>
      <x:c r="L567" t="str">
        <x:v>Sin error</x:v>
      </x:c>
    </x:row>
    <x:row r="568">
      <x:c r="A568" t="str">
        <x:v>TXN-0000567</x:v>
      </x:c>
      <x:c r="B568" t="str">
        <x:v>2026-01</x:v>
      </x:c>
      <x:c r="C568" t="n">
        <x:v>46029</x:v>
      </x:c>
      <x:c r="D568" t="str">
        <x:v>USR-00025</x:v>
      </x:c>
      <x:c r="E568" t="str">
        <x:v>SUS-000025</x:v>
      </x:c>
      <x:c r="F568" t="str">
        <x:v>Plus anual</x:v>
      </x:c>
      <x:c r="G568" t="str">
        <x:v>Anual</x:v>
      </x:c>
      <x:c r="H568" t="n">
        <x:v>1</x:v>
      </x:c>
      <x:c r="I568" t="str">
        <x:v>Rechazado</x:v>
      </x:c>
      <x:c r="J568" t="n">
        <x:v>299000</x:v>
      </x:c>
      <x:c r="K568" t="str">
        <x:v>Tarjeta crédito</x:v>
      </x:c>
      <x:c r="L568" t="str">
        <x:v>Fondos insuficientes</x:v>
      </x:c>
    </x:row>
    <x:row r="569">
      <x:c r="A569" t="str">
        <x:v>TXN-0000568</x:v>
      </x:c>
      <x:c r="B569" t="str">
        <x:v>2026-01</x:v>
      </x:c>
      <x:c r="C569" t="n">
        <x:v>46033</x:v>
      </x:c>
      <x:c r="D569" t="str">
        <x:v>USR-00025</x:v>
      </x:c>
      <x:c r="E569" t="str">
        <x:v>SUS-000025</x:v>
      </x:c>
      <x:c r="F569" t="str">
        <x:v>Plus anual</x:v>
      </x:c>
      <x:c r="G569" t="str">
        <x:v>Anual</x:v>
      </x:c>
      <x:c r="H569" t="n">
        <x:v>2</x:v>
      </x:c>
      <x:c r="I569" t="str">
        <x:v>Aprobado</x:v>
      </x:c>
      <x:c r="J569" t="n">
        <x:v>299000</x:v>
      </x:c>
      <x:c r="K569" t="str">
        <x:v>Tarjeta crédito</x:v>
      </x:c>
      <x:c r="L569" t="str">
        <x:v>Sin error</x:v>
      </x:c>
    </x:row>
    <x:row r="570">
      <x:c r="A570" t="str">
        <x:v>TXN-0000569</x:v>
      </x:c>
      <x:c r="B570" t="str">
        <x:v>2026-01</x:v>
      </x:c>
      <x:c r="C570" t="n">
        <x:v>46028</x:v>
      </x:c>
      <x:c r="D570" t="str">
        <x:v>USR-00026</x:v>
      </x:c>
      <x:c r="E570" t="str">
        <x:v>SUS-000101</x:v>
      </x:c>
      <x:c r="F570" t="str">
        <x:v>Plus mensual</x:v>
      </x:c>
      <x:c r="G570" t="str">
        <x:v>Mensual</x:v>
      </x:c>
      <x:c r="H570" t="n">
        <x:v>1</x:v>
      </x:c>
      <x:c r="I570" t="str">
        <x:v>Aprobado</x:v>
      </x:c>
      <x:c r="J570" t="n">
        <x:v>29900</x:v>
      </x:c>
      <x:c r="K570" t="str">
        <x:v>Tarjeta crédito</x:v>
      </x:c>
      <x:c r="L570" t="str">
        <x:v>Sin error</x:v>
      </x:c>
    </x:row>
    <x:row r="571">
      <x:c r="A571" t="str">
        <x:v>TXN-0000570</x:v>
      </x:c>
      <x:c r="B571" t="str">
        <x:v>2026-01</x:v>
      </x:c>
      <x:c r="C571" t="n">
        <x:v>46027</x:v>
      </x:c>
      <x:c r="D571" t="str">
        <x:v>USR-00036</x:v>
      </x:c>
      <x:c r="E571" t="str">
        <x:v>SUS-000615</x:v>
      </x:c>
      <x:c r="F571" t="str">
        <x:v>Plus anual</x:v>
      </x:c>
      <x:c r="G571" t="str">
        <x:v>Anual</x:v>
      </x:c>
      <x:c r="H571" t="n">
        <x:v>1</x:v>
      </x:c>
      <x:c r="I571" t="str">
        <x:v>Aprobado</x:v>
      </x:c>
      <x:c r="J571" t="n">
        <x:v>299000</x:v>
      </x:c>
      <x:c r="K571" t="str">
        <x:v>Tarjeta crédito</x:v>
      </x:c>
      <x:c r="L571" t="str">
        <x:v>Sin error</x:v>
      </x:c>
    </x:row>
    <x:row r="572">
      <x:c r="A572" t="str">
        <x:v>TXN-0000571</x:v>
      </x:c>
      <x:c r="B572" t="str">
        <x:v>2026-01</x:v>
      </x:c>
      <x:c r="C572" t="n">
        <x:v>46029</x:v>
      </x:c>
      <x:c r="D572" t="str">
        <x:v>USR-00037</x:v>
      </x:c>
      <x:c r="E572" t="str">
        <x:v>SUS-000457</x:v>
      </x:c>
      <x:c r="F572" t="str">
        <x:v>Plus mensual</x:v>
      </x:c>
      <x:c r="G572" t="str">
        <x:v>Mensual</x:v>
      </x:c>
      <x:c r="H572" t="n">
        <x:v>1</x:v>
      </x:c>
      <x:c r="I572" t="str">
        <x:v>Aprobado</x:v>
      </x:c>
      <x:c r="J572" t="n">
        <x:v>29900</x:v>
      </x:c>
      <x:c r="K572" t="str">
        <x:v>Tarjeta débito</x:v>
      </x:c>
      <x:c r="L572" t="str">
        <x:v>Sin error</x:v>
      </x:c>
    </x:row>
    <x:row r="573">
      <x:c r="A573" t="str">
        <x:v>TXN-0000572</x:v>
      </x:c>
      <x:c r="B573" t="str">
        <x:v>2026-01</x:v>
      </x:c>
      <x:c r="C573" t="n">
        <x:v>46030</x:v>
      </x:c>
      <x:c r="D573" t="str">
        <x:v>USR-00042</x:v>
      </x:c>
      <x:c r="E573" t="str">
        <x:v>SUS-000215</x:v>
      </x:c>
      <x:c r="F573" t="str">
        <x:v>Plus mensual</x:v>
      </x:c>
      <x:c r="G573" t="str">
        <x:v>Mensual</x:v>
      </x:c>
      <x:c r="H573" t="n">
        <x:v>1</x:v>
      </x:c>
      <x:c r="I573" t="str">
        <x:v>Aprobado</x:v>
      </x:c>
      <x:c r="J573" t="n">
        <x:v>29900</x:v>
      </x:c>
      <x:c r="K573" t="str">
        <x:v>Tarjeta débito</x:v>
      </x:c>
      <x:c r="L573" t="str">
        <x:v>Sin error</x:v>
      </x:c>
    </x:row>
    <x:row r="574">
      <x:c r="A574" t="str">
        <x:v>TXN-0000573</x:v>
      </x:c>
      <x:c r="B574" t="str">
        <x:v>2026-01</x:v>
      </x:c>
      <x:c r="C574" t="n">
        <x:v>46031</x:v>
      </x:c>
      <x:c r="D574" t="str">
        <x:v>USR-00048</x:v>
      </x:c>
      <x:c r="E574" t="str">
        <x:v>SUS-000160</x:v>
      </x:c>
      <x:c r="F574" t="str">
        <x:v>Plus mensual</x:v>
      </x:c>
      <x:c r="G574" t="str">
        <x:v>Mensual</x:v>
      </x:c>
      <x:c r="H574" t="n">
        <x:v>1</x:v>
      </x:c>
      <x:c r="I574" t="str">
        <x:v>Aprobado</x:v>
      </x:c>
      <x:c r="J574" t="n">
        <x:v>29900</x:v>
      </x:c>
      <x:c r="K574" t="str">
        <x:v>Tarjeta crédito</x:v>
      </x:c>
      <x:c r="L574" t="str">
        <x:v>Sin error</x:v>
      </x:c>
    </x:row>
    <x:row r="575">
      <x:c r="A575" t="str">
        <x:v>TXN-0000574</x:v>
      </x:c>
      <x:c r="B575" t="str">
        <x:v>2026-01</x:v>
      </x:c>
      <x:c r="C575" t="n">
        <x:v>46031</x:v>
      </x:c>
      <x:c r="D575" t="str">
        <x:v>USR-00052</x:v>
      </x:c>
      <x:c r="E575" t="str">
        <x:v>SUS-000385</x:v>
      </x:c>
      <x:c r="F575" t="str">
        <x:v>Plus mensual</x:v>
      </x:c>
      <x:c r="G575" t="str">
        <x:v>Mensual</x:v>
      </x:c>
      <x:c r="H575" t="n">
        <x:v>1</x:v>
      </x:c>
      <x:c r="I575" t="str">
        <x:v>Aprobado</x:v>
      </x:c>
      <x:c r="J575" t="n">
        <x:v>29900</x:v>
      </x:c>
      <x:c r="K575" t="str">
        <x:v>Tarjeta débito</x:v>
      </x:c>
      <x:c r="L575" t="str">
        <x:v>Sin error</x:v>
      </x:c>
    </x:row>
    <x:row r="576">
      <x:c r="A576" t="str">
        <x:v>TXN-0000575</x:v>
      </x:c>
      <x:c r="B576" t="str">
        <x:v>2026-01</x:v>
      </x:c>
      <x:c r="C576" t="n">
        <x:v>46031</x:v>
      </x:c>
      <x:c r="D576" t="str">
        <x:v>USR-00057</x:v>
      </x:c>
      <x:c r="E576" t="str">
        <x:v>SUS-000386</x:v>
      </x:c>
      <x:c r="F576" t="str">
        <x:v>Plus mensual</x:v>
      </x:c>
      <x:c r="G576" t="str">
        <x:v>Mensual</x:v>
      </x:c>
      <x:c r="H576" t="n">
        <x:v>1</x:v>
      </x:c>
      <x:c r="I576" t="str">
        <x:v>Aprobado</x:v>
      </x:c>
      <x:c r="J576" t="n">
        <x:v>29900</x:v>
      </x:c>
      <x:c r="K576" t="str">
        <x:v>Tarjeta crédito</x:v>
      </x:c>
      <x:c r="L576" t="str">
        <x:v>Sin error</x:v>
      </x:c>
    </x:row>
    <x:row r="577">
      <x:c r="A577" t="str">
        <x:v>TXN-0000576</x:v>
      </x:c>
      <x:c r="B577" t="str">
        <x:v>2026-01</x:v>
      </x:c>
      <x:c r="C577" t="n">
        <x:v>46027</x:v>
      </x:c>
      <x:c r="D577" t="str">
        <x:v>USR-00064</x:v>
      </x:c>
      <x:c r="E577" t="str">
        <x:v>SUS-000333</x:v>
      </x:c>
      <x:c r="F577" t="str">
        <x:v>Plus mensual</x:v>
      </x:c>
      <x:c r="G577" t="str">
        <x:v>Mensual</x:v>
      </x:c>
      <x:c r="H577" t="n">
        <x:v>1</x:v>
      </x:c>
      <x:c r="I577" t="str">
        <x:v>Aprobado</x:v>
      </x:c>
      <x:c r="J577" t="n">
        <x:v>29900</x:v>
      </x:c>
      <x:c r="K577" t="str">
        <x:v>Tarjeta débito</x:v>
      </x:c>
      <x:c r="L577" t="str">
        <x:v>Sin error</x:v>
      </x:c>
    </x:row>
    <x:row r="578">
      <x:c r="A578" t="str">
        <x:v>TXN-0000577</x:v>
      </x:c>
      <x:c r="B578" t="str">
        <x:v>2026-01</x:v>
      </x:c>
      <x:c r="C578" t="n">
        <x:v>46027</x:v>
      </x:c>
      <x:c r="D578" t="str">
        <x:v>USR-00067</x:v>
      </x:c>
      <x:c r="E578" t="str">
        <x:v>SUS-000460</x:v>
      </x:c>
      <x:c r="F578" t="str">
        <x:v>Plus mensual</x:v>
      </x:c>
      <x:c r="G578" t="str">
        <x:v>Mensual</x:v>
      </x:c>
      <x:c r="H578" t="n">
        <x:v>1</x:v>
      </x:c>
      <x:c r="I578" t="str">
        <x:v>Aprobado</x:v>
      </x:c>
      <x:c r="J578" t="n">
        <x:v>29900</x:v>
      </x:c>
      <x:c r="K578" t="str">
        <x:v>Tarjeta débito</x:v>
      </x:c>
      <x:c r="L578" t="str">
        <x:v>Sin error</x:v>
      </x:c>
    </x:row>
    <x:row r="579">
      <x:c r="A579" t="str">
        <x:v>TXN-0000578</x:v>
      </x:c>
      <x:c r="B579" t="str">
        <x:v>2026-01</x:v>
      </x:c>
      <x:c r="C579" t="n">
        <x:v>46030</x:v>
      </x:c>
      <x:c r="D579" t="str">
        <x:v>USR-00070</x:v>
      </x:c>
      <x:c r="E579" t="str">
        <x:v>SUS-000527</x:v>
      </x:c>
      <x:c r="F579" t="str">
        <x:v>Plus mensual</x:v>
      </x:c>
      <x:c r="G579" t="str">
        <x:v>Mensual</x:v>
      </x:c>
      <x:c r="H579" t="n">
        <x:v>1</x:v>
      </x:c>
      <x:c r="I579" t="str">
        <x:v>Aprobado</x:v>
      </x:c>
      <x:c r="J579" t="n">
        <x:v>29900</x:v>
      </x:c>
      <x:c r="K579" t="str">
        <x:v>Tarjeta crédito</x:v>
      </x:c>
      <x:c r="L579" t="str">
        <x:v>Sin error</x:v>
      </x:c>
    </x:row>
    <x:row r="580">
      <x:c r="A580" t="str">
        <x:v>TXN-0000579</x:v>
      </x:c>
      <x:c r="B580" t="str">
        <x:v>2026-01</x:v>
      </x:c>
      <x:c r="C580" t="n">
        <x:v>46034</x:v>
      </x:c>
      <x:c r="D580" t="str">
        <x:v>USR-00071</x:v>
      </x:c>
      <x:c r="E580" t="str">
        <x:v>SUS-000217</x:v>
      </x:c>
      <x:c r="F580" t="str">
        <x:v>Plus mensual</x:v>
      </x:c>
      <x:c r="G580" t="str">
        <x:v>Mensual</x:v>
      </x:c>
      <x:c r="H580" t="n">
        <x:v>1</x:v>
      </x:c>
      <x:c r="I580" t="str">
        <x:v>Aprobado</x:v>
      </x:c>
      <x:c r="J580" t="n">
        <x:v>29900</x:v>
      </x:c>
      <x:c r="K580" t="str">
        <x:v>PSE</x:v>
      </x:c>
      <x:c r="L580" t="str">
        <x:v>Sin error</x:v>
      </x:c>
    </x:row>
    <x:row r="581">
      <x:c r="A581" t="str">
        <x:v>TXN-0000580</x:v>
      </x:c>
      <x:c r="B581" t="str">
        <x:v>2026-01</x:v>
      </x:c>
      <x:c r="C581" t="n">
        <x:v>46028</x:v>
      </x:c>
      <x:c r="D581" t="str">
        <x:v>USR-00078</x:v>
      </x:c>
      <x:c r="E581" t="str">
        <x:v>SUS-000083</x:v>
      </x:c>
      <x:c r="F581" t="str">
        <x:v>Plus mensual</x:v>
      </x:c>
      <x:c r="G581" t="str">
        <x:v>Mensual</x:v>
      </x:c>
      <x:c r="H581" t="n">
        <x:v>1</x:v>
      </x:c>
      <x:c r="I581" t="str">
        <x:v>Aprobado</x:v>
      </x:c>
      <x:c r="J581" t="n">
        <x:v>29900</x:v>
      </x:c>
      <x:c r="K581" t="str">
        <x:v>Tarjeta débito</x:v>
      </x:c>
      <x:c r="L581" t="str">
        <x:v>Sin error</x:v>
      </x:c>
    </x:row>
    <x:row r="582">
      <x:c r="A582" t="str">
        <x:v>TXN-0000581</x:v>
      </x:c>
      <x:c r="B582" t="str">
        <x:v>2026-01</x:v>
      </x:c>
      <x:c r="C582" t="n">
        <x:v>46029</x:v>
      </x:c>
      <x:c r="D582" t="str">
        <x:v>USR-00079</x:v>
      </x:c>
      <x:c r="E582" t="str">
        <x:v>SUS-000336</x:v>
      </x:c>
      <x:c r="F582" t="str">
        <x:v>Plus mensual</x:v>
      </x:c>
      <x:c r="G582" t="str">
        <x:v>Mensual</x:v>
      </x:c>
      <x:c r="H582" t="n">
        <x:v>1</x:v>
      </x:c>
      <x:c r="I582" t="str">
        <x:v>Aprobado</x:v>
      </x:c>
      <x:c r="J582" t="n">
        <x:v>29900</x:v>
      </x:c>
      <x:c r="K582" t="str">
        <x:v>Tarjeta crédito</x:v>
      </x:c>
      <x:c r="L582" t="str">
        <x:v>Sin error</x:v>
      </x:c>
    </x:row>
    <x:row r="583">
      <x:c r="A583" t="str">
        <x:v>TXN-0000582</x:v>
      </x:c>
      <x:c r="B583" t="str">
        <x:v>2026-01</x:v>
      </x:c>
      <x:c r="C583" t="n">
        <x:v>46027</x:v>
      </x:c>
      <x:c r="D583" t="str">
        <x:v>USR-00082</x:v>
      </x:c>
      <x:c r="E583" t="str">
        <x:v>SUS-000528</x:v>
      </x:c>
      <x:c r="F583" t="str">
        <x:v>Plus mensual</x:v>
      </x:c>
      <x:c r="G583" t="str">
        <x:v>Mensual</x:v>
      </x:c>
      <x:c r="H583" t="n">
        <x:v>1</x:v>
      </x:c>
      <x:c r="I583" t="str">
        <x:v>Aprobado</x:v>
      </x:c>
      <x:c r="J583" t="n">
        <x:v>29900</x:v>
      </x:c>
      <x:c r="K583" t="str">
        <x:v>Tarjeta débito</x:v>
      </x:c>
      <x:c r="L583" t="str">
        <x:v>Sin error</x:v>
      </x:c>
    </x:row>
    <x:row r="584">
      <x:c r="A584" t="str">
        <x:v>TXN-0000583</x:v>
      </x:c>
      <x:c r="B584" t="str">
        <x:v>2026-01</x:v>
      </x:c>
      <x:c r="C584" t="n">
        <x:v>46029</x:v>
      </x:c>
      <x:c r="D584" t="str">
        <x:v>USR-00083</x:v>
      </x:c>
      <x:c r="E584" t="str">
        <x:v>SUS-000218</x:v>
      </x:c>
      <x:c r="F584" t="str">
        <x:v>Plus mensual</x:v>
      </x:c>
      <x:c r="G584" t="str">
        <x:v>Mensual</x:v>
      </x:c>
      <x:c r="H584" t="n">
        <x:v>1</x:v>
      </x:c>
      <x:c r="I584" t="str">
        <x:v>Aprobado</x:v>
      </x:c>
      <x:c r="J584" t="n">
        <x:v>29900</x:v>
      </x:c>
      <x:c r="K584" t="str">
        <x:v>PSE</x:v>
      </x:c>
      <x:c r="L584" t="str">
        <x:v>Sin error</x:v>
      </x:c>
    </x:row>
    <x:row r="585">
      <x:c r="A585" t="str">
        <x:v>TXN-0000584</x:v>
      </x:c>
      <x:c r="B585" t="str">
        <x:v>2026-01</x:v>
      </x:c>
      <x:c r="C585" t="n">
        <x:v>46033</x:v>
      </x:c>
      <x:c r="D585" t="str">
        <x:v>USR-00087</x:v>
      </x:c>
      <x:c r="E585" t="str">
        <x:v>SUS-000219</x:v>
      </x:c>
      <x:c r="F585" t="str">
        <x:v>Plus mensual</x:v>
      </x:c>
      <x:c r="G585" t="str">
        <x:v>Mensual</x:v>
      </x:c>
      <x:c r="H585" t="n">
        <x:v>1</x:v>
      </x:c>
      <x:c r="I585" t="str">
        <x:v>Aprobado</x:v>
      </x:c>
      <x:c r="J585" t="n">
        <x:v>29900</x:v>
      </x:c>
      <x:c r="K585" t="str">
        <x:v>Tarjeta crédito</x:v>
      </x:c>
      <x:c r="L585" t="str">
        <x:v>Sin error</x:v>
      </x:c>
    </x:row>
    <x:row r="586">
      <x:c r="A586" t="str">
        <x:v>TXN-0000585</x:v>
      </x:c>
      <x:c r="B586" t="str">
        <x:v>2026-01</x:v>
      </x:c>
      <x:c r="C586" t="n">
        <x:v>46033</x:v>
      </x:c>
      <x:c r="D586" t="str">
        <x:v>USR-00096</x:v>
      </x:c>
      <x:c r="E586" t="str">
        <x:v>SUS-000273</x:v>
      </x:c>
      <x:c r="F586" t="str">
        <x:v>Plus mensual</x:v>
      </x:c>
      <x:c r="G586" t="str">
        <x:v>Mensual</x:v>
      </x:c>
      <x:c r="H586" t="n">
        <x:v>1</x:v>
      </x:c>
      <x:c r="I586" t="str">
        <x:v>Aprobado</x:v>
      </x:c>
      <x:c r="J586" t="n">
        <x:v>29900</x:v>
      </x:c>
      <x:c r="K586" t="str">
        <x:v>Tarjeta crédito</x:v>
      </x:c>
      <x:c r="L586" t="str">
        <x:v>Sin error</x:v>
      </x:c>
    </x:row>
    <x:row r="587">
      <x:c r="A587" t="str">
        <x:v>TXN-0000586</x:v>
      </x:c>
      <x:c r="B587" t="str">
        <x:v>2026-01</x:v>
      </x:c>
      <x:c r="C587" t="n">
        <x:v>46030</x:v>
      </x:c>
      <x:c r="D587" t="str">
        <x:v>USR-00097</x:v>
      </x:c>
      <x:c r="E587" t="str">
        <x:v>SUS-000529</x:v>
      </x:c>
      <x:c r="F587" t="str">
        <x:v>Plus mensual</x:v>
      </x:c>
      <x:c r="G587" t="str">
        <x:v>Mensual</x:v>
      </x:c>
      <x:c r="H587" t="n">
        <x:v>1</x:v>
      </x:c>
      <x:c r="I587" t="str">
        <x:v>Aprobado</x:v>
      </x:c>
      <x:c r="J587" t="n">
        <x:v>29900</x:v>
      </x:c>
      <x:c r="K587" t="str">
        <x:v>Tarjeta débito</x:v>
      </x:c>
      <x:c r="L587" t="str">
        <x:v>Sin error</x:v>
      </x:c>
    </x:row>
    <x:row r="588">
      <x:c r="A588" t="str">
        <x:v>TXN-0000587</x:v>
      </x:c>
      <x:c r="B588" t="str">
        <x:v>2026-01</x:v>
      </x:c>
      <x:c r="C588" t="n">
        <x:v>46034</x:v>
      </x:c>
      <x:c r="D588" t="str">
        <x:v>USR-00099</x:v>
      </x:c>
      <x:c r="E588" t="str">
        <x:v>SUS-000337</x:v>
      </x:c>
      <x:c r="F588" t="str">
        <x:v>Plus mensual</x:v>
      </x:c>
      <x:c r="G588" t="str">
        <x:v>Mensual</x:v>
      </x:c>
      <x:c r="H588" t="n">
        <x:v>1</x:v>
      </x:c>
      <x:c r="I588" t="str">
        <x:v>Aprobado</x:v>
      </x:c>
      <x:c r="J588" t="n">
        <x:v>29900</x:v>
      </x:c>
      <x:c r="K588" t="str">
        <x:v>Tarjeta crédito</x:v>
      </x:c>
      <x:c r="L588" t="str">
        <x:v>Sin error</x:v>
      </x:c>
    </x:row>
    <x:row r="589">
      <x:c r="A589" t="str">
        <x:v>TXN-0000588</x:v>
      </x:c>
      <x:c r="B589" t="str">
        <x:v>2026-01</x:v>
      </x:c>
      <x:c r="C589" t="n">
        <x:v>46027</x:v>
      </x:c>
      <x:c r="D589" t="str">
        <x:v>USR-00100</x:v>
      </x:c>
      <x:c r="E589" t="str">
        <x:v>SUS-000108</x:v>
      </x:c>
      <x:c r="F589" t="str">
        <x:v>Plus mensual</x:v>
      </x:c>
      <x:c r="G589" t="str">
        <x:v>Mensual</x:v>
      </x:c>
      <x:c r="H589" t="n">
        <x:v>1</x:v>
      </x:c>
      <x:c r="I589" t="str">
        <x:v>Aprobado</x:v>
      </x:c>
      <x:c r="J589" t="n">
        <x:v>29900</x:v>
      </x:c>
      <x:c r="K589" t="str">
        <x:v>Tarjeta débito</x:v>
      </x:c>
      <x:c r="L589" t="str">
        <x:v>Sin error</x:v>
      </x:c>
    </x:row>
    <x:row r="590">
      <x:c r="A590" t="str">
        <x:v>TXN-0000589</x:v>
      </x:c>
      <x:c r="B590" t="str">
        <x:v>2026-01</x:v>
      </x:c>
      <x:c r="C590" t="n">
        <x:v>46028</x:v>
      </x:c>
      <x:c r="D590" t="str">
        <x:v>USR-00116</x:v>
      </x:c>
      <x:c r="E590" t="str">
        <x:v>SUS-000390</x:v>
      </x:c>
      <x:c r="F590" t="str">
        <x:v>Plus mensual</x:v>
      </x:c>
      <x:c r="G590" t="str">
        <x:v>Mensual</x:v>
      </x:c>
      <x:c r="H590" t="n">
        <x:v>1</x:v>
      </x:c>
      <x:c r="I590" t="str">
        <x:v>Aprobado</x:v>
      </x:c>
      <x:c r="J590" t="n">
        <x:v>29900</x:v>
      </x:c>
      <x:c r="K590" t="str">
        <x:v>Tarjeta crédito</x:v>
      </x:c>
      <x:c r="L590" t="str">
        <x:v>Sin error</x:v>
      </x:c>
    </x:row>
    <x:row r="591">
      <x:c r="A591" t="str">
        <x:v>TXN-0000590</x:v>
      </x:c>
      <x:c r="B591" t="str">
        <x:v>2026-01</x:v>
      </x:c>
      <x:c r="C591" t="n">
        <x:v>46028</x:v>
      </x:c>
      <x:c r="D591" t="str">
        <x:v>USR-00121</x:v>
      </x:c>
      <x:c r="E591" t="str">
        <x:v>SUS-000222</x:v>
      </x:c>
      <x:c r="F591" t="str">
        <x:v>Plus mensual</x:v>
      </x:c>
      <x:c r="G591" t="str">
        <x:v>Mensual</x:v>
      </x:c>
      <x:c r="H591" t="n">
        <x:v>1</x:v>
      </x:c>
      <x:c r="I591" t="str">
        <x:v>Aprobado</x:v>
      </x:c>
      <x:c r="J591" t="n">
        <x:v>29900</x:v>
      </x:c>
      <x:c r="K591" t="str">
        <x:v>PSE</x:v>
      </x:c>
      <x:c r="L591" t="str">
        <x:v>Sin error</x:v>
      </x:c>
    </x:row>
    <x:row r="592">
      <x:c r="A592" t="str">
        <x:v>TXN-0000591</x:v>
      </x:c>
      <x:c r="B592" t="str">
        <x:v>2026-01</x:v>
      </x:c>
      <x:c r="C592" t="n">
        <x:v>46031</x:v>
      </x:c>
      <x:c r="D592" t="str">
        <x:v>USR-00123</x:v>
      </x:c>
      <x:c r="E592" t="str">
        <x:v>SUS-000223</x:v>
      </x:c>
      <x:c r="F592" t="str">
        <x:v>Plus mensual</x:v>
      </x:c>
      <x:c r="G592" t="str">
        <x:v>Mensual</x:v>
      </x:c>
      <x:c r="H592" t="n">
        <x:v>1</x:v>
      </x:c>
      <x:c r="I592" t="str">
        <x:v>Aprobado</x:v>
      </x:c>
      <x:c r="J592" t="n">
        <x:v>29900</x:v>
      </x:c>
      <x:c r="K592" t="str">
        <x:v>PSE</x:v>
      </x:c>
      <x:c r="L592" t="str">
        <x:v>Sin error</x:v>
      </x:c>
    </x:row>
    <x:row r="593">
      <x:c r="A593" t="str">
        <x:v>TXN-0000592</x:v>
      </x:c>
      <x:c r="B593" t="str">
        <x:v>2026-01</x:v>
      </x:c>
      <x:c r="C593" t="n">
        <x:v>46027</x:v>
      </x:c>
      <x:c r="D593" t="str">
        <x:v>USR-00131</x:v>
      </x:c>
      <x:c r="E593" t="str">
        <x:v>SUS-000619</x:v>
      </x:c>
      <x:c r="F593" t="str">
        <x:v>Plus mensual</x:v>
      </x:c>
      <x:c r="G593" t="str">
        <x:v>Mensual</x:v>
      </x:c>
      <x:c r="H593" t="n">
        <x:v>1</x:v>
      </x:c>
      <x:c r="I593" t="str">
        <x:v>Aprobado</x:v>
      </x:c>
      <x:c r="J593" t="n">
        <x:v>29900</x:v>
      </x:c>
      <x:c r="K593" t="str">
        <x:v>Tarjeta débito</x:v>
      </x:c>
      <x:c r="L593" t="str">
        <x:v>Sin error</x:v>
      </x:c>
    </x:row>
    <x:row r="594">
      <x:c r="A594" t="str">
        <x:v>TXN-0000593</x:v>
      </x:c>
      <x:c r="B594" t="str">
        <x:v>2026-01</x:v>
      </x:c>
      <x:c r="C594" t="n">
        <x:v>46028</x:v>
      </x:c>
      <x:c r="D594" t="str">
        <x:v>USR-00145</x:v>
      </x:c>
      <x:c r="E594" t="str">
        <x:v>SUS-000168</x:v>
      </x:c>
      <x:c r="F594" t="str">
        <x:v>Plus mensual</x:v>
      </x:c>
      <x:c r="G594" t="str">
        <x:v>Mensual</x:v>
      </x:c>
      <x:c r="H594" t="n">
        <x:v>1</x:v>
      </x:c>
      <x:c r="I594" t="str">
        <x:v>Aprobado</x:v>
      </x:c>
      <x:c r="J594" t="n">
        <x:v>29900</x:v>
      </x:c>
      <x:c r="K594" t="str">
        <x:v>PSE</x:v>
      </x:c>
      <x:c r="L594" t="str">
        <x:v>Sin error</x:v>
      </x:c>
    </x:row>
    <x:row r="595">
      <x:c r="A595" t="str">
        <x:v>TXN-0000594</x:v>
      </x:c>
      <x:c r="B595" t="str">
        <x:v>2026-01</x:v>
      </x:c>
      <x:c r="C595" t="n">
        <x:v>46033</x:v>
      </x:c>
      <x:c r="D595" t="str">
        <x:v>USR-00146</x:v>
      </x:c>
      <x:c r="E595" t="str">
        <x:v>SUS-000169</x:v>
      </x:c>
      <x:c r="F595" t="str">
        <x:v>Plus mensual</x:v>
      </x:c>
      <x:c r="G595" t="str">
        <x:v>Mensual</x:v>
      </x:c>
      <x:c r="H595" t="n">
        <x:v>1</x:v>
      </x:c>
      <x:c r="I595" t="str">
        <x:v>Aprobado</x:v>
      </x:c>
      <x:c r="J595" t="n">
        <x:v>29900</x:v>
      </x:c>
      <x:c r="K595" t="str">
        <x:v>PSE</x:v>
      </x:c>
      <x:c r="L595" t="str">
        <x:v>Sin error</x:v>
      </x:c>
    </x:row>
    <x:row r="596">
      <x:c r="A596" t="str">
        <x:v>TXN-0000595</x:v>
      </x:c>
      <x:c r="B596" t="str">
        <x:v>2026-01</x:v>
      </x:c>
      <x:c r="C596" t="n">
        <x:v>46034</x:v>
      </x:c>
      <x:c r="D596" t="str">
        <x:v>USR-00154</x:v>
      </x:c>
      <x:c r="E596" t="str">
        <x:v>SUS-000278</x:v>
      </x:c>
      <x:c r="F596" t="str">
        <x:v>Plus mensual</x:v>
      </x:c>
      <x:c r="G596" t="str">
        <x:v>Mensual</x:v>
      </x:c>
      <x:c r="H596" t="n">
        <x:v>1</x:v>
      </x:c>
      <x:c r="I596" t="str">
        <x:v>Aprobado</x:v>
      </x:c>
      <x:c r="J596" t="n">
        <x:v>29900</x:v>
      </x:c>
      <x:c r="K596" t="str">
        <x:v>Tarjeta débito</x:v>
      </x:c>
      <x:c r="L596" t="str">
        <x:v>Sin error</x:v>
      </x:c>
    </x:row>
    <x:row r="597">
      <x:c r="A597" t="str">
        <x:v>TXN-0000596</x:v>
      </x:c>
      <x:c r="B597" t="str">
        <x:v>2026-01</x:v>
      </x:c>
      <x:c r="C597" t="n">
        <x:v>46030</x:v>
      </x:c>
      <x:c r="D597" t="str">
        <x:v>USR-00155</x:v>
      </x:c>
      <x:c r="E597" t="str">
        <x:v>SUS-000462</x:v>
      </x:c>
      <x:c r="F597" t="str">
        <x:v>Plus mensual</x:v>
      </x:c>
      <x:c r="G597" t="str">
        <x:v>Mensual</x:v>
      </x:c>
      <x:c r="H597" t="n">
        <x:v>1</x:v>
      </x:c>
      <x:c r="I597" t="str">
        <x:v>Aprobado</x:v>
      </x:c>
      <x:c r="J597" t="n">
        <x:v>29900</x:v>
      </x:c>
      <x:c r="K597" t="str">
        <x:v>PSE</x:v>
      </x:c>
      <x:c r="L597" t="str">
        <x:v>Sin error</x:v>
      </x:c>
    </x:row>
    <x:row r="598">
      <x:c r="A598" t="str">
        <x:v>TXN-0000597</x:v>
      </x:c>
      <x:c r="B598" t="str">
        <x:v>2026-01</x:v>
      </x:c>
      <x:c r="C598" t="n">
        <x:v>46033</x:v>
      </x:c>
      <x:c r="D598" t="str">
        <x:v>USR-00162</x:v>
      </x:c>
      <x:c r="E598" t="str">
        <x:v>SUS-000225</x:v>
      </x:c>
      <x:c r="F598" t="str">
        <x:v>Plus mensual</x:v>
      </x:c>
      <x:c r="G598" t="str">
        <x:v>Mensual</x:v>
      </x:c>
      <x:c r="H598" t="n">
        <x:v>1</x:v>
      </x:c>
      <x:c r="I598" t="str">
        <x:v>Aprobado</x:v>
      </x:c>
      <x:c r="J598" t="n">
        <x:v>29900</x:v>
      </x:c>
      <x:c r="K598" t="str">
        <x:v>PSE</x:v>
      </x:c>
      <x:c r="L598" t="str">
        <x:v>Sin error</x:v>
      </x:c>
    </x:row>
    <x:row r="599">
      <x:c r="A599" t="str">
        <x:v>TXN-0000598</x:v>
      </x:c>
      <x:c r="B599" t="str">
        <x:v>2026-01</x:v>
      </x:c>
      <x:c r="C599" t="n">
        <x:v>46033</x:v>
      </x:c>
      <x:c r="D599" t="str">
        <x:v>USR-00164</x:v>
      </x:c>
      <x:c r="E599" t="str">
        <x:v>SUS-000534</x:v>
      </x:c>
      <x:c r="F599" t="str">
        <x:v>Plus mensual</x:v>
      </x:c>
      <x:c r="G599" t="str">
        <x:v>Mensual</x:v>
      </x:c>
      <x:c r="H599" t="n">
        <x:v>1</x:v>
      </x:c>
      <x:c r="I599" t="str">
        <x:v>Aprobado</x:v>
      </x:c>
      <x:c r="J599" t="n">
        <x:v>29900</x:v>
      </x:c>
      <x:c r="K599" t="str">
        <x:v>Tarjeta crédito</x:v>
      </x:c>
      <x:c r="L599" t="str">
        <x:v>Sin error</x:v>
      </x:c>
    </x:row>
    <x:row r="600">
      <x:c r="A600" t="str">
        <x:v>TXN-0000599</x:v>
      </x:c>
      <x:c r="B600" t="str">
        <x:v>2026-01</x:v>
      </x:c>
      <x:c r="C600" t="n">
        <x:v>46032</x:v>
      </x:c>
      <x:c r="D600" t="str">
        <x:v>USR-00167</x:v>
      </x:c>
      <x:c r="E600" t="str">
        <x:v>SUS-000226</x:v>
      </x:c>
      <x:c r="F600" t="str">
        <x:v>Plus mensual</x:v>
      </x:c>
      <x:c r="G600" t="str">
        <x:v>Mensual</x:v>
      </x:c>
      <x:c r="H600" t="n">
        <x:v>1</x:v>
      </x:c>
      <x:c r="I600" t="str">
        <x:v>Aprobado</x:v>
      </x:c>
      <x:c r="J600" t="n">
        <x:v>29900</x:v>
      </x:c>
      <x:c r="K600" t="str">
        <x:v>PSE</x:v>
      </x:c>
      <x:c r="L600" t="str">
        <x:v>Sin error</x:v>
      </x:c>
    </x:row>
    <x:row r="601">
      <x:c r="A601" t="str">
        <x:v>TXN-0000600</x:v>
      </x:c>
      <x:c r="B601" t="str">
        <x:v>2026-01</x:v>
      </x:c>
      <x:c r="C601" t="n">
        <x:v>46034</x:v>
      </x:c>
      <x:c r="D601" t="str">
        <x:v>USR-00170</x:v>
      </x:c>
      <x:c r="E601" t="str">
        <x:v>SUS-000392</x:v>
      </x:c>
      <x:c r="F601" t="str">
        <x:v>Plus mensual</x:v>
      </x:c>
      <x:c r="G601" t="str">
        <x:v>Mensual</x:v>
      </x:c>
      <x:c r="H601" t="n">
        <x:v>1</x:v>
      </x:c>
      <x:c r="I601" t="str">
        <x:v>Aprobado</x:v>
      </x:c>
      <x:c r="J601" t="n">
        <x:v>29900</x:v>
      </x:c>
      <x:c r="K601" t="str">
        <x:v>PSE</x:v>
      </x:c>
      <x:c r="L601" t="str">
        <x:v>Sin error</x:v>
      </x:c>
    </x:row>
    <x:row r="602">
      <x:c r="A602" t="str">
        <x:v>TXN-0000601</x:v>
      </x:c>
      <x:c r="B602" t="str">
        <x:v>2026-01</x:v>
      </x:c>
      <x:c r="C602" t="n">
        <x:v>46032</x:v>
      </x:c>
      <x:c r="D602" t="str">
        <x:v>USR-00171</x:v>
      </x:c>
      <x:c r="E602" t="str">
        <x:v>SUS-000621</x:v>
      </x:c>
      <x:c r="F602" t="str">
        <x:v>Plus anual</x:v>
      </x:c>
      <x:c r="G602" t="str">
        <x:v>Anual</x:v>
      </x:c>
      <x:c r="H602" t="n">
        <x:v>1</x:v>
      </x:c>
      <x:c r="I602" t="str">
        <x:v>Aprobado</x:v>
      </x:c>
      <x:c r="J602" t="n">
        <x:v>299000</x:v>
      </x:c>
      <x:c r="K602" t="str">
        <x:v>PSE</x:v>
      </x:c>
      <x:c r="L602" t="str">
        <x:v>Sin error</x:v>
      </x:c>
    </x:row>
    <x:row r="603">
      <x:c r="A603" t="str">
        <x:v>TXN-0000602</x:v>
      </x:c>
      <x:c r="B603" t="str">
        <x:v>2026-01</x:v>
      </x:c>
      <x:c r="C603" t="n">
        <x:v>46034</x:v>
      </x:c>
      <x:c r="D603" t="str">
        <x:v>USR-00174</x:v>
      </x:c>
      <x:c r="E603" t="str">
        <x:v>SUS-000280</x:v>
      </x:c>
      <x:c r="F603" t="str">
        <x:v>Plus mensual</x:v>
      </x:c>
      <x:c r="G603" t="str">
        <x:v>Mensual</x:v>
      </x:c>
      <x:c r="H603" t="n">
        <x:v>1</x:v>
      </x:c>
      <x:c r="I603" t="str">
        <x:v>Aprobado</x:v>
      </x:c>
      <x:c r="J603" t="n">
        <x:v>29900</x:v>
      </x:c>
      <x:c r="K603" t="str">
        <x:v>Tarjeta débito</x:v>
      </x:c>
      <x:c r="L603" t="str">
        <x:v>Sin error</x:v>
      </x:c>
    </x:row>
    <x:row r="604">
      <x:c r="A604" t="str">
        <x:v>TXN-0000603</x:v>
      </x:c>
      <x:c r="B604" t="str">
        <x:v>2026-01</x:v>
      </x:c>
      <x:c r="C604" t="n">
        <x:v>46032</x:v>
      </x:c>
      <x:c r="D604" t="str">
        <x:v>USR-00181</x:v>
      </x:c>
      <x:c r="E604" t="str">
        <x:v>SUS-000536</x:v>
      </x:c>
      <x:c r="F604" t="str">
        <x:v>Plus mensual</x:v>
      </x:c>
      <x:c r="G604" t="str">
        <x:v>Mensual</x:v>
      </x:c>
      <x:c r="H604" t="n">
        <x:v>1</x:v>
      </x:c>
      <x:c r="I604" t="str">
        <x:v>Aprobado</x:v>
      </x:c>
      <x:c r="J604" t="n">
        <x:v>29900</x:v>
      </x:c>
      <x:c r="K604" t="str">
        <x:v>Tarjeta crédito</x:v>
      </x:c>
      <x:c r="L604" t="str">
        <x:v>Sin error</x:v>
      </x:c>
    </x:row>
    <x:row r="605">
      <x:c r="A605" t="str">
        <x:v>TXN-0000604</x:v>
      </x:c>
      <x:c r="B605" t="str">
        <x:v>2026-01</x:v>
      </x:c>
      <x:c r="C605" t="n">
        <x:v>46031</x:v>
      </x:c>
      <x:c r="D605" t="str">
        <x:v>USR-00184</x:v>
      </x:c>
      <x:c r="E605" t="str">
        <x:v>SUS-000281</x:v>
      </x:c>
      <x:c r="F605" t="str">
        <x:v>Plus mensual</x:v>
      </x:c>
      <x:c r="G605" t="str">
        <x:v>Mensual</x:v>
      </x:c>
      <x:c r="H605" t="n">
        <x:v>1</x:v>
      </x:c>
      <x:c r="I605" t="str">
        <x:v>Aprobado</x:v>
      </x:c>
      <x:c r="J605" t="n">
        <x:v>29900</x:v>
      </x:c>
      <x:c r="K605" t="str">
        <x:v>PSE</x:v>
      </x:c>
      <x:c r="L605" t="str">
        <x:v>Sin error</x:v>
      </x:c>
    </x:row>
    <x:row r="606">
      <x:c r="A606" t="str">
        <x:v>TXN-0000605</x:v>
      </x:c>
      <x:c r="B606" t="str">
        <x:v>2026-01</x:v>
      </x:c>
      <x:c r="C606" t="n">
        <x:v>46031</x:v>
      </x:c>
      <x:c r="D606" t="str">
        <x:v>USR-00188</x:v>
      </x:c>
      <x:c r="E606" t="str">
        <x:v>SUS-000229</x:v>
      </x:c>
      <x:c r="F606" t="str">
        <x:v>Plus mensual</x:v>
      </x:c>
      <x:c r="G606" t="str">
        <x:v>Mensual</x:v>
      </x:c>
      <x:c r="H606" t="n">
        <x:v>1</x:v>
      </x:c>
      <x:c r="I606" t="str">
        <x:v>Aprobado</x:v>
      </x:c>
      <x:c r="J606" t="n">
        <x:v>29900</x:v>
      </x:c>
      <x:c r="K606" t="str">
        <x:v>Tarjeta débito</x:v>
      </x:c>
      <x:c r="L606" t="str">
        <x:v>Sin error</x:v>
      </x:c>
    </x:row>
    <x:row r="607">
      <x:c r="A607" t="str">
        <x:v>TXN-0000606</x:v>
      </x:c>
      <x:c r="B607" t="str">
        <x:v>2026-01</x:v>
      </x:c>
      <x:c r="C607" t="n">
        <x:v>46029</x:v>
      </x:c>
      <x:c r="D607" t="str">
        <x:v>USR-00189</x:v>
      </x:c>
      <x:c r="E607" t="str">
        <x:v>SUS-000393</x:v>
      </x:c>
      <x:c r="F607" t="str">
        <x:v>Plus mensual</x:v>
      </x:c>
      <x:c r="G607" t="str">
        <x:v>Mensual</x:v>
      </x:c>
      <x:c r="H607" t="n">
        <x:v>1</x:v>
      </x:c>
      <x:c r="I607" t="str">
        <x:v>Aprobado</x:v>
      </x:c>
      <x:c r="J607" t="n">
        <x:v>29900</x:v>
      </x:c>
      <x:c r="K607" t="str">
        <x:v>PSE</x:v>
      </x:c>
      <x:c r="L607" t="str">
        <x:v>Sin error</x:v>
      </x:c>
    </x:row>
    <x:row r="608">
      <x:c r="A608" t="str">
        <x:v>TXN-0000607</x:v>
      </x:c>
      <x:c r="B608" t="str">
        <x:v>2026-01</x:v>
      </x:c>
      <x:c r="C608" t="n">
        <x:v>46027</x:v>
      </x:c>
      <x:c r="D608" t="str">
        <x:v>USR-00191</x:v>
      </x:c>
      <x:c r="E608" t="str">
        <x:v>SUS-000344</x:v>
      </x:c>
      <x:c r="F608" t="str">
        <x:v>Plus mensual</x:v>
      </x:c>
      <x:c r="G608" t="str">
        <x:v>Mensual</x:v>
      </x:c>
      <x:c r="H608" t="n">
        <x:v>1</x:v>
      </x:c>
      <x:c r="I608" t="str">
        <x:v>Aprobado</x:v>
      </x:c>
      <x:c r="J608" t="n">
        <x:v>29900</x:v>
      </x:c>
      <x:c r="K608" t="str">
        <x:v>Tarjeta crédito</x:v>
      </x:c>
      <x:c r="L608" t="str">
        <x:v>Sin error</x:v>
      </x:c>
    </x:row>
    <x:row r="609">
      <x:c r="A609" t="str">
        <x:v>TXN-0000608</x:v>
      </x:c>
      <x:c r="B609" t="str">
        <x:v>2026-01</x:v>
      </x:c>
      <x:c r="C609" t="n">
        <x:v>46034</x:v>
      </x:c>
      <x:c r="D609" t="str">
        <x:v>USR-00195</x:v>
      </x:c>
      <x:c r="E609" t="str">
        <x:v>SUS-000622</x:v>
      </x:c>
      <x:c r="F609" t="str">
        <x:v>Plus anual</x:v>
      </x:c>
      <x:c r="G609" t="str">
        <x:v>Anual</x:v>
      </x:c>
      <x:c r="H609" t="n">
        <x:v>1</x:v>
      </x:c>
      <x:c r="I609" t="str">
        <x:v>Aprobado</x:v>
      </x:c>
      <x:c r="J609" t="n">
        <x:v>299000</x:v>
      </x:c>
      <x:c r="K609" t="str">
        <x:v>Tarjeta crédito</x:v>
      </x:c>
      <x:c r="L609" t="str">
        <x:v>Sin error</x:v>
      </x:c>
    </x:row>
    <x:row r="610">
      <x:c r="A610" t="str">
        <x:v>TXN-0000609</x:v>
      </x:c>
      <x:c r="B610" t="str">
        <x:v>2026-01</x:v>
      </x:c>
      <x:c r="C610" t="n">
        <x:v>46028</x:v>
      </x:c>
      <x:c r="D610" t="str">
        <x:v>USR-00200</x:v>
      </x:c>
      <x:c r="E610" t="str">
        <x:v>SUS-000395</x:v>
      </x:c>
      <x:c r="F610" t="str">
        <x:v>Plus mensual</x:v>
      </x:c>
      <x:c r="G610" t="str">
        <x:v>Mensual</x:v>
      </x:c>
      <x:c r="H610" t="n">
        <x:v>1</x:v>
      </x:c>
      <x:c r="I610" t="str">
        <x:v>Aprobado</x:v>
      </x:c>
      <x:c r="J610" t="n">
        <x:v>29900</x:v>
      </x:c>
      <x:c r="K610" t="str">
        <x:v>Tarjeta crédito</x:v>
      </x:c>
      <x:c r="L610" t="str">
        <x:v>Sin error</x:v>
      </x:c>
    </x:row>
    <x:row r="611">
      <x:c r="A611" t="str">
        <x:v>TXN-0000610</x:v>
      </x:c>
      <x:c r="B611" t="str">
        <x:v>2026-01</x:v>
      </x:c>
      <x:c r="C611" t="n">
        <x:v>46027</x:v>
      </x:c>
      <x:c r="D611" t="str">
        <x:v>USR-00201</x:v>
      </x:c>
      <x:c r="E611" t="str">
        <x:v>SUS-000242</x:v>
      </x:c>
      <x:c r="F611" t="str">
        <x:v>Plus mensual</x:v>
      </x:c>
      <x:c r="G611" t="str">
        <x:v>Mensual</x:v>
      </x:c>
      <x:c r="H611" t="n">
        <x:v>1</x:v>
      </x:c>
      <x:c r="I611" t="str">
        <x:v>Aprobado</x:v>
      </x:c>
      <x:c r="J611" t="n">
        <x:v>29900</x:v>
      </x:c>
      <x:c r="K611" t="str">
        <x:v>PSE</x:v>
      </x:c>
      <x:c r="L611" t="str">
        <x:v>Sin error</x:v>
      </x:c>
    </x:row>
    <x:row r="612">
      <x:c r="A612" t="str">
        <x:v>TXN-0000611</x:v>
      </x:c>
      <x:c r="B612" t="str">
        <x:v>2026-01</x:v>
      </x:c>
      <x:c r="C612" t="n">
        <x:v>46031</x:v>
      </x:c>
      <x:c r="D612" t="str">
        <x:v>USR-00206</x:v>
      </x:c>
      <x:c r="E612" t="str">
        <x:v>SUS-000623</x:v>
      </x:c>
      <x:c r="F612" t="str">
        <x:v>Plus mensual</x:v>
      </x:c>
      <x:c r="G612" t="str">
        <x:v>Mensual</x:v>
      </x:c>
      <x:c r="H612" t="n">
        <x:v>1</x:v>
      </x:c>
      <x:c r="I612" t="str">
        <x:v>Aprobado</x:v>
      </x:c>
      <x:c r="J612" t="n">
        <x:v>29900</x:v>
      </x:c>
      <x:c r="K612" t="str">
        <x:v>Tarjeta débito</x:v>
      </x:c>
      <x:c r="L612" t="str">
        <x:v>Sin error</x:v>
      </x:c>
    </x:row>
    <x:row r="613">
      <x:c r="A613" t="str">
        <x:v>TXN-0000612</x:v>
      </x:c>
      <x:c r="B613" t="str">
        <x:v>2026-01</x:v>
      </x:c>
      <x:c r="C613" t="n">
        <x:v>46033</x:v>
      </x:c>
      <x:c r="D613" t="str">
        <x:v>USR-00207</x:v>
      </x:c>
      <x:c r="E613" t="str">
        <x:v>SUS-000624</x:v>
      </x:c>
      <x:c r="F613" t="str">
        <x:v>Plus mensual</x:v>
      </x:c>
      <x:c r="G613" t="str">
        <x:v>Mensual</x:v>
      </x:c>
      <x:c r="H613" t="n">
        <x:v>1</x:v>
      </x:c>
      <x:c r="I613" t="str">
        <x:v>Aprobado</x:v>
      </x:c>
      <x:c r="J613" t="n">
        <x:v>29900</x:v>
      </x:c>
      <x:c r="K613" t="str">
        <x:v>PSE</x:v>
      </x:c>
      <x:c r="L613" t="str">
        <x:v>Sin error</x:v>
      </x:c>
    </x:row>
    <x:row r="614">
      <x:c r="A614" t="str">
        <x:v>TXN-0000613</x:v>
      </x:c>
      <x:c r="B614" t="str">
        <x:v>2026-01</x:v>
      </x:c>
      <x:c r="C614" t="n">
        <x:v>46032</x:v>
      </x:c>
      <x:c r="D614" t="str">
        <x:v>USR-00220</x:v>
      </x:c>
      <x:c r="E614" t="str">
        <x:v>SUS-000261</x:v>
      </x:c>
      <x:c r="F614" t="str">
        <x:v>Plus mensual</x:v>
      </x:c>
      <x:c r="G614" t="str">
        <x:v>Mensual</x:v>
      </x:c>
      <x:c r="H614" t="n">
        <x:v>1</x:v>
      </x:c>
      <x:c r="I614" t="str">
        <x:v>Aprobado</x:v>
      </x:c>
      <x:c r="J614" t="n">
        <x:v>29900</x:v>
      </x:c>
      <x:c r="K614" t="str">
        <x:v>Tarjeta crédito</x:v>
      </x:c>
      <x:c r="L614" t="str">
        <x:v>Sin error</x:v>
      </x:c>
    </x:row>
    <x:row r="615">
      <x:c r="A615" t="str">
        <x:v>TXN-0000614</x:v>
      </x:c>
      <x:c r="B615" t="str">
        <x:v>2026-01</x:v>
      </x:c>
      <x:c r="C615" t="n">
        <x:v>46027</x:v>
      </x:c>
      <x:c r="D615" t="str">
        <x:v>USR-00224</x:v>
      </x:c>
      <x:c r="E615" t="str">
        <x:v>SUS-000265</x:v>
      </x:c>
      <x:c r="F615" t="str">
        <x:v>Plus mensual</x:v>
      </x:c>
      <x:c r="G615" t="str">
        <x:v>Mensual</x:v>
      </x:c>
      <x:c r="H615" t="n">
        <x:v>1</x:v>
      </x:c>
      <x:c r="I615" t="str">
        <x:v>Aprobado</x:v>
      </x:c>
      <x:c r="J615" t="n">
        <x:v>29900</x:v>
      </x:c>
      <x:c r="K615" t="str">
        <x:v>Tarjeta débito</x:v>
      </x:c>
      <x:c r="L615" t="str">
        <x:v>Sin error</x:v>
      </x:c>
    </x:row>
    <x:row r="616">
      <x:c r="A616" t="str">
        <x:v>TXN-0000615</x:v>
      </x:c>
      <x:c r="B616" t="str">
        <x:v>2026-01</x:v>
      </x:c>
      <x:c r="C616" t="n">
        <x:v>46027</x:v>
      </x:c>
      <x:c r="D616" t="str">
        <x:v>USR-00226</x:v>
      </x:c>
      <x:c r="E616" t="str">
        <x:v>SUS-000625</x:v>
      </x:c>
      <x:c r="F616" t="str">
        <x:v>Plus mensual</x:v>
      </x:c>
      <x:c r="G616" t="str">
        <x:v>Mensual</x:v>
      </x:c>
      <x:c r="H616" t="n">
        <x:v>1</x:v>
      </x:c>
      <x:c r="I616" t="str">
        <x:v>Rechazado</x:v>
      </x:c>
      <x:c r="J616" t="n">
        <x:v>29900</x:v>
      </x:c>
      <x:c r="K616" t="str">
        <x:v>Tarjeta crédito</x:v>
      </x:c>
      <x:c r="L616" t="str">
        <x:v>Declinado por entidad</x:v>
      </x:c>
    </x:row>
    <x:row r="617">
      <x:c r="A617" t="str">
        <x:v>TXN-0000616</x:v>
      </x:c>
      <x:c r="B617" t="str">
        <x:v>2026-01</x:v>
      </x:c>
      <x:c r="C617" t="n">
        <x:v>46028</x:v>
      </x:c>
      <x:c r="D617" t="str">
        <x:v>USR-00226</x:v>
      </x:c>
      <x:c r="E617" t="str">
        <x:v>SUS-000625</x:v>
      </x:c>
      <x:c r="F617" t="str">
        <x:v>Plus mensual</x:v>
      </x:c>
      <x:c r="G617" t="str">
        <x:v>Mensual</x:v>
      </x:c>
      <x:c r="H617" t="n">
        <x:v>2</x:v>
      </x:c>
      <x:c r="I617" t="str">
        <x:v>Aprobado</x:v>
      </x:c>
      <x:c r="J617" t="n">
        <x:v>29900</x:v>
      </x:c>
      <x:c r="K617" t="str">
        <x:v>Tarjeta crédito</x:v>
      </x:c>
      <x:c r="L617" t="str">
        <x:v>Sin error</x:v>
      </x:c>
    </x:row>
    <x:row r="618">
      <x:c r="A618" t="str">
        <x:v>TXN-0000617</x:v>
      </x:c>
      <x:c r="B618" t="str">
        <x:v>2026-01</x:v>
      </x:c>
      <x:c r="C618" t="n">
        <x:v>46028</x:v>
      </x:c>
      <x:c r="D618" t="str">
        <x:v>USR-00231</x:v>
      </x:c>
      <x:c r="E618" t="str">
        <x:v>SUS-000538</x:v>
      </x:c>
      <x:c r="F618" t="str">
        <x:v>Plus mensual</x:v>
      </x:c>
      <x:c r="G618" t="str">
        <x:v>Mensual</x:v>
      </x:c>
      <x:c r="H618" t="n">
        <x:v>1</x:v>
      </x:c>
      <x:c r="I618" t="str">
        <x:v>Aprobado</x:v>
      </x:c>
      <x:c r="J618" t="n">
        <x:v>29900</x:v>
      </x:c>
      <x:c r="K618" t="str">
        <x:v>Tarjeta crédito</x:v>
      </x:c>
      <x:c r="L618" t="str">
        <x:v>Sin error</x:v>
      </x:c>
    </x:row>
    <x:row r="619">
      <x:c r="A619" t="str">
        <x:v>TXN-0000618</x:v>
      </x:c>
      <x:c r="B619" t="str">
        <x:v>2026-01</x:v>
      </x:c>
      <x:c r="C619" t="n">
        <x:v>46028</x:v>
      </x:c>
      <x:c r="D619" t="str">
        <x:v>USR-00232</x:v>
      </x:c>
      <x:c r="E619" t="str">
        <x:v>SIN_SUSCRIPCION</x:v>
      </x:c>
      <x:c r="F619" t="str">
        <x:v>Plus mensual</x:v>
      </x:c>
      <x:c r="G619" t="str">
        <x:v>Mensual</x:v>
      </x:c>
      <x:c r="H619" t="n">
        <x:v>1</x:v>
      </x:c>
      <x:c r="I619" t="str">
        <x:v>Rechazado</x:v>
      </x:c>
      <x:c r="J619" t="n">
        <x:v>29900</x:v>
      </x:c>
      <x:c r="K619" t="str">
        <x:v>Tarjeta crédito</x:v>
      </x:c>
      <x:c r="L619" t="str">
        <x:v>Error temporal</x:v>
      </x:c>
    </x:row>
    <x:row r="620">
      <x:c r="A620" t="str">
        <x:v>TXN-0000619</x:v>
      </x:c>
      <x:c r="B620" t="str">
        <x:v>2026-01</x:v>
      </x:c>
      <x:c r="C620" t="n">
        <x:v>46030</x:v>
      </x:c>
      <x:c r="D620" t="str">
        <x:v>USR-00232</x:v>
      </x:c>
      <x:c r="E620" t="str">
        <x:v>SIN_SUSCRIPCION</x:v>
      </x:c>
      <x:c r="F620" t="str">
        <x:v>Plus mensual</x:v>
      </x:c>
      <x:c r="G620" t="str">
        <x:v>Mensual</x:v>
      </x:c>
      <x:c r="H620" t="n">
        <x:v>2</x:v>
      </x:c>
      <x:c r="I620" t="str">
        <x:v>Rechazado</x:v>
      </x:c>
      <x:c r="J620" t="n">
        <x:v>29900</x:v>
      </x:c>
      <x:c r="K620" t="str">
        <x:v>Tarjeta crédito</x:v>
      </x:c>
      <x:c r="L620" t="str">
        <x:v>Declinado por entidad</x:v>
      </x:c>
    </x:row>
    <x:row r="621">
      <x:c r="A621" t="str">
        <x:v>TXN-0000620</x:v>
      </x:c>
      <x:c r="B621" t="str">
        <x:v>2026-01</x:v>
      </x:c>
      <x:c r="C621" t="n">
        <x:v>46027</x:v>
      </x:c>
      <x:c r="D621" t="str">
        <x:v>USR-00238</x:v>
      </x:c>
      <x:c r="E621" t="str">
        <x:v>SUS-000299</x:v>
      </x:c>
      <x:c r="F621" t="str">
        <x:v>Plus mensual</x:v>
      </x:c>
      <x:c r="G621" t="str">
        <x:v>Mensual</x:v>
      </x:c>
      <x:c r="H621" t="n">
        <x:v>1</x:v>
      </x:c>
      <x:c r="I621" t="str">
        <x:v>Aprobado</x:v>
      </x:c>
      <x:c r="J621" t="n">
        <x:v>29900</x:v>
      </x:c>
      <x:c r="K621" t="str">
        <x:v>PSE</x:v>
      </x:c>
      <x:c r="L621" t="str">
        <x:v>Sin error</x:v>
      </x:c>
    </x:row>
    <x:row r="622">
      <x:c r="A622" t="str">
        <x:v>TXN-0000621</x:v>
      </x:c>
      <x:c r="B622" t="str">
        <x:v>2026-01</x:v>
      </x:c>
      <x:c r="C622" t="n">
        <x:v>46031</x:v>
      </x:c>
      <x:c r="D622" t="str">
        <x:v>USR-00249</x:v>
      </x:c>
      <x:c r="E622" t="str">
        <x:v>SUS-000310</x:v>
      </x:c>
      <x:c r="F622" t="str">
        <x:v>Plus mensual</x:v>
      </x:c>
      <x:c r="G622" t="str">
        <x:v>Mensual</x:v>
      </x:c>
      <x:c r="H622" t="n">
        <x:v>1</x:v>
      </x:c>
      <x:c r="I622" t="str">
        <x:v>Aprobado</x:v>
      </x:c>
      <x:c r="J622" t="n">
        <x:v>29900</x:v>
      </x:c>
      <x:c r="K622" t="str">
        <x:v>Tarjeta crédito</x:v>
      </x:c>
      <x:c r="L622" t="str">
        <x:v>Sin error</x:v>
      </x:c>
    </x:row>
    <x:row r="623">
      <x:c r="A623" t="str">
        <x:v>TXN-0000622</x:v>
      </x:c>
      <x:c r="B623" t="str">
        <x:v>2026-01</x:v>
      </x:c>
      <x:c r="C623" t="n">
        <x:v>46029</x:v>
      </x:c>
      <x:c r="D623" t="str">
        <x:v>USR-00250</x:v>
      </x:c>
      <x:c r="E623" t="str">
        <x:v>SUS-000539</x:v>
      </x:c>
      <x:c r="F623" t="str">
        <x:v>Plus mensual</x:v>
      </x:c>
      <x:c r="G623" t="str">
        <x:v>Mensual</x:v>
      </x:c>
      <x:c r="H623" t="n">
        <x:v>1</x:v>
      </x:c>
      <x:c r="I623" t="str">
        <x:v>Aprobado</x:v>
      </x:c>
      <x:c r="J623" t="n">
        <x:v>29900</x:v>
      </x:c>
      <x:c r="K623" t="str">
        <x:v>Tarjeta débito</x:v>
      </x:c>
      <x:c r="L623" t="str">
        <x:v>Sin error</x:v>
      </x:c>
    </x:row>
    <x:row r="624">
      <x:c r="A624" t="str">
        <x:v>TXN-0000623</x:v>
      </x:c>
      <x:c r="B624" t="str">
        <x:v>2026-01</x:v>
      </x:c>
      <x:c r="C624" t="n">
        <x:v>46029</x:v>
      </x:c>
      <x:c r="D624" t="str">
        <x:v>USR-00262</x:v>
      </x:c>
      <x:c r="E624" t="str">
        <x:v>SUS-000468</x:v>
      </x:c>
      <x:c r="F624" t="str">
        <x:v>Plus mensual</x:v>
      </x:c>
      <x:c r="G624" t="str">
        <x:v>Mensual</x:v>
      </x:c>
      <x:c r="H624" t="n">
        <x:v>1</x:v>
      </x:c>
      <x:c r="I624" t="str">
        <x:v>Aprobado</x:v>
      </x:c>
      <x:c r="J624" t="n">
        <x:v>29900</x:v>
      </x:c>
      <x:c r="K624" t="str">
        <x:v>Tarjeta crédito</x:v>
      </x:c>
      <x:c r="L624" t="str">
        <x:v>Sin error</x:v>
      </x:c>
    </x:row>
    <x:row r="625">
      <x:c r="A625" t="str">
        <x:v>TXN-0000624</x:v>
      </x:c>
      <x:c r="B625" t="str">
        <x:v>2026-01</x:v>
      </x:c>
      <x:c r="C625" t="n">
        <x:v>46027</x:v>
      </x:c>
      <x:c r="D625" t="str">
        <x:v>USR-00265</x:v>
      </x:c>
      <x:c r="E625" t="str">
        <x:v>SUS-000469</x:v>
      </x:c>
      <x:c r="F625" t="str">
        <x:v>Plus mensual</x:v>
      </x:c>
      <x:c r="G625" t="str">
        <x:v>Mensual</x:v>
      </x:c>
      <x:c r="H625" t="n">
        <x:v>1</x:v>
      </x:c>
      <x:c r="I625" t="str">
        <x:v>Aprobado</x:v>
      </x:c>
      <x:c r="J625" t="n">
        <x:v>29900</x:v>
      </x:c>
      <x:c r="K625" t="str">
        <x:v>Tarjeta débito</x:v>
      </x:c>
      <x:c r="L625" t="str">
        <x:v>Sin error</x:v>
      </x:c>
    </x:row>
    <x:row r="626">
      <x:c r="A626" t="str">
        <x:v>TXN-0000625</x:v>
      </x:c>
      <x:c r="B626" t="str">
        <x:v>2026-01</x:v>
      </x:c>
      <x:c r="C626" t="n">
        <x:v>46027</x:v>
      </x:c>
      <x:c r="D626" t="str">
        <x:v>USR-00267</x:v>
      </x:c>
      <x:c r="E626" t="str">
        <x:v>SIN_SUSCRIPCION</x:v>
      </x:c>
      <x:c r="F626" t="str">
        <x:v>Plus mensual</x:v>
      </x:c>
      <x:c r="G626" t="str">
        <x:v>Mensual</x:v>
      </x:c>
      <x:c r="H626" t="n">
        <x:v>1</x:v>
      </x:c>
      <x:c r="I626" t="str">
        <x:v>Rechazado</x:v>
      </x:c>
      <x:c r="J626" t="n">
        <x:v>29900</x:v>
      </x:c>
      <x:c r="K626" t="str">
        <x:v>Tarjeta débito</x:v>
      </x:c>
      <x:c r="L626" t="str">
        <x:v>Declinado por entidad</x:v>
      </x:c>
    </x:row>
    <x:row r="627">
      <x:c r="A627" t="str">
        <x:v>TXN-0000626</x:v>
      </x:c>
      <x:c r="B627" t="str">
        <x:v>2026-01</x:v>
      </x:c>
      <x:c r="C627" t="n">
        <x:v>46033</x:v>
      </x:c>
      <x:c r="D627" t="str">
        <x:v>USR-00267</x:v>
      </x:c>
      <x:c r="E627" t="str">
        <x:v>SIN_SUSCRIPCION</x:v>
      </x:c>
      <x:c r="F627" t="str">
        <x:v>Plus mensual</x:v>
      </x:c>
      <x:c r="G627" t="str">
        <x:v>Mensual</x:v>
      </x:c>
      <x:c r="H627" t="n">
        <x:v>2</x:v>
      </x:c>
      <x:c r="I627" t="str">
        <x:v>Rechazado</x:v>
      </x:c>
      <x:c r="J627" t="n">
        <x:v>29900</x:v>
      </x:c>
      <x:c r="K627" t="str">
        <x:v>Tarjeta débito</x:v>
      </x:c>
      <x:c r="L627" t="str">
        <x:v>Fondos insuficientes</x:v>
      </x:c>
    </x:row>
    <x:row r="628">
      <x:c r="A628" t="str">
        <x:v>TXN-0000627</x:v>
      </x:c>
      <x:c r="B628" t="str">
        <x:v>2026-01</x:v>
      </x:c>
      <x:c r="C628" t="n">
        <x:v>46031</x:v>
      </x:c>
      <x:c r="D628" t="str">
        <x:v>USR-00268</x:v>
      </x:c>
      <x:c r="E628" t="str">
        <x:v>SUS-000629</x:v>
      </x:c>
      <x:c r="F628" t="str">
        <x:v>Plus mensual</x:v>
      </x:c>
      <x:c r="G628" t="str">
        <x:v>Mensual</x:v>
      </x:c>
      <x:c r="H628" t="n">
        <x:v>1</x:v>
      </x:c>
      <x:c r="I628" t="str">
        <x:v>Aprobado</x:v>
      </x:c>
      <x:c r="J628" t="n">
        <x:v>29900</x:v>
      </x:c>
      <x:c r="K628" t="str">
        <x:v>Tarjeta crédito</x:v>
      </x:c>
      <x:c r="L628" t="str">
        <x:v>Sin error</x:v>
      </x:c>
    </x:row>
    <x:row r="629">
      <x:c r="A629" t="str">
        <x:v>TXN-0000628</x:v>
      </x:c>
      <x:c r="B629" t="str">
        <x:v>2026-01</x:v>
      </x:c>
      <x:c r="C629" t="n">
        <x:v>46034</x:v>
      </x:c>
      <x:c r="D629" t="str">
        <x:v>USR-00279</x:v>
      </x:c>
      <x:c r="E629" t="str">
        <x:v>SUS-000543</x:v>
      </x:c>
      <x:c r="F629" t="str">
        <x:v>Plus mensual</x:v>
      </x:c>
      <x:c r="G629" t="str">
        <x:v>Mensual</x:v>
      </x:c>
      <x:c r="H629" t="n">
        <x:v>1</x:v>
      </x:c>
      <x:c r="I629" t="str">
        <x:v>Aprobado</x:v>
      </x:c>
      <x:c r="J629" t="n">
        <x:v>29900</x:v>
      </x:c>
      <x:c r="K629" t="str">
        <x:v>Tarjeta crédito</x:v>
      </x:c>
      <x:c r="L629" t="str">
        <x:v>Sin error</x:v>
      </x:c>
    </x:row>
    <x:row r="630">
      <x:c r="A630" t="str">
        <x:v>TXN-0000629</x:v>
      </x:c>
      <x:c r="B630" t="str">
        <x:v>2026-01</x:v>
      </x:c>
      <x:c r="C630" t="n">
        <x:v>46034</x:v>
      </x:c>
      <x:c r="D630" t="str">
        <x:v>USR-00286</x:v>
      </x:c>
      <x:c r="E630" t="str">
        <x:v>SUS-000368</x:v>
      </x:c>
      <x:c r="F630" t="str">
        <x:v>Plus mensual</x:v>
      </x:c>
      <x:c r="G630" t="str">
        <x:v>Mensual</x:v>
      </x:c>
      <x:c r="H630" t="n">
        <x:v>1</x:v>
      </x:c>
      <x:c r="I630" t="str">
        <x:v>Aprobado</x:v>
      </x:c>
      <x:c r="J630" t="n">
        <x:v>29900</x:v>
      </x:c>
      <x:c r="K630" t="str">
        <x:v>Tarjeta crédito</x:v>
      </x:c>
      <x:c r="L630" t="str">
        <x:v>Sin error</x:v>
      </x:c>
    </x:row>
    <x:row r="631">
      <x:c r="A631" t="str">
        <x:v>TXN-0000630</x:v>
      </x:c>
      <x:c r="B631" t="str">
        <x:v>2026-01</x:v>
      </x:c>
      <x:c r="C631" t="n">
        <x:v>46033</x:v>
      </x:c>
      <x:c r="D631" t="str">
        <x:v>USR-00294</x:v>
      </x:c>
      <x:c r="E631" t="str">
        <x:v>SUS-000631</x:v>
      </x:c>
      <x:c r="F631" t="str">
        <x:v>Plus mensual</x:v>
      </x:c>
      <x:c r="G631" t="str">
        <x:v>Mensual</x:v>
      </x:c>
      <x:c r="H631" t="n">
        <x:v>1</x:v>
      </x:c>
      <x:c r="I631" t="str">
        <x:v>Aprobado</x:v>
      </x:c>
      <x:c r="J631" t="n">
        <x:v>29900</x:v>
      </x:c>
      <x:c r="K631" t="str">
        <x:v>PSE</x:v>
      </x:c>
      <x:c r="L631" t="str">
        <x:v>Sin error</x:v>
      </x:c>
    </x:row>
    <x:row r="632">
      <x:c r="A632" t="str">
        <x:v>TXN-0000631</x:v>
      </x:c>
      <x:c r="B632" t="str">
        <x:v>2026-01</x:v>
      </x:c>
      <x:c r="C632" t="n">
        <x:v>46034</x:v>
      </x:c>
      <x:c r="D632" t="str">
        <x:v>USR-00296</x:v>
      </x:c>
      <x:c r="E632" t="str">
        <x:v>SUS-000632</x:v>
      </x:c>
      <x:c r="F632" t="str">
        <x:v>Plus mensual</x:v>
      </x:c>
      <x:c r="G632" t="str">
        <x:v>Mensual</x:v>
      </x:c>
      <x:c r="H632" t="n">
        <x:v>1</x:v>
      </x:c>
      <x:c r="I632" t="str">
        <x:v>Aprobado</x:v>
      </x:c>
      <x:c r="J632" t="n">
        <x:v>29900</x:v>
      </x:c>
      <x:c r="K632" t="str">
        <x:v>Tarjeta crédito</x:v>
      </x:c>
      <x:c r="L632" t="str">
        <x:v>Sin error</x:v>
      </x:c>
    </x:row>
    <x:row r="633">
      <x:c r="A633" t="str">
        <x:v>TXN-0000632</x:v>
      </x:c>
      <x:c r="B633" t="str">
        <x:v>2026-01</x:v>
      </x:c>
      <x:c r="C633" t="n">
        <x:v>46032</x:v>
      </x:c>
      <x:c r="D633" t="str">
        <x:v>USR-00300</x:v>
      </x:c>
      <x:c r="E633" t="str">
        <x:v>SUS-000633</x:v>
      </x:c>
      <x:c r="F633" t="str">
        <x:v>Plus mensual</x:v>
      </x:c>
      <x:c r="G633" t="str">
        <x:v>Mensual</x:v>
      </x:c>
      <x:c r="H633" t="n">
        <x:v>1</x:v>
      </x:c>
      <x:c r="I633" t="str">
        <x:v>Aprobado</x:v>
      </x:c>
      <x:c r="J633" t="n">
        <x:v>29900</x:v>
      </x:c>
      <x:c r="K633" t="str">
        <x:v>PSE</x:v>
      </x:c>
      <x:c r="L633" t="str">
        <x:v>Sin error</x:v>
      </x:c>
    </x:row>
    <x:row r="634">
      <x:c r="A634" t="str">
        <x:v>TXN-0000633</x:v>
      </x:c>
      <x:c r="B634" t="str">
        <x:v>2026-01</x:v>
      </x:c>
      <x:c r="C634" t="n">
        <x:v>46032</x:v>
      </x:c>
      <x:c r="D634" t="str">
        <x:v>USR-00312</x:v>
      </x:c>
      <x:c r="E634" t="str">
        <x:v>SUS-000634</x:v>
      </x:c>
      <x:c r="F634" t="str">
        <x:v>Plus mensual</x:v>
      </x:c>
      <x:c r="G634" t="str">
        <x:v>Mensual</x:v>
      </x:c>
      <x:c r="H634" t="n">
        <x:v>1</x:v>
      </x:c>
      <x:c r="I634" t="str">
        <x:v>Aprobado</x:v>
      </x:c>
      <x:c r="J634" t="n">
        <x:v>29900</x:v>
      </x:c>
      <x:c r="K634" t="str">
        <x:v>Tarjeta crédito</x:v>
      </x:c>
      <x:c r="L634" t="str">
        <x:v>Sin error</x:v>
      </x:c>
    </x:row>
    <x:row r="635">
      <x:c r="A635" t="str">
        <x:v>TXN-0000634</x:v>
      </x:c>
      <x:c r="B635" t="str">
        <x:v>2026-01</x:v>
      </x:c>
      <x:c r="C635" t="n">
        <x:v>46027</x:v>
      </x:c>
      <x:c r="D635" t="str">
        <x:v>USR-00313</x:v>
      </x:c>
      <x:c r="E635" t="str">
        <x:v>SUS-000635</x:v>
      </x:c>
      <x:c r="F635" t="str">
        <x:v>Plus mensual</x:v>
      </x:c>
      <x:c r="G635" t="str">
        <x:v>Mensual</x:v>
      </x:c>
      <x:c r="H635" t="n">
        <x:v>1</x:v>
      </x:c>
      <x:c r="I635" t="str">
        <x:v>Rechazado</x:v>
      </x:c>
      <x:c r="J635" t="n">
        <x:v>29900</x:v>
      </x:c>
      <x:c r="K635" t="str">
        <x:v>Tarjeta crédito</x:v>
      </x:c>
      <x:c r="L635" t="str">
        <x:v>Error temporal</x:v>
      </x:c>
    </x:row>
    <x:row r="636">
      <x:c r="A636" t="str">
        <x:v>TXN-0000635</x:v>
      </x:c>
      <x:c r="B636" t="str">
        <x:v>2026-01</x:v>
      </x:c>
      <x:c r="C636" t="n">
        <x:v>46032</x:v>
      </x:c>
      <x:c r="D636" t="str">
        <x:v>USR-00313</x:v>
      </x:c>
      <x:c r="E636" t="str">
        <x:v>SUS-000635</x:v>
      </x:c>
      <x:c r="F636" t="str">
        <x:v>Plus mensual</x:v>
      </x:c>
      <x:c r="G636" t="str">
        <x:v>Mensual</x:v>
      </x:c>
      <x:c r="H636" t="n">
        <x:v>2</x:v>
      </x:c>
      <x:c r="I636" t="str">
        <x:v>Aprobado</x:v>
      </x:c>
      <x:c r="J636" t="n">
        <x:v>29900</x:v>
      </x:c>
      <x:c r="K636" t="str">
        <x:v>PSE</x:v>
      </x:c>
      <x:c r="L636" t="str">
        <x:v>Sin error</x:v>
      </x:c>
    </x:row>
    <x:row r="637">
      <x:c r="A637" t="str">
        <x:v>TXN-0000636</x:v>
      </x:c>
      <x:c r="B637" t="str">
        <x:v>2026-01</x:v>
      </x:c>
      <x:c r="C637" t="n">
        <x:v>46030</x:v>
      </x:c>
      <x:c r="D637" t="str">
        <x:v>USR-00317</x:v>
      </x:c>
      <x:c r="E637" t="str">
        <x:v>SUS-000546</x:v>
      </x:c>
      <x:c r="F637" t="str">
        <x:v>Plus mensual</x:v>
      </x:c>
      <x:c r="G637" t="str">
        <x:v>Mensual</x:v>
      </x:c>
      <x:c r="H637" t="n">
        <x:v>1</x:v>
      </x:c>
      <x:c r="I637" t="str">
        <x:v>Aprobado</x:v>
      </x:c>
      <x:c r="J637" t="n">
        <x:v>29900</x:v>
      </x:c>
      <x:c r="K637" t="str">
        <x:v>Tarjeta débito</x:v>
      </x:c>
      <x:c r="L637" t="str">
        <x:v>Sin error</x:v>
      </x:c>
    </x:row>
    <x:row r="638">
      <x:c r="A638" t="str">
        <x:v>TXN-0000637</x:v>
      </x:c>
      <x:c r="B638" t="str">
        <x:v>2026-01</x:v>
      </x:c>
      <x:c r="C638" t="n">
        <x:v>46032</x:v>
      </x:c>
      <x:c r="D638" t="str">
        <x:v>USR-00320</x:v>
      </x:c>
      <x:c r="E638" t="str">
        <x:v>SUS-000419</x:v>
      </x:c>
      <x:c r="F638" t="str">
        <x:v>Plus mensual</x:v>
      </x:c>
      <x:c r="G638" t="str">
        <x:v>Mensual</x:v>
      </x:c>
      <x:c r="H638" t="n">
        <x:v>1</x:v>
      </x:c>
      <x:c r="I638" t="str">
        <x:v>Aprobado</x:v>
      </x:c>
      <x:c r="J638" t="n">
        <x:v>29900</x:v>
      </x:c>
      <x:c r="K638" t="str">
        <x:v>PSE</x:v>
      </x:c>
      <x:c r="L638" t="str">
        <x:v>Sin error</x:v>
      </x:c>
    </x:row>
    <x:row r="639">
      <x:c r="A639" t="str">
        <x:v>TXN-0000638</x:v>
      </x:c>
      <x:c r="B639" t="str">
        <x:v>2026-01</x:v>
      </x:c>
      <x:c r="C639" t="n">
        <x:v>46034</x:v>
      </x:c>
      <x:c r="D639" t="str">
        <x:v>USR-00321</x:v>
      </x:c>
      <x:c r="E639" t="str">
        <x:v>SUS-000636</x:v>
      </x:c>
      <x:c r="F639" t="str">
        <x:v>Plus anual</x:v>
      </x:c>
      <x:c r="G639" t="str">
        <x:v>Anual</x:v>
      </x:c>
      <x:c r="H639" t="n">
        <x:v>1</x:v>
      </x:c>
      <x:c r="I639" t="str">
        <x:v>Aprobado</x:v>
      </x:c>
      <x:c r="J639" t="n">
        <x:v>299000</x:v>
      </x:c>
      <x:c r="K639" t="str">
        <x:v>PSE</x:v>
      </x:c>
      <x:c r="L639" t="str">
        <x:v>Sin error</x:v>
      </x:c>
    </x:row>
    <x:row r="640">
      <x:c r="A640" t="str">
        <x:v>TXN-0000639</x:v>
      </x:c>
      <x:c r="B640" t="str">
        <x:v>2026-01</x:v>
      </x:c>
      <x:c r="C640" t="n">
        <x:v>46032</x:v>
      </x:c>
      <x:c r="D640" t="str">
        <x:v>USR-00322</x:v>
      </x:c>
      <x:c r="E640" t="str">
        <x:v>SUS-000637</x:v>
      </x:c>
      <x:c r="F640" t="str">
        <x:v>Plus anual</x:v>
      </x:c>
      <x:c r="G640" t="str">
        <x:v>Anual</x:v>
      </x:c>
      <x:c r="H640" t="n">
        <x:v>1</x:v>
      </x:c>
      <x:c r="I640" t="str">
        <x:v>Aprobado</x:v>
      </x:c>
      <x:c r="J640" t="n">
        <x:v>299000</x:v>
      </x:c>
      <x:c r="K640" t="str">
        <x:v>PSE</x:v>
      </x:c>
      <x:c r="L640" t="str">
        <x:v>Sin error</x:v>
      </x:c>
    </x:row>
    <x:row r="641">
      <x:c r="A641" t="str">
        <x:v>TXN-0000640</x:v>
      </x:c>
      <x:c r="B641" t="str">
        <x:v>2026-01</x:v>
      </x:c>
      <x:c r="C641" t="n">
        <x:v>46028</x:v>
      </x:c>
      <x:c r="D641" t="str">
        <x:v>USR-00325</x:v>
      </x:c>
      <x:c r="E641" t="str">
        <x:v>SUS-000424</x:v>
      </x:c>
      <x:c r="F641" t="str">
        <x:v>Plus mensual</x:v>
      </x:c>
      <x:c r="G641" t="str">
        <x:v>Mensual</x:v>
      </x:c>
      <x:c r="H641" t="n">
        <x:v>1</x:v>
      </x:c>
      <x:c r="I641" t="str">
        <x:v>Aprobado</x:v>
      </x:c>
      <x:c r="J641" t="n">
        <x:v>29900</x:v>
      </x:c>
      <x:c r="K641" t="str">
        <x:v>PSE</x:v>
      </x:c>
      <x:c r="L641" t="str">
        <x:v>Sin error</x:v>
      </x:c>
    </x:row>
    <x:row r="642">
      <x:c r="A642" t="str">
        <x:v>TXN-0000641</x:v>
      </x:c>
      <x:c r="B642" t="str">
        <x:v>2026-01</x:v>
      </x:c>
      <x:c r="C642" t="n">
        <x:v>46034</x:v>
      </x:c>
      <x:c r="D642" t="str">
        <x:v>USR-00329</x:v>
      </x:c>
      <x:c r="E642" t="str">
        <x:v>SUS-000428</x:v>
      </x:c>
      <x:c r="F642" t="str">
        <x:v>Plus mensual</x:v>
      </x:c>
      <x:c r="G642" t="str">
        <x:v>Mensual</x:v>
      </x:c>
      <x:c r="H642" t="n">
        <x:v>1</x:v>
      </x:c>
      <x:c r="I642" t="str">
        <x:v>Aprobado</x:v>
      </x:c>
      <x:c r="J642" t="n">
        <x:v>29900</x:v>
      </x:c>
      <x:c r="K642" t="str">
        <x:v>Tarjeta débito</x:v>
      </x:c>
      <x:c r="L642" t="str">
        <x:v>Sin error</x:v>
      </x:c>
    </x:row>
    <x:row r="643">
      <x:c r="A643" t="str">
        <x:v>TXN-0000642</x:v>
      </x:c>
      <x:c r="B643" t="str">
        <x:v>2026-01</x:v>
      </x:c>
      <x:c r="C643" t="n">
        <x:v>46033</x:v>
      </x:c>
      <x:c r="D643" t="str">
        <x:v>USR-00331</x:v>
      </x:c>
      <x:c r="E643" t="str">
        <x:v>SUS-000430</x:v>
      </x:c>
      <x:c r="F643" t="str">
        <x:v>Plus mensual</x:v>
      </x:c>
      <x:c r="G643" t="str">
        <x:v>Mensual</x:v>
      </x:c>
      <x:c r="H643" t="n">
        <x:v>1</x:v>
      </x:c>
      <x:c r="I643" t="str">
        <x:v>Aprobado</x:v>
      </x:c>
      <x:c r="J643" t="n">
        <x:v>29900</x:v>
      </x:c>
      <x:c r="K643" t="str">
        <x:v>Tarjeta crédito</x:v>
      </x:c>
      <x:c r="L643" t="str">
        <x:v>Sin error</x:v>
      </x:c>
    </x:row>
    <x:row r="644">
      <x:c r="A644" t="str">
        <x:v>TXN-0000643</x:v>
      </x:c>
      <x:c r="B644" t="str">
        <x:v>2026-01</x:v>
      </x:c>
      <x:c r="C644" t="n">
        <x:v>46028</x:v>
      </x:c>
      <x:c r="D644" t="str">
        <x:v>USR-00332</x:v>
      </x:c>
      <x:c r="E644" t="str">
        <x:v>SUS-000470</x:v>
      </x:c>
      <x:c r="F644" t="str">
        <x:v>Plus mensual</x:v>
      </x:c>
      <x:c r="G644" t="str">
        <x:v>Mensual</x:v>
      </x:c>
      <x:c r="H644" t="n">
        <x:v>1</x:v>
      </x:c>
      <x:c r="I644" t="str">
        <x:v>Aprobado</x:v>
      </x:c>
      <x:c r="J644" t="n">
        <x:v>29900</x:v>
      </x:c>
      <x:c r="K644" t="str">
        <x:v>Tarjeta crédito</x:v>
      </x:c>
      <x:c r="L644" t="str">
        <x:v>Sin error</x:v>
      </x:c>
    </x:row>
    <x:row r="645">
      <x:c r="A645" t="str">
        <x:v>TXN-0000644</x:v>
      </x:c>
      <x:c r="B645" t="str">
        <x:v>2026-01</x:v>
      </x:c>
      <x:c r="C645" t="n">
        <x:v>46032</x:v>
      </x:c>
      <x:c r="D645" t="str">
        <x:v>USR-00336</x:v>
      </x:c>
      <x:c r="E645" t="str">
        <x:v>SUS-000435</x:v>
      </x:c>
      <x:c r="F645" t="str">
        <x:v>Plus mensual</x:v>
      </x:c>
      <x:c r="G645" t="str">
        <x:v>Mensual</x:v>
      </x:c>
      <x:c r="H645" t="n">
        <x:v>1</x:v>
      </x:c>
      <x:c r="I645" t="str">
        <x:v>Aprobado</x:v>
      </x:c>
      <x:c r="J645" t="n">
        <x:v>29900</x:v>
      </x:c>
      <x:c r="K645" t="str">
        <x:v>Tarjeta débito</x:v>
      </x:c>
      <x:c r="L645" t="str">
        <x:v>Sin error</x:v>
      </x:c>
    </x:row>
    <x:row r="646">
      <x:c r="A646" t="str">
        <x:v>TXN-0000645</x:v>
      </x:c>
      <x:c r="B646" t="str">
        <x:v>2026-01</x:v>
      </x:c>
      <x:c r="C646" t="n">
        <x:v>46034</x:v>
      </x:c>
      <x:c r="D646" t="str">
        <x:v>USR-00344</x:v>
      </x:c>
      <x:c r="E646" t="str">
        <x:v>SUS-000443</x:v>
      </x:c>
      <x:c r="F646" t="str">
        <x:v>Plus mensual</x:v>
      </x:c>
      <x:c r="G646" t="str">
        <x:v>Mensual</x:v>
      </x:c>
      <x:c r="H646" t="n">
        <x:v>1</x:v>
      </x:c>
      <x:c r="I646" t="str">
        <x:v>Aprobado</x:v>
      </x:c>
      <x:c r="J646" t="n">
        <x:v>29900</x:v>
      </x:c>
      <x:c r="K646" t="str">
        <x:v>PSE</x:v>
      </x:c>
      <x:c r="L646" t="str">
        <x:v>Sin error</x:v>
      </x:c>
    </x:row>
    <x:row r="647">
      <x:c r="A647" t="str">
        <x:v>TXN-0000646</x:v>
      </x:c>
      <x:c r="B647" t="str">
        <x:v>2026-01</x:v>
      </x:c>
      <x:c r="C647" t="n">
        <x:v>46030</x:v>
      </x:c>
      <x:c r="D647" t="str">
        <x:v>USR-00346</x:v>
      </x:c>
      <x:c r="E647" t="str">
        <x:v>SUS-000471</x:v>
      </x:c>
      <x:c r="F647" t="str">
        <x:v>Plus mensual</x:v>
      </x:c>
      <x:c r="G647" t="str">
        <x:v>Mensual</x:v>
      </x:c>
      <x:c r="H647" t="n">
        <x:v>1</x:v>
      </x:c>
      <x:c r="I647" t="str">
        <x:v>Aprobado</x:v>
      </x:c>
      <x:c r="J647" t="n">
        <x:v>29900</x:v>
      </x:c>
      <x:c r="K647" t="str">
        <x:v>PSE</x:v>
      </x:c>
      <x:c r="L647" t="str">
        <x:v>Sin error</x:v>
      </x:c>
    </x:row>
    <x:row r="648">
      <x:c r="A648" t="str">
        <x:v>TXN-0000647</x:v>
      </x:c>
      <x:c r="B648" t="str">
        <x:v>2026-01</x:v>
      </x:c>
      <x:c r="C648" t="n">
        <x:v>46032</x:v>
      </x:c>
      <x:c r="D648" t="str">
        <x:v>USR-00354</x:v>
      </x:c>
      <x:c r="E648" t="str">
        <x:v>SUS-000453</x:v>
      </x:c>
      <x:c r="F648" t="str">
        <x:v>Plus mensual</x:v>
      </x:c>
      <x:c r="G648" t="str">
        <x:v>Mensual</x:v>
      </x:c>
      <x:c r="H648" t="n">
        <x:v>1</x:v>
      </x:c>
      <x:c r="I648" t="str">
        <x:v>Aprobado</x:v>
      </x:c>
      <x:c r="J648" t="n">
        <x:v>29900</x:v>
      </x:c>
      <x:c r="K648" t="str">
        <x:v>Tarjeta débito</x:v>
      </x:c>
      <x:c r="L648" t="str">
        <x:v>Sin error</x:v>
      </x:c>
    </x:row>
    <x:row r="649">
      <x:c r="A649" t="str">
        <x:v>TXN-0000648</x:v>
      </x:c>
      <x:c r="B649" t="str">
        <x:v>2026-01</x:v>
      </x:c>
      <x:c r="C649" t="n">
        <x:v>46033</x:v>
      </x:c>
      <x:c r="D649" t="str">
        <x:v>USR-00360</x:v>
      </x:c>
      <x:c r="E649" t="str">
        <x:v>SUS-000638</x:v>
      </x:c>
      <x:c r="F649" t="str">
        <x:v>Plus mensual</x:v>
      </x:c>
      <x:c r="G649" t="str">
        <x:v>Mensual</x:v>
      </x:c>
      <x:c r="H649" t="n">
        <x:v>1</x:v>
      </x:c>
      <x:c r="I649" t="str">
        <x:v>Aprobado</x:v>
      </x:c>
      <x:c r="J649" t="n">
        <x:v>29900</x:v>
      </x:c>
      <x:c r="K649" t="str">
        <x:v>Tarjeta crédito</x:v>
      </x:c>
      <x:c r="L649" t="str">
        <x:v>Sin error</x:v>
      </x:c>
    </x:row>
    <x:row r="650">
      <x:c r="A650" t="str">
        <x:v>TXN-0000649</x:v>
      </x:c>
      <x:c r="B650" t="str">
        <x:v>2026-01</x:v>
      </x:c>
      <x:c r="C650" t="n">
        <x:v>46032</x:v>
      </x:c>
      <x:c r="D650" t="str">
        <x:v>USR-00377</x:v>
      </x:c>
      <x:c r="E650" t="str">
        <x:v>SUS-000492</x:v>
      </x:c>
      <x:c r="F650" t="str">
        <x:v>Plus mensual</x:v>
      </x:c>
      <x:c r="G650" t="str">
        <x:v>Mensual</x:v>
      </x:c>
      <x:c r="H650" t="n">
        <x:v>1</x:v>
      </x:c>
      <x:c r="I650" t="str">
        <x:v>Aprobado</x:v>
      </x:c>
      <x:c r="J650" t="n">
        <x:v>29900</x:v>
      </x:c>
      <x:c r="K650" t="str">
        <x:v>PSE</x:v>
      </x:c>
      <x:c r="L650" t="str">
        <x:v>Sin error</x:v>
      </x:c>
    </x:row>
    <x:row r="651">
      <x:c r="A651" t="str">
        <x:v>TXN-0000650</x:v>
      </x:c>
      <x:c r="B651" t="str">
        <x:v>2026-01</x:v>
      </x:c>
      <x:c r="C651" t="n">
        <x:v>46032</x:v>
      </x:c>
      <x:c r="D651" t="str">
        <x:v>USR-00380</x:v>
      </x:c>
      <x:c r="E651" t="str">
        <x:v>SUS-000495</x:v>
      </x:c>
      <x:c r="F651" t="str">
        <x:v>Plus mensual</x:v>
      </x:c>
      <x:c r="G651" t="str">
        <x:v>Mensual</x:v>
      </x:c>
      <x:c r="H651" t="n">
        <x:v>1</x:v>
      </x:c>
      <x:c r="I651" t="str">
        <x:v>Aprobado</x:v>
      </x:c>
      <x:c r="J651" t="n">
        <x:v>29900</x:v>
      </x:c>
      <x:c r="K651" t="str">
        <x:v>Tarjeta débito</x:v>
      </x:c>
      <x:c r="L651" t="str">
        <x:v>Sin error</x:v>
      </x:c>
    </x:row>
    <x:row r="652">
      <x:c r="A652" t="str">
        <x:v>TXN-0000651</x:v>
      </x:c>
      <x:c r="B652" t="str">
        <x:v>2026-01</x:v>
      </x:c>
      <x:c r="C652" t="n">
        <x:v>46031</x:v>
      </x:c>
      <x:c r="D652" t="str">
        <x:v>USR-00383</x:v>
      </x:c>
      <x:c r="E652" t="str">
        <x:v>SUS-000639</x:v>
      </x:c>
      <x:c r="F652" t="str">
        <x:v>Plus anual</x:v>
      </x:c>
      <x:c r="G652" t="str">
        <x:v>Anual</x:v>
      </x:c>
      <x:c r="H652" t="n">
        <x:v>1</x:v>
      </x:c>
      <x:c r="I652" t="str">
        <x:v>Aprobado</x:v>
      </x:c>
      <x:c r="J652" t="n">
        <x:v>299000</x:v>
      </x:c>
      <x:c r="K652" t="str">
        <x:v>Tarjeta débito</x:v>
      </x:c>
      <x:c r="L652" t="str">
        <x:v>Sin error</x:v>
      </x:c>
    </x:row>
    <x:row r="653">
      <x:c r="A653" t="str">
        <x:v>TXN-0000652</x:v>
      </x:c>
      <x:c r="B653" t="str">
        <x:v>2026-01</x:v>
      </x:c>
      <x:c r="C653" t="n">
        <x:v>46027</x:v>
      </x:c>
      <x:c r="D653" t="str">
        <x:v>USR-00386</x:v>
      </x:c>
      <x:c r="E653" t="str">
        <x:v>SUS-000640</x:v>
      </x:c>
      <x:c r="F653" t="str">
        <x:v>Plus mensual</x:v>
      </x:c>
      <x:c r="G653" t="str">
        <x:v>Mensual</x:v>
      </x:c>
      <x:c r="H653" t="n">
        <x:v>1</x:v>
      </x:c>
      <x:c r="I653" t="str">
        <x:v>Rechazado</x:v>
      </x:c>
      <x:c r="J653" t="n">
        <x:v>29900</x:v>
      </x:c>
      <x:c r="K653" t="str">
        <x:v>PSE</x:v>
      </x:c>
      <x:c r="L653" t="str">
        <x:v>Error temporal</x:v>
      </x:c>
    </x:row>
    <x:row r="654">
      <x:c r="A654" t="str">
        <x:v>TXN-0000653</x:v>
      </x:c>
      <x:c r="B654" t="str">
        <x:v>2026-01</x:v>
      </x:c>
      <x:c r="C654" t="n">
        <x:v>46031</x:v>
      </x:c>
      <x:c r="D654" t="str">
        <x:v>USR-00386</x:v>
      </x:c>
      <x:c r="E654" t="str">
        <x:v>SUS-000640</x:v>
      </x:c>
      <x:c r="F654" t="str">
        <x:v>Plus mensual</x:v>
      </x:c>
      <x:c r="G654" t="str">
        <x:v>Mensual</x:v>
      </x:c>
      <x:c r="H654" t="n">
        <x:v>2</x:v>
      </x:c>
      <x:c r="I654" t="str">
        <x:v>Aprobado</x:v>
      </x:c>
      <x:c r="J654" t="n">
        <x:v>29900</x:v>
      </x:c>
      <x:c r="K654" t="str">
        <x:v>Tarjeta crédito</x:v>
      </x:c>
      <x:c r="L654" t="str">
        <x:v>Sin error</x:v>
      </x:c>
    </x:row>
    <x:row r="655">
      <x:c r="A655" t="str">
        <x:v>TXN-0000654</x:v>
      </x:c>
      <x:c r="B655" t="str">
        <x:v>2026-01</x:v>
      </x:c>
      <x:c r="C655" t="n">
        <x:v>46033</x:v>
      </x:c>
      <x:c r="D655" t="str">
        <x:v>USR-00387</x:v>
      </x:c>
      <x:c r="E655" t="str">
        <x:v>SUS-000502</x:v>
      </x:c>
      <x:c r="F655" t="str">
        <x:v>Plus mensual</x:v>
      </x:c>
      <x:c r="G655" t="str">
        <x:v>Mensual</x:v>
      </x:c>
      <x:c r="H655" t="n">
        <x:v>1</x:v>
      </x:c>
      <x:c r="I655" t="str">
        <x:v>Aprobado</x:v>
      </x:c>
      <x:c r="J655" t="n">
        <x:v>29900</x:v>
      </x:c>
      <x:c r="K655" t="str">
        <x:v>PSE</x:v>
      </x:c>
      <x:c r="L655" t="str">
        <x:v>Sin error</x:v>
      </x:c>
    </x:row>
    <x:row r="656">
      <x:c r="A656" t="str">
        <x:v>TXN-0000655</x:v>
      </x:c>
      <x:c r="B656" t="str">
        <x:v>2026-01</x:v>
      </x:c>
      <x:c r="C656" t="n">
        <x:v>46034</x:v>
      </x:c>
      <x:c r="D656" t="str">
        <x:v>USR-00389</x:v>
      </x:c>
      <x:c r="E656" t="str">
        <x:v>SUS-000641</x:v>
      </x:c>
      <x:c r="F656" t="str">
        <x:v>Plus mensual</x:v>
      </x:c>
      <x:c r="G656" t="str">
        <x:v>Mensual</x:v>
      </x:c>
      <x:c r="H656" t="n">
        <x:v>1</x:v>
      </x:c>
      <x:c r="I656" t="str">
        <x:v>Aprobado</x:v>
      </x:c>
      <x:c r="J656" t="n">
        <x:v>29900</x:v>
      </x:c>
      <x:c r="K656" t="str">
        <x:v>Tarjeta débito</x:v>
      </x:c>
      <x:c r="L656" t="str">
        <x:v>Sin error</x:v>
      </x:c>
    </x:row>
    <x:row r="657">
      <x:c r="A657" t="str">
        <x:v>TXN-0000656</x:v>
      </x:c>
      <x:c r="B657" t="str">
        <x:v>2026-01</x:v>
      </x:c>
      <x:c r="C657" t="n">
        <x:v>46027</x:v>
      </x:c>
      <x:c r="D657" t="str">
        <x:v>USR-00391</x:v>
      </x:c>
      <x:c r="E657" t="str">
        <x:v>SUS-000506</x:v>
      </x:c>
      <x:c r="F657" t="str">
        <x:v>Plus mensual</x:v>
      </x:c>
      <x:c r="G657" t="str">
        <x:v>Mensual</x:v>
      </x:c>
      <x:c r="H657" t="n">
        <x:v>1</x:v>
      </x:c>
      <x:c r="I657" t="str">
        <x:v>Aprobado</x:v>
      </x:c>
      <x:c r="J657" t="n">
        <x:v>29900</x:v>
      </x:c>
      <x:c r="K657" t="str">
        <x:v>Tarjeta débito</x:v>
      </x:c>
      <x:c r="L657" t="str">
        <x:v>Sin error</x:v>
      </x:c>
    </x:row>
    <x:row r="658">
      <x:c r="A658" t="str">
        <x:v>TXN-0000657</x:v>
      </x:c>
      <x:c r="B658" t="str">
        <x:v>2026-01</x:v>
      </x:c>
      <x:c r="C658" t="n">
        <x:v>46027</x:v>
      </x:c>
      <x:c r="D658" t="str">
        <x:v>USR-00395</x:v>
      </x:c>
      <x:c r="E658" t="str">
        <x:v>SUS-000642</x:v>
      </x:c>
      <x:c r="F658" t="str">
        <x:v>Plus mensual</x:v>
      </x:c>
      <x:c r="G658" t="str">
        <x:v>Mensual</x:v>
      </x:c>
      <x:c r="H658" t="n">
        <x:v>1</x:v>
      </x:c>
      <x:c r="I658" t="str">
        <x:v>Aprobado</x:v>
      </x:c>
      <x:c r="J658" t="n">
        <x:v>29900</x:v>
      </x:c>
      <x:c r="K658" t="str">
        <x:v>PSE</x:v>
      </x:c>
      <x:c r="L658" t="str">
        <x:v>Sin error</x:v>
      </x:c>
    </x:row>
    <x:row r="659">
      <x:c r="A659" t="str">
        <x:v>TXN-0000658</x:v>
      </x:c>
      <x:c r="B659" t="str">
        <x:v>2026-01</x:v>
      </x:c>
      <x:c r="C659" t="n">
        <x:v>46034</x:v>
      </x:c>
      <x:c r="D659" t="str">
        <x:v>USR-00396</x:v>
      </x:c>
      <x:c r="E659" t="str">
        <x:v>SUS-000511</x:v>
      </x:c>
      <x:c r="F659" t="str">
        <x:v>Plus mensual</x:v>
      </x:c>
      <x:c r="G659" t="str">
        <x:v>Mensual</x:v>
      </x:c>
      <x:c r="H659" t="n">
        <x:v>1</x:v>
      </x:c>
      <x:c r="I659" t="str">
        <x:v>Aprobado</x:v>
      </x:c>
      <x:c r="J659" t="n">
        <x:v>29900</x:v>
      </x:c>
      <x:c r="K659" t="str">
        <x:v>Tarjeta débito</x:v>
      </x:c>
      <x:c r="L659" t="str">
        <x:v>Sin error</x:v>
      </x:c>
    </x:row>
    <x:row r="660">
      <x:c r="A660" t="str">
        <x:v>TXN-0000659</x:v>
      </x:c>
      <x:c r="B660" t="str">
        <x:v>2026-01</x:v>
      </x:c>
      <x:c r="C660" t="n">
        <x:v>46034</x:v>
      </x:c>
      <x:c r="D660" t="str">
        <x:v>USR-00406</x:v>
      </x:c>
      <x:c r="E660" t="str">
        <x:v>SUS-000548</x:v>
      </x:c>
      <x:c r="F660" t="str">
        <x:v>Plus mensual</x:v>
      </x:c>
      <x:c r="G660" t="str">
        <x:v>Mensual</x:v>
      </x:c>
      <x:c r="H660" t="n">
        <x:v>1</x:v>
      </x:c>
      <x:c r="I660" t="str">
        <x:v>Rechazado</x:v>
      </x:c>
      <x:c r="J660" t="n">
        <x:v>29900</x:v>
      </x:c>
      <x:c r="K660" t="str">
        <x:v>PSE</x:v>
      </x:c>
      <x:c r="L660" t="str">
        <x:v>Error temporal</x:v>
      </x:c>
    </x:row>
    <x:row r="661">
      <x:c r="A661" t="str">
        <x:v>TXN-0000660</x:v>
      </x:c>
      <x:c r="B661" t="str">
        <x:v>2026-01</x:v>
      </x:c>
      <x:c r="C661" t="n">
        <x:v>46030</x:v>
      </x:c>
      <x:c r="D661" t="str">
        <x:v>USR-00406</x:v>
      </x:c>
      <x:c r="E661" t="str">
        <x:v>SUS-000548</x:v>
      </x:c>
      <x:c r="F661" t="str">
        <x:v>Plus mensual</x:v>
      </x:c>
      <x:c r="G661" t="str">
        <x:v>Mensual</x:v>
      </x:c>
      <x:c r="H661" t="n">
        <x:v>2</x:v>
      </x:c>
      <x:c r="I661" t="str">
        <x:v>Aprobado</x:v>
      </x:c>
      <x:c r="J661" t="n">
        <x:v>29900</x:v>
      </x:c>
      <x:c r="K661" t="str">
        <x:v>Tarjeta crédito</x:v>
      </x:c>
      <x:c r="L661" t="str">
        <x:v>Sin error</x:v>
      </x:c>
    </x:row>
    <x:row r="662">
      <x:c r="A662" t="str">
        <x:v>TXN-0000661</x:v>
      </x:c>
      <x:c r="B662" t="str">
        <x:v>2026-01</x:v>
      </x:c>
      <x:c r="C662" t="n">
        <x:v>46027</x:v>
      </x:c>
      <x:c r="D662" t="str">
        <x:v>USR-00414</x:v>
      </x:c>
      <x:c r="E662" t="str">
        <x:v>SUS-000556</x:v>
      </x:c>
      <x:c r="F662" t="str">
        <x:v>Plus mensual</x:v>
      </x:c>
      <x:c r="G662" t="str">
        <x:v>Mensual</x:v>
      </x:c>
      <x:c r="H662" t="n">
        <x:v>1</x:v>
      </x:c>
      <x:c r="I662" t="str">
        <x:v>Aprobado</x:v>
      </x:c>
      <x:c r="J662" t="n">
        <x:v>29900</x:v>
      </x:c>
      <x:c r="K662" t="str">
        <x:v>PSE</x:v>
      </x:c>
      <x:c r="L662" t="str">
        <x:v>Sin error</x:v>
      </x:c>
    </x:row>
    <x:row r="663">
      <x:c r="A663" t="str">
        <x:v>TXN-0000662</x:v>
      </x:c>
      <x:c r="B663" t="str">
        <x:v>2026-01</x:v>
      </x:c>
      <x:c r="C663" t="n">
        <x:v>46029</x:v>
      </x:c>
      <x:c r="D663" t="str">
        <x:v>USR-00417</x:v>
      </x:c>
      <x:c r="E663" t="str">
        <x:v>SUS-000643</x:v>
      </x:c>
      <x:c r="F663" t="str">
        <x:v>Plus mensual</x:v>
      </x:c>
      <x:c r="G663" t="str">
        <x:v>Mensual</x:v>
      </x:c>
      <x:c r="H663" t="n">
        <x:v>1</x:v>
      </x:c>
      <x:c r="I663" t="str">
        <x:v>Aprobado</x:v>
      </x:c>
      <x:c r="J663" t="n">
        <x:v>29900</x:v>
      </x:c>
      <x:c r="K663" t="str">
        <x:v>Tarjeta crédito</x:v>
      </x:c>
      <x:c r="L663" t="str">
        <x:v>Sin error</x:v>
      </x:c>
    </x:row>
    <x:row r="664">
      <x:c r="A664" t="str">
        <x:v>TXN-0000663</x:v>
      </x:c>
      <x:c r="B664" t="str">
        <x:v>2026-01</x:v>
      </x:c>
      <x:c r="C664" t="n">
        <x:v>46028</x:v>
      </x:c>
      <x:c r="D664" t="str">
        <x:v>USR-00420</x:v>
      </x:c>
      <x:c r="E664" t="str">
        <x:v>SUS-000562</x:v>
      </x:c>
      <x:c r="F664" t="str">
        <x:v>Plus mensual</x:v>
      </x:c>
      <x:c r="G664" t="str">
        <x:v>Mensual</x:v>
      </x:c>
      <x:c r="H664" t="n">
        <x:v>1</x:v>
      </x:c>
      <x:c r="I664" t="str">
        <x:v>Aprobado</x:v>
      </x:c>
      <x:c r="J664" t="n">
        <x:v>29900</x:v>
      </x:c>
      <x:c r="K664" t="str">
        <x:v>Tarjeta débito</x:v>
      </x:c>
      <x:c r="L664" t="str">
        <x:v>Sin error</x:v>
      </x:c>
    </x:row>
    <x:row r="665">
      <x:c r="A665" t="str">
        <x:v>TXN-0000664</x:v>
      </x:c>
      <x:c r="B665" t="str">
        <x:v>2026-01</x:v>
      </x:c>
      <x:c r="C665" t="n">
        <x:v>46033</x:v>
      </x:c>
      <x:c r="D665" t="str">
        <x:v>USR-00422</x:v>
      </x:c>
      <x:c r="E665" t="str">
        <x:v>SUS-000564</x:v>
      </x:c>
      <x:c r="F665" t="str">
        <x:v>Plus mensual</x:v>
      </x:c>
      <x:c r="G665" t="str">
        <x:v>Mensual</x:v>
      </x:c>
      <x:c r="H665" t="n">
        <x:v>1</x:v>
      </x:c>
      <x:c r="I665" t="str">
        <x:v>Aprobado</x:v>
      </x:c>
      <x:c r="J665" t="n">
        <x:v>29900</x:v>
      </x:c>
      <x:c r="K665" t="str">
        <x:v>Tarjeta crédito</x:v>
      </x:c>
      <x:c r="L665" t="str">
        <x:v>Sin error</x:v>
      </x:c>
    </x:row>
    <x:row r="666">
      <x:c r="A666" t="str">
        <x:v>TXN-0000665</x:v>
      </x:c>
      <x:c r="B666" t="str">
        <x:v>2026-01</x:v>
      </x:c>
      <x:c r="C666" t="n">
        <x:v>46030</x:v>
      </x:c>
      <x:c r="D666" t="str">
        <x:v>USR-00423</x:v>
      </x:c>
      <x:c r="E666" t="str">
        <x:v>SUS-000565</x:v>
      </x:c>
      <x:c r="F666" t="str">
        <x:v>Plus mensual</x:v>
      </x:c>
      <x:c r="G666" t="str">
        <x:v>Mensual</x:v>
      </x:c>
      <x:c r="H666" t="n">
        <x:v>1</x:v>
      </x:c>
      <x:c r="I666" t="str">
        <x:v>Aprobado</x:v>
      </x:c>
      <x:c r="J666" t="n">
        <x:v>29900</x:v>
      </x:c>
      <x:c r="K666" t="str">
        <x:v>PSE</x:v>
      </x:c>
      <x:c r="L666" t="str">
        <x:v>Sin error</x:v>
      </x:c>
    </x:row>
    <x:row r="667">
      <x:c r="A667" t="str">
        <x:v>TXN-0000666</x:v>
      </x:c>
      <x:c r="B667" t="str">
        <x:v>2026-01</x:v>
      </x:c>
      <x:c r="C667" t="n">
        <x:v>46031</x:v>
      </x:c>
      <x:c r="D667" t="str">
        <x:v>USR-00426</x:v>
      </x:c>
      <x:c r="E667" t="str">
        <x:v>SUS-000568</x:v>
      </x:c>
      <x:c r="F667" t="str">
        <x:v>Plus mensual</x:v>
      </x:c>
      <x:c r="G667" t="str">
        <x:v>Mensual</x:v>
      </x:c>
      <x:c r="H667" t="n">
        <x:v>1</x:v>
      </x:c>
      <x:c r="I667" t="str">
        <x:v>Aprobado</x:v>
      </x:c>
      <x:c r="J667" t="n">
        <x:v>29900</x:v>
      </x:c>
      <x:c r="K667" t="str">
        <x:v>Tarjeta crédito</x:v>
      </x:c>
      <x:c r="L667" t="str">
        <x:v>Sin error</x:v>
      </x:c>
    </x:row>
    <x:row r="668">
      <x:c r="A668" t="str">
        <x:v>TXN-0000667</x:v>
      </x:c>
      <x:c r="B668" t="str">
        <x:v>2026-01</x:v>
      </x:c>
      <x:c r="C668" t="n">
        <x:v>46030</x:v>
      </x:c>
      <x:c r="D668" t="str">
        <x:v>USR-00430</x:v>
      </x:c>
      <x:c r="E668" t="str">
        <x:v>SUS-000644</x:v>
      </x:c>
      <x:c r="F668" t="str">
        <x:v>Plus anual</x:v>
      </x:c>
      <x:c r="G668" t="str">
        <x:v>Anual</x:v>
      </x:c>
      <x:c r="H668" t="n">
        <x:v>1</x:v>
      </x:c>
      <x:c r="I668" t="str">
        <x:v>Aprobado</x:v>
      </x:c>
      <x:c r="J668" t="n">
        <x:v>299000</x:v>
      </x:c>
      <x:c r="K668" t="str">
        <x:v>Tarjeta crédito</x:v>
      </x:c>
      <x:c r="L668" t="str">
        <x:v>Sin error</x:v>
      </x:c>
    </x:row>
    <x:row r="669">
      <x:c r="A669" t="str">
        <x:v>TXN-0000668</x:v>
      </x:c>
      <x:c r="B669" t="str">
        <x:v>2026-01</x:v>
      </x:c>
      <x:c r="C669" t="n">
        <x:v>46034</x:v>
      </x:c>
      <x:c r="D669" t="str">
        <x:v>USR-00434</x:v>
      </x:c>
      <x:c r="E669" t="str">
        <x:v>SUS-000576</x:v>
      </x:c>
      <x:c r="F669" t="str">
        <x:v>Plus mensual</x:v>
      </x:c>
      <x:c r="G669" t="str">
        <x:v>Mensual</x:v>
      </x:c>
      <x:c r="H669" t="n">
        <x:v>1</x:v>
      </x:c>
      <x:c r="I669" t="str">
        <x:v>Aprobado</x:v>
      </x:c>
      <x:c r="J669" t="n">
        <x:v>29900</x:v>
      </x:c>
      <x:c r="K669" t="str">
        <x:v>Tarjeta crédito</x:v>
      </x:c>
      <x:c r="L669" t="str">
        <x:v>Sin error</x:v>
      </x:c>
    </x:row>
    <x:row r="670">
      <x:c r="A670" t="str">
        <x:v>TXN-0000669</x:v>
      </x:c>
      <x:c r="B670" t="str">
        <x:v>2026-01</x:v>
      </x:c>
      <x:c r="C670" t="n">
        <x:v>46029</x:v>
      </x:c>
      <x:c r="D670" t="str">
        <x:v>USR-00435</x:v>
      </x:c>
      <x:c r="E670" t="str">
        <x:v>SUS-000577</x:v>
      </x:c>
      <x:c r="F670" t="str">
        <x:v>Plus mensual</x:v>
      </x:c>
      <x:c r="G670" t="str">
        <x:v>Mensual</x:v>
      </x:c>
      <x:c r="H670" t="n">
        <x:v>1</x:v>
      </x:c>
      <x:c r="I670" t="str">
        <x:v>Aprobado</x:v>
      </x:c>
      <x:c r="J670" t="n">
        <x:v>29900</x:v>
      </x:c>
      <x:c r="K670" t="str">
        <x:v>PSE</x:v>
      </x:c>
      <x:c r="L670" t="str">
        <x:v>Sin error</x:v>
      </x:c>
    </x:row>
    <x:row r="671">
      <x:c r="A671" t="str">
        <x:v>TXN-0000670</x:v>
      </x:c>
      <x:c r="B671" t="str">
        <x:v>2026-01</x:v>
      </x:c>
      <x:c r="C671" t="n">
        <x:v>46033</x:v>
      </x:c>
      <x:c r="D671" t="str">
        <x:v>USR-00446</x:v>
      </x:c>
      <x:c r="E671" t="str">
        <x:v>SUS-000588</x:v>
      </x:c>
      <x:c r="F671" t="str">
        <x:v>Plus mensual</x:v>
      </x:c>
      <x:c r="G671" t="str">
        <x:v>Mensual</x:v>
      </x:c>
      <x:c r="H671" t="n">
        <x:v>1</x:v>
      </x:c>
      <x:c r="I671" t="str">
        <x:v>Aprobado</x:v>
      </x:c>
      <x:c r="J671" t="n">
        <x:v>29900</x:v>
      </x:c>
      <x:c r="K671" t="str">
        <x:v>Tarjeta débito</x:v>
      </x:c>
      <x:c r="L671" t="str">
        <x:v>Sin error</x:v>
      </x:c>
    </x:row>
    <x:row r="672">
      <x:c r="A672" t="str">
        <x:v>TXN-0000671</x:v>
      </x:c>
      <x:c r="B672" t="str">
        <x:v>2026-01</x:v>
      </x:c>
      <x:c r="C672" t="n">
        <x:v>46030</x:v>
      </x:c>
      <x:c r="D672" t="str">
        <x:v>USR-00447</x:v>
      </x:c>
      <x:c r="E672" t="str">
        <x:v>SUS-000589</x:v>
      </x:c>
      <x:c r="F672" t="str">
        <x:v>Plus mensual</x:v>
      </x:c>
      <x:c r="G672" t="str">
        <x:v>Mensual</x:v>
      </x:c>
      <x:c r="H672" t="n">
        <x:v>1</x:v>
      </x:c>
      <x:c r="I672" t="str">
        <x:v>Aprobado</x:v>
      </x:c>
      <x:c r="J672" t="n">
        <x:v>29900</x:v>
      </x:c>
      <x:c r="K672" t="str">
        <x:v>Tarjeta crédito</x:v>
      </x:c>
      <x:c r="L672" t="str">
        <x:v>Sin error</x:v>
      </x:c>
    </x:row>
    <x:row r="673">
      <x:c r="A673" t="str">
        <x:v>TXN-0000672</x:v>
      </x:c>
      <x:c r="B673" t="str">
        <x:v>2026-01</x:v>
      </x:c>
      <x:c r="C673" t="n">
        <x:v>46031</x:v>
      </x:c>
      <x:c r="D673" t="str">
        <x:v>USR-00448</x:v>
      </x:c>
      <x:c r="E673" t="str">
        <x:v>SUS-000645</x:v>
      </x:c>
      <x:c r="F673" t="str">
        <x:v>Plus mensual</x:v>
      </x:c>
      <x:c r="G673" t="str">
        <x:v>Mensual</x:v>
      </x:c>
      <x:c r="H673" t="n">
        <x:v>1</x:v>
      </x:c>
      <x:c r="I673" t="str">
        <x:v>Aprobado</x:v>
      </x:c>
      <x:c r="J673" t="n">
        <x:v>29900</x:v>
      </x:c>
      <x:c r="K673" t="str">
        <x:v>Tarjeta débito</x:v>
      </x:c>
      <x:c r="L673" t="str">
        <x:v>Sin error</x:v>
      </x:c>
    </x:row>
    <x:row r="674">
      <x:c r="A674" t="str">
        <x:v>TXN-0000673</x:v>
      </x:c>
      <x:c r="B674" t="str">
        <x:v>2026-01</x:v>
      </x:c>
      <x:c r="C674" t="n">
        <x:v>46034</x:v>
      </x:c>
      <x:c r="D674" t="str">
        <x:v>USR-00455</x:v>
      </x:c>
      <x:c r="E674" t="str">
        <x:v>SUS-000646</x:v>
      </x:c>
      <x:c r="F674" t="str">
        <x:v>Plus mensual</x:v>
      </x:c>
      <x:c r="G674" t="str">
        <x:v>Mensual</x:v>
      </x:c>
      <x:c r="H674" t="n">
        <x:v>1</x:v>
      </x:c>
      <x:c r="I674" t="str">
        <x:v>Rechazado</x:v>
      </x:c>
      <x:c r="J674" t="n">
        <x:v>29900</x:v>
      </x:c>
      <x:c r="K674" t="str">
        <x:v>PSE</x:v>
      </x:c>
      <x:c r="L674" t="str">
        <x:v>Fondos insuficientes</x:v>
      </x:c>
    </x:row>
    <x:row r="675">
      <x:c r="A675" t="str">
        <x:v>TXN-0000674</x:v>
      </x:c>
      <x:c r="B675" t="str">
        <x:v>2026-01</x:v>
      </x:c>
      <x:c r="C675" t="n">
        <x:v>46027</x:v>
      </x:c>
      <x:c r="D675" t="str">
        <x:v>USR-00455</x:v>
      </x:c>
      <x:c r="E675" t="str">
        <x:v>SUS-000646</x:v>
      </x:c>
      <x:c r="F675" t="str">
        <x:v>Plus mensual</x:v>
      </x:c>
      <x:c r="G675" t="str">
        <x:v>Mensual</x:v>
      </x:c>
      <x:c r="H675" t="n">
        <x:v>2</x:v>
      </x:c>
      <x:c r="I675" t="str">
        <x:v>Aprobado</x:v>
      </x:c>
      <x:c r="J675" t="n">
        <x:v>29900</x:v>
      </x:c>
      <x:c r="K675" t="str">
        <x:v>PSE</x:v>
      </x:c>
      <x:c r="L675" t="str">
        <x:v>Sin error</x:v>
      </x:c>
    </x:row>
    <x:row r="676">
      <x:c r="A676" t="str">
        <x:v>TXN-0000675</x:v>
      </x:c>
      <x:c r="B676" t="str">
        <x:v>2026-01</x:v>
      </x:c>
      <x:c r="C676" t="n">
        <x:v>46031</x:v>
      </x:c>
      <x:c r="D676" t="str">
        <x:v>USR-00456</x:v>
      </x:c>
      <x:c r="E676" t="str">
        <x:v>SUS-000598</x:v>
      </x:c>
      <x:c r="F676" t="str">
        <x:v>Plus mensual</x:v>
      </x:c>
      <x:c r="G676" t="str">
        <x:v>Mensual</x:v>
      </x:c>
      <x:c r="H676" t="n">
        <x:v>1</x:v>
      </x:c>
      <x:c r="I676" t="str">
        <x:v>Aprobado</x:v>
      </x:c>
      <x:c r="J676" t="n">
        <x:v>29900</x:v>
      </x:c>
      <x:c r="K676" t="str">
        <x:v>PSE</x:v>
      </x:c>
      <x:c r="L676" t="str">
        <x:v>Sin error</x:v>
      </x:c>
    </x:row>
    <x:row r="677">
      <x:c r="A677" t="str">
        <x:v>TXN-0000676</x:v>
      </x:c>
      <x:c r="B677" t="str">
        <x:v>2026-01</x:v>
      </x:c>
      <x:c r="C677" t="n">
        <x:v>46034</x:v>
      </x:c>
      <x:c r="D677" t="str">
        <x:v>USR-00457</x:v>
      </x:c>
      <x:c r="E677" t="str">
        <x:v>SUS-000599</x:v>
      </x:c>
      <x:c r="F677" t="str">
        <x:v>Plus mensual</x:v>
      </x:c>
      <x:c r="G677" t="str">
        <x:v>Mensual</x:v>
      </x:c>
      <x:c r="H677" t="n">
        <x:v>1</x:v>
      </x:c>
      <x:c r="I677" t="str">
        <x:v>Aprobado</x:v>
      </x:c>
      <x:c r="J677" t="n">
        <x:v>29900</x:v>
      </x:c>
      <x:c r="K677" t="str">
        <x:v>PSE</x:v>
      </x:c>
      <x:c r="L677" t="str">
        <x:v>Sin error</x:v>
      </x:c>
    </x:row>
    <x:row r="678">
      <x:c r="A678" t="str">
        <x:v>TXN-0000677</x:v>
      </x:c>
      <x:c r="B678" t="str">
        <x:v>2026-01</x:v>
      </x:c>
      <x:c r="C678" t="n">
        <x:v>46033</x:v>
      </x:c>
      <x:c r="D678" t="str">
        <x:v>USR-00458</x:v>
      </x:c>
      <x:c r="E678" t="str">
        <x:v>SUS-000600</x:v>
      </x:c>
      <x:c r="F678" t="str">
        <x:v>Plus mensual</x:v>
      </x:c>
      <x:c r="G678" t="str">
        <x:v>Mensual</x:v>
      </x:c>
      <x:c r="H678" t="n">
        <x:v>1</x:v>
      </x:c>
      <x:c r="I678" t="str">
        <x:v>Rechazado</x:v>
      </x:c>
      <x:c r="J678" t="n">
        <x:v>29900</x:v>
      </x:c>
      <x:c r="K678" t="str">
        <x:v>Tarjeta débito</x:v>
      </x:c>
      <x:c r="L678" t="str">
        <x:v>Declinado por entidad</x:v>
      </x:c>
    </x:row>
    <x:row r="679">
      <x:c r="A679" t="str">
        <x:v>TXN-0000678</x:v>
      </x:c>
      <x:c r="B679" t="str">
        <x:v>2026-01</x:v>
      </x:c>
      <x:c r="C679" t="n">
        <x:v>46028</x:v>
      </x:c>
      <x:c r="D679" t="str">
        <x:v>USR-00458</x:v>
      </x:c>
      <x:c r="E679" t="str">
        <x:v>SUS-000600</x:v>
      </x:c>
      <x:c r="F679" t="str">
        <x:v>Plus mensual</x:v>
      </x:c>
      <x:c r="G679" t="str">
        <x:v>Mensual</x:v>
      </x:c>
      <x:c r="H679" t="n">
        <x:v>2</x:v>
      </x:c>
      <x:c r="I679" t="str">
        <x:v>Aprobado</x:v>
      </x:c>
      <x:c r="J679" t="n">
        <x:v>29900</x:v>
      </x:c>
      <x:c r="K679" t="str">
        <x:v>Tarjeta débito</x:v>
      </x:c>
      <x:c r="L679" t="str">
        <x:v>Sin error</x:v>
      </x:c>
    </x:row>
    <x:row r="680">
      <x:c r="A680" t="str">
        <x:v>TXN-0000679</x:v>
      </x:c>
      <x:c r="B680" t="str">
        <x:v>2026-01</x:v>
      </x:c>
      <x:c r="C680" t="n">
        <x:v>46034</x:v>
      </x:c>
      <x:c r="D680" t="str">
        <x:v>USR-00460</x:v>
      </x:c>
      <x:c r="E680" t="str">
        <x:v>SUS-000647</x:v>
      </x:c>
      <x:c r="F680" t="str">
        <x:v>Plus anual</x:v>
      </x:c>
      <x:c r="G680" t="str">
        <x:v>Anual</x:v>
      </x:c>
      <x:c r="H680" t="n">
        <x:v>1</x:v>
      </x:c>
      <x:c r="I680" t="str">
        <x:v>Aprobado</x:v>
      </x:c>
      <x:c r="J680" t="n">
        <x:v>299000</x:v>
      </x:c>
      <x:c r="K680" t="str">
        <x:v>Tarjeta crédito</x:v>
      </x:c>
      <x:c r="L680" t="str">
        <x:v>Sin error</x:v>
      </x:c>
    </x:row>
    <x:row r="681">
      <x:c r="A681" t="str">
        <x:v>TXN-0000680</x:v>
      </x:c>
      <x:c r="B681" t="str">
        <x:v>2026-01</x:v>
      </x:c>
      <x:c r="C681" t="n">
        <x:v>46032</x:v>
      </x:c>
      <x:c r="D681" t="str">
        <x:v>USR-00465</x:v>
      </x:c>
      <x:c r="E681" t="str">
        <x:v>SUS-000607</x:v>
      </x:c>
      <x:c r="F681" t="str">
        <x:v>Plus mensual</x:v>
      </x:c>
      <x:c r="G681" t="str">
        <x:v>Mensual</x:v>
      </x:c>
      <x:c r="H681" t="n">
        <x:v>1</x:v>
      </x:c>
      <x:c r="I681" t="str">
        <x:v>Aprobado</x:v>
      </x:c>
      <x:c r="J681" t="n">
        <x:v>29900</x:v>
      </x:c>
      <x:c r="K681" t="str">
        <x:v>PSE</x:v>
      </x:c>
      <x:c r="L681" t="str">
        <x:v>Sin error</x:v>
      </x:c>
    </x:row>
    <x:row r="682">
      <x:c r="A682" t="str">
        <x:v>TXN-0000681</x:v>
      </x:c>
      <x:c r="B682" t="str">
        <x:v>2026-01</x:v>
      </x:c>
      <x:c r="C682" t="n">
        <x:v>46029</x:v>
      </x:c>
      <x:c r="D682" t="str">
        <x:v>USR-00469</x:v>
      </x:c>
      <x:c r="E682" t="str">
        <x:v>SUS-000648</x:v>
      </x:c>
      <x:c r="F682" t="str">
        <x:v>Plus mensual</x:v>
      </x:c>
      <x:c r="G682" t="str">
        <x:v>Mensual</x:v>
      </x:c>
      <x:c r="H682" t="n">
        <x:v>1</x:v>
      </x:c>
      <x:c r="I682" t="str">
        <x:v>Aprobado</x:v>
      </x:c>
      <x:c r="J682" t="n">
        <x:v>29900</x:v>
      </x:c>
      <x:c r="K682" t="str">
        <x:v>Tarjeta débito</x:v>
      </x:c>
      <x:c r="L682" t="str">
        <x:v>Sin error</x:v>
      </x:c>
    </x:row>
    <x:row r="683">
      <x:c r="A683" t="str">
        <x:v>TXN-0000682</x:v>
      </x:c>
      <x:c r="B683" t="str">
        <x:v>2026-01</x:v>
      </x:c>
      <x:c r="C683" t="n">
        <x:v>46027</x:v>
      </x:c>
      <x:c r="D683" t="str">
        <x:v>USR-00473</x:v>
      </x:c>
      <x:c r="E683" t="str">
        <x:v>SUS-000651</x:v>
      </x:c>
      <x:c r="F683" t="str">
        <x:v>Plus mensual</x:v>
      </x:c>
      <x:c r="G683" t="str">
        <x:v>Mensual</x:v>
      </x:c>
      <x:c r="H683" t="n">
        <x:v>1</x:v>
      </x:c>
      <x:c r="I683" t="str">
        <x:v>Aprobado</x:v>
      </x:c>
      <x:c r="J683" t="n">
        <x:v>29900</x:v>
      </x:c>
      <x:c r="K683" t="str">
        <x:v>Tarjeta débito</x:v>
      </x:c>
      <x:c r="L683" t="str">
        <x:v>Sin error</x:v>
      </x:c>
    </x:row>
    <x:row r="684">
      <x:c r="A684" t="str">
        <x:v>TXN-0000683</x:v>
      </x:c>
      <x:c r="B684" t="str">
        <x:v>2026-01</x:v>
      </x:c>
      <x:c r="C684" t="n">
        <x:v>46027</x:v>
      </x:c>
      <x:c r="D684" t="str">
        <x:v>USR-00474</x:v>
      </x:c>
      <x:c r="E684" t="str">
        <x:v>SUS-000652</x:v>
      </x:c>
      <x:c r="F684" t="str">
        <x:v>Plus mensual</x:v>
      </x:c>
      <x:c r="G684" t="str">
        <x:v>Mensual</x:v>
      </x:c>
      <x:c r="H684" t="n">
        <x:v>1</x:v>
      </x:c>
      <x:c r="I684" t="str">
        <x:v>Aprobado</x:v>
      </x:c>
      <x:c r="J684" t="n">
        <x:v>29900</x:v>
      </x:c>
      <x:c r="K684" t="str">
        <x:v>PSE</x:v>
      </x:c>
      <x:c r="L684" t="str">
        <x:v>Sin error</x:v>
      </x:c>
    </x:row>
    <x:row r="685">
      <x:c r="A685" t="str">
        <x:v>TXN-0000684</x:v>
      </x:c>
      <x:c r="B685" t="str">
        <x:v>2026-01</x:v>
      </x:c>
      <x:c r="C685" t="n">
        <x:v>46032</x:v>
      </x:c>
      <x:c r="D685" t="str">
        <x:v>USR-00483</x:v>
      </x:c>
      <x:c r="E685" t="str">
        <x:v>SUS-000661</x:v>
      </x:c>
      <x:c r="F685" t="str">
        <x:v>Plus mensual</x:v>
      </x:c>
      <x:c r="G685" t="str">
        <x:v>Mensual</x:v>
      </x:c>
      <x:c r="H685" t="n">
        <x:v>1</x:v>
      </x:c>
      <x:c r="I685" t="str">
        <x:v>Aprobado</x:v>
      </x:c>
      <x:c r="J685" t="n">
        <x:v>29900</x:v>
      </x:c>
      <x:c r="K685" t="str">
        <x:v>Tarjeta crédito</x:v>
      </x:c>
      <x:c r="L685" t="str">
        <x:v>Sin error</x:v>
      </x:c>
    </x:row>
    <x:row r="686">
      <x:c r="A686" t="str">
        <x:v>TXN-0000685</x:v>
      </x:c>
      <x:c r="B686" t="str">
        <x:v>2026-01</x:v>
      </x:c>
      <x:c r="C686" t="n">
        <x:v>46029</x:v>
      </x:c>
      <x:c r="D686" t="str">
        <x:v>USR-00484</x:v>
      </x:c>
      <x:c r="E686" t="str">
        <x:v>SUS-000662</x:v>
      </x:c>
      <x:c r="F686" t="str">
        <x:v>Plus mensual</x:v>
      </x:c>
      <x:c r="G686" t="str">
        <x:v>Mensual</x:v>
      </x:c>
      <x:c r="H686" t="n">
        <x:v>1</x:v>
      </x:c>
      <x:c r="I686" t="str">
        <x:v>Aprobado</x:v>
      </x:c>
      <x:c r="J686" t="n">
        <x:v>29900</x:v>
      </x:c>
      <x:c r="K686" t="str">
        <x:v>Tarjeta crédito</x:v>
      </x:c>
      <x:c r="L686" t="str">
        <x:v>Sin error</x:v>
      </x:c>
    </x:row>
    <x:row r="687">
      <x:c r="A687" t="str">
        <x:v>TXN-0000686</x:v>
      </x:c>
      <x:c r="B687" t="str">
        <x:v>2026-01</x:v>
      </x:c>
      <x:c r="C687" t="n">
        <x:v>46031</x:v>
      </x:c>
      <x:c r="D687" t="str">
        <x:v>USR-00495</x:v>
      </x:c>
      <x:c r="E687" t="str">
        <x:v>SUS-000673</x:v>
      </x:c>
      <x:c r="F687" t="str">
        <x:v>Plus anual</x:v>
      </x:c>
      <x:c r="G687" t="str">
        <x:v>Anual</x:v>
      </x:c>
      <x:c r="H687" t="n">
        <x:v>1</x:v>
      </x:c>
      <x:c r="I687" t="str">
        <x:v>Aprobado</x:v>
      </x:c>
      <x:c r="J687" t="n">
        <x:v>299000</x:v>
      </x:c>
      <x:c r="K687" t="str">
        <x:v>Tarjeta débito</x:v>
      </x:c>
      <x:c r="L687" t="str">
        <x:v>Sin error</x:v>
      </x:c>
    </x:row>
    <x:row r="688">
      <x:c r="A688" t="str">
        <x:v>TXN-0000687</x:v>
      </x:c>
      <x:c r="B688" t="str">
        <x:v>2026-01</x:v>
      </x:c>
      <x:c r="C688" t="n">
        <x:v>46030</x:v>
      </x:c>
      <x:c r="D688" t="str">
        <x:v>USR-00511</x:v>
      </x:c>
      <x:c r="E688" t="str">
        <x:v>SUS-000689</x:v>
      </x:c>
      <x:c r="F688" t="str">
        <x:v>Plus anual</x:v>
      </x:c>
      <x:c r="G688" t="str">
        <x:v>Anual</x:v>
      </x:c>
      <x:c r="H688" t="n">
        <x:v>1</x:v>
      </x:c>
      <x:c r="I688" t="str">
        <x:v>Aprobado</x:v>
      </x:c>
      <x:c r="J688" t="n">
        <x:v>299000</x:v>
      </x:c>
      <x:c r="K688" t="str">
        <x:v>Tarjeta crédito</x:v>
      </x:c>
      <x:c r="L688" t="str">
        <x:v>Sin error</x:v>
      </x:c>
    </x:row>
    <x:row r="689">
      <x:c r="A689" t="str">
        <x:v>TXN-0000688</x:v>
      </x:c>
      <x:c r="B689" t="str">
        <x:v>2026-01</x:v>
      </x:c>
      <x:c r="C689" t="n">
        <x:v>46027</x:v>
      </x:c>
      <x:c r="D689" t="str">
        <x:v>USR-00518</x:v>
      </x:c>
      <x:c r="E689" t="str">
        <x:v>SUS-000696</x:v>
      </x:c>
      <x:c r="F689" t="str">
        <x:v>Plus mensual</x:v>
      </x:c>
      <x:c r="G689" t="str">
        <x:v>Mensual</x:v>
      </x:c>
      <x:c r="H689" t="n">
        <x:v>1</x:v>
      </x:c>
      <x:c r="I689" t="str">
        <x:v>Rechazado</x:v>
      </x:c>
      <x:c r="J689" t="n">
        <x:v>29900</x:v>
      </x:c>
      <x:c r="K689" t="str">
        <x:v>Tarjeta crédito</x:v>
      </x:c>
      <x:c r="L689" t="str">
        <x:v>Error temporal</x:v>
      </x:c>
    </x:row>
    <x:row r="690">
      <x:c r="A690" t="str">
        <x:v>TXN-0000689</x:v>
      </x:c>
      <x:c r="B690" t="str">
        <x:v>2026-01</x:v>
      </x:c>
      <x:c r="C690" t="n">
        <x:v>46034</x:v>
      </x:c>
      <x:c r="D690" t="str">
        <x:v>USR-00518</x:v>
      </x:c>
      <x:c r="E690" t="str">
        <x:v>SUS-000696</x:v>
      </x:c>
      <x:c r="F690" t="str">
        <x:v>Plus mensual</x:v>
      </x:c>
      <x:c r="G690" t="str">
        <x:v>Mensual</x:v>
      </x:c>
      <x:c r="H690" t="n">
        <x:v>2</x:v>
      </x:c>
      <x:c r="I690" t="str">
        <x:v>Aprobado</x:v>
      </x:c>
      <x:c r="J690" t="n">
        <x:v>29900</x:v>
      </x:c>
      <x:c r="K690" t="str">
        <x:v>PSE</x:v>
      </x:c>
      <x:c r="L690" t="str">
        <x:v>Sin error</x:v>
      </x:c>
    </x:row>
    <x:row r="691">
      <x:c r="A691" t="str">
        <x:v>TXN-0000690</x:v>
      </x:c>
      <x:c r="B691" t="str">
        <x:v>2026-01</x:v>
      </x:c>
      <x:c r="C691" t="n">
        <x:v>46029</x:v>
      </x:c>
      <x:c r="D691" t="str">
        <x:v>USR-00519</x:v>
      </x:c>
      <x:c r="E691" t="str">
        <x:v>SUS-000697</x:v>
      </x:c>
      <x:c r="F691" t="str">
        <x:v>Plus anual</x:v>
      </x:c>
      <x:c r="G691" t="str">
        <x:v>Anual</x:v>
      </x:c>
      <x:c r="H691" t="n">
        <x:v>1</x:v>
      </x:c>
      <x:c r="I691" t="str">
        <x:v>Aprobado</x:v>
      </x:c>
      <x:c r="J691" t="n">
        <x:v>299000</x:v>
      </x:c>
      <x:c r="K691" t="str">
        <x:v>Tarjeta crédito</x:v>
      </x:c>
      <x:c r="L691" t="str">
        <x:v>Sin error</x:v>
      </x:c>
    </x:row>
    <x:row r="692">
      <x:c r="A692" t="str">
        <x:v>TXN-0000691</x:v>
      </x:c>
      <x:c r="B692" t="str">
        <x:v>2026-01</x:v>
      </x:c>
      <x:c r="C692" t="n">
        <x:v>46033</x:v>
      </x:c>
      <x:c r="D692" t="str">
        <x:v>USR-00527</x:v>
      </x:c>
      <x:c r="E692" t="str">
        <x:v>SUS-000705</x:v>
      </x:c>
      <x:c r="F692" t="str">
        <x:v>Plus mensual</x:v>
      </x:c>
      <x:c r="G692" t="str">
        <x:v>Mensual</x:v>
      </x:c>
      <x:c r="H692" t="n">
        <x:v>1</x:v>
      </x:c>
      <x:c r="I692" t="str">
        <x:v>Aprobado</x:v>
      </x:c>
      <x:c r="J692" t="n">
        <x:v>29900</x:v>
      </x:c>
      <x:c r="K692" t="str">
        <x:v>Tarjeta débito</x:v>
      </x:c>
      <x:c r="L692" t="str">
        <x:v>Sin error</x:v>
      </x:c>
    </x:row>
    <x:row r="693">
      <x:c r="A693" t="str">
        <x:v>TXN-0000692</x:v>
      </x:c>
      <x:c r="B693" t="str">
        <x:v>2026-01</x:v>
      </x:c>
      <x:c r="C693" t="n">
        <x:v>46033</x:v>
      </x:c>
      <x:c r="D693" t="str">
        <x:v>USR-00531</x:v>
      </x:c>
      <x:c r="E693" t="str">
        <x:v>SUS-000709</x:v>
      </x:c>
      <x:c r="F693" t="str">
        <x:v>Plus mensual</x:v>
      </x:c>
      <x:c r="G693" t="str">
        <x:v>Mensual</x:v>
      </x:c>
      <x:c r="H693" t="n">
        <x:v>1</x:v>
      </x:c>
      <x:c r="I693" t="str">
        <x:v>Aprobado</x:v>
      </x:c>
      <x:c r="J693" t="n">
        <x:v>29900</x:v>
      </x:c>
      <x:c r="K693" t="str">
        <x:v>Tarjeta débito</x:v>
      </x:c>
      <x:c r="L693" t="str">
        <x:v>Sin error</x:v>
      </x:c>
    </x:row>
    <x:row r="694">
      <x:c r="A694" t="str">
        <x:v>TXN-0000693</x:v>
      </x:c>
      <x:c r="B694" t="str">
        <x:v>2026-01</x:v>
      </x:c>
      <x:c r="C694" t="n">
        <x:v>46032</x:v>
      </x:c>
      <x:c r="D694" t="str">
        <x:v>USR-00534</x:v>
      </x:c>
      <x:c r="E694" t="str">
        <x:v>SUS-000712</x:v>
      </x:c>
      <x:c r="F694" t="str">
        <x:v>Plus mensual</x:v>
      </x:c>
      <x:c r="G694" t="str">
        <x:v>Mensual</x:v>
      </x:c>
      <x:c r="H694" t="n">
        <x:v>1</x:v>
      </x:c>
      <x:c r="I694" t="str">
        <x:v>Aprobado</x:v>
      </x:c>
      <x:c r="J694" t="n">
        <x:v>29900</x:v>
      </x:c>
      <x:c r="K694" t="str">
        <x:v>Tarjeta crédito</x:v>
      </x:c>
      <x:c r="L694" t="str">
        <x:v>Sin error</x:v>
      </x:c>
    </x:row>
    <x:row r="695">
      <x:c r="A695" t="str">
        <x:v>TXN-0000694</x:v>
      </x:c>
      <x:c r="B695" t="str">
        <x:v>2026-01</x:v>
      </x:c>
      <x:c r="C695" t="n">
        <x:v>46032</x:v>
      </x:c>
      <x:c r="D695" t="str">
        <x:v>USR-00535</x:v>
      </x:c>
      <x:c r="E695" t="str">
        <x:v>SUS-000713</x:v>
      </x:c>
      <x:c r="F695" t="str">
        <x:v>Plus mensual</x:v>
      </x:c>
      <x:c r="G695" t="str">
        <x:v>Mensual</x:v>
      </x:c>
      <x:c r="H695" t="n">
        <x:v>1</x:v>
      </x:c>
      <x:c r="I695" t="str">
        <x:v>Aprobado</x:v>
      </x:c>
      <x:c r="J695" t="n">
        <x:v>29900</x:v>
      </x:c>
      <x:c r="K695" t="str">
        <x:v>Tarjeta débito</x:v>
      </x:c>
      <x:c r="L695" t="str">
        <x:v>Sin error</x:v>
      </x:c>
    </x:row>
    <x:row r="696">
      <x:c r="A696" t="str">
        <x:v>TXN-0000695</x:v>
      </x:c>
      <x:c r="B696" t="str">
        <x:v>2026-01</x:v>
      </x:c>
      <x:c r="C696" t="n">
        <x:v>46028</x:v>
      </x:c>
      <x:c r="D696" t="str">
        <x:v>USR-00538</x:v>
      </x:c>
      <x:c r="E696" t="str">
        <x:v>SUS-000716</x:v>
      </x:c>
      <x:c r="F696" t="str">
        <x:v>Plus mensual</x:v>
      </x:c>
      <x:c r="G696" t="str">
        <x:v>Mensual</x:v>
      </x:c>
      <x:c r="H696" t="n">
        <x:v>1</x:v>
      </x:c>
      <x:c r="I696" t="str">
        <x:v>Aprobado</x:v>
      </x:c>
      <x:c r="J696" t="n">
        <x:v>29900</x:v>
      </x:c>
      <x:c r="K696" t="str">
        <x:v>PSE</x:v>
      </x:c>
      <x:c r="L696" t="str">
        <x:v>Sin error</x:v>
      </x:c>
    </x:row>
    <x:row r="697">
      <x:c r="A697" t="str">
        <x:v>TXN-0000696</x:v>
      </x:c>
      <x:c r="B697" t="str">
        <x:v>2026-01</x:v>
      </x:c>
      <x:c r="C697" t="n">
        <x:v>46033</x:v>
      </x:c>
      <x:c r="D697" t="str">
        <x:v>USR-00547</x:v>
      </x:c>
      <x:c r="E697" t="str">
        <x:v>SUS-000725</x:v>
      </x:c>
      <x:c r="F697" t="str">
        <x:v>Plus mensual</x:v>
      </x:c>
      <x:c r="G697" t="str">
        <x:v>Mensual</x:v>
      </x:c>
      <x:c r="H697" t="n">
        <x:v>1</x:v>
      </x:c>
      <x:c r="I697" t="str">
        <x:v>Aprobado</x:v>
      </x:c>
      <x:c r="J697" t="n">
        <x:v>29900</x:v>
      </x:c>
      <x:c r="K697" t="str">
        <x:v>Tarjeta débito</x:v>
      </x:c>
      <x:c r="L697" t="str">
        <x:v>Sin error</x:v>
      </x:c>
    </x:row>
    <x:row r="698">
      <x:c r="A698" t="str">
        <x:v>TXN-0000697</x:v>
      </x:c>
      <x:c r="B698" t="str">
        <x:v>2026-01</x:v>
      </x:c>
      <x:c r="C698" t="n">
        <x:v>46032</x:v>
      </x:c>
      <x:c r="D698" t="str">
        <x:v>USR-00552</x:v>
      </x:c>
      <x:c r="E698" t="str">
        <x:v>SUS-000730</x:v>
      </x:c>
      <x:c r="F698" t="str">
        <x:v>Plus anual</x:v>
      </x:c>
      <x:c r="G698" t="str">
        <x:v>Anual</x:v>
      </x:c>
      <x:c r="H698" t="n">
        <x:v>1</x:v>
      </x:c>
      <x:c r="I698" t="str">
        <x:v>Aprobado</x:v>
      </x:c>
      <x:c r="J698" t="n">
        <x:v>299000</x:v>
      </x:c>
      <x:c r="K698" t="str">
        <x:v>Tarjeta débito</x:v>
      </x:c>
      <x:c r="L698" t="str">
        <x:v>Sin error</x:v>
      </x:c>
    </x:row>
    <x:row r="699">
      <x:c r="A699" t="str">
        <x:v>TXN-0000698</x:v>
      </x:c>
      <x:c r="B699" t="str">
        <x:v>2026-01</x:v>
      </x:c>
      <x:c r="C699" t="n">
        <x:v>46028</x:v>
      </x:c>
      <x:c r="D699" t="str">
        <x:v>USR-00553</x:v>
      </x:c>
      <x:c r="E699" t="str">
        <x:v>SUS-000731</x:v>
      </x:c>
      <x:c r="F699" t="str">
        <x:v>Plus mensual</x:v>
      </x:c>
      <x:c r="G699" t="str">
        <x:v>Mensual</x:v>
      </x:c>
      <x:c r="H699" t="n">
        <x:v>1</x:v>
      </x:c>
      <x:c r="I699" t="str">
        <x:v>Aprobado</x:v>
      </x:c>
      <x:c r="J699" t="n">
        <x:v>29900</x:v>
      </x:c>
      <x:c r="K699" t="str">
        <x:v>Tarjeta crédito</x:v>
      </x:c>
      <x:c r="L699" t="str">
        <x:v>Sin error</x:v>
      </x:c>
    </x:row>
    <x:row r="700">
      <x:c r="A700" t="str">
        <x:v>TXN-0000699</x:v>
      </x:c>
      <x:c r="B700" t="str">
        <x:v>2026-02</x:v>
      </x:c>
      <x:c r="C700" t="n">
        <x:v>46060</x:v>
      </x:c>
      <x:c r="D700" t="str">
        <x:v>USR-00002</x:v>
      </x:c>
      <x:c r="E700" t="str">
        <x:v>SUS-000212</x:v>
      </x:c>
      <x:c r="F700" t="str">
        <x:v>Plus mensual</x:v>
      </x:c>
      <x:c r="G700" t="str">
        <x:v>Mensual</x:v>
      </x:c>
      <x:c r="H700" t="n">
        <x:v>1</x:v>
      </x:c>
      <x:c r="I700" t="str">
        <x:v>Aprobado</x:v>
      </x:c>
      <x:c r="J700" t="n">
        <x:v>29900</x:v>
      </x:c>
      <x:c r="K700" t="str">
        <x:v>Tarjeta crédito</x:v>
      </x:c>
      <x:c r="L700" t="str">
        <x:v>Sin error</x:v>
      </x:c>
    </x:row>
    <x:row r="701">
      <x:c r="A701" t="str">
        <x:v>TXN-0000700</x:v>
      </x:c>
      <x:c r="B701" t="str">
        <x:v>2026-02</x:v>
      </x:c>
      <x:c r="C701" t="n">
        <x:v>46063</x:v>
      </x:c>
      <x:c r="D701" t="str">
        <x:v>USR-00004</x:v>
      </x:c>
      <x:c r="E701" t="str">
        <x:v>SUS-000032</x:v>
      </x:c>
      <x:c r="F701" t="str">
        <x:v>Plus anual</x:v>
      </x:c>
      <x:c r="G701" t="str">
        <x:v>Anual</x:v>
      </x:c>
      <x:c r="H701" t="n">
        <x:v>1</x:v>
      </x:c>
      <x:c r="I701" t="str">
        <x:v>Aprobado</x:v>
      </x:c>
      <x:c r="J701" t="n">
        <x:v>299000</x:v>
      </x:c>
      <x:c r="K701" t="str">
        <x:v>Tarjeta crédito</x:v>
      </x:c>
      <x:c r="L701" t="str">
        <x:v>Sin error</x:v>
      </x:c>
    </x:row>
    <x:row r="702">
      <x:c r="A702" t="str">
        <x:v>TXN-0000701</x:v>
      </x:c>
      <x:c r="B702" t="str">
        <x:v>2026-02</x:v>
      </x:c>
      <x:c r="C702" t="n">
        <x:v>46065</x:v>
      </x:c>
      <x:c r="D702" t="str">
        <x:v>USR-00005</x:v>
      </x:c>
      <x:c r="E702" t="str">
        <x:v>SUS-000033</x:v>
      </x:c>
      <x:c r="F702" t="str">
        <x:v>Plus anual</x:v>
      </x:c>
      <x:c r="G702" t="str">
        <x:v>Anual</x:v>
      </x:c>
      <x:c r="H702" t="n">
        <x:v>1</x:v>
      </x:c>
      <x:c r="I702" t="str">
        <x:v>Aprobado</x:v>
      </x:c>
      <x:c r="J702" t="n">
        <x:v>299000</x:v>
      </x:c>
      <x:c r="K702" t="str">
        <x:v>Tarjeta débito</x:v>
      </x:c>
      <x:c r="L702" t="str">
        <x:v>Sin error</x:v>
      </x:c>
    </x:row>
    <x:row r="703">
      <x:c r="A703" t="str">
        <x:v>TXN-0000702</x:v>
      </x:c>
      <x:c r="B703" t="str">
        <x:v>2026-02</x:v>
      </x:c>
      <x:c r="C703" t="n">
        <x:v>46064</x:v>
      </x:c>
      <x:c r="D703" t="str">
        <x:v>USR-00017</x:v>
      </x:c>
      <x:c r="E703" t="str">
        <x:v>SUS-000034</x:v>
      </x:c>
      <x:c r="F703" t="str">
        <x:v>Plus anual</x:v>
      </x:c>
      <x:c r="G703" t="str">
        <x:v>Anual</x:v>
      </x:c>
      <x:c r="H703" t="n">
        <x:v>1</x:v>
      </x:c>
      <x:c r="I703" t="str">
        <x:v>Aprobado</x:v>
      </x:c>
      <x:c r="J703" t="n">
        <x:v>299000</x:v>
      </x:c>
      <x:c r="K703" t="str">
        <x:v>Tarjeta crédito</x:v>
      </x:c>
      <x:c r="L703" t="str">
        <x:v>Sin error</x:v>
      </x:c>
    </x:row>
    <x:row r="704">
      <x:c r="A704" t="str">
        <x:v>TXN-0000703</x:v>
      </x:c>
      <x:c r="B704" t="str">
        <x:v>2026-02</x:v>
      </x:c>
      <x:c r="C704" t="n">
        <x:v>46064</x:v>
      </x:c>
      <x:c r="D704" t="str">
        <x:v>USR-00018</x:v>
      </x:c>
      <x:c r="E704" t="str">
        <x:v>SUS-000157</x:v>
      </x:c>
      <x:c r="F704" t="str">
        <x:v>Plus mensual</x:v>
      </x:c>
      <x:c r="G704" t="str">
        <x:v>Mensual</x:v>
      </x:c>
      <x:c r="H704" t="n">
        <x:v>1</x:v>
      </x:c>
      <x:c r="I704" t="str">
        <x:v>Aprobado</x:v>
      </x:c>
      <x:c r="J704" t="n">
        <x:v>29900</x:v>
      </x:c>
      <x:c r="K704" t="str">
        <x:v>Tarjeta crédito</x:v>
      </x:c>
      <x:c r="L704" t="str">
        <x:v>Sin error</x:v>
      </x:c>
    </x:row>
    <x:row r="705">
      <x:c r="A705" t="str">
        <x:v>TXN-0000704</x:v>
      </x:c>
      <x:c r="B705" t="str">
        <x:v>2026-02</x:v>
      </x:c>
      <x:c r="C705" t="n">
        <x:v>46058</x:v>
      </x:c>
      <x:c r="D705" t="str">
        <x:v>USR-00019</x:v>
      </x:c>
      <x:c r="E705" t="str">
        <x:v>SUS-000158</x:v>
      </x:c>
      <x:c r="F705" t="str">
        <x:v>Plus mensual</x:v>
      </x:c>
      <x:c r="G705" t="str">
        <x:v>Mensual</x:v>
      </x:c>
      <x:c r="H705" t="n">
        <x:v>1</x:v>
      </x:c>
      <x:c r="I705" t="str">
        <x:v>Aprobado</x:v>
      </x:c>
      <x:c r="J705" t="n">
        <x:v>29900</x:v>
      </x:c>
      <x:c r="K705" t="str">
        <x:v>PSE</x:v>
      </x:c>
      <x:c r="L705" t="str">
        <x:v>Sin error</x:v>
      </x:c>
    </x:row>
    <x:row r="706">
      <x:c r="A706" t="str">
        <x:v>TXN-0000705</x:v>
      </x:c>
      <x:c r="B706" t="str">
        <x:v>2026-02</x:v>
      </x:c>
      <x:c r="C706" t="n">
        <x:v>46062</x:v>
      </x:c>
      <x:c r="D706" t="str">
        <x:v>USR-00026</x:v>
      </x:c>
      <x:c r="E706" t="str">
        <x:v>SUS-000101</x:v>
      </x:c>
      <x:c r="F706" t="str">
        <x:v>Plus mensual</x:v>
      </x:c>
      <x:c r="G706" t="str">
        <x:v>Mensual</x:v>
      </x:c>
      <x:c r="H706" t="n">
        <x:v>1</x:v>
      </x:c>
      <x:c r="I706" t="str">
        <x:v>Aprobado</x:v>
      </x:c>
      <x:c r="J706" t="n">
        <x:v>29900</x:v>
      </x:c>
      <x:c r="K706" t="str">
        <x:v>Tarjeta débito</x:v>
      </x:c>
      <x:c r="L706" t="str">
        <x:v>Sin error</x:v>
      </x:c>
    </x:row>
    <x:row r="707">
      <x:c r="A707" t="str">
        <x:v>TXN-0000706</x:v>
      </x:c>
      <x:c r="B707" t="str">
        <x:v>2026-02</x:v>
      </x:c>
      <x:c r="C707" t="n">
        <x:v>46062</x:v>
      </x:c>
      <x:c r="D707" t="str">
        <x:v>USR-00034</x:v>
      </x:c>
      <x:c r="E707" t="str">
        <x:v>SUS-000734</x:v>
      </x:c>
      <x:c r="F707" t="str">
        <x:v>Plus mensual</x:v>
      </x:c>
      <x:c r="G707" t="str">
        <x:v>Mensual</x:v>
      </x:c>
      <x:c r="H707" t="n">
        <x:v>1</x:v>
      </x:c>
      <x:c r="I707" t="str">
        <x:v>Aprobado</x:v>
      </x:c>
      <x:c r="J707" t="n">
        <x:v>29900</x:v>
      </x:c>
      <x:c r="K707" t="str">
        <x:v>Tarjeta crédito</x:v>
      </x:c>
      <x:c r="L707" t="str">
        <x:v>Sin error</x:v>
      </x:c>
    </x:row>
    <x:row r="708">
      <x:c r="A708" t="str">
        <x:v>TXN-0000707</x:v>
      </x:c>
      <x:c r="B708" t="str">
        <x:v>2026-02</x:v>
      </x:c>
      <x:c r="C708" t="n">
        <x:v>46059</x:v>
      </x:c>
      <x:c r="D708" t="str">
        <x:v>USR-00037</x:v>
      </x:c>
      <x:c r="E708" t="str">
        <x:v>SUS-000457</x:v>
      </x:c>
      <x:c r="F708" t="str">
        <x:v>Plus mensual</x:v>
      </x:c>
      <x:c r="G708" t="str">
        <x:v>Mensual</x:v>
      </x:c>
      <x:c r="H708" t="n">
        <x:v>1</x:v>
      </x:c>
      <x:c r="I708" t="str">
        <x:v>Aprobado</x:v>
      </x:c>
      <x:c r="J708" t="n">
        <x:v>29900</x:v>
      </x:c>
      <x:c r="K708" t="str">
        <x:v>Tarjeta débito</x:v>
      </x:c>
      <x:c r="L708" t="str">
        <x:v>Sin error</x:v>
      </x:c>
    </x:row>
    <x:row r="709">
      <x:c r="A709" t="str">
        <x:v>TXN-0000708</x:v>
      </x:c>
      <x:c r="B709" t="str">
        <x:v>2026-02</x:v>
      </x:c>
      <x:c r="C709" t="n">
        <x:v>46059</x:v>
      </x:c>
      <x:c r="D709" t="str">
        <x:v>USR-00038</x:v>
      </x:c>
      <x:c r="E709" t="str">
        <x:v>SUS-000042</x:v>
      </x:c>
      <x:c r="F709" t="str">
        <x:v>Plus anual</x:v>
      </x:c>
      <x:c r="G709" t="str">
        <x:v>Anual</x:v>
      </x:c>
      <x:c r="H709" t="n">
        <x:v>1</x:v>
      </x:c>
      <x:c r="I709" t="str">
        <x:v>Rechazado</x:v>
      </x:c>
      <x:c r="J709" t="n">
        <x:v>299000</x:v>
      </x:c>
      <x:c r="K709" t="str">
        <x:v>PSE</x:v>
      </x:c>
      <x:c r="L709" t="str">
        <x:v>Declinado por entidad</x:v>
      </x:c>
    </x:row>
    <x:row r="710">
      <x:c r="A710" t="str">
        <x:v>TXN-0000709</x:v>
      </x:c>
      <x:c r="B710" t="str">
        <x:v>2026-02</x:v>
      </x:c>
      <x:c r="C710" t="n">
        <x:v>46064</x:v>
      </x:c>
      <x:c r="D710" t="str">
        <x:v>USR-00038</x:v>
      </x:c>
      <x:c r="E710" t="str">
        <x:v>SUS-000042</x:v>
      </x:c>
      <x:c r="F710" t="str">
        <x:v>Plus anual</x:v>
      </x:c>
      <x:c r="G710" t="str">
        <x:v>Anual</x:v>
      </x:c>
      <x:c r="H710" t="n">
        <x:v>2</x:v>
      </x:c>
      <x:c r="I710" t="str">
        <x:v>Aprobado</x:v>
      </x:c>
      <x:c r="J710" t="n">
        <x:v>299000</x:v>
      </x:c>
      <x:c r="K710" t="str">
        <x:v>PSE</x:v>
      </x:c>
      <x:c r="L710" t="str">
        <x:v>Sin error</x:v>
      </x:c>
    </x:row>
    <x:row r="711">
      <x:c r="A711" t="str">
        <x:v>TXN-0000710</x:v>
      </x:c>
      <x:c r="B711" t="str">
        <x:v>2026-02</x:v>
      </x:c>
      <x:c r="C711" t="n">
        <x:v>46063</x:v>
      </x:c>
      <x:c r="D711" t="str">
        <x:v>USR-00042</x:v>
      </x:c>
      <x:c r="E711" t="str">
        <x:v>SUS-000215</x:v>
      </x:c>
      <x:c r="F711" t="str">
        <x:v>Plus mensual</x:v>
      </x:c>
      <x:c r="G711" t="str">
        <x:v>Mensual</x:v>
      </x:c>
      <x:c r="H711" t="n">
        <x:v>1</x:v>
      </x:c>
      <x:c r="I711" t="str">
        <x:v>Aprobado</x:v>
      </x:c>
      <x:c r="J711" t="n">
        <x:v>29900</x:v>
      </x:c>
      <x:c r="K711" t="str">
        <x:v>Tarjeta débito</x:v>
      </x:c>
      <x:c r="L711" t="str">
        <x:v>Sin error</x:v>
      </x:c>
    </x:row>
    <x:row r="712">
      <x:c r="A712" t="str">
        <x:v>TXN-0000711</x:v>
      </x:c>
      <x:c r="B712" t="str">
        <x:v>2026-02</x:v>
      </x:c>
      <x:c r="C712" t="n">
        <x:v>46062</x:v>
      </x:c>
      <x:c r="D712" t="str">
        <x:v>USR-00048</x:v>
      </x:c>
      <x:c r="E712" t="str">
        <x:v>SUS-000160</x:v>
      </x:c>
      <x:c r="F712" t="str">
        <x:v>Plus mensual</x:v>
      </x:c>
      <x:c r="G712" t="str">
        <x:v>Mensual</x:v>
      </x:c>
      <x:c r="H712" t="n">
        <x:v>1</x:v>
      </x:c>
      <x:c r="I712" t="str">
        <x:v>Aprobado</x:v>
      </x:c>
      <x:c r="J712" t="n">
        <x:v>29900</x:v>
      </x:c>
      <x:c r="K712" t="str">
        <x:v>PSE</x:v>
      </x:c>
      <x:c r="L712" t="str">
        <x:v>Sin error</x:v>
      </x:c>
    </x:row>
    <x:row r="713">
      <x:c r="A713" t="str">
        <x:v>TXN-0000712</x:v>
      </x:c>
      <x:c r="B713" t="str">
        <x:v>2026-02</x:v>
      </x:c>
      <x:c r="C713" t="n">
        <x:v>46064</x:v>
      </x:c>
      <x:c r="D713" t="str">
        <x:v>USR-00057</x:v>
      </x:c>
      <x:c r="E713" t="str">
        <x:v>SUS-000386</x:v>
      </x:c>
      <x:c r="F713" t="str">
        <x:v>Plus mensual</x:v>
      </x:c>
      <x:c r="G713" t="str">
        <x:v>Mensual</x:v>
      </x:c>
      <x:c r="H713" t="n">
        <x:v>1</x:v>
      </x:c>
      <x:c r="I713" t="str">
        <x:v>Aprobado</x:v>
      </x:c>
      <x:c r="J713" t="n">
        <x:v>29900</x:v>
      </x:c>
      <x:c r="K713" t="str">
        <x:v>Tarjeta crédito</x:v>
      </x:c>
      <x:c r="L713" t="str">
        <x:v>Sin error</x:v>
      </x:c>
    </x:row>
    <x:row r="714">
      <x:c r="A714" t="str">
        <x:v>TXN-0000713</x:v>
      </x:c>
      <x:c r="B714" t="str">
        <x:v>2026-02</x:v>
      </x:c>
      <x:c r="C714" t="n">
        <x:v>46063</x:v>
      </x:c>
      <x:c r="D714" t="str">
        <x:v>USR-00064</x:v>
      </x:c>
      <x:c r="E714" t="str">
        <x:v>SUS-000333</x:v>
      </x:c>
      <x:c r="F714" t="str">
        <x:v>Plus mensual</x:v>
      </x:c>
      <x:c r="G714" t="str">
        <x:v>Mensual</x:v>
      </x:c>
      <x:c r="H714" t="n">
        <x:v>1</x:v>
      </x:c>
      <x:c r="I714" t="str">
        <x:v>Aprobado</x:v>
      </x:c>
      <x:c r="J714" t="n">
        <x:v>29900</x:v>
      </x:c>
      <x:c r="K714" t="str">
        <x:v>PSE</x:v>
      </x:c>
      <x:c r="L714" t="str">
        <x:v>Sin error</x:v>
      </x:c>
    </x:row>
    <x:row r="715">
      <x:c r="A715" t="str">
        <x:v>TXN-0000714</x:v>
      </x:c>
      <x:c r="B715" t="str">
        <x:v>2026-02</x:v>
      </x:c>
      <x:c r="C715" t="n">
        <x:v>46064</x:v>
      </x:c>
      <x:c r="D715" t="str">
        <x:v>USR-00067</x:v>
      </x:c>
      <x:c r="E715" t="str">
        <x:v>SUS-000460</x:v>
      </x:c>
      <x:c r="F715" t="str">
        <x:v>Plus mensual</x:v>
      </x:c>
      <x:c r="G715" t="str">
        <x:v>Mensual</x:v>
      </x:c>
      <x:c r="H715" t="n">
        <x:v>1</x:v>
      </x:c>
      <x:c r="I715" t="str">
        <x:v>Aprobado</x:v>
      </x:c>
      <x:c r="J715" t="n">
        <x:v>29900</x:v>
      </x:c>
      <x:c r="K715" t="str">
        <x:v>Tarjeta crédito</x:v>
      </x:c>
      <x:c r="L715" t="str">
        <x:v>Sin error</x:v>
      </x:c>
    </x:row>
    <x:row r="716">
      <x:c r="A716" t="str">
        <x:v>TXN-0000715</x:v>
      </x:c>
      <x:c r="B716" t="str">
        <x:v>2026-02</x:v>
      </x:c>
      <x:c r="C716" t="n">
        <x:v>46061</x:v>
      </x:c>
      <x:c r="D716" t="str">
        <x:v>USR-00070</x:v>
      </x:c>
      <x:c r="E716" t="str">
        <x:v>SUS-000527</x:v>
      </x:c>
      <x:c r="F716" t="str">
        <x:v>Plus mensual</x:v>
      </x:c>
      <x:c r="G716" t="str">
        <x:v>Mensual</x:v>
      </x:c>
      <x:c r="H716" t="n">
        <x:v>1</x:v>
      </x:c>
      <x:c r="I716" t="str">
        <x:v>Aprobado</x:v>
      </x:c>
      <x:c r="J716" t="n">
        <x:v>29900</x:v>
      </x:c>
      <x:c r="K716" t="str">
        <x:v>Tarjeta débito</x:v>
      </x:c>
      <x:c r="L716" t="str">
        <x:v>Sin error</x:v>
      </x:c>
    </x:row>
    <x:row r="717">
      <x:c r="A717" t="str">
        <x:v>TXN-0000716</x:v>
      </x:c>
      <x:c r="B717" t="str">
        <x:v>2026-02</x:v>
      </x:c>
      <x:c r="C717" t="n">
        <x:v>46061</x:v>
      </x:c>
      <x:c r="D717" t="str">
        <x:v>USR-00071</x:v>
      </x:c>
      <x:c r="E717" t="str">
        <x:v>SUS-000217</x:v>
      </x:c>
      <x:c r="F717" t="str">
        <x:v>Plus mensual</x:v>
      </x:c>
      <x:c r="G717" t="str">
        <x:v>Mensual</x:v>
      </x:c>
      <x:c r="H717" t="n">
        <x:v>1</x:v>
      </x:c>
      <x:c r="I717" t="str">
        <x:v>Aprobado</x:v>
      </x:c>
      <x:c r="J717" t="n">
        <x:v>29900</x:v>
      </x:c>
      <x:c r="K717" t="str">
        <x:v>Tarjeta débito</x:v>
      </x:c>
      <x:c r="L717" t="str">
        <x:v>Sin error</x:v>
      </x:c>
    </x:row>
    <x:row r="718">
      <x:c r="A718" t="str">
        <x:v>TXN-0000717</x:v>
      </x:c>
      <x:c r="B718" t="str">
        <x:v>2026-02</x:v>
      </x:c>
      <x:c r="C718" t="n">
        <x:v>46065</x:v>
      </x:c>
      <x:c r="D718" t="str">
        <x:v>USR-00078</x:v>
      </x:c>
      <x:c r="E718" t="str">
        <x:v>SUS-000083</x:v>
      </x:c>
      <x:c r="F718" t="str">
        <x:v>Plus mensual</x:v>
      </x:c>
      <x:c r="G718" t="str">
        <x:v>Mensual</x:v>
      </x:c>
      <x:c r="H718" t="n">
        <x:v>1</x:v>
      </x:c>
      <x:c r="I718" t="str">
        <x:v>Aprobado</x:v>
      </x:c>
      <x:c r="J718" t="n">
        <x:v>29900</x:v>
      </x:c>
      <x:c r="K718" t="str">
        <x:v>PSE</x:v>
      </x:c>
      <x:c r="L718" t="str">
        <x:v>Sin error</x:v>
      </x:c>
    </x:row>
    <x:row r="719">
      <x:c r="A719" t="str">
        <x:v>TXN-0000718</x:v>
      </x:c>
      <x:c r="B719" t="str">
        <x:v>2026-02</x:v>
      </x:c>
      <x:c r="C719" t="n">
        <x:v>46058</x:v>
      </x:c>
      <x:c r="D719" t="str">
        <x:v>USR-00079</x:v>
      </x:c>
      <x:c r="E719" t="str">
        <x:v>SUS-000336</x:v>
      </x:c>
      <x:c r="F719" t="str">
        <x:v>Plus mensual</x:v>
      </x:c>
      <x:c r="G719" t="str">
        <x:v>Mensual</x:v>
      </x:c>
      <x:c r="H719" t="n">
        <x:v>1</x:v>
      </x:c>
      <x:c r="I719" t="str">
        <x:v>Aprobado</x:v>
      </x:c>
      <x:c r="J719" t="n">
        <x:v>29900</x:v>
      </x:c>
      <x:c r="K719" t="str">
        <x:v>PSE</x:v>
      </x:c>
      <x:c r="L719" t="str">
        <x:v>Sin error</x:v>
      </x:c>
    </x:row>
    <x:row r="720">
      <x:c r="A720" t="str">
        <x:v>TXN-0000719</x:v>
      </x:c>
      <x:c r="B720" t="str">
        <x:v>2026-02</x:v>
      </x:c>
      <x:c r="C720" t="n">
        <x:v>46059</x:v>
      </x:c>
      <x:c r="D720" t="str">
        <x:v>USR-00082</x:v>
      </x:c>
      <x:c r="E720" t="str">
        <x:v>SUS-000528</x:v>
      </x:c>
      <x:c r="F720" t="str">
        <x:v>Plus mensual</x:v>
      </x:c>
      <x:c r="G720" t="str">
        <x:v>Mensual</x:v>
      </x:c>
      <x:c r="H720" t="n">
        <x:v>1</x:v>
      </x:c>
      <x:c r="I720" t="str">
        <x:v>Aprobado</x:v>
      </x:c>
      <x:c r="J720" t="n">
        <x:v>29900</x:v>
      </x:c>
      <x:c r="K720" t="str">
        <x:v>PSE</x:v>
      </x:c>
      <x:c r="L720" t="str">
        <x:v>Sin error</x:v>
      </x:c>
    </x:row>
    <x:row r="721">
      <x:c r="A721" t="str">
        <x:v>TXN-0000720</x:v>
      </x:c>
      <x:c r="B721" t="str">
        <x:v>2026-02</x:v>
      </x:c>
      <x:c r="C721" t="n">
        <x:v>46064</x:v>
      </x:c>
      <x:c r="D721" t="str">
        <x:v>USR-00083</x:v>
      </x:c>
      <x:c r="E721" t="str">
        <x:v>SUS-000218</x:v>
      </x:c>
      <x:c r="F721" t="str">
        <x:v>Plus mensual</x:v>
      </x:c>
      <x:c r="G721" t="str">
        <x:v>Mensual</x:v>
      </x:c>
      <x:c r="H721" t="n">
        <x:v>1</x:v>
      </x:c>
      <x:c r="I721" t="str">
        <x:v>Aprobado</x:v>
      </x:c>
      <x:c r="J721" t="n">
        <x:v>29900</x:v>
      </x:c>
      <x:c r="K721" t="str">
        <x:v>Tarjeta débito</x:v>
      </x:c>
      <x:c r="L721" t="str">
        <x:v>Sin error</x:v>
      </x:c>
    </x:row>
    <x:row r="722">
      <x:c r="A722" t="str">
        <x:v>TXN-0000721</x:v>
      </x:c>
      <x:c r="B722" t="str">
        <x:v>2026-02</x:v>
      </x:c>
      <x:c r="C722" t="n">
        <x:v>46063</x:v>
      </x:c>
      <x:c r="D722" t="str">
        <x:v>USR-00087</x:v>
      </x:c>
      <x:c r="E722" t="str">
        <x:v>SUS-000219</x:v>
      </x:c>
      <x:c r="F722" t="str">
        <x:v>Plus mensual</x:v>
      </x:c>
      <x:c r="G722" t="str">
        <x:v>Mensual</x:v>
      </x:c>
      <x:c r="H722" t="n">
        <x:v>1</x:v>
      </x:c>
      <x:c r="I722" t="str">
        <x:v>Aprobado</x:v>
      </x:c>
      <x:c r="J722" t="n">
        <x:v>29900</x:v>
      </x:c>
      <x:c r="K722" t="str">
        <x:v>Tarjeta crédito</x:v>
      </x:c>
      <x:c r="L722" t="str">
        <x:v>Sin error</x:v>
      </x:c>
    </x:row>
    <x:row r="723">
      <x:c r="A723" t="str">
        <x:v>TXN-0000722</x:v>
      </x:c>
      <x:c r="B723" t="str">
        <x:v>2026-02</x:v>
      </x:c>
      <x:c r="C723" t="n">
        <x:v>46058</x:v>
      </x:c>
      <x:c r="D723" t="str">
        <x:v>USR-00091</x:v>
      </x:c>
      <x:c r="E723" t="str">
        <x:v>SUS-000736</x:v>
      </x:c>
      <x:c r="F723" t="str">
        <x:v>Plus mensual</x:v>
      </x:c>
      <x:c r="G723" t="str">
        <x:v>Mensual</x:v>
      </x:c>
      <x:c r="H723" t="n">
        <x:v>1</x:v>
      </x:c>
      <x:c r="I723" t="str">
        <x:v>Aprobado</x:v>
      </x:c>
      <x:c r="J723" t="n">
        <x:v>29900</x:v>
      </x:c>
      <x:c r="K723" t="str">
        <x:v>Tarjeta crédito</x:v>
      </x:c>
      <x:c r="L723" t="str">
        <x:v>Sin error</x:v>
      </x:c>
    </x:row>
    <x:row r="724">
      <x:c r="A724" t="str">
        <x:v>TXN-0000723</x:v>
      </x:c>
      <x:c r="B724" t="str">
        <x:v>2026-02</x:v>
      </x:c>
      <x:c r="C724" t="n">
        <x:v>46060</x:v>
      </x:c>
      <x:c r="D724" t="str">
        <x:v>USR-00096</x:v>
      </x:c>
      <x:c r="E724" t="str">
        <x:v>SUS-000273</x:v>
      </x:c>
      <x:c r="F724" t="str">
        <x:v>Plus mensual</x:v>
      </x:c>
      <x:c r="G724" t="str">
        <x:v>Mensual</x:v>
      </x:c>
      <x:c r="H724" t="n">
        <x:v>1</x:v>
      </x:c>
      <x:c r="I724" t="str">
        <x:v>Aprobado</x:v>
      </x:c>
      <x:c r="J724" t="n">
        <x:v>29900</x:v>
      </x:c>
      <x:c r="K724" t="str">
        <x:v>Tarjeta débito</x:v>
      </x:c>
      <x:c r="L724" t="str">
        <x:v>Sin error</x:v>
      </x:c>
    </x:row>
    <x:row r="725">
      <x:c r="A725" t="str">
        <x:v>TXN-0000724</x:v>
      </x:c>
      <x:c r="B725" t="str">
        <x:v>2026-02</x:v>
      </x:c>
      <x:c r="C725" t="n">
        <x:v>46060</x:v>
      </x:c>
      <x:c r="D725" t="str">
        <x:v>USR-00097</x:v>
      </x:c>
      <x:c r="E725" t="str">
        <x:v>SUS-000529</x:v>
      </x:c>
      <x:c r="F725" t="str">
        <x:v>Plus mensual</x:v>
      </x:c>
      <x:c r="G725" t="str">
        <x:v>Mensual</x:v>
      </x:c>
      <x:c r="H725" t="n">
        <x:v>1</x:v>
      </x:c>
      <x:c r="I725" t="str">
        <x:v>Aprobado</x:v>
      </x:c>
      <x:c r="J725" t="n">
        <x:v>29900</x:v>
      </x:c>
      <x:c r="K725" t="str">
        <x:v>Tarjeta débito</x:v>
      </x:c>
      <x:c r="L725" t="str">
        <x:v>Sin error</x:v>
      </x:c>
    </x:row>
    <x:row r="726">
      <x:c r="A726" t="str">
        <x:v>TXN-0000725</x:v>
      </x:c>
      <x:c r="B726" t="str">
        <x:v>2026-02</x:v>
      </x:c>
      <x:c r="C726" t="n">
        <x:v>46065</x:v>
      </x:c>
      <x:c r="D726" t="str">
        <x:v>USR-00099</x:v>
      </x:c>
      <x:c r="E726" t="str">
        <x:v>SUS-000337</x:v>
      </x:c>
      <x:c r="F726" t="str">
        <x:v>Plus mensual</x:v>
      </x:c>
      <x:c r="G726" t="str">
        <x:v>Mensual</x:v>
      </x:c>
      <x:c r="H726" t="n">
        <x:v>1</x:v>
      </x:c>
      <x:c r="I726" t="str">
        <x:v>Aprobado</x:v>
      </x:c>
      <x:c r="J726" t="n">
        <x:v>29900</x:v>
      </x:c>
      <x:c r="K726" t="str">
        <x:v>PSE</x:v>
      </x:c>
      <x:c r="L726" t="str">
        <x:v>Sin error</x:v>
      </x:c>
    </x:row>
    <x:row r="727">
      <x:c r="A727" t="str">
        <x:v>TXN-0000726</x:v>
      </x:c>
      <x:c r="B727" t="str">
        <x:v>2026-02</x:v>
      </x:c>
      <x:c r="C727" t="n">
        <x:v>46064</x:v>
      </x:c>
      <x:c r="D727" t="str">
        <x:v>USR-00100</x:v>
      </x:c>
      <x:c r="E727" t="str">
        <x:v>SUS-000108</x:v>
      </x:c>
      <x:c r="F727" t="str">
        <x:v>Plus mensual</x:v>
      </x:c>
      <x:c r="G727" t="str">
        <x:v>Mensual</x:v>
      </x:c>
      <x:c r="H727" t="n">
        <x:v>1</x:v>
      </x:c>
      <x:c r="I727" t="str">
        <x:v>Aprobado</x:v>
      </x:c>
      <x:c r="J727" t="n">
        <x:v>29900</x:v>
      </x:c>
      <x:c r="K727" t="str">
        <x:v>Tarjeta débito</x:v>
      </x:c>
      <x:c r="L727" t="str">
        <x:v>Sin error</x:v>
      </x:c>
    </x:row>
    <x:row r="728">
      <x:c r="A728" t="str">
        <x:v>TXN-0000727</x:v>
      </x:c>
      <x:c r="B728" t="str">
        <x:v>2026-02</x:v>
      </x:c>
      <x:c r="C728" t="n">
        <x:v>46062</x:v>
      </x:c>
      <x:c r="D728" t="str">
        <x:v>USR-00116</x:v>
      </x:c>
      <x:c r="E728" t="str">
        <x:v>SUS-000390</x:v>
      </x:c>
      <x:c r="F728" t="str">
        <x:v>Plus mensual</x:v>
      </x:c>
      <x:c r="G728" t="str">
        <x:v>Mensual</x:v>
      </x:c>
      <x:c r="H728" t="n">
        <x:v>1</x:v>
      </x:c>
      <x:c r="I728" t="str">
        <x:v>Aprobado</x:v>
      </x:c>
      <x:c r="J728" t="n">
        <x:v>29900</x:v>
      </x:c>
      <x:c r="K728" t="str">
        <x:v>Tarjeta crédito</x:v>
      </x:c>
      <x:c r="L728" t="str">
        <x:v>Sin error</x:v>
      </x:c>
    </x:row>
    <x:row r="729">
      <x:c r="A729" t="str">
        <x:v>TXN-0000728</x:v>
      </x:c>
      <x:c r="B729" t="str">
        <x:v>2026-02</x:v>
      </x:c>
      <x:c r="C729" t="n">
        <x:v>46060</x:v>
      </x:c>
      <x:c r="D729" t="str">
        <x:v>USR-00119</x:v>
      </x:c>
      <x:c r="E729" t="str">
        <x:v>SUS-000737</x:v>
      </x:c>
      <x:c r="F729" t="str">
        <x:v>Plus anual</x:v>
      </x:c>
      <x:c r="G729" t="str">
        <x:v>Anual</x:v>
      </x:c>
      <x:c r="H729" t="n">
        <x:v>1</x:v>
      </x:c>
      <x:c r="I729" t="str">
        <x:v>Aprobado</x:v>
      </x:c>
      <x:c r="J729" t="n">
        <x:v>299000</x:v>
      </x:c>
      <x:c r="K729" t="str">
        <x:v>Tarjeta crédito</x:v>
      </x:c>
      <x:c r="L729" t="str">
        <x:v>Sin error</x:v>
      </x:c>
    </x:row>
    <x:row r="730">
      <x:c r="A730" t="str">
        <x:v>TXN-0000729</x:v>
      </x:c>
      <x:c r="B730" t="str">
        <x:v>2026-02</x:v>
      </x:c>
      <x:c r="C730" t="n">
        <x:v>46063</x:v>
      </x:c>
      <x:c r="D730" t="str">
        <x:v>USR-00121</x:v>
      </x:c>
      <x:c r="E730" t="str">
        <x:v>SUS-000222</x:v>
      </x:c>
      <x:c r="F730" t="str">
        <x:v>Plus mensual</x:v>
      </x:c>
      <x:c r="G730" t="str">
        <x:v>Mensual</x:v>
      </x:c>
      <x:c r="H730" t="n">
        <x:v>1</x:v>
      </x:c>
      <x:c r="I730" t="str">
        <x:v>Aprobado</x:v>
      </x:c>
      <x:c r="J730" t="n">
        <x:v>29900</x:v>
      </x:c>
      <x:c r="K730" t="str">
        <x:v>Tarjeta crédito</x:v>
      </x:c>
      <x:c r="L730" t="str">
        <x:v>Sin error</x:v>
      </x:c>
    </x:row>
    <x:row r="731">
      <x:c r="A731" t="str">
        <x:v>TXN-0000730</x:v>
      </x:c>
      <x:c r="B731" t="str">
        <x:v>2026-02</x:v>
      </x:c>
      <x:c r="C731" t="n">
        <x:v>46061</x:v>
      </x:c>
      <x:c r="D731" t="str">
        <x:v>USR-00131</x:v>
      </x:c>
      <x:c r="E731" t="str">
        <x:v>SUS-000619</x:v>
      </x:c>
      <x:c r="F731" t="str">
        <x:v>Plus mensual</x:v>
      </x:c>
      <x:c r="G731" t="str">
        <x:v>Mensual</x:v>
      </x:c>
      <x:c r="H731" t="n">
        <x:v>1</x:v>
      </x:c>
      <x:c r="I731" t="str">
        <x:v>Aprobado</x:v>
      </x:c>
      <x:c r="J731" t="n">
        <x:v>29900</x:v>
      </x:c>
      <x:c r="K731" t="str">
        <x:v>Tarjeta débito</x:v>
      </x:c>
      <x:c r="L731" t="str">
        <x:v>Sin error</x:v>
      </x:c>
    </x:row>
    <x:row r="732">
      <x:c r="A732" t="str">
        <x:v>TXN-0000731</x:v>
      </x:c>
      <x:c r="B732" t="str">
        <x:v>2026-02</x:v>
      </x:c>
      <x:c r="C732" t="n">
        <x:v>46061</x:v>
      </x:c>
      <x:c r="D732" t="str">
        <x:v>USR-00145</x:v>
      </x:c>
      <x:c r="E732" t="str">
        <x:v>SUS-000168</x:v>
      </x:c>
      <x:c r="F732" t="str">
        <x:v>Plus mensual</x:v>
      </x:c>
      <x:c r="G732" t="str">
        <x:v>Mensual</x:v>
      </x:c>
      <x:c r="H732" t="n">
        <x:v>1</x:v>
      </x:c>
      <x:c r="I732" t="str">
        <x:v>Aprobado</x:v>
      </x:c>
      <x:c r="J732" t="n">
        <x:v>29900</x:v>
      </x:c>
      <x:c r="K732" t="str">
        <x:v>Tarjeta crédito</x:v>
      </x:c>
      <x:c r="L732" t="str">
        <x:v>Sin error</x:v>
      </x:c>
    </x:row>
    <x:row r="733">
      <x:c r="A733" t="str">
        <x:v>TXN-0000732</x:v>
      </x:c>
      <x:c r="B733" t="str">
        <x:v>2026-02</x:v>
      </x:c>
      <x:c r="C733" t="n">
        <x:v>46058</x:v>
      </x:c>
      <x:c r="D733" t="str">
        <x:v>USR-00146</x:v>
      </x:c>
      <x:c r="E733" t="str">
        <x:v>SUS-000739</x:v>
      </x:c>
      <x:c r="F733" t="str">
        <x:v>Plus anual</x:v>
      </x:c>
      <x:c r="G733" t="str">
        <x:v>Anual</x:v>
      </x:c>
      <x:c r="H733" t="n">
        <x:v>1</x:v>
      </x:c>
      <x:c r="I733" t="str">
        <x:v>Aprobado</x:v>
      </x:c>
      <x:c r="J733" t="n">
        <x:v>299000</x:v>
      </x:c>
      <x:c r="K733" t="str">
        <x:v>PSE</x:v>
      </x:c>
      <x:c r="L733" t="str">
        <x:v>Sin error</x:v>
      </x:c>
    </x:row>
    <x:row r="734">
      <x:c r="A734" t="str">
        <x:v>TXN-0000733</x:v>
      </x:c>
      <x:c r="B734" t="str">
        <x:v>2026-02</x:v>
      </x:c>
      <x:c r="C734" t="n">
        <x:v>46063</x:v>
      </x:c>
      <x:c r="D734" t="str">
        <x:v>USR-00148</x:v>
      </x:c>
      <x:c r="E734" t="str">
        <x:v>SUS-000740</x:v>
      </x:c>
      <x:c r="F734" t="str">
        <x:v>Plus mensual</x:v>
      </x:c>
      <x:c r="G734" t="str">
        <x:v>Mensual</x:v>
      </x:c>
      <x:c r="H734" t="n">
        <x:v>1</x:v>
      </x:c>
      <x:c r="I734" t="str">
        <x:v>Aprobado</x:v>
      </x:c>
      <x:c r="J734" t="n">
        <x:v>29900</x:v>
      </x:c>
      <x:c r="K734" t="str">
        <x:v>Tarjeta débito</x:v>
      </x:c>
      <x:c r="L734" t="str">
        <x:v>Sin error</x:v>
      </x:c>
    </x:row>
    <x:row r="735">
      <x:c r="A735" t="str">
        <x:v>TXN-0000734</x:v>
      </x:c>
      <x:c r="B735" t="str">
        <x:v>2026-02</x:v>
      </x:c>
      <x:c r="C735" t="n">
        <x:v>46060</x:v>
      </x:c>
      <x:c r="D735" t="str">
        <x:v>USR-00154</x:v>
      </x:c>
      <x:c r="E735" t="str">
        <x:v>SUS-000278</x:v>
      </x:c>
      <x:c r="F735" t="str">
        <x:v>Plus mensual</x:v>
      </x:c>
      <x:c r="G735" t="str">
        <x:v>Mensual</x:v>
      </x:c>
      <x:c r="H735" t="n">
        <x:v>1</x:v>
      </x:c>
      <x:c r="I735" t="str">
        <x:v>Aprobado</x:v>
      </x:c>
      <x:c r="J735" t="n">
        <x:v>29900</x:v>
      </x:c>
      <x:c r="K735" t="str">
        <x:v>Tarjeta crédito</x:v>
      </x:c>
      <x:c r="L735" t="str">
        <x:v>Sin error</x:v>
      </x:c>
    </x:row>
    <x:row r="736">
      <x:c r="A736" t="str">
        <x:v>TXN-0000735</x:v>
      </x:c>
      <x:c r="B736" t="str">
        <x:v>2026-02</x:v>
      </x:c>
      <x:c r="C736" t="n">
        <x:v>46064</x:v>
      </x:c>
      <x:c r="D736" t="str">
        <x:v>USR-00155</x:v>
      </x:c>
      <x:c r="E736" t="str">
        <x:v>SUS-000462</x:v>
      </x:c>
      <x:c r="F736" t="str">
        <x:v>Plus mensual</x:v>
      </x:c>
      <x:c r="G736" t="str">
        <x:v>Mensual</x:v>
      </x:c>
      <x:c r="H736" t="n">
        <x:v>1</x:v>
      </x:c>
      <x:c r="I736" t="str">
        <x:v>Rechazado</x:v>
      </x:c>
      <x:c r="J736" t="n">
        <x:v>29900</x:v>
      </x:c>
      <x:c r="K736" t="str">
        <x:v>PSE</x:v>
      </x:c>
      <x:c r="L736" t="str">
        <x:v>Declinado por entidad</x:v>
      </x:c>
    </x:row>
    <x:row r="737">
      <x:c r="A737" t="str">
        <x:v>TXN-0000736</x:v>
      </x:c>
      <x:c r="B737" t="str">
        <x:v>2026-02</x:v>
      </x:c>
      <x:c r="C737" t="n">
        <x:v>46059</x:v>
      </x:c>
      <x:c r="D737" t="str">
        <x:v>USR-00155</x:v>
      </x:c>
      <x:c r="E737" t="str">
        <x:v>SUS-000462</x:v>
      </x:c>
      <x:c r="F737" t="str">
        <x:v>Plus mensual</x:v>
      </x:c>
      <x:c r="G737" t="str">
        <x:v>Mensual</x:v>
      </x:c>
      <x:c r="H737" t="n">
        <x:v>2</x:v>
      </x:c>
      <x:c r="I737" t="str">
        <x:v>Aprobado</x:v>
      </x:c>
      <x:c r="J737" t="n">
        <x:v>29900</x:v>
      </x:c>
      <x:c r="K737" t="str">
        <x:v>Tarjeta débito</x:v>
      </x:c>
      <x:c r="L737" t="str">
        <x:v>Sin error</x:v>
      </x:c>
    </x:row>
    <x:row r="738">
      <x:c r="A738" t="str">
        <x:v>TXN-0000737</x:v>
      </x:c>
      <x:c r="B738" t="str">
        <x:v>2026-02</x:v>
      </x:c>
      <x:c r="C738" t="n">
        <x:v>46061</x:v>
      </x:c>
      <x:c r="D738" t="str">
        <x:v>USR-00162</x:v>
      </x:c>
      <x:c r="E738" t="str">
        <x:v>SUS-000225</x:v>
      </x:c>
      <x:c r="F738" t="str">
        <x:v>Plus mensual</x:v>
      </x:c>
      <x:c r="G738" t="str">
        <x:v>Mensual</x:v>
      </x:c>
      <x:c r="H738" t="n">
        <x:v>1</x:v>
      </x:c>
      <x:c r="I738" t="str">
        <x:v>Aprobado</x:v>
      </x:c>
      <x:c r="J738" t="n">
        <x:v>29900</x:v>
      </x:c>
      <x:c r="K738" t="str">
        <x:v>PSE</x:v>
      </x:c>
      <x:c r="L738" t="str">
        <x:v>Sin error</x:v>
      </x:c>
    </x:row>
    <x:row r="739">
      <x:c r="A739" t="str">
        <x:v>TXN-0000738</x:v>
      </x:c>
      <x:c r="B739" t="str">
        <x:v>2026-02</x:v>
      </x:c>
      <x:c r="C739" t="n">
        <x:v>46064</x:v>
      </x:c>
      <x:c r="D739" t="str">
        <x:v>USR-00164</x:v>
      </x:c>
      <x:c r="E739" t="str">
        <x:v>SUS-000534</x:v>
      </x:c>
      <x:c r="F739" t="str">
        <x:v>Plus mensual</x:v>
      </x:c>
      <x:c r="G739" t="str">
        <x:v>Mensual</x:v>
      </x:c>
      <x:c r="H739" t="n">
        <x:v>1</x:v>
      </x:c>
      <x:c r="I739" t="str">
        <x:v>Aprobado</x:v>
      </x:c>
      <x:c r="J739" t="n">
        <x:v>29900</x:v>
      </x:c>
      <x:c r="K739" t="str">
        <x:v>PSE</x:v>
      </x:c>
      <x:c r="L739" t="str">
        <x:v>Sin error</x:v>
      </x:c>
    </x:row>
    <x:row r="740">
      <x:c r="A740" t="str">
        <x:v>TXN-0000739</x:v>
      </x:c>
      <x:c r="B740" t="str">
        <x:v>2026-02</x:v>
      </x:c>
      <x:c r="C740" t="n">
        <x:v>46061</x:v>
      </x:c>
      <x:c r="D740" t="str">
        <x:v>USR-00167</x:v>
      </x:c>
      <x:c r="E740" t="str">
        <x:v>SUS-000226</x:v>
      </x:c>
      <x:c r="F740" t="str">
        <x:v>Plus mensual</x:v>
      </x:c>
      <x:c r="G740" t="str">
        <x:v>Mensual</x:v>
      </x:c>
      <x:c r="H740" t="n">
        <x:v>1</x:v>
      </x:c>
      <x:c r="I740" t="str">
        <x:v>Aprobado</x:v>
      </x:c>
      <x:c r="J740" t="n">
        <x:v>29900</x:v>
      </x:c>
      <x:c r="K740" t="str">
        <x:v>Tarjeta crédito</x:v>
      </x:c>
      <x:c r="L740" t="str">
        <x:v>Sin error</x:v>
      </x:c>
    </x:row>
    <x:row r="741">
      <x:c r="A741" t="str">
        <x:v>TXN-0000740</x:v>
      </x:c>
      <x:c r="B741" t="str">
        <x:v>2026-02</x:v>
      </x:c>
      <x:c r="C741" t="n">
        <x:v>46060</x:v>
      </x:c>
      <x:c r="D741" t="str">
        <x:v>USR-00170</x:v>
      </x:c>
      <x:c r="E741" t="str">
        <x:v>SUS-000392</x:v>
      </x:c>
      <x:c r="F741" t="str">
        <x:v>Plus mensual</x:v>
      </x:c>
      <x:c r="G741" t="str">
        <x:v>Mensual</x:v>
      </x:c>
      <x:c r="H741" t="n">
        <x:v>1</x:v>
      </x:c>
      <x:c r="I741" t="str">
        <x:v>Aprobado</x:v>
      </x:c>
      <x:c r="J741" t="n">
        <x:v>29900</x:v>
      </x:c>
      <x:c r="K741" t="str">
        <x:v>PSE</x:v>
      </x:c>
      <x:c r="L741" t="str">
        <x:v>Sin error</x:v>
      </x:c>
    </x:row>
    <x:row r="742">
      <x:c r="A742" t="str">
        <x:v>TXN-0000741</x:v>
      </x:c>
      <x:c r="B742" t="str">
        <x:v>2026-02</x:v>
      </x:c>
      <x:c r="C742" t="n">
        <x:v>46062</x:v>
      </x:c>
      <x:c r="D742" t="str">
        <x:v>USR-00174</x:v>
      </x:c>
      <x:c r="E742" t="str">
        <x:v>SUS-000280</x:v>
      </x:c>
      <x:c r="F742" t="str">
        <x:v>Plus mensual</x:v>
      </x:c>
      <x:c r="G742" t="str">
        <x:v>Mensual</x:v>
      </x:c>
      <x:c r="H742" t="n">
        <x:v>1</x:v>
      </x:c>
      <x:c r="I742" t="str">
        <x:v>Aprobado</x:v>
      </x:c>
      <x:c r="J742" t="n">
        <x:v>29900</x:v>
      </x:c>
      <x:c r="K742" t="str">
        <x:v>Tarjeta débito</x:v>
      </x:c>
      <x:c r="L742" t="str">
        <x:v>Sin error</x:v>
      </x:c>
    </x:row>
    <x:row r="743">
      <x:c r="A743" t="str">
        <x:v>TXN-0000742</x:v>
      </x:c>
      <x:c r="B743" t="str">
        <x:v>2026-02</x:v>
      </x:c>
      <x:c r="C743" t="n">
        <x:v>46063</x:v>
      </x:c>
      <x:c r="D743" t="str">
        <x:v>USR-00181</x:v>
      </x:c>
      <x:c r="E743" t="str">
        <x:v>SUS-000741</x:v>
      </x:c>
      <x:c r="F743" t="str">
        <x:v>Plus anual</x:v>
      </x:c>
      <x:c r="G743" t="str">
        <x:v>Anual</x:v>
      </x:c>
      <x:c r="H743" t="n">
        <x:v>1</x:v>
      </x:c>
      <x:c r="I743" t="str">
        <x:v>Aprobado</x:v>
      </x:c>
      <x:c r="J743" t="n">
        <x:v>299000</x:v>
      </x:c>
      <x:c r="K743" t="str">
        <x:v>Tarjeta crédito</x:v>
      </x:c>
      <x:c r="L743" t="str">
        <x:v>Sin error</x:v>
      </x:c>
    </x:row>
    <x:row r="744">
      <x:c r="A744" t="str">
        <x:v>TXN-0000743</x:v>
      </x:c>
      <x:c r="B744" t="str">
        <x:v>2026-02</x:v>
      </x:c>
      <x:c r="C744" t="n">
        <x:v>46064</x:v>
      </x:c>
      <x:c r="D744" t="str">
        <x:v>USR-00184</x:v>
      </x:c>
      <x:c r="E744" t="str">
        <x:v>SUS-000281</x:v>
      </x:c>
      <x:c r="F744" t="str">
        <x:v>Plus mensual</x:v>
      </x:c>
      <x:c r="G744" t="str">
        <x:v>Mensual</x:v>
      </x:c>
      <x:c r="H744" t="n">
        <x:v>1</x:v>
      </x:c>
      <x:c r="I744" t="str">
        <x:v>Aprobado</x:v>
      </x:c>
      <x:c r="J744" t="n">
        <x:v>29900</x:v>
      </x:c>
      <x:c r="K744" t="str">
        <x:v>PSE</x:v>
      </x:c>
      <x:c r="L744" t="str">
        <x:v>Sin error</x:v>
      </x:c>
    </x:row>
    <x:row r="745">
      <x:c r="A745" t="str">
        <x:v>TXN-0000744</x:v>
      </x:c>
      <x:c r="B745" t="str">
        <x:v>2026-02</x:v>
      </x:c>
      <x:c r="C745" t="n">
        <x:v>46060</x:v>
      </x:c>
      <x:c r="D745" t="str">
        <x:v>USR-00188</x:v>
      </x:c>
      <x:c r="E745" t="str">
        <x:v>SUS-000229</x:v>
      </x:c>
      <x:c r="F745" t="str">
        <x:v>Plus mensual</x:v>
      </x:c>
      <x:c r="G745" t="str">
        <x:v>Mensual</x:v>
      </x:c>
      <x:c r="H745" t="n">
        <x:v>1</x:v>
      </x:c>
      <x:c r="I745" t="str">
        <x:v>Aprobado</x:v>
      </x:c>
      <x:c r="J745" t="n">
        <x:v>29900</x:v>
      </x:c>
      <x:c r="K745" t="str">
        <x:v>PSE</x:v>
      </x:c>
      <x:c r="L745" t="str">
        <x:v>Sin error</x:v>
      </x:c>
    </x:row>
    <x:row r="746">
      <x:c r="A746" t="str">
        <x:v>TXN-0000745</x:v>
      </x:c>
      <x:c r="B746" t="str">
        <x:v>2026-02</x:v>
      </x:c>
      <x:c r="C746" t="n">
        <x:v>46061</x:v>
      </x:c>
      <x:c r="D746" t="str">
        <x:v>USR-00191</x:v>
      </x:c>
      <x:c r="E746" t="str">
        <x:v>SUS-000743</x:v>
      </x:c>
      <x:c r="F746" t="str">
        <x:v>Plus anual</x:v>
      </x:c>
      <x:c r="G746" t="str">
        <x:v>Anual</x:v>
      </x:c>
      <x:c r="H746" t="n">
        <x:v>1</x:v>
      </x:c>
      <x:c r="I746" t="str">
        <x:v>Rechazado</x:v>
      </x:c>
      <x:c r="J746" t="n">
        <x:v>299000</x:v>
      </x:c>
      <x:c r="K746" t="str">
        <x:v>PSE</x:v>
      </x:c>
      <x:c r="L746" t="str">
        <x:v>Fondos insuficientes</x:v>
      </x:c>
    </x:row>
    <x:row r="747">
      <x:c r="A747" t="str">
        <x:v>TXN-0000746</x:v>
      </x:c>
      <x:c r="B747" t="str">
        <x:v>2026-02</x:v>
      </x:c>
      <x:c r="C747" t="n">
        <x:v>46061</x:v>
      </x:c>
      <x:c r="D747" t="str">
        <x:v>USR-00191</x:v>
      </x:c>
      <x:c r="E747" t="str">
        <x:v>SUS-000743</x:v>
      </x:c>
      <x:c r="F747" t="str">
        <x:v>Plus anual</x:v>
      </x:c>
      <x:c r="G747" t="str">
        <x:v>Anual</x:v>
      </x:c>
      <x:c r="H747" t="n">
        <x:v>2</x:v>
      </x:c>
      <x:c r="I747" t="str">
        <x:v>Aprobado</x:v>
      </x:c>
      <x:c r="J747" t="n">
        <x:v>299000</x:v>
      </x:c>
      <x:c r="K747" t="str">
        <x:v>Tarjeta débito</x:v>
      </x:c>
      <x:c r="L747" t="str">
        <x:v>Sin error</x:v>
      </x:c>
    </x:row>
    <x:row r="748">
      <x:c r="A748" t="str">
        <x:v>TXN-0000747</x:v>
      </x:c>
      <x:c r="B748" t="str">
        <x:v>2026-02</x:v>
      </x:c>
      <x:c r="C748" t="n">
        <x:v>46062</x:v>
      </x:c>
      <x:c r="D748" t="str">
        <x:v>USR-00197</x:v>
      </x:c>
      <x:c r="E748" t="str">
        <x:v>SUS-000744</x:v>
      </x:c>
      <x:c r="F748" t="str">
        <x:v>Plus anual</x:v>
      </x:c>
      <x:c r="G748" t="str">
        <x:v>Anual</x:v>
      </x:c>
      <x:c r="H748" t="n">
        <x:v>1</x:v>
      </x:c>
      <x:c r="I748" t="str">
        <x:v>Aprobado</x:v>
      </x:c>
      <x:c r="J748" t="n">
        <x:v>299000</x:v>
      </x:c>
      <x:c r="K748" t="str">
        <x:v>PSE</x:v>
      </x:c>
      <x:c r="L748" t="str">
        <x:v>Sin error</x:v>
      </x:c>
    </x:row>
    <x:row r="749">
      <x:c r="A749" t="str">
        <x:v>TXN-0000748</x:v>
      </x:c>
      <x:c r="B749" t="str">
        <x:v>2026-02</x:v>
      </x:c>
      <x:c r="C749" t="n">
        <x:v>46063</x:v>
      </x:c>
      <x:c r="D749" t="str">
        <x:v>USR-00201</x:v>
      </x:c>
      <x:c r="E749" t="str">
        <x:v>SUS-000242</x:v>
      </x:c>
      <x:c r="F749" t="str">
        <x:v>Plus mensual</x:v>
      </x:c>
      <x:c r="G749" t="str">
        <x:v>Mensual</x:v>
      </x:c>
      <x:c r="H749" t="n">
        <x:v>1</x:v>
      </x:c>
      <x:c r="I749" t="str">
        <x:v>Aprobado</x:v>
      </x:c>
      <x:c r="J749" t="n">
        <x:v>29900</x:v>
      </x:c>
      <x:c r="K749" t="str">
        <x:v>Tarjeta crédito</x:v>
      </x:c>
      <x:c r="L749" t="str">
        <x:v>Sin error</x:v>
      </x:c>
    </x:row>
    <x:row r="750">
      <x:c r="A750" t="str">
        <x:v>TXN-0000749</x:v>
      </x:c>
      <x:c r="B750" t="str">
        <x:v>2026-02</x:v>
      </x:c>
      <x:c r="C750" t="n">
        <x:v>46062</x:v>
      </x:c>
      <x:c r="D750" t="str">
        <x:v>USR-00205</x:v>
      </x:c>
      <x:c r="E750" t="str">
        <x:v>SUS-000746</x:v>
      </x:c>
      <x:c r="F750" t="str">
        <x:v>Plus mensual</x:v>
      </x:c>
      <x:c r="G750" t="str">
        <x:v>Mensual</x:v>
      </x:c>
      <x:c r="H750" t="n">
        <x:v>1</x:v>
      </x:c>
      <x:c r="I750" t="str">
        <x:v>Rechazado</x:v>
      </x:c>
      <x:c r="J750" t="n">
        <x:v>29900</x:v>
      </x:c>
      <x:c r="K750" t="str">
        <x:v>Tarjeta crédito</x:v>
      </x:c>
      <x:c r="L750" t="str">
        <x:v>Error temporal</x:v>
      </x:c>
    </x:row>
    <x:row r="751">
      <x:c r="A751" t="str">
        <x:v>TXN-0000750</x:v>
      </x:c>
      <x:c r="B751" t="str">
        <x:v>2026-02</x:v>
      </x:c>
      <x:c r="C751" t="n">
        <x:v>46060</x:v>
      </x:c>
      <x:c r="D751" t="str">
        <x:v>USR-00205</x:v>
      </x:c>
      <x:c r="E751" t="str">
        <x:v>SUS-000746</x:v>
      </x:c>
      <x:c r="F751" t="str">
        <x:v>Plus mensual</x:v>
      </x:c>
      <x:c r="G751" t="str">
        <x:v>Mensual</x:v>
      </x:c>
      <x:c r="H751" t="n">
        <x:v>2</x:v>
      </x:c>
      <x:c r="I751" t="str">
        <x:v>Aprobado</x:v>
      </x:c>
      <x:c r="J751" t="n">
        <x:v>29900</x:v>
      </x:c>
      <x:c r="K751" t="str">
        <x:v>PSE</x:v>
      </x:c>
      <x:c r="L751" t="str">
        <x:v>Sin error</x:v>
      </x:c>
    </x:row>
    <x:row r="752">
      <x:c r="A752" t="str">
        <x:v>TXN-0000751</x:v>
      </x:c>
      <x:c r="B752" t="str">
        <x:v>2026-02</x:v>
      </x:c>
      <x:c r="C752" t="n">
        <x:v>46061</x:v>
      </x:c>
      <x:c r="D752" t="str">
        <x:v>USR-00206</x:v>
      </x:c>
      <x:c r="E752" t="str">
        <x:v>SUS-000623</x:v>
      </x:c>
      <x:c r="F752" t="str">
        <x:v>Plus mensual</x:v>
      </x:c>
      <x:c r="G752" t="str">
        <x:v>Mensual</x:v>
      </x:c>
      <x:c r="H752" t="n">
        <x:v>1</x:v>
      </x:c>
      <x:c r="I752" t="str">
        <x:v>Aprobado</x:v>
      </x:c>
      <x:c r="J752" t="n">
        <x:v>29900</x:v>
      </x:c>
      <x:c r="K752" t="str">
        <x:v>Tarjeta crédito</x:v>
      </x:c>
      <x:c r="L752" t="str">
        <x:v>Sin error</x:v>
      </x:c>
    </x:row>
    <x:row r="753">
      <x:c r="A753" t="str">
        <x:v>TXN-0000752</x:v>
      </x:c>
      <x:c r="B753" t="str">
        <x:v>2026-02</x:v>
      </x:c>
      <x:c r="C753" t="n">
        <x:v>46059</x:v>
      </x:c>
      <x:c r="D753" t="str">
        <x:v>USR-00207</x:v>
      </x:c>
      <x:c r="E753" t="str">
        <x:v>SUS-000624</x:v>
      </x:c>
      <x:c r="F753" t="str">
        <x:v>Plus mensual</x:v>
      </x:c>
      <x:c r="G753" t="str">
        <x:v>Mensual</x:v>
      </x:c>
      <x:c r="H753" t="n">
        <x:v>1</x:v>
      </x:c>
      <x:c r="I753" t="str">
        <x:v>Aprobado</x:v>
      </x:c>
      <x:c r="J753" t="n">
        <x:v>29900</x:v>
      </x:c>
      <x:c r="K753" t="str">
        <x:v>Tarjeta crédito</x:v>
      </x:c>
      <x:c r="L753" t="str">
        <x:v>Sin error</x:v>
      </x:c>
    </x:row>
    <x:row r="754">
      <x:c r="A754" t="str">
        <x:v>TXN-0000753</x:v>
      </x:c>
      <x:c r="B754" t="str">
        <x:v>2026-02</x:v>
      </x:c>
      <x:c r="C754" t="n">
        <x:v>46065</x:v>
      </x:c>
      <x:c r="D754" t="str">
        <x:v>USR-00211</x:v>
      </x:c>
      <x:c r="E754" t="str">
        <x:v>SUS-000747</x:v>
      </x:c>
      <x:c r="F754" t="str">
        <x:v>Plus mensual</x:v>
      </x:c>
      <x:c r="G754" t="str">
        <x:v>Mensual</x:v>
      </x:c>
      <x:c r="H754" t="n">
        <x:v>1</x:v>
      </x:c>
      <x:c r="I754" t="str">
        <x:v>Aprobado</x:v>
      </x:c>
      <x:c r="J754" t="n">
        <x:v>29900</x:v>
      </x:c>
      <x:c r="K754" t="str">
        <x:v>Tarjeta débito</x:v>
      </x:c>
      <x:c r="L754" t="str">
        <x:v>Sin error</x:v>
      </x:c>
    </x:row>
    <x:row r="755">
      <x:c r="A755" t="str">
        <x:v>TXN-0000754</x:v>
      </x:c>
      <x:c r="B755" t="str">
        <x:v>2026-02</x:v>
      </x:c>
      <x:c r="C755" t="n">
        <x:v>46062</x:v>
      </x:c>
      <x:c r="D755" t="str">
        <x:v>USR-00214</x:v>
      </x:c>
      <x:c r="E755" t="str">
        <x:v>SUS-000748</x:v>
      </x:c>
      <x:c r="F755" t="str">
        <x:v>Plus anual</x:v>
      </x:c>
      <x:c r="G755" t="str">
        <x:v>Anual</x:v>
      </x:c>
      <x:c r="H755" t="n">
        <x:v>1</x:v>
      </x:c>
      <x:c r="I755" t="str">
        <x:v>Aprobado</x:v>
      </x:c>
      <x:c r="J755" t="n">
        <x:v>299000</x:v>
      </x:c>
      <x:c r="K755" t="str">
        <x:v>Tarjeta crédito</x:v>
      </x:c>
      <x:c r="L755" t="str">
        <x:v>Sin error</x:v>
      </x:c>
    </x:row>
    <x:row r="756">
      <x:c r="A756" t="str">
        <x:v>TXN-0000755</x:v>
      </x:c>
      <x:c r="B756" t="str">
        <x:v>2026-02</x:v>
      </x:c>
      <x:c r="C756" t="n">
        <x:v>46062</x:v>
      </x:c>
      <x:c r="D756" t="str">
        <x:v>USR-00220</x:v>
      </x:c>
      <x:c r="E756" t="str">
        <x:v>SUS-000261</x:v>
      </x:c>
      <x:c r="F756" t="str">
        <x:v>Plus mensual</x:v>
      </x:c>
      <x:c r="G756" t="str">
        <x:v>Mensual</x:v>
      </x:c>
      <x:c r="H756" t="n">
        <x:v>1</x:v>
      </x:c>
      <x:c r="I756" t="str">
        <x:v>Aprobado</x:v>
      </x:c>
      <x:c r="J756" t="n">
        <x:v>29900</x:v>
      </x:c>
      <x:c r="K756" t="str">
        <x:v>PSE</x:v>
      </x:c>
      <x:c r="L756" t="str">
        <x:v>Sin error</x:v>
      </x:c>
    </x:row>
    <x:row r="757">
      <x:c r="A757" t="str">
        <x:v>TXN-0000756</x:v>
      </x:c>
      <x:c r="B757" t="str">
        <x:v>2026-02</x:v>
      </x:c>
      <x:c r="C757" t="n">
        <x:v>46061</x:v>
      </x:c>
      <x:c r="D757" t="str">
        <x:v>USR-00224</x:v>
      </x:c>
      <x:c r="E757" t="str">
        <x:v>SUS-000265</x:v>
      </x:c>
      <x:c r="F757" t="str">
        <x:v>Plus mensual</x:v>
      </x:c>
      <x:c r="G757" t="str">
        <x:v>Mensual</x:v>
      </x:c>
      <x:c r="H757" t="n">
        <x:v>1</x:v>
      </x:c>
      <x:c r="I757" t="str">
        <x:v>Aprobado</x:v>
      </x:c>
      <x:c r="J757" t="n">
        <x:v>29900</x:v>
      </x:c>
      <x:c r="K757" t="str">
        <x:v>Tarjeta crédito</x:v>
      </x:c>
      <x:c r="L757" t="str">
        <x:v>Sin error</x:v>
      </x:c>
    </x:row>
    <x:row r="758">
      <x:c r="A758" t="str">
        <x:v>TXN-0000757</x:v>
      </x:c>
      <x:c r="B758" t="str">
        <x:v>2026-02</x:v>
      </x:c>
      <x:c r="C758" t="n">
        <x:v>46065</x:v>
      </x:c>
      <x:c r="D758" t="str">
        <x:v>USR-00226</x:v>
      </x:c>
      <x:c r="E758" t="str">
        <x:v>SUS-000625</x:v>
      </x:c>
      <x:c r="F758" t="str">
        <x:v>Plus mensual</x:v>
      </x:c>
      <x:c r="G758" t="str">
        <x:v>Mensual</x:v>
      </x:c>
      <x:c r="H758" t="n">
        <x:v>1</x:v>
      </x:c>
      <x:c r="I758" t="str">
        <x:v>Aprobado</x:v>
      </x:c>
      <x:c r="J758" t="n">
        <x:v>29900</x:v>
      </x:c>
      <x:c r="K758" t="str">
        <x:v>PSE</x:v>
      </x:c>
      <x:c r="L758" t="str">
        <x:v>Sin error</x:v>
      </x:c>
    </x:row>
    <x:row r="759">
      <x:c r="A759" t="str">
        <x:v>TXN-0000758</x:v>
      </x:c>
      <x:c r="B759" t="str">
        <x:v>2026-02</x:v>
      </x:c>
      <x:c r="C759" t="n">
        <x:v>46059</x:v>
      </x:c>
      <x:c r="D759" t="str">
        <x:v>USR-00231</x:v>
      </x:c>
      <x:c r="E759" t="str">
        <x:v>SUS-000538</x:v>
      </x:c>
      <x:c r="F759" t="str">
        <x:v>Plus mensual</x:v>
      </x:c>
      <x:c r="G759" t="str">
        <x:v>Mensual</x:v>
      </x:c>
      <x:c r="H759" t="n">
        <x:v>1</x:v>
      </x:c>
      <x:c r="I759" t="str">
        <x:v>Aprobado</x:v>
      </x:c>
      <x:c r="J759" t="n">
        <x:v>29900</x:v>
      </x:c>
      <x:c r="K759" t="str">
        <x:v>Tarjeta débito</x:v>
      </x:c>
      <x:c r="L759" t="str">
        <x:v>Sin error</x:v>
      </x:c>
    </x:row>
    <x:row r="760">
      <x:c r="A760" t="str">
        <x:v>TXN-0000759</x:v>
      </x:c>
      <x:c r="B760" t="str">
        <x:v>2026-02</x:v>
      </x:c>
      <x:c r="C760" t="n">
        <x:v>46065</x:v>
      </x:c>
      <x:c r="D760" t="str">
        <x:v>USR-00233</x:v>
      </x:c>
      <x:c r="E760" t="str">
        <x:v>SUS-000749</x:v>
      </x:c>
      <x:c r="F760" t="str">
        <x:v>Plus anual</x:v>
      </x:c>
      <x:c r="G760" t="str">
        <x:v>Anual</x:v>
      </x:c>
      <x:c r="H760" t="n">
        <x:v>1</x:v>
      </x:c>
      <x:c r="I760" t="str">
        <x:v>Aprobado</x:v>
      </x:c>
      <x:c r="J760" t="n">
        <x:v>299000</x:v>
      </x:c>
      <x:c r="K760" t="str">
        <x:v>Tarjeta crédito</x:v>
      </x:c>
      <x:c r="L760" t="str">
        <x:v>Sin error</x:v>
      </x:c>
    </x:row>
    <x:row r="761">
      <x:c r="A761" t="str">
        <x:v>TXN-0000760</x:v>
      </x:c>
      <x:c r="B761" t="str">
        <x:v>2026-02</x:v>
      </x:c>
      <x:c r="C761" t="n">
        <x:v>46065</x:v>
      </x:c>
      <x:c r="D761" t="str">
        <x:v>USR-00235</x:v>
      </x:c>
      <x:c r="E761" t="str">
        <x:v>SUS-000750</x:v>
      </x:c>
      <x:c r="F761" t="str">
        <x:v>Plus mensual</x:v>
      </x:c>
      <x:c r="G761" t="str">
        <x:v>Mensual</x:v>
      </x:c>
      <x:c r="H761" t="n">
        <x:v>1</x:v>
      </x:c>
      <x:c r="I761" t="str">
        <x:v>Aprobado</x:v>
      </x:c>
      <x:c r="J761" t="n">
        <x:v>29900</x:v>
      </x:c>
      <x:c r="K761" t="str">
        <x:v>Tarjeta crédito</x:v>
      </x:c>
      <x:c r="L761" t="str">
        <x:v>Sin error</x:v>
      </x:c>
    </x:row>
    <x:row r="762">
      <x:c r="A762" t="str">
        <x:v>TXN-0000761</x:v>
      </x:c>
      <x:c r="B762" t="str">
        <x:v>2026-02</x:v>
      </x:c>
      <x:c r="C762" t="n">
        <x:v>46060</x:v>
      </x:c>
      <x:c r="D762" t="str">
        <x:v>USR-00238</x:v>
      </x:c>
      <x:c r="E762" t="str">
        <x:v>SUS-000299</x:v>
      </x:c>
      <x:c r="F762" t="str">
        <x:v>Plus mensual</x:v>
      </x:c>
      <x:c r="G762" t="str">
        <x:v>Mensual</x:v>
      </x:c>
      <x:c r="H762" t="n">
        <x:v>1</x:v>
      </x:c>
      <x:c r="I762" t="str">
        <x:v>Aprobado</x:v>
      </x:c>
      <x:c r="J762" t="n">
        <x:v>29900</x:v>
      </x:c>
      <x:c r="K762" t="str">
        <x:v>Tarjeta crédito</x:v>
      </x:c>
      <x:c r="L762" t="str">
        <x:v>Sin error</x:v>
      </x:c>
    </x:row>
    <x:row r="763">
      <x:c r="A763" t="str">
        <x:v>TXN-0000762</x:v>
      </x:c>
      <x:c r="B763" t="str">
        <x:v>2026-02</x:v>
      </x:c>
      <x:c r="C763" t="n">
        <x:v>46064</x:v>
      </x:c>
      <x:c r="D763" t="str">
        <x:v>USR-00241</x:v>
      </x:c>
      <x:c r="E763" t="str">
        <x:v>SUS-000751</x:v>
      </x:c>
      <x:c r="F763" t="str">
        <x:v>Plus anual</x:v>
      </x:c>
      <x:c r="G763" t="str">
        <x:v>Anual</x:v>
      </x:c>
      <x:c r="H763" t="n">
        <x:v>1</x:v>
      </x:c>
      <x:c r="I763" t="str">
        <x:v>Aprobado</x:v>
      </x:c>
      <x:c r="J763" t="n">
        <x:v>299000</x:v>
      </x:c>
      <x:c r="K763" t="str">
        <x:v>Tarjeta crédito</x:v>
      </x:c>
      <x:c r="L763" t="str">
        <x:v>Sin error</x:v>
      </x:c>
    </x:row>
    <x:row r="764">
      <x:c r="A764" t="str">
        <x:v>TXN-0000763</x:v>
      </x:c>
      <x:c r="B764" t="str">
        <x:v>2026-02</x:v>
      </x:c>
      <x:c r="C764" t="n">
        <x:v>46059</x:v>
      </x:c>
      <x:c r="D764" t="str">
        <x:v>USR-00249</x:v>
      </x:c>
      <x:c r="E764" t="str">
        <x:v>SUS-000310</x:v>
      </x:c>
      <x:c r="F764" t="str">
        <x:v>Plus mensual</x:v>
      </x:c>
      <x:c r="G764" t="str">
        <x:v>Mensual</x:v>
      </x:c>
      <x:c r="H764" t="n">
        <x:v>1</x:v>
      </x:c>
      <x:c r="I764" t="str">
        <x:v>Aprobado</x:v>
      </x:c>
      <x:c r="J764" t="n">
        <x:v>29900</x:v>
      </x:c>
      <x:c r="K764" t="str">
        <x:v>PSE</x:v>
      </x:c>
      <x:c r="L764" t="str">
        <x:v>Sin error</x:v>
      </x:c>
    </x:row>
    <x:row r="765">
      <x:c r="A765" t="str">
        <x:v>TXN-0000764</x:v>
      </x:c>
      <x:c r="B765" t="str">
        <x:v>2026-02</x:v>
      </x:c>
      <x:c r="C765" t="n">
        <x:v>46065</x:v>
      </x:c>
      <x:c r="D765" t="str">
        <x:v>USR-00250</x:v>
      </x:c>
      <x:c r="E765" t="str">
        <x:v>SUS-000539</x:v>
      </x:c>
      <x:c r="F765" t="str">
        <x:v>Plus mensual</x:v>
      </x:c>
      <x:c r="G765" t="str">
        <x:v>Mensual</x:v>
      </x:c>
      <x:c r="H765" t="n">
        <x:v>1</x:v>
      </x:c>
      <x:c r="I765" t="str">
        <x:v>Aprobado</x:v>
      </x:c>
      <x:c r="J765" t="n">
        <x:v>29900</x:v>
      </x:c>
      <x:c r="K765" t="str">
        <x:v>PSE</x:v>
      </x:c>
      <x:c r="L765" t="str">
        <x:v>Sin error</x:v>
      </x:c>
    </x:row>
    <x:row r="766">
      <x:c r="A766" t="str">
        <x:v>TXN-0000765</x:v>
      </x:c>
      <x:c r="B766" t="str">
        <x:v>2026-02</x:v>
      </x:c>
      <x:c r="C766" t="n">
        <x:v>46062</x:v>
      </x:c>
      <x:c r="D766" t="str">
        <x:v>USR-00259</x:v>
      </x:c>
      <x:c r="E766" t="str">
        <x:v>SUS-000752</x:v>
      </x:c>
      <x:c r="F766" t="str">
        <x:v>Plus anual</x:v>
      </x:c>
      <x:c r="G766" t="str">
        <x:v>Anual</x:v>
      </x:c>
      <x:c r="H766" t="n">
        <x:v>1</x:v>
      </x:c>
      <x:c r="I766" t="str">
        <x:v>Aprobado</x:v>
      </x:c>
      <x:c r="J766" t="n">
        <x:v>299000</x:v>
      </x:c>
      <x:c r="K766" t="str">
        <x:v>Tarjeta crédito</x:v>
      </x:c>
      <x:c r="L766" t="str">
        <x:v>Sin error</x:v>
      </x:c>
    </x:row>
    <x:row r="767">
      <x:c r="A767" t="str">
        <x:v>TXN-0000766</x:v>
      </x:c>
      <x:c r="B767" t="str">
        <x:v>2026-02</x:v>
      </x:c>
      <x:c r="C767" t="n">
        <x:v>46065</x:v>
      </x:c>
      <x:c r="D767" t="str">
        <x:v>USR-00262</x:v>
      </x:c>
      <x:c r="E767" t="str">
        <x:v>SUS-000468</x:v>
      </x:c>
      <x:c r="F767" t="str">
        <x:v>Plus mensual</x:v>
      </x:c>
      <x:c r="G767" t="str">
        <x:v>Mensual</x:v>
      </x:c>
      <x:c r="H767" t="n">
        <x:v>1</x:v>
      </x:c>
      <x:c r="I767" t="str">
        <x:v>Aprobado</x:v>
      </x:c>
      <x:c r="J767" t="n">
        <x:v>29900</x:v>
      </x:c>
      <x:c r="K767" t="str">
        <x:v>PSE</x:v>
      </x:c>
      <x:c r="L767" t="str">
        <x:v>Sin error</x:v>
      </x:c>
    </x:row>
    <x:row r="768">
      <x:c r="A768" t="str">
        <x:v>TXN-0000767</x:v>
      </x:c>
      <x:c r="B768" t="str">
        <x:v>2026-02</x:v>
      </x:c>
      <x:c r="C768" t="n">
        <x:v>46063</x:v>
      </x:c>
      <x:c r="D768" t="str">
        <x:v>USR-00265</x:v>
      </x:c>
      <x:c r="E768" t="str">
        <x:v>SUS-000469</x:v>
      </x:c>
      <x:c r="F768" t="str">
        <x:v>Plus mensual</x:v>
      </x:c>
      <x:c r="G768" t="str">
        <x:v>Mensual</x:v>
      </x:c>
      <x:c r="H768" t="n">
        <x:v>1</x:v>
      </x:c>
      <x:c r="I768" t="str">
        <x:v>Aprobado</x:v>
      </x:c>
      <x:c r="J768" t="n">
        <x:v>29900</x:v>
      </x:c>
      <x:c r="K768" t="str">
        <x:v>Tarjeta débito</x:v>
      </x:c>
      <x:c r="L768" t="str">
        <x:v>Sin error</x:v>
      </x:c>
    </x:row>
    <x:row r="769">
      <x:c r="A769" t="str">
        <x:v>TXN-0000768</x:v>
      </x:c>
      <x:c r="B769" t="str">
        <x:v>2026-02</x:v>
      </x:c>
      <x:c r="C769" t="n">
        <x:v>46065</x:v>
      </x:c>
      <x:c r="D769" t="str">
        <x:v>USR-00267</x:v>
      </x:c>
      <x:c r="E769" t="str">
        <x:v>SUS-000753</x:v>
      </x:c>
      <x:c r="F769" t="str">
        <x:v>Plus anual</x:v>
      </x:c>
      <x:c r="G769" t="str">
        <x:v>Anual</x:v>
      </x:c>
      <x:c r="H769" t="n">
        <x:v>1</x:v>
      </x:c>
      <x:c r="I769" t="str">
        <x:v>Aprobado</x:v>
      </x:c>
      <x:c r="J769" t="n">
        <x:v>299000</x:v>
      </x:c>
      <x:c r="K769" t="str">
        <x:v>Tarjeta crédito</x:v>
      </x:c>
      <x:c r="L769" t="str">
        <x:v>Sin error</x:v>
      </x:c>
    </x:row>
    <x:row r="770">
      <x:c r="A770" t="str">
        <x:v>TXN-0000769</x:v>
      </x:c>
      <x:c r="B770" t="str">
        <x:v>2026-02</x:v>
      </x:c>
      <x:c r="C770" t="n">
        <x:v>46061</x:v>
      </x:c>
      <x:c r="D770" t="str">
        <x:v>USR-00268</x:v>
      </x:c>
      <x:c r="E770" t="str">
        <x:v>SUS-000629</x:v>
      </x:c>
      <x:c r="F770" t="str">
        <x:v>Plus mensual</x:v>
      </x:c>
      <x:c r="G770" t="str">
        <x:v>Mensual</x:v>
      </x:c>
      <x:c r="H770" t="n">
        <x:v>1</x:v>
      </x:c>
      <x:c r="I770" t="str">
        <x:v>Aprobado</x:v>
      </x:c>
      <x:c r="J770" t="n">
        <x:v>29900</x:v>
      </x:c>
      <x:c r="K770" t="str">
        <x:v>Tarjeta crédito</x:v>
      </x:c>
      <x:c r="L770" t="str">
        <x:v>Sin error</x:v>
      </x:c>
    </x:row>
    <x:row r="771">
      <x:c r="A771" t="str">
        <x:v>TXN-0000770</x:v>
      </x:c>
      <x:c r="B771" t="str">
        <x:v>2026-02</x:v>
      </x:c>
      <x:c r="C771" t="n">
        <x:v>46061</x:v>
      </x:c>
      <x:c r="D771" t="str">
        <x:v>USR-00279</x:v>
      </x:c>
      <x:c r="E771" t="str">
        <x:v>SUS-000543</x:v>
      </x:c>
      <x:c r="F771" t="str">
        <x:v>Plus mensual</x:v>
      </x:c>
      <x:c r="G771" t="str">
        <x:v>Mensual</x:v>
      </x:c>
      <x:c r="H771" t="n">
        <x:v>1</x:v>
      </x:c>
      <x:c r="I771" t="str">
        <x:v>Aprobado</x:v>
      </x:c>
      <x:c r="J771" t="n">
        <x:v>29900</x:v>
      </x:c>
      <x:c r="K771" t="str">
        <x:v>PSE</x:v>
      </x:c>
      <x:c r="L771" t="str">
        <x:v>Sin error</x:v>
      </x:c>
    </x:row>
    <x:row r="772">
      <x:c r="A772" t="str">
        <x:v>TXN-0000771</x:v>
      </x:c>
      <x:c r="B772" t="str">
        <x:v>2026-02</x:v>
      </x:c>
      <x:c r="C772" t="n">
        <x:v>46060</x:v>
      </x:c>
      <x:c r="D772" t="str">
        <x:v>USR-00286</x:v>
      </x:c>
      <x:c r="E772" t="str">
        <x:v>SUS-000368</x:v>
      </x:c>
      <x:c r="F772" t="str">
        <x:v>Plus mensual</x:v>
      </x:c>
      <x:c r="G772" t="str">
        <x:v>Mensual</x:v>
      </x:c>
      <x:c r="H772" t="n">
        <x:v>1</x:v>
      </x:c>
      <x:c r="I772" t="str">
        <x:v>Aprobado</x:v>
      </x:c>
      <x:c r="J772" t="n">
        <x:v>29900</x:v>
      </x:c>
      <x:c r="K772" t="str">
        <x:v>PSE</x:v>
      </x:c>
      <x:c r="L772" t="str">
        <x:v>Sin error</x:v>
      </x:c>
    </x:row>
    <x:row r="773">
      <x:c r="A773" t="str">
        <x:v>TXN-0000772</x:v>
      </x:c>
      <x:c r="B773" t="str">
        <x:v>2026-02</x:v>
      </x:c>
      <x:c r="C773" t="n">
        <x:v>46061</x:v>
      </x:c>
      <x:c r="D773" t="str">
        <x:v>USR-00293</x:v>
      </x:c>
      <x:c r="E773" t="str">
        <x:v>SUS-000754</x:v>
      </x:c>
      <x:c r="F773" t="str">
        <x:v>Plus mensual</x:v>
      </x:c>
      <x:c r="G773" t="str">
        <x:v>Mensual</x:v>
      </x:c>
      <x:c r="H773" t="n">
        <x:v>1</x:v>
      </x:c>
      <x:c r="I773" t="str">
        <x:v>Aprobado</x:v>
      </x:c>
      <x:c r="J773" t="n">
        <x:v>29900</x:v>
      </x:c>
      <x:c r="K773" t="str">
        <x:v>PSE</x:v>
      </x:c>
      <x:c r="L773" t="str">
        <x:v>Sin error</x:v>
      </x:c>
    </x:row>
    <x:row r="774">
      <x:c r="A774" t="str">
        <x:v>TXN-0000773</x:v>
      </x:c>
      <x:c r="B774" t="str">
        <x:v>2026-02</x:v>
      </x:c>
      <x:c r="C774" t="n">
        <x:v>46065</x:v>
      </x:c>
      <x:c r="D774" t="str">
        <x:v>USR-00294</x:v>
      </x:c>
      <x:c r="E774" t="str">
        <x:v>SUS-000631</x:v>
      </x:c>
      <x:c r="F774" t="str">
        <x:v>Plus mensual</x:v>
      </x:c>
      <x:c r="G774" t="str">
        <x:v>Mensual</x:v>
      </x:c>
      <x:c r="H774" t="n">
        <x:v>1</x:v>
      </x:c>
      <x:c r="I774" t="str">
        <x:v>Aprobado</x:v>
      </x:c>
      <x:c r="J774" t="n">
        <x:v>29900</x:v>
      </x:c>
      <x:c r="K774" t="str">
        <x:v>PSE</x:v>
      </x:c>
      <x:c r="L774" t="str">
        <x:v>Sin error</x:v>
      </x:c>
    </x:row>
    <x:row r="775">
      <x:c r="A775" t="str">
        <x:v>TXN-0000774</x:v>
      </x:c>
      <x:c r="B775" t="str">
        <x:v>2026-02</x:v>
      </x:c>
      <x:c r="C775" t="n">
        <x:v>46060</x:v>
      </x:c>
      <x:c r="D775" t="str">
        <x:v>USR-00296</x:v>
      </x:c>
      <x:c r="E775" t="str">
        <x:v>SUS-000632</x:v>
      </x:c>
      <x:c r="F775" t="str">
        <x:v>Plus mensual</x:v>
      </x:c>
      <x:c r="G775" t="str">
        <x:v>Mensual</x:v>
      </x:c>
      <x:c r="H775" t="n">
        <x:v>1</x:v>
      </x:c>
      <x:c r="I775" t="str">
        <x:v>Aprobado</x:v>
      </x:c>
      <x:c r="J775" t="n">
        <x:v>29900</x:v>
      </x:c>
      <x:c r="K775" t="str">
        <x:v>Tarjeta débito</x:v>
      </x:c>
      <x:c r="L775" t="str">
        <x:v>Sin error</x:v>
      </x:c>
    </x:row>
    <x:row r="776">
      <x:c r="A776" t="str">
        <x:v>TXN-0000775</x:v>
      </x:c>
      <x:c r="B776" t="str">
        <x:v>2026-02</x:v>
      </x:c>
      <x:c r="C776" t="n">
        <x:v>46063</x:v>
      </x:c>
      <x:c r="D776" t="str">
        <x:v>USR-00300</x:v>
      </x:c>
      <x:c r="E776" t="str">
        <x:v>SUS-000755</x:v>
      </x:c>
      <x:c r="F776" t="str">
        <x:v>Plus anual</x:v>
      </x:c>
      <x:c r="G776" t="str">
        <x:v>Anual</x:v>
      </x:c>
      <x:c r="H776" t="n">
        <x:v>1</x:v>
      </x:c>
      <x:c r="I776" t="str">
        <x:v>Aprobado</x:v>
      </x:c>
      <x:c r="J776" t="n">
        <x:v>299000</x:v>
      </x:c>
      <x:c r="K776" t="str">
        <x:v>PSE</x:v>
      </x:c>
      <x:c r="L776" t="str">
        <x:v>Sin error</x:v>
      </x:c>
    </x:row>
    <x:row r="777">
      <x:c r="A777" t="str">
        <x:v>TXN-0000776</x:v>
      </x:c>
      <x:c r="B777" t="str">
        <x:v>2026-02</x:v>
      </x:c>
      <x:c r="C777" t="n">
        <x:v>46061</x:v>
      </x:c>
      <x:c r="D777" t="str">
        <x:v>USR-00312</x:v>
      </x:c>
      <x:c r="E777" t="str">
        <x:v>SUS-000634</x:v>
      </x:c>
      <x:c r="F777" t="str">
        <x:v>Plus mensual</x:v>
      </x:c>
      <x:c r="G777" t="str">
        <x:v>Mensual</x:v>
      </x:c>
      <x:c r="H777" t="n">
        <x:v>1</x:v>
      </x:c>
      <x:c r="I777" t="str">
        <x:v>Aprobado</x:v>
      </x:c>
      <x:c r="J777" t="n">
        <x:v>29900</x:v>
      </x:c>
      <x:c r="K777" t="str">
        <x:v>Tarjeta débito</x:v>
      </x:c>
      <x:c r="L777" t="str">
        <x:v>Sin error</x:v>
      </x:c>
    </x:row>
    <x:row r="778">
      <x:c r="A778" t="str">
        <x:v>TXN-0000777</x:v>
      </x:c>
      <x:c r="B778" t="str">
        <x:v>2026-02</x:v>
      </x:c>
      <x:c r="C778" t="n">
        <x:v>46061</x:v>
      </x:c>
      <x:c r="D778" t="str">
        <x:v>USR-00313</x:v>
      </x:c>
      <x:c r="E778" t="str">
        <x:v>SUS-000635</x:v>
      </x:c>
      <x:c r="F778" t="str">
        <x:v>Plus mensual</x:v>
      </x:c>
      <x:c r="G778" t="str">
        <x:v>Mensual</x:v>
      </x:c>
      <x:c r="H778" t="n">
        <x:v>1</x:v>
      </x:c>
      <x:c r="I778" t="str">
        <x:v>Aprobado</x:v>
      </x:c>
      <x:c r="J778" t="n">
        <x:v>29900</x:v>
      </x:c>
      <x:c r="K778" t="str">
        <x:v>Tarjeta débito</x:v>
      </x:c>
      <x:c r="L778" t="str">
        <x:v>Sin error</x:v>
      </x:c>
    </x:row>
    <x:row r="779">
      <x:c r="A779" t="str">
        <x:v>TXN-0000778</x:v>
      </x:c>
      <x:c r="B779" t="str">
        <x:v>2026-02</x:v>
      </x:c>
      <x:c r="C779" t="n">
        <x:v>46059</x:v>
      </x:c>
      <x:c r="D779" t="str">
        <x:v>USR-00317</x:v>
      </x:c>
      <x:c r="E779" t="str">
        <x:v>SUS-000546</x:v>
      </x:c>
      <x:c r="F779" t="str">
        <x:v>Plus mensual</x:v>
      </x:c>
      <x:c r="G779" t="str">
        <x:v>Mensual</x:v>
      </x:c>
      <x:c r="H779" t="n">
        <x:v>1</x:v>
      </x:c>
      <x:c r="I779" t="str">
        <x:v>Aprobado</x:v>
      </x:c>
      <x:c r="J779" t="n">
        <x:v>29900</x:v>
      </x:c>
      <x:c r="K779" t="str">
        <x:v>Tarjeta crédito</x:v>
      </x:c>
      <x:c r="L779" t="str">
        <x:v>Sin error</x:v>
      </x:c>
    </x:row>
    <x:row r="780">
      <x:c r="A780" t="str">
        <x:v>TXN-0000779</x:v>
      </x:c>
      <x:c r="B780" t="str">
        <x:v>2026-02</x:v>
      </x:c>
      <x:c r="C780" t="n">
        <x:v>46063</x:v>
      </x:c>
      <x:c r="D780" t="str">
        <x:v>USR-00320</x:v>
      </x:c>
      <x:c r="E780" t="str">
        <x:v>SUS-000419</x:v>
      </x:c>
      <x:c r="F780" t="str">
        <x:v>Plus mensual</x:v>
      </x:c>
      <x:c r="G780" t="str">
        <x:v>Mensual</x:v>
      </x:c>
      <x:c r="H780" t="n">
        <x:v>1</x:v>
      </x:c>
      <x:c r="I780" t="str">
        <x:v>Aprobado</x:v>
      </x:c>
      <x:c r="J780" t="n">
        <x:v>29900</x:v>
      </x:c>
      <x:c r="K780" t="str">
        <x:v>Tarjeta débito</x:v>
      </x:c>
      <x:c r="L780" t="str">
        <x:v>Sin error</x:v>
      </x:c>
    </x:row>
    <x:row r="781">
      <x:c r="A781" t="str">
        <x:v>TXN-0000780</x:v>
      </x:c>
      <x:c r="B781" t="str">
        <x:v>2026-02</x:v>
      </x:c>
      <x:c r="C781" t="n">
        <x:v>46062</x:v>
      </x:c>
      <x:c r="D781" t="str">
        <x:v>USR-00325</x:v>
      </x:c>
      <x:c r="E781" t="str">
        <x:v>SUS-000424</x:v>
      </x:c>
      <x:c r="F781" t="str">
        <x:v>Plus mensual</x:v>
      </x:c>
      <x:c r="G781" t="str">
        <x:v>Mensual</x:v>
      </x:c>
      <x:c r="H781" t="n">
        <x:v>1</x:v>
      </x:c>
      <x:c r="I781" t="str">
        <x:v>Aprobado</x:v>
      </x:c>
      <x:c r="J781" t="n">
        <x:v>29900</x:v>
      </x:c>
      <x:c r="K781" t="str">
        <x:v>PSE</x:v>
      </x:c>
      <x:c r="L781" t="str">
        <x:v>Sin error</x:v>
      </x:c>
    </x:row>
    <x:row r="782">
      <x:c r="A782" t="str">
        <x:v>TXN-0000781</x:v>
      </x:c>
      <x:c r="B782" t="str">
        <x:v>2026-02</x:v>
      </x:c>
      <x:c r="C782" t="n">
        <x:v>46065</x:v>
      </x:c>
      <x:c r="D782" t="str">
        <x:v>USR-00329</x:v>
      </x:c>
      <x:c r="E782" t="str">
        <x:v>SUS-000428</x:v>
      </x:c>
      <x:c r="F782" t="str">
        <x:v>Plus mensual</x:v>
      </x:c>
      <x:c r="G782" t="str">
        <x:v>Mensual</x:v>
      </x:c>
      <x:c r="H782" t="n">
        <x:v>1</x:v>
      </x:c>
      <x:c r="I782" t="str">
        <x:v>Aprobado</x:v>
      </x:c>
      <x:c r="J782" t="n">
        <x:v>29900</x:v>
      </x:c>
      <x:c r="K782" t="str">
        <x:v>PSE</x:v>
      </x:c>
      <x:c r="L782" t="str">
        <x:v>Sin error</x:v>
      </x:c>
    </x:row>
    <x:row r="783">
      <x:c r="A783" t="str">
        <x:v>TXN-0000782</x:v>
      </x:c>
      <x:c r="B783" t="str">
        <x:v>2026-02</x:v>
      </x:c>
      <x:c r="C783" t="n">
        <x:v>46063</x:v>
      </x:c>
      <x:c r="D783" t="str">
        <x:v>USR-00331</x:v>
      </x:c>
      <x:c r="E783" t="str">
        <x:v>SUS-000430</x:v>
      </x:c>
      <x:c r="F783" t="str">
        <x:v>Plus mensual</x:v>
      </x:c>
      <x:c r="G783" t="str">
        <x:v>Mensual</x:v>
      </x:c>
      <x:c r="H783" t="n">
        <x:v>1</x:v>
      </x:c>
      <x:c r="I783" t="str">
        <x:v>Aprobado</x:v>
      </x:c>
      <x:c r="J783" t="n">
        <x:v>29900</x:v>
      </x:c>
      <x:c r="K783" t="str">
        <x:v>PSE</x:v>
      </x:c>
      <x:c r="L783" t="str">
        <x:v>Sin error</x:v>
      </x:c>
    </x:row>
    <x:row r="784">
      <x:c r="A784" t="str">
        <x:v>TXN-0000783</x:v>
      </x:c>
      <x:c r="B784" t="str">
        <x:v>2026-02</x:v>
      </x:c>
      <x:c r="C784" t="n">
        <x:v>46063</x:v>
      </x:c>
      <x:c r="D784" t="str">
        <x:v>USR-00332</x:v>
      </x:c>
      <x:c r="E784" t="str">
        <x:v>SUS-000470</x:v>
      </x:c>
      <x:c r="F784" t="str">
        <x:v>Plus mensual</x:v>
      </x:c>
      <x:c r="G784" t="str">
        <x:v>Mensual</x:v>
      </x:c>
      <x:c r="H784" t="n">
        <x:v>1</x:v>
      </x:c>
      <x:c r="I784" t="str">
        <x:v>Aprobado</x:v>
      </x:c>
      <x:c r="J784" t="n">
        <x:v>29900</x:v>
      </x:c>
      <x:c r="K784" t="str">
        <x:v>PSE</x:v>
      </x:c>
      <x:c r="L784" t="str">
        <x:v>Sin error</x:v>
      </x:c>
    </x:row>
    <x:row r="785">
      <x:c r="A785" t="str">
        <x:v>TXN-0000784</x:v>
      </x:c>
      <x:c r="B785" t="str">
        <x:v>2026-02</x:v>
      </x:c>
      <x:c r="C785" t="n">
        <x:v>46063</x:v>
      </x:c>
      <x:c r="D785" t="str">
        <x:v>USR-00336</x:v>
      </x:c>
      <x:c r="E785" t="str">
        <x:v>SUS-000435</x:v>
      </x:c>
      <x:c r="F785" t="str">
        <x:v>Plus mensual</x:v>
      </x:c>
      <x:c r="G785" t="str">
        <x:v>Mensual</x:v>
      </x:c>
      <x:c r="H785" t="n">
        <x:v>1</x:v>
      </x:c>
      <x:c r="I785" t="str">
        <x:v>Aprobado</x:v>
      </x:c>
      <x:c r="J785" t="n">
        <x:v>29900</x:v>
      </x:c>
      <x:c r="K785" t="str">
        <x:v>Tarjeta débito</x:v>
      </x:c>
      <x:c r="L785" t="str">
        <x:v>Sin error</x:v>
      </x:c>
    </x:row>
    <x:row r="786">
      <x:c r="A786" t="str">
        <x:v>TXN-0000785</x:v>
      </x:c>
      <x:c r="B786" t="str">
        <x:v>2026-02</x:v>
      </x:c>
      <x:c r="C786" t="n">
        <x:v>46061</x:v>
      </x:c>
      <x:c r="D786" t="str">
        <x:v>USR-00339</x:v>
      </x:c>
      <x:c r="E786" t="str">
        <x:v>SUS-000756</x:v>
      </x:c>
      <x:c r="F786" t="str">
        <x:v>Plus mensual</x:v>
      </x:c>
      <x:c r="G786" t="str">
        <x:v>Mensual</x:v>
      </x:c>
      <x:c r="H786" t="n">
        <x:v>1</x:v>
      </x:c>
      <x:c r="I786" t="str">
        <x:v>Aprobado</x:v>
      </x:c>
      <x:c r="J786" t="n">
        <x:v>29900</x:v>
      </x:c>
      <x:c r="K786" t="str">
        <x:v>Tarjeta crédito</x:v>
      </x:c>
      <x:c r="L786" t="str">
        <x:v>Sin error</x:v>
      </x:c>
    </x:row>
    <x:row r="787">
      <x:c r="A787" t="str">
        <x:v>TXN-0000786</x:v>
      </x:c>
      <x:c r="B787" t="str">
        <x:v>2026-02</x:v>
      </x:c>
      <x:c r="C787" t="n">
        <x:v>46062</x:v>
      </x:c>
      <x:c r="D787" t="str">
        <x:v>USR-00340</x:v>
      </x:c>
      <x:c r="E787" t="str">
        <x:v>SUS-000757</x:v>
      </x:c>
      <x:c r="F787" t="str">
        <x:v>Plus mensual</x:v>
      </x:c>
      <x:c r="G787" t="str">
        <x:v>Mensual</x:v>
      </x:c>
      <x:c r="H787" t="n">
        <x:v>1</x:v>
      </x:c>
      <x:c r="I787" t="str">
        <x:v>Aprobado</x:v>
      </x:c>
      <x:c r="J787" t="n">
        <x:v>29900</x:v>
      </x:c>
      <x:c r="K787" t="str">
        <x:v>Tarjeta crédito</x:v>
      </x:c>
      <x:c r="L787" t="str">
        <x:v>Sin error</x:v>
      </x:c>
    </x:row>
    <x:row r="788">
      <x:c r="A788" t="str">
        <x:v>TXN-0000787</x:v>
      </x:c>
      <x:c r="B788" t="str">
        <x:v>2026-02</x:v>
      </x:c>
      <x:c r="C788" t="n">
        <x:v>46065</x:v>
      </x:c>
      <x:c r="D788" t="str">
        <x:v>USR-00346</x:v>
      </x:c>
      <x:c r="E788" t="str">
        <x:v>SUS-000471</x:v>
      </x:c>
      <x:c r="F788" t="str">
        <x:v>Plus mensual</x:v>
      </x:c>
      <x:c r="G788" t="str">
        <x:v>Mensual</x:v>
      </x:c>
      <x:c r="H788" t="n">
        <x:v>1</x:v>
      </x:c>
      <x:c r="I788" t="str">
        <x:v>Aprobado</x:v>
      </x:c>
      <x:c r="J788" t="n">
        <x:v>29900</x:v>
      </x:c>
      <x:c r="K788" t="str">
        <x:v>Tarjeta crédito</x:v>
      </x:c>
      <x:c r="L788" t="str">
        <x:v>Sin error</x:v>
      </x:c>
    </x:row>
    <x:row r="789">
      <x:c r="A789" t="str">
        <x:v>TXN-0000788</x:v>
      </x:c>
      <x:c r="B789" t="str">
        <x:v>2026-02</x:v>
      </x:c>
      <x:c r="C789" t="n">
        <x:v>46065</x:v>
      </x:c>
      <x:c r="D789" t="str">
        <x:v>USR-00354</x:v>
      </x:c>
      <x:c r="E789" t="str">
        <x:v>SUS-000759</x:v>
      </x:c>
      <x:c r="F789" t="str">
        <x:v>Plus anual</x:v>
      </x:c>
      <x:c r="G789" t="str">
        <x:v>Anual</x:v>
      </x:c>
      <x:c r="H789" t="n">
        <x:v>1</x:v>
      </x:c>
      <x:c r="I789" t="str">
        <x:v>Aprobado</x:v>
      </x:c>
      <x:c r="J789" t="n">
        <x:v>299000</x:v>
      </x:c>
      <x:c r="K789" t="str">
        <x:v>PSE</x:v>
      </x:c>
      <x:c r="L789" t="str">
        <x:v>Sin error</x:v>
      </x:c>
    </x:row>
    <x:row r="790">
      <x:c r="A790" t="str">
        <x:v>TXN-0000789</x:v>
      </x:c>
      <x:c r="B790" t="str">
        <x:v>2026-02</x:v>
      </x:c>
      <x:c r="C790" t="n">
        <x:v>46065</x:v>
      </x:c>
      <x:c r="D790" t="str">
        <x:v>USR-00360</x:v>
      </x:c>
      <x:c r="E790" t="str">
        <x:v>SUS-000638</x:v>
      </x:c>
      <x:c r="F790" t="str">
        <x:v>Plus mensual</x:v>
      </x:c>
      <x:c r="G790" t="str">
        <x:v>Mensual</x:v>
      </x:c>
      <x:c r="H790" t="n">
        <x:v>1</x:v>
      </x:c>
      <x:c r="I790" t="str">
        <x:v>Rechazado</x:v>
      </x:c>
      <x:c r="J790" t="n">
        <x:v>29900</x:v>
      </x:c>
      <x:c r="K790" t="str">
        <x:v>PSE</x:v>
      </x:c>
      <x:c r="L790" t="str">
        <x:v>Fondos insuficientes</x:v>
      </x:c>
    </x:row>
    <x:row r="791">
      <x:c r="A791" t="str">
        <x:v>TXN-0000790</x:v>
      </x:c>
      <x:c r="B791" t="str">
        <x:v>2026-02</x:v>
      </x:c>
      <x:c r="C791" t="n">
        <x:v>46063</x:v>
      </x:c>
      <x:c r="D791" t="str">
        <x:v>USR-00360</x:v>
      </x:c>
      <x:c r="E791" t="str">
        <x:v>SUS-000638</x:v>
      </x:c>
      <x:c r="F791" t="str">
        <x:v>Plus mensual</x:v>
      </x:c>
      <x:c r="G791" t="str">
        <x:v>Mensual</x:v>
      </x:c>
      <x:c r="H791" t="n">
        <x:v>2</x:v>
      </x:c>
      <x:c r="I791" t="str">
        <x:v>Aprobado</x:v>
      </x:c>
      <x:c r="J791" t="n">
        <x:v>29900</x:v>
      </x:c>
      <x:c r="K791" t="str">
        <x:v>Tarjeta débito</x:v>
      </x:c>
      <x:c r="L791" t="str">
        <x:v>Sin error</x:v>
      </x:c>
    </x:row>
    <x:row r="792">
      <x:c r="A792" t="str">
        <x:v>TXN-0000791</x:v>
      </x:c>
      <x:c r="B792" t="str">
        <x:v>2026-02</x:v>
      </x:c>
      <x:c r="C792" t="n">
        <x:v>46063</x:v>
      </x:c>
      <x:c r="D792" t="str">
        <x:v>USR-00364</x:v>
      </x:c>
      <x:c r="E792" t="str">
        <x:v>SUS-000760</x:v>
      </x:c>
      <x:c r="F792" t="str">
        <x:v>Plus mensual</x:v>
      </x:c>
      <x:c r="G792" t="str">
        <x:v>Mensual</x:v>
      </x:c>
      <x:c r="H792" t="n">
        <x:v>1</x:v>
      </x:c>
      <x:c r="I792" t="str">
        <x:v>Rechazado</x:v>
      </x:c>
      <x:c r="J792" t="n">
        <x:v>29900</x:v>
      </x:c>
      <x:c r="K792" t="str">
        <x:v>Tarjeta crédito</x:v>
      </x:c>
      <x:c r="L792" t="str">
        <x:v>Error temporal</x:v>
      </x:c>
    </x:row>
    <x:row r="793">
      <x:c r="A793" t="str">
        <x:v>TXN-0000792</x:v>
      </x:c>
      <x:c r="B793" t="str">
        <x:v>2026-02</x:v>
      </x:c>
      <x:c r="C793" t="n">
        <x:v>46060</x:v>
      </x:c>
      <x:c r="D793" t="str">
        <x:v>USR-00364</x:v>
      </x:c>
      <x:c r="E793" t="str">
        <x:v>SUS-000760</x:v>
      </x:c>
      <x:c r="F793" t="str">
        <x:v>Plus mensual</x:v>
      </x:c>
      <x:c r="G793" t="str">
        <x:v>Mensual</x:v>
      </x:c>
      <x:c r="H793" t="n">
        <x:v>2</x:v>
      </x:c>
      <x:c r="I793" t="str">
        <x:v>Aprobado</x:v>
      </x:c>
      <x:c r="J793" t="n">
        <x:v>29900</x:v>
      </x:c>
      <x:c r="K793" t="str">
        <x:v>Tarjeta débito</x:v>
      </x:c>
      <x:c r="L793" t="str">
        <x:v>Sin error</x:v>
      </x:c>
    </x:row>
    <x:row r="794">
      <x:c r="A794" t="str">
        <x:v>TXN-0000793</x:v>
      </x:c>
      <x:c r="B794" t="str">
        <x:v>2026-02</x:v>
      </x:c>
      <x:c r="C794" t="n">
        <x:v>46064</x:v>
      </x:c>
      <x:c r="D794" t="str">
        <x:v>USR-00377</x:v>
      </x:c>
      <x:c r="E794" t="str">
        <x:v>SUS-000492</x:v>
      </x:c>
      <x:c r="F794" t="str">
        <x:v>Plus mensual</x:v>
      </x:c>
      <x:c r="G794" t="str">
        <x:v>Mensual</x:v>
      </x:c>
      <x:c r="H794" t="n">
        <x:v>1</x:v>
      </x:c>
      <x:c r="I794" t="str">
        <x:v>Aprobado</x:v>
      </x:c>
      <x:c r="J794" t="n">
        <x:v>29900</x:v>
      </x:c>
      <x:c r="K794" t="str">
        <x:v>Tarjeta débito</x:v>
      </x:c>
      <x:c r="L794" t="str">
        <x:v>Sin error</x:v>
      </x:c>
    </x:row>
    <x:row r="795">
      <x:c r="A795" t="str">
        <x:v>TXN-0000794</x:v>
      </x:c>
      <x:c r="B795" t="str">
        <x:v>2026-02</x:v>
      </x:c>
      <x:c r="C795" t="n">
        <x:v>46060</x:v>
      </x:c>
      <x:c r="D795" t="str">
        <x:v>USR-00380</x:v>
      </x:c>
      <x:c r="E795" t="str">
        <x:v>SUS-000495</x:v>
      </x:c>
      <x:c r="F795" t="str">
        <x:v>Plus mensual</x:v>
      </x:c>
      <x:c r="G795" t="str">
        <x:v>Mensual</x:v>
      </x:c>
      <x:c r="H795" t="n">
        <x:v>1</x:v>
      </x:c>
      <x:c r="I795" t="str">
        <x:v>Aprobado</x:v>
      </x:c>
      <x:c r="J795" t="n">
        <x:v>29900</x:v>
      </x:c>
      <x:c r="K795" t="str">
        <x:v>Tarjeta crédito</x:v>
      </x:c>
      <x:c r="L795" t="str">
        <x:v>Sin error</x:v>
      </x:c>
    </x:row>
    <x:row r="796">
      <x:c r="A796" t="str">
        <x:v>TXN-0000795</x:v>
      </x:c>
      <x:c r="B796" t="str">
        <x:v>2026-02</x:v>
      </x:c>
      <x:c r="C796" t="n">
        <x:v>46059</x:v>
      </x:c>
      <x:c r="D796" t="str">
        <x:v>USR-00386</x:v>
      </x:c>
      <x:c r="E796" t="str">
        <x:v>SUS-000640</x:v>
      </x:c>
      <x:c r="F796" t="str">
        <x:v>Plus mensual</x:v>
      </x:c>
      <x:c r="G796" t="str">
        <x:v>Mensual</x:v>
      </x:c>
      <x:c r="H796" t="n">
        <x:v>1</x:v>
      </x:c>
      <x:c r="I796" t="str">
        <x:v>Aprobado</x:v>
      </x:c>
      <x:c r="J796" t="n">
        <x:v>29900</x:v>
      </x:c>
      <x:c r="K796" t="str">
        <x:v>PSE</x:v>
      </x:c>
      <x:c r="L796" t="str">
        <x:v>Sin error</x:v>
      </x:c>
    </x:row>
    <x:row r="797">
      <x:c r="A797" t="str">
        <x:v>TXN-0000796</x:v>
      </x:c>
      <x:c r="B797" t="str">
        <x:v>2026-02</x:v>
      </x:c>
      <x:c r="C797" t="n">
        <x:v>46064</x:v>
      </x:c>
      <x:c r="D797" t="str">
        <x:v>USR-00387</x:v>
      </x:c>
      <x:c r="E797" t="str">
        <x:v>SUS-000502</x:v>
      </x:c>
      <x:c r="F797" t="str">
        <x:v>Plus mensual</x:v>
      </x:c>
      <x:c r="G797" t="str">
        <x:v>Mensual</x:v>
      </x:c>
      <x:c r="H797" t="n">
        <x:v>1</x:v>
      </x:c>
      <x:c r="I797" t="str">
        <x:v>Aprobado</x:v>
      </x:c>
      <x:c r="J797" t="n">
        <x:v>29900</x:v>
      </x:c>
      <x:c r="K797" t="str">
        <x:v>Tarjeta crédito</x:v>
      </x:c>
      <x:c r="L797" t="str">
        <x:v>Sin error</x:v>
      </x:c>
    </x:row>
    <x:row r="798">
      <x:c r="A798" t="str">
        <x:v>TXN-0000797</x:v>
      </x:c>
      <x:c r="B798" t="str">
        <x:v>2026-02</x:v>
      </x:c>
      <x:c r="C798" t="n">
        <x:v>46061</x:v>
      </x:c>
      <x:c r="D798" t="str">
        <x:v>USR-00389</x:v>
      </x:c>
      <x:c r="E798" t="str">
        <x:v>SUS-000641</x:v>
      </x:c>
      <x:c r="F798" t="str">
        <x:v>Plus mensual</x:v>
      </x:c>
      <x:c r="G798" t="str">
        <x:v>Mensual</x:v>
      </x:c>
      <x:c r="H798" t="n">
        <x:v>1</x:v>
      </x:c>
      <x:c r="I798" t="str">
        <x:v>Aprobado</x:v>
      </x:c>
      <x:c r="J798" t="n">
        <x:v>29900</x:v>
      </x:c>
      <x:c r="K798" t="str">
        <x:v>Tarjeta débito</x:v>
      </x:c>
      <x:c r="L798" t="str">
        <x:v>Sin error</x:v>
      </x:c>
    </x:row>
    <x:row r="799">
      <x:c r="A799" t="str">
        <x:v>TXN-0000798</x:v>
      </x:c>
      <x:c r="B799" t="str">
        <x:v>2026-02</x:v>
      </x:c>
      <x:c r="C799" t="n">
        <x:v>46061</x:v>
      </x:c>
      <x:c r="D799" t="str">
        <x:v>USR-00391</x:v>
      </x:c>
      <x:c r="E799" t="str">
        <x:v>SUS-000506</x:v>
      </x:c>
      <x:c r="F799" t="str">
        <x:v>Plus mensual</x:v>
      </x:c>
      <x:c r="G799" t="str">
        <x:v>Mensual</x:v>
      </x:c>
      <x:c r="H799" t="n">
        <x:v>1</x:v>
      </x:c>
      <x:c r="I799" t="str">
        <x:v>Aprobado</x:v>
      </x:c>
      <x:c r="J799" t="n">
        <x:v>29900</x:v>
      </x:c>
      <x:c r="K799" t="str">
        <x:v>Tarjeta débito</x:v>
      </x:c>
      <x:c r="L799" t="str">
        <x:v>Sin error</x:v>
      </x:c>
    </x:row>
    <x:row r="800">
      <x:c r="A800" t="str">
        <x:v>TXN-0000799</x:v>
      </x:c>
      <x:c r="B800" t="str">
        <x:v>2026-02</x:v>
      </x:c>
      <x:c r="C800" t="n">
        <x:v>46064</x:v>
      </x:c>
      <x:c r="D800" t="str">
        <x:v>USR-00395</x:v>
      </x:c>
      <x:c r="E800" t="str">
        <x:v>SUS-000642</x:v>
      </x:c>
      <x:c r="F800" t="str">
        <x:v>Plus mensual</x:v>
      </x:c>
      <x:c r="G800" t="str">
        <x:v>Mensual</x:v>
      </x:c>
      <x:c r="H800" t="n">
        <x:v>1</x:v>
      </x:c>
      <x:c r="I800" t="str">
        <x:v>Rechazado</x:v>
      </x:c>
      <x:c r="J800" t="n">
        <x:v>29900</x:v>
      </x:c>
      <x:c r="K800" t="str">
        <x:v>Tarjeta débito</x:v>
      </x:c>
      <x:c r="L800" t="str">
        <x:v>Fondos insuficientes</x:v>
      </x:c>
    </x:row>
    <x:row r="801">
      <x:c r="A801" t="str">
        <x:v>TXN-0000800</x:v>
      </x:c>
      <x:c r="B801" t="str">
        <x:v>2026-02</x:v>
      </x:c>
      <x:c r="C801" t="n">
        <x:v>46061</x:v>
      </x:c>
      <x:c r="D801" t="str">
        <x:v>USR-00395</x:v>
      </x:c>
      <x:c r="E801" t="str">
        <x:v>SUS-000642</x:v>
      </x:c>
      <x:c r="F801" t="str">
        <x:v>Plus mensual</x:v>
      </x:c>
      <x:c r="G801" t="str">
        <x:v>Mensual</x:v>
      </x:c>
      <x:c r="H801" t="n">
        <x:v>2</x:v>
      </x:c>
      <x:c r="I801" t="str">
        <x:v>Aprobado</x:v>
      </x:c>
      <x:c r="J801" t="n">
        <x:v>29900</x:v>
      </x:c>
      <x:c r="K801" t="str">
        <x:v>Tarjeta débito</x:v>
      </x:c>
      <x:c r="L801" t="str">
        <x:v>Sin error</x:v>
      </x:c>
    </x:row>
    <x:row r="802">
      <x:c r="A802" t="str">
        <x:v>TXN-0000801</x:v>
      </x:c>
      <x:c r="B802" t="str">
        <x:v>2026-02</x:v>
      </x:c>
      <x:c r="C802" t="n">
        <x:v>46065</x:v>
      </x:c>
      <x:c r="D802" t="str">
        <x:v>USR-00396</x:v>
      </x:c>
      <x:c r="E802" t="str">
        <x:v>SUS-000511</x:v>
      </x:c>
      <x:c r="F802" t="str">
        <x:v>Plus mensual</x:v>
      </x:c>
      <x:c r="G802" t="str">
        <x:v>Mensual</x:v>
      </x:c>
      <x:c r="H802" t="n">
        <x:v>1</x:v>
      </x:c>
      <x:c r="I802" t="str">
        <x:v>Aprobado</x:v>
      </x:c>
      <x:c r="J802" t="n">
        <x:v>29900</x:v>
      </x:c>
      <x:c r="K802" t="str">
        <x:v>Tarjeta débito</x:v>
      </x:c>
      <x:c r="L802" t="str">
        <x:v>Sin error</x:v>
      </x:c>
    </x:row>
    <x:row r="803">
      <x:c r="A803" t="str">
        <x:v>TXN-0000802</x:v>
      </x:c>
      <x:c r="B803" t="str">
        <x:v>2026-02</x:v>
      </x:c>
      <x:c r="C803" t="n">
        <x:v>46064</x:v>
      </x:c>
      <x:c r="D803" t="str">
        <x:v>USR-00398</x:v>
      </x:c>
      <x:c r="E803" t="str">
        <x:v>SUS-000761</x:v>
      </x:c>
      <x:c r="F803" t="str">
        <x:v>Plus anual</x:v>
      </x:c>
      <x:c r="G803" t="str">
        <x:v>Anual</x:v>
      </x:c>
      <x:c r="H803" t="n">
        <x:v>1</x:v>
      </x:c>
      <x:c r="I803" t="str">
        <x:v>Aprobado</x:v>
      </x:c>
      <x:c r="J803" t="n">
        <x:v>299000</x:v>
      </x:c>
      <x:c r="K803" t="str">
        <x:v>Tarjeta crédito</x:v>
      </x:c>
      <x:c r="L803" t="str">
        <x:v>Sin error</x:v>
      </x:c>
    </x:row>
    <x:row r="804">
      <x:c r="A804" t="str">
        <x:v>TXN-0000803</x:v>
      </x:c>
      <x:c r="B804" t="str">
        <x:v>2026-02</x:v>
      </x:c>
      <x:c r="C804" t="n">
        <x:v>46062</x:v>
      </x:c>
      <x:c r="D804" t="str">
        <x:v>USR-00406</x:v>
      </x:c>
      <x:c r="E804" t="str">
        <x:v>SUS-000548</x:v>
      </x:c>
      <x:c r="F804" t="str">
        <x:v>Plus mensual</x:v>
      </x:c>
      <x:c r="G804" t="str">
        <x:v>Mensual</x:v>
      </x:c>
      <x:c r="H804" t="n">
        <x:v>1</x:v>
      </x:c>
      <x:c r="I804" t="str">
        <x:v>Aprobado</x:v>
      </x:c>
      <x:c r="J804" t="n">
        <x:v>29900</x:v>
      </x:c>
      <x:c r="K804" t="str">
        <x:v>Tarjeta débito</x:v>
      </x:c>
      <x:c r="L804" t="str">
        <x:v>Sin error</x:v>
      </x:c>
    </x:row>
    <x:row r="805">
      <x:c r="A805" t="str">
        <x:v>TXN-0000804</x:v>
      </x:c>
      <x:c r="B805" t="str">
        <x:v>2026-02</x:v>
      </x:c>
      <x:c r="C805" t="n">
        <x:v>46063</x:v>
      </x:c>
      <x:c r="D805" t="str">
        <x:v>USR-00414</x:v>
      </x:c>
      <x:c r="E805" t="str">
        <x:v>SUS-000556</x:v>
      </x:c>
      <x:c r="F805" t="str">
        <x:v>Plus mensual</x:v>
      </x:c>
      <x:c r="G805" t="str">
        <x:v>Mensual</x:v>
      </x:c>
      <x:c r="H805" t="n">
        <x:v>1</x:v>
      </x:c>
      <x:c r="I805" t="str">
        <x:v>Aprobado</x:v>
      </x:c>
      <x:c r="J805" t="n">
        <x:v>29900</x:v>
      </x:c>
      <x:c r="K805" t="str">
        <x:v>Tarjeta débito</x:v>
      </x:c>
      <x:c r="L805" t="str">
        <x:v>Sin error</x:v>
      </x:c>
    </x:row>
    <x:row r="806">
      <x:c r="A806" t="str">
        <x:v>TXN-0000805</x:v>
      </x:c>
      <x:c r="B806" t="str">
        <x:v>2026-02</x:v>
      </x:c>
      <x:c r="C806" t="n">
        <x:v>46063</x:v>
      </x:c>
      <x:c r="D806" t="str">
        <x:v>USR-00417</x:v>
      </x:c>
      <x:c r="E806" t="str">
        <x:v>SUS-000643</x:v>
      </x:c>
      <x:c r="F806" t="str">
        <x:v>Plus mensual</x:v>
      </x:c>
      <x:c r="G806" t="str">
        <x:v>Mensual</x:v>
      </x:c>
      <x:c r="H806" t="n">
        <x:v>1</x:v>
      </x:c>
      <x:c r="I806" t="str">
        <x:v>Aprobado</x:v>
      </x:c>
      <x:c r="J806" t="n">
        <x:v>29900</x:v>
      </x:c>
      <x:c r="K806" t="str">
        <x:v>Tarjeta débito</x:v>
      </x:c>
      <x:c r="L806" t="str">
        <x:v>Sin error</x:v>
      </x:c>
    </x:row>
    <x:row r="807">
      <x:c r="A807" t="str">
        <x:v>TXN-0000806</x:v>
      </x:c>
      <x:c r="B807" t="str">
        <x:v>2026-02</x:v>
      </x:c>
      <x:c r="C807" t="n">
        <x:v>46058</x:v>
      </x:c>
      <x:c r="D807" t="str">
        <x:v>USR-00420</x:v>
      </x:c>
      <x:c r="E807" t="str">
        <x:v>SUS-000562</x:v>
      </x:c>
      <x:c r="F807" t="str">
        <x:v>Plus mensual</x:v>
      </x:c>
      <x:c r="G807" t="str">
        <x:v>Mensual</x:v>
      </x:c>
      <x:c r="H807" t="n">
        <x:v>1</x:v>
      </x:c>
      <x:c r="I807" t="str">
        <x:v>Rechazado</x:v>
      </x:c>
      <x:c r="J807" t="n">
        <x:v>29900</x:v>
      </x:c>
      <x:c r="K807" t="str">
        <x:v>Tarjeta crédito</x:v>
      </x:c>
      <x:c r="L807" t="str">
        <x:v>Error temporal</x:v>
      </x:c>
    </x:row>
    <x:row r="808">
      <x:c r="A808" t="str">
        <x:v>TXN-0000807</x:v>
      </x:c>
      <x:c r="B808" t="str">
        <x:v>2026-02</x:v>
      </x:c>
      <x:c r="C808" t="n">
        <x:v>46062</x:v>
      </x:c>
      <x:c r="D808" t="str">
        <x:v>USR-00420</x:v>
      </x:c>
      <x:c r="E808" t="str">
        <x:v>SUS-000562</x:v>
      </x:c>
      <x:c r="F808" t="str">
        <x:v>Plus mensual</x:v>
      </x:c>
      <x:c r="G808" t="str">
        <x:v>Mensual</x:v>
      </x:c>
      <x:c r="H808" t="n">
        <x:v>2</x:v>
      </x:c>
      <x:c r="I808" t="str">
        <x:v>Aprobado</x:v>
      </x:c>
      <x:c r="J808" t="n">
        <x:v>29900</x:v>
      </x:c>
      <x:c r="K808" t="str">
        <x:v>Tarjeta crédito</x:v>
      </x:c>
      <x:c r="L808" t="str">
        <x:v>Sin error</x:v>
      </x:c>
    </x:row>
    <x:row r="809">
      <x:c r="A809" t="str">
        <x:v>TXN-0000808</x:v>
      </x:c>
      <x:c r="B809" t="str">
        <x:v>2026-02</x:v>
      </x:c>
      <x:c r="C809" t="n">
        <x:v>46059</x:v>
      </x:c>
      <x:c r="D809" t="str">
        <x:v>USR-00422</x:v>
      </x:c>
      <x:c r="E809" t="str">
        <x:v>SUS-000564</x:v>
      </x:c>
      <x:c r="F809" t="str">
        <x:v>Plus mensual</x:v>
      </x:c>
      <x:c r="G809" t="str">
        <x:v>Mensual</x:v>
      </x:c>
      <x:c r="H809" t="n">
        <x:v>1</x:v>
      </x:c>
      <x:c r="I809" t="str">
        <x:v>Aprobado</x:v>
      </x:c>
      <x:c r="J809" t="n">
        <x:v>29900</x:v>
      </x:c>
      <x:c r="K809" t="str">
        <x:v>Tarjeta crédito</x:v>
      </x:c>
      <x:c r="L809" t="str">
        <x:v>Sin error</x:v>
      </x:c>
    </x:row>
    <x:row r="810">
      <x:c r="A810" t="str">
        <x:v>TXN-0000809</x:v>
      </x:c>
      <x:c r="B810" t="str">
        <x:v>2026-02</x:v>
      </x:c>
      <x:c r="C810" t="n">
        <x:v>46060</x:v>
      </x:c>
      <x:c r="D810" t="str">
        <x:v>USR-00423</x:v>
      </x:c>
      <x:c r="E810" t="str">
        <x:v>SUS-000565</x:v>
      </x:c>
      <x:c r="F810" t="str">
        <x:v>Plus mensual</x:v>
      </x:c>
      <x:c r="G810" t="str">
        <x:v>Mensual</x:v>
      </x:c>
      <x:c r="H810" t="n">
        <x:v>1</x:v>
      </x:c>
      <x:c r="I810" t="str">
        <x:v>Aprobado</x:v>
      </x:c>
      <x:c r="J810" t="n">
        <x:v>29900</x:v>
      </x:c>
      <x:c r="K810" t="str">
        <x:v>Tarjeta débito</x:v>
      </x:c>
      <x:c r="L810" t="str">
        <x:v>Sin error</x:v>
      </x:c>
    </x:row>
    <x:row r="811">
      <x:c r="A811" t="str">
        <x:v>TXN-0000810</x:v>
      </x:c>
      <x:c r="B811" t="str">
        <x:v>2026-02</x:v>
      </x:c>
      <x:c r="C811" t="n">
        <x:v>46065</x:v>
      </x:c>
      <x:c r="D811" t="str">
        <x:v>USR-00426</x:v>
      </x:c>
      <x:c r="E811" t="str">
        <x:v>SUS-000568</x:v>
      </x:c>
      <x:c r="F811" t="str">
        <x:v>Plus mensual</x:v>
      </x:c>
      <x:c r="G811" t="str">
        <x:v>Mensual</x:v>
      </x:c>
      <x:c r="H811" t="n">
        <x:v>1</x:v>
      </x:c>
      <x:c r="I811" t="str">
        <x:v>Aprobado</x:v>
      </x:c>
      <x:c r="J811" t="n">
        <x:v>29900</x:v>
      </x:c>
      <x:c r="K811" t="str">
        <x:v>Tarjeta crédito</x:v>
      </x:c>
      <x:c r="L811" t="str">
        <x:v>Sin error</x:v>
      </x:c>
    </x:row>
    <x:row r="812">
      <x:c r="A812" t="str">
        <x:v>TXN-0000811</x:v>
      </x:c>
      <x:c r="B812" t="str">
        <x:v>2026-02</x:v>
      </x:c>
      <x:c r="C812" t="n">
        <x:v>46060</x:v>
      </x:c>
      <x:c r="D812" t="str">
        <x:v>USR-00435</x:v>
      </x:c>
      <x:c r="E812" t="str">
        <x:v>SUS-000577</x:v>
      </x:c>
      <x:c r="F812" t="str">
        <x:v>Plus mensual</x:v>
      </x:c>
      <x:c r="G812" t="str">
        <x:v>Mensual</x:v>
      </x:c>
      <x:c r="H812" t="n">
        <x:v>1</x:v>
      </x:c>
      <x:c r="I812" t="str">
        <x:v>Aprobado</x:v>
      </x:c>
      <x:c r="J812" t="n">
        <x:v>29900</x:v>
      </x:c>
      <x:c r="K812" t="str">
        <x:v>Tarjeta débito</x:v>
      </x:c>
      <x:c r="L812" t="str">
        <x:v>Sin error</x:v>
      </x:c>
    </x:row>
    <x:row r="813">
      <x:c r="A813" t="str">
        <x:v>TXN-0000812</x:v>
      </x:c>
      <x:c r="B813" t="str">
        <x:v>2026-02</x:v>
      </x:c>
      <x:c r="C813" t="n">
        <x:v>46059</x:v>
      </x:c>
      <x:c r="D813" t="str">
        <x:v>USR-00446</x:v>
      </x:c>
      <x:c r="E813" t="str">
        <x:v>SUS-000588</x:v>
      </x:c>
      <x:c r="F813" t="str">
        <x:v>Plus mensual</x:v>
      </x:c>
      <x:c r="G813" t="str">
        <x:v>Mensual</x:v>
      </x:c>
      <x:c r="H813" t="n">
        <x:v>1</x:v>
      </x:c>
      <x:c r="I813" t="str">
        <x:v>Aprobado</x:v>
      </x:c>
      <x:c r="J813" t="n">
        <x:v>29900</x:v>
      </x:c>
      <x:c r="K813" t="str">
        <x:v>Tarjeta crédito</x:v>
      </x:c>
      <x:c r="L813" t="str">
        <x:v>Sin error</x:v>
      </x:c>
    </x:row>
    <x:row r="814">
      <x:c r="A814" t="str">
        <x:v>TXN-0000813</x:v>
      </x:c>
      <x:c r="B814" t="str">
        <x:v>2026-02</x:v>
      </x:c>
      <x:c r="C814" t="n">
        <x:v>46061</x:v>
      </x:c>
      <x:c r="D814" t="str">
        <x:v>USR-00447</x:v>
      </x:c>
      <x:c r="E814" t="str">
        <x:v>SUS-000589</x:v>
      </x:c>
      <x:c r="F814" t="str">
        <x:v>Plus mensual</x:v>
      </x:c>
      <x:c r="G814" t="str">
        <x:v>Mensual</x:v>
      </x:c>
      <x:c r="H814" t="n">
        <x:v>1</x:v>
      </x:c>
      <x:c r="I814" t="str">
        <x:v>Aprobado</x:v>
      </x:c>
      <x:c r="J814" t="n">
        <x:v>29900</x:v>
      </x:c>
      <x:c r="K814" t="str">
        <x:v>Tarjeta débito</x:v>
      </x:c>
      <x:c r="L814" t="str">
        <x:v>Sin error</x:v>
      </x:c>
    </x:row>
    <x:row r="815">
      <x:c r="A815" t="str">
        <x:v>TXN-0000814</x:v>
      </x:c>
      <x:c r="B815" t="str">
        <x:v>2026-02</x:v>
      </x:c>
      <x:c r="C815" t="n">
        <x:v>46062</x:v>
      </x:c>
      <x:c r="D815" t="str">
        <x:v>USR-00448</x:v>
      </x:c>
      <x:c r="E815" t="str">
        <x:v>SUS-000645</x:v>
      </x:c>
      <x:c r="F815" t="str">
        <x:v>Plus mensual</x:v>
      </x:c>
      <x:c r="G815" t="str">
        <x:v>Mensual</x:v>
      </x:c>
      <x:c r="H815" t="n">
        <x:v>1</x:v>
      </x:c>
      <x:c r="I815" t="str">
        <x:v>Aprobado</x:v>
      </x:c>
      <x:c r="J815" t="n">
        <x:v>29900</x:v>
      </x:c>
      <x:c r="K815" t="str">
        <x:v>Tarjeta crédito</x:v>
      </x:c>
      <x:c r="L815" t="str">
        <x:v>Sin error</x:v>
      </x:c>
    </x:row>
    <x:row r="816">
      <x:c r="A816" t="str">
        <x:v>TXN-0000815</x:v>
      </x:c>
      <x:c r="B816" t="str">
        <x:v>2026-02</x:v>
      </x:c>
      <x:c r="C816" t="n">
        <x:v>46064</x:v>
      </x:c>
      <x:c r="D816" t="str">
        <x:v>USR-00455</x:v>
      </x:c>
      <x:c r="E816" t="str">
        <x:v>SUS-000646</x:v>
      </x:c>
      <x:c r="F816" t="str">
        <x:v>Plus mensual</x:v>
      </x:c>
      <x:c r="G816" t="str">
        <x:v>Mensual</x:v>
      </x:c>
      <x:c r="H816" t="n">
        <x:v>1</x:v>
      </x:c>
      <x:c r="I816" t="str">
        <x:v>Aprobado</x:v>
      </x:c>
      <x:c r="J816" t="n">
        <x:v>29900</x:v>
      </x:c>
      <x:c r="K816" t="str">
        <x:v>PSE</x:v>
      </x:c>
      <x:c r="L816" t="str">
        <x:v>Sin error</x:v>
      </x:c>
    </x:row>
    <x:row r="817">
      <x:c r="A817" t="str">
        <x:v>TXN-0000816</x:v>
      </x:c>
      <x:c r="B817" t="str">
        <x:v>2026-02</x:v>
      </x:c>
      <x:c r="C817" t="n">
        <x:v>46062</x:v>
      </x:c>
      <x:c r="D817" t="str">
        <x:v>USR-00456</x:v>
      </x:c>
      <x:c r="E817" t="str">
        <x:v>SUS-000598</x:v>
      </x:c>
      <x:c r="F817" t="str">
        <x:v>Plus mensual</x:v>
      </x:c>
      <x:c r="G817" t="str">
        <x:v>Mensual</x:v>
      </x:c>
      <x:c r="H817" t="n">
        <x:v>1</x:v>
      </x:c>
      <x:c r="I817" t="str">
        <x:v>Aprobado</x:v>
      </x:c>
      <x:c r="J817" t="n">
        <x:v>29900</x:v>
      </x:c>
      <x:c r="K817" t="str">
        <x:v>Tarjeta débito</x:v>
      </x:c>
      <x:c r="L817" t="str">
        <x:v>Sin error</x:v>
      </x:c>
    </x:row>
    <x:row r="818">
      <x:c r="A818" t="str">
        <x:v>TXN-0000817</x:v>
      </x:c>
      <x:c r="B818" t="str">
        <x:v>2026-02</x:v>
      </x:c>
      <x:c r="C818" t="n">
        <x:v>46061</x:v>
      </x:c>
      <x:c r="D818" t="str">
        <x:v>USR-00457</x:v>
      </x:c>
      <x:c r="E818" t="str">
        <x:v>SUS-000599</x:v>
      </x:c>
      <x:c r="F818" t="str">
        <x:v>Plus mensual</x:v>
      </x:c>
      <x:c r="G818" t="str">
        <x:v>Mensual</x:v>
      </x:c>
      <x:c r="H818" t="n">
        <x:v>1</x:v>
      </x:c>
      <x:c r="I818" t="str">
        <x:v>Aprobado</x:v>
      </x:c>
      <x:c r="J818" t="n">
        <x:v>29900</x:v>
      </x:c>
      <x:c r="K818" t="str">
        <x:v>PSE</x:v>
      </x:c>
      <x:c r="L818" t="str">
        <x:v>Sin error</x:v>
      </x:c>
    </x:row>
    <x:row r="819">
      <x:c r="A819" t="str">
        <x:v>TXN-0000818</x:v>
      </x:c>
      <x:c r="B819" t="str">
        <x:v>2026-02</x:v>
      </x:c>
      <x:c r="C819" t="n">
        <x:v>46058</x:v>
      </x:c>
      <x:c r="D819" t="str">
        <x:v>USR-00458</x:v>
      </x:c>
      <x:c r="E819" t="str">
        <x:v>SUS-000600</x:v>
      </x:c>
      <x:c r="F819" t="str">
        <x:v>Plus mensual</x:v>
      </x:c>
      <x:c r="G819" t="str">
        <x:v>Mensual</x:v>
      </x:c>
      <x:c r="H819" t="n">
        <x:v>1</x:v>
      </x:c>
      <x:c r="I819" t="str">
        <x:v>Aprobado</x:v>
      </x:c>
      <x:c r="J819" t="n">
        <x:v>29900</x:v>
      </x:c>
      <x:c r="K819" t="str">
        <x:v>Tarjeta crédito</x:v>
      </x:c>
      <x:c r="L819" t="str">
        <x:v>Sin error</x:v>
      </x:c>
    </x:row>
    <x:row r="820">
      <x:c r="A820" t="str">
        <x:v>TXN-0000819</x:v>
      </x:c>
      <x:c r="B820" t="str">
        <x:v>2026-02</x:v>
      </x:c>
      <x:c r="C820" t="n">
        <x:v>46061</x:v>
      </x:c>
      <x:c r="D820" t="str">
        <x:v>USR-00465</x:v>
      </x:c>
      <x:c r="E820" t="str">
        <x:v>SUS-000607</x:v>
      </x:c>
      <x:c r="F820" t="str">
        <x:v>Plus mensual</x:v>
      </x:c>
      <x:c r="G820" t="str">
        <x:v>Mensual</x:v>
      </x:c>
      <x:c r="H820" t="n">
        <x:v>1</x:v>
      </x:c>
      <x:c r="I820" t="str">
        <x:v>Aprobado</x:v>
      </x:c>
      <x:c r="J820" t="n">
        <x:v>29900</x:v>
      </x:c>
      <x:c r="K820" t="str">
        <x:v>PSE</x:v>
      </x:c>
      <x:c r="L820" t="str">
        <x:v>Sin error</x:v>
      </x:c>
    </x:row>
    <x:row r="821">
      <x:c r="A821" t="str">
        <x:v>TXN-0000820</x:v>
      </x:c>
      <x:c r="B821" t="str">
        <x:v>2026-02</x:v>
      </x:c>
      <x:c r="C821" t="n">
        <x:v>46064</x:v>
      </x:c>
      <x:c r="D821" t="str">
        <x:v>USR-00467</x:v>
      </x:c>
      <x:c r="E821" t="str">
        <x:v>SUS-000763</x:v>
      </x:c>
      <x:c r="F821" t="str">
        <x:v>Plus mensual</x:v>
      </x:c>
      <x:c r="G821" t="str">
        <x:v>Mensual</x:v>
      </x:c>
      <x:c r="H821" t="n">
        <x:v>1</x:v>
      </x:c>
      <x:c r="I821" t="str">
        <x:v>Aprobado</x:v>
      </x:c>
      <x:c r="J821" t="n">
        <x:v>29900</x:v>
      </x:c>
      <x:c r="K821" t="str">
        <x:v>PSE</x:v>
      </x:c>
      <x:c r="L821" t="str">
        <x:v>Sin error</x:v>
      </x:c>
    </x:row>
    <x:row r="822">
      <x:c r="A822" t="str">
        <x:v>TXN-0000821</x:v>
      </x:c>
      <x:c r="B822" t="str">
        <x:v>2026-02</x:v>
      </x:c>
      <x:c r="C822" t="n">
        <x:v>46062</x:v>
      </x:c>
      <x:c r="D822" t="str">
        <x:v>USR-00469</x:v>
      </x:c>
      <x:c r="E822" t="str">
        <x:v>SUS-000648</x:v>
      </x:c>
      <x:c r="F822" t="str">
        <x:v>Plus mensual</x:v>
      </x:c>
      <x:c r="G822" t="str">
        <x:v>Mensual</x:v>
      </x:c>
      <x:c r="H822" t="n">
        <x:v>1</x:v>
      </x:c>
      <x:c r="I822" t="str">
        <x:v>Aprobado</x:v>
      </x:c>
      <x:c r="J822" t="n">
        <x:v>29900</x:v>
      </x:c>
      <x:c r="K822" t="str">
        <x:v>Tarjeta débito</x:v>
      </x:c>
      <x:c r="L822" t="str">
        <x:v>Sin error</x:v>
      </x:c>
    </x:row>
    <x:row r="823">
      <x:c r="A823" t="str">
        <x:v>TXN-0000822</x:v>
      </x:c>
      <x:c r="B823" t="str">
        <x:v>2026-02</x:v>
      </x:c>
      <x:c r="C823" t="n">
        <x:v>46059</x:v>
      </x:c>
      <x:c r="D823" t="str">
        <x:v>USR-00473</x:v>
      </x:c>
      <x:c r="E823" t="str">
        <x:v>SUS-000651</x:v>
      </x:c>
      <x:c r="F823" t="str">
        <x:v>Plus mensual</x:v>
      </x:c>
      <x:c r="G823" t="str">
        <x:v>Mensual</x:v>
      </x:c>
      <x:c r="H823" t="n">
        <x:v>1</x:v>
      </x:c>
      <x:c r="I823" t="str">
        <x:v>Aprobado</x:v>
      </x:c>
      <x:c r="J823" t="n">
        <x:v>29900</x:v>
      </x:c>
      <x:c r="K823" t="str">
        <x:v>Tarjeta débito</x:v>
      </x:c>
      <x:c r="L823" t="str">
        <x:v>Sin error</x:v>
      </x:c>
    </x:row>
    <x:row r="824">
      <x:c r="A824" t="str">
        <x:v>TXN-0000823</x:v>
      </x:c>
      <x:c r="B824" t="str">
        <x:v>2026-02</x:v>
      </x:c>
      <x:c r="C824" t="n">
        <x:v>46061</x:v>
      </x:c>
      <x:c r="D824" t="str">
        <x:v>USR-00474</x:v>
      </x:c>
      <x:c r="E824" t="str">
        <x:v>SUS-000652</x:v>
      </x:c>
      <x:c r="F824" t="str">
        <x:v>Plus mensual</x:v>
      </x:c>
      <x:c r="G824" t="str">
        <x:v>Mensual</x:v>
      </x:c>
      <x:c r="H824" t="n">
        <x:v>1</x:v>
      </x:c>
      <x:c r="I824" t="str">
        <x:v>Aprobado</x:v>
      </x:c>
      <x:c r="J824" t="n">
        <x:v>29900</x:v>
      </x:c>
      <x:c r="K824" t="str">
        <x:v>Tarjeta crédito</x:v>
      </x:c>
      <x:c r="L824" t="str">
        <x:v>Sin error</x:v>
      </x:c>
    </x:row>
    <x:row r="825">
      <x:c r="A825" t="str">
        <x:v>TXN-0000824</x:v>
      </x:c>
      <x:c r="B825" t="str">
        <x:v>2026-02</x:v>
      </x:c>
      <x:c r="C825" t="n">
        <x:v>46064</x:v>
      </x:c>
      <x:c r="D825" t="str">
        <x:v>USR-00484</x:v>
      </x:c>
      <x:c r="E825" t="str">
        <x:v>SUS-000662</x:v>
      </x:c>
      <x:c r="F825" t="str">
        <x:v>Plus mensual</x:v>
      </x:c>
      <x:c r="G825" t="str">
        <x:v>Mensual</x:v>
      </x:c>
      <x:c r="H825" t="n">
        <x:v>1</x:v>
      </x:c>
      <x:c r="I825" t="str">
        <x:v>Aprobado</x:v>
      </x:c>
      <x:c r="J825" t="n">
        <x:v>29900</x:v>
      </x:c>
      <x:c r="K825" t="str">
        <x:v>PSE</x:v>
      </x:c>
      <x:c r="L825" t="str">
        <x:v>Sin error</x:v>
      </x:c>
    </x:row>
    <x:row r="826">
      <x:c r="A826" t="str">
        <x:v>TXN-0000825</x:v>
      </x:c>
      <x:c r="B826" t="str">
        <x:v>2026-02</x:v>
      </x:c>
      <x:c r="C826" t="n">
        <x:v>46064</x:v>
      </x:c>
      <x:c r="D826" t="str">
        <x:v>USR-00485</x:v>
      </x:c>
      <x:c r="E826" t="str">
        <x:v>SUS-000765</x:v>
      </x:c>
      <x:c r="F826" t="str">
        <x:v>Plus anual</x:v>
      </x:c>
      <x:c r="G826" t="str">
        <x:v>Anual</x:v>
      </x:c>
      <x:c r="H826" t="n">
        <x:v>1</x:v>
      </x:c>
      <x:c r="I826" t="str">
        <x:v>Aprobado</x:v>
      </x:c>
      <x:c r="J826" t="n">
        <x:v>299000</x:v>
      </x:c>
      <x:c r="K826" t="str">
        <x:v>Tarjeta débito</x:v>
      </x:c>
      <x:c r="L826" t="str">
        <x:v>Sin error</x:v>
      </x:c>
    </x:row>
    <x:row r="827">
      <x:c r="A827" t="str">
        <x:v>TXN-0000826</x:v>
      </x:c>
      <x:c r="B827" t="str">
        <x:v>2026-02</x:v>
      </x:c>
      <x:c r="C827" t="n">
        <x:v>46064</x:v>
      </x:c>
      <x:c r="D827" t="str">
        <x:v>USR-00489</x:v>
      </x:c>
      <x:c r="E827" t="str">
        <x:v>SUS-000766</x:v>
      </x:c>
      <x:c r="F827" t="str">
        <x:v>Plus mensual</x:v>
      </x:c>
      <x:c r="G827" t="str">
        <x:v>Mensual</x:v>
      </x:c>
      <x:c r="H827" t="n">
        <x:v>1</x:v>
      </x:c>
      <x:c r="I827" t="str">
        <x:v>Aprobado</x:v>
      </x:c>
      <x:c r="J827" t="n">
        <x:v>29900</x:v>
      </x:c>
      <x:c r="K827" t="str">
        <x:v>Tarjeta crédito</x:v>
      </x:c>
      <x:c r="L827" t="str">
        <x:v>Sin error</x:v>
      </x:c>
    </x:row>
    <x:row r="828">
      <x:c r="A828" t="str">
        <x:v>TXN-0000827</x:v>
      </x:c>
      <x:c r="B828" t="str">
        <x:v>2026-02</x:v>
      </x:c>
      <x:c r="C828" t="n">
        <x:v>46061</x:v>
      </x:c>
      <x:c r="D828" t="str">
        <x:v>USR-00517</x:v>
      </x:c>
      <x:c r="E828" t="str">
        <x:v>SUS-000767</x:v>
      </x:c>
      <x:c r="F828" t="str">
        <x:v>Plus mensual</x:v>
      </x:c>
      <x:c r="G828" t="str">
        <x:v>Mensual</x:v>
      </x:c>
      <x:c r="H828" t="n">
        <x:v>1</x:v>
      </x:c>
      <x:c r="I828" t="str">
        <x:v>Aprobado</x:v>
      </x:c>
      <x:c r="J828" t="n">
        <x:v>29900</x:v>
      </x:c>
      <x:c r="K828" t="str">
        <x:v>Tarjeta débito</x:v>
      </x:c>
      <x:c r="L828" t="str">
        <x:v>Sin error</x:v>
      </x:c>
    </x:row>
    <x:row r="829">
      <x:c r="A829" t="str">
        <x:v>TXN-0000828</x:v>
      </x:c>
      <x:c r="B829" t="str">
        <x:v>2026-02</x:v>
      </x:c>
      <x:c r="C829" t="n">
        <x:v>46060</x:v>
      </x:c>
      <x:c r="D829" t="str">
        <x:v>USR-00518</x:v>
      </x:c>
      <x:c r="E829" t="str">
        <x:v>SUS-000696</x:v>
      </x:c>
      <x:c r="F829" t="str">
        <x:v>Plus mensual</x:v>
      </x:c>
      <x:c r="G829" t="str">
        <x:v>Mensual</x:v>
      </x:c>
      <x:c r="H829" t="n">
        <x:v>1</x:v>
      </x:c>
      <x:c r="I829" t="str">
        <x:v>Aprobado</x:v>
      </x:c>
      <x:c r="J829" t="n">
        <x:v>29900</x:v>
      </x:c>
      <x:c r="K829" t="str">
        <x:v>PSE</x:v>
      </x:c>
      <x:c r="L829" t="str">
        <x:v>Sin error</x:v>
      </x:c>
    </x:row>
    <x:row r="830">
      <x:c r="A830" t="str">
        <x:v>TXN-0000829</x:v>
      </x:c>
      <x:c r="B830" t="str">
        <x:v>2026-02</x:v>
      </x:c>
      <x:c r="C830" t="n">
        <x:v>46059</x:v>
      </x:c>
      <x:c r="D830" t="str">
        <x:v>USR-00527</x:v>
      </x:c>
      <x:c r="E830" t="str">
        <x:v>SUS-000705</x:v>
      </x:c>
      <x:c r="F830" t="str">
        <x:v>Plus mensual</x:v>
      </x:c>
      <x:c r="G830" t="str">
        <x:v>Mensual</x:v>
      </x:c>
      <x:c r="H830" t="n">
        <x:v>1</x:v>
      </x:c>
      <x:c r="I830" t="str">
        <x:v>Aprobado</x:v>
      </x:c>
      <x:c r="J830" t="n">
        <x:v>29900</x:v>
      </x:c>
      <x:c r="K830" t="str">
        <x:v>Tarjeta crédito</x:v>
      </x:c>
      <x:c r="L830" t="str">
        <x:v>Sin error</x:v>
      </x:c>
    </x:row>
    <x:row r="831">
      <x:c r="A831" t="str">
        <x:v>TXN-0000830</x:v>
      </x:c>
      <x:c r="B831" t="str">
        <x:v>2026-02</x:v>
      </x:c>
      <x:c r="C831" t="n">
        <x:v>46061</x:v>
      </x:c>
      <x:c r="D831" t="str">
        <x:v>USR-00530</x:v>
      </x:c>
      <x:c r="E831" t="str">
        <x:v>SUS-000768</x:v>
      </x:c>
      <x:c r="F831" t="str">
        <x:v>Plus mensual</x:v>
      </x:c>
      <x:c r="G831" t="str">
        <x:v>Mensual</x:v>
      </x:c>
      <x:c r="H831" t="n">
        <x:v>1</x:v>
      </x:c>
      <x:c r="I831" t="str">
        <x:v>Aprobado</x:v>
      </x:c>
      <x:c r="J831" t="n">
        <x:v>29900</x:v>
      </x:c>
      <x:c r="K831" t="str">
        <x:v>Tarjeta crédito</x:v>
      </x:c>
      <x:c r="L831" t="str">
        <x:v>Sin error</x:v>
      </x:c>
    </x:row>
    <x:row r="832">
      <x:c r="A832" t="str">
        <x:v>TXN-0000831</x:v>
      </x:c>
      <x:c r="B832" t="str">
        <x:v>2026-02</x:v>
      </x:c>
      <x:c r="C832" t="n">
        <x:v>46064</x:v>
      </x:c>
      <x:c r="D832" t="str">
        <x:v>USR-00531</x:v>
      </x:c>
      <x:c r="E832" t="str">
        <x:v>SUS-000709</x:v>
      </x:c>
      <x:c r="F832" t="str">
        <x:v>Plus mensual</x:v>
      </x:c>
      <x:c r="G832" t="str">
        <x:v>Mensual</x:v>
      </x:c>
      <x:c r="H832" t="n">
        <x:v>1</x:v>
      </x:c>
      <x:c r="I832" t="str">
        <x:v>Aprobado</x:v>
      </x:c>
      <x:c r="J832" t="n">
        <x:v>29900</x:v>
      </x:c>
      <x:c r="K832" t="str">
        <x:v>PSE</x:v>
      </x:c>
      <x:c r="L832" t="str">
        <x:v>Sin error</x:v>
      </x:c>
    </x:row>
    <x:row r="833">
      <x:c r="A833" t="str">
        <x:v>TXN-0000832</x:v>
      </x:c>
      <x:c r="B833" t="str">
        <x:v>2026-02</x:v>
      </x:c>
      <x:c r="C833" t="n">
        <x:v>46064</x:v>
      </x:c>
      <x:c r="D833" t="str">
        <x:v>USR-00534</x:v>
      </x:c>
      <x:c r="E833" t="str">
        <x:v>SUS-000712</x:v>
      </x:c>
      <x:c r="F833" t="str">
        <x:v>Plus mensual</x:v>
      </x:c>
      <x:c r="G833" t="str">
        <x:v>Mensual</x:v>
      </x:c>
      <x:c r="H833" t="n">
        <x:v>1</x:v>
      </x:c>
      <x:c r="I833" t="str">
        <x:v>Aprobado</x:v>
      </x:c>
      <x:c r="J833" t="n">
        <x:v>29900</x:v>
      </x:c>
      <x:c r="K833" t="str">
        <x:v>Tarjeta débito</x:v>
      </x:c>
      <x:c r="L833" t="str">
        <x:v>Sin error</x:v>
      </x:c>
    </x:row>
    <x:row r="834">
      <x:c r="A834" t="str">
        <x:v>TXN-0000833</x:v>
      </x:c>
      <x:c r="B834" t="str">
        <x:v>2026-02</x:v>
      </x:c>
      <x:c r="C834" t="n">
        <x:v>46059</x:v>
      </x:c>
      <x:c r="D834" t="str">
        <x:v>USR-00535</x:v>
      </x:c>
      <x:c r="E834" t="str">
        <x:v>SUS-000713</x:v>
      </x:c>
      <x:c r="F834" t="str">
        <x:v>Plus mensual</x:v>
      </x:c>
      <x:c r="G834" t="str">
        <x:v>Mensual</x:v>
      </x:c>
      <x:c r="H834" t="n">
        <x:v>1</x:v>
      </x:c>
      <x:c r="I834" t="str">
        <x:v>Aprobado</x:v>
      </x:c>
      <x:c r="J834" t="n">
        <x:v>29900</x:v>
      </x:c>
      <x:c r="K834" t="str">
        <x:v>Tarjeta débito</x:v>
      </x:c>
      <x:c r="L834" t="str">
        <x:v>Sin error</x:v>
      </x:c>
    </x:row>
    <x:row r="835">
      <x:c r="A835" t="str">
        <x:v>TXN-0000834</x:v>
      </x:c>
      <x:c r="B835" t="str">
        <x:v>2026-02</x:v>
      </x:c>
      <x:c r="C835" t="n">
        <x:v>46060</x:v>
      </x:c>
      <x:c r="D835" t="str">
        <x:v>USR-00538</x:v>
      </x:c>
      <x:c r="E835" t="str">
        <x:v>SUS-000716</x:v>
      </x:c>
      <x:c r="F835" t="str">
        <x:v>Plus mensual</x:v>
      </x:c>
      <x:c r="G835" t="str">
        <x:v>Mensual</x:v>
      </x:c>
      <x:c r="H835" t="n">
        <x:v>1</x:v>
      </x:c>
      <x:c r="I835" t="str">
        <x:v>Aprobado</x:v>
      </x:c>
      <x:c r="J835" t="n">
        <x:v>29900</x:v>
      </x:c>
      <x:c r="K835" t="str">
        <x:v>PSE</x:v>
      </x:c>
      <x:c r="L835" t="str">
        <x:v>Sin error</x:v>
      </x:c>
    </x:row>
    <x:row r="836">
      <x:c r="A836" t="str">
        <x:v>TXN-0000835</x:v>
      </x:c>
      <x:c r="B836" t="str">
        <x:v>2026-02</x:v>
      </x:c>
      <x:c r="C836" t="n">
        <x:v>46061</x:v>
      </x:c>
      <x:c r="D836" t="str">
        <x:v>USR-00541</x:v>
      </x:c>
      <x:c r="E836" t="str">
        <x:v>SUS-000769</x:v>
      </x:c>
      <x:c r="F836" t="str">
        <x:v>Plus anual</x:v>
      </x:c>
      <x:c r="G836" t="str">
        <x:v>Anual</x:v>
      </x:c>
      <x:c r="H836" t="n">
        <x:v>1</x:v>
      </x:c>
      <x:c r="I836" t="str">
        <x:v>Aprobado</x:v>
      </x:c>
      <x:c r="J836" t="n">
        <x:v>299000</x:v>
      </x:c>
      <x:c r="K836" t="str">
        <x:v>Tarjeta débito</x:v>
      </x:c>
      <x:c r="L836" t="str">
        <x:v>Sin error</x:v>
      </x:c>
    </x:row>
    <x:row r="837">
      <x:c r="A837" t="str">
        <x:v>TXN-0000836</x:v>
      </x:c>
      <x:c r="B837" t="str">
        <x:v>2026-02</x:v>
      </x:c>
      <x:c r="C837" t="n">
        <x:v>46058</x:v>
      </x:c>
      <x:c r="D837" t="str">
        <x:v>USR-00547</x:v>
      </x:c>
      <x:c r="E837" t="str">
        <x:v>SUS-000725</x:v>
      </x:c>
      <x:c r="F837" t="str">
        <x:v>Plus mensual</x:v>
      </x:c>
      <x:c r="G837" t="str">
        <x:v>Mensual</x:v>
      </x:c>
      <x:c r="H837" t="n">
        <x:v>1</x:v>
      </x:c>
      <x:c r="I837" t="str">
        <x:v>Aprobado</x:v>
      </x:c>
      <x:c r="J837" t="n">
        <x:v>29900</x:v>
      </x:c>
      <x:c r="K837" t="str">
        <x:v>Tarjeta débito</x:v>
      </x:c>
      <x:c r="L837" t="str">
        <x:v>Sin error</x:v>
      </x:c>
    </x:row>
    <x:row r="838">
      <x:c r="A838" t="str">
        <x:v>TXN-0000837</x:v>
      </x:c>
      <x:c r="B838" t="str">
        <x:v>2026-02</x:v>
      </x:c>
      <x:c r="C838" t="n">
        <x:v>46061</x:v>
      </x:c>
      <x:c r="D838" t="str">
        <x:v>USR-00553</x:v>
      </x:c>
      <x:c r="E838" t="str">
        <x:v>SUS-000731</x:v>
      </x:c>
      <x:c r="F838" t="str">
        <x:v>Plus mensual</x:v>
      </x:c>
      <x:c r="G838" t="str">
        <x:v>Mensual</x:v>
      </x:c>
      <x:c r="H838" t="n">
        <x:v>1</x:v>
      </x:c>
      <x:c r="I838" t="str">
        <x:v>Aprobado</x:v>
      </x:c>
      <x:c r="J838" t="n">
        <x:v>29900</x:v>
      </x:c>
      <x:c r="K838" t="str">
        <x:v>Tarjeta débito</x:v>
      </x:c>
      <x:c r="L838" t="str">
        <x:v>Sin error</x:v>
      </x:c>
    </x:row>
    <x:row r="839">
      <x:c r="A839" t="str">
        <x:v>TXN-0000838</x:v>
      </x:c>
      <x:c r="B839" t="str">
        <x:v>2026-02</x:v>
      </x:c>
      <x:c r="C839" t="n">
        <x:v>46062</x:v>
      </x:c>
      <x:c r="D839" t="str">
        <x:v>USR-00563</x:v>
      </x:c>
      <x:c r="E839" t="str">
        <x:v>SUS-000777</x:v>
      </x:c>
      <x:c r="F839" t="str">
        <x:v>Plus mensual</x:v>
      </x:c>
      <x:c r="G839" t="str">
        <x:v>Mensual</x:v>
      </x:c>
      <x:c r="H839" t="n">
        <x:v>1</x:v>
      </x:c>
      <x:c r="I839" t="str">
        <x:v>Aprobado</x:v>
      </x:c>
      <x:c r="J839" t="n">
        <x:v>29900</x:v>
      </x:c>
      <x:c r="K839" t="str">
        <x:v>Tarjeta crédito</x:v>
      </x:c>
      <x:c r="L839" t="str">
        <x:v>Sin error</x:v>
      </x:c>
    </x:row>
    <x:row r="840">
      <x:c r="A840" t="str">
        <x:v>TXN-0000839</x:v>
      </x:c>
      <x:c r="B840" t="str">
        <x:v>2026-02</x:v>
      </x:c>
      <x:c r="C840" t="n">
        <x:v>46063</x:v>
      </x:c>
      <x:c r="D840" t="str">
        <x:v>USR-00573</x:v>
      </x:c>
      <x:c r="E840" t="str">
        <x:v>SUS-000787</x:v>
      </x:c>
      <x:c r="F840" t="str">
        <x:v>Plus anual</x:v>
      </x:c>
      <x:c r="G840" t="str">
        <x:v>Anual</x:v>
      </x:c>
      <x:c r="H840" t="n">
        <x:v>1</x:v>
      </x:c>
      <x:c r="I840" t="str">
        <x:v>Rechazado</x:v>
      </x:c>
      <x:c r="J840" t="n">
        <x:v>299000</x:v>
      </x:c>
      <x:c r="K840" t="str">
        <x:v>Tarjeta crédito</x:v>
      </x:c>
      <x:c r="L840" t="str">
        <x:v>Error temporal</x:v>
      </x:c>
    </x:row>
    <x:row r="841">
      <x:c r="A841" t="str">
        <x:v>TXN-0000840</x:v>
      </x:c>
      <x:c r="B841" t="str">
        <x:v>2026-02</x:v>
      </x:c>
      <x:c r="C841" t="n">
        <x:v>46060</x:v>
      </x:c>
      <x:c r="D841" t="str">
        <x:v>USR-00573</x:v>
      </x:c>
      <x:c r="E841" t="str">
        <x:v>SUS-000787</x:v>
      </x:c>
      <x:c r="F841" t="str">
        <x:v>Plus anual</x:v>
      </x:c>
      <x:c r="G841" t="str">
        <x:v>Anual</x:v>
      </x:c>
      <x:c r="H841" t="n">
        <x:v>2</x:v>
      </x:c>
      <x:c r="I841" t="str">
        <x:v>Aprobado</x:v>
      </x:c>
      <x:c r="J841" t="n">
        <x:v>299000</x:v>
      </x:c>
      <x:c r="K841" t="str">
        <x:v>Tarjeta crédito</x:v>
      </x:c>
      <x:c r="L841" t="str">
        <x:v>Sin error</x:v>
      </x:c>
    </x:row>
    <x:row r="842">
      <x:c r="A842" t="str">
        <x:v>TXN-0000841</x:v>
      </x:c>
      <x:c r="B842" t="str">
        <x:v>2026-02</x:v>
      </x:c>
      <x:c r="C842" t="n">
        <x:v>46065</x:v>
      </x:c>
      <x:c r="D842" t="str">
        <x:v>USR-00586</x:v>
      </x:c>
      <x:c r="E842" t="str">
        <x:v>SUS-000800</x:v>
      </x:c>
      <x:c r="F842" t="str">
        <x:v>Plus anual</x:v>
      </x:c>
      <x:c r="G842" t="str">
        <x:v>Anual</x:v>
      </x:c>
      <x:c r="H842" t="n">
        <x:v>1</x:v>
      </x:c>
      <x:c r="I842" t="str">
        <x:v>Aprobado</x:v>
      </x:c>
      <x:c r="J842" t="n">
        <x:v>299000</x:v>
      </x:c>
      <x:c r="K842" t="str">
        <x:v>Tarjeta débito</x:v>
      </x:c>
      <x:c r="L842" t="str">
        <x:v>Sin error</x:v>
      </x:c>
    </x:row>
    <x:row r="843">
      <x:c r="A843" t="str">
        <x:v>TXN-0000842</x:v>
      </x:c>
      <x:c r="B843" t="str">
        <x:v>2026-02</x:v>
      </x:c>
      <x:c r="C843" t="n">
        <x:v>46060</x:v>
      </x:c>
      <x:c r="D843" t="str">
        <x:v>USR-00587</x:v>
      </x:c>
      <x:c r="E843" t="str">
        <x:v>SUS-000801</x:v>
      </x:c>
      <x:c r="F843" t="str">
        <x:v>Plus mensual</x:v>
      </x:c>
      <x:c r="G843" t="str">
        <x:v>Mensual</x:v>
      </x:c>
      <x:c r="H843" t="n">
        <x:v>1</x:v>
      </x:c>
      <x:c r="I843" t="str">
        <x:v>Aprobado</x:v>
      </x:c>
      <x:c r="J843" t="n">
        <x:v>29900</x:v>
      </x:c>
      <x:c r="K843" t="str">
        <x:v>PSE</x:v>
      </x:c>
      <x:c r="L843" t="str">
        <x:v>Sin error</x:v>
      </x:c>
    </x:row>
    <x:row r="844">
      <x:c r="A844" t="str">
        <x:v>TXN-0000843</x:v>
      </x:c>
      <x:c r="B844" t="str">
        <x:v>2026-02</x:v>
      </x:c>
      <x:c r="C844" t="n">
        <x:v>46060</x:v>
      </x:c>
      <x:c r="D844" t="str">
        <x:v>USR-00598</x:v>
      </x:c>
      <x:c r="E844" t="str">
        <x:v>SUS-000812</x:v>
      </x:c>
      <x:c r="F844" t="str">
        <x:v>Plus mensual</x:v>
      </x:c>
      <x:c r="G844" t="str">
        <x:v>Mensual</x:v>
      </x:c>
      <x:c r="H844" t="n">
        <x:v>1</x:v>
      </x:c>
      <x:c r="I844" t="str">
        <x:v>Aprobado</x:v>
      </x:c>
      <x:c r="J844" t="n">
        <x:v>29900</x:v>
      </x:c>
      <x:c r="K844" t="str">
        <x:v>PSE</x:v>
      </x:c>
      <x:c r="L844" t="str">
        <x:v>Sin error</x:v>
      </x:c>
    </x:row>
    <x:row r="845">
      <x:c r="A845" t="str">
        <x:v>TXN-0000844</x:v>
      </x:c>
      <x:c r="B845" t="str">
        <x:v>2026-02</x:v>
      </x:c>
      <x:c r="C845" t="n">
        <x:v>46064</x:v>
      </x:c>
      <x:c r="D845" t="str">
        <x:v>USR-00601</x:v>
      </x:c>
      <x:c r="E845" t="str">
        <x:v>SUS-000815</x:v>
      </x:c>
      <x:c r="F845" t="str">
        <x:v>Plus mensual</x:v>
      </x:c>
      <x:c r="G845" t="str">
        <x:v>Mensual</x:v>
      </x:c>
      <x:c r="H845" t="n">
        <x:v>1</x:v>
      </x:c>
      <x:c r="I845" t="str">
        <x:v>Aprobado</x:v>
      </x:c>
      <x:c r="J845" t="n">
        <x:v>29900</x:v>
      </x:c>
      <x:c r="K845" t="str">
        <x:v>Tarjeta débito</x:v>
      </x:c>
      <x:c r="L845" t="str">
        <x:v>Sin error</x:v>
      </x:c>
    </x:row>
    <x:row r="846">
      <x:c r="A846" t="str">
        <x:v>TXN-0000845</x:v>
      </x:c>
      <x:c r="B846" t="str">
        <x:v>2026-02</x:v>
      </x:c>
      <x:c r="C846" t="n">
        <x:v>46060</x:v>
      </x:c>
      <x:c r="D846" t="str">
        <x:v>USR-00602</x:v>
      </x:c>
      <x:c r="E846" t="str">
        <x:v>SUS-000816</x:v>
      </x:c>
      <x:c r="F846" t="str">
        <x:v>Plus mensual</x:v>
      </x:c>
      <x:c r="G846" t="str">
        <x:v>Mensual</x:v>
      </x:c>
      <x:c r="H846" t="n">
        <x:v>1</x:v>
      </x:c>
      <x:c r="I846" t="str">
        <x:v>Aprobado</x:v>
      </x:c>
      <x:c r="J846" t="n">
        <x:v>29900</x:v>
      </x:c>
      <x:c r="K846" t="str">
        <x:v>Tarjeta crédito</x:v>
      </x:c>
      <x:c r="L846" t="str">
        <x:v>Sin error</x:v>
      </x:c>
    </x:row>
    <x:row r="847">
      <x:c r="A847" t="str">
        <x:v>TXN-0000846</x:v>
      </x:c>
      <x:c r="B847" t="str">
        <x:v>2026-02</x:v>
      </x:c>
      <x:c r="C847" t="n">
        <x:v>46059</x:v>
      </x:c>
      <x:c r="D847" t="str">
        <x:v>USR-00605</x:v>
      </x:c>
      <x:c r="E847" t="str">
        <x:v>SUS-000819</x:v>
      </x:c>
      <x:c r="F847" t="str">
        <x:v>Plus anual</x:v>
      </x:c>
      <x:c r="G847" t="str">
        <x:v>Anual</x:v>
      </x:c>
      <x:c r="H847" t="n">
        <x:v>1</x:v>
      </x:c>
      <x:c r="I847" t="str">
        <x:v>Aprobado</x:v>
      </x:c>
      <x:c r="J847" t="n">
        <x:v>299000</x:v>
      </x:c>
      <x:c r="K847" t="str">
        <x:v>Tarjeta crédito</x:v>
      </x:c>
      <x:c r="L847" t="str">
        <x:v>Sin error</x:v>
      </x:c>
    </x:row>
    <x:row r="848">
      <x:c r="A848" t="str">
        <x:v>TXN-0000847</x:v>
      </x:c>
      <x:c r="B848" t="str">
        <x:v>2026-02</x:v>
      </x:c>
      <x:c r="C848" t="n">
        <x:v>46059</x:v>
      </x:c>
      <x:c r="D848" t="str">
        <x:v>USR-00607</x:v>
      </x:c>
      <x:c r="E848" t="str">
        <x:v>SUS-000821</x:v>
      </x:c>
      <x:c r="F848" t="str">
        <x:v>Plus mensual</x:v>
      </x:c>
      <x:c r="G848" t="str">
        <x:v>Mensual</x:v>
      </x:c>
      <x:c r="H848" t="n">
        <x:v>1</x:v>
      </x:c>
      <x:c r="I848" t="str">
        <x:v>Aprobado</x:v>
      </x:c>
      <x:c r="J848" t="n">
        <x:v>29900</x:v>
      </x:c>
      <x:c r="K848" t="str">
        <x:v>Tarjeta débito</x:v>
      </x:c>
      <x:c r="L848" t="str">
        <x:v>Sin error</x:v>
      </x:c>
    </x:row>
    <x:row r="849">
      <x:c r="A849" t="str">
        <x:v>TXN-0000848</x:v>
      </x:c>
      <x:c r="B849" t="str">
        <x:v>2026-02</x:v>
      </x:c>
      <x:c r="C849" t="n">
        <x:v>46060</x:v>
      </x:c>
      <x:c r="D849" t="str">
        <x:v>USR-00610</x:v>
      </x:c>
      <x:c r="E849" t="str">
        <x:v>SUS-000824</x:v>
      </x:c>
      <x:c r="F849" t="str">
        <x:v>Plus anual</x:v>
      </x:c>
      <x:c r="G849" t="str">
        <x:v>Anual</x:v>
      </x:c>
      <x:c r="H849" t="n">
        <x:v>1</x:v>
      </x:c>
      <x:c r="I849" t="str">
        <x:v>Aprobado</x:v>
      </x:c>
      <x:c r="J849" t="n">
        <x:v>299000</x:v>
      </x:c>
      <x:c r="K849" t="str">
        <x:v>Tarjeta débito</x:v>
      </x:c>
      <x:c r="L849" t="str">
        <x:v>Sin error</x:v>
      </x:c>
    </x:row>
    <x:row r="850">
      <x:c r="A850" t="str">
        <x:v>TXN-0000849</x:v>
      </x:c>
      <x:c r="B850" t="str">
        <x:v>2026-02</x:v>
      </x:c>
      <x:c r="C850" t="n">
        <x:v>46058</x:v>
      </x:c>
      <x:c r="D850" t="str">
        <x:v>USR-00618</x:v>
      </x:c>
      <x:c r="E850" t="str">
        <x:v>SUS-000832</x:v>
      </x:c>
      <x:c r="F850" t="str">
        <x:v>Plus mensual</x:v>
      </x:c>
      <x:c r="G850" t="str">
        <x:v>Mensual</x:v>
      </x:c>
      <x:c r="H850" t="n">
        <x:v>1</x:v>
      </x:c>
      <x:c r="I850" t="str">
        <x:v>Aprobado</x:v>
      </x:c>
      <x:c r="J850" t="n">
        <x:v>29900</x:v>
      </x:c>
      <x:c r="K850" t="str">
        <x:v>Tarjeta crédito</x:v>
      </x:c>
      <x:c r="L850" t="str">
        <x:v>Sin error</x:v>
      </x:c>
    </x:row>
    <x:row r="851">
      <x:c r="A851" t="str">
        <x:v>TXN-0000850</x:v>
      </x:c>
      <x:c r="B851" t="str">
        <x:v>2026-02</x:v>
      </x:c>
      <x:c r="C851" t="n">
        <x:v>46065</x:v>
      </x:c>
      <x:c r="D851" t="str">
        <x:v>USR-00619</x:v>
      </x:c>
      <x:c r="E851" t="str">
        <x:v>SUS-000833</x:v>
      </x:c>
      <x:c r="F851" t="str">
        <x:v>Plus mensual</x:v>
      </x:c>
      <x:c r="G851" t="str">
        <x:v>Mensual</x:v>
      </x:c>
      <x:c r="H851" t="n">
        <x:v>1</x:v>
      </x:c>
      <x:c r="I851" t="str">
        <x:v>Aprobado</x:v>
      </x:c>
      <x:c r="J851" t="n">
        <x:v>29900</x:v>
      </x:c>
      <x:c r="K851" t="str">
        <x:v>Tarjeta crédito</x:v>
      </x:c>
      <x:c r="L851" t="str">
        <x:v>Sin error</x:v>
      </x:c>
    </x:row>
    <x:row r="852">
      <x:c r="A852" t="str">
        <x:v>TXN-0000851</x:v>
      </x:c>
      <x:c r="B852" t="str">
        <x:v>2026-02</x:v>
      </x:c>
      <x:c r="C852" t="n">
        <x:v>46059</x:v>
      </x:c>
      <x:c r="D852" t="str">
        <x:v>USR-00621</x:v>
      </x:c>
      <x:c r="E852" t="str">
        <x:v>SUS-000835</x:v>
      </x:c>
      <x:c r="F852" t="str">
        <x:v>Plus mensual</x:v>
      </x:c>
      <x:c r="G852" t="str">
        <x:v>Mensual</x:v>
      </x:c>
      <x:c r="H852" t="n">
        <x:v>1</x:v>
      </x:c>
      <x:c r="I852" t="str">
        <x:v>Aprobado</x:v>
      </x:c>
      <x:c r="J852" t="n">
        <x:v>29900</x:v>
      </x:c>
      <x:c r="K852" t="str">
        <x:v>PSE</x:v>
      </x:c>
      <x:c r="L852" t="str">
        <x:v>Sin error</x:v>
      </x:c>
    </x:row>
    <x:row r="853">
      <x:c r="A853" t="str">
        <x:v>TXN-0000852</x:v>
      </x:c>
      <x:c r="B853" t="str">
        <x:v>2026-03</x:v>
      </x:c>
      <x:c r="C853" t="n">
        <x:v>46093</x:v>
      </x:c>
      <x:c r="D853" t="str">
        <x:v>USR-00002</x:v>
      </x:c>
      <x:c r="E853" t="str">
        <x:v>SUS-000212</x:v>
      </x:c>
      <x:c r="F853" t="str">
        <x:v>Plus mensual</x:v>
      </x:c>
      <x:c r="G853" t="str">
        <x:v>Mensual</x:v>
      </x:c>
      <x:c r="H853" t="n">
        <x:v>1</x:v>
      </x:c>
      <x:c r="I853" t="str">
        <x:v>Aprobado</x:v>
      </x:c>
      <x:c r="J853" t="n">
        <x:v>29900</x:v>
      </x:c>
      <x:c r="K853" t="str">
        <x:v>Tarjeta crédito</x:v>
      </x:c>
      <x:c r="L853" t="str">
        <x:v>Sin error</x:v>
      </x:c>
    </x:row>
    <x:row r="854">
      <x:c r="A854" t="str">
        <x:v>TXN-0000853</x:v>
      </x:c>
      <x:c r="B854" t="str">
        <x:v>2026-03</x:v>
      </x:c>
      <x:c r="C854" t="n">
        <x:v>46093</x:v>
      </x:c>
      <x:c r="D854" t="str">
        <x:v>USR-00012</x:v>
      </x:c>
      <x:c r="E854" t="str">
        <x:v>SUS-000837</x:v>
      </x:c>
      <x:c r="F854" t="str">
        <x:v>Plus mensual</x:v>
      </x:c>
      <x:c r="G854" t="str">
        <x:v>Mensual</x:v>
      </x:c>
      <x:c r="H854" t="n">
        <x:v>1</x:v>
      </x:c>
      <x:c r="I854" t="str">
        <x:v>Aprobado</x:v>
      </x:c>
      <x:c r="J854" t="n">
        <x:v>29900</x:v>
      </x:c>
      <x:c r="K854" t="str">
        <x:v>PSE</x:v>
      </x:c>
      <x:c r="L854" t="str">
        <x:v>Sin error</x:v>
      </x:c>
    </x:row>
    <x:row r="855">
      <x:c r="A855" t="str">
        <x:v>TXN-0000854</x:v>
      </x:c>
      <x:c r="B855" t="str">
        <x:v>2026-03</x:v>
      </x:c>
      <x:c r="C855" t="n">
        <x:v>46088</x:v>
      </x:c>
      <x:c r="D855" t="str">
        <x:v>USR-00018</x:v>
      </x:c>
      <x:c r="E855" t="str">
        <x:v>SUS-000157</x:v>
      </x:c>
      <x:c r="F855" t="str">
        <x:v>Plus mensual</x:v>
      </x:c>
      <x:c r="G855" t="str">
        <x:v>Mensual</x:v>
      </x:c>
      <x:c r="H855" t="n">
        <x:v>1</x:v>
      </x:c>
      <x:c r="I855" t="str">
        <x:v>Aprobado</x:v>
      </x:c>
      <x:c r="J855" t="n">
        <x:v>29900</x:v>
      </x:c>
      <x:c r="K855" t="str">
        <x:v>Tarjeta crédito</x:v>
      </x:c>
      <x:c r="L855" t="str">
        <x:v>Sin error</x:v>
      </x:c>
    </x:row>
    <x:row r="856">
      <x:c r="A856" t="str">
        <x:v>TXN-0000855</x:v>
      </x:c>
      <x:c r="B856" t="str">
        <x:v>2026-03</x:v>
      </x:c>
      <x:c r="C856" t="n">
        <x:v>46092</x:v>
      </x:c>
      <x:c r="D856" t="str">
        <x:v>USR-00019</x:v>
      </x:c>
      <x:c r="E856" t="str">
        <x:v>SUS-000158</x:v>
      </x:c>
      <x:c r="F856" t="str">
        <x:v>Plus mensual</x:v>
      </x:c>
      <x:c r="G856" t="str">
        <x:v>Mensual</x:v>
      </x:c>
      <x:c r="H856" t="n">
        <x:v>1</x:v>
      </x:c>
      <x:c r="I856" t="str">
        <x:v>Aprobado</x:v>
      </x:c>
      <x:c r="J856" t="n">
        <x:v>29900</x:v>
      </x:c>
      <x:c r="K856" t="str">
        <x:v>Tarjeta débito</x:v>
      </x:c>
      <x:c r="L856" t="str">
        <x:v>Sin error</x:v>
      </x:c>
    </x:row>
    <x:row r="857">
      <x:c r="A857" t="str">
        <x:v>TXN-0000856</x:v>
      </x:c>
      <x:c r="B857" t="str">
        <x:v>2026-03</x:v>
      </x:c>
      <x:c r="C857" t="n">
        <x:v>46088</x:v>
      </x:c>
      <x:c r="D857" t="str">
        <x:v>USR-00026</x:v>
      </x:c>
      <x:c r="E857" t="str">
        <x:v>SUS-000101</x:v>
      </x:c>
      <x:c r="F857" t="str">
        <x:v>Plus mensual</x:v>
      </x:c>
      <x:c r="G857" t="str">
        <x:v>Mensual</x:v>
      </x:c>
      <x:c r="H857" t="n">
        <x:v>1</x:v>
      </x:c>
      <x:c r="I857" t="str">
        <x:v>Aprobado</x:v>
      </x:c>
      <x:c r="J857" t="n">
        <x:v>29900</x:v>
      </x:c>
      <x:c r="K857" t="str">
        <x:v>Tarjeta débito</x:v>
      </x:c>
      <x:c r="L857" t="str">
        <x:v>Sin error</x:v>
      </x:c>
    </x:row>
    <x:row r="858">
      <x:c r="A858" t="str">
        <x:v>TXN-0000857</x:v>
      </x:c>
      <x:c r="B858" t="str">
        <x:v>2026-03</x:v>
      </x:c>
      <x:c r="C858" t="n">
        <x:v>46092</x:v>
      </x:c>
      <x:c r="D858" t="str">
        <x:v>USR-00034</x:v>
      </x:c>
      <x:c r="E858" t="str">
        <x:v>SUS-000734</x:v>
      </x:c>
      <x:c r="F858" t="str">
        <x:v>Plus mensual</x:v>
      </x:c>
      <x:c r="G858" t="str">
        <x:v>Mensual</x:v>
      </x:c>
      <x:c r="H858" t="n">
        <x:v>1</x:v>
      </x:c>
      <x:c r="I858" t="str">
        <x:v>Aprobado</x:v>
      </x:c>
      <x:c r="J858" t="n">
        <x:v>29900</x:v>
      </x:c>
      <x:c r="K858" t="str">
        <x:v>Tarjeta débito</x:v>
      </x:c>
      <x:c r="L858" t="str">
        <x:v>Sin error</x:v>
      </x:c>
    </x:row>
    <x:row r="859">
      <x:c r="A859" t="str">
        <x:v>TXN-0000858</x:v>
      </x:c>
      <x:c r="B859" t="str">
        <x:v>2026-03</x:v>
      </x:c>
      <x:c r="C859" t="n">
        <x:v>46086</x:v>
      </x:c>
      <x:c r="D859" t="str">
        <x:v>USR-00037</x:v>
      </x:c>
      <x:c r="E859" t="str">
        <x:v>SUS-000457</x:v>
      </x:c>
      <x:c r="F859" t="str">
        <x:v>Plus mensual</x:v>
      </x:c>
      <x:c r="G859" t="str">
        <x:v>Mensual</x:v>
      </x:c>
      <x:c r="H859" t="n">
        <x:v>1</x:v>
      </x:c>
      <x:c r="I859" t="str">
        <x:v>Rechazado</x:v>
      </x:c>
      <x:c r="J859" t="n">
        <x:v>29900</x:v>
      </x:c>
      <x:c r="K859" t="str">
        <x:v>Tarjeta débito</x:v>
      </x:c>
      <x:c r="L859" t="str">
        <x:v>Declinado por entidad</x:v>
      </x:c>
    </x:row>
    <x:row r="860">
      <x:c r="A860" t="str">
        <x:v>TXN-0000859</x:v>
      </x:c>
      <x:c r="B860" t="str">
        <x:v>2026-03</x:v>
      </x:c>
      <x:c r="C860" t="n">
        <x:v>46090</x:v>
      </x:c>
      <x:c r="D860" t="str">
        <x:v>USR-00037</x:v>
      </x:c>
      <x:c r="E860" t="str">
        <x:v>SUS-000457</x:v>
      </x:c>
      <x:c r="F860" t="str">
        <x:v>Plus mensual</x:v>
      </x:c>
      <x:c r="G860" t="str">
        <x:v>Mensual</x:v>
      </x:c>
      <x:c r="H860" t="n">
        <x:v>2</x:v>
      </x:c>
      <x:c r="I860" t="str">
        <x:v>Aprobado</x:v>
      </x:c>
      <x:c r="J860" t="n">
        <x:v>29900</x:v>
      </x:c>
      <x:c r="K860" t="str">
        <x:v>PSE</x:v>
      </x:c>
      <x:c r="L860" t="str">
        <x:v>Sin error</x:v>
      </x:c>
    </x:row>
    <x:row r="861">
      <x:c r="A861" t="str">
        <x:v>TXN-0000860</x:v>
      </x:c>
      <x:c r="B861" t="str">
        <x:v>2026-03</x:v>
      </x:c>
      <x:c r="C861" t="n">
        <x:v>46086</x:v>
      </x:c>
      <x:c r="D861" t="str">
        <x:v>USR-00042</x:v>
      </x:c>
      <x:c r="E861" t="str">
        <x:v>SUS-000838</x:v>
      </x:c>
      <x:c r="F861" t="str">
        <x:v>Plus anual</x:v>
      </x:c>
      <x:c r="G861" t="str">
        <x:v>Anual</x:v>
      </x:c>
      <x:c r="H861" t="n">
        <x:v>1</x:v>
      </x:c>
      <x:c r="I861" t="str">
        <x:v>Aprobado</x:v>
      </x:c>
      <x:c r="J861" t="n">
        <x:v>299000</x:v>
      </x:c>
      <x:c r="K861" t="str">
        <x:v>Tarjeta débito</x:v>
      </x:c>
      <x:c r="L861" t="str">
        <x:v>Sin error</x:v>
      </x:c>
    </x:row>
    <x:row r="862">
      <x:c r="A862" t="str">
        <x:v>TXN-0000861</x:v>
      </x:c>
      <x:c r="B862" t="str">
        <x:v>2026-03</x:v>
      </x:c>
      <x:c r="C862" t="n">
        <x:v>46087</x:v>
      </x:c>
      <x:c r="D862" t="str">
        <x:v>USR-00048</x:v>
      </x:c>
      <x:c r="E862" t="str">
        <x:v>SUS-000160</x:v>
      </x:c>
      <x:c r="F862" t="str">
        <x:v>Plus mensual</x:v>
      </x:c>
      <x:c r="G862" t="str">
        <x:v>Mensual</x:v>
      </x:c>
      <x:c r="H862" t="n">
        <x:v>1</x:v>
      </x:c>
      <x:c r="I862" t="str">
        <x:v>Aprobado</x:v>
      </x:c>
      <x:c r="J862" t="n">
        <x:v>29900</x:v>
      </x:c>
      <x:c r="K862" t="str">
        <x:v>Tarjeta débito</x:v>
      </x:c>
      <x:c r="L862" t="str">
        <x:v>Sin error</x:v>
      </x:c>
    </x:row>
    <x:row r="863">
      <x:c r="A863" t="str">
        <x:v>TXN-0000862</x:v>
      </x:c>
      <x:c r="B863" t="str">
        <x:v>2026-03</x:v>
      </x:c>
      <x:c r="C863" t="n">
        <x:v>46092</x:v>
      </x:c>
      <x:c r="D863" t="str">
        <x:v>USR-00057</x:v>
      </x:c>
      <x:c r="E863" t="str">
        <x:v>SUS-000386</x:v>
      </x:c>
      <x:c r="F863" t="str">
        <x:v>Plus mensual</x:v>
      </x:c>
      <x:c r="G863" t="str">
        <x:v>Mensual</x:v>
      </x:c>
      <x:c r="H863" t="n">
        <x:v>1</x:v>
      </x:c>
      <x:c r="I863" t="str">
        <x:v>Aprobado</x:v>
      </x:c>
      <x:c r="J863" t="n">
        <x:v>29900</x:v>
      </x:c>
      <x:c r="K863" t="str">
        <x:v>Tarjeta débito</x:v>
      </x:c>
      <x:c r="L863" t="str">
        <x:v>Sin error</x:v>
      </x:c>
    </x:row>
    <x:row r="864">
      <x:c r="A864" t="str">
        <x:v>TXN-0000863</x:v>
      </x:c>
      <x:c r="B864" t="str">
        <x:v>2026-03</x:v>
      </x:c>
      <x:c r="C864" t="n">
        <x:v>46086</x:v>
      </x:c>
      <x:c r="D864" t="str">
        <x:v>USR-00064</x:v>
      </x:c>
      <x:c r="E864" t="str">
        <x:v>SUS-000333</x:v>
      </x:c>
      <x:c r="F864" t="str">
        <x:v>Plus mensual</x:v>
      </x:c>
      <x:c r="G864" t="str">
        <x:v>Mensual</x:v>
      </x:c>
      <x:c r="H864" t="n">
        <x:v>1</x:v>
      </x:c>
      <x:c r="I864" t="str">
        <x:v>Aprobado</x:v>
      </x:c>
      <x:c r="J864" t="n">
        <x:v>29900</x:v>
      </x:c>
      <x:c r="K864" t="str">
        <x:v>Tarjeta crédito</x:v>
      </x:c>
      <x:c r="L864" t="str">
        <x:v>Sin error</x:v>
      </x:c>
    </x:row>
    <x:row r="865">
      <x:c r="A865" t="str">
        <x:v>TXN-0000864</x:v>
      </x:c>
      <x:c r="B865" t="str">
        <x:v>2026-03</x:v>
      </x:c>
      <x:c r="C865" t="n">
        <x:v>46091</x:v>
      </x:c>
      <x:c r="D865" t="str">
        <x:v>USR-00070</x:v>
      </x:c>
      <x:c r="E865" t="str">
        <x:v>SUS-000527</x:v>
      </x:c>
      <x:c r="F865" t="str">
        <x:v>Plus mensual</x:v>
      </x:c>
      <x:c r="G865" t="str">
        <x:v>Mensual</x:v>
      </x:c>
      <x:c r="H865" t="n">
        <x:v>1</x:v>
      </x:c>
      <x:c r="I865" t="str">
        <x:v>Aprobado</x:v>
      </x:c>
      <x:c r="J865" t="n">
        <x:v>29900</x:v>
      </x:c>
      <x:c r="K865" t="str">
        <x:v>Tarjeta crédito</x:v>
      </x:c>
      <x:c r="L865" t="str">
        <x:v>Sin error</x:v>
      </x:c>
    </x:row>
    <x:row r="866">
      <x:c r="A866" t="str">
        <x:v>TXN-0000865</x:v>
      </x:c>
      <x:c r="B866" t="str">
        <x:v>2026-03</x:v>
      </x:c>
      <x:c r="C866" t="n">
        <x:v>46087</x:v>
      </x:c>
      <x:c r="D866" t="str">
        <x:v>USR-00071</x:v>
      </x:c>
      <x:c r="E866" t="str">
        <x:v>SUS-000217</x:v>
      </x:c>
      <x:c r="F866" t="str">
        <x:v>Plus mensual</x:v>
      </x:c>
      <x:c r="G866" t="str">
        <x:v>Mensual</x:v>
      </x:c>
      <x:c r="H866" t="n">
        <x:v>1</x:v>
      </x:c>
      <x:c r="I866" t="str">
        <x:v>Aprobado</x:v>
      </x:c>
      <x:c r="J866" t="n">
        <x:v>29900</x:v>
      </x:c>
      <x:c r="K866" t="str">
        <x:v>Tarjeta crédito</x:v>
      </x:c>
      <x:c r="L866" t="str">
        <x:v>Sin error</x:v>
      </x:c>
    </x:row>
    <x:row r="867">
      <x:c r="A867" t="str">
        <x:v>TXN-0000866</x:v>
      </x:c>
      <x:c r="B867" t="str">
        <x:v>2026-03</x:v>
      </x:c>
      <x:c r="C867" t="n">
        <x:v>46090</x:v>
      </x:c>
      <x:c r="D867" t="str">
        <x:v>USR-00078</x:v>
      </x:c>
      <x:c r="E867" t="str">
        <x:v>SUS-000083</x:v>
      </x:c>
      <x:c r="F867" t="str">
        <x:v>Plus mensual</x:v>
      </x:c>
      <x:c r="G867" t="str">
        <x:v>Mensual</x:v>
      </x:c>
      <x:c r="H867" t="n">
        <x:v>1</x:v>
      </x:c>
      <x:c r="I867" t="str">
        <x:v>Aprobado</x:v>
      </x:c>
      <x:c r="J867" t="n">
        <x:v>29900</x:v>
      </x:c>
      <x:c r="K867" t="str">
        <x:v>Tarjeta débito</x:v>
      </x:c>
      <x:c r="L867" t="str">
        <x:v>Sin error</x:v>
      </x:c>
    </x:row>
    <x:row r="868">
      <x:c r="A868" t="str">
        <x:v>TXN-0000867</x:v>
      </x:c>
      <x:c r="B868" t="str">
        <x:v>2026-03</x:v>
      </x:c>
      <x:c r="C868" t="n">
        <x:v>46091</x:v>
      </x:c>
      <x:c r="D868" t="str">
        <x:v>USR-00079</x:v>
      </x:c>
      <x:c r="E868" t="str">
        <x:v>SUS-000336</x:v>
      </x:c>
      <x:c r="F868" t="str">
        <x:v>Plus mensual</x:v>
      </x:c>
      <x:c r="G868" t="str">
        <x:v>Mensual</x:v>
      </x:c>
      <x:c r="H868" t="n">
        <x:v>1</x:v>
      </x:c>
      <x:c r="I868" t="str">
        <x:v>Aprobado</x:v>
      </x:c>
      <x:c r="J868" t="n">
        <x:v>29900</x:v>
      </x:c>
      <x:c r="K868" t="str">
        <x:v>Tarjeta crédito</x:v>
      </x:c>
      <x:c r="L868" t="str">
        <x:v>Sin error</x:v>
      </x:c>
    </x:row>
    <x:row r="869">
      <x:c r="A869" t="str">
        <x:v>TXN-0000868</x:v>
      </x:c>
      <x:c r="B869" t="str">
        <x:v>2026-03</x:v>
      </x:c>
      <x:c r="C869" t="n">
        <x:v>46089</x:v>
      </x:c>
      <x:c r="D869" t="str">
        <x:v>USR-00083</x:v>
      </x:c>
      <x:c r="E869" t="str">
        <x:v>SUS-000218</x:v>
      </x:c>
      <x:c r="F869" t="str">
        <x:v>Plus mensual</x:v>
      </x:c>
      <x:c r="G869" t="str">
        <x:v>Mensual</x:v>
      </x:c>
      <x:c r="H869" t="n">
        <x:v>1</x:v>
      </x:c>
      <x:c r="I869" t="str">
        <x:v>Aprobado</x:v>
      </x:c>
      <x:c r="J869" t="n">
        <x:v>29900</x:v>
      </x:c>
      <x:c r="K869" t="str">
        <x:v>Tarjeta crédito</x:v>
      </x:c>
      <x:c r="L869" t="str">
        <x:v>Sin error</x:v>
      </x:c>
    </x:row>
    <x:row r="870">
      <x:c r="A870" t="str">
        <x:v>TXN-0000869</x:v>
      </x:c>
      <x:c r="B870" t="str">
        <x:v>2026-03</x:v>
      </x:c>
      <x:c r="C870" t="n">
        <x:v>46090</x:v>
      </x:c>
      <x:c r="D870" t="str">
        <x:v>USR-00091</x:v>
      </x:c>
      <x:c r="E870" t="str">
        <x:v>SUS-000736</x:v>
      </x:c>
      <x:c r="F870" t="str">
        <x:v>Plus mensual</x:v>
      </x:c>
      <x:c r="G870" t="str">
        <x:v>Mensual</x:v>
      </x:c>
      <x:c r="H870" t="n">
        <x:v>1</x:v>
      </x:c>
      <x:c r="I870" t="str">
        <x:v>Aprobado</x:v>
      </x:c>
      <x:c r="J870" t="n">
        <x:v>29900</x:v>
      </x:c>
      <x:c r="K870" t="str">
        <x:v>Tarjeta crédito</x:v>
      </x:c>
      <x:c r="L870" t="str">
        <x:v>Sin error</x:v>
      </x:c>
    </x:row>
    <x:row r="871">
      <x:c r="A871" t="str">
        <x:v>TXN-0000870</x:v>
      </x:c>
      <x:c r="B871" t="str">
        <x:v>2026-03</x:v>
      </x:c>
      <x:c r="C871" t="n">
        <x:v>46087</x:v>
      </x:c>
      <x:c r="D871" t="str">
        <x:v>USR-00093</x:v>
      </x:c>
      <x:c r="E871" t="str">
        <x:v>SUS-000098</x:v>
      </x:c>
      <x:c r="F871" t="str">
        <x:v>Plus anual</x:v>
      </x:c>
      <x:c r="G871" t="str">
        <x:v>Anual</x:v>
      </x:c>
      <x:c r="H871" t="n">
        <x:v>1</x:v>
      </x:c>
      <x:c r="I871" t="str">
        <x:v>Aprobado</x:v>
      </x:c>
      <x:c r="J871" t="n">
        <x:v>299000</x:v>
      </x:c>
      <x:c r="K871" t="str">
        <x:v>Tarjeta débito</x:v>
      </x:c>
      <x:c r="L871" t="str">
        <x:v>Sin error</x:v>
      </x:c>
    </x:row>
    <x:row r="872">
      <x:c r="A872" t="str">
        <x:v>TXN-0000871</x:v>
      </x:c>
      <x:c r="B872" t="str">
        <x:v>2026-03</x:v>
      </x:c>
      <x:c r="C872" t="n">
        <x:v>46090</x:v>
      </x:c>
      <x:c r="D872" t="str">
        <x:v>USR-00096</x:v>
      </x:c>
      <x:c r="E872" t="str">
        <x:v>SUS-000273</x:v>
      </x:c>
      <x:c r="F872" t="str">
        <x:v>Plus mensual</x:v>
      </x:c>
      <x:c r="G872" t="str">
        <x:v>Mensual</x:v>
      </x:c>
      <x:c r="H872" t="n">
        <x:v>1</x:v>
      </x:c>
      <x:c r="I872" t="str">
        <x:v>Rechazado</x:v>
      </x:c>
      <x:c r="J872" t="n">
        <x:v>29900</x:v>
      </x:c>
      <x:c r="K872" t="str">
        <x:v>Tarjeta crédito</x:v>
      </x:c>
      <x:c r="L872" t="str">
        <x:v>Fondos insuficientes</x:v>
      </x:c>
    </x:row>
    <x:row r="873">
      <x:c r="A873" t="str">
        <x:v>TXN-0000872</x:v>
      </x:c>
      <x:c r="B873" t="str">
        <x:v>2026-03</x:v>
      </x:c>
      <x:c r="C873" t="n">
        <x:v>46091</x:v>
      </x:c>
      <x:c r="D873" t="str">
        <x:v>USR-00096</x:v>
      </x:c>
      <x:c r="E873" t="str">
        <x:v>SUS-000273</x:v>
      </x:c>
      <x:c r="F873" t="str">
        <x:v>Plus mensual</x:v>
      </x:c>
      <x:c r="G873" t="str">
        <x:v>Mensual</x:v>
      </x:c>
      <x:c r="H873" t="n">
        <x:v>2</x:v>
      </x:c>
      <x:c r="I873" t="str">
        <x:v>Aprobado</x:v>
      </x:c>
      <x:c r="J873" t="n">
        <x:v>29900</x:v>
      </x:c>
      <x:c r="K873" t="str">
        <x:v>PSE</x:v>
      </x:c>
      <x:c r="L873" t="str">
        <x:v>Sin error</x:v>
      </x:c>
    </x:row>
    <x:row r="874">
      <x:c r="A874" t="str">
        <x:v>TXN-0000873</x:v>
      </x:c>
      <x:c r="B874" t="str">
        <x:v>2026-03</x:v>
      </x:c>
      <x:c r="C874" t="n">
        <x:v>46087</x:v>
      </x:c>
      <x:c r="D874" t="str">
        <x:v>USR-00097</x:v>
      </x:c>
      <x:c r="E874" t="str">
        <x:v>SUS-000529</x:v>
      </x:c>
      <x:c r="F874" t="str">
        <x:v>Plus mensual</x:v>
      </x:c>
      <x:c r="G874" t="str">
        <x:v>Mensual</x:v>
      </x:c>
      <x:c r="H874" t="n">
        <x:v>1</x:v>
      </x:c>
      <x:c r="I874" t="str">
        <x:v>Aprobado</x:v>
      </x:c>
      <x:c r="J874" t="n">
        <x:v>29900</x:v>
      </x:c>
      <x:c r="K874" t="str">
        <x:v>PSE</x:v>
      </x:c>
      <x:c r="L874" t="str">
        <x:v>Sin error</x:v>
      </x:c>
    </x:row>
    <x:row r="875">
      <x:c r="A875" t="str">
        <x:v>TXN-0000874</x:v>
      </x:c>
      <x:c r="B875" t="str">
        <x:v>2026-03</x:v>
      </x:c>
      <x:c r="C875" t="n">
        <x:v>46088</x:v>
      </x:c>
      <x:c r="D875" t="str">
        <x:v>USR-00099</x:v>
      </x:c>
      <x:c r="E875" t="str">
        <x:v>SUS-000337</x:v>
      </x:c>
      <x:c r="F875" t="str">
        <x:v>Plus mensual</x:v>
      </x:c>
      <x:c r="G875" t="str">
        <x:v>Mensual</x:v>
      </x:c>
      <x:c r="H875" t="n">
        <x:v>1</x:v>
      </x:c>
      <x:c r="I875" t="str">
        <x:v>Aprobado</x:v>
      </x:c>
      <x:c r="J875" t="n">
        <x:v>29900</x:v>
      </x:c>
      <x:c r="K875" t="str">
        <x:v>Tarjeta débito</x:v>
      </x:c>
      <x:c r="L875" t="str">
        <x:v>Sin error</x:v>
      </x:c>
    </x:row>
    <x:row r="876">
      <x:c r="A876" t="str">
        <x:v>TXN-0000875</x:v>
      </x:c>
      <x:c r="B876" t="str">
        <x:v>2026-03</x:v>
      </x:c>
      <x:c r="C876" t="n">
        <x:v>46091</x:v>
      </x:c>
      <x:c r="D876" t="str">
        <x:v>USR-00102</x:v>
      </x:c>
      <x:c r="E876" t="str">
        <x:v>SUS-000842</x:v>
      </x:c>
      <x:c r="F876" t="str">
        <x:v>Plus mensual</x:v>
      </x:c>
      <x:c r="G876" t="str">
        <x:v>Mensual</x:v>
      </x:c>
      <x:c r="H876" t="n">
        <x:v>1</x:v>
      </x:c>
      <x:c r="I876" t="str">
        <x:v>Aprobado</x:v>
      </x:c>
      <x:c r="J876" t="n">
        <x:v>29900</x:v>
      </x:c>
      <x:c r="K876" t="str">
        <x:v>PSE</x:v>
      </x:c>
      <x:c r="L876" t="str">
        <x:v>Sin error</x:v>
      </x:c>
    </x:row>
    <x:row r="877">
      <x:c r="A877" t="str">
        <x:v>TXN-0000876</x:v>
      </x:c>
      <x:c r="B877" t="str">
        <x:v>2026-03</x:v>
      </x:c>
      <x:c r="C877" t="n">
        <x:v>46093</x:v>
      </x:c>
      <x:c r="D877" t="str">
        <x:v>USR-00116</x:v>
      </x:c>
      <x:c r="E877" t="str">
        <x:v>SUS-000390</x:v>
      </x:c>
      <x:c r="F877" t="str">
        <x:v>Plus mensual</x:v>
      </x:c>
      <x:c r="G877" t="str">
        <x:v>Mensual</x:v>
      </x:c>
      <x:c r="H877" t="n">
        <x:v>1</x:v>
      </x:c>
      <x:c r="I877" t="str">
        <x:v>Aprobado</x:v>
      </x:c>
      <x:c r="J877" t="n">
        <x:v>29900</x:v>
      </x:c>
      <x:c r="K877" t="str">
        <x:v>Tarjeta débito</x:v>
      </x:c>
      <x:c r="L877" t="str">
        <x:v>Sin error</x:v>
      </x:c>
    </x:row>
    <x:row r="878">
      <x:c r="A878" t="str">
        <x:v>TXN-0000877</x:v>
      </x:c>
      <x:c r="B878" t="str">
        <x:v>2026-03</x:v>
      </x:c>
      <x:c r="C878" t="n">
        <x:v>46088</x:v>
      </x:c>
      <x:c r="D878" t="str">
        <x:v>USR-00121</x:v>
      </x:c>
      <x:c r="E878" t="str">
        <x:v>SUS-000222</x:v>
      </x:c>
      <x:c r="F878" t="str">
        <x:v>Plus mensual</x:v>
      </x:c>
      <x:c r="G878" t="str">
        <x:v>Mensual</x:v>
      </x:c>
      <x:c r="H878" t="n">
        <x:v>1</x:v>
      </x:c>
      <x:c r="I878" t="str">
        <x:v>Aprobado</x:v>
      </x:c>
      <x:c r="J878" t="n">
        <x:v>29900</x:v>
      </x:c>
      <x:c r="K878" t="str">
        <x:v>PSE</x:v>
      </x:c>
      <x:c r="L878" t="str">
        <x:v>Sin error</x:v>
      </x:c>
    </x:row>
    <x:row r="879">
      <x:c r="A879" t="str">
        <x:v>TXN-0000878</x:v>
      </x:c>
      <x:c r="B879" t="str">
        <x:v>2026-03</x:v>
      </x:c>
      <x:c r="C879" t="n">
        <x:v>46088</x:v>
      </x:c>
      <x:c r="D879" t="str">
        <x:v>USR-00122</x:v>
      </x:c>
      <x:c r="E879" t="str">
        <x:v>SUS-000843</x:v>
      </x:c>
      <x:c r="F879" t="str">
        <x:v>Plus mensual</x:v>
      </x:c>
      <x:c r="G879" t="str">
        <x:v>Mensual</x:v>
      </x:c>
      <x:c r="H879" t="n">
        <x:v>1</x:v>
      </x:c>
      <x:c r="I879" t="str">
        <x:v>Aprobado</x:v>
      </x:c>
      <x:c r="J879" t="n">
        <x:v>29900</x:v>
      </x:c>
      <x:c r="K879" t="str">
        <x:v>Tarjeta crédito</x:v>
      </x:c>
      <x:c r="L879" t="str">
        <x:v>Sin error</x:v>
      </x:c>
    </x:row>
    <x:row r="880">
      <x:c r="A880" t="str">
        <x:v>TXN-0000879</x:v>
      </x:c>
      <x:c r="B880" t="str">
        <x:v>2026-03</x:v>
      </x:c>
      <x:c r="C880" t="n">
        <x:v>46089</x:v>
      </x:c>
      <x:c r="D880" t="str">
        <x:v>USR-00145</x:v>
      </x:c>
      <x:c r="E880" t="str">
        <x:v>SUS-000168</x:v>
      </x:c>
      <x:c r="F880" t="str">
        <x:v>Plus mensual</x:v>
      </x:c>
      <x:c r="G880" t="str">
        <x:v>Mensual</x:v>
      </x:c>
      <x:c r="H880" t="n">
        <x:v>1</x:v>
      </x:c>
      <x:c r="I880" t="str">
        <x:v>Aprobado</x:v>
      </x:c>
      <x:c r="J880" t="n">
        <x:v>29900</x:v>
      </x:c>
      <x:c r="K880" t="str">
        <x:v>PSE</x:v>
      </x:c>
      <x:c r="L880" t="str">
        <x:v>Sin error</x:v>
      </x:c>
    </x:row>
    <x:row r="881">
      <x:c r="A881" t="str">
        <x:v>TXN-0000880</x:v>
      </x:c>
      <x:c r="B881" t="str">
        <x:v>2026-03</x:v>
      </x:c>
      <x:c r="C881" t="n">
        <x:v>46089</x:v>
      </x:c>
      <x:c r="D881" t="str">
        <x:v>USR-00148</x:v>
      </x:c>
      <x:c r="E881" t="str">
        <x:v>SUS-000740</x:v>
      </x:c>
      <x:c r="F881" t="str">
        <x:v>Plus mensual</x:v>
      </x:c>
      <x:c r="G881" t="str">
        <x:v>Mensual</x:v>
      </x:c>
      <x:c r="H881" t="n">
        <x:v>1</x:v>
      </x:c>
      <x:c r="I881" t="str">
        <x:v>Aprobado</x:v>
      </x:c>
      <x:c r="J881" t="n">
        <x:v>29900</x:v>
      </x:c>
      <x:c r="K881" t="str">
        <x:v>Tarjeta débito</x:v>
      </x:c>
      <x:c r="L881" t="str">
        <x:v>Sin error</x:v>
      </x:c>
    </x:row>
    <x:row r="882">
      <x:c r="A882" t="str">
        <x:v>TXN-0000881</x:v>
      </x:c>
      <x:c r="B882" t="str">
        <x:v>2026-03</x:v>
      </x:c>
      <x:c r="C882" t="n">
        <x:v>46091</x:v>
      </x:c>
      <x:c r="D882" t="str">
        <x:v>USR-00154</x:v>
      </x:c>
      <x:c r="E882" t="str">
        <x:v>SUS-000278</x:v>
      </x:c>
      <x:c r="F882" t="str">
        <x:v>Plus mensual</x:v>
      </x:c>
      <x:c r="G882" t="str">
        <x:v>Mensual</x:v>
      </x:c>
      <x:c r="H882" t="n">
        <x:v>1</x:v>
      </x:c>
      <x:c r="I882" t="str">
        <x:v>Aprobado</x:v>
      </x:c>
      <x:c r="J882" t="n">
        <x:v>29900</x:v>
      </x:c>
      <x:c r="K882" t="str">
        <x:v>Tarjeta crédito</x:v>
      </x:c>
      <x:c r="L882" t="str">
        <x:v>Sin error</x:v>
      </x:c>
    </x:row>
    <x:row r="883">
      <x:c r="A883" t="str">
        <x:v>TXN-0000882</x:v>
      </x:c>
      <x:c r="B883" t="str">
        <x:v>2026-03</x:v>
      </x:c>
      <x:c r="C883" t="n">
        <x:v>46093</x:v>
      </x:c>
      <x:c r="D883" t="str">
        <x:v>USR-00155</x:v>
      </x:c>
      <x:c r="E883" t="str">
        <x:v>SUS-000462</x:v>
      </x:c>
      <x:c r="F883" t="str">
        <x:v>Plus mensual</x:v>
      </x:c>
      <x:c r="G883" t="str">
        <x:v>Mensual</x:v>
      </x:c>
      <x:c r="H883" t="n">
        <x:v>1</x:v>
      </x:c>
      <x:c r="I883" t="str">
        <x:v>Aprobado</x:v>
      </x:c>
      <x:c r="J883" t="n">
        <x:v>29900</x:v>
      </x:c>
      <x:c r="K883" t="str">
        <x:v>Tarjeta débito</x:v>
      </x:c>
      <x:c r="L883" t="str">
        <x:v>Sin error</x:v>
      </x:c>
    </x:row>
    <x:row r="884">
      <x:c r="A884" t="str">
        <x:v>TXN-0000883</x:v>
      </x:c>
      <x:c r="B884" t="str">
        <x:v>2026-03</x:v>
      </x:c>
      <x:c r="C884" t="n">
        <x:v>46092</x:v>
      </x:c>
      <x:c r="D884" t="str">
        <x:v>USR-00162</x:v>
      </x:c>
      <x:c r="E884" t="str">
        <x:v>SUS-000225</x:v>
      </x:c>
      <x:c r="F884" t="str">
        <x:v>Plus mensual</x:v>
      </x:c>
      <x:c r="G884" t="str">
        <x:v>Mensual</x:v>
      </x:c>
      <x:c r="H884" t="n">
        <x:v>1</x:v>
      </x:c>
      <x:c r="I884" t="str">
        <x:v>Aprobado</x:v>
      </x:c>
      <x:c r="J884" t="n">
        <x:v>29900</x:v>
      </x:c>
      <x:c r="K884" t="str">
        <x:v>Tarjeta débito</x:v>
      </x:c>
      <x:c r="L884" t="str">
        <x:v>Sin error</x:v>
      </x:c>
    </x:row>
    <x:row r="885">
      <x:c r="A885" t="str">
        <x:v>TXN-0000884</x:v>
      </x:c>
      <x:c r="B885" t="str">
        <x:v>2026-03</x:v>
      </x:c>
      <x:c r="C885" t="n">
        <x:v>46088</x:v>
      </x:c>
      <x:c r="D885" t="str">
        <x:v>USR-00164</x:v>
      </x:c>
      <x:c r="E885" t="str">
        <x:v>SUS-000534</x:v>
      </x:c>
      <x:c r="F885" t="str">
        <x:v>Plus mensual</x:v>
      </x:c>
      <x:c r="G885" t="str">
        <x:v>Mensual</x:v>
      </x:c>
      <x:c r="H885" t="n">
        <x:v>1</x:v>
      </x:c>
      <x:c r="I885" t="str">
        <x:v>Aprobado</x:v>
      </x:c>
      <x:c r="J885" t="n">
        <x:v>29900</x:v>
      </x:c>
      <x:c r="K885" t="str">
        <x:v>PSE</x:v>
      </x:c>
      <x:c r="L885" t="str">
        <x:v>Sin error</x:v>
      </x:c>
    </x:row>
    <x:row r="886">
      <x:c r="A886" t="str">
        <x:v>TXN-0000885</x:v>
      </x:c>
      <x:c r="B886" t="str">
        <x:v>2026-03</x:v>
      </x:c>
      <x:c r="C886" t="n">
        <x:v>46089</x:v>
      </x:c>
      <x:c r="D886" t="str">
        <x:v>USR-00167</x:v>
      </x:c>
      <x:c r="E886" t="str">
        <x:v>SUS-000226</x:v>
      </x:c>
      <x:c r="F886" t="str">
        <x:v>Plus mensual</x:v>
      </x:c>
      <x:c r="G886" t="str">
        <x:v>Mensual</x:v>
      </x:c>
      <x:c r="H886" t="n">
        <x:v>1</x:v>
      </x:c>
      <x:c r="I886" t="str">
        <x:v>Aprobado</x:v>
      </x:c>
      <x:c r="J886" t="n">
        <x:v>29900</x:v>
      </x:c>
      <x:c r="K886" t="str">
        <x:v>Tarjeta débito</x:v>
      </x:c>
      <x:c r="L886" t="str">
        <x:v>Sin error</x:v>
      </x:c>
    </x:row>
    <x:row r="887">
      <x:c r="A887" t="str">
        <x:v>TXN-0000886</x:v>
      </x:c>
      <x:c r="B887" t="str">
        <x:v>2026-03</x:v>
      </x:c>
      <x:c r="C887" t="n">
        <x:v>46088</x:v>
      </x:c>
      <x:c r="D887" t="str">
        <x:v>USR-00170</x:v>
      </x:c>
      <x:c r="E887" t="str">
        <x:v>SUS-000392</x:v>
      </x:c>
      <x:c r="F887" t="str">
        <x:v>Plus mensual</x:v>
      </x:c>
      <x:c r="G887" t="str">
        <x:v>Mensual</x:v>
      </x:c>
      <x:c r="H887" t="n">
        <x:v>1</x:v>
      </x:c>
      <x:c r="I887" t="str">
        <x:v>Aprobado</x:v>
      </x:c>
      <x:c r="J887" t="n">
        <x:v>29900</x:v>
      </x:c>
      <x:c r="K887" t="str">
        <x:v>PSE</x:v>
      </x:c>
      <x:c r="L887" t="str">
        <x:v>Sin error</x:v>
      </x:c>
    </x:row>
    <x:row r="888">
      <x:c r="A888" t="str">
        <x:v>TXN-0000887</x:v>
      </x:c>
      <x:c r="B888" t="str">
        <x:v>2026-03</x:v>
      </x:c>
      <x:c r="C888" t="n">
        <x:v>46093</x:v>
      </x:c>
      <x:c r="D888" t="str">
        <x:v>USR-00184</x:v>
      </x:c>
      <x:c r="E888" t="str">
        <x:v>SUS-000281</x:v>
      </x:c>
      <x:c r="F888" t="str">
        <x:v>Plus mensual</x:v>
      </x:c>
      <x:c r="G888" t="str">
        <x:v>Mensual</x:v>
      </x:c>
      <x:c r="H888" t="n">
        <x:v>1</x:v>
      </x:c>
      <x:c r="I888" t="str">
        <x:v>Aprobado</x:v>
      </x:c>
      <x:c r="J888" t="n">
        <x:v>29900</x:v>
      </x:c>
      <x:c r="K888" t="str">
        <x:v>PSE</x:v>
      </x:c>
      <x:c r="L888" t="str">
        <x:v>Sin error</x:v>
      </x:c>
    </x:row>
    <x:row r="889">
      <x:c r="A889" t="str">
        <x:v>TXN-0000888</x:v>
      </x:c>
      <x:c r="B889" t="str">
        <x:v>2026-03</x:v>
      </x:c>
      <x:c r="C889" t="n">
        <x:v>46093</x:v>
      </x:c>
      <x:c r="D889" t="str">
        <x:v>USR-00188</x:v>
      </x:c>
      <x:c r="E889" t="str">
        <x:v>SUS-000229</x:v>
      </x:c>
      <x:c r="F889" t="str">
        <x:v>Plus mensual</x:v>
      </x:c>
      <x:c r="G889" t="str">
        <x:v>Mensual</x:v>
      </x:c>
      <x:c r="H889" t="n">
        <x:v>1</x:v>
      </x:c>
      <x:c r="I889" t="str">
        <x:v>Aprobado</x:v>
      </x:c>
      <x:c r="J889" t="n">
        <x:v>29900</x:v>
      </x:c>
      <x:c r="K889" t="str">
        <x:v>PSE</x:v>
      </x:c>
      <x:c r="L889" t="str">
        <x:v>Sin error</x:v>
      </x:c>
    </x:row>
    <x:row r="890">
      <x:c r="A890" t="str">
        <x:v>TXN-0000889</x:v>
      </x:c>
      <x:c r="B890" t="str">
        <x:v>2026-03</x:v>
      </x:c>
      <x:c r="C890" t="n">
        <x:v>46088</x:v>
      </x:c>
      <x:c r="D890" t="str">
        <x:v>USR-00201</x:v>
      </x:c>
      <x:c r="E890" t="str">
        <x:v>SUS-000242</x:v>
      </x:c>
      <x:c r="F890" t="str">
        <x:v>Plus mensual</x:v>
      </x:c>
      <x:c r="G890" t="str">
        <x:v>Mensual</x:v>
      </x:c>
      <x:c r="H890" t="n">
        <x:v>1</x:v>
      </x:c>
      <x:c r="I890" t="str">
        <x:v>Aprobado</x:v>
      </x:c>
      <x:c r="J890" t="n">
        <x:v>29900</x:v>
      </x:c>
      <x:c r="K890" t="str">
        <x:v>PSE</x:v>
      </x:c>
      <x:c r="L890" t="str">
        <x:v>Sin error</x:v>
      </x:c>
    </x:row>
    <x:row r="891">
      <x:c r="A891" t="str">
        <x:v>TXN-0000890</x:v>
      </x:c>
      <x:c r="B891" t="str">
        <x:v>2026-03</x:v>
      </x:c>
      <x:c r="C891" t="n">
        <x:v>46090</x:v>
      </x:c>
      <x:c r="D891" t="str">
        <x:v>USR-00206</x:v>
      </x:c>
      <x:c r="E891" t="str">
        <x:v>SUS-000623</x:v>
      </x:c>
      <x:c r="F891" t="str">
        <x:v>Plus mensual</x:v>
      </x:c>
      <x:c r="G891" t="str">
        <x:v>Mensual</x:v>
      </x:c>
      <x:c r="H891" t="n">
        <x:v>1</x:v>
      </x:c>
      <x:c r="I891" t="str">
        <x:v>Aprobado</x:v>
      </x:c>
      <x:c r="J891" t="n">
        <x:v>29900</x:v>
      </x:c>
      <x:c r="K891" t="str">
        <x:v>Tarjeta débito</x:v>
      </x:c>
      <x:c r="L891" t="str">
        <x:v>Sin error</x:v>
      </x:c>
    </x:row>
    <x:row r="892">
      <x:c r="A892" t="str">
        <x:v>TXN-0000891</x:v>
      </x:c>
      <x:c r="B892" t="str">
        <x:v>2026-03</x:v>
      </x:c>
      <x:c r="C892" t="n">
        <x:v>46086</x:v>
      </x:c>
      <x:c r="D892" t="str">
        <x:v>USR-00207</x:v>
      </x:c>
      <x:c r="E892" t="str">
        <x:v>SUS-000624</x:v>
      </x:c>
      <x:c r="F892" t="str">
        <x:v>Plus mensual</x:v>
      </x:c>
      <x:c r="G892" t="str">
        <x:v>Mensual</x:v>
      </x:c>
      <x:c r="H892" t="n">
        <x:v>1</x:v>
      </x:c>
      <x:c r="I892" t="str">
        <x:v>Aprobado</x:v>
      </x:c>
      <x:c r="J892" t="n">
        <x:v>29900</x:v>
      </x:c>
      <x:c r="K892" t="str">
        <x:v>PSE</x:v>
      </x:c>
      <x:c r="L892" t="str">
        <x:v>Sin error</x:v>
      </x:c>
    </x:row>
    <x:row r="893">
      <x:c r="A893" t="str">
        <x:v>TXN-0000892</x:v>
      </x:c>
      <x:c r="B893" t="str">
        <x:v>2026-03</x:v>
      </x:c>
      <x:c r="C893" t="n">
        <x:v>46088</x:v>
      </x:c>
      <x:c r="D893" t="str">
        <x:v>USR-00211</x:v>
      </x:c>
      <x:c r="E893" t="str">
        <x:v>SUS-000747</x:v>
      </x:c>
      <x:c r="F893" t="str">
        <x:v>Plus mensual</x:v>
      </x:c>
      <x:c r="G893" t="str">
        <x:v>Mensual</x:v>
      </x:c>
      <x:c r="H893" t="n">
        <x:v>1</x:v>
      </x:c>
      <x:c r="I893" t="str">
        <x:v>Aprobado</x:v>
      </x:c>
      <x:c r="J893" t="n">
        <x:v>29900</x:v>
      </x:c>
      <x:c r="K893" t="str">
        <x:v>PSE</x:v>
      </x:c>
      <x:c r="L893" t="str">
        <x:v>Sin error</x:v>
      </x:c>
    </x:row>
    <x:row r="894">
      <x:c r="A894" t="str">
        <x:v>TXN-0000893</x:v>
      </x:c>
      <x:c r="B894" t="str">
        <x:v>2026-03</x:v>
      </x:c>
      <x:c r="C894" t="n">
        <x:v>46086</x:v>
      </x:c>
      <x:c r="D894" t="str">
        <x:v>USR-00220</x:v>
      </x:c>
      <x:c r="E894" t="str">
        <x:v>SUS-000261</x:v>
      </x:c>
      <x:c r="F894" t="str">
        <x:v>Plus mensual</x:v>
      </x:c>
      <x:c r="G894" t="str">
        <x:v>Mensual</x:v>
      </x:c>
      <x:c r="H894" t="n">
        <x:v>1</x:v>
      </x:c>
      <x:c r="I894" t="str">
        <x:v>Aprobado</x:v>
      </x:c>
      <x:c r="J894" t="n">
        <x:v>29900</x:v>
      </x:c>
      <x:c r="K894" t="str">
        <x:v>PSE</x:v>
      </x:c>
      <x:c r="L894" t="str">
        <x:v>Sin error</x:v>
      </x:c>
    </x:row>
    <x:row r="895">
      <x:c r="A895" t="str">
        <x:v>TXN-0000894</x:v>
      </x:c>
      <x:c r="B895" t="str">
        <x:v>2026-03</x:v>
      </x:c>
      <x:c r="C895" t="n">
        <x:v>46092</x:v>
      </x:c>
      <x:c r="D895" t="str">
        <x:v>USR-00224</x:v>
      </x:c>
      <x:c r="E895" t="str">
        <x:v>SUS-000265</x:v>
      </x:c>
      <x:c r="F895" t="str">
        <x:v>Plus mensual</x:v>
      </x:c>
      <x:c r="G895" t="str">
        <x:v>Mensual</x:v>
      </x:c>
      <x:c r="H895" t="n">
        <x:v>1</x:v>
      </x:c>
      <x:c r="I895" t="str">
        <x:v>Aprobado</x:v>
      </x:c>
      <x:c r="J895" t="n">
        <x:v>29900</x:v>
      </x:c>
      <x:c r="K895" t="str">
        <x:v>Tarjeta débito</x:v>
      </x:c>
      <x:c r="L895" t="str">
        <x:v>Sin error</x:v>
      </x:c>
    </x:row>
    <x:row r="896">
      <x:c r="A896" t="str">
        <x:v>TXN-0000895</x:v>
      </x:c>
      <x:c r="B896" t="str">
        <x:v>2026-03</x:v>
      </x:c>
      <x:c r="C896" t="n">
        <x:v>46087</x:v>
      </x:c>
      <x:c r="D896" t="str">
        <x:v>USR-00226</x:v>
      </x:c>
      <x:c r="E896" t="str">
        <x:v>SUS-000846</x:v>
      </x:c>
      <x:c r="F896" t="str">
        <x:v>Plus anual</x:v>
      </x:c>
      <x:c r="G896" t="str">
        <x:v>Anual</x:v>
      </x:c>
      <x:c r="H896" t="n">
        <x:v>1</x:v>
      </x:c>
      <x:c r="I896" t="str">
        <x:v>Aprobado</x:v>
      </x:c>
      <x:c r="J896" t="n">
        <x:v>299000</x:v>
      </x:c>
      <x:c r="K896" t="str">
        <x:v>Tarjeta crédito</x:v>
      </x:c>
      <x:c r="L896" t="str">
        <x:v>Sin error</x:v>
      </x:c>
    </x:row>
    <x:row r="897">
      <x:c r="A897" t="str">
        <x:v>TXN-0000896</x:v>
      </x:c>
      <x:c r="B897" t="str">
        <x:v>2026-03</x:v>
      </x:c>
      <x:c r="C897" t="n">
        <x:v>46087</x:v>
      </x:c>
      <x:c r="D897" t="str">
        <x:v>USR-00231</x:v>
      </x:c>
      <x:c r="E897" t="str">
        <x:v>SUS-000538</x:v>
      </x:c>
      <x:c r="F897" t="str">
        <x:v>Plus mensual</x:v>
      </x:c>
      <x:c r="G897" t="str">
        <x:v>Mensual</x:v>
      </x:c>
      <x:c r="H897" t="n">
        <x:v>1</x:v>
      </x:c>
      <x:c r="I897" t="str">
        <x:v>Aprobado</x:v>
      </x:c>
      <x:c r="J897" t="n">
        <x:v>29900</x:v>
      </x:c>
      <x:c r="K897" t="str">
        <x:v>PSE</x:v>
      </x:c>
      <x:c r="L897" t="str">
        <x:v>Sin error</x:v>
      </x:c>
    </x:row>
    <x:row r="898">
      <x:c r="A898" t="str">
        <x:v>TXN-0000897</x:v>
      </x:c>
      <x:c r="B898" t="str">
        <x:v>2026-03</x:v>
      </x:c>
      <x:c r="C898" t="n">
        <x:v>46086</x:v>
      </x:c>
      <x:c r="D898" t="str">
        <x:v>USR-00238</x:v>
      </x:c>
      <x:c r="E898" t="str">
        <x:v>SUS-000299</x:v>
      </x:c>
      <x:c r="F898" t="str">
        <x:v>Plus mensual</x:v>
      </x:c>
      <x:c r="G898" t="str">
        <x:v>Mensual</x:v>
      </x:c>
      <x:c r="H898" t="n">
        <x:v>1</x:v>
      </x:c>
      <x:c r="I898" t="str">
        <x:v>Aprobado</x:v>
      </x:c>
      <x:c r="J898" t="n">
        <x:v>29900</x:v>
      </x:c>
      <x:c r="K898" t="str">
        <x:v>Tarjeta crédito</x:v>
      </x:c>
      <x:c r="L898" t="str">
        <x:v>Sin error</x:v>
      </x:c>
    </x:row>
    <x:row r="899">
      <x:c r="A899" t="str">
        <x:v>TXN-0000898</x:v>
      </x:c>
      <x:c r="B899" t="str">
        <x:v>2026-03</x:v>
      </x:c>
      <x:c r="C899" t="n">
        <x:v>46093</x:v>
      </x:c>
      <x:c r="D899" t="str">
        <x:v>USR-00249</x:v>
      </x:c>
      <x:c r="E899" t="str">
        <x:v>SUS-000310</x:v>
      </x:c>
      <x:c r="F899" t="str">
        <x:v>Plus mensual</x:v>
      </x:c>
      <x:c r="G899" t="str">
        <x:v>Mensual</x:v>
      </x:c>
      <x:c r="H899" t="n">
        <x:v>1</x:v>
      </x:c>
      <x:c r="I899" t="str">
        <x:v>Aprobado</x:v>
      </x:c>
      <x:c r="J899" t="n">
        <x:v>29900</x:v>
      </x:c>
      <x:c r="K899" t="str">
        <x:v>PSE</x:v>
      </x:c>
      <x:c r="L899" t="str">
        <x:v>Sin error</x:v>
      </x:c>
    </x:row>
    <x:row r="900">
      <x:c r="A900" t="str">
        <x:v>TXN-0000899</x:v>
      </x:c>
      <x:c r="B900" t="str">
        <x:v>2026-03</x:v>
      </x:c>
      <x:c r="C900" t="n">
        <x:v>46087</x:v>
      </x:c>
      <x:c r="D900" t="str">
        <x:v>USR-00250</x:v>
      </x:c>
      <x:c r="E900" t="str">
        <x:v>SUS-000539</x:v>
      </x:c>
      <x:c r="F900" t="str">
        <x:v>Plus mensual</x:v>
      </x:c>
      <x:c r="G900" t="str">
        <x:v>Mensual</x:v>
      </x:c>
      <x:c r="H900" t="n">
        <x:v>1</x:v>
      </x:c>
      <x:c r="I900" t="str">
        <x:v>Aprobado</x:v>
      </x:c>
      <x:c r="J900" t="n">
        <x:v>29900</x:v>
      </x:c>
      <x:c r="K900" t="str">
        <x:v>Tarjeta débito</x:v>
      </x:c>
      <x:c r="L900" t="str">
        <x:v>Sin error</x:v>
      </x:c>
    </x:row>
    <x:row r="901">
      <x:c r="A901" t="str">
        <x:v>TXN-0000900</x:v>
      </x:c>
      <x:c r="B901" t="str">
        <x:v>2026-03</x:v>
      </x:c>
      <x:c r="C901" t="n">
        <x:v>46087</x:v>
      </x:c>
      <x:c r="D901" t="str">
        <x:v>USR-00252</x:v>
      </x:c>
      <x:c r="E901" t="str">
        <x:v>SUS-000848</x:v>
      </x:c>
      <x:c r="F901" t="str">
        <x:v>Plus mensual</x:v>
      </x:c>
      <x:c r="G901" t="str">
        <x:v>Mensual</x:v>
      </x:c>
      <x:c r="H901" t="n">
        <x:v>1</x:v>
      </x:c>
      <x:c r="I901" t="str">
        <x:v>Aprobado</x:v>
      </x:c>
      <x:c r="J901" t="n">
        <x:v>29900</x:v>
      </x:c>
      <x:c r="K901" t="str">
        <x:v>Tarjeta débito</x:v>
      </x:c>
      <x:c r="L901" t="str">
        <x:v>Sin error</x:v>
      </x:c>
    </x:row>
    <x:row r="902">
      <x:c r="A902" t="str">
        <x:v>TXN-0000901</x:v>
      </x:c>
      <x:c r="B902" t="str">
        <x:v>2026-03</x:v>
      </x:c>
      <x:c r="C902" t="n">
        <x:v>46091</x:v>
      </x:c>
      <x:c r="D902" t="str">
        <x:v>USR-00265</x:v>
      </x:c>
      <x:c r="E902" t="str">
        <x:v>SUS-000469</x:v>
      </x:c>
      <x:c r="F902" t="str">
        <x:v>Plus mensual</x:v>
      </x:c>
      <x:c r="G902" t="str">
        <x:v>Mensual</x:v>
      </x:c>
      <x:c r="H902" t="n">
        <x:v>1</x:v>
      </x:c>
      <x:c r="I902" t="str">
        <x:v>Aprobado</x:v>
      </x:c>
      <x:c r="J902" t="n">
        <x:v>29900</x:v>
      </x:c>
      <x:c r="K902" t="str">
        <x:v>Tarjeta crédito</x:v>
      </x:c>
      <x:c r="L902" t="str">
        <x:v>Sin error</x:v>
      </x:c>
    </x:row>
    <x:row r="903">
      <x:c r="A903" t="str">
        <x:v>TXN-0000902</x:v>
      </x:c>
      <x:c r="B903" t="str">
        <x:v>2026-03</x:v>
      </x:c>
      <x:c r="C903" t="n">
        <x:v>46087</x:v>
      </x:c>
      <x:c r="D903" t="str">
        <x:v>USR-00268</x:v>
      </x:c>
      <x:c r="E903" t="str">
        <x:v>SUS-000629</x:v>
      </x:c>
      <x:c r="F903" t="str">
        <x:v>Plus mensual</x:v>
      </x:c>
      <x:c r="G903" t="str">
        <x:v>Mensual</x:v>
      </x:c>
      <x:c r="H903" t="n">
        <x:v>1</x:v>
      </x:c>
      <x:c r="I903" t="str">
        <x:v>Aprobado</x:v>
      </x:c>
      <x:c r="J903" t="n">
        <x:v>29900</x:v>
      </x:c>
      <x:c r="K903" t="str">
        <x:v>Tarjeta crédito</x:v>
      </x:c>
      <x:c r="L903" t="str">
        <x:v>Sin error</x:v>
      </x:c>
    </x:row>
    <x:row r="904">
      <x:c r="A904" t="str">
        <x:v>TXN-0000903</x:v>
      </x:c>
      <x:c r="B904" t="str">
        <x:v>2026-03</x:v>
      </x:c>
      <x:c r="C904" t="n">
        <x:v>46086</x:v>
      </x:c>
      <x:c r="D904" t="str">
        <x:v>USR-00273</x:v>
      </x:c>
      <x:c r="E904" t="str">
        <x:v>SUS-000850</x:v>
      </x:c>
      <x:c r="F904" t="str">
        <x:v>Plus mensual</x:v>
      </x:c>
      <x:c r="G904" t="str">
        <x:v>Mensual</x:v>
      </x:c>
      <x:c r="H904" t="n">
        <x:v>1</x:v>
      </x:c>
      <x:c r="I904" t="str">
        <x:v>Aprobado</x:v>
      </x:c>
      <x:c r="J904" t="n">
        <x:v>29900</x:v>
      </x:c>
      <x:c r="K904" t="str">
        <x:v>Tarjeta débito</x:v>
      </x:c>
      <x:c r="L904" t="str">
        <x:v>Sin error</x:v>
      </x:c>
    </x:row>
    <x:row r="905">
      <x:c r="A905" t="str">
        <x:v>TXN-0000904</x:v>
      </x:c>
      <x:c r="B905" t="str">
        <x:v>2026-03</x:v>
      </x:c>
      <x:c r="C905" t="n">
        <x:v>46090</x:v>
      </x:c>
      <x:c r="D905" t="str">
        <x:v>USR-00279</x:v>
      </x:c>
      <x:c r="E905" t="str">
        <x:v>SUS-000543</x:v>
      </x:c>
      <x:c r="F905" t="str">
        <x:v>Plus mensual</x:v>
      </x:c>
      <x:c r="G905" t="str">
        <x:v>Mensual</x:v>
      </x:c>
      <x:c r="H905" t="n">
        <x:v>1</x:v>
      </x:c>
      <x:c r="I905" t="str">
        <x:v>Aprobado</x:v>
      </x:c>
      <x:c r="J905" t="n">
        <x:v>29900</x:v>
      </x:c>
      <x:c r="K905" t="str">
        <x:v>Tarjeta crédito</x:v>
      </x:c>
      <x:c r="L905" t="str">
        <x:v>Sin error</x:v>
      </x:c>
    </x:row>
    <x:row r="906">
      <x:c r="A906" t="str">
        <x:v>TXN-0000905</x:v>
      </x:c>
      <x:c r="B906" t="str">
        <x:v>2026-03</x:v>
      </x:c>
      <x:c r="C906" t="n">
        <x:v>46091</x:v>
      </x:c>
      <x:c r="D906" t="str">
        <x:v>USR-00282</x:v>
      </x:c>
      <x:c r="E906" t="str">
        <x:v>SUS-000851</x:v>
      </x:c>
      <x:c r="F906" t="str">
        <x:v>Plus mensual</x:v>
      </x:c>
      <x:c r="G906" t="str">
        <x:v>Mensual</x:v>
      </x:c>
      <x:c r="H906" t="n">
        <x:v>1</x:v>
      </x:c>
      <x:c r="I906" t="str">
        <x:v>Aprobado</x:v>
      </x:c>
      <x:c r="J906" t="n">
        <x:v>29900</x:v>
      </x:c>
      <x:c r="K906" t="str">
        <x:v>Tarjeta débito</x:v>
      </x:c>
      <x:c r="L906" t="str">
        <x:v>Sin error</x:v>
      </x:c>
    </x:row>
    <x:row r="907">
      <x:c r="A907" t="str">
        <x:v>TXN-0000906</x:v>
      </x:c>
      <x:c r="B907" t="str">
        <x:v>2026-03</x:v>
      </x:c>
      <x:c r="C907" t="n">
        <x:v>46092</x:v>
      </x:c>
      <x:c r="D907" t="str">
        <x:v>USR-00286</x:v>
      </x:c>
      <x:c r="E907" t="str">
        <x:v>SUS-000368</x:v>
      </x:c>
      <x:c r="F907" t="str">
        <x:v>Plus mensual</x:v>
      </x:c>
      <x:c r="G907" t="str">
        <x:v>Mensual</x:v>
      </x:c>
      <x:c r="H907" t="n">
        <x:v>1</x:v>
      </x:c>
      <x:c r="I907" t="str">
        <x:v>Aprobado</x:v>
      </x:c>
      <x:c r="J907" t="n">
        <x:v>29900</x:v>
      </x:c>
      <x:c r="K907" t="str">
        <x:v>PSE</x:v>
      </x:c>
      <x:c r="L907" t="str">
        <x:v>Sin error</x:v>
      </x:c>
    </x:row>
    <x:row r="908">
      <x:c r="A908" t="str">
        <x:v>TXN-0000907</x:v>
      </x:c>
      <x:c r="B908" t="str">
        <x:v>2026-03</x:v>
      </x:c>
      <x:c r="C908" t="n">
        <x:v>46091</x:v>
      </x:c>
      <x:c r="D908" t="str">
        <x:v>USR-00292</x:v>
      </x:c>
      <x:c r="E908" t="str">
        <x:v>SUS-000852</x:v>
      </x:c>
      <x:c r="F908" t="str">
        <x:v>Plus mensual</x:v>
      </x:c>
      <x:c r="G908" t="str">
        <x:v>Mensual</x:v>
      </x:c>
      <x:c r="H908" t="n">
        <x:v>1</x:v>
      </x:c>
      <x:c r="I908" t="str">
        <x:v>Aprobado</x:v>
      </x:c>
      <x:c r="J908" t="n">
        <x:v>29900</x:v>
      </x:c>
      <x:c r="K908" t="str">
        <x:v>Tarjeta débito</x:v>
      </x:c>
      <x:c r="L908" t="str">
        <x:v>Sin error</x:v>
      </x:c>
    </x:row>
    <x:row r="909">
      <x:c r="A909" t="str">
        <x:v>TXN-0000908</x:v>
      </x:c>
      <x:c r="B909" t="str">
        <x:v>2026-03</x:v>
      </x:c>
      <x:c r="C909" t="n">
        <x:v>46089</x:v>
      </x:c>
      <x:c r="D909" t="str">
        <x:v>USR-00293</x:v>
      </x:c>
      <x:c r="E909" t="str">
        <x:v>SUS-000754</x:v>
      </x:c>
      <x:c r="F909" t="str">
        <x:v>Plus mensual</x:v>
      </x:c>
      <x:c r="G909" t="str">
        <x:v>Mensual</x:v>
      </x:c>
      <x:c r="H909" t="n">
        <x:v>1</x:v>
      </x:c>
      <x:c r="I909" t="str">
        <x:v>Aprobado</x:v>
      </x:c>
      <x:c r="J909" t="n">
        <x:v>29900</x:v>
      </x:c>
      <x:c r="K909" t="str">
        <x:v>Tarjeta débito</x:v>
      </x:c>
      <x:c r="L909" t="str">
        <x:v>Sin error</x:v>
      </x:c>
    </x:row>
    <x:row r="910">
      <x:c r="A910" t="str">
        <x:v>TXN-0000909</x:v>
      </x:c>
      <x:c r="B910" t="str">
        <x:v>2026-03</x:v>
      </x:c>
      <x:c r="C910" t="n">
        <x:v>46091</x:v>
      </x:c>
      <x:c r="D910" t="str">
        <x:v>USR-00294</x:v>
      </x:c>
      <x:c r="E910" t="str">
        <x:v>SUS-000631</x:v>
      </x:c>
      <x:c r="F910" t="str">
        <x:v>Plus mensual</x:v>
      </x:c>
      <x:c r="G910" t="str">
        <x:v>Mensual</x:v>
      </x:c>
      <x:c r="H910" t="n">
        <x:v>1</x:v>
      </x:c>
      <x:c r="I910" t="str">
        <x:v>Aprobado</x:v>
      </x:c>
      <x:c r="J910" t="n">
        <x:v>29900</x:v>
      </x:c>
      <x:c r="K910" t="str">
        <x:v>Tarjeta crédito</x:v>
      </x:c>
      <x:c r="L910" t="str">
        <x:v>Sin error</x:v>
      </x:c>
    </x:row>
    <x:row r="911">
      <x:c r="A911" t="str">
        <x:v>TXN-0000910</x:v>
      </x:c>
      <x:c r="B911" t="str">
        <x:v>2026-03</x:v>
      </x:c>
      <x:c r="C911" t="n">
        <x:v>46089</x:v>
      </x:c>
      <x:c r="D911" t="str">
        <x:v>USR-00296</x:v>
      </x:c>
      <x:c r="E911" t="str">
        <x:v>SUS-000632</x:v>
      </x:c>
      <x:c r="F911" t="str">
        <x:v>Plus mensual</x:v>
      </x:c>
      <x:c r="G911" t="str">
        <x:v>Mensual</x:v>
      </x:c>
      <x:c r="H911" t="n">
        <x:v>1</x:v>
      </x:c>
      <x:c r="I911" t="str">
        <x:v>Aprobado</x:v>
      </x:c>
      <x:c r="J911" t="n">
        <x:v>29900</x:v>
      </x:c>
      <x:c r="K911" t="str">
        <x:v>PSE</x:v>
      </x:c>
      <x:c r="L911" t="str">
        <x:v>Sin error</x:v>
      </x:c>
    </x:row>
    <x:row r="912">
      <x:c r="A912" t="str">
        <x:v>TXN-0000911</x:v>
      </x:c>
      <x:c r="B912" t="str">
        <x:v>2026-03</x:v>
      </x:c>
      <x:c r="C912" t="n">
        <x:v>46090</x:v>
      </x:c>
      <x:c r="D912" t="str">
        <x:v>USR-00306</x:v>
      </x:c>
      <x:c r="E912" t="str">
        <x:v>SUS-000853</x:v>
      </x:c>
      <x:c r="F912" t="str">
        <x:v>Plus mensual</x:v>
      </x:c>
      <x:c r="G912" t="str">
        <x:v>Mensual</x:v>
      </x:c>
      <x:c r="H912" t="n">
        <x:v>1</x:v>
      </x:c>
      <x:c r="I912" t="str">
        <x:v>Aprobado</x:v>
      </x:c>
      <x:c r="J912" t="n">
        <x:v>29900</x:v>
      </x:c>
      <x:c r="K912" t="str">
        <x:v>Tarjeta débito</x:v>
      </x:c>
      <x:c r="L912" t="str">
        <x:v>Sin error</x:v>
      </x:c>
    </x:row>
    <x:row r="913">
      <x:c r="A913" t="str">
        <x:v>TXN-0000912</x:v>
      </x:c>
      <x:c r="B913" t="str">
        <x:v>2026-03</x:v>
      </x:c>
      <x:c r="C913" t="n">
        <x:v>46090</x:v>
      </x:c>
      <x:c r="D913" t="str">
        <x:v>USR-00312</x:v>
      </x:c>
      <x:c r="E913" t="str">
        <x:v>SUS-000634</x:v>
      </x:c>
      <x:c r="F913" t="str">
        <x:v>Plus mensual</x:v>
      </x:c>
      <x:c r="G913" t="str">
        <x:v>Mensual</x:v>
      </x:c>
      <x:c r="H913" t="n">
        <x:v>1</x:v>
      </x:c>
      <x:c r="I913" t="str">
        <x:v>Aprobado</x:v>
      </x:c>
      <x:c r="J913" t="n">
        <x:v>29900</x:v>
      </x:c>
      <x:c r="K913" t="str">
        <x:v>Tarjeta débito</x:v>
      </x:c>
      <x:c r="L913" t="str">
        <x:v>Sin error</x:v>
      </x:c>
    </x:row>
    <x:row r="914">
      <x:c r="A914" t="str">
        <x:v>TXN-0000913</x:v>
      </x:c>
      <x:c r="B914" t="str">
        <x:v>2026-03</x:v>
      </x:c>
      <x:c r="C914" t="n">
        <x:v>46087</x:v>
      </x:c>
      <x:c r="D914" t="str">
        <x:v>USR-00313</x:v>
      </x:c>
      <x:c r="E914" t="str">
        <x:v>SUS-000635</x:v>
      </x:c>
      <x:c r="F914" t="str">
        <x:v>Plus mensual</x:v>
      </x:c>
      <x:c r="G914" t="str">
        <x:v>Mensual</x:v>
      </x:c>
      <x:c r="H914" t="n">
        <x:v>1</x:v>
      </x:c>
      <x:c r="I914" t="str">
        <x:v>Aprobado</x:v>
      </x:c>
      <x:c r="J914" t="n">
        <x:v>29900</x:v>
      </x:c>
      <x:c r="K914" t="str">
        <x:v>PSE</x:v>
      </x:c>
      <x:c r="L914" t="str">
        <x:v>Sin error</x:v>
      </x:c>
    </x:row>
    <x:row r="915">
      <x:c r="A915" t="str">
        <x:v>TXN-0000914</x:v>
      </x:c>
      <x:c r="B915" t="str">
        <x:v>2026-03</x:v>
      </x:c>
      <x:c r="C915" t="n">
        <x:v>46086</x:v>
      </x:c>
      <x:c r="D915" t="str">
        <x:v>USR-00317</x:v>
      </x:c>
      <x:c r="E915" t="str">
        <x:v>SUS-000546</x:v>
      </x:c>
      <x:c r="F915" t="str">
        <x:v>Plus mensual</x:v>
      </x:c>
      <x:c r="G915" t="str">
        <x:v>Mensual</x:v>
      </x:c>
      <x:c r="H915" t="n">
        <x:v>1</x:v>
      </x:c>
      <x:c r="I915" t="str">
        <x:v>Rechazado</x:v>
      </x:c>
      <x:c r="J915" t="n">
        <x:v>29900</x:v>
      </x:c>
      <x:c r="K915" t="str">
        <x:v>Tarjeta débito</x:v>
      </x:c>
      <x:c r="L915" t="str">
        <x:v>Error temporal</x:v>
      </x:c>
    </x:row>
    <x:row r="916">
      <x:c r="A916" t="str">
        <x:v>TXN-0000915</x:v>
      </x:c>
      <x:c r="B916" t="str">
        <x:v>2026-03</x:v>
      </x:c>
      <x:c r="C916" t="n">
        <x:v>46090</x:v>
      </x:c>
      <x:c r="D916" t="str">
        <x:v>USR-00317</x:v>
      </x:c>
      <x:c r="E916" t="str">
        <x:v>SUS-000546</x:v>
      </x:c>
      <x:c r="F916" t="str">
        <x:v>Plus mensual</x:v>
      </x:c>
      <x:c r="G916" t="str">
        <x:v>Mensual</x:v>
      </x:c>
      <x:c r="H916" t="n">
        <x:v>2</x:v>
      </x:c>
      <x:c r="I916" t="str">
        <x:v>Aprobado</x:v>
      </x:c>
      <x:c r="J916" t="n">
        <x:v>29900</x:v>
      </x:c>
      <x:c r="K916" t="str">
        <x:v>Tarjeta crédito</x:v>
      </x:c>
      <x:c r="L916" t="str">
        <x:v>Sin error</x:v>
      </x:c>
    </x:row>
    <x:row r="917">
      <x:c r="A917" t="str">
        <x:v>TXN-0000916</x:v>
      </x:c>
      <x:c r="B917" t="str">
        <x:v>2026-03</x:v>
      </x:c>
      <x:c r="C917" t="n">
        <x:v>46088</x:v>
      </x:c>
      <x:c r="D917" t="str">
        <x:v>USR-00320</x:v>
      </x:c>
      <x:c r="E917" t="str">
        <x:v>SUS-000419</x:v>
      </x:c>
      <x:c r="F917" t="str">
        <x:v>Plus mensual</x:v>
      </x:c>
      <x:c r="G917" t="str">
        <x:v>Mensual</x:v>
      </x:c>
      <x:c r="H917" t="n">
        <x:v>1</x:v>
      </x:c>
      <x:c r="I917" t="str">
        <x:v>Aprobado</x:v>
      </x:c>
      <x:c r="J917" t="n">
        <x:v>29900</x:v>
      </x:c>
      <x:c r="K917" t="str">
        <x:v>Tarjeta débito</x:v>
      </x:c>
      <x:c r="L917" t="str">
        <x:v>Sin error</x:v>
      </x:c>
    </x:row>
    <x:row r="918">
      <x:c r="A918" t="str">
        <x:v>TXN-0000917</x:v>
      </x:c>
      <x:c r="B918" t="str">
        <x:v>2026-03</x:v>
      </x:c>
      <x:c r="C918" t="n">
        <x:v>46093</x:v>
      </x:c>
      <x:c r="D918" t="str">
        <x:v>USR-00325</x:v>
      </x:c>
      <x:c r="E918" t="str">
        <x:v>SUS-000424</x:v>
      </x:c>
      <x:c r="F918" t="str">
        <x:v>Plus mensual</x:v>
      </x:c>
      <x:c r="G918" t="str">
        <x:v>Mensual</x:v>
      </x:c>
      <x:c r="H918" t="n">
        <x:v>1</x:v>
      </x:c>
      <x:c r="I918" t="str">
        <x:v>Aprobado</x:v>
      </x:c>
      <x:c r="J918" t="n">
        <x:v>29900</x:v>
      </x:c>
      <x:c r="K918" t="str">
        <x:v>Tarjeta crédito</x:v>
      </x:c>
      <x:c r="L918" t="str">
        <x:v>Sin error</x:v>
      </x:c>
    </x:row>
    <x:row r="919">
      <x:c r="A919" t="str">
        <x:v>TXN-0000918</x:v>
      </x:c>
      <x:c r="B919" t="str">
        <x:v>2026-03</x:v>
      </x:c>
      <x:c r="C919" t="n">
        <x:v>46087</x:v>
      </x:c>
      <x:c r="D919" t="str">
        <x:v>USR-00329</x:v>
      </x:c>
      <x:c r="E919" t="str">
        <x:v>SUS-000854</x:v>
      </x:c>
      <x:c r="F919" t="str">
        <x:v>Plus anual</x:v>
      </x:c>
      <x:c r="G919" t="str">
        <x:v>Anual</x:v>
      </x:c>
      <x:c r="H919" t="n">
        <x:v>1</x:v>
      </x:c>
      <x:c r="I919" t="str">
        <x:v>Aprobado</x:v>
      </x:c>
      <x:c r="J919" t="n">
        <x:v>299000</x:v>
      </x:c>
      <x:c r="K919" t="str">
        <x:v>PSE</x:v>
      </x:c>
      <x:c r="L919" t="str">
        <x:v>Sin error</x:v>
      </x:c>
    </x:row>
    <x:row r="920">
      <x:c r="A920" t="str">
        <x:v>TXN-0000919</x:v>
      </x:c>
      <x:c r="B920" t="str">
        <x:v>2026-03</x:v>
      </x:c>
      <x:c r="C920" t="n">
        <x:v>46090</x:v>
      </x:c>
      <x:c r="D920" t="str">
        <x:v>USR-00331</x:v>
      </x:c>
      <x:c r="E920" t="str">
        <x:v>SUS-000430</x:v>
      </x:c>
      <x:c r="F920" t="str">
        <x:v>Plus mensual</x:v>
      </x:c>
      <x:c r="G920" t="str">
        <x:v>Mensual</x:v>
      </x:c>
      <x:c r="H920" t="n">
        <x:v>1</x:v>
      </x:c>
      <x:c r="I920" t="str">
        <x:v>Aprobado</x:v>
      </x:c>
      <x:c r="J920" t="n">
        <x:v>29900</x:v>
      </x:c>
      <x:c r="K920" t="str">
        <x:v>Tarjeta crédito</x:v>
      </x:c>
      <x:c r="L920" t="str">
        <x:v>Sin error</x:v>
      </x:c>
    </x:row>
    <x:row r="921">
      <x:c r="A921" t="str">
        <x:v>TXN-0000920</x:v>
      </x:c>
      <x:c r="B921" t="str">
        <x:v>2026-03</x:v>
      </x:c>
      <x:c r="C921" t="n">
        <x:v>46090</x:v>
      </x:c>
      <x:c r="D921" t="str">
        <x:v>USR-00332</x:v>
      </x:c>
      <x:c r="E921" t="str">
        <x:v>SUS-000470</x:v>
      </x:c>
      <x:c r="F921" t="str">
        <x:v>Plus mensual</x:v>
      </x:c>
      <x:c r="G921" t="str">
        <x:v>Mensual</x:v>
      </x:c>
      <x:c r="H921" t="n">
        <x:v>1</x:v>
      </x:c>
      <x:c r="I921" t="str">
        <x:v>Aprobado</x:v>
      </x:c>
      <x:c r="J921" t="n">
        <x:v>29900</x:v>
      </x:c>
      <x:c r="K921" t="str">
        <x:v>Tarjeta crédito</x:v>
      </x:c>
      <x:c r="L921" t="str">
        <x:v>Sin error</x:v>
      </x:c>
    </x:row>
    <x:row r="922">
      <x:c r="A922" t="str">
        <x:v>TXN-0000921</x:v>
      </x:c>
      <x:c r="B922" t="str">
        <x:v>2026-03</x:v>
      </x:c>
      <x:c r="C922" t="n">
        <x:v>46089</x:v>
      </x:c>
      <x:c r="D922" t="str">
        <x:v>USR-00335</x:v>
      </x:c>
      <x:c r="E922" t="str">
        <x:v>SUS-000855</x:v>
      </x:c>
      <x:c r="F922" t="str">
        <x:v>Plus mensual</x:v>
      </x:c>
      <x:c r="G922" t="str">
        <x:v>Mensual</x:v>
      </x:c>
      <x:c r="H922" t="n">
        <x:v>1</x:v>
      </x:c>
      <x:c r="I922" t="str">
        <x:v>Aprobado</x:v>
      </x:c>
      <x:c r="J922" t="n">
        <x:v>29900</x:v>
      </x:c>
      <x:c r="K922" t="str">
        <x:v>Tarjeta débito</x:v>
      </x:c>
      <x:c r="L922" t="str">
        <x:v>Sin error</x:v>
      </x:c>
    </x:row>
    <x:row r="923">
      <x:c r="A923" t="str">
        <x:v>TXN-0000922</x:v>
      </x:c>
      <x:c r="B923" t="str">
        <x:v>2026-03</x:v>
      </x:c>
      <x:c r="C923" t="n">
        <x:v>46088</x:v>
      </x:c>
      <x:c r="D923" t="str">
        <x:v>USR-00336</x:v>
      </x:c>
      <x:c r="E923" t="str">
        <x:v>SUS-000435</x:v>
      </x:c>
      <x:c r="F923" t="str">
        <x:v>Plus mensual</x:v>
      </x:c>
      <x:c r="G923" t="str">
        <x:v>Mensual</x:v>
      </x:c>
      <x:c r="H923" t="n">
        <x:v>1</x:v>
      </x:c>
      <x:c r="I923" t="str">
        <x:v>Aprobado</x:v>
      </x:c>
      <x:c r="J923" t="n">
        <x:v>29900</x:v>
      </x:c>
      <x:c r="K923" t="str">
        <x:v>Tarjeta crédito</x:v>
      </x:c>
      <x:c r="L923" t="str">
        <x:v>Sin error</x:v>
      </x:c>
    </x:row>
    <x:row r="924">
      <x:c r="A924" t="str">
        <x:v>TXN-0000923</x:v>
      </x:c>
      <x:c r="B924" t="str">
        <x:v>2026-03</x:v>
      </x:c>
      <x:c r="C924" t="n">
        <x:v>46087</x:v>
      </x:c>
      <x:c r="D924" t="str">
        <x:v>USR-00338</x:v>
      </x:c>
      <x:c r="E924" t="str">
        <x:v>SUS-000856</x:v>
      </x:c>
      <x:c r="F924" t="str">
        <x:v>Plus mensual</x:v>
      </x:c>
      <x:c r="G924" t="str">
        <x:v>Mensual</x:v>
      </x:c>
      <x:c r="H924" t="n">
        <x:v>1</x:v>
      </x:c>
      <x:c r="I924" t="str">
        <x:v>Aprobado</x:v>
      </x:c>
      <x:c r="J924" t="n">
        <x:v>29900</x:v>
      </x:c>
      <x:c r="K924" t="str">
        <x:v>Tarjeta crédito</x:v>
      </x:c>
      <x:c r="L924" t="str">
        <x:v>Sin error</x:v>
      </x:c>
    </x:row>
    <x:row r="925">
      <x:c r="A925" t="str">
        <x:v>TXN-0000924</x:v>
      </x:c>
      <x:c r="B925" t="str">
        <x:v>2026-03</x:v>
      </x:c>
      <x:c r="C925" t="n">
        <x:v>46087</x:v>
      </x:c>
      <x:c r="D925" t="str">
        <x:v>USR-00339</x:v>
      </x:c>
      <x:c r="E925" t="str">
        <x:v>SUS-000756</x:v>
      </x:c>
      <x:c r="F925" t="str">
        <x:v>Plus mensual</x:v>
      </x:c>
      <x:c r="G925" t="str">
        <x:v>Mensual</x:v>
      </x:c>
      <x:c r="H925" t="n">
        <x:v>1</x:v>
      </x:c>
      <x:c r="I925" t="str">
        <x:v>Aprobado</x:v>
      </x:c>
      <x:c r="J925" t="n">
        <x:v>29900</x:v>
      </x:c>
      <x:c r="K925" t="str">
        <x:v>PSE</x:v>
      </x:c>
      <x:c r="L925" t="str">
        <x:v>Sin error</x:v>
      </x:c>
    </x:row>
    <x:row r="926">
      <x:c r="A926" t="str">
        <x:v>TXN-0000925</x:v>
      </x:c>
      <x:c r="B926" t="str">
        <x:v>2026-03</x:v>
      </x:c>
      <x:c r="C926" t="n">
        <x:v>46091</x:v>
      </x:c>
      <x:c r="D926" t="str">
        <x:v>USR-00340</x:v>
      </x:c>
      <x:c r="E926" t="str">
        <x:v>SUS-000757</x:v>
      </x:c>
      <x:c r="F926" t="str">
        <x:v>Plus mensual</x:v>
      </x:c>
      <x:c r="G926" t="str">
        <x:v>Mensual</x:v>
      </x:c>
      <x:c r="H926" t="n">
        <x:v>1</x:v>
      </x:c>
      <x:c r="I926" t="str">
        <x:v>Aprobado</x:v>
      </x:c>
      <x:c r="J926" t="n">
        <x:v>29900</x:v>
      </x:c>
      <x:c r="K926" t="str">
        <x:v>Tarjeta crédito</x:v>
      </x:c>
      <x:c r="L926" t="str">
        <x:v>Sin error</x:v>
      </x:c>
    </x:row>
    <x:row r="927">
      <x:c r="A927" t="str">
        <x:v>TXN-0000926</x:v>
      </x:c>
      <x:c r="B927" t="str">
        <x:v>2026-03</x:v>
      </x:c>
      <x:c r="C927" t="n">
        <x:v>46086</x:v>
      </x:c>
      <x:c r="D927" t="str">
        <x:v>USR-00346</x:v>
      </x:c>
      <x:c r="E927" t="str">
        <x:v>SUS-000471</x:v>
      </x:c>
      <x:c r="F927" t="str">
        <x:v>Plus mensual</x:v>
      </x:c>
      <x:c r="G927" t="str">
        <x:v>Mensual</x:v>
      </x:c>
      <x:c r="H927" t="n">
        <x:v>1</x:v>
      </x:c>
      <x:c r="I927" t="str">
        <x:v>Aprobado</x:v>
      </x:c>
      <x:c r="J927" t="n">
        <x:v>29900</x:v>
      </x:c>
      <x:c r="K927" t="str">
        <x:v>Tarjeta débito</x:v>
      </x:c>
      <x:c r="L927" t="str">
        <x:v>Sin error</x:v>
      </x:c>
    </x:row>
    <x:row r="928">
      <x:c r="A928" t="str">
        <x:v>TXN-0000927</x:v>
      </x:c>
      <x:c r="B928" t="str">
        <x:v>2026-03</x:v>
      </x:c>
      <x:c r="C928" t="n">
        <x:v>46093</x:v>
      </x:c>
      <x:c r="D928" t="str">
        <x:v>USR-00353</x:v>
      </x:c>
      <x:c r="E928" t="str">
        <x:v>SUS-000857</x:v>
      </x:c>
      <x:c r="F928" t="str">
        <x:v>Plus mensual</x:v>
      </x:c>
      <x:c r="G928" t="str">
        <x:v>Mensual</x:v>
      </x:c>
      <x:c r="H928" t="n">
        <x:v>1</x:v>
      </x:c>
      <x:c r="I928" t="str">
        <x:v>Aprobado</x:v>
      </x:c>
      <x:c r="J928" t="n">
        <x:v>29900</x:v>
      </x:c>
      <x:c r="K928" t="str">
        <x:v>Tarjeta débito</x:v>
      </x:c>
      <x:c r="L928" t="str">
        <x:v>Sin error</x:v>
      </x:c>
    </x:row>
    <x:row r="929">
      <x:c r="A929" t="str">
        <x:v>TXN-0000928</x:v>
      </x:c>
      <x:c r="B929" t="str">
        <x:v>2026-03</x:v>
      </x:c>
      <x:c r="C929" t="n">
        <x:v>46088</x:v>
      </x:c>
      <x:c r="D929" t="str">
        <x:v>USR-00355</x:v>
      </x:c>
      <x:c r="E929" t="str">
        <x:v>SUS-000858</x:v>
      </x:c>
      <x:c r="F929" t="str">
        <x:v>Plus anual</x:v>
      </x:c>
      <x:c r="G929" t="str">
        <x:v>Anual</x:v>
      </x:c>
      <x:c r="H929" t="n">
        <x:v>1</x:v>
      </x:c>
      <x:c r="I929" t="str">
        <x:v>Aprobado</x:v>
      </x:c>
      <x:c r="J929" t="n">
        <x:v>299000</x:v>
      </x:c>
      <x:c r="K929" t="str">
        <x:v>Tarjeta débito</x:v>
      </x:c>
      <x:c r="L929" t="str">
        <x:v>Sin error</x:v>
      </x:c>
    </x:row>
    <x:row r="930">
      <x:c r="A930" t="str">
        <x:v>TXN-0000929</x:v>
      </x:c>
      <x:c r="B930" t="str">
        <x:v>2026-03</x:v>
      </x:c>
      <x:c r="C930" t="n">
        <x:v>46093</x:v>
      </x:c>
      <x:c r="D930" t="str">
        <x:v>USR-00360</x:v>
      </x:c>
      <x:c r="E930" t="str">
        <x:v>SUS-000638</x:v>
      </x:c>
      <x:c r="F930" t="str">
        <x:v>Plus mensual</x:v>
      </x:c>
      <x:c r="G930" t="str">
        <x:v>Mensual</x:v>
      </x:c>
      <x:c r="H930" t="n">
        <x:v>1</x:v>
      </x:c>
      <x:c r="I930" t="str">
        <x:v>Aprobado</x:v>
      </x:c>
      <x:c r="J930" t="n">
        <x:v>29900</x:v>
      </x:c>
      <x:c r="K930" t="str">
        <x:v>Tarjeta débito</x:v>
      </x:c>
      <x:c r="L930" t="str">
        <x:v>Sin error</x:v>
      </x:c>
    </x:row>
    <x:row r="931">
      <x:c r="A931" t="str">
        <x:v>TXN-0000930</x:v>
      </x:c>
      <x:c r="B931" t="str">
        <x:v>2026-03</x:v>
      </x:c>
      <x:c r="C931" t="n">
        <x:v>46086</x:v>
      </x:c>
      <x:c r="D931" t="str">
        <x:v>USR-00364</x:v>
      </x:c>
      <x:c r="E931" t="str">
        <x:v>SUS-000760</x:v>
      </x:c>
      <x:c r="F931" t="str">
        <x:v>Plus mensual</x:v>
      </x:c>
      <x:c r="G931" t="str">
        <x:v>Mensual</x:v>
      </x:c>
      <x:c r="H931" t="n">
        <x:v>1</x:v>
      </x:c>
      <x:c r="I931" t="str">
        <x:v>Aprobado</x:v>
      </x:c>
      <x:c r="J931" t="n">
        <x:v>29900</x:v>
      </x:c>
      <x:c r="K931" t="str">
        <x:v>PSE</x:v>
      </x:c>
      <x:c r="L931" t="str">
        <x:v>Sin error</x:v>
      </x:c>
    </x:row>
    <x:row r="932">
      <x:c r="A932" t="str">
        <x:v>TXN-0000931</x:v>
      </x:c>
      <x:c r="B932" t="str">
        <x:v>2026-03</x:v>
      </x:c>
      <x:c r="C932" t="n">
        <x:v>46087</x:v>
      </x:c>
      <x:c r="D932" t="str">
        <x:v>USR-00377</x:v>
      </x:c>
      <x:c r="E932" t="str">
        <x:v>SUS-000492</x:v>
      </x:c>
      <x:c r="F932" t="str">
        <x:v>Plus mensual</x:v>
      </x:c>
      <x:c r="G932" t="str">
        <x:v>Mensual</x:v>
      </x:c>
      <x:c r="H932" t="n">
        <x:v>1</x:v>
      </x:c>
      <x:c r="I932" t="str">
        <x:v>Aprobado</x:v>
      </x:c>
      <x:c r="J932" t="n">
        <x:v>29900</x:v>
      </x:c>
      <x:c r="K932" t="str">
        <x:v>PSE</x:v>
      </x:c>
      <x:c r="L932" t="str">
        <x:v>Sin error</x:v>
      </x:c>
    </x:row>
    <x:row r="933">
      <x:c r="A933" t="str">
        <x:v>TXN-0000932</x:v>
      </x:c>
      <x:c r="B933" t="str">
        <x:v>2026-03</x:v>
      </x:c>
      <x:c r="C933" t="n">
        <x:v>46093</x:v>
      </x:c>
      <x:c r="D933" t="str">
        <x:v>USR-00380</x:v>
      </x:c>
      <x:c r="E933" t="str">
        <x:v>SUS-000495</x:v>
      </x:c>
      <x:c r="F933" t="str">
        <x:v>Plus mensual</x:v>
      </x:c>
      <x:c r="G933" t="str">
        <x:v>Mensual</x:v>
      </x:c>
      <x:c r="H933" t="n">
        <x:v>1</x:v>
      </x:c>
      <x:c r="I933" t="str">
        <x:v>Aprobado</x:v>
      </x:c>
      <x:c r="J933" t="n">
        <x:v>29900</x:v>
      </x:c>
      <x:c r="K933" t="str">
        <x:v>PSE</x:v>
      </x:c>
      <x:c r="L933" t="str">
        <x:v>Sin error</x:v>
      </x:c>
    </x:row>
    <x:row r="934">
      <x:c r="A934" t="str">
        <x:v>TXN-0000933</x:v>
      </x:c>
      <x:c r="B934" t="str">
        <x:v>2026-03</x:v>
      </x:c>
      <x:c r="C934" t="n">
        <x:v>46093</x:v>
      </x:c>
      <x:c r="D934" t="str">
        <x:v>USR-00381</x:v>
      </x:c>
      <x:c r="E934" t="str">
        <x:v>SUS-000859</x:v>
      </x:c>
      <x:c r="F934" t="str">
        <x:v>Plus anual</x:v>
      </x:c>
      <x:c r="G934" t="str">
        <x:v>Anual</x:v>
      </x:c>
      <x:c r="H934" t="n">
        <x:v>1</x:v>
      </x:c>
      <x:c r="I934" t="str">
        <x:v>Aprobado</x:v>
      </x:c>
      <x:c r="J934" t="n">
        <x:v>299000</x:v>
      </x:c>
      <x:c r="K934" t="str">
        <x:v>Tarjeta débito</x:v>
      </x:c>
      <x:c r="L934" t="str">
        <x:v>Sin error</x:v>
      </x:c>
    </x:row>
    <x:row r="935">
      <x:c r="A935" t="str">
        <x:v>TXN-0000934</x:v>
      </x:c>
      <x:c r="B935" t="str">
        <x:v>2026-03</x:v>
      </x:c>
      <x:c r="C935" t="n">
        <x:v>46093</x:v>
      </x:c>
      <x:c r="D935" t="str">
        <x:v>USR-00386</x:v>
      </x:c>
      <x:c r="E935" t="str">
        <x:v>SUS-000640</x:v>
      </x:c>
      <x:c r="F935" t="str">
        <x:v>Plus mensual</x:v>
      </x:c>
      <x:c r="G935" t="str">
        <x:v>Mensual</x:v>
      </x:c>
      <x:c r="H935" t="n">
        <x:v>1</x:v>
      </x:c>
      <x:c r="I935" t="str">
        <x:v>Aprobado</x:v>
      </x:c>
      <x:c r="J935" t="n">
        <x:v>29900</x:v>
      </x:c>
      <x:c r="K935" t="str">
        <x:v>Tarjeta débito</x:v>
      </x:c>
      <x:c r="L935" t="str">
        <x:v>Sin error</x:v>
      </x:c>
    </x:row>
    <x:row r="936">
      <x:c r="A936" t="str">
        <x:v>TXN-0000935</x:v>
      </x:c>
      <x:c r="B936" t="str">
        <x:v>2026-03</x:v>
      </x:c>
      <x:c r="C936" t="n">
        <x:v>46088</x:v>
      </x:c>
      <x:c r="D936" t="str">
        <x:v>USR-00387</x:v>
      </x:c>
      <x:c r="E936" t="str">
        <x:v>SUS-000502</x:v>
      </x:c>
      <x:c r="F936" t="str">
        <x:v>Plus mensual</x:v>
      </x:c>
      <x:c r="G936" t="str">
        <x:v>Mensual</x:v>
      </x:c>
      <x:c r="H936" t="n">
        <x:v>1</x:v>
      </x:c>
      <x:c r="I936" t="str">
        <x:v>Aprobado</x:v>
      </x:c>
      <x:c r="J936" t="n">
        <x:v>29900</x:v>
      </x:c>
      <x:c r="K936" t="str">
        <x:v>PSE</x:v>
      </x:c>
      <x:c r="L936" t="str">
        <x:v>Sin error</x:v>
      </x:c>
    </x:row>
    <x:row r="937">
      <x:c r="A937" t="str">
        <x:v>TXN-0000936</x:v>
      </x:c>
      <x:c r="B937" t="str">
        <x:v>2026-03</x:v>
      </x:c>
      <x:c r="C937" t="n">
        <x:v>46089</x:v>
      </x:c>
      <x:c r="D937" t="str">
        <x:v>USR-00389</x:v>
      </x:c>
      <x:c r="E937" t="str">
        <x:v>SUS-000641</x:v>
      </x:c>
      <x:c r="F937" t="str">
        <x:v>Plus mensual</x:v>
      </x:c>
      <x:c r="G937" t="str">
        <x:v>Mensual</x:v>
      </x:c>
      <x:c r="H937" t="n">
        <x:v>1</x:v>
      </x:c>
      <x:c r="I937" t="str">
        <x:v>Aprobado</x:v>
      </x:c>
      <x:c r="J937" t="n">
        <x:v>29900</x:v>
      </x:c>
      <x:c r="K937" t="str">
        <x:v>PSE</x:v>
      </x:c>
      <x:c r="L937" t="str">
        <x:v>Sin error</x:v>
      </x:c>
    </x:row>
    <x:row r="938">
      <x:c r="A938" t="str">
        <x:v>TXN-0000937</x:v>
      </x:c>
      <x:c r="B938" t="str">
        <x:v>2026-03</x:v>
      </x:c>
      <x:c r="C938" t="n">
        <x:v>46091</x:v>
      </x:c>
      <x:c r="D938" t="str">
        <x:v>USR-00391</x:v>
      </x:c>
      <x:c r="E938" t="str">
        <x:v>SUS-000506</x:v>
      </x:c>
      <x:c r="F938" t="str">
        <x:v>Plus mensual</x:v>
      </x:c>
      <x:c r="G938" t="str">
        <x:v>Mensual</x:v>
      </x:c>
      <x:c r="H938" t="n">
        <x:v>1</x:v>
      </x:c>
      <x:c r="I938" t="str">
        <x:v>Aprobado</x:v>
      </x:c>
      <x:c r="J938" t="n">
        <x:v>29900</x:v>
      </x:c>
      <x:c r="K938" t="str">
        <x:v>Tarjeta crédito</x:v>
      </x:c>
      <x:c r="L938" t="str">
        <x:v>Sin error</x:v>
      </x:c>
    </x:row>
    <x:row r="939">
      <x:c r="A939" t="str">
        <x:v>TXN-0000938</x:v>
      </x:c>
      <x:c r="B939" t="str">
        <x:v>2026-03</x:v>
      </x:c>
      <x:c r="C939" t="n">
        <x:v>46093</x:v>
      </x:c>
      <x:c r="D939" t="str">
        <x:v>USR-00395</x:v>
      </x:c>
      <x:c r="E939" t="str">
        <x:v>SUS-000642</x:v>
      </x:c>
      <x:c r="F939" t="str">
        <x:v>Plus mensual</x:v>
      </x:c>
      <x:c r="G939" t="str">
        <x:v>Mensual</x:v>
      </x:c>
      <x:c r="H939" t="n">
        <x:v>1</x:v>
      </x:c>
      <x:c r="I939" t="str">
        <x:v>Aprobado</x:v>
      </x:c>
      <x:c r="J939" t="n">
        <x:v>29900</x:v>
      </x:c>
      <x:c r="K939" t="str">
        <x:v>Tarjeta crédito</x:v>
      </x:c>
      <x:c r="L939" t="str">
        <x:v>Sin error</x:v>
      </x:c>
    </x:row>
    <x:row r="940">
      <x:c r="A940" t="str">
        <x:v>TXN-0000939</x:v>
      </x:c>
      <x:c r="B940" t="str">
        <x:v>2026-03</x:v>
      </x:c>
      <x:c r="C940" t="n">
        <x:v>46093</x:v>
      </x:c>
      <x:c r="D940" t="str">
        <x:v>USR-00396</x:v>
      </x:c>
      <x:c r="E940" t="str">
        <x:v>SUS-000511</x:v>
      </x:c>
      <x:c r="F940" t="str">
        <x:v>Plus mensual</x:v>
      </x:c>
      <x:c r="G940" t="str">
        <x:v>Mensual</x:v>
      </x:c>
      <x:c r="H940" t="n">
        <x:v>1</x:v>
      </x:c>
      <x:c r="I940" t="str">
        <x:v>Aprobado</x:v>
      </x:c>
      <x:c r="J940" t="n">
        <x:v>29900</x:v>
      </x:c>
      <x:c r="K940" t="str">
        <x:v>PSE</x:v>
      </x:c>
      <x:c r="L940" t="str">
        <x:v>Sin error</x:v>
      </x:c>
    </x:row>
    <x:row r="941">
      <x:c r="A941" t="str">
        <x:v>TXN-0000940</x:v>
      </x:c>
      <x:c r="B941" t="str">
        <x:v>2026-03</x:v>
      </x:c>
      <x:c r="C941" t="n">
        <x:v>46088</x:v>
      </x:c>
      <x:c r="D941" t="str">
        <x:v>USR-00397</x:v>
      </x:c>
      <x:c r="E941" t="str">
        <x:v>SUS-000860</x:v>
      </x:c>
      <x:c r="F941" t="str">
        <x:v>Plus anual</x:v>
      </x:c>
      <x:c r="G941" t="str">
        <x:v>Anual</x:v>
      </x:c>
      <x:c r="H941" t="n">
        <x:v>1</x:v>
      </x:c>
      <x:c r="I941" t="str">
        <x:v>Aprobado</x:v>
      </x:c>
      <x:c r="J941" t="n">
        <x:v>299000</x:v>
      </x:c>
      <x:c r="K941" t="str">
        <x:v>Tarjeta crédito</x:v>
      </x:c>
      <x:c r="L941" t="str">
        <x:v>Sin error</x:v>
      </x:c>
    </x:row>
    <x:row r="942">
      <x:c r="A942" t="str">
        <x:v>TXN-0000941</x:v>
      </x:c>
      <x:c r="B942" t="str">
        <x:v>2026-03</x:v>
      </x:c>
      <x:c r="C942" t="n">
        <x:v>46086</x:v>
      </x:c>
      <x:c r="D942" t="str">
        <x:v>USR-00404</x:v>
      </x:c>
      <x:c r="E942" t="str">
        <x:v>SUS-000861</x:v>
      </x:c>
      <x:c r="F942" t="str">
        <x:v>Plus mensual</x:v>
      </x:c>
      <x:c r="G942" t="str">
        <x:v>Mensual</x:v>
      </x:c>
      <x:c r="H942" t="n">
        <x:v>1</x:v>
      </x:c>
      <x:c r="I942" t="str">
        <x:v>Aprobado</x:v>
      </x:c>
      <x:c r="J942" t="n">
        <x:v>29900</x:v>
      </x:c>
      <x:c r="K942" t="str">
        <x:v>Tarjeta crédito</x:v>
      </x:c>
      <x:c r="L942" t="str">
        <x:v>Sin error</x:v>
      </x:c>
    </x:row>
    <x:row r="943">
      <x:c r="A943" t="str">
        <x:v>TXN-0000942</x:v>
      </x:c>
      <x:c r="B943" t="str">
        <x:v>2026-03</x:v>
      </x:c>
      <x:c r="C943" t="n">
        <x:v>46091</x:v>
      </x:c>
      <x:c r="D943" t="str">
        <x:v>USR-00406</x:v>
      </x:c>
      <x:c r="E943" t="str">
        <x:v>SUS-000548</x:v>
      </x:c>
      <x:c r="F943" t="str">
        <x:v>Plus mensual</x:v>
      </x:c>
      <x:c r="G943" t="str">
        <x:v>Mensual</x:v>
      </x:c>
      <x:c r="H943" t="n">
        <x:v>1</x:v>
      </x:c>
      <x:c r="I943" t="str">
        <x:v>Aprobado</x:v>
      </x:c>
      <x:c r="J943" t="n">
        <x:v>29900</x:v>
      </x:c>
      <x:c r="K943" t="str">
        <x:v>Tarjeta crédito</x:v>
      </x:c>
      <x:c r="L943" t="str">
        <x:v>Sin error</x:v>
      </x:c>
    </x:row>
    <x:row r="944">
      <x:c r="A944" t="str">
        <x:v>TXN-0000943</x:v>
      </x:c>
      <x:c r="B944" t="str">
        <x:v>2026-03</x:v>
      </x:c>
      <x:c r="C944" t="n">
        <x:v>46093</x:v>
      </x:c>
      <x:c r="D944" t="str">
        <x:v>USR-00413</x:v>
      </x:c>
      <x:c r="E944" t="str">
        <x:v>SUS-000862</x:v>
      </x:c>
      <x:c r="F944" t="str">
        <x:v>Plus mensual</x:v>
      </x:c>
      <x:c r="G944" t="str">
        <x:v>Mensual</x:v>
      </x:c>
      <x:c r="H944" t="n">
        <x:v>1</x:v>
      </x:c>
      <x:c r="I944" t="str">
        <x:v>Aprobado</x:v>
      </x:c>
      <x:c r="J944" t="n">
        <x:v>29900</x:v>
      </x:c>
      <x:c r="K944" t="str">
        <x:v>PSE</x:v>
      </x:c>
      <x:c r="L944" t="str">
        <x:v>Sin error</x:v>
      </x:c>
    </x:row>
    <x:row r="945">
      <x:c r="A945" t="str">
        <x:v>TXN-0000944</x:v>
      </x:c>
      <x:c r="B945" t="str">
        <x:v>2026-03</x:v>
      </x:c>
      <x:c r="C945" t="n">
        <x:v>46088</x:v>
      </x:c>
      <x:c r="D945" t="str">
        <x:v>USR-00414</x:v>
      </x:c>
      <x:c r="E945" t="str">
        <x:v>SUS-000556</x:v>
      </x:c>
      <x:c r="F945" t="str">
        <x:v>Plus mensual</x:v>
      </x:c>
      <x:c r="G945" t="str">
        <x:v>Mensual</x:v>
      </x:c>
      <x:c r="H945" t="n">
        <x:v>1</x:v>
      </x:c>
      <x:c r="I945" t="str">
        <x:v>Aprobado</x:v>
      </x:c>
      <x:c r="J945" t="n">
        <x:v>29900</x:v>
      </x:c>
      <x:c r="K945" t="str">
        <x:v>Tarjeta crédito</x:v>
      </x:c>
      <x:c r="L945" t="str">
        <x:v>Sin error</x:v>
      </x:c>
    </x:row>
    <x:row r="946">
      <x:c r="A946" t="str">
        <x:v>TXN-0000945</x:v>
      </x:c>
      <x:c r="B946" t="str">
        <x:v>2026-03</x:v>
      </x:c>
      <x:c r="C946" t="n">
        <x:v>46087</x:v>
      </x:c>
      <x:c r="D946" t="str">
        <x:v>USR-00416</x:v>
      </x:c>
      <x:c r="E946" t="str">
        <x:v>SUS-000863</x:v>
      </x:c>
      <x:c r="F946" t="str">
        <x:v>Plus mensual</x:v>
      </x:c>
      <x:c r="G946" t="str">
        <x:v>Mensual</x:v>
      </x:c>
      <x:c r="H946" t="n">
        <x:v>1</x:v>
      </x:c>
      <x:c r="I946" t="str">
        <x:v>Aprobado</x:v>
      </x:c>
      <x:c r="J946" t="n">
        <x:v>29900</x:v>
      </x:c>
      <x:c r="K946" t="str">
        <x:v>Tarjeta crédito</x:v>
      </x:c>
      <x:c r="L946" t="str">
        <x:v>Sin error</x:v>
      </x:c>
    </x:row>
    <x:row r="947">
      <x:c r="A947" t="str">
        <x:v>TXN-0000946</x:v>
      </x:c>
      <x:c r="B947" t="str">
        <x:v>2026-03</x:v>
      </x:c>
      <x:c r="C947" t="n">
        <x:v>46092</x:v>
      </x:c>
      <x:c r="D947" t="str">
        <x:v>USR-00417</x:v>
      </x:c>
      <x:c r="E947" t="str">
        <x:v>SUS-000643</x:v>
      </x:c>
      <x:c r="F947" t="str">
        <x:v>Plus mensual</x:v>
      </x:c>
      <x:c r="G947" t="str">
        <x:v>Mensual</x:v>
      </x:c>
      <x:c r="H947" t="n">
        <x:v>1</x:v>
      </x:c>
      <x:c r="I947" t="str">
        <x:v>Aprobado</x:v>
      </x:c>
      <x:c r="J947" t="n">
        <x:v>29900</x:v>
      </x:c>
      <x:c r="K947" t="str">
        <x:v>Tarjeta crédito</x:v>
      </x:c>
      <x:c r="L947" t="str">
        <x:v>Sin error</x:v>
      </x:c>
    </x:row>
    <x:row r="948">
      <x:c r="A948" t="str">
        <x:v>TXN-0000947</x:v>
      </x:c>
      <x:c r="B948" t="str">
        <x:v>2026-03</x:v>
      </x:c>
      <x:c r="C948" t="n">
        <x:v>46093</x:v>
      </x:c>
      <x:c r="D948" t="str">
        <x:v>USR-00420</x:v>
      </x:c>
      <x:c r="E948" t="str">
        <x:v>SUS-000562</x:v>
      </x:c>
      <x:c r="F948" t="str">
        <x:v>Plus mensual</x:v>
      </x:c>
      <x:c r="G948" t="str">
        <x:v>Mensual</x:v>
      </x:c>
      <x:c r="H948" t="n">
        <x:v>1</x:v>
      </x:c>
      <x:c r="I948" t="str">
        <x:v>Aprobado</x:v>
      </x:c>
      <x:c r="J948" t="n">
        <x:v>29900</x:v>
      </x:c>
      <x:c r="K948" t="str">
        <x:v>PSE</x:v>
      </x:c>
      <x:c r="L948" t="str">
        <x:v>Sin error</x:v>
      </x:c>
    </x:row>
    <x:row r="949">
      <x:c r="A949" t="str">
        <x:v>TXN-0000948</x:v>
      </x:c>
      <x:c r="B949" t="str">
        <x:v>2026-03</x:v>
      </x:c>
      <x:c r="C949" t="n">
        <x:v>46093</x:v>
      </x:c>
      <x:c r="D949" t="str">
        <x:v>USR-00421</x:v>
      </x:c>
      <x:c r="E949" t="str">
        <x:v>SUS-000864</x:v>
      </x:c>
      <x:c r="F949" t="str">
        <x:v>Plus mensual</x:v>
      </x:c>
      <x:c r="G949" t="str">
        <x:v>Mensual</x:v>
      </x:c>
      <x:c r="H949" t="n">
        <x:v>1</x:v>
      </x:c>
      <x:c r="I949" t="str">
        <x:v>Aprobado</x:v>
      </x:c>
      <x:c r="J949" t="n">
        <x:v>29900</x:v>
      </x:c>
      <x:c r="K949" t="str">
        <x:v>PSE</x:v>
      </x:c>
      <x:c r="L949" t="str">
        <x:v>Sin error</x:v>
      </x:c>
    </x:row>
    <x:row r="950">
      <x:c r="A950" t="str">
        <x:v>TXN-0000949</x:v>
      </x:c>
      <x:c r="B950" t="str">
        <x:v>2026-03</x:v>
      </x:c>
      <x:c r="C950" t="n">
        <x:v>46090</x:v>
      </x:c>
      <x:c r="D950" t="str">
        <x:v>USR-00422</x:v>
      </x:c>
      <x:c r="E950" t="str">
        <x:v>SUS-000564</x:v>
      </x:c>
      <x:c r="F950" t="str">
        <x:v>Plus mensual</x:v>
      </x:c>
      <x:c r="G950" t="str">
        <x:v>Mensual</x:v>
      </x:c>
      <x:c r="H950" t="n">
        <x:v>1</x:v>
      </x:c>
      <x:c r="I950" t="str">
        <x:v>Aprobado</x:v>
      </x:c>
      <x:c r="J950" t="n">
        <x:v>29900</x:v>
      </x:c>
      <x:c r="K950" t="str">
        <x:v>Tarjeta crédito</x:v>
      </x:c>
      <x:c r="L950" t="str">
        <x:v>Sin error</x:v>
      </x:c>
    </x:row>
    <x:row r="951">
      <x:c r="A951" t="str">
        <x:v>TXN-0000950</x:v>
      </x:c>
      <x:c r="B951" t="str">
        <x:v>2026-03</x:v>
      </x:c>
      <x:c r="C951" t="n">
        <x:v>46091</x:v>
      </x:c>
      <x:c r="D951" t="str">
        <x:v>USR-00423</x:v>
      </x:c>
      <x:c r="E951" t="str">
        <x:v>SUS-000565</x:v>
      </x:c>
      <x:c r="F951" t="str">
        <x:v>Plus mensual</x:v>
      </x:c>
      <x:c r="G951" t="str">
        <x:v>Mensual</x:v>
      </x:c>
      <x:c r="H951" t="n">
        <x:v>1</x:v>
      </x:c>
      <x:c r="I951" t="str">
        <x:v>Aprobado</x:v>
      </x:c>
      <x:c r="J951" t="n">
        <x:v>29900</x:v>
      </x:c>
      <x:c r="K951" t="str">
        <x:v>PSE</x:v>
      </x:c>
      <x:c r="L951" t="str">
        <x:v>Sin error</x:v>
      </x:c>
    </x:row>
    <x:row r="952">
      <x:c r="A952" t="str">
        <x:v>TXN-0000951</x:v>
      </x:c>
      <x:c r="B952" t="str">
        <x:v>2026-03</x:v>
      </x:c>
      <x:c r="C952" t="n">
        <x:v>46090</x:v>
      </x:c>
      <x:c r="D952" t="str">
        <x:v>USR-00426</x:v>
      </x:c>
      <x:c r="E952" t="str">
        <x:v>SUS-000865</x:v>
      </x:c>
      <x:c r="F952" t="str">
        <x:v>Plus anual</x:v>
      </x:c>
      <x:c r="G952" t="str">
        <x:v>Anual</x:v>
      </x:c>
      <x:c r="H952" t="n">
        <x:v>1</x:v>
      </x:c>
      <x:c r="I952" t="str">
        <x:v>Aprobado</x:v>
      </x:c>
      <x:c r="J952" t="n">
        <x:v>299000</x:v>
      </x:c>
      <x:c r="K952" t="str">
        <x:v>Tarjeta crédito</x:v>
      </x:c>
      <x:c r="L952" t="str">
        <x:v>Sin error</x:v>
      </x:c>
    </x:row>
    <x:row r="953">
      <x:c r="A953" t="str">
        <x:v>TXN-0000952</x:v>
      </x:c>
      <x:c r="B953" t="str">
        <x:v>2026-03</x:v>
      </x:c>
      <x:c r="C953" t="n">
        <x:v>46092</x:v>
      </x:c>
      <x:c r="D953" t="str">
        <x:v>USR-00435</x:v>
      </x:c>
      <x:c r="E953" t="str">
        <x:v>SUS-000577</x:v>
      </x:c>
      <x:c r="F953" t="str">
        <x:v>Plus mensual</x:v>
      </x:c>
      <x:c r="G953" t="str">
        <x:v>Mensual</x:v>
      </x:c>
      <x:c r="H953" t="n">
        <x:v>1</x:v>
      </x:c>
      <x:c r="I953" t="str">
        <x:v>Rechazado</x:v>
      </x:c>
      <x:c r="J953" t="n">
        <x:v>29900</x:v>
      </x:c>
      <x:c r="K953" t="str">
        <x:v>PSE</x:v>
      </x:c>
      <x:c r="L953" t="str">
        <x:v>Error temporal</x:v>
      </x:c>
    </x:row>
    <x:row r="954">
      <x:c r="A954" t="str">
        <x:v>TXN-0000953</x:v>
      </x:c>
      <x:c r="B954" t="str">
        <x:v>2026-03</x:v>
      </x:c>
      <x:c r="C954" t="n">
        <x:v>46089</x:v>
      </x:c>
      <x:c r="D954" t="str">
        <x:v>USR-00435</x:v>
      </x:c>
      <x:c r="E954" t="str">
        <x:v>SUS-000577</x:v>
      </x:c>
      <x:c r="F954" t="str">
        <x:v>Plus mensual</x:v>
      </x:c>
      <x:c r="G954" t="str">
        <x:v>Mensual</x:v>
      </x:c>
      <x:c r="H954" t="n">
        <x:v>2</x:v>
      </x:c>
      <x:c r="I954" t="str">
        <x:v>Aprobado</x:v>
      </x:c>
      <x:c r="J954" t="n">
        <x:v>29900</x:v>
      </x:c>
      <x:c r="K954" t="str">
        <x:v>PSE</x:v>
      </x:c>
      <x:c r="L954" t="str">
        <x:v>Sin error</x:v>
      </x:c>
    </x:row>
    <x:row r="955">
      <x:c r="A955" t="str">
        <x:v>TXN-0000954</x:v>
      </x:c>
      <x:c r="B955" t="str">
        <x:v>2026-03</x:v>
      </x:c>
      <x:c r="C955" t="n">
        <x:v>46090</x:v>
      </x:c>
      <x:c r="D955" t="str">
        <x:v>USR-00446</x:v>
      </x:c>
      <x:c r="E955" t="str">
        <x:v>SUS-000588</x:v>
      </x:c>
      <x:c r="F955" t="str">
        <x:v>Plus mensual</x:v>
      </x:c>
      <x:c r="G955" t="str">
        <x:v>Mensual</x:v>
      </x:c>
      <x:c r="H955" t="n">
        <x:v>1</x:v>
      </x:c>
      <x:c r="I955" t="str">
        <x:v>Aprobado</x:v>
      </x:c>
      <x:c r="J955" t="n">
        <x:v>29900</x:v>
      </x:c>
      <x:c r="K955" t="str">
        <x:v>PSE</x:v>
      </x:c>
      <x:c r="L955" t="str">
        <x:v>Sin error</x:v>
      </x:c>
    </x:row>
    <x:row r="956">
      <x:c r="A956" t="str">
        <x:v>TXN-0000955</x:v>
      </x:c>
      <x:c r="B956" t="str">
        <x:v>2026-03</x:v>
      </x:c>
      <x:c r="C956" t="n">
        <x:v>46089</x:v>
      </x:c>
      <x:c r="D956" t="str">
        <x:v>USR-00448</x:v>
      </x:c>
      <x:c r="E956" t="str">
        <x:v>SUS-000645</x:v>
      </x:c>
      <x:c r="F956" t="str">
        <x:v>Plus mensual</x:v>
      </x:c>
      <x:c r="G956" t="str">
        <x:v>Mensual</x:v>
      </x:c>
      <x:c r="H956" t="n">
        <x:v>1</x:v>
      </x:c>
      <x:c r="I956" t="str">
        <x:v>Aprobado</x:v>
      </x:c>
      <x:c r="J956" t="n">
        <x:v>29900</x:v>
      </x:c>
      <x:c r="K956" t="str">
        <x:v>PSE</x:v>
      </x:c>
      <x:c r="L956" t="str">
        <x:v>Sin error</x:v>
      </x:c>
    </x:row>
    <x:row r="957">
      <x:c r="A957" t="str">
        <x:v>TXN-0000956</x:v>
      </x:c>
      <x:c r="B957" t="str">
        <x:v>2026-03</x:v>
      </x:c>
      <x:c r="C957" t="n">
        <x:v>46086</x:v>
      </x:c>
      <x:c r="D957" t="str">
        <x:v>USR-00450</x:v>
      </x:c>
      <x:c r="E957" t="str">
        <x:v>SUS-000867</x:v>
      </x:c>
      <x:c r="F957" t="str">
        <x:v>Plus mensual</x:v>
      </x:c>
      <x:c r="G957" t="str">
        <x:v>Mensual</x:v>
      </x:c>
      <x:c r="H957" t="n">
        <x:v>1</x:v>
      </x:c>
      <x:c r="I957" t="str">
        <x:v>Aprobado</x:v>
      </x:c>
      <x:c r="J957" t="n">
        <x:v>29900</x:v>
      </x:c>
      <x:c r="K957" t="str">
        <x:v>Tarjeta débito</x:v>
      </x:c>
      <x:c r="L957" t="str">
        <x:v>Sin error</x:v>
      </x:c>
    </x:row>
    <x:row r="958">
      <x:c r="A958" t="str">
        <x:v>TXN-0000957</x:v>
      </x:c>
      <x:c r="B958" t="str">
        <x:v>2026-03</x:v>
      </x:c>
      <x:c r="C958" t="n">
        <x:v>46087</x:v>
      </x:c>
      <x:c r="D958" t="str">
        <x:v>USR-00452</x:v>
      </x:c>
      <x:c r="E958" t="str">
        <x:v>SUS-000868</x:v>
      </x:c>
      <x:c r="F958" t="str">
        <x:v>Plus mensual</x:v>
      </x:c>
      <x:c r="G958" t="str">
        <x:v>Mensual</x:v>
      </x:c>
      <x:c r="H958" t="n">
        <x:v>1</x:v>
      </x:c>
      <x:c r="I958" t="str">
        <x:v>Aprobado</x:v>
      </x:c>
      <x:c r="J958" t="n">
        <x:v>29900</x:v>
      </x:c>
      <x:c r="K958" t="str">
        <x:v>Tarjeta crédito</x:v>
      </x:c>
      <x:c r="L958" t="str">
        <x:v>Sin error</x:v>
      </x:c>
    </x:row>
    <x:row r="959">
      <x:c r="A959" t="str">
        <x:v>TXN-0000958</x:v>
      </x:c>
      <x:c r="B959" t="str">
        <x:v>2026-03</x:v>
      </x:c>
      <x:c r="C959" t="n">
        <x:v>46088</x:v>
      </x:c>
      <x:c r="D959" t="str">
        <x:v>USR-00455</x:v>
      </x:c>
      <x:c r="E959" t="str">
        <x:v>SIN_SUSCRIPCION</x:v>
      </x:c>
      <x:c r="F959" t="str">
        <x:v>Plus mensual</x:v>
      </x:c>
      <x:c r="G959" t="str">
        <x:v>Mensual</x:v>
      </x:c>
      <x:c r="H959" t="n">
        <x:v>1</x:v>
      </x:c>
      <x:c r="I959" t="str">
        <x:v>Rechazado</x:v>
      </x:c>
      <x:c r="J959" t="n">
        <x:v>29900</x:v>
      </x:c>
      <x:c r="K959" t="str">
        <x:v>Tarjeta débito</x:v>
      </x:c>
      <x:c r="L959" t="str">
        <x:v>Error temporal</x:v>
      </x:c>
    </x:row>
    <x:row r="960">
      <x:c r="A960" t="str">
        <x:v>TXN-0000959</x:v>
      </x:c>
      <x:c r="B960" t="str">
        <x:v>2026-03</x:v>
      </x:c>
      <x:c r="C960" t="n">
        <x:v>46091</x:v>
      </x:c>
      <x:c r="D960" t="str">
        <x:v>USR-00455</x:v>
      </x:c>
      <x:c r="E960" t="str">
        <x:v>SIN_SUSCRIPCION</x:v>
      </x:c>
      <x:c r="F960" t="str">
        <x:v>Plus mensual</x:v>
      </x:c>
      <x:c r="G960" t="str">
        <x:v>Mensual</x:v>
      </x:c>
      <x:c r="H960" t="n">
        <x:v>2</x:v>
      </x:c>
      <x:c r="I960" t="str">
        <x:v>Rechazado</x:v>
      </x:c>
      <x:c r="J960" t="n">
        <x:v>29900</x:v>
      </x:c>
      <x:c r="K960" t="str">
        <x:v>Tarjeta crédito</x:v>
      </x:c>
      <x:c r="L960" t="str">
        <x:v>Declinado por entidad</x:v>
      </x:c>
    </x:row>
    <x:row r="961">
      <x:c r="A961" t="str">
        <x:v>TXN-0000960</x:v>
      </x:c>
      <x:c r="B961" t="str">
        <x:v>2026-03</x:v>
      </x:c>
      <x:c r="C961" t="n">
        <x:v>46092</x:v>
      </x:c>
      <x:c r="D961" t="str">
        <x:v>USR-00456</x:v>
      </x:c>
      <x:c r="E961" t="str">
        <x:v>SUS-000598</x:v>
      </x:c>
      <x:c r="F961" t="str">
        <x:v>Plus mensual</x:v>
      </x:c>
      <x:c r="G961" t="str">
        <x:v>Mensual</x:v>
      </x:c>
      <x:c r="H961" t="n">
        <x:v>1</x:v>
      </x:c>
      <x:c r="I961" t="str">
        <x:v>Aprobado</x:v>
      </x:c>
      <x:c r="J961" t="n">
        <x:v>29900</x:v>
      </x:c>
      <x:c r="K961" t="str">
        <x:v>PSE</x:v>
      </x:c>
      <x:c r="L961" t="str">
        <x:v>Sin error</x:v>
      </x:c>
    </x:row>
    <x:row r="962">
      <x:c r="A962" t="str">
        <x:v>TXN-0000961</x:v>
      </x:c>
      <x:c r="B962" t="str">
        <x:v>2026-03</x:v>
      </x:c>
      <x:c r="C962" t="n">
        <x:v>46087</x:v>
      </x:c>
      <x:c r="D962" t="str">
        <x:v>USR-00457</x:v>
      </x:c>
      <x:c r="E962" t="str">
        <x:v>SIN_SUSCRIPCION</x:v>
      </x:c>
      <x:c r="F962" t="str">
        <x:v>Plus mensual</x:v>
      </x:c>
      <x:c r="G962" t="str">
        <x:v>Mensual</x:v>
      </x:c>
      <x:c r="H962" t="n">
        <x:v>1</x:v>
      </x:c>
      <x:c r="I962" t="str">
        <x:v>Rechazado</x:v>
      </x:c>
      <x:c r="J962" t="n">
        <x:v>29900</x:v>
      </x:c>
      <x:c r="K962" t="str">
        <x:v>Tarjeta crédito</x:v>
      </x:c>
      <x:c r="L962" t="str">
        <x:v>Error temporal</x:v>
      </x:c>
    </x:row>
    <x:row r="963">
      <x:c r="A963" t="str">
        <x:v>TXN-0000962</x:v>
      </x:c>
      <x:c r="B963" t="str">
        <x:v>2026-03</x:v>
      </x:c>
      <x:c r="C963" t="n">
        <x:v>46091</x:v>
      </x:c>
      <x:c r="D963" t="str">
        <x:v>USR-00457</x:v>
      </x:c>
      <x:c r="E963" t="str">
        <x:v>SIN_SUSCRIPCION</x:v>
      </x:c>
      <x:c r="F963" t="str">
        <x:v>Plus mensual</x:v>
      </x:c>
      <x:c r="G963" t="str">
        <x:v>Mensual</x:v>
      </x:c>
      <x:c r="H963" t="n">
        <x:v>2</x:v>
      </x:c>
      <x:c r="I963" t="str">
        <x:v>Rechazado</x:v>
      </x:c>
      <x:c r="J963" t="n">
        <x:v>29900</x:v>
      </x:c>
      <x:c r="K963" t="str">
        <x:v>PSE</x:v>
      </x:c>
      <x:c r="L963" t="str">
        <x:v>Declinado por entidad</x:v>
      </x:c>
    </x:row>
    <x:row r="964">
      <x:c r="A964" t="str">
        <x:v>TXN-0000963</x:v>
      </x:c>
      <x:c r="B964" t="str">
        <x:v>2026-03</x:v>
      </x:c>
      <x:c r="C964" t="n">
        <x:v>46088</x:v>
      </x:c>
      <x:c r="D964" t="str">
        <x:v>USR-00458</x:v>
      </x:c>
      <x:c r="E964" t="str">
        <x:v>SUS-000600</x:v>
      </x:c>
      <x:c r="F964" t="str">
        <x:v>Plus mensual</x:v>
      </x:c>
      <x:c r="G964" t="str">
        <x:v>Mensual</x:v>
      </x:c>
      <x:c r="H964" t="n">
        <x:v>1</x:v>
      </x:c>
      <x:c r="I964" t="str">
        <x:v>Aprobado</x:v>
      </x:c>
      <x:c r="J964" t="n">
        <x:v>29900</x:v>
      </x:c>
      <x:c r="K964" t="str">
        <x:v>Tarjeta débito</x:v>
      </x:c>
      <x:c r="L964" t="str">
        <x:v>Sin error</x:v>
      </x:c>
    </x:row>
    <x:row r="965">
      <x:c r="A965" t="str">
        <x:v>TXN-0000964</x:v>
      </x:c>
      <x:c r="B965" t="str">
        <x:v>2026-03</x:v>
      </x:c>
      <x:c r="C965" t="n">
        <x:v>46087</x:v>
      </x:c>
      <x:c r="D965" t="str">
        <x:v>USR-00465</x:v>
      </x:c>
      <x:c r="E965" t="str">
        <x:v>SUS-000607</x:v>
      </x:c>
      <x:c r="F965" t="str">
        <x:v>Plus mensual</x:v>
      </x:c>
      <x:c r="G965" t="str">
        <x:v>Mensual</x:v>
      </x:c>
      <x:c r="H965" t="n">
        <x:v>1</x:v>
      </x:c>
      <x:c r="I965" t="str">
        <x:v>Rechazado</x:v>
      </x:c>
      <x:c r="J965" t="n">
        <x:v>29900</x:v>
      </x:c>
      <x:c r="K965" t="str">
        <x:v>Tarjeta crédito</x:v>
      </x:c>
      <x:c r="L965" t="str">
        <x:v>Error temporal</x:v>
      </x:c>
    </x:row>
    <x:row r="966">
      <x:c r="A966" t="str">
        <x:v>TXN-0000965</x:v>
      </x:c>
      <x:c r="B966" t="str">
        <x:v>2026-03</x:v>
      </x:c>
      <x:c r="C966" t="n">
        <x:v>46092</x:v>
      </x:c>
      <x:c r="D966" t="str">
        <x:v>USR-00465</x:v>
      </x:c>
      <x:c r="E966" t="str">
        <x:v>SUS-000607</x:v>
      </x:c>
      <x:c r="F966" t="str">
        <x:v>Plus mensual</x:v>
      </x:c>
      <x:c r="G966" t="str">
        <x:v>Mensual</x:v>
      </x:c>
      <x:c r="H966" t="n">
        <x:v>2</x:v>
      </x:c>
      <x:c r="I966" t="str">
        <x:v>Aprobado</x:v>
      </x:c>
      <x:c r="J966" t="n">
        <x:v>29900</x:v>
      </x:c>
      <x:c r="K966" t="str">
        <x:v>Tarjeta débito</x:v>
      </x:c>
      <x:c r="L966" t="str">
        <x:v>Sin error</x:v>
      </x:c>
    </x:row>
    <x:row r="967">
      <x:c r="A967" t="str">
        <x:v>TXN-0000966</x:v>
      </x:c>
      <x:c r="B967" t="str">
        <x:v>2026-03</x:v>
      </x:c>
      <x:c r="C967" t="n">
        <x:v>46093</x:v>
      </x:c>
      <x:c r="D967" t="str">
        <x:v>USR-00467</x:v>
      </x:c>
      <x:c r="E967" t="str">
        <x:v>SUS-000763</x:v>
      </x:c>
      <x:c r="F967" t="str">
        <x:v>Plus mensual</x:v>
      </x:c>
      <x:c r="G967" t="str">
        <x:v>Mensual</x:v>
      </x:c>
      <x:c r="H967" t="n">
        <x:v>1</x:v>
      </x:c>
      <x:c r="I967" t="str">
        <x:v>Aprobado</x:v>
      </x:c>
      <x:c r="J967" t="n">
        <x:v>29900</x:v>
      </x:c>
      <x:c r="K967" t="str">
        <x:v>Tarjeta débito</x:v>
      </x:c>
      <x:c r="L967" t="str">
        <x:v>Sin error</x:v>
      </x:c>
    </x:row>
    <x:row r="968">
      <x:c r="A968" t="str">
        <x:v>TXN-0000967</x:v>
      </x:c>
      <x:c r="B968" t="str">
        <x:v>2026-03</x:v>
      </x:c>
      <x:c r="C968" t="n">
        <x:v>46091</x:v>
      </x:c>
      <x:c r="D968" t="str">
        <x:v>USR-00469</x:v>
      </x:c>
      <x:c r="E968" t="str">
        <x:v>SUS-000648</x:v>
      </x:c>
      <x:c r="F968" t="str">
        <x:v>Plus mensual</x:v>
      </x:c>
      <x:c r="G968" t="str">
        <x:v>Mensual</x:v>
      </x:c>
      <x:c r="H968" t="n">
        <x:v>1</x:v>
      </x:c>
      <x:c r="I968" t="str">
        <x:v>Aprobado</x:v>
      </x:c>
      <x:c r="J968" t="n">
        <x:v>29900</x:v>
      </x:c>
      <x:c r="K968" t="str">
        <x:v>Tarjeta débito</x:v>
      </x:c>
      <x:c r="L968" t="str">
        <x:v>Sin error</x:v>
      </x:c>
    </x:row>
    <x:row r="969">
      <x:c r="A969" t="str">
        <x:v>TXN-0000968</x:v>
      </x:c>
      <x:c r="B969" t="str">
        <x:v>2026-03</x:v>
      </x:c>
      <x:c r="C969" t="n">
        <x:v>46087</x:v>
      </x:c>
      <x:c r="D969" t="str">
        <x:v>USR-00473</x:v>
      </x:c>
      <x:c r="E969" t="str">
        <x:v>SUS-000651</x:v>
      </x:c>
      <x:c r="F969" t="str">
        <x:v>Plus mensual</x:v>
      </x:c>
      <x:c r="G969" t="str">
        <x:v>Mensual</x:v>
      </x:c>
      <x:c r="H969" t="n">
        <x:v>1</x:v>
      </x:c>
      <x:c r="I969" t="str">
        <x:v>Aprobado</x:v>
      </x:c>
      <x:c r="J969" t="n">
        <x:v>29900</x:v>
      </x:c>
      <x:c r="K969" t="str">
        <x:v>Tarjeta crédito</x:v>
      </x:c>
      <x:c r="L969" t="str">
        <x:v>Sin error</x:v>
      </x:c>
    </x:row>
    <x:row r="970">
      <x:c r="A970" t="str">
        <x:v>TXN-0000969</x:v>
      </x:c>
      <x:c r="B970" t="str">
        <x:v>2026-03</x:v>
      </x:c>
      <x:c r="C970" t="n">
        <x:v>46091</x:v>
      </x:c>
      <x:c r="D970" t="str">
        <x:v>USR-00484</x:v>
      </x:c>
      <x:c r="E970" t="str">
        <x:v>SUS-000662</x:v>
      </x:c>
      <x:c r="F970" t="str">
        <x:v>Plus mensual</x:v>
      </x:c>
      <x:c r="G970" t="str">
        <x:v>Mensual</x:v>
      </x:c>
      <x:c r="H970" t="n">
        <x:v>1</x:v>
      </x:c>
      <x:c r="I970" t="str">
        <x:v>Aprobado</x:v>
      </x:c>
      <x:c r="J970" t="n">
        <x:v>29900</x:v>
      </x:c>
      <x:c r="K970" t="str">
        <x:v>Tarjeta débito</x:v>
      </x:c>
      <x:c r="L970" t="str">
        <x:v>Sin error</x:v>
      </x:c>
    </x:row>
    <x:row r="971">
      <x:c r="A971" t="str">
        <x:v>TXN-0000970</x:v>
      </x:c>
      <x:c r="B971" t="str">
        <x:v>2026-03</x:v>
      </x:c>
      <x:c r="C971" t="n">
        <x:v>46087</x:v>
      </x:c>
      <x:c r="D971" t="str">
        <x:v>USR-00489</x:v>
      </x:c>
      <x:c r="E971" t="str">
        <x:v>SUS-000766</x:v>
      </x:c>
      <x:c r="F971" t="str">
        <x:v>Plus mensual</x:v>
      </x:c>
      <x:c r="G971" t="str">
        <x:v>Mensual</x:v>
      </x:c>
      <x:c r="H971" t="n">
        <x:v>1</x:v>
      </x:c>
      <x:c r="I971" t="str">
        <x:v>Aprobado</x:v>
      </x:c>
      <x:c r="J971" t="n">
        <x:v>29900</x:v>
      </x:c>
      <x:c r="K971" t="str">
        <x:v>PSE</x:v>
      </x:c>
      <x:c r="L971" t="str">
        <x:v>Sin error</x:v>
      </x:c>
    </x:row>
    <x:row r="972">
      <x:c r="A972" t="str">
        <x:v>TXN-0000971</x:v>
      </x:c>
      <x:c r="B972" t="str">
        <x:v>2026-03</x:v>
      </x:c>
      <x:c r="C972" t="n">
        <x:v>46088</x:v>
      </x:c>
      <x:c r="D972" t="str">
        <x:v>USR-00505</x:v>
      </x:c>
      <x:c r="E972" t="str">
        <x:v>SUS-000872</x:v>
      </x:c>
      <x:c r="F972" t="str">
        <x:v>Plus anual</x:v>
      </x:c>
      <x:c r="G972" t="str">
        <x:v>Anual</x:v>
      </x:c>
      <x:c r="H972" t="n">
        <x:v>1</x:v>
      </x:c>
      <x:c r="I972" t="str">
        <x:v>Aprobado</x:v>
      </x:c>
      <x:c r="J972" t="n">
        <x:v>299000</x:v>
      </x:c>
      <x:c r="K972" t="str">
        <x:v>Tarjeta crédito</x:v>
      </x:c>
      <x:c r="L972" t="str">
        <x:v>Sin error</x:v>
      </x:c>
    </x:row>
    <x:row r="973">
      <x:c r="A973" t="str">
        <x:v>TXN-0000972</x:v>
      </x:c>
      <x:c r="B973" t="str">
        <x:v>2026-03</x:v>
      </x:c>
      <x:c r="C973" t="n">
        <x:v>46088</x:v>
      </x:c>
      <x:c r="D973" t="str">
        <x:v>USR-00506</x:v>
      </x:c>
      <x:c r="E973" t="str">
        <x:v>SUS-000873</x:v>
      </x:c>
      <x:c r="F973" t="str">
        <x:v>Plus mensual</x:v>
      </x:c>
      <x:c r="G973" t="str">
        <x:v>Mensual</x:v>
      </x:c>
      <x:c r="H973" t="n">
        <x:v>1</x:v>
      </x:c>
      <x:c r="I973" t="str">
        <x:v>Aprobado</x:v>
      </x:c>
      <x:c r="J973" t="n">
        <x:v>29900</x:v>
      </x:c>
      <x:c r="K973" t="str">
        <x:v>Tarjeta crédito</x:v>
      </x:c>
      <x:c r="L973" t="str">
        <x:v>Sin error</x:v>
      </x:c>
    </x:row>
    <x:row r="974">
      <x:c r="A974" t="str">
        <x:v>TXN-0000973</x:v>
      </x:c>
      <x:c r="B974" t="str">
        <x:v>2026-03</x:v>
      </x:c>
      <x:c r="C974" t="n">
        <x:v>46091</x:v>
      </x:c>
      <x:c r="D974" t="str">
        <x:v>USR-00517</x:v>
      </x:c>
      <x:c r="E974" t="str">
        <x:v>SUS-000767</x:v>
      </x:c>
      <x:c r="F974" t="str">
        <x:v>Plus mensual</x:v>
      </x:c>
      <x:c r="G974" t="str">
        <x:v>Mensual</x:v>
      </x:c>
      <x:c r="H974" t="n">
        <x:v>1</x:v>
      </x:c>
      <x:c r="I974" t="str">
        <x:v>Aprobado</x:v>
      </x:c>
      <x:c r="J974" t="n">
        <x:v>29900</x:v>
      </x:c>
      <x:c r="K974" t="str">
        <x:v>PSE</x:v>
      </x:c>
      <x:c r="L974" t="str">
        <x:v>Sin error</x:v>
      </x:c>
    </x:row>
    <x:row r="975">
      <x:c r="A975" t="str">
        <x:v>TXN-0000974</x:v>
      </x:c>
      <x:c r="B975" t="str">
        <x:v>2026-03</x:v>
      </x:c>
      <x:c r="C975" t="n">
        <x:v>46087</x:v>
      </x:c>
      <x:c r="D975" t="str">
        <x:v>USR-00518</x:v>
      </x:c>
      <x:c r="E975" t="str">
        <x:v>SUS-000696</x:v>
      </x:c>
      <x:c r="F975" t="str">
        <x:v>Plus mensual</x:v>
      </x:c>
      <x:c r="G975" t="str">
        <x:v>Mensual</x:v>
      </x:c>
      <x:c r="H975" t="n">
        <x:v>1</x:v>
      </x:c>
      <x:c r="I975" t="str">
        <x:v>Aprobado</x:v>
      </x:c>
      <x:c r="J975" t="n">
        <x:v>29900</x:v>
      </x:c>
      <x:c r="K975" t="str">
        <x:v>Tarjeta crédito</x:v>
      </x:c>
      <x:c r="L975" t="str">
        <x:v>Sin error</x:v>
      </x:c>
    </x:row>
    <x:row r="976">
      <x:c r="A976" t="str">
        <x:v>TXN-0000975</x:v>
      </x:c>
      <x:c r="B976" t="str">
        <x:v>2026-03</x:v>
      </x:c>
      <x:c r="C976" t="n">
        <x:v>46090</x:v>
      </x:c>
      <x:c r="D976" t="str">
        <x:v>USR-00521</x:v>
      </x:c>
      <x:c r="E976" t="str">
        <x:v>SUS-000874</x:v>
      </x:c>
      <x:c r="F976" t="str">
        <x:v>Plus anual</x:v>
      </x:c>
      <x:c r="G976" t="str">
        <x:v>Anual</x:v>
      </x:c>
      <x:c r="H976" t="n">
        <x:v>1</x:v>
      </x:c>
      <x:c r="I976" t="str">
        <x:v>Aprobado</x:v>
      </x:c>
      <x:c r="J976" t="n">
        <x:v>299000</x:v>
      </x:c>
      <x:c r="K976" t="str">
        <x:v>Tarjeta crédito</x:v>
      </x:c>
      <x:c r="L976" t="str">
        <x:v>Sin error</x:v>
      </x:c>
    </x:row>
    <x:row r="977">
      <x:c r="A977" t="str">
        <x:v>TXN-0000976</x:v>
      </x:c>
      <x:c r="B977" t="str">
        <x:v>2026-03</x:v>
      </x:c>
      <x:c r="C977" t="n">
        <x:v>46090</x:v>
      </x:c>
      <x:c r="D977" t="str">
        <x:v>USR-00522</x:v>
      </x:c>
      <x:c r="E977" t="str">
        <x:v>SUS-000875</x:v>
      </x:c>
      <x:c r="F977" t="str">
        <x:v>Plus anual</x:v>
      </x:c>
      <x:c r="G977" t="str">
        <x:v>Anual</x:v>
      </x:c>
      <x:c r="H977" t="n">
        <x:v>1</x:v>
      </x:c>
      <x:c r="I977" t="str">
        <x:v>Aprobado</x:v>
      </x:c>
      <x:c r="J977" t="n">
        <x:v>299000</x:v>
      </x:c>
      <x:c r="K977" t="str">
        <x:v>PSE</x:v>
      </x:c>
      <x:c r="L977" t="str">
        <x:v>Sin error</x:v>
      </x:c>
    </x:row>
    <x:row r="978">
      <x:c r="A978" t="str">
        <x:v>TXN-0000977</x:v>
      </x:c>
      <x:c r="B978" t="str">
        <x:v>2026-03</x:v>
      </x:c>
      <x:c r="C978" t="n">
        <x:v>46093</x:v>
      </x:c>
      <x:c r="D978" t="str">
        <x:v>USR-00524</x:v>
      </x:c>
      <x:c r="E978" t="str">
        <x:v>SUS-000876</x:v>
      </x:c>
      <x:c r="F978" t="str">
        <x:v>Plus mensual</x:v>
      </x:c>
      <x:c r="G978" t="str">
        <x:v>Mensual</x:v>
      </x:c>
      <x:c r="H978" t="n">
        <x:v>1</x:v>
      </x:c>
      <x:c r="I978" t="str">
        <x:v>Aprobado</x:v>
      </x:c>
      <x:c r="J978" t="n">
        <x:v>29900</x:v>
      </x:c>
      <x:c r="K978" t="str">
        <x:v>PSE</x:v>
      </x:c>
      <x:c r="L978" t="str">
        <x:v>Sin error</x:v>
      </x:c>
    </x:row>
    <x:row r="979">
      <x:c r="A979" t="str">
        <x:v>TXN-0000978</x:v>
      </x:c>
      <x:c r="B979" t="str">
        <x:v>2026-03</x:v>
      </x:c>
      <x:c r="C979" t="n">
        <x:v>46087</x:v>
      </x:c>
      <x:c r="D979" t="str">
        <x:v>USR-00527</x:v>
      </x:c>
      <x:c r="E979" t="str">
        <x:v>SUS-000705</x:v>
      </x:c>
      <x:c r="F979" t="str">
        <x:v>Plus mensual</x:v>
      </x:c>
      <x:c r="G979" t="str">
        <x:v>Mensual</x:v>
      </x:c>
      <x:c r="H979" t="n">
        <x:v>1</x:v>
      </x:c>
      <x:c r="I979" t="str">
        <x:v>Aprobado</x:v>
      </x:c>
      <x:c r="J979" t="n">
        <x:v>29900</x:v>
      </x:c>
      <x:c r="K979" t="str">
        <x:v>Tarjeta crédito</x:v>
      </x:c>
      <x:c r="L979" t="str">
        <x:v>Sin error</x:v>
      </x:c>
    </x:row>
    <x:row r="980">
      <x:c r="A980" t="str">
        <x:v>TXN-0000979</x:v>
      </x:c>
      <x:c r="B980" t="str">
        <x:v>2026-03</x:v>
      </x:c>
      <x:c r="C980" t="n">
        <x:v>46091</x:v>
      </x:c>
      <x:c r="D980" t="str">
        <x:v>USR-00528</x:v>
      </x:c>
      <x:c r="E980" t="str">
        <x:v>SUS-000877</x:v>
      </x:c>
      <x:c r="F980" t="str">
        <x:v>Plus mensual</x:v>
      </x:c>
      <x:c r="G980" t="str">
        <x:v>Mensual</x:v>
      </x:c>
      <x:c r="H980" t="n">
        <x:v>1</x:v>
      </x:c>
      <x:c r="I980" t="str">
        <x:v>Aprobado</x:v>
      </x:c>
      <x:c r="J980" t="n">
        <x:v>29900</x:v>
      </x:c>
      <x:c r="K980" t="str">
        <x:v>PSE</x:v>
      </x:c>
      <x:c r="L980" t="str">
        <x:v>Sin error</x:v>
      </x:c>
    </x:row>
    <x:row r="981">
      <x:c r="A981" t="str">
        <x:v>TXN-0000980</x:v>
      </x:c>
      <x:c r="B981" t="str">
        <x:v>2026-03</x:v>
      </x:c>
      <x:c r="C981" t="n">
        <x:v>46087</x:v>
      </x:c>
      <x:c r="D981" t="str">
        <x:v>USR-00530</x:v>
      </x:c>
      <x:c r="E981" t="str">
        <x:v>SUS-000768</x:v>
      </x:c>
      <x:c r="F981" t="str">
        <x:v>Plus mensual</x:v>
      </x:c>
      <x:c r="G981" t="str">
        <x:v>Mensual</x:v>
      </x:c>
      <x:c r="H981" t="n">
        <x:v>1</x:v>
      </x:c>
      <x:c r="I981" t="str">
        <x:v>Aprobado</x:v>
      </x:c>
      <x:c r="J981" t="n">
        <x:v>29900</x:v>
      </x:c>
      <x:c r="K981" t="str">
        <x:v>Tarjeta crédito</x:v>
      </x:c>
      <x:c r="L981" t="str">
        <x:v>Sin error</x:v>
      </x:c>
    </x:row>
    <x:row r="982">
      <x:c r="A982" t="str">
        <x:v>TXN-0000981</x:v>
      </x:c>
      <x:c r="B982" t="str">
        <x:v>2026-03</x:v>
      </x:c>
      <x:c r="C982" t="n">
        <x:v>46086</x:v>
      </x:c>
      <x:c r="D982" t="str">
        <x:v>USR-00531</x:v>
      </x:c>
      <x:c r="E982" t="str">
        <x:v>SUS-000709</x:v>
      </x:c>
      <x:c r="F982" t="str">
        <x:v>Plus mensual</x:v>
      </x:c>
      <x:c r="G982" t="str">
        <x:v>Mensual</x:v>
      </x:c>
      <x:c r="H982" t="n">
        <x:v>1</x:v>
      </x:c>
      <x:c r="I982" t="str">
        <x:v>Aprobado</x:v>
      </x:c>
      <x:c r="J982" t="n">
        <x:v>29900</x:v>
      </x:c>
      <x:c r="K982" t="str">
        <x:v>PSE</x:v>
      </x:c>
      <x:c r="L982" t="str">
        <x:v>Sin error</x:v>
      </x:c>
    </x:row>
    <x:row r="983">
      <x:c r="A983" t="str">
        <x:v>TXN-0000982</x:v>
      </x:c>
      <x:c r="B983" t="str">
        <x:v>2026-03</x:v>
      </x:c>
      <x:c r="C983" t="n">
        <x:v>46087</x:v>
      </x:c>
      <x:c r="D983" t="str">
        <x:v>USR-00534</x:v>
      </x:c>
      <x:c r="E983" t="str">
        <x:v>SUS-000712</x:v>
      </x:c>
      <x:c r="F983" t="str">
        <x:v>Plus mensual</x:v>
      </x:c>
      <x:c r="G983" t="str">
        <x:v>Mensual</x:v>
      </x:c>
      <x:c r="H983" t="n">
        <x:v>1</x:v>
      </x:c>
      <x:c r="I983" t="str">
        <x:v>Aprobado</x:v>
      </x:c>
      <x:c r="J983" t="n">
        <x:v>29900</x:v>
      </x:c>
      <x:c r="K983" t="str">
        <x:v>Tarjeta débito</x:v>
      </x:c>
      <x:c r="L983" t="str">
        <x:v>Sin error</x:v>
      </x:c>
    </x:row>
    <x:row r="984">
      <x:c r="A984" t="str">
        <x:v>TXN-0000983</x:v>
      </x:c>
      <x:c r="B984" t="str">
        <x:v>2026-03</x:v>
      </x:c>
      <x:c r="C984" t="n">
        <x:v>46087</x:v>
      </x:c>
      <x:c r="D984" t="str">
        <x:v>USR-00535</x:v>
      </x:c>
      <x:c r="E984" t="str">
        <x:v>SIN_SUSCRIPCION</x:v>
      </x:c>
      <x:c r="F984" t="str">
        <x:v>Plus mensual</x:v>
      </x:c>
      <x:c r="G984" t="str">
        <x:v>Mensual</x:v>
      </x:c>
      <x:c r="H984" t="n">
        <x:v>1</x:v>
      </x:c>
      <x:c r="I984" t="str">
        <x:v>Rechazado</x:v>
      </x:c>
      <x:c r="J984" t="n">
        <x:v>29900</x:v>
      </x:c>
      <x:c r="K984" t="str">
        <x:v>Tarjeta crédito</x:v>
      </x:c>
      <x:c r="L984" t="str">
        <x:v>Fondos insuficientes</x:v>
      </x:c>
    </x:row>
    <x:row r="985">
      <x:c r="A985" t="str">
        <x:v>TXN-0000984</x:v>
      </x:c>
      <x:c r="B985" t="str">
        <x:v>2026-03</x:v>
      </x:c>
      <x:c r="C985" t="n">
        <x:v>46091</x:v>
      </x:c>
      <x:c r="D985" t="str">
        <x:v>USR-00535</x:v>
      </x:c>
      <x:c r="E985" t="str">
        <x:v>SIN_SUSCRIPCION</x:v>
      </x:c>
      <x:c r="F985" t="str">
        <x:v>Plus mensual</x:v>
      </x:c>
      <x:c r="G985" t="str">
        <x:v>Mensual</x:v>
      </x:c>
      <x:c r="H985" t="n">
        <x:v>2</x:v>
      </x:c>
      <x:c r="I985" t="str">
        <x:v>Rechazado</x:v>
      </x:c>
      <x:c r="J985" t="n">
        <x:v>29900</x:v>
      </x:c>
      <x:c r="K985" t="str">
        <x:v>Tarjeta débito</x:v>
      </x:c>
      <x:c r="L985" t="str">
        <x:v>Declinado por entidad</x:v>
      </x:c>
    </x:row>
    <x:row r="986">
      <x:c r="A986" t="str">
        <x:v>TXN-0000985</x:v>
      </x:c>
      <x:c r="B986" t="str">
        <x:v>2026-03</x:v>
      </x:c>
      <x:c r="C986" t="n">
        <x:v>46092</x:v>
      </x:c>
      <x:c r="D986" t="str">
        <x:v>USR-00538</x:v>
      </x:c>
      <x:c r="E986" t="str">
        <x:v>SUS-000716</x:v>
      </x:c>
      <x:c r="F986" t="str">
        <x:v>Plus mensual</x:v>
      </x:c>
      <x:c r="G986" t="str">
        <x:v>Mensual</x:v>
      </x:c>
      <x:c r="H986" t="n">
        <x:v>1</x:v>
      </x:c>
      <x:c r="I986" t="str">
        <x:v>Aprobado</x:v>
      </x:c>
      <x:c r="J986" t="n">
        <x:v>29900</x:v>
      </x:c>
      <x:c r="K986" t="str">
        <x:v>Tarjeta débito</x:v>
      </x:c>
      <x:c r="L986" t="str">
        <x:v>Sin error</x:v>
      </x:c>
    </x:row>
    <x:row r="987">
      <x:c r="A987" t="str">
        <x:v>TXN-0000986</x:v>
      </x:c>
      <x:c r="B987" t="str">
        <x:v>2026-03</x:v>
      </x:c>
      <x:c r="C987" t="n">
        <x:v>46089</x:v>
      </x:c>
      <x:c r="D987" t="str">
        <x:v>USR-00547</x:v>
      </x:c>
      <x:c r="E987" t="str">
        <x:v>SUS-000725</x:v>
      </x:c>
      <x:c r="F987" t="str">
        <x:v>Plus mensual</x:v>
      </x:c>
      <x:c r="G987" t="str">
        <x:v>Mensual</x:v>
      </x:c>
      <x:c r="H987" t="n">
        <x:v>1</x:v>
      </x:c>
      <x:c r="I987" t="str">
        <x:v>Aprobado</x:v>
      </x:c>
      <x:c r="J987" t="n">
        <x:v>29900</x:v>
      </x:c>
      <x:c r="K987" t="str">
        <x:v>Tarjeta crédito</x:v>
      </x:c>
      <x:c r="L987" t="str">
        <x:v>Sin error</x:v>
      </x:c>
    </x:row>
    <x:row r="988">
      <x:c r="A988" t="str">
        <x:v>TXN-0000987</x:v>
      </x:c>
      <x:c r="B988" t="str">
        <x:v>2026-03</x:v>
      </x:c>
      <x:c r="C988" t="n">
        <x:v>46093</x:v>
      </x:c>
      <x:c r="D988" t="str">
        <x:v>USR-00553</x:v>
      </x:c>
      <x:c r="E988" t="str">
        <x:v>SUS-000731</x:v>
      </x:c>
      <x:c r="F988" t="str">
        <x:v>Plus mensual</x:v>
      </x:c>
      <x:c r="G988" t="str">
        <x:v>Mensual</x:v>
      </x:c>
      <x:c r="H988" t="n">
        <x:v>1</x:v>
      </x:c>
      <x:c r="I988" t="str">
        <x:v>Aprobado</x:v>
      </x:c>
      <x:c r="J988" t="n">
        <x:v>29900</x:v>
      </x:c>
      <x:c r="K988" t="str">
        <x:v>PSE</x:v>
      </x:c>
      <x:c r="L988" t="str">
        <x:v>Sin error</x:v>
      </x:c>
    </x:row>
    <x:row r="989">
      <x:c r="A989" t="str">
        <x:v>TXN-0000988</x:v>
      </x:c>
      <x:c r="B989" t="str">
        <x:v>2026-03</x:v>
      </x:c>
      <x:c r="C989" t="n">
        <x:v>46092</x:v>
      </x:c>
      <x:c r="D989" t="str">
        <x:v>USR-00560</x:v>
      </x:c>
      <x:c r="E989" t="str">
        <x:v>SUS-000879</x:v>
      </x:c>
      <x:c r="F989" t="str">
        <x:v>Plus mensual</x:v>
      </x:c>
      <x:c r="G989" t="str">
        <x:v>Mensual</x:v>
      </x:c>
      <x:c r="H989" t="n">
        <x:v>1</x:v>
      </x:c>
      <x:c r="I989" t="str">
        <x:v>Rechazado</x:v>
      </x:c>
      <x:c r="J989" t="n">
        <x:v>29900</x:v>
      </x:c>
      <x:c r="K989" t="str">
        <x:v>PSE</x:v>
      </x:c>
      <x:c r="L989" t="str">
        <x:v>Error temporal</x:v>
      </x:c>
    </x:row>
    <x:row r="990">
      <x:c r="A990" t="str">
        <x:v>TXN-0000989</x:v>
      </x:c>
      <x:c r="B990" t="str">
        <x:v>2026-03</x:v>
      </x:c>
      <x:c r="C990" t="n">
        <x:v>46093</x:v>
      </x:c>
      <x:c r="D990" t="str">
        <x:v>USR-00560</x:v>
      </x:c>
      <x:c r="E990" t="str">
        <x:v>SUS-000879</x:v>
      </x:c>
      <x:c r="F990" t="str">
        <x:v>Plus mensual</x:v>
      </x:c>
      <x:c r="G990" t="str">
        <x:v>Mensual</x:v>
      </x:c>
      <x:c r="H990" t="n">
        <x:v>2</x:v>
      </x:c>
      <x:c r="I990" t="str">
        <x:v>Aprobado</x:v>
      </x:c>
      <x:c r="J990" t="n">
        <x:v>29900</x:v>
      </x:c>
      <x:c r="K990" t="str">
        <x:v>Tarjeta débito</x:v>
      </x:c>
      <x:c r="L990" t="str">
        <x:v>Sin error</x:v>
      </x:c>
    </x:row>
    <x:row r="991">
      <x:c r="A991" t="str">
        <x:v>TXN-0000990</x:v>
      </x:c>
      <x:c r="B991" t="str">
        <x:v>2026-03</x:v>
      </x:c>
      <x:c r="C991" t="n">
        <x:v>46086</x:v>
      </x:c>
      <x:c r="D991" t="str">
        <x:v>USR-00561</x:v>
      </x:c>
      <x:c r="E991" t="str">
        <x:v>SUS-000880</x:v>
      </x:c>
      <x:c r="F991" t="str">
        <x:v>Plus mensual</x:v>
      </x:c>
      <x:c r="G991" t="str">
        <x:v>Mensual</x:v>
      </x:c>
      <x:c r="H991" t="n">
        <x:v>1</x:v>
      </x:c>
      <x:c r="I991" t="str">
        <x:v>Aprobado</x:v>
      </x:c>
      <x:c r="J991" t="n">
        <x:v>29900</x:v>
      </x:c>
      <x:c r="K991" t="str">
        <x:v>PSE</x:v>
      </x:c>
      <x:c r="L991" t="str">
        <x:v>Sin error</x:v>
      </x:c>
    </x:row>
    <x:row r="992">
      <x:c r="A992" t="str">
        <x:v>TXN-0000991</x:v>
      </x:c>
      <x:c r="B992" t="str">
        <x:v>2026-03</x:v>
      </x:c>
      <x:c r="C992" t="n">
        <x:v>46088</x:v>
      </x:c>
      <x:c r="D992" t="str">
        <x:v>USR-00563</x:v>
      </x:c>
      <x:c r="E992" t="str">
        <x:v>SUS-000777</x:v>
      </x:c>
      <x:c r="F992" t="str">
        <x:v>Plus mensual</x:v>
      </x:c>
      <x:c r="G992" t="str">
        <x:v>Mensual</x:v>
      </x:c>
      <x:c r="H992" t="n">
        <x:v>1</x:v>
      </x:c>
      <x:c r="I992" t="str">
        <x:v>Aprobado</x:v>
      </x:c>
      <x:c r="J992" t="n">
        <x:v>29900</x:v>
      </x:c>
      <x:c r="K992" t="str">
        <x:v>PSE</x:v>
      </x:c>
      <x:c r="L992" t="str">
        <x:v>Sin error</x:v>
      </x:c>
    </x:row>
    <x:row r="993">
      <x:c r="A993" t="str">
        <x:v>TXN-0000992</x:v>
      </x:c>
      <x:c r="B993" t="str">
        <x:v>2026-03</x:v>
      </x:c>
      <x:c r="C993" t="n">
        <x:v>46092</x:v>
      </x:c>
      <x:c r="D993" t="str">
        <x:v>USR-00570</x:v>
      </x:c>
      <x:c r="E993" t="str">
        <x:v>SUS-000881</x:v>
      </x:c>
      <x:c r="F993" t="str">
        <x:v>Plus mensual</x:v>
      </x:c>
      <x:c r="G993" t="str">
        <x:v>Mensual</x:v>
      </x:c>
      <x:c r="H993" t="n">
        <x:v>1</x:v>
      </x:c>
      <x:c r="I993" t="str">
        <x:v>Aprobado</x:v>
      </x:c>
      <x:c r="J993" t="n">
        <x:v>29900</x:v>
      </x:c>
      <x:c r="K993" t="str">
        <x:v>PSE</x:v>
      </x:c>
      <x:c r="L993" t="str">
        <x:v>Sin error</x:v>
      </x:c>
    </x:row>
    <x:row r="994">
      <x:c r="A994" t="str">
        <x:v>TXN-0000993</x:v>
      </x:c>
      <x:c r="B994" t="str">
        <x:v>2026-03</x:v>
      </x:c>
      <x:c r="C994" t="n">
        <x:v>46086</x:v>
      </x:c>
      <x:c r="D994" t="str">
        <x:v>USR-00587</x:v>
      </x:c>
      <x:c r="E994" t="str">
        <x:v>SUS-000801</x:v>
      </x:c>
      <x:c r="F994" t="str">
        <x:v>Plus mensual</x:v>
      </x:c>
      <x:c r="G994" t="str">
        <x:v>Mensual</x:v>
      </x:c>
      <x:c r="H994" t="n">
        <x:v>1</x:v>
      </x:c>
      <x:c r="I994" t="str">
        <x:v>Aprobado</x:v>
      </x:c>
      <x:c r="J994" t="n">
        <x:v>29900</x:v>
      </x:c>
      <x:c r="K994" t="str">
        <x:v>Tarjeta crédito</x:v>
      </x:c>
      <x:c r="L994" t="str">
        <x:v>Sin error</x:v>
      </x:c>
    </x:row>
    <x:row r="995">
      <x:c r="A995" t="str">
        <x:v>TXN-0000994</x:v>
      </x:c>
      <x:c r="B995" t="str">
        <x:v>2026-03</x:v>
      </x:c>
      <x:c r="C995" t="n">
        <x:v>46089</x:v>
      </x:c>
      <x:c r="D995" t="str">
        <x:v>USR-00596</x:v>
      </x:c>
      <x:c r="E995" t="str">
        <x:v>SUS-000882</x:v>
      </x:c>
      <x:c r="F995" t="str">
        <x:v>Plus anual</x:v>
      </x:c>
      <x:c r="G995" t="str">
        <x:v>Anual</x:v>
      </x:c>
      <x:c r="H995" t="n">
        <x:v>1</x:v>
      </x:c>
      <x:c r="I995" t="str">
        <x:v>Aprobado</x:v>
      </x:c>
      <x:c r="J995" t="n">
        <x:v>299000</x:v>
      </x:c>
      <x:c r="K995" t="str">
        <x:v>Tarjeta crédito</x:v>
      </x:c>
      <x:c r="L995" t="str">
        <x:v>Sin error</x:v>
      </x:c>
    </x:row>
    <x:row r="996">
      <x:c r="A996" t="str">
        <x:v>TXN-0000995</x:v>
      </x:c>
      <x:c r="B996" t="str">
        <x:v>2026-03</x:v>
      </x:c>
      <x:c r="C996" t="n">
        <x:v>46087</x:v>
      </x:c>
      <x:c r="D996" t="str">
        <x:v>USR-00598</x:v>
      </x:c>
      <x:c r="E996" t="str">
        <x:v>SUS-000883</x:v>
      </x:c>
      <x:c r="F996" t="str">
        <x:v>Plus anual</x:v>
      </x:c>
      <x:c r="G996" t="str">
        <x:v>Anual</x:v>
      </x:c>
      <x:c r="H996" t="n">
        <x:v>1</x:v>
      </x:c>
      <x:c r="I996" t="str">
        <x:v>Aprobado</x:v>
      </x:c>
      <x:c r="J996" t="n">
        <x:v>299000</x:v>
      </x:c>
      <x:c r="K996" t="str">
        <x:v>Tarjeta débito</x:v>
      </x:c>
      <x:c r="L996" t="str">
        <x:v>Sin error</x:v>
      </x:c>
    </x:row>
    <x:row r="997">
      <x:c r="A997" t="str">
        <x:v>TXN-0000996</x:v>
      </x:c>
      <x:c r="B997" t="str">
        <x:v>2026-03</x:v>
      </x:c>
      <x:c r="C997" t="n">
        <x:v>46086</x:v>
      </x:c>
      <x:c r="D997" t="str">
        <x:v>USR-00601</x:v>
      </x:c>
      <x:c r="E997" t="str">
        <x:v>SUS-000815</x:v>
      </x:c>
      <x:c r="F997" t="str">
        <x:v>Plus mensual</x:v>
      </x:c>
      <x:c r="G997" t="str">
        <x:v>Mensual</x:v>
      </x:c>
      <x:c r="H997" t="n">
        <x:v>1</x:v>
      </x:c>
      <x:c r="I997" t="str">
        <x:v>Aprobado</x:v>
      </x:c>
      <x:c r="J997" t="n">
        <x:v>29900</x:v>
      </x:c>
      <x:c r="K997" t="str">
        <x:v>Tarjeta crédito</x:v>
      </x:c>
      <x:c r="L997" t="str">
        <x:v>Sin error</x:v>
      </x:c>
    </x:row>
    <x:row r="998">
      <x:c r="A998" t="str">
        <x:v>TXN-0000997</x:v>
      </x:c>
      <x:c r="B998" t="str">
        <x:v>2026-03</x:v>
      </x:c>
      <x:c r="C998" t="n">
        <x:v>46086</x:v>
      </x:c>
      <x:c r="D998" t="str">
        <x:v>USR-00602</x:v>
      </x:c>
      <x:c r="E998" t="str">
        <x:v>SUS-000816</x:v>
      </x:c>
      <x:c r="F998" t="str">
        <x:v>Plus mensual</x:v>
      </x:c>
      <x:c r="G998" t="str">
        <x:v>Mensual</x:v>
      </x:c>
      <x:c r="H998" t="n">
        <x:v>1</x:v>
      </x:c>
      <x:c r="I998" t="str">
        <x:v>Aprobado</x:v>
      </x:c>
      <x:c r="J998" t="n">
        <x:v>29900</x:v>
      </x:c>
      <x:c r="K998" t="str">
        <x:v>PSE</x:v>
      </x:c>
      <x:c r="L998" t="str">
        <x:v>Sin error</x:v>
      </x:c>
    </x:row>
    <x:row r="999">
      <x:c r="A999" t="str">
        <x:v>TXN-0000998</x:v>
      </x:c>
      <x:c r="B999" t="str">
        <x:v>2026-03</x:v>
      </x:c>
      <x:c r="C999" t="n">
        <x:v>46089</x:v>
      </x:c>
      <x:c r="D999" t="str">
        <x:v>USR-00608</x:v>
      </x:c>
      <x:c r="E999" t="str">
        <x:v>SUS-000884</x:v>
      </x:c>
      <x:c r="F999" t="str">
        <x:v>Plus anual</x:v>
      </x:c>
      <x:c r="G999" t="str">
        <x:v>Anual</x:v>
      </x:c>
      <x:c r="H999" t="n">
        <x:v>1</x:v>
      </x:c>
      <x:c r="I999" t="str">
        <x:v>Aprobado</x:v>
      </x:c>
      <x:c r="J999" t="n">
        <x:v>299000</x:v>
      </x:c>
      <x:c r="K999" t="str">
        <x:v>Tarjeta crédito</x:v>
      </x:c>
      <x:c r="L999" t="str">
        <x:v>Sin error</x:v>
      </x:c>
    </x:row>
    <x:row r="1000">
      <x:c r="A1000" t="str">
        <x:v>TXN-0000999</x:v>
      </x:c>
      <x:c r="B1000" t="str">
        <x:v>2026-03</x:v>
      </x:c>
      <x:c r="C1000" t="n">
        <x:v>46086</x:v>
      </x:c>
      <x:c r="D1000" t="str">
        <x:v>USR-00614</x:v>
      </x:c>
      <x:c r="E1000" t="str">
        <x:v>SUS-000885</x:v>
      </x:c>
      <x:c r="F1000" t="str">
        <x:v>Plus mensual</x:v>
      </x:c>
      <x:c r="G1000" t="str">
        <x:v>Mensual</x:v>
      </x:c>
      <x:c r="H1000" t="n">
        <x:v>1</x:v>
      </x:c>
      <x:c r="I1000" t="str">
        <x:v>Aprobado</x:v>
      </x:c>
      <x:c r="J1000" t="n">
        <x:v>29900</x:v>
      </x:c>
      <x:c r="K1000" t="str">
        <x:v>Tarjeta crédito</x:v>
      </x:c>
      <x:c r="L1000" t="str">
        <x:v>Sin error</x:v>
      </x:c>
    </x:row>
    <x:row r="1001">
      <x:c r="A1001" t="str">
        <x:v>TXN-0001000</x:v>
      </x:c>
      <x:c r="B1001" t="str">
        <x:v>2026-03</x:v>
      </x:c>
      <x:c r="C1001" t="n">
        <x:v>46092</x:v>
      </x:c>
      <x:c r="D1001" t="str">
        <x:v>USR-00618</x:v>
      </x:c>
      <x:c r="E1001" t="str">
        <x:v>SUS-000832</x:v>
      </x:c>
      <x:c r="F1001" t="str">
        <x:v>Plus mensual</x:v>
      </x:c>
      <x:c r="G1001" t="str">
        <x:v>Mensual</x:v>
      </x:c>
      <x:c r="H1001" t="n">
        <x:v>1</x:v>
      </x:c>
      <x:c r="I1001" t="str">
        <x:v>Aprobado</x:v>
      </x:c>
      <x:c r="J1001" t="n">
        <x:v>29900</x:v>
      </x:c>
      <x:c r="K1001" t="str">
        <x:v>Tarjeta débito</x:v>
      </x:c>
      <x:c r="L1001" t="str">
        <x:v>Sin error</x:v>
      </x:c>
    </x:row>
    <x:row r="1002">
      <x:c r="A1002" t="str">
        <x:v>TXN-0001001</x:v>
      </x:c>
      <x:c r="B1002" t="str">
        <x:v>2026-03</x:v>
      </x:c>
      <x:c r="C1002" t="n">
        <x:v>46093</x:v>
      </x:c>
      <x:c r="D1002" t="str">
        <x:v>USR-00619</x:v>
      </x:c>
      <x:c r="E1002" t="str">
        <x:v>SUS-000833</x:v>
      </x:c>
      <x:c r="F1002" t="str">
        <x:v>Plus mensual</x:v>
      </x:c>
      <x:c r="G1002" t="str">
        <x:v>Mensual</x:v>
      </x:c>
      <x:c r="H1002" t="n">
        <x:v>1</x:v>
      </x:c>
      <x:c r="I1002" t="str">
        <x:v>Aprobado</x:v>
      </x:c>
      <x:c r="J1002" t="n">
        <x:v>29900</x:v>
      </x:c>
      <x:c r="K1002" t="str">
        <x:v>Tarjeta crédito</x:v>
      </x:c>
      <x:c r="L1002" t="str">
        <x:v>Sin error</x:v>
      </x:c>
    </x:row>
    <x:row r="1003">
      <x:c r="A1003" t="str">
        <x:v>TXN-0001002</x:v>
      </x:c>
      <x:c r="B1003" t="str">
        <x:v>2026-03</x:v>
      </x:c>
      <x:c r="C1003" t="n">
        <x:v>46088</x:v>
      </x:c>
      <x:c r="D1003" t="str">
        <x:v>USR-00621</x:v>
      </x:c>
      <x:c r="E1003" t="str">
        <x:v>SUS-000835</x:v>
      </x:c>
      <x:c r="F1003" t="str">
        <x:v>Plus mensual</x:v>
      </x:c>
      <x:c r="G1003" t="str">
        <x:v>Mensual</x:v>
      </x:c>
      <x:c r="H1003" t="n">
        <x:v>1</x:v>
      </x:c>
      <x:c r="I1003" t="str">
        <x:v>Aprobado</x:v>
      </x:c>
      <x:c r="J1003" t="n">
        <x:v>29900</x:v>
      </x:c>
      <x:c r="K1003" t="str">
        <x:v>Tarjeta crédito</x:v>
      </x:c>
      <x:c r="L1003" t="str">
        <x:v>Sin error</x:v>
      </x:c>
    </x:row>
    <x:row r="1004">
      <x:c r="A1004" t="str">
        <x:v>TXN-0001003</x:v>
      </x:c>
      <x:c r="B1004" t="str">
        <x:v>2026-03</x:v>
      </x:c>
      <x:c r="C1004" t="n">
        <x:v>46087</x:v>
      </x:c>
      <x:c r="D1004" t="str">
        <x:v>USR-00625</x:v>
      </x:c>
      <x:c r="E1004" t="str">
        <x:v>SUS-000888</x:v>
      </x:c>
      <x:c r="F1004" t="str">
        <x:v>Plus mensual</x:v>
      </x:c>
      <x:c r="G1004" t="str">
        <x:v>Mensual</x:v>
      </x:c>
      <x:c r="H1004" t="n">
        <x:v>1</x:v>
      </x:c>
      <x:c r="I1004" t="str">
        <x:v>Aprobado</x:v>
      </x:c>
      <x:c r="J1004" t="n">
        <x:v>29900</x:v>
      </x:c>
      <x:c r="K1004" t="str">
        <x:v>PSE</x:v>
      </x:c>
      <x:c r="L1004" t="str">
        <x:v>Sin error</x:v>
      </x:c>
    </x:row>
    <x:row r="1005">
      <x:c r="A1005" t="str">
        <x:v>TXN-0001004</x:v>
      </x:c>
      <x:c r="B1005" t="str">
        <x:v>2026-03</x:v>
      </x:c>
      <x:c r="C1005" t="n">
        <x:v>46088</x:v>
      </x:c>
      <x:c r="D1005" t="str">
        <x:v>USR-00626</x:v>
      </x:c>
      <x:c r="E1005" t="str">
        <x:v>SUS-000889</x:v>
      </x:c>
      <x:c r="F1005" t="str">
        <x:v>Plus mensual</x:v>
      </x:c>
      <x:c r="G1005" t="str">
        <x:v>Mensual</x:v>
      </x:c>
      <x:c r="H1005" t="n">
        <x:v>1</x:v>
      </x:c>
      <x:c r="I1005" t="str">
        <x:v>Aprobado</x:v>
      </x:c>
      <x:c r="J1005" t="n">
        <x:v>29900</x:v>
      </x:c>
      <x:c r="K1005" t="str">
        <x:v>PSE</x:v>
      </x:c>
      <x:c r="L1005" t="str">
        <x:v>Sin error</x:v>
      </x:c>
    </x:row>
    <x:row r="1006">
      <x:c r="A1006" t="str">
        <x:v>TXN-0001005</x:v>
      </x:c>
      <x:c r="B1006" t="str">
        <x:v>2026-03</x:v>
      </x:c>
      <x:c r="C1006" t="n">
        <x:v>46090</x:v>
      </x:c>
      <x:c r="D1006" t="str">
        <x:v>USR-00631</x:v>
      </x:c>
      <x:c r="E1006" t="str">
        <x:v>SUS-000894</x:v>
      </x:c>
      <x:c r="F1006" t="str">
        <x:v>Plus anual</x:v>
      </x:c>
      <x:c r="G1006" t="str">
        <x:v>Anual</x:v>
      </x:c>
      <x:c r="H1006" t="n">
        <x:v>1</x:v>
      </x:c>
      <x:c r="I1006" t="str">
        <x:v>Aprobado</x:v>
      </x:c>
      <x:c r="J1006" t="n">
        <x:v>299000</x:v>
      </x:c>
      <x:c r="K1006" t="str">
        <x:v>Tarjeta crédito</x:v>
      </x:c>
      <x:c r="L1006" t="str">
        <x:v>Sin error</x:v>
      </x:c>
    </x:row>
    <x:row r="1007">
      <x:c r="A1007" t="str">
        <x:v>TXN-0001006</x:v>
      </x:c>
      <x:c r="B1007" t="str">
        <x:v>2026-03</x:v>
      </x:c>
      <x:c r="C1007" t="n">
        <x:v>46093</x:v>
      </x:c>
      <x:c r="D1007" t="str">
        <x:v>USR-00633</x:v>
      </x:c>
      <x:c r="E1007" t="str">
        <x:v>SUS-000896</x:v>
      </x:c>
      <x:c r="F1007" t="str">
        <x:v>Plus mensual</x:v>
      </x:c>
      <x:c r="G1007" t="str">
        <x:v>Mensual</x:v>
      </x:c>
      <x:c r="H1007" t="n">
        <x:v>1</x:v>
      </x:c>
      <x:c r="I1007" t="str">
        <x:v>Aprobado</x:v>
      </x:c>
      <x:c r="J1007" t="n">
        <x:v>29900</x:v>
      </x:c>
      <x:c r="K1007" t="str">
        <x:v>PSE</x:v>
      </x:c>
      <x:c r="L1007" t="str">
        <x:v>Sin error</x:v>
      </x:c>
    </x:row>
    <x:row r="1008">
      <x:c r="A1008" t="str">
        <x:v>TXN-0001007</x:v>
      </x:c>
      <x:c r="B1008" t="str">
        <x:v>2026-03</x:v>
      </x:c>
      <x:c r="C1008" t="n">
        <x:v>46086</x:v>
      </x:c>
      <x:c r="D1008" t="str">
        <x:v>USR-00640</x:v>
      </x:c>
      <x:c r="E1008" t="str">
        <x:v>SUS-000903</x:v>
      </x:c>
      <x:c r="F1008" t="str">
        <x:v>Plus anual</x:v>
      </x:c>
      <x:c r="G1008" t="str">
        <x:v>Anual</x:v>
      </x:c>
      <x:c r="H1008" t="n">
        <x:v>1</x:v>
      </x:c>
      <x:c r="I1008" t="str">
        <x:v>Aprobado</x:v>
      </x:c>
      <x:c r="J1008" t="n">
        <x:v>299000</x:v>
      </x:c>
      <x:c r="K1008" t="str">
        <x:v>Tarjeta crédito</x:v>
      </x:c>
      <x:c r="L1008" t="str">
        <x:v>Sin error</x:v>
      </x:c>
    </x:row>
    <x:row r="1009">
      <x:c r="A1009" t="str">
        <x:v>TXN-0001008</x:v>
      </x:c>
      <x:c r="B1009" t="str">
        <x:v>2026-03</x:v>
      </x:c>
      <x:c r="C1009" t="n">
        <x:v>46091</x:v>
      </x:c>
      <x:c r="D1009" t="str">
        <x:v>USR-00641</x:v>
      </x:c>
      <x:c r="E1009" t="str">
        <x:v>SUS-000904</x:v>
      </x:c>
      <x:c r="F1009" t="str">
        <x:v>Plus mensual</x:v>
      </x:c>
      <x:c r="G1009" t="str">
        <x:v>Mensual</x:v>
      </x:c>
      <x:c r="H1009" t="n">
        <x:v>1</x:v>
      </x:c>
      <x:c r="I1009" t="str">
        <x:v>Aprobado</x:v>
      </x:c>
      <x:c r="J1009" t="n">
        <x:v>29900</x:v>
      </x:c>
      <x:c r="K1009" t="str">
        <x:v>Tarjeta débito</x:v>
      </x:c>
      <x:c r="L1009" t="str">
        <x:v>Sin error</x:v>
      </x:c>
    </x:row>
    <x:row r="1010">
      <x:c r="A1010" t="str">
        <x:v>TXN-0001009</x:v>
      </x:c>
      <x:c r="B1010" t="str">
        <x:v>2026-03</x:v>
      </x:c>
      <x:c r="C1010" t="n">
        <x:v>46090</x:v>
      </x:c>
      <x:c r="D1010" t="str">
        <x:v>USR-00644</x:v>
      </x:c>
      <x:c r="E1010" t="str">
        <x:v>SUS-000907</x:v>
      </x:c>
      <x:c r="F1010" t="str">
        <x:v>Plus mensual</x:v>
      </x:c>
      <x:c r="G1010" t="str">
        <x:v>Mensual</x:v>
      </x:c>
      <x:c r="H1010" t="n">
        <x:v>1</x:v>
      </x:c>
      <x:c r="I1010" t="str">
        <x:v>Rechazado</x:v>
      </x:c>
      <x:c r="J1010" t="n">
        <x:v>29900</x:v>
      </x:c>
      <x:c r="K1010" t="str">
        <x:v>PSE</x:v>
      </x:c>
      <x:c r="L1010" t="str">
        <x:v>Declinado por entidad</x:v>
      </x:c>
    </x:row>
    <x:row r="1011">
      <x:c r="A1011" t="str">
        <x:v>TXN-0001010</x:v>
      </x:c>
      <x:c r="B1011" t="str">
        <x:v>2026-03</x:v>
      </x:c>
      <x:c r="C1011" t="n">
        <x:v>46090</x:v>
      </x:c>
      <x:c r="D1011" t="str">
        <x:v>USR-00644</x:v>
      </x:c>
      <x:c r="E1011" t="str">
        <x:v>SUS-000907</x:v>
      </x:c>
      <x:c r="F1011" t="str">
        <x:v>Plus mensual</x:v>
      </x:c>
      <x:c r="G1011" t="str">
        <x:v>Mensual</x:v>
      </x:c>
      <x:c r="H1011" t="n">
        <x:v>2</x:v>
      </x:c>
      <x:c r="I1011" t="str">
        <x:v>Aprobado</x:v>
      </x:c>
      <x:c r="J1011" t="n">
        <x:v>29900</x:v>
      </x:c>
      <x:c r="K1011" t="str">
        <x:v>Tarjeta débito</x:v>
      </x:c>
      <x:c r="L1011" t="str">
        <x:v>Sin error</x:v>
      </x:c>
    </x:row>
    <x:row r="1012">
      <x:c r="A1012" t="str">
        <x:v>TXN-0001011</x:v>
      </x:c>
      <x:c r="B1012" t="str">
        <x:v>2026-03</x:v>
      </x:c>
      <x:c r="C1012" t="n">
        <x:v>46093</x:v>
      </x:c>
      <x:c r="D1012" t="str">
        <x:v>USR-00648</x:v>
      </x:c>
      <x:c r="E1012" t="str">
        <x:v>SUS-000911</x:v>
      </x:c>
      <x:c r="F1012" t="str">
        <x:v>Plus mensual</x:v>
      </x:c>
      <x:c r="G1012" t="str">
        <x:v>Mensual</x:v>
      </x:c>
      <x:c r="H1012" t="n">
        <x:v>1</x:v>
      </x:c>
      <x:c r="I1012" t="str">
        <x:v>Aprobado</x:v>
      </x:c>
      <x:c r="J1012" t="n">
        <x:v>29900</x:v>
      </x:c>
      <x:c r="K1012" t="str">
        <x:v>PSE</x:v>
      </x:c>
      <x:c r="L1012" t="str">
        <x:v>Sin error</x:v>
      </x:c>
    </x:row>
    <x:row r="1013">
      <x:c r="A1013" t="str">
        <x:v>TXN-0001012</x:v>
      </x:c>
      <x:c r="B1013" t="str">
        <x:v>2026-03</x:v>
      </x:c>
      <x:c r="C1013" t="n">
        <x:v>46092</x:v>
      </x:c>
      <x:c r="D1013" t="str">
        <x:v>USR-00649</x:v>
      </x:c>
      <x:c r="E1013" t="str">
        <x:v>SUS-000912</x:v>
      </x:c>
      <x:c r="F1013" t="str">
        <x:v>Plus anual</x:v>
      </x:c>
      <x:c r="G1013" t="str">
        <x:v>Anual</x:v>
      </x:c>
      <x:c r="H1013" t="n">
        <x:v>1</x:v>
      </x:c>
      <x:c r="I1013" t="str">
        <x:v>Aprobado</x:v>
      </x:c>
      <x:c r="J1013" t="n">
        <x:v>299000</x:v>
      </x:c>
      <x:c r="K1013" t="str">
        <x:v>PSE</x:v>
      </x:c>
      <x:c r="L1013" t="str">
        <x:v>Sin error</x:v>
      </x:c>
    </x:row>
    <x:row r="1014">
      <x:c r="A1014" t="str">
        <x:v>TXN-0001013</x:v>
      </x:c>
      <x:c r="B1014" t="str">
        <x:v>2026-03</x:v>
      </x:c>
      <x:c r="C1014" t="n">
        <x:v>46091</x:v>
      </x:c>
      <x:c r="D1014" t="str">
        <x:v>USR-00651</x:v>
      </x:c>
      <x:c r="E1014" t="str">
        <x:v>SUS-000914</x:v>
      </x:c>
      <x:c r="F1014" t="str">
        <x:v>Plus mensual</x:v>
      </x:c>
      <x:c r="G1014" t="str">
        <x:v>Mensual</x:v>
      </x:c>
      <x:c r="H1014" t="n">
        <x:v>1</x:v>
      </x:c>
      <x:c r="I1014" t="str">
        <x:v>Aprobado</x:v>
      </x:c>
      <x:c r="J1014" t="n">
        <x:v>29900</x:v>
      </x:c>
      <x:c r="K1014" t="str">
        <x:v>PSE</x:v>
      </x:c>
      <x:c r="L1014" t="str">
        <x:v>Sin error</x:v>
      </x:c>
    </x:row>
    <x:row r="1015">
      <x:c r="A1015" t="str">
        <x:v>TXN-0001014</x:v>
      </x:c>
      <x:c r="B1015" t="str">
        <x:v>2026-03</x:v>
      </x:c>
      <x:c r="C1015" t="n">
        <x:v>46092</x:v>
      </x:c>
      <x:c r="D1015" t="str">
        <x:v>USR-00654</x:v>
      </x:c>
      <x:c r="E1015" t="str">
        <x:v>SUS-000917</x:v>
      </x:c>
      <x:c r="F1015" t="str">
        <x:v>Plus mensual</x:v>
      </x:c>
      <x:c r="G1015" t="str">
        <x:v>Mensual</x:v>
      </x:c>
      <x:c r="H1015" t="n">
        <x:v>1</x:v>
      </x:c>
      <x:c r="I1015" t="str">
        <x:v>Aprobado</x:v>
      </x:c>
      <x:c r="J1015" t="n">
        <x:v>29900</x:v>
      </x:c>
      <x:c r="K1015" t="str">
        <x:v>PSE</x:v>
      </x:c>
      <x:c r="L1015" t="str">
        <x:v>Sin error</x:v>
      </x:c>
    </x:row>
    <x:row r="1016">
      <x:c r="A1016" t="str">
        <x:v>TXN-0001015</x:v>
      </x:c>
      <x:c r="B1016" t="str">
        <x:v>2026-03</x:v>
      </x:c>
      <x:c r="C1016" t="n">
        <x:v>46088</x:v>
      </x:c>
      <x:c r="D1016" t="str">
        <x:v>USR-00669</x:v>
      </x:c>
      <x:c r="E1016" t="str">
        <x:v>SUS-000932</x:v>
      </x:c>
      <x:c r="F1016" t="str">
        <x:v>Plus mensual</x:v>
      </x:c>
      <x:c r="G1016" t="str">
        <x:v>Mensual</x:v>
      </x:c>
      <x:c r="H1016" t="n">
        <x:v>1</x:v>
      </x:c>
      <x:c r="I1016" t="str">
        <x:v>Aprobado</x:v>
      </x:c>
      <x:c r="J1016" t="n">
        <x:v>29900</x:v>
      </x:c>
      <x:c r="K1016" t="str">
        <x:v>Tarjeta crédito</x:v>
      </x:c>
      <x:c r="L1016" t="str">
        <x:v>Sin error</x:v>
      </x:c>
    </x:row>
    <x:row r="1017">
      <x:c r="A1017" t="str">
        <x:v>TXN-0001016</x:v>
      </x:c>
      <x:c r="B1017" t="str">
        <x:v>2026-03</x:v>
      </x:c>
      <x:c r="C1017" t="n">
        <x:v>46086</x:v>
      </x:c>
      <x:c r="D1017" t="str">
        <x:v>USR-00674</x:v>
      </x:c>
      <x:c r="E1017" t="str">
        <x:v>SUS-000937</x:v>
      </x:c>
      <x:c r="F1017" t="str">
        <x:v>Plus anual</x:v>
      </x:c>
      <x:c r="G1017" t="str">
        <x:v>Anual</x:v>
      </x:c>
      <x:c r="H1017" t="n">
        <x:v>1</x:v>
      </x:c>
      <x:c r="I1017" t="str">
        <x:v>Aprobado</x:v>
      </x:c>
      <x:c r="J1017" t="n">
        <x:v>299000</x:v>
      </x:c>
      <x:c r="K1017" t="str">
        <x:v>Tarjeta crédito</x:v>
      </x:c>
      <x:c r="L1017" t="str">
        <x:v>Sin error</x:v>
      </x:c>
    </x:row>
    <x:row r="1018">
      <x:c r="A1018" t="str">
        <x:v>TXN-0001017</x:v>
      </x:c>
      <x:c r="B1018" t="str">
        <x:v>2026-03</x:v>
      </x:c>
      <x:c r="C1018" t="n">
        <x:v>46087</x:v>
      </x:c>
      <x:c r="D1018" t="str">
        <x:v>USR-00678</x:v>
      </x:c>
      <x:c r="E1018" t="str">
        <x:v>SUS-000941</x:v>
      </x:c>
      <x:c r="F1018" t="str">
        <x:v>Plus mensual</x:v>
      </x:c>
      <x:c r="G1018" t="str">
        <x:v>Mensual</x:v>
      </x:c>
      <x:c r="H1018" t="n">
        <x:v>1</x:v>
      </x:c>
      <x:c r="I1018" t="str">
        <x:v>Aprobado</x:v>
      </x:c>
      <x:c r="J1018" t="n">
        <x:v>29900</x:v>
      </x:c>
      <x:c r="K1018" t="str">
        <x:v>PSE</x:v>
      </x:c>
      <x:c r="L1018" t="str">
        <x:v>Sin error</x:v>
      </x:c>
    </x:row>
    <x:row r="1019">
      <x:c r="A1019" t="str">
        <x:v>TXN-0001018</x:v>
      </x:c>
      <x:c r="B1019" t="str">
        <x:v>2026-04</x:v>
      </x:c>
      <x:c r="C1019" t="n">
        <x:v>46122</x:v>
      </x:c>
      <x:c r="D1019" t="str">
        <x:v>USR-00001</x:v>
      </x:c>
      <x:c r="E1019" t="str">
        <x:v>SUS-000960</x:v>
      </x:c>
      <x:c r="F1019" t="str">
        <x:v>Plus anual</x:v>
      </x:c>
      <x:c r="G1019" t="str">
        <x:v>Anual</x:v>
      </x:c>
      <x:c r="H1019" t="n">
        <x:v>1</x:v>
      </x:c>
      <x:c r="I1019" t="str">
        <x:v>Aprobado</x:v>
      </x:c>
      <x:c r="J1019" t="n">
        <x:v>299000</x:v>
      </x:c>
      <x:c r="K1019" t="str">
        <x:v>PSE</x:v>
      </x:c>
      <x:c r="L1019" t="str">
        <x:v>Sin error</x:v>
      </x:c>
    </x:row>
    <x:row r="1020">
      <x:c r="A1020" t="str">
        <x:v>TXN-0001019</x:v>
      </x:c>
      <x:c r="B1020" t="str">
        <x:v>2026-04</x:v>
      </x:c>
      <x:c r="C1020" t="n">
        <x:v>46118</x:v>
      </x:c>
      <x:c r="D1020" t="str">
        <x:v>USR-00002</x:v>
      </x:c>
      <x:c r="E1020" t="str">
        <x:v>SUS-000212</x:v>
      </x:c>
      <x:c r="F1020" t="str">
        <x:v>Plus mensual</x:v>
      </x:c>
      <x:c r="G1020" t="str">
        <x:v>Mensual</x:v>
      </x:c>
      <x:c r="H1020" t="n">
        <x:v>1</x:v>
      </x:c>
      <x:c r="I1020" t="str">
        <x:v>Aprobado</x:v>
      </x:c>
      <x:c r="J1020" t="n">
        <x:v>29900</x:v>
      </x:c>
      <x:c r="K1020" t="str">
        <x:v>PSE</x:v>
      </x:c>
      <x:c r="L1020" t="str">
        <x:v>Sin error</x:v>
      </x:c>
    </x:row>
    <x:row r="1021">
      <x:c r="A1021" t="str">
        <x:v>TXN-0001020</x:v>
      </x:c>
      <x:c r="B1021" t="str">
        <x:v>2026-04</x:v>
      </x:c>
      <x:c r="C1021" t="n">
        <x:v>46117</x:v>
      </x:c>
      <x:c r="D1021" t="str">
        <x:v>USR-00011</x:v>
      </x:c>
      <x:c r="E1021" t="str">
        <x:v>SUS-000961</x:v>
      </x:c>
      <x:c r="F1021" t="str">
        <x:v>Plus mensual</x:v>
      </x:c>
      <x:c r="G1021" t="str">
        <x:v>Mensual</x:v>
      </x:c>
      <x:c r="H1021" t="n">
        <x:v>1</x:v>
      </x:c>
      <x:c r="I1021" t="str">
        <x:v>Aprobado</x:v>
      </x:c>
      <x:c r="J1021" t="n">
        <x:v>29900</x:v>
      </x:c>
      <x:c r="K1021" t="str">
        <x:v>Tarjeta crédito</x:v>
      </x:c>
      <x:c r="L1021" t="str">
        <x:v>Sin error</x:v>
      </x:c>
    </x:row>
    <x:row r="1022">
      <x:c r="A1022" t="str">
        <x:v>TXN-0001021</x:v>
      </x:c>
      <x:c r="B1022" t="str">
        <x:v>2026-04</x:v>
      </x:c>
      <x:c r="C1022" t="n">
        <x:v>46123</x:v>
      </x:c>
      <x:c r="D1022" t="str">
        <x:v>USR-00012</x:v>
      </x:c>
      <x:c r="E1022" t="str">
        <x:v>SUS-000837</x:v>
      </x:c>
      <x:c r="F1022" t="str">
        <x:v>Plus mensual</x:v>
      </x:c>
      <x:c r="G1022" t="str">
        <x:v>Mensual</x:v>
      </x:c>
      <x:c r="H1022" t="n">
        <x:v>1</x:v>
      </x:c>
      <x:c r="I1022" t="str">
        <x:v>Aprobado</x:v>
      </x:c>
      <x:c r="J1022" t="n">
        <x:v>29900</x:v>
      </x:c>
      <x:c r="K1022" t="str">
        <x:v>PSE</x:v>
      </x:c>
      <x:c r="L1022" t="str">
        <x:v>Sin error</x:v>
      </x:c>
    </x:row>
    <x:row r="1023">
      <x:c r="A1023" t="str">
        <x:v>TXN-0001022</x:v>
      </x:c>
      <x:c r="B1023" t="str">
        <x:v>2026-04</x:v>
      </x:c>
      <x:c r="C1023" t="n">
        <x:v>46119</x:v>
      </x:c>
      <x:c r="D1023" t="str">
        <x:v>USR-00018</x:v>
      </x:c>
      <x:c r="E1023" t="str">
        <x:v>SUS-000157</x:v>
      </x:c>
      <x:c r="F1023" t="str">
        <x:v>Plus mensual</x:v>
      </x:c>
      <x:c r="G1023" t="str">
        <x:v>Mensual</x:v>
      </x:c>
      <x:c r="H1023" t="n">
        <x:v>1</x:v>
      </x:c>
      <x:c r="I1023" t="str">
        <x:v>Rechazado</x:v>
      </x:c>
      <x:c r="J1023" t="n">
        <x:v>29900</x:v>
      </x:c>
      <x:c r="K1023" t="str">
        <x:v>Tarjeta crédito</x:v>
      </x:c>
      <x:c r="L1023" t="str">
        <x:v>Error temporal</x:v>
      </x:c>
    </x:row>
    <x:row r="1024">
      <x:c r="A1024" t="str">
        <x:v>TXN-0001023</x:v>
      </x:c>
      <x:c r="B1024" t="str">
        <x:v>2026-04</x:v>
      </x:c>
      <x:c r="C1024" t="n">
        <x:v>46118</x:v>
      </x:c>
      <x:c r="D1024" t="str">
        <x:v>USR-00018</x:v>
      </x:c>
      <x:c r="E1024" t="str">
        <x:v>SUS-000157</x:v>
      </x:c>
      <x:c r="F1024" t="str">
        <x:v>Plus mensual</x:v>
      </x:c>
      <x:c r="G1024" t="str">
        <x:v>Mensual</x:v>
      </x:c>
      <x:c r="H1024" t="n">
        <x:v>2</x:v>
      </x:c>
      <x:c r="I1024" t="str">
        <x:v>Aprobado</x:v>
      </x:c>
      <x:c r="J1024" t="n">
        <x:v>29900</x:v>
      </x:c>
      <x:c r="K1024" t="str">
        <x:v>Tarjeta crédito</x:v>
      </x:c>
      <x:c r="L1024" t="str">
        <x:v>Sin error</x:v>
      </x:c>
    </x:row>
    <x:row r="1025">
      <x:c r="A1025" t="str">
        <x:v>TXN-0001024</x:v>
      </x:c>
      <x:c r="B1025" t="str">
        <x:v>2026-04</x:v>
      </x:c>
      <x:c r="C1025" t="n">
        <x:v>46122</x:v>
      </x:c>
      <x:c r="D1025" t="str">
        <x:v>USR-00019</x:v>
      </x:c>
      <x:c r="E1025" t="str">
        <x:v>SUS-000158</x:v>
      </x:c>
      <x:c r="F1025" t="str">
        <x:v>Plus mensual</x:v>
      </x:c>
      <x:c r="G1025" t="str">
        <x:v>Mensual</x:v>
      </x:c>
      <x:c r="H1025" t="n">
        <x:v>1</x:v>
      </x:c>
      <x:c r="I1025" t="str">
        <x:v>Aprobado</x:v>
      </x:c>
      <x:c r="J1025" t="n">
        <x:v>29900</x:v>
      </x:c>
      <x:c r="K1025" t="str">
        <x:v>PSE</x:v>
      </x:c>
      <x:c r="L1025" t="str">
        <x:v>Sin error</x:v>
      </x:c>
    </x:row>
    <x:row r="1026">
      <x:c r="A1026" t="str">
        <x:v>TXN-0001025</x:v>
      </x:c>
      <x:c r="B1026" t="str">
        <x:v>2026-04</x:v>
      </x:c>
      <x:c r="C1026" t="n">
        <x:v>46118</x:v>
      </x:c>
      <x:c r="D1026" t="str">
        <x:v>USR-00024</x:v>
      </x:c>
      <x:c r="E1026" t="str">
        <x:v>SUS-000962</x:v>
      </x:c>
      <x:c r="F1026" t="str">
        <x:v>Plus anual</x:v>
      </x:c>
      <x:c r="G1026" t="str">
        <x:v>Anual</x:v>
      </x:c>
      <x:c r="H1026" t="n">
        <x:v>1</x:v>
      </x:c>
      <x:c r="I1026" t="str">
        <x:v>Aprobado</x:v>
      </x:c>
      <x:c r="J1026" t="n">
        <x:v>299000</x:v>
      </x:c>
      <x:c r="K1026" t="str">
        <x:v>PSE</x:v>
      </x:c>
      <x:c r="L1026" t="str">
        <x:v>Sin error</x:v>
      </x:c>
    </x:row>
    <x:row r="1027">
      <x:c r="A1027" t="str">
        <x:v>TXN-0001026</x:v>
      </x:c>
      <x:c r="B1027" t="str">
        <x:v>2026-04</x:v>
      </x:c>
      <x:c r="C1027" t="n">
        <x:v>46123</x:v>
      </x:c>
      <x:c r="D1027" t="str">
        <x:v>USR-00034</x:v>
      </x:c>
      <x:c r="E1027" t="str">
        <x:v>SUS-000734</x:v>
      </x:c>
      <x:c r="F1027" t="str">
        <x:v>Plus mensual</x:v>
      </x:c>
      <x:c r="G1027" t="str">
        <x:v>Mensual</x:v>
      </x:c>
      <x:c r="H1027" t="n">
        <x:v>1</x:v>
      </x:c>
      <x:c r="I1027" t="str">
        <x:v>Aprobado</x:v>
      </x:c>
      <x:c r="J1027" t="n">
        <x:v>29900</x:v>
      </x:c>
      <x:c r="K1027" t="str">
        <x:v>Tarjeta crédito</x:v>
      </x:c>
      <x:c r="L1027" t="str">
        <x:v>Sin error</x:v>
      </x:c>
    </x:row>
    <x:row r="1028">
      <x:c r="A1028" t="str">
        <x:v>TXN-0001027</x:v>
      </x:c>
      <x:c r="B1028" t="str">
        <x:v>2026-04</x:v>
      </x:c>
      <x:c r="C1028" t="n">
        <x:v>46118</x:v>
      </x:c>
      <x:c r="D1028" t="str">
        <x:v>USR-00035</x:v>
      </x:c>
      <x:c r="E1028" t="str">
        <x:v>SUS-000964</x:v>
      </x:c>
      <x:c r="F1028" t="str">
        <x:v>Plus mensual</x:v>
      </x:c>
      <x:c r="G1028" t="str">
        <x:v>Mensual</x:v>
      </x:c>
      <x:c r="H1028" t="n">
        <x:v>1</x:v>
      </x:c>
      <x:c r="I1028" t="str">
        <x:v>Aprobado</x:v>
      </x:c>
      <x:c r="J1028" t="n">
        <x:v>29900</x:v>
      </x:c>
      <x:c r="K1028" t="str">
        <x:v>Tarjeta débito</x:v>
      </x:c>
      <x:c r="L1028" t="str">
        <x:v>Sin error</x:v>
      </x:c>
    </x:row>
    <x:row r="1029">
      <x:c r="A1029" t="str">
        <x:v>TXN-0001028</x:v>
      </x:c>
      <x:c r="B1029" t="str">
        <x:v>2026-04</x:v>
      </x:c>
      <x:c r="C1029" t="n">
        <x:v>46118</x:v>
      </x:c>
      <x:c r="D1029" t="str">
        <x:v>USR-00037</x:v>
      </x:c>
      <x:c r="E1029" t="str">
        <x:v>SUS-000457</x:v>
      </x:c>
      <x:c r="F1029" t="str">
        <x:v>Plus mensual</x:v>
      </x:c>
      <x:c r="G1029" t="str">
        <x:v>Mensual</x:v>
      </x:c>
      <x:c r="H1029" t="n">
        <x:v>1</x:v>
      </x:c>
      <x:c r="I1029" t="str">
        <x:v>Aprobado</x:v>
      </x:c>
      <x:c r="J1029" t="n">
        <x:v>29900</x:v>
      </x:c>
      <x:c r="K1029" t="str">
        <x:v>PSE</x:v>
      </x:c>
      <x:c r="L1029" t="str">
        <x:v>Sin error</x:v>
      </x:c>
    </x:row>
    <x:row r="1030">
      <x:c r="A1030" t="str">
        <x:v>TXN-0001029</x:v>
      </x:c>
      <x:c r="B1030" t="str">
        <x:v>2026-04</x:v>
      </x:c>
      <x:c r="C1030" t="n">
        <x:v>46123</x:v>
      </x:c>
      <x:c r="D1030" t="str">
        <x:v>USR-00048</x:v>
      </x:c>
      <x:c r="E1030" t="str">
        <x:v>SUS-000160</x:v>
      </x:c>
      <x:c r="F1030" t="str">
        <x:v>Plus mensual</x:v>
      </x:c>
      <x:c r="G1030" t="str">
        <x:v>Mensual</x:v>
      </x:c>
      <x:c r="H1030" t="n">
        <x:v>1</x:v>
      </x:c>
      <x:c r="I1030" t="str">
        <x:v>Aprobado</x:v>
      </x:c>
      <x:c r="J1030" t="n">
        <x:v>29900</x:v>
      </x:c>
      <x:c r="K1030" t="str">
        <x:v>Tarjeta débito</x:v>
      </x:c>
      <x:c r="L1030" t="str">
        <x:v>Sin error</x:v>
      </x:c>
    </x:row>
    <x:row r="1031">
      <x:c r="A1031" t="str">
        <x:v>TXN-0001030</x:v>
      </x:c>
      <x:c r="B1031" t="str">
        <x:v>2026-04</x:v>
      </x:c>
      <x:c r="C1031" t="n">
        <x:v>46117</x:v>
      </x:c>
      <x:c r="D1031" t="str">
        <x:v>USR-00057</x:v>
      </x:c>
      <x:c r="E1031" t="str">
        <x:v>SUS-000386</x:v>
      </x:c>
      <x:c r="F1031" t="str">
        <x:v>Plus mensual</x:v>
      </x:c>
      <x:c r="G1031" t="str">
        <x:v>Mensual</x:v>
      </x:c>
      <x:c r="H1031" t="n">
        <x:v>1</x:v>
      </x:c>
      <x:c r="I1031" t="str">
        <x:v>Rechazado</x:v>
      </x:c>
      <x:c r="J1031" t="n">
        <x:v>29900</x:v>
      </x:c>
      <x:c r="K1031" t="str">
        <x:v>PSE</x:v>
      </x:c>
      <x:c r="L1031" t="str">
        <x:v>Declinado por entidad</x:v>
      </x:c>
    </x:row>
    <x:row r="1032">
      <x:c r="A1032" t="str">
        <x:v>TXN-0001031</x:v>
      </x:c>
      <x:c r="B1032" t="str">
        <x:v>2026-04</x:v>
      </x:c>
      <x:c r="C1032" t="n">
        <x:v>46123</x:v>
      </x:c>
      <x:c r="D1032" t="str">
        <x:v>USR-00057</x:v>
      </x:c>
      <x:c r="E1032" t="str">
        <x:v>SUS-000386</x:v>
      </x:c>
      <x:c r="F1032" t="str">
        <x:v>Plus mensual</x:v>
      </x:c>
      <x:c r="G1032" t="str">
        <x:v>Mensual</x:v>
      </x:c>
      <x:c r="H1032" t="n">
        <x:v>2</x:v>
      </x:c>
      <x:c r="I1032" t="str">
        <x:v>Aprobado</x:v>
      </x:c>
      <x:c r="J1032" t="n">
        <x:v>29900</x:v>
      </x:c>
      <x:c r="K1032" t="str">
        <x:v>Tarjeta débito</x:v>
      </x:c>
      <x:c r="L1032" t="str">
        <x:v>Sin error</x:v>
      </x:c>
    </x:row>
    <x:row r="1033">
      <x:c r="A1033" t="str">
        <x:v>TXN-0001032</x:v>
      </x:c>
      <x:c r="B1033" t="str">
        <x:v>2026-04</x:v>
      </x:c>
      <x:c r="C1033" t="n">
        <x:v>46118</x:v>
      </x:c>
      <x:c r="D1033" t="str">
        <x:v>USR-00058</x:v>
      </x:c>
      <x:c r="E1033" t="str">
        <x:v>SUS-000965</x:v>
      </x:c>
      <x:c r="F1033" t="str">
        <x:v>Plus mensual</x:v>
      </x:c>
      <x:c r="G1033" t="str">
        <x:v>Mensual</x:v>
      </x:c>
      <x:c r="H1033" t="n">
        <x:v>1</x:v>
      </x:c>
      <x:c r="I1033" t="str">
        <x:v>Aprobado</x:v>
      </x:c>
      <x:c r="J1033" t="n">
        <x:v>29900</x:v>
      </x:c>
      <x:c r="K1033" t="str">
        <x:v>PSE</x:v>
      </x:c>
      <x:c r="L1033" t="str">
        <x:v>Sin error</x:v>
      </x:c>
    </x:row>
    <x:row r="1034">
      <x:c r="A1034" t="str">
        <x:v>TXN-0001033</x:v>
      </x:c>
      <x:c r="B1034" t="str">
        <x:v>2026-04</x:v>
      </x:c>
      <x:c r="C1034" t="n">
        <x:v>46122</x:v>
      </x:c>
      <x:c r="D1034" t="str">
        <x:v>USR-00064</x:v>
      </x:c>
      <x:c r="E1034" t="str">
        <x:v>SUS-000333</x:v>
      </x:c>
      <x:c r="F1034" t="str">
        <x:v>Plus mensual</x:v>
      </x:c>
      <x:c r="G1034" t="str">
        <x:v>Mensual</x:v>
      </x:c>
      <x:c r="H1034" t="n">
        <x:v>1</x:v>
      </x:c>
      <x:c r="I1034" t="str">
        <x:v>Aprobado</x:v>
      </x:c>
      <x:c r="J1034" t="n">
        <x:v>29900</x:v>
      </x:c>
      <x:c r="K1034" t="str">
        <x:v>Tarjeta crédito</x:v>
      </x:c>
      <x:c r="L1034" t="str">
        <x:v>Sin error</x:v>
      </x:c>
    </x:row>
    <x:row r="1035">
      <x:c r="A1035" t="str">
        <x:v>TXN-0001034</x:v>
      </x:c>
      <x:c r="B1035" t="str">
        <x:v>2026-04</x:v>
      </x:c>
      <x:c r="C1035" t="n">
        <x:v>46118</x:v>
      </x:c>
      <x:c r="D1035" t="str">
        <x:v>USR-00070</x:v>
      </x:c>
      <x:c r="E1035" t="str">
        <x:v>SUS-000527</x:v>
      </x:c>
      <x:c r="F1035" t="str">
        <x:v>Plus mensual</x:v>
      </x:c>
      <x:c r="G1035" t="str">
        <x:v>Mensual</x:v>
      </x:c>
      <x:c r="H1035" t="n">
        <x:v>1</x:v>
      </x:c>
      <x:c r="I1035" t="str">
        <x:v>Rechazado</x:v>
      </x:c>
      <x:c r="J1035" t="n">
        <x:v>29900</x:v>
      </x:c>
      <x:c r="K1035" t="str">
        <x:v>Tarjeta débito</x:v>
      </x:c>
      <x:c r="L1035" t="str">
        <x:v>Error temporal</x:v>
      </x:c>
    </x:row>
    <x:row r="1036">
      <x:c r="A1036" t="str">
        <x:v>TXN-0001035</x:v>
      </x:c>
      <x:c r="B1036" t="str">
        <x:v>2026-04</x:v>
      </x:c>
      <x:c r="C1036" t="n">
        <x:v>46123</x:v>
      </x:c>
      <x:c r="D1036" t="str">
        <x:v>USR-00070</x:v>
      </x:c>
      <x:c r="E1036" t="str">
        <x:v>SUS-000527</x:v>
      </x:c>
      <x:c r="F1036" t="str">
        <x:v>Plus mensual</x:v>
      </x:c>
      <x:c r="G1036" t="str">
        <x:v>Mensual</x:v>
      </x:c>
      <x:c r="H1036" t="n">
        <x:v>2</x:v>
      </x:c>
      <x:c r="I1036" t="str">
        <x:v>Aprobado</x:v>
      </x:c>
      <x:c r="J1036" t="n">
        <x:v>29900</x:v>
      </x:c>
      <x:c r="K1036" t="str">
        <x:v>Tarjeta débito</x:v>
      </x:c>
      <x:c r="L1036" t="str">
        <x:v>Sin error</x:v>
      </x:c>
    </x:row>
    <x:row r="1037">
      <x:c r="A1037" t="str">
        <x:v>TXN-0001036</x:v>
      </x:c>
      <x:c r="B1037" t="str">
        <x:v>2026-04</x:v>
      </x:c>
      <x:c r="C1037" t="n">
        <x:v>46122</x:v>
      </x:c>
      <x:c r="D1037" t="str">
        <x:v>USR-00071</x:v>
      </x:c>
      <x:c r="E1037" t="str">
        <x:v>SUS-000217</x:v>
      </x:c>
      <x:c r="F1037" t="str">
        <x:v>Plus mensual</x:v>
      </x:c>
      <x:c r="G1037" t="str">
        <x:v>Mensual</x:v>
      </x:c>
      <x:c r="H1037" t="n">
        <x:v>1</x:v>
      </x:c>
      <x:c r="I1037" t="str">
        <x:v>Aprobado</x:v>
      </x:c>
      <x:c r="J1037" t="n">
        <x:v>29900</x:v>
      </x:c>
      <x:c r="K1037" t="str">
        <x:v>PSE</x:v>
      </x:c>
      <x:c r="L1037" t="str">
        <x:v>Sin error</x:v>
      </x:c>
    </x:row>
    <x:row r="1038">
      <x:c r="A1038" t="str">
        <x:v>TXN-0001037</x:v>
      </x:c>
      <x:c r="B1038" t="str">
        <x:v>2026-04</x:v>
      </x:c>
      <x:c r="C1038" t="n">
        <x:v>46119</x:v>
      </x:c>
      <x:c r="D1038" t="str">
        <x:v>USR-00076</x:v>
      </x:c>
      <x:c r="E1038" t="str">
        <x:v>SUS-000966</x:v>
      </x:c>
      <x:c r="F1038" t="str">
        <x:v>Plus mensual</x:v>
      </x:c>
      <x:c r="G1038" t="str">
        <x:v>Mensual</x:v>
      </x:c>
      <x:c r="H1038" t="n">
        <x:v>1</x:v>
      </x:c>
      <x:c r="I1038" t="str">
        <x:v>Aprobado</x:v>
      </x:c>
      <x:c r="J1038" t="n">
        <x:v>29900</x:v>
      </x:c>
      <x:c r="K1038" t="str">
        <x:v>Tarjeta débito</x:v>
      </x:c>
      <x:c r="L1038" t="str">
        <x:v>Sin error</x:v>
      </x:c>
    </x:row>
    <x:row r="1039">
      <x:c r="A1039" t="str">
        <x:v>TXN-0001038</x:v>
      </x:c>
      <x:c r="B1039" t="str">
        <x:v>2026-04</x:v>
      </x:c>
      <x:c r="C1039" t="n">
        <x:v>46117</x:v>
      </x:c>
      <x:c r="D1039" t="str">
        <x:v>USR-00078</x:v>
      </x:c>
      <x:c r="E1039" t="str">
        <x:v>SUS-000083</x:v>
      </x:c>
      <x:c r="F1039" t="str">
        <x:v>Plus mensual</x:v>
      </x:c>
      <x:c r="G1039" t="str">
        <x:v>Mensual</x:v>
      </x:c>
      <x:c r="H1039" t="n">
        <x:v>1</x:v>
      </x:c>
      <x:c r="I1039" t="str">
        <x:v>Aprobado</x:v>
      </x:c>
      <x:c r="J1039" t="n">
        <x:v>29900</x:v>
      </x:c>
      <x:c r="K1039" t="str">
        <x:v>PSE</x:v>
      </x:c>
      <x:c r="L1039" t="str">
        <x:v>Sin error</x:v>
      </x:c>
    </x:row>
    <x:row r="1040">
      <x:c r="A1040" t="str">
        <x:v>TXN-0001039</x:v>
      </x:c>
      <x:c r="B1040" t="str">
        <x:v>2026-04</x:v>
      </x:c>
      <x:c r="C1040" t="n">
        <x:v>46121</x:v>
      </x:c>
      <x:c r="D1040" t="str">
        <x:v>USR-00079</x:v>
      </x:c>
      <x:c r="E1040" t="str">
        <x:v>SUS-000336</x:v>
      </x:c>
      <x:c r="F1040" t="str">
        <x:v>Plus mensual</x:v>
      </x:c>
      <x:c r="G1040" t="str">
        <x:v>Mensual</x:v>
      </x:c>
      <x:c r="H1040" t="n">
        <x:v>1</x:v>
      </x:c>
      <x:c r="I1040" t="str">
        <x:v>Aprobado</x:v>
      </x:c>
      <x:c r="J1040" t="n">
        <x:v>29900</x:v>
      </x:c>
      <x:c r="K1040" t="str">
        <x:v>Tarjeta débito</x:v>
      </x:c>
      <x:c r="L1040" t="str">
        <x:v>Sin error</x:v>
      </x:c>
    </x:row>
    <x:row r="1041">
      <x:c r="A1041" t="str">
        <x:v>TXN-0001040</x:v>
      </x:c>
      <x:c r="B1041" t="str">
        <x:v>2026-04</x:v>
      </x:c>
      <x:c r="C1041" t="n">
        <x:v>46118</x:v>
      </x:c>
      <x:c r="D1041" t="str">
        <x:v>USR-00083</x:v>
      </x:c>
      <x:c r="E1041" t="str">
        <x:v>SUS-000218</x:v>
      </x:c>
      <x:c r="F1041" t="str">
        <x:v>Plus mensual</x:v>
      </x:c>
      <x:c r="G1041" t="str">
        <x:v>Mensual</x:v>
      </x:c>
      <x:c r="H1041" t="n">
        <x:v>1</x:v>
      </x:c>
      <x:c r="I1041" t="str">
        <x:v>Aprobado</x:v>
      </x:c>
      <x:c r="J1041" t="n">
        <x:v>29900</x:v>
      </x:c>
      <x:c r="K1041" t="str">
        <x:v>PSE</x:v>
      </x:c>
      <x:c r="L1041" t="str">
        <x:v>Sin error</x:v>
      </x:c>
    </x:row>
    <x:row r="1042">
      <x:c r="A1042" t="str">
        <x:v>TXN-0001041</x:v>
      </x:c>
      <x:c r="B1042" t="str">
        <x:v>2026-04</x:v>
      </x:c>
      <x:c r="C1042" t="n">
        <x:v>46124</x:v>
      </x:c>
      <x:c r="D1042" t="str">
        <x:v>USR-00091</x:v>
      </x:c>
      <x:c r="E1042" t="str">
        <x:v>SUS-000736</x:v>
      </x:c>
      <x:c r="F1042" t="str">
        <x:v>Plus mensual</x:v>
      </x:c>
      <x:c r="G1042" t="str">
        <x:v>Mensual</x:v>
      </x:c>
      <x:c r="H1042" t="n">
        <x:v>1</x:v>
      </x:c>
      <x:c r="I1042" t="str">
        <x:v>Aprobado</x:v>
      </x:c>
      <x:c r="J1042" t="n">
        <x:v>29900</x:v>
      </x:c>
      <x:c r="K1042" t="str">
        <x:v>PSE</x:v>
      </x:c>
      <x:c r="L1042" t="str">
        <x:v>Sin error</x:v>
      </x:c>
    </x:row>
    <x:row r="1043">
      <x:c r="A1043" t="str">
        <x:v>TXN-0001042</x:v>
      </x:c>
      <x:c r="B1043" t="str">
        <x:v>2026-04</x:v>
      </x:c>
      <x:c r="C1043" t="n">
        <x:v>46122</x:v>
      </x:c>
      <x:c r="D1043" t="str">
        <x:v>USR-00096</x:v>
      </x:c>
      <x:c r="E1043" t="str">
        <x:v>SUS-000273</x:v>
      </x:c>
      <x:c r="F1043" t="str">
        <x:v>Plus mensual</x:v>
      </x:c>
      <x:c r="G1043" t="str">
        <x:v>Mensual</x:v>
      </x:c>
      <x:c r="H1043" t="n">
        <x:v>1</x:v>
      </x:c>
      <x:c r="I1043" t="str">
        <x:v>Aprobado</x:v>
      </x:c>
      <x:c r="J1043" t="n">
        <x:v>29900</x:v>
      </x:c>
      <x:c r="K1043" t="str">
        <x:v>Tarjeta crédito</x:v>
      </x:c>
      <x:c r="L1043" t="str">
        <x:v>Sin error</x:v>
      </x:c>
    </x:row>
    <x:row r="1044">
      <x:c r="A1044" t="str">
        <x:v>TXN-0001043</x:v>
      </x:c>
      <x:c r="B1044" t="str">
        <x:v>2026-04</x:v>
      </x:c>
      <x:c r="C1044" t="n">
        <x:v>46121</x:v>
      </x:c>
      <x:c r="D1044" t="str">
        <x:v>USR-00097</x:v>
      </x:c>
      <x:c r="E1044" t="str">
        <x:v>SIN_SUSCRIPCION</x:v>
      </x:c>
      <x:c r="F1044" t="str">
        <x:v>Plus mensual</x:v>
      </x:c>
      <x:c r="G1044" t="str">
        <x:v>Mensual</x:v>
      </x:c>
      <x:c r="H1044" t="n">
        <x:v>1</x:v>
      </x:c>
      <x:c r="I1044" t="str">
        <x:v>Rechazado</x:v>
      </x:c>
      <x:c r="J1044" t="n">
        <x:v>29900</x:v>
      </x:c>
      <x:c r="K1044" t="str">
        <x:v>PSE</x:v>
      </x:c>
      <x:c r="L1044" t="str">
        <x:v>Declinado por entidad</x:v>
      </x:c>
    </x:row>
    <x:row r="1045">
      <x:c r="A1045" t="str">
        <x:v>TXN-0001044</x:v>
      </x:c>
      <x:c r="B1045" t="str">
        <x:v>2026-04</x:v>
      </x:c>
      <x:c r="C1045" t="n">
        <x:v>46117</x:v>
      </x:c>
      <x:c r="D1045" t="str">
        <x:v>USR-00097</x:v>
      </x:c>
      <x:c r="E1045" t="str">
        <x:v>SIN_SUSCRIPCION</x:v>
      </x:c>
      <x:c r="F1045" t="str">
        <x:v>Plus mensual</x:v>
      </x:c>
      <x:c r="G1045" t="str">
        <x:v>Mensual</x:v>
      </x:c>
      <x:c r="H1045" t="n">
        <x:v>2</x:v>
      </x:c>
      <x:c r="I1045" t="str">
        <x:v>Rechazado</x:v>
      </x:c>
      <x:c r="J1045" t="n">
        <x:v>29900</x:v>
      </x:c>
      <x:c r="K1045" t="str">
        <x:v>PSE</x:v>
      </x:c>
      <x:c r="L1045" t="str">
        <x:v>Error temporal</x:v>
      </x:c>
    </x:row>
    <x:row r="1046">
      <x:c r="A1046" t="str">
        <x:v>TXN-0001045</x:v>
      </x:c>
      <x:c r="B1046" t="str">
        <x:v>2026-04</x:v>
      </x:c>
      <x:c r="C1046" t="n">
        <x:v>46117</x:v>
      </x:c>
      <x:c r="D1046" t="str">
        <x:v>USR-00099</x:v>
      </x:c>
      <x:c r="E1046" t="str">
        <x:v>SUS-000337</x:v>
      </x:c>
      <x:c r="F1046" t="str">
        <x:v>Plus mensual</x:v>
      </x:c>
      <x:c r="G1046" t="str">
        <x:v>Mensual</x:v>
      </x:c>
      <x:c r="H1046" t="n">
        <x:v>1</x:v>
      </x:c>
      <x:c r="I1046" t="str">
        <x:v>Aprobado</x:v>
      </x:c>
      <x:c r="J1046" t="n">
        <x:v>29900</x:v>
      </x:c>
      <x:c r="K1046" t="str">
        <x:v>PSE</x:v>
      </x:c>
      <x:c r="L1046" t="str">
        <x:v>Sin error</x:v>
      </x:c>
    </x:row>
    <x:row r="1047">
      <x:c r="A1047" t="str">
        <x:v>TXN-0001046</x:v>
      </x:c>
      <x:c r="B1047" t="str">
        <x:v>2026-04</x:v>
      </x:c>
      <x:c r="C1047" t="n">
        <x:v>46122</x:v>
      </x:c>
      <x:c r="D1047" t="str">
        <x:v>USR-00102</x:v>
      </x:c>
      <x:c r="E1047" t="str">
        <x:v>SUS-000842</x:v>
      </x:c>
      <x:c r="F1047" t="str">
        <x:v>Plus mensual</x:v>
      </x:c>
      <x:c r="G1047" t="str">
        <x:v>Mensual</x:v>
      </x:c>
      <x:c r="H1047" t="n">
        <x:v>1</x:v>
      </x:c>
      <x:c r="I1047" t="str">
        <x:v>Rechazado</x:v>
      </x:c>
      <x:c r="J1047" t="n">
        <x:v>29900</x:v>
      </x:c>
      <x:c r="K1047" t="str">
        <x:v>PSE</x:v>
      </x:c>
      <x:c r="L1047" t="str">
        <x:v>Error temporal</x:v>
      </x:c>
    </x:row>
    <x:row r="1048">
      <x:c r="A1048" t="str">
        <x:v>TXN-0001047</x:v>
      </x:c>
      <x:c r="B1048" t="str">
        <x:v>2026-04</x:v>
      </x:c>
      <x:c r="C1048" t="n">
        <x:v>46119</x:v>
      </x:c>
      <x:c r="D1048" t="str">
        <x:v>USR-00102</x:v>
      </x:c>
      <x:c r="E1048" t="str">
        <x:v>SUS-000842</x:v>
      </x:c>
      <x:c r="F1048" t="str">
        <x:v>Plus mensual</x:v>
      </x:c>
      <x:c r="G1048" t="str">
        <x:v>Mensual</x:v>
      </x:c>
      <x:c r="H1048" t="n">
        <x:v>2</x:v>
      </x:c>
      <x:c r="I1048" t="str">
        <x:v>Aprobado</x:v>
      </x:c>
      <x:c r="J1048" t="n">
        <x:v>29900</x:v>
      </x:c>
      <x:c r="K1048" t="str">
        <x:v>Tarjeta débito</x:v>
      </x:c>
      <x:c r="L1048" t="str">
        <x:v>Sin error</x:v>
      </x:c>
    </x:row>
    <x:row r="1049">
      <x:c r="A1049" t="str">
        <x:v>TXN-0001048</x:v>
      </x:c>
      <x:c r="B1049" t="str">
        <x:v>2026-04</x:v>
      </x:c>
      <x:c r="C1049" t="n">
        <x:v>46118</x:v>
      </x:c>
      <x:c r="D1049" t="str">
        <x:v>USR-00116</x:v>
      </x:c>
      <x:c r="E1049" t="str">
        <x:v>SUS-000390</x:v>
      </x:c>
      <x:c r="F1049" t="str">
        <x:v>Plus mensual</x:v>
      </x:c>
      <x:c r="G1049" t="str">
        <x:v>Mensual</x:v>
      </x:c>
      <x:c r="H1049" t="n">
        <x:v>1</x:v>
      </x:c>
      <x:c r="I1049" t="str">
        <x:v>Aprobado</x:v>
      </x:c>
      <x:c r="J1049" t="n">
        <x:v>29900</x:v>
      </x:c>
      <x:c r="K1049" t="str">
        <x:v>PSE</x:v>
      </x:c>
      <x:c r="L1049" t="str">
        <x:v>Sin error</x:v>
      </x:c>
    </x:row>
    <x:row r="1050">
      <x:c r="A1050" t="str">
        <x:v>TXN-0001049</x:v>
      </x:c>
      <x:c r="B1050" t="str">
        <x:v>2026-04</x:v>
      </x:c>
      <x:c r="C1050" t="n">
        <x:v>46123</x:v>
      </x:c>
      <x:c r="D1050" t="str">
        <x:v>USR-00122</x:v>
      </x:c>
      <x:c r="E1050" t="str">
        <x:v>SUS-000843</x:v>
      </x:c>
      <x:c r="F1050" t="str">
        <x:v>Plus mensual</x:v>
      </x:c>
      <x:c r="G1050" t="str">
        <x:v>Mensual</x:v>
      </x:c>
      <x:c r="H1050" t="n">
        <x:v>1</x:v>
      </x:c>
      <x:c r="I1050" t="str">
        <x:v>Aprobado</x:v>
      </x:c>
      <x:c r="J1050" t="n">
        <x:v>29900</x:v>
      </x:c>
      <x:c r="K1050" t="str">
        <x:v>PSE</x:v>
      </x:c>
      <x:c r="L1050" t="str">
        <x:v>Sin error</x:v>
      </x:c>
    </x:row>
    <x:row r="1051">
      <x:c r="A1051" t="str">
        <x:v>TXN-0001050</x:v>
      </x:c>
      <x:c r="B1051" t="str">
        <x:v>2026-04</x:v>
      </x:c>
      <x:c r="C1051" t="n">
        <x:v>46119</x:v>
      </x:c>
      <x:c r="D1051" t="str">
        <x:v>USR-00145</x:v>
      </x:c>
      <x:c r="E1051" t="str">
        <x:v>SUS-000168</x:v>
      </x:c>
      <x:c r="F1051" t="str">
        <x:v>Plus mensual</x:v>
      </x:c>
      <x:c r="G1051" t="str">
        <x:v>Mensual</x:v>
      </x:c>
      <x:c r="H1051" t="n">
        <x:v>1</x:v>
      </x:c>
      <x:c r="I1051" t="str">
        <x:v>Aprobado</x:v>
      </x:c>
      <x:c r="J1051" t="n">
        <x:v>29900</x:v>
      </x:c>
      <x:c r="K1051" t="str">
        <x:v>PSE</x:v>
      </x:c>
      <x:c r="L1051" t="str">
        <x:v>Sin error</x:v>
      </x:c>
    </x:row>
    <x:row r="1052">
      <x:c r="A1052" t="str">
        <x:v>TXN-0001051</x:v>
      </x:c>
      <x:c r="B1052" t="str">
        <x:v>2026-04</x:v>
      </x:c>
      <x:c r="C1052" t="n">
        <x:v>46121</x:v>
      </x:c>
      <x:c r="D1052" t="str">
        <x:v>USR-00148</x:v>
      </x:c>
      <x:c r="E1052" t="str">
        <x:v>SUS-000740</x:v>
      </x:c>
      <x:c r="F1052" t="str">
        <x:v>Plus mensual</x:v>
      </x:c>
      <x:c r="G1052" t="str">
        <x:v>Mensual</x:v>
      </x:c>
      <x:c r="H1052" t="n">
        <x:v>1</x:v>
      </x:c>
      <x:c r="I1052" t="str">
        <x:v>Aprobado</x:v>
      </x:c>
      <x:c r="J1052" t="n">
        <x:v>29900</x:v>
      </x:c>
      <x:c r="K1052" t="str">
        <x:v>Tarjeta crédito</x:v>
      </x:c>
      <x:c r="L1052" t="str">
        <x:v>Sin error</x:v>
      </x:c>
    </x:row>
    <x:row r="1053">
      <x:c r="A1053" t="str">
        <x:v>TXN-0001052</x:v>
      </x:c>
      <x:c r="B1053" t="str">
        <x:v>2026-04</x:v>
      </x:c>
      <x:c r="C1053" t="n">
        <x:v>46117</x:v>
      </x:c>
      <x:c r="D1053" t="str">
        <x:v>USR-00150</x:v>
      </x:c>
      <x:c r="E1053" t="str">
        <x:v>SUS-000969</x:v>
      </x:c>
      <x:c r="F1053" t="str">
        <x:v>Plus anual</x:v>
      </x:c>
      <x:c r="G1053" t="str">
        <x:v>Anual</x:v>
      </x:c>
      <x:c r="H1053" t="n">
        <x:v>1</x:v>
      </x:c>
      <x:c r="I1053" t="str">
        <x:v>Aprobado</x:v>
      </x:c>
      <x:c r="J1053" t="n">
        <x:v>299000</x:v>
      </x:c>
      <x:c r="K1053" t="str">
        <x:v>Tarjeta débito</x:v>
      </x:c>
      <x:c r="L1053" t="str">
        <x:v>Sin error</x:v>
      </x:c>
    </x:row>
    <x:row r="1054">
      <x:c r="A1054" t="str">
        <x:v>TXN-0001053</x:v>
      </x:c>
      <x:c r="B1054" t="str">
        <x:v>2026-04</x:v>
      </x:c>
      <x:c r="C1054" t="n">
        <x:v>46123</x:v>
      </x:c>
      <x:c r="D1054" t="str">
        <x:v>USR-00154</x:v>
      </x:c>
      <x:c r="E1054" t="str">
        <x:v>SUS-000278</x:v>
      </x:c>
      <x:c r="F1054" t="str">
        <x:v>Plus mensual</x:v>
      </x:c>
      <x:c r="G1054" t="str">
        <x:v>Mensual</x:v>
      </x:c>
      <x:c r="H1054" t="n">
        <x:v>1</x:v>
      </x:c>
      <x:c r="I1054" t="str">
        <x:v>Aprobado</x:v>
      </x:c>
      <x:c r="J1054" t="n">
        <x:v>29900</x:v>
      </x:c>
      <x:c r="K1054" t="str">
        <x:v>PSE</x:v>
      </x:c>
      <x:c r="L1054" t="str">
        <x:v>Sin error</x:v>
      </x:c>
    </x:row>
    <x:row r="1055">
      <x:c r="A1055" t="str">
        <x:v>TXN-0001054</x:v>
      </x:c>
      <x:c r="B1055" t="str">
        <x:v>2026-04</x:v>
      </x:c>
      <x:c r="C1055" t="n">
        <x:v>46124</x:v>
      </x:c>
      <x:c r="D1055" t="str">
        <x:v>USR-00155</x:v>
      </x:c>
      <x:c r="E1055" t="str">
        <x:v>SUS-000462</x:v>
      </x:c>
      <x:c r="F1055" t="str">
        <x:v>Plus mensual</x:v>
      </x:c>
      <x:c r="G1055" t="str">
        <x:v>Mensual</x:v>
      </x:c>
      <x:c r="H1055" t="n">
        <x:v>1</x:v>
      </x:c>
      <x:c r="I1055" t="str">
        <x:v>Aprobado</x:v>
      </x:c>
      <x:c r="J1055" t="n">
        <x:v>29900</x:v>
      </x:c>
      <x:c r="K1055" t="str">
        <x:v>Tarjeta crédito</x:v>
      </x:c>
      <x:c r="L1055" t="str">
        <x:v>Sin error</x:v>
      </x:c>
    </x:row>
    <x:row r="1056">
      <x:c r="A1056" t="str">
        <x:v>TXN-0001055</x:v>
      </x:c>
      <x:c r="B1056" t="str">
        <x:v>2026-04</x:v>
      </x:c>
      <x:c r="C1056" t="n">
        <x:v>46123</x:v>
      </x:c>
      <x:c r="D1056" t="str">
        <x:v>USR-00162</x:v>
      </x:c>
      <x:c r="E1056" t="str">
        <x:v>SUS-000225</x:v>
      </x:c>
      <x:c r="F1056" t="str">
        <x:v>Plus mensual</x:v>
      </x:c>
      <x:c r="G1056" t="str">
        <x:v>Mensual</x:v>
      </x:c>
      <x:c r="H1056" t="n">
        <x:v>1</x:v>
      </x:c>
      <x:c r="I1056" t="str">
        <x:v>Aprobado</x:v>
      </x:c>
      <x:c r="J1056" t="n">
        <x:v>29900</x:v>
      </x:c>
      <x:c r="K1056" t="str">
        <x:v>PSE</x:v>
      </x:c>
      <x:c r="L1056" t="str">
        <x:v>Sin error</x:v>
      </x:c>
    </x:row>
    <x:row r="1057">
      <x:c r="A1057" t="str">
        <x:v>TXN-0001056</x:v>
      </x:c>
      <x:c r="B1057" t="str">
        <x:v>2026-04</x:v>
      </x:c>
      <x:c r="C1057" t="n">
        <x:v>46119</x:v>
      </x:c>
      <x:c r="D1057" t="str">
        <x:v>USR-00164</x:v>
      </x:c>
      <x:c r="E1057" t="str">
        <x:v>SUS-000534</x:v>
      </x:c>
      <x:c r="F1057" t="str">
        <x:v>Plus mensual</x:v>
      </x:c>
      <x:c r="G1057" t="str">
        <x:v>Mensual</x:v>
      </x:c>
      <x:c r="H1057" t="n">
        <x:v>1</x:v>
      </x:c>
      <x:c r="I1057" t="str">
        <x:v>Aprobado</x:v>
      </x:c>
      <x:c r="J1057" t="n">
        <x:v>29900</x:v>
      </x:c>
      <x:c r="K1057" t="str">
        <x:v>PSE</x:v>
      </x:c>
      <x:c r="L1057" t="str">
        <x:v>Sin error</x:v>
      </x:c>
    </x:row>
    <x:row r="1058">
      <x:c r="A1058" t="str">
        <x:v>TXN-0001057</x:v>
      </x:c>
      <x:c r="B1058" t="str">
        <x:v>2026-04</x:v>
      </x:c>
      <x:c r="C1058" t="n">
        <x:v>46119</x:v>
      </x:c>
      <x:c r="D1058" t="str">
        <x:v>USR-00167</x:v>
      </x:c>
      <x:c r="E1058" t="str">
        <x:v>SUS-000226</x:v>
      </x:c>
      <x:c r="F1058" t="str">
        <x:v>Plus mensual</x:v>
      </x:c>
      <x:c r="G1058" t="str">
        <x:v>Mensual</x:v>
      </x:c>
      <x:c r="H1058" t="n">
        <x:v>1</x:v>
      </x:c>
      <x:c r="I1058" t="str">
        <x:v>Aprobado</x:v>
      </x:c>
      <x:c r="J1058" t="n">
        <x:v>29900</x:v>
      </x:c>
      <x:c r="K1058" t="str">
        <x:v>PSE</x:v>
      </x:c>
      <x:c r="L1058" t="str">
        <x:v>Sin error</x:v>
      </x:c>
    </x:row>
    <x:row r="1059">
      <x:c r="A1059" t="str">
        <x:v>TXN-0001058</x:v>
      </x:c>
      <x:c r="B1059" t="str">
        <x:v>2026-04</x:v>
      </x:c>
      <x:c r="C1059" t="n">
        <x:v>46117</x:v>
      </x:c>
      <x:c r="D1059" t="str">
        <x:v>USR-00184</x:v>
      </x:c>
      <x:c r="E1059" t="str">
        <x:v>SUS-000281</x:v>
      </x:c>
      <x:c r="F1059" t="str">
        <x:v>Plus mensual</x:v>
      </x:c>
      <x:c r="G1059" t="str">
        <x:v>Mensual</x:v>
      </x:c>
      <x:c r="H1059" t="n">
        <x:v>1</x:v>
      </x:c>
      <x:c r="I1059" t="str">
        <x:v>Aprobado</x:v>
      </x:c>
      <x:c r="J1059" t="n">
        <x:v>29900</x:v>
      </x:c>
      <x:c r="K1059" t="str">
        <x:v>Tarjeta débito</x:v>
      </x:c>
      <x:c r="L1059" t="str">
        <x:v>Sin error</x:v>
      </x:c>
    </x:row>
    <x:row r="1060">
      <x:c r="A1060" t="str">
        <x:v>TXN-0001059</x:v>
      </x:c>
      <x:c r="B1060" t="str">
        <x:v>2026-04</x:v>
      </x:c>
      <x:c r="C1060" t="n">
        <x:v>46119</x:v>
      </x:c>
      <x:c r="D1060" t="str">
        <x:v>USR-00186</x:v>
      </x:c>
      <x:c r="E1060" t="str">
        <x:v>SUS-000971</x:v>
      </x:c>
      <x:c r="F1060" t="str">
        <x:v>Plus mensual</x:v>
      </x:c>
      <x:c r="G1060" t="str">
        <x:v>Mensual</x:v>
      </x:c>
      <x:c r="H1060" t="n">
        <x:v>1</x:v>
      </x:c>
      <x:c r="I1060" t="str">
        <x:v>Aprobado</x:v>
      </x:c>
      <x:c r="J1060" t="n">
        <x:v>29900</x:v>
      </x:c>
      <x:c r="K1060" t="str">
        <x:v>Tarjeta débito</x:v>
      </x:c>
      <x:c r="L1060" t="str">
        <x:v>Sin error</x:v>
      </x:c>
    </x:row>
    <x:row r="1061">
      <x:c r="A1061" t="str">
        <x:v>TXN-0001060</x:v>
      </x:c>
      <x:c r="B1061" t="str">
        <x:v>2026-04</x:v>
      </x:c>
      <x:c r="C1061" t="n">
        <x:v>46117</x:v>
      </x:c>
      <x:c r="D1061" t="str">
        <x:v>USR-00188</x:v>
      </x:c>
      <x:c r="E1061" t="str">
        <x:v>SUS-000229</x:v>
      </x:c>
      <x:c r="F1061" t="str">
        <x:v>Plus mensual</x:v>
      </x:c>
      <x:c r="G1061" t="str">
        <x:v>Mensual</x:v>
      </x:c>
      <x:c r="H1061" t="n">
        <x:v>1</x:v>
      </x:c>
      <x:c r="I1061" t="str">
        <x:v>Aprobado</x:v>
      </x:c>
      <x:c r="J1061" t="n">
        <x:v>29900</x:v>
      </x:c>
      <x:c r="K1061" t="str">
        <x:v>PSE</x:v>
      </x:c>
      <x:c r="L1061" t="str">
        <x:v>Sin error</x:v>
      </x:c>
    </x:row>
    <x:row r="1062">
      <x:c r="A1062" t="str">
        <x:v>TXN-0001061</x:v>
      </x:c>
      <x:c r="B1062" t="str">
        <x:v>2026-04</x:v>
      </x:c>
      <x:c r="C1062" t="n">
        <x:v>46120</x:v>
      </x:c>
      <x:c r="D1062" t="str">
        <x:v>USR-00201</x:v>
      </x:c>
      <x:c r="E1062" t="str">
        <x:v>SUS-000242</x:v>
      </x:c>
      <x:c r="F1062" t="str">
        <x:v>Plus mensual</x:v>
      </x:c>
      <x:c r="G1062" t="str">
        <x:v>Mensual</x:v>
      </x:c>
      <x:c r="H1062" t="n">
        <x:v>1</x:v>
      </x:c>
      <x:c r="I1062" t="str">
        <x:v>Aprobado</x:v>
      </x:c>
      <x:c r="J1062" t="n">
        <x:v>29900</x:v>
      </x:c>
      <x:c r="K1062" t="str">
        <x:v>Tarjeta crédito</x:v>
      </x:c>
      <x:c r="L1062" t="str">
        <x:v>Sin error</x:v>
      </x:c>
    </x:row>
    <x:row r="1063">
      <x:c r="A1063" t="str">
        <x:v>TXN-0001062</x:v>
      </x:c>
      <x:c r="B1063" t="str">
        <x:v>2026-04</x:v>
      </x:c>
      <x:c r="C1063" t="n">
        <x:v>46121</x:v>
      </x:c>
      <x:c r="D1063" t="str">
        <x:v>USR-00206</x:v>
      </x:c>
      <x:c r="E1063" t="str">
        <x:v>SUS-000623</x:v>
      </x:c>
      <x:c r="F1063" t="str">
        <x:v>Plus mensual</x:v>
      </x:c>
      <x:c r="G1063" t="str">
        <x:v>Mensual</x:v>
      </x:c>
      <x:c r="H1063" t="n">
        <x:v>1</x:v>
      </x:c>
      <x:c r="I1063" t="str">
        <x:v>Aprobado</x:v>
      </x:c>
      <x:c r="J1063" t="n">
        <x:v>29900</x:v>
      </x:c>
      <x:c r="K1063" t="str">
        <x:v>Tarjeta crédito</x:v>
      </x:c>
      <x:c r="L1063" t="str">
        <x:v>Sin error</x:v>
      </x:c>
    </x:row>
    <x:row r="1064">
      <x:c r="A1064" t="str">
        <x:v>TXN-0001063</x:v>
      </x:c>
      <x:c r="B1064" t="str">
        <x:v>2026-04</x:v>
      </x:c>
      <x:c r="C1064" t="n">
        <x:v>46121</x:v>
      </x:c>
      <x:c r="D1064" t="str">
        <x:v>USR-00207</x:v>
      </x:c>
      <x:c r="E1064" t="str">
        <x:v>SUS-000624</x:v>
      </x:c>
      <x:c r="F1064" t="str">
        <x:v>Plus mensual</x:v>
      </x:c>
      <x:c r="G1064" t="str">
        <x:v>Mensual</x:v>
      </x:c>
      <x:c r="H1064" t="n">
        <x:v>1</x:v>
      </x:c>
      <x:c r="I1064" t="str">
        <x:v>Aprobado</x:v>
      </x:c>
      <x:c r="J1064" t="n">
        <x:v>29900</x:v>
      </x:c>
      <x:c r="K1064" t="str">
        <x:v>Tarjeta débito</x:v>
      </x:c>
      <x:c r="L1064" t="str">
        <x:v>Sin error</x:v>
      </x:c>
    </x:row>
    <x:row r="1065">
      <x:c r="A1065" t="str">
        <x:v>TXN-0001064</x:v>
      </x:c>
      <x:c r="B1065" t="str">
        <x:v>2026-04</x:v>
      </x:c>
      <x:c r="C1065" t="n">
        <x:v>46121</x:v>
      </x:c>
      <x:c r="D1065" t="str">
        <x:v>USR-00211</x:v>
      </x:c>
      <x:c r="E1065" t="str">
        <x:v>SUS-000747</x:v>
      </x:c>
      <x:c r="F1065" t="str">
        <x:v>Plus mensual</x:v>
      </x:c>
      <x:c r="G1065" t="str">
        <x:v>Mensual</x:v>
      </x:c>
      <x:c r="H1065" t="n">
        <x:v>1</x:v>
      </x:c>
      <x:c r="I1065" t="str">
        <x:v>Aprobado</x:v>
      </x:c>
      <x:c r="J1065" t="n">
        <x:v>29900</x:v>
      </x:c>
      <x:c r="K1065" t="str">
        <x:v>PSE</x:v>
      </x:c>
      <x:c r="L1065" t="str">
        <x:v>Sin error</x:v>
      </x:c>
    </x:row>
    <x:row r="1066">
      <x:c r="A1066" t="str">
        <x:v>TXN-0001065</x:v>
      </x:c>
      <x:c r="B1066" t="str">
        <x:v>2026-04</x:v>
      </x:c>
      <x:c r="C1066" t="n">
        <x:v>46117</x:v>
      </x:c>
      <x:c r="D1066" t="str">
        <x:v>USR-00213</x:v>
      </x:c>
      <x:c r="E1066" t="str">
        <x:v>SUS-000972</x:v>
      </x:c>
      <x:c r="F1066" t="str">
        <x:v>Plus mensual</x:v>
      </x:c>
      <x:c r="G1066" t="str">
        <x:v>Mensual</x:v>
      </x:c>
      <x:c r="H1066" t="n">
        <x:v>1</x:v>
      </x:c>
      <x:c r="I1066" t="str">
        <x:v>Aprobado</x:v>
      </x:c>
      <x:c r="J1066" t="n">
        <x:v>29900</x:v>
      </x:c>
      <x:c r="K1066" t="str">
        <x:v>Tarjeta crédito</x:v>
      </x:c>
      <x:c r="L1066" t="str">
        <x:v>Sin error</x:v>
      </x:c>
    </x:row>
    <x:row r="1067">
      <x:c r="A1067" t="str">
        <x:v>TXN-0001066</x:v>
      </x:c>
      <x:c r="B1067" t="str">
        <x:v>2026-04</x:v>
      </x:c>
      <x:c r="C1067" t="n">
        <x:v>46120</x:v>
      </x:c>
      <x:c r="D1067" t="str">
        <x:v>USR-00220</x:v>
      </x:c>
      <x:c r="E1067" t="str">
        <x:v>SUS-000261</x:v>
      </x:c>
      <x:c r="F1067" t="str">
        <x:v>Plus mensual</x:v>
      </x:c>
      <x:c r="G1067" t="str">
        <x:v>Mensual</x:v>
      </x:c>
      <x:c r="H1067" t="n">
        <x:v>1</x:v>
      </x:c>
      <x:c r="I1067" t="str">
        <x:v>Aprobado</x:v>
      </x:c>
      <x:c r="J1067" t="n">
        <x:v>29900</x:v>
      </x:c>
      <x:c r="K1067" t="str">
        <x:v>PSE</x:v>
      </x:c>
      <x:c r="L1067" t="str">
        <x:v>Sin error</x:v>
      </x:c>
    </x:row>
    <x:row r="1068">
      <x:c r="A1068" t="str">
        <x:v>TXN-0001067</x:v>
      </x:c>
      <x:c r="B1068" t="str">
        <x:v>2026-04</x:v>
      </x:c>
      <x:c r="C1068" t="n">
        <x:v>46123</x:v>
      </x:c>
      <x:c r="D1068" t="str">
        <x:v>USR-00224</x:v>
      </x:c>
      <x:c r="E1068" t="str">
        <x:v>SUS-000265</x:v>
      </x:c>
      <x:c r="F1068" t="str">
        <x:v>Plus mensual</x:v>
      </x:c>
      <x:c r="G1068" t="str">
        <x:v>Mensual</x:v>
      </x:c>
      <x:c r="H1068" t="n">
        <x:v>1</x:v>
      </x:c>
      <x:c r="I1068" t="str">
        <x:v>Aprobado</x:v>
      </x:c>
      <x:c r="J1068" t="n">
        <x:v>29900</x:v>
      </x:c>
      <x:c r="K1068" t="str">
        <x:v>Tarjeta débito</x:v>
      </x:c>
      <x:c r="L1068" t="str">
        <x:v>Sin error</x:v>
      </x:c>
    </x:row>
    <x:row r="1069">
      <x:c r="A1069" t="str">
        <x:v>TXN-0001068</x:v>
      </x:c>
      <x:c r="B1069" t="str">
        <x:v>2026-04</x:v>
      </x:c>
      <x:c r="C1069" t="n">
        <x:v>46123</x:v>
      </x:c>
      <x:c r="D1069" t="str">
        <x:v>USR-00238</x:v>
      </x:c>
      <x:c r="E1069" t="str">
        <x:v>SUS-000299</x:v>
      </x:c>
      <x:c r="F1069" t="str">
        <x:v>Plus mensual</x:v>
      </x:c>
      <x:c r="G1069" t="str">
        <x:v>Mensual</x:v>
      </x:c>
      <x:c r="H1069" t="n">
        <x:v>1</x:v>
      </x:c>
      <x:c r="I1069" t="str">
        <x:v>Aprobado</x:v>
      </x:c>
      <x:c r="J1069" t="n">
        <x:v>29900</x:v>
      </x:c>
      <x:c r="K1069" t="str">
        <x:v>Tarjeta débito</x:v>
      </x:c>
      <x:c r="L1069" t="str">
        <x:v>Sin error</x:v>
      </x:c>
    </x:row>
    <x:row r="1070">
      <x:c r="A1070" t="str">
        <x:v>TXN-0001069</x:v>
      </x:c>
      <x:c r="B1070" t="str">
        <x:v>2026-04</x:v>
      </x:c>
      <x:c r="C1070" t="n">
        <x:v>46118</x:v>
      </x:c>
      <x:c r="D1070" t="str">
        <x:v>USR-00249</x:v>
      </x:c>
      <x:c r="E1070" t="str">
        <x:v>SUS-000310</x:v>
      </x:c>
      <x:c r="F1070" t="str">
        <x:v>Plus mensual</x:v>
      </x:c>
      <x:c r="G1070" t="str">
        <x:v>Mensual</x:v>
      </x:c>
      <x:c r="H1070" t="n">
        <x:v>1</x:v>
      </x:c>
      <x:c r="I1070" t="str">
        <x:v>Aprobado</x:v>
      </x:c>
      <x:c r="J1070" t="n">
        <x:v>29900</x:v>
      </x:c>
      <x:c r="K1070" t="str">
        <x:v>Tarjeta crédito</x:v>
      </x:c>
      <x:c r="L1070" t="str">
        <x:v>Sin error</x:v>
      </x:c>
    </x:row>
    <x:row r="1071">
      <x:c r="A1071" t="str">
        <x:v>TXN-0001070</x:v>
      </x:c>
      <x:c r="B1071" t="str">
        <x:v>2026-04</x:v>
      </x:c>
      <x:c r="C1071" t="n">
        <x:v>46120</x:v>
      </x:c>
      <x:c r="D1071" t="str">
        <x:v>USR-00250</x:v>
      </x:c>
      <x:c r="E1071" t="str">
        <x:v>SUS-000539</x:v>
      </x:c>
      <x:c r="F1071" t="str">
        <x:v>Plus mensual</x:v>
      </x:c>
      <x:c r="G1071" t="str">
        <x:v>Mensual</x:v>
      </x:c>
      <x:c r="H1071" t="n">
        <x:v>1</x:v>
      </x:c>
      <x:c r="I1071" t="str">
        <x:v>Aprobado</x:v>
      </x:c>
      <x:c r="J1071" t="n">
        <x:v>29900</x:v>
      </x:c>
      <x:c r="K1071" t="str">
        <x:v>Tarjeta débito</x:v>
      </x:c>
      <x:c r="L1071" t="str">
        <x:v>Sin error</x:v>
      </x:c>
    </x:row>
    <x:row r="1072">
      <x:c r="A1072" t="str">
        <x:v>TXN-0001071</x:v>
      </x:c>
      <x:c r="B1072" t="str">
        <x:v>2026-04</x:v>
      </x:c>
      <x:c r="C1072" t="n">
        <x:v>46121</x:v>
      </x:c>
      <x:c r="D1072" t="str">
        <x:v>USR-00252</x:v>
      </x:c>
      <x:c r="E1072" t="str">
        <x:v>SUS-000848</x:v>
      </x:c>
      <x:c r="F1072" t="str">
        <x:v>Plus mensual</x:v>
      </x:c>
      <x:c r="G1072" t="str">
        <x:v>Mensual</x:v>
      </x:c>
      <x:c r="H1072" t="n">
        <x:v>1</x:v>
      </x:c>
      <x:c r="I1072" t="str">
        <x:v>Aprobado</x:v>
      </x:c>
      <x:c r="J1072" t="n">
        <x:v>29900</x:v>
      </x:c>
      <x:c r="K1072" t="str">
        <x:v>PSE</x:v>
      </x:c>
      <x:c r="L1072" t="str">
        <x:v>Sin error</x:v>
      </x:c>
    </x:row>
    <x:row r="1073">
      <x:c r="A1073" t="str">
        <x:v>TXN-0001072</x:v>
      </x:c>
      <x:c r="B1073" t="str">
        <x:v>2026-04</x:v>
      </x:c>
      <x:c r="C1073" t="n">
        <x:v>46124</x:v>
      </x:c>
      <x:c r="D1073" t="str">
        <x:v>USR-00254</x:v>
      </x:c>
      <x:c r="E1073" t="str">
        <x:v>SUS-000974</x:v>
      </x:c>
      <x:c r="F1073" t="str">
        <x:v>Plus mensual</x:v>
      </x:c>
      <x:c r="G1073" t="str">
        <x:v>Mensual</x:v>
      </x:c>
      <x:c r="H1073" t="n">
        <x:v>1</x:v>
      </x:c>
      <x:c r="I1073" t="str">
        <x:v>Aprobado</x:v>
      </x:c>
      <x:c r="J1073" t="n">
        <x:v>29900</x:v>
      </x:c>
      <x:c r="K1073" t="str">
        <x:v>Tarjeta crédito</x:v>
      </x:c>
      <x:c r="L1073" t="str">
        <x:v>Sin error</x:v>
      </x:c>
    </x:row>
    <x:row r="1074">
      <x:c r="A1074" t="str">
        <x:v>TXN-0001073</x:v>
      </x:c>
      <x:c r="B1074" t="str">
        <x:v>2026-04</x:v>
      </x:c>
      <x:c r="C1074" t="n">
        <x:v>46121</x:v>
      </x:c>
      <x:c r="D1074" t="str">
        <x:v>USR-00265</x:v>
      </x:c>
      <x:c r="E1074" t="str">
        <x:v>SUS-000469</x:v>
      </x:c>
      <x:c r="F1074" t="str">
        <x:v>Plus mensual</x:v>
      </x:c>
      <x:c r="G1074" t="str">
        <x:v>Mensual</x:v>
      </x:c>
      <x:c r="H1074" t="n">
        <x:v>1</x:v>
      </x:c>
      <x:c r="I1074" t="str">
        <x:v>Aprobado</x:v>
      </x:c>
      <x:c r="J1074" t="n">
        <x:v>29900</x:v>
      </x:c>
      <x:c r="K1074" t="str">
        <x:v>Tarjeta débito</x:v>
      </x:c>
      <x:c r="L1074" t="str">
        <x:v>Sin error</x:v>
      </x:c>
    </x:row>
    <x:row r="1075">
      <x:c r="A1075" t="str">
        <x:v>TXN-0001074</x:v>
      </x:c>
      <x:c r="B1075" t="str">
        <x:v>2026-04</x:v>
      </x:c>
      <x:c r="C1075" t="n">
        <x:v>46117</x:v>
      </x:c>
      <x:c r="D1075" t="str">
        <x:v>USR-00268</x:v>
      </x:c>
      <x:c r="E1075" t="str">
        <x:v>SUS-000629</x:v>
      </x:c>
      <x:c r="F1075" t="str">
        <x:v>Plus mensual</x:v>
      </x:c>
      <x:c r="G1075" t="str">
        <x:v>Mensual</x:v>
      </x:c>
      <x:c r="H1075" t="n">
        <x:v>1</x:v>
      </x:c>
      <x:c r="I1075" t="str">
        <x:v>Aprobado</x:v>
      </x:c>
      <x:c r="J1075" t="n">
        <x:v>29900</x:v>
      </x:c>
      <x:c r="K1075" t="str">
        <x:v>PSE</x:v>
      </x:c>
      <x:c r="L1075" t="str">
        <x:v>Sin error</x:v>
      </x:c>
    </x:row>
    <x:row r="1076">
      <x:c r="A1076" t="str">
        <x:v>TXN-0001075</x:v>
      </x:c>
      <x:c r="B1076" t="str">
        <x:v>2026-04</x:v>
      </x:c>
      <x:c r="C1076" t="n">
        <x:v>46122</x:v>
      </x:c>
      <x:c r="D1076" t="str">
        <x:v>USR-00273</x:v>
      </x:c>
      <x:c r="E1076" t="str">
        <x:v>SUS-000850</x:v>
      </x:c>
      <x:c r="F1076" t="str">
        <x:v>Plus mensual</x:v>
      </x:c>
      <x:c r="G1076" t="str">
        <x:v>Mensual</x:v>
      </x:c>
      <x:c r="H1076" t="n">
        <x:v>1</x:v>
      </x:c>
      <x:c r="I1076" t="str">
        <x:v>Aprobado</x:v>
      </x:c>
      <x:c r="J1076" t="n">
        <x:v>29900</x:v>
      </x:c>
      <x:c r="K1076" t="str">
        <x:v>PSE</x:v>
      </x:c>
      <x:c r="L1076" t="str">
        <x:v>Sin error</x:v>
      </x:c>
    </x:row>
    <x:row r="1077">
      <x:c r="A1077" t="str">
        <x:v>TXN-0001076</x:v>
      </x:c>
      <x:c r="B1077" t="str">
        <x:v>2026-04</x:v>
      </x:c>
      <x:c r="C1077" t="n">
        <x:v>46120</x:v>
      </x:c>
      <x:c r="D1077" t="str">
        <x:v>USR-00279</x:v>
      </x:c>
      <x:c r="E1077" t="str">
        <x:v>SUS-000543</x:v>
      </x:c>
      <x:c r="F1077" t="str">
        <x:v>Plus mensual</x:v>
      </x:c>
      <x:c r="G1077" t="str">
        <x:v>Mensual</x:v>
      </x:c>
      <x:c r="H1077" t="n">
        <x:v>1</x:v>
      </x:c>
      <x:c r="I1077" t="str">
        <x:v>Aprobado</x:v>
      </x:c>
      <x:c r="J1077" t="n">
        <x:v>29900</x:v>
      </x:c>
      <x:c r="K1077" t="str">
        <x:v>PSE</x:v>
      </x:c>
      <x:c r="L1077" t="str">
        <x:v>Sin error</x:v>
      </x:c>
    </x:row>
    <x:row r="1078">
      <x:c r="A1078" t="str">
        <x:v>TXN-0001077</x:v>
      </x:c>
      <x:c r="B1078" t="str">
        <x:v>2026-04</x:v>
      </x:c>
      <x:c r="C1078" t="n">
        <x:v>46124</x:v>
      </x:c>
      <x:c r="D1078" t="str">
        <x:v>USR-00282</x:v>
      </x:c>
      <x:c r="E1078" t="str">
        <x:v>SUS-000851</x:v>
      </x:c>
      <x:c r="F1078" t="str">
        <x:v>Plus mensual</x:v>
      </x:c>
      <x:c r="G1078" t="str">
        <x:v>Mensual</x:v>
      </x:c>
      <x:c r="H1078" t="n">
        <x:v>1</x:v>
      </x:c>
      <x:c r="I1078" t="str">
        <x:v>Aprobado</x:v>
      </x:c>
      <x:c r="J1078" t="n">
        <x:v>29900</x:v>
      </x:c>
      <x:c r="K1078" t="str">
        <x:v>PSE</x:v>
      </x:c>
      <x:c r="L1078" t="str">
        <x:v>Sin error</x:v>
      </x:c>
    </x:row>
    <x:row r="1079">
      <x:c r="A1079" t="str">
        <x:v>TXN-0001078</x:v>
      </x:c>
      <x:c r="B1079" t="str">
        <x:v>2026-04</x:v>
      </x:c>
      <x:c r="C1079" t="n">
        <x:v>46118</x:v>
      </x:c>
      <x:c r="D1079" t="str">
        <x:v>USR-00286</x:v>
      </x:c>
      <x:c r="E1079" t="str">
        <x:v>SIN_SUSCRIPCION</x:v>
      </x:c>
      <x:c r="F1079" t="str">
        <x:v>Plus mensual</x:v>
      </x:c>
      <x:c r="G1079" t="str">
        <x:v>Mensual</x:v>
      </x:c>
      <x:c r="H1079" t="n">
        <x:v>1</x:v>
      </x:c>
      <x:c r="I1079" t="str">
        <x:v>Rechazado</x:v>
      </x:c>
      <x:c r="J1079" t="n">
        <x:v>29900</x:v>
      </x:c>
      <x:c r="K1079" t="str">
        <x:v>Tarjeta débito</x:v>
      </x:c>
      <x:c r="L1079" t="str">
        <x:v>Fondos insuficientes</x:v>
      </x:c>
    </x:row>
    <x:row r="1080">
      <x:c r="A1080" t="str">
        <x:v>TXN-0001079</x:v>
      </x:c>
      <x:c r="B1080" t="str">
        <x:v>2026-04</x:v>
      </x:c>
      <x:c r="C1080" t="n">
        <x:v>46119</x:v>
      </x:c>
      <x:c r="D1080" t="str">
        <x:v>USR-00286</x:v>
      </x:c>
      <x:c r="E1080" t="str">
        <x:v>SIN_SUSCRIPCION</x:v>
      </x:c>
      <x:c r="F1080" t="str">
        <x:v>Plus mensual</x:v>
      </x:c>
      <x:c r="G1080" t="str">
        <x:v>Mensual</x:v>
      </x:c>
      <x:c r="H1080" t="n">
        <x:v>2</x:v>
      </x:c>
      <x:c r="I1080" t="str">
        <x:v>Rechazado</x:v>
      </x:c>
      <x:c r="J1080" t="n">
        <x:v>29900</x:v>
      </x:c>
      <x:c r="K1080" t="str">
        <x:v>Tarjeta crédito</x:v>
      </x:c>
      <x:c r="L1080" t="str">
        <x:v>Error temporal</x:v>
      </x:c>
    </x:row>
    <x:row r="1081">
      <x:c r="A1081" t="str">
        <x:v>TXN-0001080</x:v>
      </x:c>
      <x:c r="B1081" t="str">
        <x:v>2026-04</x:v>
      </x:c>
      <x:c r="C1081" t="n">
        <x:v>46119</x:v>
      </x:c>
      <x:c r="D1081" t="str">
        <x:v>USR-00292</x:v>
      </x:c>
      <x:c r="E1081" t="str">
        <x:v>SUS-000852</x:v>
      </x:c>
      <x:c r="F1081" t="str">
        <x:v>Plus mensual</x:v>
      </x:c>
      <x:c r="G1081" t="str">
        <x:v>Mensual</x:v>
      </x:c>
      <x:c r="H1081" t="n">
        <x:v>1</x:v>
      </x:c>
      <x:c r="I1081" t="str">
        <x:v>Aprobado</x:v>
      </x:c>
      <x:c r="J1081" t="n">
        <x:v>29900</x:v>
      </x:c>
      <x:c r="K1081" t="str">
        <x:v>Tarjeta débito</x:v>
      </x:c>
      <x:c r="L1081" t="str">
        <x:v>Sin error</x:v>
      </x:c>
    </x:row>
    <x:row r="1082">
      <x:c r="A1082" t="str">
        <x:v>TXN-0001081</x:v>
      </x:c>
      <x:c r="B1082" t="str">
        <x:v>2026-04</x:v>
      </x:c>
      <x:c r="C1082" t="n">
        <x:v>46123</x:v>
      </x:c>
      <x:c r="D1082" t="str">
        <x:v>USR-00293</x:v>
      </x:c>
      <x:c r="E1082" t="str">
        <x:v>SUS-000754</x:v>
      </x:c>
      <x:c r="F1082" t="str">
        <x:v>Plus mensual</x:v>
      </x:c>
      <x:c r="G1082" t="str">
        <x:v>Mensual</x:v>
      </x:c>
      <x:c r="H1082" t="n">
        <x:v>1</x:v>
      </x:c>
      <x:c r="I1082" t="str">
        <x:v>Aprobado</x:v>
      </x:c>
      <x:c r="J1082" t="n">
        <x:v>29900</x:v>
      </x:c>
      <x:c r="K1082" t="str">
        <x:v>PSE</x:v>
      </x:c>
      <x:c r="L1082" t="str">
        <x:v>Sin error</x:v>
      </x:c>
    </x:row>
    <x:row r="1083">
      <x:c r="A1083" t="str">
        <x:v>TXN-0001082</x:v>
      </x:c>
      <x:c r="B1083" t="str">
        <x:v>2026-04</x:v>
      </x:c>
      <x:c r="C1083" t="n">
        <x:v>46120</x:v>
      </x:c>
      <x:c r="D1083" t="str">
        <x:v>USR-00294</x:v>
      </x:c>
      <x:c r="E1083" t="str">
        <x:v>SUS-000976</x:v>
      </x:c>
      <x:c r="F1083" t="str">
        <x:v>Plus anual</x:v>
      </x:c>
      <x:c r="G1083" t="str">
        <x:v>Anual</x:v>
      </x:c>
      <x:c r="H1083" t="n">
        <x:v>1</x:v>
      </x:c>
      <x:c r="I1083" t="str">
        <x:v>Aprobado</x:v>
      </x:c>
      <x:c r="J1083" t="n">
        <x:v>299000</x:v>
      </x:c>
      <x:c r="K1083" t="str">
        <x:v>PSE</x:v>
      </x:c>
      <x:c r="L1083" t="str">
        <x:v>Sin error</x:v>
      </x:c>
    </x:row>
    <x:row r="1084">
      <x:c r="A1084" t="str">
        <x:v>TXN-0001083</x:v>
      </x:c>
      <x:c r="B1084" t="str">
        <x:v>2026-04</x:v>
      </x:c>
      <x:c r="C1084" t="n">
        <x:v>46123</x:v>
      </x:c>
      <x:c r="D1084" t="str">
        <x:v>USR-00296</x:v>
      </x:c>
      <x:c r="E1084" t="str">
        <x:v>SUS-000632</x:v>
      </x:c>
      <x:c r="F1084" t="str">
        <x:v>Plus mensual</x:v>
      </x:c>
      <x:c r="G1084" t="str">
        <x:v>Mensual</x:v>
      </x:c>
      <x:c r="H1084" t="n">
        <x:v>1</x:v>
      </x:c>
      <x:c r="I1084" t="str">
        <x:v>Aprobado</x:v>
      </x:c>
      <x:c r="J1084" t="n">
        <x:v>29900</x:v>
      </x:c>
      <x:c r="K1084" t="str">
        <x:v>Tarjeta crédito</x:v>
      </x:c>
      <x:c r="L1084" t="str">
        <x:v>Sin error</x:v>
      </x:c>
    </x:row>
    <x:row r="1085">
      <x:c r="A1085" t="str">
        <x:v>TXN-0001084</x:v>
      </x:c>
      <x:c r="B1085" t="str">
        <x:v>2026-04</x:v>
      </x:c>
      <x:c r="C1085" t="n">
        <x:v>46120</x:v>
      </x:c>
      <x:c r="D1085" t="str">
        <x:v>USR-00306</x:v>
      </x:c>
      <x:c r="E1085" t="str">
        <x:v>SUS-000853</x:v>
      </x:c>
      <x:c r="F1085" t="str">
        <x:v>Plus mensual</x:v>
      </x:c>
      <x:c r="G1085" t="str">
        <x:v>Mensual</x:v>
      </x:c>
      <x:c r="H1085" t="n">
        <x:v>1</x:v>
      </x:c>
      <x:c r="I1085" t="str">
        <x:v>Rechazado</x:v>
      </x:c>
      <x:c r="J1085" t="n">
        <x:v>29900</x:v>
      </x:c>
      <x:c r="K1085" t="str">
        <x:v>Tarjeta crédito</x:v>
      </x:c>
      <x:c r="L1085" t="str">
        <x:v>Fondos insuficientes</x:v>
      </x:c>
    </x:row>
    <x:row r="1086">
      <x:c r="A1086" t="str">
        <x:v>TXN-0001085</x:v>
      </x:c>
      <x:c r="B1086" t="str">
        <x:v>2026-04</x:v>
      </x:c>
      <x:c r="C1086" t="n">
        <x:v>46124</x:v>
      </x:c>
      <x:c r="D1086" t="str">
        <x:v>USR-00306</x:v>
      </x:c>
      <x:c r="E1086" t="str">
        <x:v>SUS-000853</x:v>
      </x:c>
      <x:c r="F1086" t="str">
        <x:v>Plus mensual</x:v>
      </x:c>
      <x:c r="G1086" t="str">
        <x:v>Mensual</x:v>
      </x:c>
      <x:c r="H1086" t="n">
        <x:v>2</x:v>
      </x:c>
      <x:c r="I1086" t="str">
        <x:v>Aprobado</x:v>
      </x:c>
      <x:c r="J1086" t="n">
        <x:v>29900</x:v>
      </x:c>
      <x:c r="K1086" t="str">
        <x:v>PSE</x:v>
      </x:c>
      <x:c r="L1086" t="str">
        <x:v>Sin error</x:v>
      </x:c>
    </x:row>
    <x:row r="1087">
      <x:c r="A1087" t="str">
        <x:v>TXN-0001086</x:v>
      </x:c>
      <x:c r="B1087" t="str">
        <x:v>2026-04</x:v>
      </x:c>
      <x:c r="C1087" t="n">
        <x:v>46122</x:v>
      </x:c>
      <x:c r="D1087" t="str">
        <x:v>USR-00311</x:v>
      </x:c>
      <x:c r="E1087" t="str">
        <x:v>SUS-000977</x:v>
      </x:c>
      <x:c r="F1087" t="str">
        <x:v>Plus mensual</x:v>
      </x:c>
      <x:c r="G1087" t="str">
        <x:v>Mensual</x:v>
      </x:c>
      <x:c r="H1087" t="n">
        <x:v>1</x:v>
      </x:c>
      <x:c r="I1087" t="str">
        <x:v>Aprobado</x:v>
      </x:c>
      <x:c r="J1087" t="n">
        <x:v>29900</x:v>
      </x:c>
      <x:c r="K1087" t="str">
        <x:v>Tarjeta débito</x:v>
      </x:c>
      <x:c r="L1087" t="str">
        <x:v>Sin error</x:v>
      </x:c>
    </x:row>
    <x:row r="1088">
      <x:c r="A1088" t="str">
        <x:v>TXN-0001087</x:v>
      </x:c>
      <x:c r="B1088" t="str">
        <x:v>2026-04</x:v>
      </x:c>
      <x:c r="C1088" t="n">
        <x:v>46119</x:v>
      </x:c>
      <x:c r="D1088" t="str">
        <x:v>USR-00312</x:v>
      </x:c>
      <x:c r="E1088" t="str">
        <x:v>SUS-000634</x:v>
      </x:c>
      <x:c r="F1088" t="str">
        <x:v>Plus mensual</x:v>
      </x:c>
      <x:c r="G1088" t="str">
        <x:v>Mensual</x:v>
      </x:c>
      <x:c r="H1088" t="n">
        <x:v>1</x:v>
      </x:c>
      <x:c r="I1088" t="str">
        <x:v>Aprobado</x:v>
      </x:c>
      <x:c r="J1088" t="n">
        <x:v>29900</x:v>
      </x:c>
      <x:c r="K1088" t="str">
        <x:v>Tarjeta débito</x:v>
      </x:c>
      <x:c r="L1088" t="str">
        <x:v>Sin error</x:v>
      </x:c>
    </x:row>
    <x:row r="1089">
      <x:c r="A1089" t="str">
        <x:v>TXN-0001088</x:v>
      </x:c>
      <x:c r="B1089" t="str">
        <x:v>2026-04</x:v>
      </x:c>
      <x:c r="C1089" t="n">
        <x:v>46118</x:v>
      </x:c>
      <x:c r="D1089" t="str">
        <x:v>USR-00313</x:v>
      </x:c>
      <x:c r="E1089" t="str">
        <x:v>SUS-000635</x:v>
      </x:c>
      <x:c r="F1089" t="str">
        <x:v>Plus mensual</x:v>
      </x:c>
      <x:c r="G1089" t="str">
        <x:v>Mensual</x:v>
      </x:c>
      <x:c r="H1089" t="n">
        <x:v>1</x:v>
      </x:c>
      <x:c r="I1089" t="str">
        <x:v>Aprobado</x:v>
      </x:c>
      <x:c r="J1089" t="n">
        <x:v>29900</x:v>
      </x:c>
      <x:c r="K1089" t="str">
        <x:v>Tarjeta débito</x:v>
      </x:c>
      <x:c r="L1089" t="str">
        <x:v>Sin error</x:v>
      </x:c>
    </x:row>
    <x:row r="1090">
      <x:c r="A1090" t="str">
        <x:v>TXN-0001089</x:v>
      </x:c>
      <x:c r="B1090" t="str">
        <x:v>2026-04</x:v>
      </x:c>
      <x:c r="C1090" t="n">
        <x:v>46118</x:v>
      </x:c>
      <x:c r="D1090" t="str">
        <x:v>USR-00317</x:v>
      </x:c>
      <x:c r="E1090" t="str">
        <x:v>SUS-000546</x:v>
      </x:c>
      <x:c r="F1090" t="str">
        <x:v>Plus mensual</x:v>
      </x:c>
      <x:c r="G1090" t="str">
        <x:v>Mensual</x:v>
      </x:c>
      <x:c r="H1090" t="n">
        <x:v>1</x:v>
      </x:c>
      <x:c r="I1090" t="str">
        <x:v>Aprobado</x:v>
      </x:c>
      <x:c r="J1090" t="n">
        <x:v>29900</x:v>
      </x:c>
      <x:c r="K1090" t="str">
        <x:v>Tarjeta débito</x:v>
      </x:c>
      <x:c r="L1090" t="str">
        <x:v>Sin error</x:v>
      </x:c>
    </x:row>
    <x:row r="1091">
      <x:c r="A1091" t="str">
        <x:v>TXN-0001090</x:v>
      </x:c>
      <x:c r="B1091" t="str">
        <x:v>2026-04</x:v>
      </x:c>
      <x:c r="C1091" t="n">
        <x:v>46117</x:v>
      </x:c>
      <x:c r="D1091" t="str">
        <x:v>USR-00320</x:v>
      </x:c>
      <x:c r="E1091" t="str">
        <x:v>SUS-000419</x:v>
      </x:c>
      <x:c r="F1091" t="str">
        <x:v>Plus mensual</x:v>
      </x:c>
      <x:c r="G1091" t="str">
        <x:v>Mensual</x:v>
      </x:c>
      <x:c r="H1091" t="n">
        <x:v>1</x:v>
      </x:c>
      <x:c r="I1091" t="str">
        <x:v>Aprobado</x:v>
      </x:c>
      <x:c r="J1091" t="n">
        <x:v>29900</x:v>
      </x:c>
      <x:c r="K1091" t="str">
        <x:v>Tarjeta crédito</x:v>
      </x:c>
      <x:c r="L1091" t="str">
        <x:v>Sin error</x:v>
      </x:c>
    </x:row>
    <x:row r="1092">
      <x:c r="A1092" t="str">
        <x:v>TXN-0001091</x:v>
      </x:c>
      <x:c r="B1092" t="str">
        <x:v>2026-04</x:v>
      </x:c>
      <x:c r="C1092" t="n">
        <x:v>46121</x:v>
      </x:c>
      <x:c r="D1092" t="str">
        <x:v>USR-00331</x:v>
      </x:c>
      <x:c r="E1092" t="str">
        <x:v>SUS-000430</x:v>
      </x:c>
      <x:c r="F1092" t="str">
        <x:v>Plus mensual</x:v>
      </x:c>
      <x:c r="G1092" t="str">
        <x:v>Mensual</x:v>
      </x:c>
      <x:c r="H1092" t="n">
        <x:v>1</x:v>
      </x:c>
      <x:c r="I1092" t="str">
        <x:v>Rechazado</x:v>
      </x:c>
      <x:c r="J1092" t="n">
        <x:v>29900</x:v>
      </x:c>
      <x:c r="K1092" t="str">
        <x:v>Tarjeta crédito</x:v>
      </x:c>
      <x:c r="L1092" t="str">
        <x:v>Fondos insuficientes</x:v>
      </x:c>
    </x:row>
    <x:row r="1093">
      <x:c r="A1093" t="str">
        <x:v>TXN-0001092</x:v>
      </x:c>
      <x:c r="B1093" t="str">
        <x:v>2026-04</x:v>
      </x:c>
      <x:c r="C1093" t="n">
        <x:v>46120</x:v>
      </x:c>
      <x:c r="D1093" t="str">
        <x:v>USR-00331</x:v>
      </x:c>
      <x:c r="E1093" t="str">
        <x:v>SUS-000430</x:v>
      </x:c>
      <x:c r="F1093" t="str">
        <x:v>Plus mensual</x:v>
      </x:c>
      <x:c r="G1093" t="str">
        <x:v>Mensual</x:v>
      </x:c>
      <x:c r="H1093" t="n">
        <x:v>2</x:v>
      </x:c>
      <x:c r="I1093" t="str">
        <x:v>Aprobado</x:v>
      </x:c>
      <x:c r="J1093" t="n">
        <x:v>29900</x:v>
      </x:c>
      <x:c r="K1093" t="str">
        <x:v>Tarjeta débito</x:v>
      </x:c>
      <x:c r="L1093" t="str">
        <x:v>Sin error</x:v>
      </x:c>
    </x:row>
    <x:row r="1094">
      <x:c r="A1094" t="str">
        <x:v>TXN-0001093</x:v>
      </x:c>
      <x:c r="B1094" t="str">
        <x:v>2026-04</x:v>
      </x:c>
      <x:c r="C1094" t="n">
        <x:v>46117</x:v>
      </x:c>
      <x:c r="D1094" t="str">
        <x:v>USR-00332</x:v>
      </x:c>
      <x:c r="E1094" t="str">
        <x:v>SUS-000470</x:v>
      </x:c>
      <x:c r="F1094" t="str">
        <x:v>Plus mensual</x:v>
      </x:c>
      <x:c r="G1094" t="str">
        <x:v>Mensual</x:v>
      </x:c>
      <x:c r="H1094" t="n">
        <x:v>1</x:v>
      </x:c>
      <x:c r="I1094" t="str">
        <x:v>Aprobado</x:v>
      </x:c>
      <x:c r="J1094" t="n">
        <x:v>29900</x:v>
      </x:c>
      <x:c r="K1094" t="str">
        <x:v>PSE</x:v>
      </x:c>
      <x:c r="L1094" t="str">
        <x:v>Sin error</x:v>
      </x:c>
    </x:row>
    <x:row r="1095">
      <x:c r="A1095" t="str">
        <x:v>TXN-0001094</x:v>
      </x:c>
      <x:c r="B1095" t="str">
        <x:v>2026-04</x:v>
      </x:c>
      <x:c r="C1095" t="n">
        <x:v>46121</x:v>
      </x:c>
      <x:c r="D1095" t="str">
        <x:v>USR-00335</x:v>
      </x:c>
      <x:c r="E1095" t="str">
        <x:v>SUS-000855</x:v>
      </x:c>
      <x:c r="F1095" t="str">
        <x:v>Plus mensual</x:v>
      </x:c>
      <x:c r="G1095" t="str">
        <x:v>Mensual</x:v>
      </x:c>
      <x:c r="H1095" t="n">
        <x:v>1</x:v>
      </x:c>
      <x:c r="I1095" t="str">
        <x:v>Aprobado</x:v>
      </x:c>
      <x:c r="J1095" t="n">
        <x:v>29900</x:v>
      </x:c>
      <x:c r="K1095" t="str">
        <x:v>Tarjeta crédito</x:v>
      </x:c>
      <x:c r="L1095" t="str">
        <x:v>Sin error</x:v>
      </x:c>
    </x:row>
    <x:row r="1096">
      <x:c r="A1096" t="str">
        <x:v>TXN-0001095</x:v>
      </x:c>
      <x:c r="B1096" t="str">
        <x:v>2026-04</x:v>
      </x:c>
      <x:c r="C1096" t="n">
        <x:v>46118</x:v>
      </x:c>
      <x:c r="D1096" t="str">
        <x:v>USR-00336</x:v>
      </x:c>
      <x:c r="E1096" t="str">
        <x:v>SUS-000435</x:v>
      </x:c>
      <x:c r="F1096" t="str">
        <x:v>Plus mensual</x:v>
      </x:c>
      <x:c r="G1096" t="str">
        <x:v>Mensual</x:v>
      </x:c>
      <x:c r="H1096" t="n">
        <x:v>1</x:v>
      </x:c>
      <x:c r="I1096" t="str">
        <x:v>Aprobado</x:v>
      </x:c>
      <x:c r="J1096" t="n">
        <x:v>29900</x:v>
      </x:c>
      <x:c r="K1096" t="str">
        <x:v>Tarjeta crédito</x:v>
      </x:c>
      <x:c r="L1096" t="str">
        <x:v>Sin error</x:v>
      </x:c>
    </x:row>
    <x:row r="1097">
      <x:c r="A1097" t="str">
        <x:v>TXN-0001096</x:v>
      </x:c>
      <x:c r="B1097" t="str">
        <x:v>2026-04</x:v>
      </x:c>
      <x:c r="C1097" t="n">
        <x:v>46124</x:v>
      </x:c>
      <x:c r="D1097" t="str">
        <x:v>USR-00338</x:v>
      </x:c>
      <x:c r="E1097" t="str">
        <x:v>SUS-000856</x:v>
      </x:c>
      <x:c r="F1097" t="str">
        <x:v>Plus mensual</x:v>
      </x:c>
      <x:c r="G1097" t="str">
        <x:v>Mensual</x:v>
      </x:c>
      <x:c r="H1097" t="n">
        <x:v>1</x:v>
      </x:c>
      <x:c r="I1097" t="str">
        <x:v>Aprobado</x:v>
      </x:c>
      <x:c r="J1097" t="n">
        <x:v>29900</x:v>
      </x:c>
      <x:c r="K1097" t="str">
        <x:v>Tarjeta crédito</x:v>
      </x:c>
      <x:c r="L1097" t="str">
        <x:v>Sin error</x:v>
      </x:c>
    </x:row>
    <x:row r="1098">
      <x:c r="A1098" t="str">
        <x:v>TXN-0001097</x:v>
      </x:c>
      <x:c r="B1098" t="str">
        <x:v>2026-04</x:v>
      </x:c>
      <x:c r="C1098" t="n">
        <x:v>46117</x:v>
      </x:c>
      <x:c r="D1098" t="str">
        <x:v>USR-00339</x:v>
      </x:c>
      <x:c r="E1098" t="str">
        <x:v>SUS-000979</x:v>
      </x:c>
      <x:c r="F1098" t="str">
        <x:v>Plus anual</x:v>
      </x:c>
      <x:c r="G1098" t="str">
        <x:v>Anual</x:v>
      </x:c>
      <x:c r="H1098" t="n">
        <x:v>1</x:v>
      </x:c>
      <x:c r="I1098" t="str">
        <x:v>Rechazado</x:v>
      </x:c>
      <x:c r="J1098" t="n">
        <x:v>299000</x:v>
      </x:c>
      <x:c r="K1098" t="str">
        <x:v>Tarjeta crédito</x:v>
      </x:c>
      <x:c r="L1098" t="str">
        <x:v>Fondos insuficientes</x:v>
      </x:c>
    </x:row>
    <x:row r="1099">
      <x:c r="A1099" t="str">
        <x:v>TXN-0001098</x:v>
      </x:c>
      <x:c r="B1099" t="str">
        <x:v>2026-04</x:v>
      </x:c>
      <x:c r="C1099" t="n">
        <x:v>46124</x:v>
      </x:c>
      <x:c r="D1099" t="str">
        <x:v>USR-00339</x:v>
      </x:c>
      <x:c r="E1099" t="str">
        <x:v>SUS-000979</x:v>
      </x:c>
      <x:c r="F1099" t="str">
        <x:v>Plus anual</x:v>
      </x:c>
      <x:c r="G1099" t="str">
        <x:v>Anual</x:v>
      </x:c>
      <x:c r="H1099" t="n">
        <x:v>2</x:v>
      </x:c>
      <x:c r="I1099" t="str">
        <x:v>Aprobado</x:v>
      </x:c>
      <x:c r="J1099" t="n">
        <x:v>299000</x:v>
      </x:c>
      <x:c r="K1099" t="str">
        <x:v>Tarjeta débito</x:v>
      </x:c>
      <x:c r="L1099" t="str">
        <x:v>Sin error</x:v>
      </x:c>
    </x:row>
    <x:row r="1100">
      <x:c r="A1100" t="str">
        <x:v>TXN-0001099</x:v>
      </x:c>
      <x:c r="B1100" t="str">
        <x:v>2026-04</x:v>
      </x:c>
      <x:c r="C1100" t="n">
        <x:v>46121</x:v>
      </x:c>
      <x:c r="D1100" t="str">
        <x:v>USR-00340</x:v>
      </x:c>
      <x:c r="E1100" t="str">
        <x:v>SUS-000757</x:v>
      </x:c>
      <x:c r="F1100" t="str">
        <x:v>Plus mensual</x:v>
      </x:c>
      <x:c r="G1100" t="str">
        <x:v>Mensual</x:v>
      </x:c>
      <x:c r="H1100" t="n">
        <x:v>1</x:v>
      </x:c>
      <x:c r="I1100" t="str">
        <x:v>Aprobado</x:v>
      </x:c>
      <x:c r="J1100" t="n">
        <x:v>29900</x:v>
      </x:c>
      <x:c r="K1100" t="str">
        <x:v>Tarjeta crédito</x:v>
      </x:c>
      <x:c r="L1100" t="str">
        <x:v>Sin error</x:v>
      </x:c>
    </x:row>
    <x:row r="1101">
      <x:c r="A1101" t="str">
        <x:v>TXN-0001100</x:v>
      </x:c>
      <x:c r="B1101" t="str">
        <x:v>2026-04</x:v>
      </x:c>
      <x:c r="C1101" t="n">
        <x:v>46124</x:v>
      </x:c>
      <x:c r="D1101" t="str">
        <x:v>USR-00341</x:v>
      </x:c>
      <x:c r="E1101" t="str">
        <x:v>SUS-000980</x:v>
      </x:c>
      <x:c r="F1101" t="str">
        <x:v>Plus mensual</x:v>
      </x:c>
      <x:c r="G1101" t="str">
        <x:v>Mensual</x:v>
      </x:c>
      <x:c r="H1101" t="n">
        <x:v>1</x:v>
      </x:c>
      <x:c r="I1101" t="str">
        <x:v>Aprobado</x:v>
      </x:c>
      <x:c r="J1101" t="n">
        <x:v>29900</x:v>
      </x:c>
      <x:c r="K1101" t="str">
        <x:v>PSE</x:v>
      </x:c>
      <x:c r="L1101" t="str">
        <x:v>Sin error</x:v>
      </x:c>
    </x:row>
    <x:row r="1102">
      <x:c r="A1102" t="str">
        <x:v>TXN-0001101</x:v>
      </x:c>
      <x:c r="B1102" t="str">
        <x:v>2026-04</x:v>
      </x:c>
      <x:c r="C1102" t="n">
        <x:v>46120</x:v>
      </x:c>
      <x:c r="D1102" t="str">
        <x:v>USR-00346</x:v>
      </x:c>
      <x:c r="E1102" t="str">
        <x:v>SUS-000471</x:v>
      </x:c>
      <x:c r="F1102" t="str">
        <x:v>Plus mensual</x:v>
      </x:c>
      <x:c r="G1102" t="str">
        <x:v>Mensual</x:v>
      </x:c>
      <x:c r="H1102" t="n">
        <x:v>1</x:v>
      </x:c>
      <x:c r="I1102" t="str">
        <x:v>Aprobado</x:v>
      </x:c>
      <x:c r="J1102" t="n">
        <x:v>29900</x:v>
      </x:c>
      <x:c r="K1102" t="str">
        <x:v>Tarjeta crédito</x:v>
      </x:c>
      <x:c r="L1102" t="str">
        <x:v>Sin error</x:v>
      </x:c>
    </x:row>
    <x:row r="1103">
      <x:c r="A1103" t="str">
        <x:v>TXN-0001102</x:v>
      </x:c>
      <x:c r="B1103" t="str">
        <x:v>2026-04</x:v>
      </x:c>
      <x:c r="C1103" t="n">
        <x:v>46122</x:v>
      </x:c>
      <x:c r="D1103" t="str">
        <x:v>USR-00353</x:v>
      </x:c>
      <x:c r="E1103" t="str">
        <x:v>SUS-000857</x:v>
      </x:c>
      <x:c r="F1103" t="str">
        <x:v>Plus mensual</x:v>
      </x:c>
      <x:c r="G1103" t="str">
        <x:v>Mensual</x:v>
      </x:c>
      <x:c r="H1103" t="n">
        <x:v>1</x:v>
      </x:c>
      <x:c r="I1103" t="str">
        <x:v>Aprobado</x:v>
      </x:c>
      <x:c r="J1103" t="n">
        <x:v>29900</x:v>
      </x:c>
      <x:c r="K1103" t="str">
        <x:v>Tarjeta débito</x:v>
      </x:c>
      <x:c r="L1103" t="str">
        <x:v>Sin error</x:v>
      </x:c>
    </x:row>
    <x:row r="1104">
      <x:c r="A1104" t="str">
        <x:v>TXN-0001103</x:v>
      </x:c>
      <x:c r="B1104" t="str">
        <x:v>2026-04</x:v>
      </x:c>
      <x:c r="C1104" t="n">
        <x:v>46119</x:v>
      </x:c>
      <x:c r="D1104" t="str">
        <x:v>USR-00359</x:v>
      </x:c>
      <x:c r="E1104" t="str">
        <x:v>SUS-000981</x:v>
      </x:c>
      <x:c r="F1104" t="str">
        <x:v>Plus mensual</x:v>
      </x:c>
      <x:c r="G1104" t="str">
        <x:v>Mensual</x:v>
      </x:c>
      <x:c r="H1104" t="n">
        <x:v>1</x:v>
      </x:c>
      <x:c r="I1104" t="str">
        <x:v>Rechazado</x:v>
      </x:c>
      <x:c r="J1104" t="n">
        <x:v>29900</x:v>
      </x:c>
      <x:c r="K1104" t="str">
        <x:v>Tarjeta crédito</x:v>
      </x:c>
      <x:c r="L1104" t="str">
        <x:v>Error temporal</x:v>
      </x:c>
    </x:row>
    <x:row r="1105">
      <x:c r="A1105" t="str">
        <x:v>TXN-0001104</x:v>
      </x:c>
      <x:c r="B1105" t="str">
        <x:v>2026-04</x:v>
      </x:c>
      <x:c r="C1105" t="n">
        <x:v>46121</x:v>
      </x:c>
      <x:c r="D1105" t="str">
        <x:v>USR-00359</x:v>
      </x:c>
      <x:c r="E1105" t="str">
        <x:v>SUS-000981</x:v>
      </x:c>
      <x:c r="F1105" t="str">
        <x:v>Plus mensual</x:v>
      </x:c>
      <x:c r="G1105" t="str">
        <x:v>Mensual</x:v>
      </x:c>
      <x:c r="H1105" t="n">
        <x:v>2</x:v>
      </x:c>
      <x:c r="I1105" t="str">
        <x:v>Aprobado</x:v>
      </x:c>
      <x:c r="J1105" t="n">
        <x:v>29900</x:v>
      </x:c>
      <x:c r="K1105" t="str">
        <x:v>Tarjeta crédito</x:v>
      </x:c>
      <x:c r="L1105" t="str">
        <x:v>Sin error</x:v>
      </x:c>
    </x:row>
    <x:row r="1106">
      <x:c r="A1106" t="str">
        <x:v>TXN-0001105</x:v>
      </x:c>
      <x:c r="B1106" t="str">
        <x:v>2026-04</x:v>
      </x:c>
      <x:c r="C1106" t="n">
        <x:v>46119</x:v>
      </x:c>
      <x:c r="D1106" t="str">
        <x:v>USR-00360</x:v>
      </x:c>
      <x:c r="E1106" t="str">
        <x:v>SUS-000638</x:v>
      </x:c>
      <x:c r="F1106" t="str">
        <x:v>Plus mensual</x:v>
      </x:c>
      <x:c r="G1106" t="str">
        <x:v>Mensual</x:v>
      </x:c>
      <x:c r="H1106" t="n">
        <x:v>1</x:v>
      </x:c>
      <x:c r="I1106" t="str">
        <x:v>Aprobado</x:v>
      </x:c>
      <x:c r="J1106" t="n">
        <x:v>29900</x:v>
      </x:c>
      <x:c r="K1106" t="str">
        <x:v>PSE</x:v>
      </x:c>
      <x:c r="L1106" t="str">
        <x:v>Sin error</x:v>
      </x:c>
    </x:row>
    <x:row r="1107">
      <x:c r="A1107" t="str">
        <x:v>TXN-0001106</x:v>
      </x:c>
      <x:c r="B1107" t="str">
        <x:v>2026-04</x:v>
      </x:c>
      <x:c r="C1107" t="n">
        <x:v>46119</x:v>
      </x:c>
      <x:c r="D1107" t="str">
        <x:v>USR-00363</x:v>
      </x:c>
      <x:c r="E1107" t="str">
        <x:v>SUS-000982</x:v>
      </x:c>
      <x:c r="F1107" t="str">
        <x:v>Plus mensual</x:v>
      </x:c>
      <x:c r="G1107" t="str">
        <x:v>Mensual</x:v>
      </x:c>
      <x:c r="H1107" t="n">
        <x:v>1</x:v>
      </x:c>
      <x:c r="I1107" t="str">
        <x:v>Aprobado</x:v>
      </x:c>
      <x:c r="J1107" t="n">
        <x:v>29900</x:v>
      </x:c>
      <x:c r="K1107" t="str">
        <x:v>Tarjeta débito</x:v>
      </x:c>
      <x:c r="L1107" t="str">
        <x:v>Sin error</x:v>
      </x:c>
    </x:row>
    <x:row r="1108">
      <x:c r="A1108" t="str">
        <x:v>TXN-0001107</x:v>
      </x:c>
      <x:c r="B1108" t="str">
        <x:v>2026-04</x:v>
      </x:c>
      <x:c r="C1108" t="n">
        <x:v>46117</x:v>
      </x:c>
      <x:c r="D1108" t="str">
        <x:v>USR-00364</x:v>
      </x:c>
      <x:c r="E1108" t="str">
        <x:v>SUS-000760</x:v>
      </x:c>
      <x:c r="F1108" t="str">
        <x:v>Plus mensual</x:v>
      </x:c>
      <x:c r="G1108" t="str">
        <x:v>Mensual</x:v>
      </x:c>
      <x:c r="H1108" t="n">
        <x:v>1</x:v>
      </x:c>
      <x:c r="I1108" t="str">
        <x:v>Rechazado</x:v>
      </x:c>
      <x:c r="J1108" t="n">
        <x:v>29900</x:v>
      </x:c>
      <x:c r="K1108" t="str">
        <x:v>PSE</x:v>
      </x:c>
      <x:c r="L1108" t="str">
        <x:v>Declinado por entidad</x:v>
      </x:c>
    </x:row>
    <x:row r="1109">
      <x:c r="A1109" t="str">
        <x:v>TXN-0001108</x:v>
      </x:c>
      <x:c r="B1109" t="str">
        <x:v>2026-04</x:v>
      </x:c>
      <x:c r="C1109" t="n">
        <x:v>46122</x:v>
      </x:c>
      <x:c r="D1109" t="str">
        <x:v>USR-00364</x:v>
      </x:c>
      <x:c r="E1109" t="str">
        <x:v>SUS-000760</x:v>
      </x:c>
      <x:c r="F1109" t="str">
        <x:v>Plus mensual</x:v>
      </x:c>
      <x:c r="G1109" t="str">
        <x:v>Mensual</x:v>
      </x:c>
      <x:c r="H1109" t="n">
        <x:v>2</x:v>
      </x:c>
      <x:c r="I1109" t="str">
        <x:v>Aprobado</x:v>
      </x:c>
      <x:c r="J1109" t="n">
        <x:v>29900</x:v>
      </x:c>
      <x:c r="K1109" t="str">
        <x:v>Tarjeta débito</x:v>
      </x:c>
      <x:c r="L1109" t="str">
        <x:v>Sin error</x:v>
      </x:c>
    </x:row>
    <x:row r="1110">
      <x:c r="A1110" t="str">
        <x:v>TXN-0001109</x:v>
      </x:c>
      <x:c r="B1110" t="str">
        <x:v>2026-04</x:v>
      </x:c>
      <x:c r="C1110" t="n">
        <x:v>46120</x:v>
      </x:c>
      <x:c r="D1110" t="str">
        <x:v>USR-00372</x:v>
      </x:c>
      <x:c r="E1110" t="str">
        <x:v>SUS-000983</x:v>
      </x:c>
      <x:c r="F1110" t="str">
        <x:v>Plus mensual</x:v>
      </x:c>
      <x:c r="G1110" t="str">
        <x:v>Mensual</x:v>
      </x:c>
      <x:c r="H1110" t="n">
        <x:v>1</x:v>
      </x:c>
      <x:c r="I1110" t="str">
        <x:v>Aprobado</x:v>
      </x:c>
      <x:c r="J1110" t="n">
        <x:v>29900</x:v>
      </x:c>
      <x:c r="K1110" t="str">
        <x:v>PSE</x:v>
      </x:c>
      <x:c r="L1110" t="str">
        <x:v>Sin error</x:v>
      </x:c>
    </x:row>
    <x:row r="1111">
      <x:c r="A1111" t="str">
        <x:v>TXN-0001110</x:v>
      </x:c>
      <x:c r="B1111" t="str">
        <x:v>2026-04</x:v>
      </x:c>
      <x:c r="C1111" t="n">
        <x:v>46122</x:v>
      </x:c>
      <x:c r="D1111" t="str">
        <x:v>USR-00377</x:v>
      </x:c>
      <x:c r="E1111" t="str">
        <x:v>SUS-000492</x:v>
      </x:c>
      <x:c r="F1111" t="str">
        <x:v>Plus mensual</x:v>
      </x:c>
      <x:c r="G1111" t="str">
        <x:v>Mensual</x:v>
      </x:c>
      <x:c r="H1111" t="n">
        <x:v>1</x:v>
      </x:c>
      <x:c r="I1111" t="str">
        <x:v>Aprobado</x:v>
      </x:c>
      <x:c r="J1111" t="n">
        <x:v>29900</x:v>
      </x:c>
      <x:c r="K1111" t="str">
        <x:v>Tarjeta crédito</x:v>
      </x:c>
      <x:c r="L1111" t="str">
        <x:v>Sin error</x:v>
      </x:c>
    </x:row>
    <x:row r="1112">
      <x:c r="A1112" t="str">
        <x:v>TXN-0001111</x:v>
      </x:c>
      <x:c r="B1112" t="str">
        <x:v>2026-04</x:v>
      </x:c>
      <x:c r="C1112" t="n">
        <x:v>46122</x:v>
      </x:c>
      <x:c r="D1112" t="str">
        <x:v>USR-00380</x:v>
      </x:c>
      <x:c r="E1112" t="str">
        <x:v>SUS-000495</x:v>
      </x:c>
      <x:c r="F1112" t="str">
        <x:v>Plus mensual</x:v>
      </x:c>
      <x:c r="G1112" t="str">
        <x:v>Mensual</x:v>
      </x:c>
      <x:c r="H1112" t="n">
        <x:v>1</x:v>
      </x:c>
      <x:c r="I1112" t="str">
        <x:v>Aprobado</x:v>
      </x:c>
      <x:c r="J1112" t="n">
        <x:v>29900</x:v>
      </x:c>
      <x:c r="K1112" t="str">
        <x:v>Tarjeta débito</x:v>
      </x:c>
      <x:c r="L1112" t="str">
        <x:v>Sin error</x:v>
      </x:c>
    </x:row>
    <x:row r="1113">
      <x:c r="A1113" t="str">
        <x:v>TXN-0001112</x:v>
      </x:c>
      <x:c r="B1113" t="str">
        <x:v>2026-04</x:v>
      </x:c>
      <x:c r="C1113" t="n">
        <x:v>46118</x:v>
      </x:c>
      <x:c r="D1113" t="str">
        <x:v>USR-00384</x:v>
      </x:c>
      <x:c r="E1113" t="str">
        <x:v>SUS-000984</x:v>
      </x:c>
      <x:c r="F1113" t="str">
        <x:v>Plus mensual</x:v>
      </x:c>
      <x:c r="G1113" t="str">
        <x:v>Mensual</x:v>
      </x:c>
      <x:c r="H1113" t="n">
        <x:v>1</x:v>
      </x:c>
      <x:c r="I1113" t="str">
        <x:v>Aprobado</x:v>
      </x:c>
      <x:c r="J1113" t="n">
        <x:v>29900</x:v>
      </x:c>
      <x:c r="K1113" t="str">
        <x:v>PSE</x:v>
      </x:c>
      <x:c r="L1113" t="str">
        <x:v>Sin error</x:v>
      </x:c>
    </x:row>
    <x:row r="1114">
      <x:c r="A1114" t="str">
        <x:v>TXN-0001113</x:v>
      </x:c>
      <x:c r="B1114" t="str">
        <x:v>2026-04</x:v>
      </x:c>
      <x:c r="C1114" t="n">
        <x:v>46124</x:v>
      </x:c>
      <x:c r="D1114" t="str">
        <x:v>USR-00387</x:v>
      </x:c>
      <x:c r="E1114" t="str">
        <x:v>SIN_SUSCRIPCION</x:v>
      </x:c>
      <x:c r="F1114" t="str">
        <x:v>Plus mensual</x:v>
      </x:c>
      <x:c r="G1114" t="str">
        <x:v>Mensual</x:v>
      </x:c>
      <x:c r="H1114" t="n">
        <x:v>1</x:v>
      </x:c>
      <x:c r="I1114" t="str">
        <x:v>Rechazado</x:v>
      </x:c>
      <x:c r="J1114" t="n">
        <x:v>29900</x:v>
      </x:c>
      <x:c r="K1114" t="str">
        <x:v>Tarjeta débito</x:v>
      </x:c>
      <x:c r="L1114" t="str">
        <x:v>Fondos insuficientes</x:v>
      </x:c>
    </x:row>
    <x:row r="1115">
      <x:c r="A1115" t="str">
        <x:v>TXN-0001114</x:v>
      </x:c>
      <x:c r="B1115" t="str">
        <x:v>2026-04</x:v>
      </x:c>
      <x:c r="C1115" t="n">
        <x:v>46123</x:v>
      </x:c>
      <x:c r="D1115" t="str">
        <x:v>USR-00387</x:v>
      </x:c>
      <x:c r="E1115" t="str">
        <x:v>SIN_SUSCRIPCION</x:v>
      </x:c>
      <x:c r="F1115" t="str">
        <x:v>Plus mensual</x:v>
      </x:c>
      <x:c r="G1115" t="str">
        <x:v>Mensual</x:v>
      </x:c>
      <x:c r="H1115" t="n">
        <x:v>2</x:v>
      </x:c>
      <x:c r="I1115" t="str">
        <x:v>Rechazado</x:v>
      </x:c>
      <x:c r="J1115" t="n">
        <x:v>29900</x:v>
      </x:c>
      <x:c r="K1115" t="str">
        <x:v>PSE</x:v>
      </x:c>
      <x:c r="L1115" t="str">
        <x:v>Fondos insuficientes</x:v>
      </x:c>
    </x:row>
    <x:row r="1116">
      <x:c r="A1116" t="str">
        <x:v>TXN-0001115</x:v>
      </x:c>
      <x:c r="B1116" t="str">
        <x:v>2026-04</x:v>
      </x:c>
      <x:c r="C1116" t="n">
        <x:v>46124</x:v>
      </x:c>
      <x:c r="D1116" t="str">
        <x:v>USR-00389</x:v>
      </x:c>
      <x:c r="E1116" t="str">
        <x:v>SUS-000641</x:v>
      </x:c>
      <x:c r="F1116" t="str">
        <x:v>Plus mensual</x:v>
      </x:c>
      <x:c r="G1116" t="str">
        <x:v>Mensual</x:v>
      </x:c>
      <x:c r="H1116" t="n">
        <x:v>1</x:v>
      </x:c>
      <x:c r="I1116" t="str">
        <x:v>Aprobado</x:v>
      </x:c>
      <x:c r="J1116" t="n">
        <x:v>29900</x:v>
      </x:c>
      <x:c r="K1116" t="str">
        <x:v>PSE</x:v>
      </x:c>
      <x:c r="L1116" t="str">
        <x:v>Sin error</x:v>
      </x:c>
    </x:row>
    <x:row r="1117">
      <x:c r="A1117" t="str">
        <x:v>TXN-0001116</x:v>
      </x:c>
      <x:c r="B1117" t="str">
        <x:v>2026-04</x:v>
      </x:c>
      <x:c r="C1117" t="n">
        <x:v>46121</x:v>
      </x:c>
      <x:c r="D1117" t="str">
        <x:v>USR-00391</x:v>
      </x:c>
      <x:c r="E1117" t="str">
        <x:v>SUS-000506</x:v>
      </x:c>
      <x:c r="F1117" t="str">
        <x:v>Plus mensual</x:v>
      </x:c>
      <x:c r="G1117" t="str">
        <x:v>Mensual</x:v>
      </x:c>
      <x:c r="H1117" t="n">
        <x:v>1</x:v>
      </x:c>
      <x:c r="I1117" t="str">
        <x:v>Aprobado</x:v>
      </x:c>
      <x:c r="J1117" t="n">
        <x:v>29900</x:v>
      </x:c>
      <x:c r="K1117" t="str">
        <x:v>Tarjeta crédito</x:v>
      </x:c>
      <x:c r="L1117" t="str">
        <x:v>Sin error</x:v>
      </x:c>
    </x:row>
    <x:row r="1118">
      <x:c r="A1118" t="str">
        <x:v>TXN-0001117</x:v>
      </x:c>
      <x:c r="B1118" t="str">
        <x:v>2026-04</x:v>
      </x:c>
      <x:c r="C1118" t="n">
        <x:v>46124</x:v>
      </x:c>
      <x:c r="D1118" t="str">
        <x:v>USR-00395</x:v>
      </x:c>
      <x:c r="E1118" t="str">
        <x:v>SUS-000642</x:v>
      </x:c>
      <x:c r="F1118" t="str">
        <x:v>Plus mensual</x:v>
      </x:c>
      <x:c r="G1118" t="str">
        <x:v>Mensual</x:v>
      </x:c>
      <x:c r="H1118" t="n">
        <x:v>1</x:v>
      </x:c>
      <x:c r="I1118" t="str">
        <x:v>Aprobado</x:v>
      </x:c>
      <x:c r="J1118" t="n">
        <x:v>29900</x:v>
      </x:c>
      <x:c r="K1118" t="str">
        <x:v>Tarjeta débito</x:v>
      </x:c>
      <x:c r="L1118" t="str">
        <x:v>Sin error</x:v>
      </x:c>
    </x:row>
    <x:row r="1119">
      <x:c r="A1119" t="str">
        <x:v>TXN-0001118</x:v>
      </x:c>
      <x:c r="B1119" t="str">
        <x:v>2026-04</x:v>
      </x:c>
      <x:c r="C1119" t="n">
        <x:v>46118</x:v>
      </x:c>
      <x:c r="D1119" t="str">
        <x:v>USR-00396</x:v>
      </x:c>
      <x:c r="E1119" t="str">
        <x:v>SUS-000511</x:v>
      </x:c>
      <x:c r="F1119" t="str">
        <x:v>Plus mensual</x:v>
      </x:c>
      <x:c r="G1119" t="str">
        <x:v>Mensual</x:v>
      </x:c>
      <x:c r="H1119" t="n">
        <x:v>1</x:v>
      </x:c>
      <x:c r="I1119" t="str">
        <x:v>Aprobado</x:v>
      </x:c>
      <x:c r="J1119" t="n">
        <x:v>29900</x:v>
      </x:c>
      <x:c r="K1119" t="str">
        <x:v>Tarjeta débito</x:v>
      </x:c>
      <x:c r="L1119" t="str">
        <x:v>Sin error</x:v>
      </x:c>
    </x:row>
    <x:row r="1120">
      <x:c r="A1120" t="str">
        <x:v>TXN-0001119</x:v>
      </x:c>
      <x:c r="B1120" t="str">
        <x:v>2026-04</x:v>
      </x:c>
      <x:c r="C1120" t="n">
        <x:v>46117</x:v>
      </x:c>
      <x:c r="D1120" t="str">
        <x:v>USR-00403</x:v>
      </x:c>
      <x:c r="E1120" t="str">
        <x:v>SUS-000987</x:v>
      </x:c>
      <x:c r="F1120" t="str">
        <x:v>Plus mensual</x:v>
      </x:c>
      <x:c r="G1120" t="str">
        <x:v>Mensual</x:v>
      </x:c>
      <x:c r="H1120" t="n">
        <x:v>1</x:v>
      </x:c>
      <x:c r="I1120" t="str">
        <x:v>Aprobado</x:v>
      </x:c>
      <x:c r="J1120" t="n">
        <x:v>29900</x:v>
      </x:c>
      <x:c r="K1120" t="str">
        <x:v>Tarjeta crédito</x:v>
      </x:c>
      <x:c r="L1120" t="str">
        <x:v>Sin error</x:v>
      </x:c>
    </x:row>
    <x:row r="1121">
      <x:c r="A1121" t="str">
        <x:v>TXN-0001120</x:v>
      </x:c>
      <x:c r="B1121" t="str">
        <x:v>2026-04</x:v>
      </x:c>
      <x:c r="C1121" t="n">
        <x:v>46119</x:v>
      </x:c>
      <x:c r="D1121" t="str">
        <x:v>USR-00404</x:v>
      </x:c>
      <x:c r="E1121" t="str">
        <x:v>SUS-000861</x:v>
      </x:c>
      <x:c r="F1121" t="str">
        <x:v>Plus mensual</x:v>
      </x:c>
      <x:c r="G1121" t="str">
        <x:v>Mensual</x:v>
      </x:c>
      <x:c r="H1121" t="n">
        <x:v>1</x:v>
      </x:c>
      <x:c r="I1121" t="str">
        <x:v>Aprobado</x:v>
      </x:c>
      <x:c r="J1121" t="n">
        <x:v>29900</x:v>
      </x:c>
      <x:c r="K1121" t="str">
        <x:v>Tarjeta débito</x:v>
      </x:c>
      <x:c r="L1121" t="str">
        <x:v>Sin error</x:v>
      </x:c>
    </x:row>
    <x:row r="1122">
      <x:c r="A1122" t="str">
        <x:v>TXN-0001121</x:v>
      </x:c>
      <x:c r="B1122" t="str">
        <x:v>2026-04</x:v>
      </x:c>
      <x:c r="C1122" t="n">
        <x:v>46122</x:v>
      </x:c>
      <x:c r="D1122" t="str">
        <x:v>USR-00406</x:v>
      </x:c>
      <x:c r="E1122" t="str">
        <x:v>SUS-000548</x:v>
      </x:c>
      <x:c r="F1122" t="str">
        <x:v>Plus mensual</x:v>
      </x:c>
      <x:c r="G1122" t="str">
        <x:v>Mensual</x:v>
      </x:c>
      <x:c r="H1122" t="n">
        <x:v>1</x:v>
      </x:c>
      <x:c r="I1122" t="str">
        <x:v>Aprobado</x:v>
      </x:c>
      <x:c r="J1122" t="n">
        <x:v>29900</x:v>
      </x:c>
      <x:c r="K1122" t="str">
        <x:v>PSE</x:v>
      </x:c>
      <x:c r="L1122" t="str">
        <x:v>Sin error</x:v>
      </x:c>
    </x:row>
    <x:row r="1123">
      <x:c r="A1123" t="str">
        <x:v>TXN-0001122</x:v>
      </x:c>
      <x:c r="B1123" t="str">
        <x:v>2026-04</x:v>
      </x:c>
      <x:c r="C1123" t="n">
        <x:v>46120</x:v>
      </x:c>
      <x:c r="D1123" t="str">
        <x:v>USR-00409</x:v>
      </x:c>
      <x:c r="E1123" t="str">
        <x:v>SUS-000988</x:v>
      </x:c>
      <x:c r="F1123" t="str">
        <x:v>Plus mensual</x:v>
      </x:c>
      <x:c r="G1123" t="str">
        <x:v>Mensual</x:v>
      </x:c>
      <x:c r="H1123" t="n">
        <x:v>1</x:v>
      </x:c>
      <x:c r="I1123" t="str">
        <x:v>Rechazado</x:v>
      </x:c>
      <x:c r="J1123" t="n">
        <x:v>29900</x:v>
      </x:c>
      <x:c r="K1123" t="str">
        <x:v>PSE</x:v>
      </x:c>
      <x:c r="L1123" t="str">
        <x:v>Error temporal</x:v>
      </x:c>
    </x:row>
    <x:row r="1124">
      <x:c r="A1124" t="str">
        <x:v>TXN-0001123</x:v>
      </x:c>
      <x:c r="B1124" t="str">
        <x:v>2026-04</x:v>
      </x:c>
      <x:c r="C1124" t="n">
        <x:v>46120</x:v>
      </x:c>
      <x:c r="D1124" t="str">
        <x:v>USR-00409</x:v>
      </x:c>
      <x:c r="E1124" t="str">
        <x:v>SUS-000988</x:v>
      </x:c>
      <x:c r="F1124" t="str">
        <x:v>Plus mensual</x:v>
      </x:c>
      <x:c r="G1124" t="str">
        <x:v>Mensual</x:v>
      </x:c>
      <x:c r="H1124" t="n">
        <x:v>2</x:v>
      </x:c>
      <x:c r="I1124" t="str">
        <x:v>Aprobado</x:v>
      </x:c>
      <x:c r="J1124" t="n">
        <x:v>29900</x:v>
      </x:c>
      <x:c r="K1124" t="str">
        <x:v>Tarjeta débito</x:v>
      </x:c>
      <x:c r="L1124" t="str">
        <x:v>Sin error</x:v>
      </x:c>
    </x:row>
    <x:row r="1125">
      <x:c r="A1125" t="str">
        <x:v>TXN-0001124</x:v>
      </x:c>
      <x:c r="B1125" t="str">
        <x:v>2026-04</x:v>
      </x:c>
      <x:c r="C1125" t="n">
        <x:v>46117</x:v>
      </x:c>
      <x:c r="D1125" t="str">
        <x:v>USR-00413</x:v>
      </x:c>
      <x:c r="E1125" t="str">
        <x:v>SUS-000862</x:v>
      </x:c>
      <x:c r="F1125" t="str">
        <x:v>Plus mensual</x:v>
      </x:c>
      <x:c r="G1125" t="str">
        <x:v>Mensual</x:v>
      </x:c>
      <x:c r="H1125" t="n">
        <x:v>1</x:v>
      </x:c>
      <x:c r="I1125" t="str">
        <x:v>Aprobado</x:v>
      </x:c>
      <x:c r="J1125" t="n">
        <x:v>29900</x:v>
      </x:c>
      <x:c r="K1125" t="str">
        <x:v>PSE</x:v>
      </x:c>
      <x:c r="L1125" t="str">
        <x:v>Sin error</x:v>
      </x:c>
    </x:row>
    <x:row r="1126">
      <x:c r="A1126" t="str">
        <x:v>TXN-0001125</x:v>
      </x:c>
      <x:c r="B1126" t="str">
        <x:v>2026-04</x:v>
      </x:c>
      <x:c r="C1126" t="n">
        <x:v>46123</x:v>
      </x:c>
      <x:c r="D1126" t="str">
        <x:v>USR-00414</x:v>
      </x:c>
      <x:c r="E1126" t="str">
        <x:v>SUS-000556</x:v>
      </x:c>
      <x:c r="F1126" t="str">
        <x:v>Plus mensual</x:v>
      </x:c>
      <x:c r="G1126" t="str">
        <x:v>Mensual</x:v>
      </x:c>
      <x:c r="H1126" t="n">
        <x:v>1</x:v>
      </x:c>
      <x:c r="I1126" t="str">
        <x:v>Aprobado</x:v>
      </x:c>
      <x:c r="J1126" t="n">
        <x:v>29900</x:v>
      </x:c>
      <x:c r="K1126" t="str">
        <x:v>PSE</x:v>
      </x:c>
      <x:c r="L1126" t="str">
        <x:v>Sin error</x:v>
      </x:c>
    </x:row>
    <x:row r="1127">
      <x:c r="A1127" t="str">
        <x:v>TXN-0001126</x:v>
      </x:c>
      <x:c r="B1127" t="str">
        <x:v>2026-04</x:v>
      </x:c>
      <x:c r="C1127" t="n">
        <x:v>46118</x:v>
      </x:c>
      <x:c r="D1127" t="str">
        <x:v>USR-00416</x:v>
      </x:c>
      <x:c r="E1127" t="str">
        <x:v>SUS-000863</x:v>
      </x:c>
      <x:c r="F1127" t="str">
        <x:v>Plus mensual</x:v>
      </x:c>
      <x:c r="G1127" t="str">
        <x:v>Mensual</x:v>
      </x:c>
      <x:c r="H1127" t="n">
        <x:v>1</x:v>
      </x:c>
      <x:c r="I1127" t="str">
        <x:v>Aprobado</x:v>
      </x:c>
      <x:c r="J1127" t="n">
        <x:v>29900</x:v>
      </x:c>
      <x:c r="K1127" t="str">
        <x:v>Tarjeta crédito</x:v>
      </x:c>
      <x:c r="L1127" t="str">
        <x:v>Sin error</x:v>
      </x:c>
    </x:row>
    <x:row r="1128">
      <x:c r="A1128" t="str">
        <x:v>TXN-0001127</x:v>
      </x:c>
      <x:c r="B1128" t="str">
        <x:v>2026-04</x:v>
      </x:c>
      <x:c r="C1128" t="n">
        <x:v>46121</x:v>
      </x:c>
      <x:c r="D1128" t="str">
        <x:v>USR-00417</x:v>
      </x:c>
      <x:c r="E1128" t="str">
        <x:v>SUS-000643</x:v>
      </x:c>
      <x:c r="F1128" t="str">
        <x:v>Plus mensual</x:v>
      </x:c>
      <x:c r="G1128" t="str">
        <x:v>Mensual</x:v>
      </x:c>
      <x:c r="H1128" t="n">
        <x:v>1</x:v>
      </x:c>
      <x:c r="I1128" t="str">
        <x:v>Aprobado</x:v>
      </x:c>
      <x:c r="J1128" t="n">
        <x:v>29900</x:v>
      </x:c>
      <x:c r="K1128" t="str">
        <x:v>PSE</x:v>
      </x:c>
      <x:c r="L1128" t="str">
        <x:v>Sin error</x:v>
      </x:c>
    </x:row>
    <x:row r="1129">
      <x:c r="A1129" t="str">
        <x:v>TXN-0001128</x:v>
      </x:c>
      <x:c r="B1129" t="str">
        <x:v>2026-04</x:v>
      </x:c>
      <x:c r="C1129" t="n">
        <x:v>46121</x:v>
      </x:c>
      <x:c r="D1129" t="str">
        <x:v>USR-00419</x:v>
      </x:c>
      <x:c r="E1129" t="str">
        <x:v>SUS-000989</x:v>
      </x:c>
      <x:c r="F1129" t="str">
        <x:v>Plus mensual</x:v>
      </x:c>
      <x:c r="G1129" t="str">
        <x:v>Mensual</x:v>
      </x:c>
      <x:c r="H1129" t="n">
        <x:v>1</x:v>
      </x:c>
      <x:c r="I1129" t="str">
        <x:v>Aprobado</x:v>
      </x:c>
      <x:c r="J1129" t="n">
        <x:v>29900</x:v>
      </x:c>
      <x:c r="K1129" t="str">
        <x:v>Tarjeta crédito</x:v>
      </x:c>
      <x:c r="L1129" t="str">
        <x:v>Sin error</x:v>
      </x:c>
    </x:row>
    <x:row r="1130">
      <x:c r="A1130" t="str">
        <x:v>TXN-0001129</x:v>
      </x:c>
      <x:c r="B1130" t="str">
        <x:v>2026-04</x:v>
      </x:c>
      <x:c r="C1130" t="n">
        <x:v>46117</x:v>
      </x:c>
      <x:c r="D1130" t="str">
        <x:v>USR-00420</x:v>
      </x:c>
      <x:c r="E1130" t="str">
        <x:v>SUS-000562</x:v>
      </x:c>
      <x:c r="F1130" t="str">
        <x:v>Plus mensual</x:v>
      </x:c>
      <x:c r="G1130" t="str">
        <x:v>Mensual</x:v>
      </x:c>
      <x:c r="H1130" t="n">
        <x:v>1</x:v>
      </x:c>
      <x:c r="I1130" t="str">
        <x:v>Aprobado</x:v>
      </x:c>
      <x:c r="J1130" t="n">
        <x:v>29900</x:v>
      </x:c>
      <x:c r="K1130" t="str">
        <x:v>Tarjeta débito</x:v>
      </x:c>
      <x:c r="L1130" t="str">
        <x:v>Sin error</x:v>
      </x:c>
    </x:row>
    <x:row r="1131">
      <x:c r="A1131" t="str">
        <x:v>TXN-0001130</x:v>
      </x:c>
      <x:c r="B1131" t="str">
        <x:v>2026-04</x:v>
      </x:c>
      <x:c r="C1131" t="n">
        <x:v>46117</x:v>
      </x:c>
      <x:c r="D1131" t="str">
        <x:v>USR-00421</x:v>
      </x:c>
      <x:c r="E1131" t="str">
        <x:v>SUS-000864</x:v>
      </x:c>
      <x:c r="F1131" t="str">
        <x:v>Plus mensual</x:v>
      </x:c>
      <x:c r="G1131" t="str">
        <x:v>Mensual</x:v>
      </x:c>
      <x:c r="H1131" t="n">
        <x:v>1</x:v>
      </x:c>
      <x:c r="I1131" t="str">
        <x:v>Aprobado</x:v>
      </x:c>
      <x:c r="J1131" t="n">
        <x:v>29900</x:v>
      </x:c>
      <x:c r="K1131" t="str">
        <x:v>PSE</x:v>
      </x:c>
      <x:c r="L1131" t="str">
        <x:v>Sin error</x:v>
      </x:c>
    </x:row>
    <x:row r="1132">
      <x:c r="A1132" t="str">
        <x:v>TXN-0001131</x:v>
      </x:c>
      <x:c r="B1132" t="str">
        <x:v>2026-04</x:v>
      </x:c>
      <x:c r="C1132" t="n">
        <x:v>46121</x:v>
      </x:c>
      <x:c r="D1132" t="str">
        <x:v>USR-00423</x:v>
      </x:c>
      <x:c r="E1132" t="str">
        <x:v>SUS-000565</x:v>
      </x:c>
      <x:c r="F1132" t="str">
        <x:v>Plus mensual</x:v>
      </x:c>
      <x:c r="G1132" t="str">
        <x:v>Mensual</x:v>
      </x:c>
      <x:c r="H1132" t="n">
        <x:v>1</x:v>
      </x:c>
      <x:c r="I1132" t="str">
        <x:v>Aprobado</x:v>
      </x:c>
      <x:c r="J1132" t="n">
        <x:v>29900</x:v>
      </x:c>
      <x:c r="K1132" t="str">
        <x:v>PSE</x:v>
      </x:c>
      <x:c r="L1132" t="str">
        <x:v>Sin error</x:v>
      </x:c>
    </x:row>
    <x:row r="1133">
      <x:c r="A1133" t="str">
        <x:v>TXN-0001132</x:v>
      </x:c>
      <x:c r="B1133" t="str">
        <x:v>2026-04</x:v>
      </x:c>
      <x:c r="C1133" t="n">
        <x:v>46119</x:v>
      </x:c>
      <x:c r="D1133" t="str">
        <x:v>USR-00435</x:v>
      </x:c>
      <x:c r="E1133" t="str">
        <x:v>SUS-000577</x:v>
      </x:c>
      <x:c r="F1133" t="str">
        <x:v>Plus mensual</x:v>
      </x:c>
      <x:c r="G1133" t="str">
        <x:v>Mensual</x:v>
      </x:c>
      <x:c r="H1133" t="n">
        <x:v>1</x:v>
      </x:c>
      <x:c r="I1133" t="str">
        <x:v>Aprobado</x:v>
      </x:c>
      <x:c r="J1133" t="n">
        <x:v>29900</x:v>
      </x:c>
      <x:c r="K1133" t="str">
        <x:v>Tarjeta débito</x:v>
      </x:c>
      <x:c r="L1133" t="str">
        <x:v>Sin error</x:v>
      </x:c>
    </x:row>
    <x:row r="1134">
      <x:c r="A1134" t="str">
        <x:v>TXN-0001133</x:v>
      </x:c>
      <x:c r="B1134" t="str">
        <x:v>2026-04</x:v>
      </x:c>
      <x:c r="C1134" t="n">
        <x:v>46118</x:v>
      </x:c>
      <x:c r="D1134" t="str">
        <x:v>USR-00446</x:v>
      </x:c>
      <x:c r="E1134" t="str">
        <x:v>SUS-000588</x:v>
      </x:c>
      <x:c r="F1134" t="str">
        <x:v>Plus mensual</x:v>
      </x:c>
      <x:c r="G1134" t="str">
        <x:v>Mensual</x:v>
      </x:c>
      <x:c r="H1134" t="n">
        <x:v>1</x:v>
      </x:c>
      <x:c r="I1134" t="str">
        <x:v>Aprobado</x:v>
      </x:c>
      <x:c r="J1134" t="n">
        <x:v>29900</x:v>
      </x:c>
      <x:c r="K1134" t="str">
        <x:v>Tarjeta débito</x:v>
      </x:c>
      <x:c r="L1134" t="str">
        <x:v>Sin error</x:v>
      </x:c>
    </x:row>
    <x:row r="1135">
      <x:c r="A1135" t="str">
        <x:v>TXN-0001134</x:v>
      </x:c>
      <x:c r="B1135" t="str">
        <x:v>2026-04</x:v>
      </x:c>
      <x:c r="C1135" t="n">
        <x:v>46118</x:v>
      </x:c>
      <x:c r="D1135" t="str">
        <x:v>USR-00448</x:v>
      </x:c>
      <x:c r="E1135" t="str">
        <x:v>SUS-000645</x:v>
      </x:c>
      <x:c r="F1135" t="str">
        <x:v>Plus mensual</x:v>
      </x:c>
      <x:c r="G1135" t="str">
        <x:v>Mensual</x:v>
      </x:c>
      <x:c r="H1135" t="n">
        <x:v>1</x:v>
      </x:c>
      <x:c r="I1135" t="str">
        <x:v>Aprobado</x:v>
      </x:c>
      <x:c r="J1135" t="n">
        <x:v>29900</x:v>
      </x:c>
      <x:c r="K1135" t="str">
        <x:v>Tarjeta crédito</x:v>
      </x:c>
      <x:c r="L1135" t="str">
        <x:v>Sin error</x:v>
      </x:c>
    </x:row>
    <x:row r="1136">
      <x:c r="A1136" t="str">
        <x:v>TXN-0001135</x:v>
      </x:c>
      <x:c r="B1136" t="str">
        <x:v>2026-04</x:v>
      </x:c>
      <x:c r="C1136" t="n">
        <x:v>46124</x:v>
      </x:c>
      <x:c r="D1136" t="str">
        <x:v>USR-00450</x:v>
      </x:c>
      <x:c r="E1136" t="str">
        <x:v>SUS-000867</x:v>
      </x:c>
      <x:c r="F1136" t="str">
        <x:v>Plus mensual</x:v>
      </x:c>
      <x:c r="G1136" t="str">
        <x:v>Mensual</x:v>
      </x:c>
      <x:c r="H1136" t="n">
        <x:v>1</x:v>
      </x:c>
      <x:c r="I1136" t="str">
        <x:v>Aprobado</x:v>
      </x:c>
      <x:c r="J1136" t="n">
        <x:v>29900</x:v>
      </x:c>
      <x:c r="K1136" t="str">
        <x:v>Tarjeta débito</x:v>
      </x:c>
      <x:c r="L1136" t="str">
        <x:v>Sin error</x:v>
      </x:c>
    </x:row>
    <x:row r="1137">
      <x:c r="A1137" t="str">
        <x:v>TXN-0001136</x:v>
      </x:c>
      <x:c r="B1137" t="str">
        <x:v>2026-04</x:v>
      </x:c>
      <x:c r="C1137" t="n">
        <x:v>46121</x:v>
      </x:c>
      <x:c r="D1137" t="str">
        <x:v>USR-00452</x:v>
      </x:c>
      <x:c r="E1137" t="str">
        <x:v>SUS-000868</x:v>
      </x:c>
      <x:c r="F1137" t="str">
        <x:v>Plus mensual</x:v>
      </x:c>
      <x:c r="G1137" t="str">
        <x:v>Mensual</x:v>
      </x:c>
      <x:c r="H1137" t="n">
        <x:v>1</x:v>
      </x:c>
      <x:c r="I1137" t="str">
        <x:v>Aprobado</x:v>
      </x:c>
      <x:c r="J1137" t="n">
        <x:v>29900</x:v>
      </x:c>
      <x:c r="K1137" t="str">
        <x:v>PSE</x:v>
      </x:c>
      <x:c r="L1137" t="str">
        <x:v>Sin error</x:v>
      </x:c>
    </x:row>
    <x:row r="1138">
      <x:c r="A1138" t="str">
        <x:v>TXN-0001137</x:v>
      </x:c>
      <x:c r="B1138" t="str">
        <x:v>2026-04</x:v>
      </x:c>
      <x:c r="C1138" t="n">
        <x:v>46122</x:v>
      </x:c>
      <x:c r="D1138" t="str">
        <x:v>USR-00456</x:v>
      </x:c>
      <x:c r="E1138" t="str">
        <x:v>SUS-000598</x:v>
      </x:c>
      <x:c r="F1138" t="str">
        <x:v>Plus mensual</x:v>
      </x:c>
      <x:c r="G1138" t="str">
        <x:v>Mensual</x:v>
      </x:c>
      <x:c r="H1138" t="n">
        <x:v>1</x:v>
      </x:c>
      <x:c r="I1138" t="str">
        <x:v>Aprobado</x:v>
      </x:c>
      <x:c r="J1138" t="n">
        <x:v>29900</x:v>
      </x:c>
      <x:c r="K1138" t="str">
        <x:v>PSE</x:v>
      </x:c>
      <x:c r="L1138" t="str">
        <x:v>Sin error</x:v>
      </x:c>
    </x:row>
    <x:row r="1139">
      <x:c r="A1139" t="str">
        <x:v>TXN-0001138</x:v>
      </x:c>
      <x:c r="B1139" t="str">
        <x:v>2026-04</x:v>
      </x:c>
      <x:c r="C1139" t="n">
        <x:v>46124</x:v>
      </x:c>
      <x:c r="D1139" t="str">
        <x:v>USR-00458</x:v>
      </x:c>
      <x:c r="E1139" t="str">
        <x:v>SUS-000600</x:v>
      </x:c>
      <x:c r="F1139" t="str">
        <x:v>Plus mensual</x:v>
      </x:c>
      <x:c r="G1139" t="str">
        <x:v>Mensual</x:v>
      </x:c>
      <x:c r="H1139" t="n">
        <x:v>1</x:v>
      </x:c>
      <x:c r="I1139" t="str">
        <x:v>Aprobado</x:v>
      </x:c>
      <x:c r="J1139" t="n">
        <x:v>29900</x:v>
      </x:c>
      <x:c r="K1139" t="str">
        <x:v>PSE</x:v>
      </x:c>
      <x:c r="L1139" t="str">
        <x:v>Sin error</x:v>
      </x:c>
    </x:row>
    <x:row r="1140">
      <x:c r="A1140" t="str">
        <x:v>TXN-0001139</x:v>
      </x:c>
      <x:c r="B1140" t="str">
        <x:v>2026-04</x:v>
      </x:c>
      <x:c r="C1140" t="n">
        <x:v>46120</x:v>
      </x:c>
      <x:c r="D1140" t="str">
        <x:v>USR-00465</x:v>
      </x:c>
      <x:c r="E1140" t="str">
        <x:v>SUS-000607</x:v>
      </x:c>
      <x:c r="F1140" t="str">
        <x:v>Plus mensual</x:v>
      </x:c>
      <x:c r="G1140" t="str">
        <x:v>Mensual</x:v>
      </x:c>
      <x:c r="H1140" t="n">
        <x:v>1</x:v>
      </x:c>
      <x:c r="I1140" t="str">
        <x:v>Rechazado</x:v>
      </x:c>
      <x:c r="J1140" t="n">
        <x:v>29900</x:v>
      </x:c>
      <x:c r="K1140" t="str">
        <x:v>Tarjeta crédito</x:v>
      </x:c>
      <x:c r="L1140" t="str">
        <x:v>Fondos insuficientes</x:v>
      </x:c>
    </x:row>
    <x:row r="1141">
      <x:c r="A1141" t="str">
        <x:v>TXN-0001140</x:v>
      </x:c>
      <x:c r="B1141" t="str">
        <x:v>2026-04</x:v>
      </x:c>
      <x:c r="C1141" t="n">
        <x:v>46119</x:v>
      </x:c>
      <x:c r="D1141" t="str">
        <x:v>USR-00465</x:v>
      </x:c>
      <x:c r="E1141" t="str">
        <x:v>SUS-000607</x:v>
      </x:c>
      <x:c r="F1141" t="str">
        <x:v>Plus mensual</x:v>
      </x:c>
      <x:c r="G1141" t="str">
        <x:v>Mensual</x:v>
      </x:c>
      <x:c r="H1141" t="n">
        <x:v>2</x:v>
      </x:c>
      <x:c r="I1141" t="str">
        <x:v>Aprobado</x:v>
      </x:c>
      <x:c r="J1141" t="n">
        <x:v>29900</x:v>
      </x:c>
      <x:c r="K1141" t="str">
        <x:v>Tarjeta crédito</x:v>
      </x:c>
      <x:c r="L1141" t="str">
        <x:v>Sin error</x:v>
      </x:c>
    </x:row>
    <x:row r="1142">
      <x:c r="A1142" t="str">
        <x:v>TXN-0001141</x:v>
      </x:c>
      <x:c r="B1142" t="str">
        <x:v>2026-04</x:v>
      </x:c>
      <x:c r="C1142" t="n">
        <x:v>46124</x:v>
      </x:c>
      <x:c r="D1142" t="str">
        <x:v>USR-00467</x:v>
      </x:c>
      <x:c r="E1142" t="str">
        <x:v>SUS-000763</x:v>
      </x:c>
      <x:c r="F1142" t="str">
        <x:v>Plus mensual</x:v>
      </x:c>
      <x:c r="G1142" t="str">
        <x:v>Mensual</x:v>
      </x:c>
      <x:c r="H1142" t="n">
        <x:v>1</x:v>
      </x:c>
      <x:c r="I1142" t="str">
        <x:v>Aprobado</x:v>
      </x:c>
      <x:c r="J1142" t="n">
        <x:v>29900</x:v>
      </x:c>
      <x:c r="K1142" t="str">
        <x:v>Tarjeta crédito</x:v>
      </x:c>
      <x:c r="L1142" t="str">
        <x:v>Sin error</x:v>
      </x:c>
    </x:row>
    <x:row r="1143">
      <x:c r="A1143" t="str">
        <x:v>TXN-0001142</x:v>
      </x:c>
      <x:c r="B1143" t="str">
        <x:v>2026-04</x:v>
      </x:c>
      <x:c r="C1143" t="n">
        <x:v>46124</x:v>
      </x:c>
      <x:c r="D1143" t="str">
        <x:v>USR-00469</x:v>
      </x:c>
      <x:c r="E1143" t="str">
        <x:v>SUS-000648</x:v>
      </x:c>
      <x:c r="F1143" t="str">
        <x:v>Plus mensual</x:v>
      </x:c>
      <x:c r="G1143" t="str">
        <x:v>Mensual</x:v>
      </x:c>
      <x:c r="H1143" t="n">
        <x:v>1</x:v>
      </x:c>
      <x:c r="I1143" t="str">
        <x:v>Aprobado</x:v>
      </x:c>
      <x:c r="J1143" t="n">
        <x:v>29900</x:v>
      </x:c>
      <x:c r="K1143" t="str">
        <x:v>PSE</x:v>
      </x:c>
      <x:c r="L1143" t="str">
        <x:v>Sin error</x:v>
      </x:c>
    </x:row>
    <x:row r="1144">
      <x:c r="A1144" t="str">
        <x:v>TXN-0001143</x:v>
      </x:c>
      <x:c r="B1144" t="str">
        <x:v>2026-04</x:v>
      </x:c>
      <x:c r="C1144" t="n">
        <x:v>46118</x:v>
      </x:c>
      <x:c r="D1144" t="str">
        <x:v>USR-00473</x:v>
      </x:c>
      <x:c r="E1144" t="str">
        <x:v>SUS-000651</x:v>
      </x:c>
      <x:c r="F1144" t="str">
        <x:v>Plus mensual</x:v>
      </x:c>
      <x:c r="G1144" t="str">
        <x:v>Mensual</x:v>
      </x:c>
      <x:c r="H1144" t="n">
        <x:v>1</x:v>
      </x:c>
      <x:c r="I1144" t="str">
        <x:v>Rechazado</x:v>
      </x:c>
      <x:c r="J1144" t="n">
        <x:v>29900</x:v>
      </x:c>
      <x:c r="K1144" t="str">
        <x:v>Tarjeta crédito</x:v>
      </x:c>
      <x:c r="L1144" t="str">
        <x:v>Error temporal</x:v>
      </x:c>
    </x:row>
    <x:row r="1145">
      <x:c r="A1145" t="str">
        <x:v>TXN-0001144</x:v>
      </x:c>
      <x:c r="B1145" t="str">
        <x:v>2026-04</x:v>
      </x:c>
      <x:c r="C1145" t="n">
        <x:v>46121</x:v>
      </x:c>
      <x:c r="D1145" t="str">
        <x:v>USR-00473</x:v>
      </x:c>
      <x:c r="E1145" t="str">
        <x:v>SUS-000651</x:v>
      </x:c>
      <x:c r="F1145" t="str">
        <x:v>Plus mensual</x:v>
      </x:c>
      <x:c r="G1145" t="str">
        <x:v>Mensual</x:v>
      </x:c>
      <x:c r="H1145" t="n">
        <x:v>2</x:v>
      </x:c>
      <x:c r="I1145" t="str">
        <x:v>Aprobado</x:v>
      </x:c>
      <x:c r="J1145" t="n">
        <x:v>29900</x:v>
      </x:c>
      <x:c r="K1145" t="str">
        <x:v>PSE</x:v>
      </x:c>
      <x:c r="L1145" t="str">
        <x:v>Sin error</x:v>
      </x:c>
    </x:row>
    <x:row r="1146">
      <x:c r="A1146" t="str">
        <x:v>TXN-0001145</x:v>
      </x:c>
      <x:c r="B1146" t="str">
        <x:v>2026-04</x:v>
      </x:c>
      <x:c r="C1146" t="n">
        <x:v>46120</x:v>
      </x:c>
      <x:c r="D1146" t="str">
        <x:v>USR-00475</x:v>
      </x:c>
      <x:c r="E1146" t="str">
        <x:v>SUS-000991</x:v>
      </x:c>
      <x:c r="F1146" t="str">
        <x:v>Plus mensual</x:v>
      </x:c>
      <x:c r="G1146" t="str">
        <x:v>Mensual</x:v>
      </x:c>
      <x:c r="H1146" t="n">
        <x:v>1</x:v>
      </x:c>
      <x:c r="I1146" t="str">
        <x:v>Aprobado</x:v>
      </x:c>
      <x:c r="J1146" t="n">
        <x:v>29900</x:v>
      </x:c>
      <x:c r="K1146" t="str">
        <x:v>Tarjeta débito</x:v>
      </x:c>
      <x:c r="L1146" t="str">
        <x:v>Sin error</x:v>
      </x:c>
    </x:row>
    <x:row r="1147">
      <x:c r="A1147" t="str">
        <x:v>TXN-0001146</x:v>
      </x:c>
      <x:c r="B1147" t="str">
        <x:v>2026-04</x:v>
      </x:c>
      <x:c r="C1147" t="n">
        <x:v>46122</x:v>
      </x:c>
      <x:c r="D1147" t="str">
        <x:v>USR-00484</x:v>
      </x:c>
      <x:c r="E1147" t="str">
        <x:v>SUS-000662</x:v>
      </x:c>
      <x:c r="F1147" t="str">
        <x:v>Plus mensual</x:v>
      </x:c>
      <x:c r="G1147" t="str">
        <x:v>Mensual</x:v>
      </x:c>
      <x:c r="H1147" t="n">
        <x:v>1</x:v>
      </x:c>
      <x:c r="I1147" t="str">
        <x:v>Aprobado</x:v>
      </x:c>
      <x:c r="J1147" t="n">
        <x:v>29900</x:v>
      </x:c>
      <x:c r="K1147" t="str">
        <x:v>Tarjeta débito</x:v>
      </x:c>
      <x:c r="L1147" t="str">
        <x:v>Sin error</x:v>
      </x:c>
    </x:row>
    <x:row r="1148">
      <x:c r="A1148" t="str">
        <x:v>TXN-0001147</x:v>
      </x:c>
      <x:c r="B1148" t="str">
        <x:v>2026-04</x:v>
      </x:c>
      <x:c r="C1148" t="n">
        <x:v>46119</x:v>
      </x:c>
      <x:c r="D1148" t="str">
        <x:v>USR-00489</x:v>
      </x:c>
      <x:c r="E1148" t="str">
        <x:v>SUS-000766</x:v>
      </x:c>
      <x:c r="F1148" t="str">
        <x:v>Plus mensual</x:v>
      </x:c>
      <x:c r="G1148" t="str">
        <x:v>Mensual</x:v>
      </x:c>
      <x:c r="H1148" t="n">
        <x:v>1</x:v>
      </x:c>
      <x:c r="I1148" t="str">
        <x:v>Aprobado</x:v>
      </x:c>
      <x:c r="J1148" t="n">
        <x:v>29900</x:v>
      </x:c>
      <x:c r="K1148" t="str">
        <x:v>Tarjeta débito</x:v>
      </x:c>
      <x:c r="L1148" t="str">
        <x:v>Sin error</x:v>
      </x:c>
    </x:row>
    <x:row r="1149">
      <x:c r="A1149" t="str">
        <x:v>TXN-0001148</x:v>
      </x:c>
      <x:c r="B1149" t="str">
        <x:v>2026-04</x:v>
      </x:c>
      <x:c r="C1149" t="n">
        <x:v>46118</x:v>
      </x:c>
      <x:c r="D1149" t="str">
        <x:v>USR-00490</x:v>
      </x:c>
      <x:c r="E1149" t="str">
        <x:v>SUS-000992</x:v>
      </x:c>
      <x:c r="F1149" t="str">
        <x:v>Plus mensual</x:v>
      </x:c>
      <x:c r="G1149" t="str">
        <x:v>Mensual</x:v>
      </x:c>
      <x:c r="H1149" t="n">
        <x:v>1</x:v>
      </x:c>
      <x:c r="I1149" t="str">
        <x:v>Aprobado</x:v>
      </x:c>
      <x:c r="J1149" t="n">
        <x:v>29900</x:v>
      </x:c>
      <x:c r="K1149" t="str">
        <x:v>PSE</x:v>
      </x:c>
      <x:c r="L1149" t="str">
        <x:v>Sin error</x:v>
      </x:c>
    </x:row>
    <x:row r="1150">
      <x:c r="A1150" t="str">
        <x:v>TXN-0001149</x:v>
      </x:c>
      <x:c r="B1150" t="str">
        <x:v>2026-04</x:v>
      </x:c>
      <x:c r="C1150" t="n">
        <x:v>46118</x:v>
      </x:c>
      <x:c r="D1150" t="str">
        <x:v>USR-00499</x:v>
      </x:c>
      <x:c r="E1150" t="str">
        <x:v>SUS-000993</x:v>
      </x:c>
      <x:c r="F1150" t="str">
        <x:v>Plus anual</x:v>
      </x:c>
      <x:c r="G1150" t="str">
        <x:v>Anual</x:v>
      </x:c>
      <x:c r="H1150" t="n">
        <x:v>1</x:v>
      </x:c>
      <x:c r="I1150" t="str">
        <x:v>Aprobado</x:v>
      </x:c>
      <x:c r="J1150" t="n">
        <x:v>299000</x:v>
      </x:c>
      <x:c r="K1150" t="str">
        <x:v>Tarjeta débito</x:v>
      </x:c>
      <x:c r="L1150" t="str">
        <x:v>Sin error</x:v>
      </x:c>
    </x:row>
    <x:row r="1151">
      <x:c r="A1151" t="str">
        <x:v>TXN-0001150</x:v>
      </x:c>
      <x:c r="B1151" t="str">
        <x:v>2026-04</x:v>
      </x:c>
      <x:c r="C1151" t="n">
        <x:v>46121</x:v>
      </x:c>
      <x:c r="D1151" t="str">
        <x:v>USR-00502</x:v>
      </x:c>
      <x:c r="E1151" t="str">
        <x:v>SUS-000994</x:v>
      </x:c>
      <x:c r="F1151" t="str">
        <x:v>Plus mensual</x:v>
      </x:c>
      <x:c r="G1151" t="str">
        <x:v>Mensual</x:v>
      </x:c>
      <x:c r="H1151" t="n">
        <x:v>1</x:v>
      </x:c>
      <x:c r="I1151" t="str">
        <x:v>Aprobado</x:v>
      </x:c>
      <x:c r="J1151" t="n">
        <x:v>29900</x:v>
      </x:c>
      <x:c r="K1151" t="str">
        <x:v>PSE</x:v>
      </x:c>
      <x:c r="L1151" t="str">
        <x:v>Sin error</x:v>
      </x:c>
    </x:row>
    <x:row r="1152">
      <x:c r="A1152" t="str">
        <x:v>TXN-0001151</x:v>
      </x:c>
      <x:c r="B1152" t="str">
        <x:v>2026-04</x:v>
      </x:c>
      <x:c r="C1152" t="n">
        <x:v>46121</x:v>
      </x:c>
      <x:c r="D1152" t="str">
        <x:v>USR-00506</x:v>
      </x:c>
      <x:c r="E1152" t="str">
        <x:v>SUS-000873</x:v>
      </x:c>
      <x:c r="F1152" t="str">
        <x:v>Plus mensual</x:v>
      </x:c>
      <x:c r="G1152" t="str">
        <x:v>Mensual</x:v>
      </x:c>
      <x:c r="H1152" t="n">
        <x:v>1</x:v>
      </x:c>
      <x:c r="I1152" t="str">
        <x:v>Aprobado</x:v>
      </x:c>
      <x:c r="J1152" t="n">
        <x:v>29900</x:v>
      </x:c>
      <x:c r="K1152" t="str">
        <x:v>Tarjeta débito</x:v>
      </x:c>
      <x:c r="L1152" t="str">
        <x:v>Sin error</x:v>
      </x:c>
    </x:row>
    <x:row r="1153">
      <x:c r="A1153" t="str">
        <x:v>TXN-0001152</x:v>
      </x:c>
      <x:c r="B1153" t="str">
        <x:v>2026-04</x:v>
      </x:c>
      <x:c r="C1153" t="n">
        <x:v>46119</x:v>
      </x:c>
      <x:c r="D1153" t="str">
        <x:v>USR-00517</x:v>
      </x:c>
      <x:c r="E1153" t="str">
        <x:v>SUS-000767</x:v>
      </x:c>
      <x:c r="F1153" t="str">
        <x:v>Plus mensual</x:v>
      </x:c>
      <x:c r="G1153" t="str">
        <x:v>Mensual</x:v>
      </x:c>
      <x:c r="H1153" t="n">
        <x:v>1</x:v>
      </x:c>
      <x:c r="I1153" t="str">
        <x:v>Aprobado</x:v>
      </x:c>
      <x:c r="J1153" t="n">
        <x:v>29900</x:v>
      </x:c>
      <x:c r="K1153" t="str">
        <x:v>PSE</x:v>
      </x:c>
      <x:c r="L1153" t="str">
        <x:v>Sin error</x:v>
      </x:c>
    </x:row>
    <x:row r="1154">
      <x:c r="A1154" t="str">
        <x:v>TXN-0001153</x:v>
      </x:c>
      <x:c r="B1154" t="str">
        <x:v>2026-04</x:v>
      </x:c>
      <x:c r="C1154" t="n">
        <x:v>46118</x:v>
      </x:c>
      <x:c r="D1154" t="str">
        <x:v>USR-00518</x:v>
      </x:c>
      <x:c r="E1154" t="str">
        <x:v>SUS-000696</x:v>
      </x:c>
      <x:c r="F1154" t="str">
        <x:v>Plus mensual</x:v>
      </x:c>
      <x:c r="G1154" t="str">
        <x:v>Mensual</x:v>
      </x:c>
      <x:c r="H1154" t="n">
        <x:v>1</x:v>
      </x:c>
      <x:c r="I1154" t="str">
        <x:v>Aprobado</x:v>
      </x:c>
      <x:c r="J1154" t="n">
        <x:v>29900</x:v>
      </x:c>
      <x:c r="K1154" t="str">
        <x:v>Tarjeta crédito</x:v>
      </x:c>
      <x:c r="L1154" t="str">
        <x:v>Sin error</x:v>
      </x:c>
    </x:row>
    <x:row r="1155">
      <x:c r="A1155" t="str">
        <x:v>TXN-0001154</x:v>
      </x:c>
      <x:c r="B1155" t="str">
        <x:v>2026-04</x:v>
      </x:c>
      <x:c r="C1155" t="n">
        <x:v>46122</x:v>
      </x:c>
      <x:c r="D1155" t="str">
        <x:v>USR-00524</x:v>
      </x:c>
      <x:c r="E1155" t="str">
        <x:v>SUS-000876</x:v>
      </x:c>
      <x:c r="F1155" t="str">
        <x:v>Plus mensual</x:v>
      </x:c>
      <x:c r="G1155" t="str">
        <x:v>Mensual</x:v>
      </x:c>
      <x:c r="H1155" t="n">
        <x:v>1</x:v>
      </x:c>
      <x:c r="I1155" t="str">
        <x:v>Aprobado</x:v>
      </x:c>
      <x:c r="J1155" t="n">
        <x:v>29900</x:v>
      </x:c>
      <x:c r="K1155" t="str">
        <x:v>PSE</x:v>
      </x:c>
      <x:c r="L1155" t="str">
        <x:v>Sin error</x:v>
      </x:c>
    </x:row>
    <x:row r="1156">
      <x:c r="A1156" t="str">
        <x:v>TXN-0001155</x:v>
      </x:c>
      <x:c r="B1156" t="str">
        <x:v>2026-04</x:v>
      </x:c>
      <x:c r="C1156" t="n">
        <x:v>46120</x:v>
      </x:c>
      <x:c r="D1156" t="str">
        <x:v>USR-00527</x:v>
      </x:c>
      <x:c r="E1156" t="str">
        <x:v>SUS-000705</x:v>
      </x:c>
      <x:c r="F1156" t="str">
        <x:v>Plus mensual</x:v>
      </x:c>
      <x:c r="G1156" t="str">
        <x:v>Mensual</x:v>
      </x:c>
      <x:c r="H1156" t="n">
        <x:v>1</x:v>
      </x:c>
      <x:c r="I1156" t="str">
        <x:v>Aprobado</x:v>
      </x:c>
      <x:c r="J1156" t="n">
        <x:v>29900</x:v>
      </x:c>
      <x:c r="K1156" t="str">
        <x:v>Tarjeta débito</x:v>
      </x:c>
      <x:c r="L1156" t="str">
        <x:v>Sin error</x:v>
      </x:c>
    </x:row>
    <x:row r="1157">
      <x:c r="A1157" t="str">
        <x:v>TXN-0001156</x:v>
      </x:c>
      <x:c r="B1157" t="str">
        <x:v>2026-04</x:v>
      </x:c>
      <x:c r="C1157" t="n">
        <x:v>46123</x:v>
      </x:c>
      <x:c r="D1157" t="str">
        <x:v>USR-00528</x:v>
      </x:c>
      <x:c r="E1157" t="str">
        <x:v>SUS-000877</x:v>
      </x:c>
      <x:c r="F1157" t="str">
        <x:v>Plus mensual</x:v>
      </x:c>
      <x:c r="G1157" t="str">
        <x:v>Mensual</x:v>
      </x:c>
      <x:c r="H1157" t="n">
        <x:v>1</x:v>
      </x:c>
      <x:c r="I1157" t="str">
        <x:v>Aprobado</x:v>
      </x:c>
      <x:c r="J1157" t="n">
        <x:v>29900</x:v>
      </x:c>
      <x:c r="K1157" t="str">
        <x:v>PSE</x:v>
      </x:c>
      <x:c r="L1157" t="str">
        <x:v>Sin error</x:v>
      </x:c>
    </x:row>
    <x:row r="1158">
      <x:c r="A1158" t="str">
        <x:v>TXN-0001157</x:v>
      </x:c>
      <x:c r="B1158" t="str">
        <x:v>2026-04</x:v>
      </x:c>
      <x:c r="C1158" t="n">
        <x:v>46120</x:v>
      </x:c>
      <x:c r="D1158" t="str">
        <x:v>USR-00530</x:v>
      </x:c>
      <x:c r="E1158" t="str">
        <x:v>SIN_SUSCRIPCION</x:v>
      </x:c>
      <x:c r="F1158" t="str">
        <x:v>Plus mensual</x:v>
      </x:c>
      <x:c r="G1158" t="str">
        <x:v>Mensual</x:v>
      </x:c>
      <x:c r="H1158" t="n">
        <x:v>1</x:v>
      </x:c>
      <x:c r="I1158" t="str">
        <x:v>Rechazado</x:v>
      </x:c>
      <x:c r="J1158" t="n">
        <x:v>29900</x:v>
      </x:c>
      <x:c r="K1158" t="str">
        <x:v>PSE</x:v>
      </x:c>
      <x:c r="L1158" t="str">
        <x:v>Error temporal</x:v>
      </x:c>
    </x:row>
    <x:row r="1159">
      <x:c r="A1159" t="str">
        <x:v>TXN-0001158</x:v>
      </x:c>
      <x:c r="B1159" t="str">
        <x:v>2026-04</x:v>
      </x:c>
      <x:c r="C1159" t="n">
        <x:v>46119</x:v>
      </x:c>
      <x:c r="D1159" t="str">
        <x:v>USR-00530</x:v>
      </x:c>
      <x:c r="E1159" t="str">
        <x:v>SIN_SUSCRIPCION</x:v>
      </x:c>
      <x:c r="F1159" t="str">
        <x:v>Plus mensual</x:v>
      </x:c>
      <x:c r="G1159" t="str">
        <x:v>Mensual</x:v>
      </x:c>
      <x:c r="H1159" t="n">
        <x:v>2</x:v>
      </x:c>
      <x:c r="I1159" t="str">
        <x:v>Rechazado</x:v>
      </x:c>
      <x:c r="J1159" t="n">
        <x:v>29900</x:v>
      </x:c>
      <x:c r="K1159" t="str">
        <x:v>Tarjeta débito</x:v>
      </x:c>
      <x:c r="L1159" t="str">
        <x:v>Declinado por entidad</x:v>
      </x:c>
    </x:row>
    <x:row r="1160">
      <x:c r="A1160" t="str">
        <x:v>TXN-0001159</x:v>
      </x:c>
      <x:c r="B1160" t="str">
        <x:v>2026-04</x:v>
      </x:c>
      <x:c r="C1160" t="n">
        <x:v>46124</x:v>
      </x:c>
      <x:c r="D1160" t="str">
        <x:v>USR-00531</x:v>
      </x:c>
      <x:c r="E1160" t="str">
        <x:v>SUS-000709</x:v>
      </x:c>
      <x:c r="F1160" t="str">
        <x:v>Plus mensual</x:v>
      </x:c>
      <x:c r="G1160" t="str">
        <x:v>Mensual</x:v>
      </x:c>
      <x:c r="H1160" t="n">
        <x:v>1</x:v>
      </x:c>
      <x:c r="I1160" t="str">
        <x:v>Aprobado</x:v>
      </x:c>
      <x:c r="J1160" t="n">
        <x:v>29900</x:v>
      </x:c>
      <x:c r="K1160" t="str">
        <x:v>Tarjeta crédito</x:v>
      </x:c>
      <x:c r="L1160" t="str">
        <x:v>Sin error</x:v>
      </x:c>
    </x:row>
    <x:row r="1161">
      <x:c r="A1161" t="str">
        <x:v>TXN-0001160</x:v>
      </x:c>
      <x:c r="B1161" t="str">
        <x:v>2026-04</x:v>
      </x:c>
      <x:c r="C1161" t="n">
        <x:v>46117</x:v>
      </x:c>
      <x:c r="D1161" t="str">
        <x:v>USR-00534</x:v>
      </x:c>
      <x:c r="E1161" t="str">
        <x:v>SUS-000712</x:v>
      </x:c>
      <x:c r="F1161" t="str">
        <x:v>Plus mensual</x:v>
      </x:c>
      <x:c r="G1161" t="str">
        <x:v>Mensual</x:v>
      </x:c>
      <x:c r="H1161" t="n">
        <x:v>1</x:v>
      </x:c>
      <x:c r="I1161" t="str">
        <x:v>Aprobado</x:v>
      </x:c>
      <x:c r="J1161" t="n">
        <x:v>29900</x:v>
      </x:c>
      <x:c r="K1161" t="str">
        <x:v>Tarjeta débito</x:v>
      </x:c>
      <x:c r="L1161" t="str">
        <x:v>Sin error</x:v>
      </x:c>
    </x:row>
    <x:row r="1162">
      <x:c r="A1162" t="str">
        <x:v>TXN-0001161</x:v>
      </x:c>
      <x:c r="B1162" t="str">
        <x:v>2026-04</x:v>
      </x:c>
      <x:c r="C1162" t="n">
        <x:v>46122</x:v>
      </x:c>
      <x:c r="D1162" t="str">
        <x:v>USR-00535</x:v>
      </x:c>
      <x:c r="E1162" t="str">
        <x:v>SUS-000996</x:v>
      </x:c>
      <x:c r="F1162" t="str">
        <x:v>Plus mensual</x:v>
      </x:c>
      <x:c r="G1162" t="str">
        <x:v>Mensual</x:v>
      </x:c>
      <x:c r="H1162" t="n">
        <x:v>1</x:v>
      </x:c>
      <x:c r="I1162" t="str">
        <x:v>Aprobado</x:v>
      </x:c>
      <x:c r="J1162" t="n">
        <x:v>29900</x:v>
      </x:c>
      <x:c r="K1162" t="str">
        <x:v>Tarjeta débito</x:v>
      </x:c>
      <x:c r="L1162" t="str">
        <x:v>Sin error</x:v>
      </x:c>
    </x:row>
    <x:row r="1163">
      <x:c r="A1163" t="str">
        <x:v>TXN-0001162</x:v>
      </x:c>
      <x:c r="B1163" t="str">
        <x:v>2026-04</x:v>
      </x:c>
      <x:c r="C1163" t="n">
        <x:v>46119</x:v>
      </x:c>
      <x:c r="D1163" t="str">
        <x:v>USR-00538</x:v>
      </x:c>
      <x:c r="E1163" t="str">
        <x:v>SUS-000716</x:v>
      </x:c>
      <x:c r="F1163" t="str">
        <x:v>Plus mensual</x:v>
      </x:c>
      <x:c r="G1163" t="str">
        <x:v>Mensual</x:v>
      </x:c>
      <x:c r="H1163" t="n">
        <x:v>1</x:v>
      </x:c>
      <x:c r="I1163" t="str">
        <x:v>Aprobado</x:v>
      </x:c>
      <x:c r="J1163" t="n">
        <x:v>29900</x:v>
      </x:c>
      <x:c r="K1163" t="str">
        <x:v>Tarjeta crédito</x:v>
      </x:c>
      <x:c r="L1163" t="str">
        <x:v>Sin error</x:v>
      </x:c>
    </x:row>
    <x:row r="1164">
      <x:c r="A1164" t="str">
        <x:v>TXN-0001163</x:v>
      </x:c>
      <x:c r="B1164" t="str">
        <x:v>2026-04</x:v>
      </x:c>
      <x:c r="C1164" t="n">
        <x:v>46120</x:v>
      </x:c>
      <x:c r="D1164" t="str">
        <x:v>USR-00547</x:v>
      </x:c>
      <x:c r="E1164" t="str">
        <x:v>SUS-000725</x:v>
      </x:c>
      <x:c r="F1164" t="str">
        <x:v>Plus mensual</x:v>
      </x:c>
      <x:c r="G1164" t="str">
        <x:v>Mensual</x:v>
      </x:c>
      <x:c r="H1164" t="n">
        <x:v>1</x:v>
      </x:c>
      <x:c r="I1164" t="str">
        <x:v>Aprobado</x:v>
      </x:c>
      <x:c r="J1164" t="n">
        <x:v>29900</x:v>
      </x:c>
      <x:c r="K1164" t="str">
        <x:v>PSE</x:v>
      </x:c>
      <x:c r="L1164" t="str">
        <x:v>Sin error</x:v>
      </x:c>
    </x:row>
    <x:row r="1165">
      <x:c r="A1165" t="str">
        <x:v>TXN-0001164</x:v>
      </x:c>
      <x:c r="B1165" t="str">
        <x:v>2026-04</x:v>
      </x:c>
      <x:c r="C1165" t="n">
        <x:v>46122</x:v>
      </x:c>
      <x:c r="D1165" t="str">
        <x:v>USR-00551</x:v>
      </x:c>
      <x:c r="E1165" t="str">
        <x:v>SUS-000997</x:v>
      </x:c>
      <x:c r="F1165" t="str">
        <x:v>Plus anual</x:v>
      </x:c>
      <x:c r="G1165" t="str">
        <x:v>Anual</x:v>
      </x:c>
      <x:c r="H1165" t="n">
        <x:v>1</x:v>
      </x:c>
      <x:c r="I1165" t="str">
        <x:v>Aprobado</x:v>
      </x:c>
      <x:c r="J1165" t="n">
        <x:v>299000</x:v>
      </x:c>
      <x:c r="K1165" t="str">
        <x:v>Tarjeta crédito</x:v>
      </x:c>
      <x:c r="L1165" t="str">
        <x:v>Sin error</x:v>
      </x:c>
    </x:row>
    <x:row r="1166">
      <x:c r="A1166" t="str">
        <x:v>TXN-0001165</x:v>
      </x:c>
      <x:c r="B1166" t="str">
        <x:v>2026-04</x:v>
      </x:c>
      <x:c r="C1166" t="n">
        <x:v>46122</x:v>
      </x:c>
      <x:c r="D1166" t="str">
        <x:v>USR-00560</x:v>
      </x:c>
      <x:c r="E1166" t="str">
        <x:v>SUS-000879</x:v>
      </x:c>
      <x:c r="F1166" t="str">
        <x:v>Plus mensual</x:v>
      </x:c>
      <x:c r="G1166" t="str">
        <x:v>Mensual</x:v>
      </x:c>
      <x:c r="H1166" t="n">
        <x:v>1</x:v>
      </x:c>
      <x:c r="I1166" t="str">
        <x:v>Aprobado</x:v>
      </x:c>
      <x:c r="J1166" t="n">
        <x:v>29900</x:v>
      </x:c>
      <x:c r="K1166" t="str">
        <x:v>Tarjeta débito</x:v>
      </x:c>
      <x:c r="L1166" t="str">
        <x:v>Sin error</x:v>
      </x:c>
    </x:row>
    <x:row r="1167">
      <x:c r="A1167" t="str">
        <x:v>TXN-0001166</x:v>
      </x:c>
      <x:c r="B1167" t="str">
        <x:v>2026-04</x:v>
      </x:c>
      <x:c r="C1167" t="n">
        <x:v>46118</x:v>
      </x:c>
      <x:c r="D1167" t="str">
        <x:v>USR-00561</x:v>
      </x:c>
      <x:c r="E1167" t="str">
        <x:v>SUS-000880</x:v>
      </x:c>
      <x:c r="F1167" t="str">
        <x:v>Plus mensual</x:v>
      </x:c>
      <x:c r="G1167" t="str">
        <x:v>Mensual</x:v>
      </x:c>
      <x:c r="H1167" t="n">
        <x:v>1</x:v>
      </x:c>
      <x:c r="I1167" t="str">
        <x:v>Aprobado</x:v>
      </x:c>
      <x:c r="J1167" t="n">
        <x:v>29900</x:v>
      </x:c>
      <x:c r="K1167" t="str">
        <x:v>PSE</x:v>
      </x:c>
      <x:c r="L1167" t="str">
        <x:v>Sin error</x:v>
      </x:c>
    </x:row>
    <x:row r="1168">
      <x:c r="A1168" t="str">
        <x:v>TXN-0001167</x:v>
      </x:c>
      <x:c r="B1168" t="str">
        <x:v>2026-04</x:v>
      </x:c>
      <x:c r="C1168" t="n">
        <x:v>46121</x:v>
      </x:c>
      <x:c r="D1168" t="str">
        <x:v>USR-00563</x:v>
      </x:c>
      <x:c r="E1168" t="str">
        <x:v>SUS-000777</x:v>
      </x:c>
      <x:c r="F1168" t="str">
        <x:v>Plus mensual</x:v>
      </x:c>
      <x:c r="G1168" t="str">
        <x:v>Mensual</x:v>
      </x:c>
      <x:c r="H1168" t="n">
        <x:v>1</x:v>
      </x:c>
      <x:c r="I1168" t="str">
        <x:v>Aprobado</x:v>
      </x:c>
      <x:c r="J1168" t="n">
        <x:v>29900</x:v>
      </x:c>
      <x:c r="K1168" t="str">
        <x:v>Tarjeta débito</x:v>
      </x:c>
      <x:c r="L1168" t="str">
        <x:v>Sin error</x:v>
      </x:c>
    </x:row>
    <x:row r="1169">
      <x:c r="A1169" t="str">
        <x:v>TXN-0001168</x:v>
      </x:c>
      <x:c r="B1169" t="str">
        <x:v>2026-04</x:v>
      </x:c>
      <x:c r="C1169" t="n">
        <x:v>46123</x:v>
      </x:c>
      <x:c r="D1169" t="str">
        <x:v>USR-00567</x:v>
      </x:c>
      <x:c r="E1169" t="str">
        <x:v>SUS-000999</x:v>
      </x:c>
      <x:c r="F1169" t="str">
        <x:v>Plus mensual</x:v>
      </x:c>
      <x:c r="G1169" t="str">
        <x:v>Mensual</x:v>
      </x:c>
      <x:c r="H1169" t="n">
        <x:v>1</x:v>
      </x:c>
      <x:c r="I1169" t="str">
        <x:v>Aprobado</x:v>
      </x:c>
      <x:c r="J1169" t="n">
        <x:v>29900</x:v>
      </x:c>
      <x:c r="K1169" t="str">
        <x:v>Tarjeta crédito</x:v>
      </x:c>
      <x:c r="L1169" t="str">
        <x:v>Sin error</x:v>
      </x:c>
    </x:row>
    <x:row r="1170">
      <x:c r="A1170" t="str">
        <x:v>TXN-0001169</x:v>
      </x:c>
      <x:c r="B1170" t="str">
        <x:v>2026-04</x:v>
      </x:c>
      <x:c r="C1170" t="n">
        <x:v>46117</x:v>
      </x:c>
      <x:c r="D1170" t="str">
        <x:v>USR-00570</x:v>
      </x:c>
      <x:c r="E1170" t="str">
        <x:v>SUS-001000</x:v>
      </x:c>
      <x:c r="F1170" t="str">
        <x:v>Plus anual</x:v>
      </x:c>
      <x:c r="G1170" t="str">
        <x:v>Anual</x:v>
      </x:c>
      <x:c r="H1170" t="n">
        <x:v>1</x:v>
      </x:c>
      <x:c r="I1170" t="str">
        <x:v>Aprobado</x:v>
      </x:c>
      <x:c r="J1170" t="n">
        <x:v>299000</x:v>
      </x:c>
      <x:c r="K1170" t="str">
        <x:v>PSE</x:v>
      </x:c>
      <x:c r="L1170" t="str">
        <x:v>Sin error</x:v>
      </x:c>
    </x:row>
    <x:row r="1171">
      <x:c r="A1171" t="str">
        <x:v>TXN-0001170</x:v>
      </x:c>
      <x:c r="B1171" t="str">
        <x:v>2026-04</x:v>
      </x:c>
      <x:c r="C1171" t="n">
        <x:v>46124</x:v>
      </x:c>
      <x:c r="D1171" t="str">
        <x:v>USR-00587</x:v>
      </x:c>
      <x:c r="E1171" t="str">
        <x:v>SUS-000801</x:v>
      </x:c>
      <x:c r="F1171" t="str">
        <x:v>Plus mensual</x:v>
      </x:c>
      <x:c r="G1171" t="str">
        <x:v>Mensual</x:v>
      </x:c>
      <x:c r="H1171" t="n">
        <x:v>1</x:v>
      </x:c>
      <x:c r="I1171" t="str">
        <x:v>Aprobado</x:v>
      </x:c>
      <x:c r="J1171" t="n">
        <x:v>29900</x:v>
      </x:c>
      <x:c r="K1171" t="str">
        <x:v>Tarjeta débito</x:v>
      </x:c>
      <x:c r="L1171" t="str">
        <x:v>Sin error</x:v>
      </x:c>
    </x:row>
    <x:row r="1172">
      <x:c r="A1172" t="str">
        <x:v>TXN-0001171</x:v>
      </x:c>
      <x:c r="B1172" t="str">
        <x:v>2026-04</x:v>
      </x:c>
      <x:c r="C1172" t="n">
        <x:v>46121</x:v>
      </x:c>
      <x:c r="D1172" t="str">
        <x:v>USR-00592</x:v>
      </x:c>
      <x:c r="E1172" t="str">
        <x:v>SUS-001001</x:v>
      </x:c>
      <x:c r="F1172" t="str">
        <x:v>Plus mensual</x:v>
      </x:c>
      <x:c r="G1172" t="str">
        <x:v>Mensual</x:v>
      </x:c>
      <x:c r="H1172" t="n">
        <x:v>1</x:v>
      </x:c>
      <x:c r="I1172" t="str">
        <x:v>Aprobado</x:v>
      </x:c>
      <x:c r="J1172" t="n">
        <x:v>29900</x:v>
      </x:c>
      <x:c r="K1172" t="str">
        <x:v>PSE</x:v>
      </x:c>
      <x:c r="L1172" t="str">
        <x:v>Sin error</x:v>
      </x:c>
    </x:row>
    <x:row r="1173">
      <x:c r="A1173" t="str">
        <x:v>TXN-0001172</x:v>
      </x:c>
      <x:c r="B1173" t="str">
        <x:v>2026-04</x:v>
      </x:c>
      <x:c r="C1173" t="n">
        <x:v>46120</x:v>
      </x:c>
      <x:c r="D1173" t="str">
        <x:v>USR-00602</x:v>
      </x:c>
      <x:c r="E1173" t="str">
        <x:v>SUS-000816</x:v>
      </x:c>
      <x:c r="F1173" t="str">
        <x:v>Plus mensual</x:v>
      </x:c>
      <x:c r="G1173" t="str">
        <x:v>Mensual</x:v>
      </x:c>
      <x:c r="H1173" t="n">
        <x:v>1</x:v>
      </x:c>
      <x:c r="I1173" t="str">
        <x:v>Aprobado</x:v>
      </x:c>
      <x:c r="J1173" t="n">
        <x:v>29900</x:v>
      </x:c>
      <x:c r="K1173" t="str">
        <x:v>PSE</x:v>
      </x:c>
      <x:c r="L1173" t="str">
        <x:v>Sin error</x:v>
      </x:c>
    </x:row>
    <x:row r="1174">
      <x:c r="A1174" t="str">
        <x:v>TXN-0001173</x:v>
      </x:c>
      <x:c r="B1174" t="str">
        <x:v>2026-04</x:v>
      </x:c>
      <x:c r="C1174" t="n">
        <x:v>46124</x:v>
      </x:c>
      <x:c r="D1174" t="str">
        <x:v>USR-00614</x:v>
      </x:c>
      <x:c r="E1174" t="str">
        <x:v>SUS-000885</x:v>
      </x:c>
      <x:c r="F1174" t="str">
        <x:v>Plus mensual</x:v>
      </x:c>
      <x:c r="G1174" t="str">
        <x:v>Mensual</x:v>
      </x:c>
      <x:c r="H1174" t="n">
        <x:v>1</x:v>
      </x:c>
      <x:c r="I1174" t="str">
        <x:v>Aprobado</x:v>
      </x:c>
      <x:c r="J1174" t="n">
        <x:v>29900</x:v>
      </x:c>
      <x:c r="K1174" t="str">
        <x:v>PSE</x:v>
      </x:c>
      <x:c r="L1174" t="str">
        <x:v>Sin error</x:v>
      </x:c>
    </x:row>
    <x:row r="1175">
      <x:c r="A1175" t="str">
        <x:v>TXN-0001174</x:v>
      </x:c>
      <x:c r="B1175" t="str">
        <x:v>2026-04</x:v>
      </x:c>
      <x:c r="C1175" t="n">
        <x:v>46120</x:v>
      </x:c>
      <x:c r="D1175" t="str">
        <x:v>USR-00619</x:v>
      </x:c>
      <x:c r="E1175" t="str">
        <x:v>SUS-000833</x:v>
      </x:c>
      <x:c r="F1175" t="str">
        <x:v>Plus mensual</x:v>
      </x:c>
      <x:c r="G1175" t="str">
        <x:v>Mensual</x:v>
      </x:c>
      <x:c r="H1175" t="n">
        <x:v>1</x:v>
      </x:c>
      <x:c r="I1175" t="str">
        <x:v>Aprobado</x:v>
      </x:c>
      <x:c r="J1175" t="n">
        <x:v>29900</x:v>
      </x:c>
      <x:c r="K1175" t="str">
        <x:v>Tarjeta débito</x:v>
      </x:c>
      <x:c r="L1175" t="str">
        <x:v>Sin error</x:v>
      </x:c>
    </x:row>
    <x:row r="1176">
      <x:c r="A1176" t="str">
        <x:v>TXN-0001175</x:v>
      </x:c>
      <x:c r="B1176" t="str">
        <x:v>2026-04</x:v>
      </x:c>
      <x:c r="C1176" t="n">
        <x:v>46117</x:v>
      </x:c>
      <x:c r="D1176" t="str">
        <x:v>USR-00621</x:v>
      </x:c>
      <x:c r="E1176" t="str">
        <x:v>SUS-000835</x:v>
      </x:c>
      <x:c r="F1176" t="str">
        <x:v>Plus mensual</x:v>
      </x:c>
      <x:c r="G1176" t="str">
        <x:v>Mensual</x:v>
      </x:c>
      <x:c r="H1176" t="n">
        <x:v>1</x:v>
      </x:c>
      <x:c r="I1176" t="str">
        <x:v>Aprobado</x:v>
      </x:c>
      <x:c r="J1176" t="n">
        <x:v>29900</x:v>
      </x:c>
      <x:c r="K1176" t="str">
        <x:v>Tarjeta crédito</x:v>
      </x:c>
      <x:c r="L1176" t="str">
        <x:v>Sin error</x:v>
      </x:c>
    </x:row>
    <x:row r="1177">
      <x:c r="A1177" t="str">
        <x:v>TXN-0001176</x:v>
      </x:c>
      <x:c r="B1177" t="str">
        <x:v>2026-04</x:v>
      </x:c>
      <x:c r="C1177" t="n">
        <x:v>46124</x:v>
      </x:c>
      <x:c r="D1177" t="str">
        <x:v>USR-00625</x:v>
      </x:c>
      <x:c r="E1177" t="str">
        <x:v>SUS-000888</x:v>
      </x:c>
      <x:c r="F1177" t="str">
        <x:v>Plus mensual</x:v>
      </x:c>
      <x:c r="G1177" t="str">
        <x:v>Mensual</x:v>
      </x:c>
      <x:c r="H1177" t="n">
        <x:v>1</x:v>
      </x:c>
      <x:c r="I1177" t="str">
        <x:v>Aprobado</x:v>
      </x:c>
      <x:c r="J1177" t="n">
        <x:v>29900</x:v>
      </x:c>
      <x:c r="K1177" t="str">
        <x:v>Tarjeta crédito</x:v>
      </x:c>
      <x:c r="L1177" t="str">
        <x:v>Sin error</x:v>
      </x:c>
    </x:row>
    <x:row r="1178">
      <x:c r="A1178" t="str">
        <x:v>TXN-0001177</x:v>
      </x:c>
      <x:c r="B1178" t="str">
        <x:v>2026-04</x:v>
      </x:c>
      <x:c r="C1178" t="n">
        <x:v>46123</x:v>
      </x:c>
      <x:c r="D1178" t="str">
        <x:v>USR-00626</x:v>
      </x:c>
      <x:c r="E1178" t="str">
        <x:v>SUS-000889</x:v>
      </x:c>
      <x:c r="F1178" t="str">
        <x:v>Plus mensual</x:v>
      </x:c>
      <x:c r="G1178" t="str">
        <x:v>Mensual</x:v>
      </x:c>
      <x:c r="H1178" t="n">
        <x:v>1</x:v>
      </x:c>
      <x:c r="I1178" t="str">
        <x:v>Aprobado</x:v>
      </x:c>
      <x:c r="J1178" t="n">
        <x:v>29900</x:v>
      </x:c>
      <x:c r="K1178" t="str">
        <x:v>PSE</x:v>
      </x:c>
      <x:c r="L1178" t="str">
        <x:v>Sin error</x:v>
      </x:c>
    </x:row>
    <x:row r="1179">
      <x:c r="A1179" t="str">
        <x:v>TXN-0001178</x:v>
      </x:c>
      <x:c r="B1179" t="str">
        <x:v>2026-04</x:v>
      </x:c>
      <x:c r="C1179" t="n">
        <x:v>46124</x:v>
      </x:c>
      <x:c r="D1179" t="str">
        <x:v>USR-00636</x:v>
      </x:c>
      <x:c r="E1179" t="str">
        <x:v>SUS-001005</x:v>
      </x:c>
      <x:c r="F1179" t="str">
        <x:v>Plus mensual</x:v>
      </x:c>
      <x:c r="G1179" t="str">
        <x:v>Mensual</x:v>
      </x:c>
      <x:c r="H1179" t="n">
        <x:v>1</x:v>
      </x:c>
      <x:c r="I1179" t="str">
        <x:v>Aprobado</x:v>
      </x:c>
      <x:c r="J1179" t="n">
        <x:v>29900</x:v>
      </x:c>
      <x:c r="K1179" t="str">
        <x:v>Tarjeta débito</x:v>
      </x:c>
      <x:c r="L1179" t="str">
        <x:v>Sin error</x:v>
      </x:c>
    </x:row>
    <x:row r="1180">
      <x:c r="A1180" t="str">
        <x:v>TXN-0001179</x:v>
      </x:c>
      <x:c r="B1180" t="str">
        <x:v>2026-04</x:v>
      </x:c>
      <x:c r="C1180" t="n">
        <x:v>46120</x:v>
      </x:c>
      <x:c r="D1180" t="str">
        <x:v>USR-00639</x:v>
      </x:c>
      <x:c r="E1180" t="str">
        <x:v>SUS-001006</x:v>
      </x:c>
      <x:c r="F1180" t="str">
        <x:v>Plus mensual</x:v>
      </x:c>
      <x:c r="G1180" t="str">
        <x:v>Mensual</x:v>
      </x:c>
      <x:c r="H1180" t="n">
        <x:v>1</x:v>
      </x:c>
      <x:c r="I1180" t="str">
        <x:v>Aprobado</x:v>
      </x:c>
      <x:c r="J1180" t="n">
        <x:v>29900</x:v>
      </x:c>
      <x:c r="K1180" t="str">
        <x:v>Tarjeta débito</x:v>
      </x:c>
      <x:c r="L1180" t="str">
        <x:v>Sin error</x:v>
      </x:c>
    </x:row>
    <x:row r="1181">
      <x:c r="A1181" t="str">
        <x:v>TXN-0001180</x:v>
      </x:c>
      <x:c r="B1181" t="str">
        <x:v>2026-04</x:v>
      </x:c>
      <x:c r="C1181" t="n">
        <x:v>46121</x:v>
      </x:c>
      <x:c r="D1181" t="str">
        <x:v>USR-00641</x:v>
      </x:c>
      <x:c r="E1181" t="str">
        <x:v>SUS-000904</x:v>
      </x:c>
      <x:c r="F1181" t="str">
        <x:v>Plus mensual</x:v>
      </x:c>
      <x:c r="G1181" t="str">
        <x:v>Mensual</x:v>
      </x:c>
      <x:c r="H1181" t="n">
        <x:v>1</x:v>
      </x:c>
      <x:c r="I1181" t="str">
        <x:v>Aprobado</x:v>
      </x:c>
      <x:c r="J1181" t="n">
        <x:v>29900</x:v>
      </x:c>
      <x:c r="K1181" t="str">
        <x:v>PSE</x:v>
      </x:c>
      <x:c r="L1181" t="str">
        <x:v>Sin error</x:v>
      </x:c>
    </x:row>
    <x:row r="1182">
      <x:c r="A1182" t="str">
        <x:v>TXN-0001181</x:v>
      </x:c>
      <x:c r="B1182" t="str">
        <x:v>2026-04</x:v>
      </x:c>
      <x:c r="C1182" t="n">
        <x:v>46120</x:v>
      </x:c>
      <x:c r="D1182" t="str">
        <x:v>USR-00644</x:v>
      </x:c>
      <x:c r="E1182" t="str">
        <x:v>SUS-000907</x:v>
      </x:c>
      <x:c r="F1182" t="str">
        <x:v>Plus mensual</x:v>
      </x:c>
      <x:c r="G1182" t="str">
        <x:v>Mensual</x:v>
      </x:c>
      <x:c r="H1182" t="n">
        <x:v>1</x:v>
      </x:c>
      <x:c r="I1182" t="str">
        <x:v>Aprobado</x:v>
      </x:c>
      <x:c r="J1182" t="n">
        <x:v>29900</x:v>
      </x:c>
      <x:c r="K1182" t="str">
        <x:v>PSE</x:v>
      </x:c>
      <x:c r="L1182" t="str">
        <x:v>Sin error</x:v>
      </x:c>
    </x:row>
    <x:row r="1183">
      <x:c r="A1183" t="str">
        <x:v>TXN-0001182</x:v>
      </x:c>
      <x:c r="B1183" t="str">
        <x:v>2026-04</x:v>
      </x:c>
      <x:c r="C1183" t="n">
        <x:v>46117</x:v>
      </x:c>
      <x:c r="D1183" t="str">
        <x:v>USR-00646</x:v>
      </x:c>
      <x:c r="E1183" t="str">
        <x:v>SUS-001007</x:v>
      </x:c>
      <x:c r="F1183" t="str">
        <x:v>Plus anual</x:v>
      </x:c>
      <x:c r="G1183" t="str">
        <x:v>Anual</x:v>
      </x:c>
      <x:c r="H1183" t="n">
        <x:v>1</x:v>
      </x:c>
      <x:c r="I1183" t="str">
        <x:v>Aprobado</x:v>
      </x:c>
      <x:c r="J1183" t="n">
        <x:v>299000</x:v>
      </x:c>
      <x:c r="K1183" t="str">
        <x:v>PSE</x:v>
      </x:c>
      <x:c r="L1183" t="str">
        <x:v>Sin error</x:v>
      </x:c>
    </x:row>
    <x:row r="1184">
      <x:c r="A1184" t="str">
        <x:v>TXN-0001183</x:v>
      </x:c>
      <x:c r="B1184" t="str">
        <x:v>2026-04</x:v>
      </x:c>
      <x:c r="C1184" t="n">
        <x:v>46121</x:v>
      </x:c>
      <x:c r="D1184" t="str">
        <x:v>USR-00648</x:v>
      </x:c>
      <x:c r="E1184" t="str">
        <x:v>SUS-000911</x:v>
      </x:c>
      <x:c r="F1184" t="str">
        <x:v>Plus mensual</x:v>
      </x:c>
      <x:c r="G1184" t="str">
        <x:v>Mensual</x:v>
      </x:c>
      <x:c r="H1184" t="n">
        <x:v>1</x:v>
      </x:c>
      <x:c r="I1184" t="str">
        <x:v>Aprobado</x:v>
      </x:c>
      <x:c r="J1184" t="n">
        <x:v>29900</x:v>
      </x:c>
      <x:c r="K1184" t="str">
        <x:v>Tarjeta débito</x:v>
      </x:c>
      <x:c r="L1184" t="str">
        <x:v>Sin error</x:v>
      </x:c>
    </x:row>
    <x:row r="1185">
      <x:c r="A1185" t="str">
        <x:v>TXN-0001184</x:v>
      </x:c>
      <x:c r="B1185" t="str">
        <x:v>2026-04</x:v>
      </x:c>
      <x:c r="C1185" t="n">
        <x:v>46118</x:v>
      </x:c>
      <x:c r="D1185" t="str">
        <x:v>USR-00651</x:v>
      </x:c>
      <x:c r="E1185" t="str">
        <x:v>SUS-000914</x:v>
      </x:c>
      <x:c r="F1185" t="str">
        <x:v>Plus mensual</x:v>
      </x:c>
      <x:c r="G1185" t="str">
        <x:v>Mensual</x:v>
      </x:c>
      <x:c r="H1185" t="n">
        <x:v>1</x:v>
      </x:c>
      <x:c r="I1185" t="str">
        <x:v>Aprobado</x:v>
      </x:c>
      <x:c r="J1185" t="n">
        <x:v>29900</x:v>
      </x:c>
      <x:c r="K1185" t="str">
        <x:v>Tarjeta débito</x:v>
      </x:c>
      <x:c r="L1185" t="str">
        <x:v>Sin error</x:v>
      </x:c>
    </x:row>
    <x:row r="1186">
      <x:c r="A1186" t="str">
        <x:v>TXN-0001185</x:v>
      </x:c>
      <x:c r="B1186" t="str">
        <x:v>2026-04</x:v>
      </x:c>
      <x:c r="C1186" t="n">
        <x:v>46119</x:v>
      </x:c>
      <x:c r="D1186" t="str">
        <x:v>USR-00654</x:v>
      </x:c>
      <x:c r="E1186" t="str">
        <x:v>SUS-000917</x:v>
      </x:c>
      <x:c r="F1186" t="str">
        <x:v>Plus mensual</x:v>
      </x:c>
      <x:c r="G1186" t="str">
        <x:v>Mensual</x:v>
      </x:c>
      <x:c r="H1186" t="n">
        <x:v>1</x:v>
      </x:c>
      <x:c r="I1186" t="str">
        <x:v>Aprobado</x:v>
      </x:c>
      <x:c r="J1186" t="n">
        <x:v>29900</x:v>
      </x:c>
      <x:c r="K1186" t="str">
        <x:v>Tarjeta crédito</x:v>
      </x:c>
      <x:c r="L1186" t="str">
        <x:v>Sin error</x:v>
      </x:c>
    </x:row>
    <x:row r="1187">
      <x:c r="A1187" t="str">
        <x:v>TXN-0001186</x:v>
      </x:c>
      <x:c r="B1187" t="str">
        <x:v>2026-04</x:v>
      </x:c>
      <x:c r="C1187" t="n">
        <x:v>46122</x:v>
      </x:c>
      <x:c r="D1187" t="str">
        <x:v>USR-00660</x:v>
      </x:c>
      <x:c r="E1187" t="str">
        <x:v>SUS-001008</x:v>
      </x:c>
      <x:c r="F1187" t="str">
        <x:v>Plus mensual</x:v>
      </x:c>
      <x:c r="G1187" t="str">
        <x:v>Mensual</x:v>
      </x:c>
      <x:c r="H1187" t="n">
        <x:v>1</x:v>
      </x:c>
      <x:c r="I1187" t="str">
        <x:v>Aprobado</x:v>
      </x:c>
      <x:c r="J1187" t="n">
        <x:v>29900</x:v>
      </x:c>
      <x:c r="K1187" t="str">
        <x:v>Tarjeta crédito</x:v>
      </x:c>
      <x:c r="L1187" t="str">
        <x:v>Sin error</x:v>
      </x:c>
    </x:row>
    <x:row r="1188">
      <x:c r="A1188" t="str">
        <x:v>TXN-0001187</x:v>
      </x:c>
      <x:c r="B1188" t="str">
        <x:v>2026-04</x:v>
      </x:c>
      <x:c r="C1188" t="n">
        <x:v>46122</x:v>
      </x:c>
      <x:c r="D1188" t="str">
        <x:v>USR-00666</x:v>
      </x:c>
      <x:c r="E1188" t="str">
        <x:v>SUS-001009</x:v>
      </x:c>
      <x:c r="F1188" t="str">
        <x:v>Plus mensual</x:v>
      </x:c>
      <x:c r="G1188" t="str">
        <x:v>Mensual</x:v>
      </x:c>
      <x:c r="H1188" t="n">
        <x:v>1</x:v>
      </x:c>
      <x:c r="I1188" t="str">
        <x:v>Aprobado</x:v>
      </x:c>
      <x:c r="J1188" t="n">
        <x:v>29900</x:v>
      </x:c>
      <x:c r="K1188" t="str">
        <x:v>Tarjeta crédito</x:v>
      </x:c>
      <x:c r="L1188" t="str">
        <x:v>Sin error</x:v>
      </x:c>
    </x:row>
    <x:row r="1189">
      <x:c r="A1189" t="str">
        <x:v>TXN-0001188</x:v>
      </x:c>
      <x:c r="B1189" t="str">
        <x:v>2026-04</x:v>
      </x:c>
      <x:c r="C1189" t="n">
        <x:v>46123</x:v>
      </x:c>
      <x:c r="D1189" t="str">
        <x:v>USR-00669</x:v>
      </x:c>
      <x:c r="E1189" t="str">
        <x:v>SUS-000932</x:v>
      </x:c>
      <x:c r="F1189" t="str">
        <x:v>Plus mensual</x:v>
      </x:c>
      <x:c r="G1189" t="str">
        <x:v>Mensual</x:v>
      </x:c>
      <x:c r="H1189" t="n">
        <x:v>1</x:v>
      </x:c>
      <x:c r="I1189" t="str">
        <x:v>Aprobado</x:v>
      </x:c>
      <x:c r="J1189" t="n">
        <x:v>29900</x:v>
      </x:c>
      <x:c r="K1189" t="str">
        <x:v>PSE</x:v>
      </x:c>
      <x:c r="L1189" t="str">
        <x:v>Sin error</x:v>
      </x:c>
    </x:row>
    <x:row r="1190">
      <x:c r="A1190" t="str">
        <x:v>TXN-0001189</x:v>
      </x:c>
      <x:c r="B1190" t="str">
        <x:v>2026-04</x:v>
      </x:c>
      <x:c r="C1190" t="n">
        <x:v>46120</x:v>
      </x:c>
      <x:c r="D1190" t="str">
        <x:v>USR-00678</x:v>
      </x:c>
      <x:c r="E1190" t="str">
        <x:v>SUS-000941</x:v>
      </x:c>
      <x:c r="F1190" t="str">
        <x:v>Plus mensual</x:v>
      </x:c>
      <x:c r="G1190" t="str">
        <x:v>Mensual</x:v>
      </x:c>
      <x:c r="H1190" t="n">
        <x:v>1</x:v>
      </x:c>
      <x:c r="I1190" t="str">
        <x:v>Aprobado</x:v>
      </x:c>
      <x:c r="J1190" t="n">
        <x:v>29900</x:v>
      </x:c>
      <x:c r="K1190" t="str">
        <x:v>Tarjeta crédito</x:v>
      </x:c>
      <x:c r="L1190" t="str">
        <x:v>Sin error</x:v>
      </x:c>
    </x:row>
    <x:row r="1191">
      <x:c r="A1191" t="str">
        <x:v>TXN-0001190</x:v>
      </x:c>
      <x:c r="B1191" t="str">
        <x:v>2026-04</x:v>
      </x:c>
      <x:c r="C1191" t="n">
        <x:v>46119</x:v>
      </x:c>
      <x:c r="D1191" t="str">
        <x:v>USR-00699</x:v>
      </x:c>
      <x:c r="E1191" t="str">
        <x:v>SUS-001012</x:v>
      </x:c>
      <x:c r="F1191" t="str">
        <x:v>Plus anual</x:v>
      </x:c>
      <x:c r="G1191" t="str">
        <x:v>Anual</x:v>
      </x:c>
      <x:c r="H1191" t="n">
        <x:v>1</x:v>
      </x:c>
      <x:c r="I1191" t="str">
        <x:v>Aprobado</x:v>
      </x:c>
      <x:c r="J1191" t="n">
        <x:v>299000</x:v>
      </x:c>
      <x:c r="K1191" t="str">
        <x:v>Tarjeta crédito</x:v>
      </x:c>
      <x:c r="L1191" t="str">
        <x:v>Sin error</x:v>
      </x:c>
    </x:row>
    <x:row r="1192">
      <x:c r="A1192" t="str">
        <x:v>TXN-0001191</x:v>
      </x:c>
      <x:c r="B1192" t="str">
        <x:v>2026-04</x:v>
      </x:c>
      <x:c r="C1192" t="n">
        <x:v>46123</x:v>
      </x:c>
      <x:c r="D1192" t="str">
        <x:v>USR-00702</x:v>
      </x:c>
      <x:c r="E1192" t="str">
        <x:v>SUS-001015</x:v>
      </x:c>
      <x:c r="F1192" t="str">
        <x:v>Plus anual</x:v>
      </x:c>
      <x:c r="G1192" t="str">
        <x:v>Anual</x:v>
      </x:c>
      <x:c r="H1192" t="n">
        <x:v>1</x:v>
      </x:c>
      <x:c r="I1192" t="str">
        <x:v>Aprobado</x:v>
      </x:c>
      <x:c r="J1192" t="n">
        <x:v>299000</x:v>
      </x:c>
      <x:c r="K1192" t="str">
        <x:v>PSE</x:v>
      </x:c>
      <x:c r="L1192" t="str">
        <x:v>Sin error</x:v>
      </x:c>
    </x:row>
    <x:row r="1193">
      <x:c r="A1193" t="str">
        <x:v>TXN-0001192</x:v>
      </x:c>
      <x:c r="B1193" t="str">
        <x:v>2026-04</x:v>
      </x:c>
      <x:c r="C1193" t="n">
        <x:v>46123</x:v>
      </x:c>
      <x:c r="D1193" t="str">
        <x:v>USR-00714</x:v>
      </x:c>
      <x:c r="E1193" t="str">
        <x:v>SUS-001027</x:v>
      </x:c>
      <x:c r="F1193" t="str">
        <x:v>Plus mensual</x:v>
      </x:c>
      <x:c r="G1193" t="str">
        <x:v>Mensual</x:v>
      </x:c>
      <x:c r="H1193" t="n">
        <x:v>1</x:v>
      </x:c>
      <x:c r="I1193" t="str">
        <x:v>Aprobado</x:v>
      </x:c>
      <x:c r="J1193" t="n">
        <x:v>29900</x:v>
      </x:c>
      <x:c r="K1193" t="str">
        <x:v>Tarjeta crédito</x:v>
      </x:c>
      <x:c r="L1193" t="str">
        <x:v>Sin error</x:v>
      </x:c>
    </x:row>
    <x:row r="1194">
      <x:c r="A1194" t="str">
        <x:v>TXN-0001193</x:v>
      </x:c>
      <x:c r="B1194" t="str">
        <x:v>2026-04</x:v>
      </x:c>
      <x:c r="C1194" t="n">
        <x:v>46118</x:v>
      </x:c>
      <x:c r="D1194" t="str">
        <x:v>USR-00715</x:v>
      </x:c>
      <x:c r="E1194" t="str">
        <x:v>SUS-001028</x:v>
      </x:c>
      <x:c r="F1194" t="str">
        <x:v>Plus mensual</x:v>
      </x:c>
      <x:c r="G1194" t="str">
        <x:v>Mensual</x:v>
      </x:c>
      <x:c r="H1194" t="n">
        <x:v>1</x:v>
      </x:c>
      <x:c r="I1194" t="str">
        <x:v>Aprobado</x:v>
      </x:c>
      <x:c r="J1194" t="n">
        <x:v>29900</x:v>
      </x:c>
      <x:c r="K1194" t="str">
        <x:v>Tarjeta crédito</x:v>
      </x:c>
      <x:c r="L1194" t="str">
        <x:v>Sin error</x:v>
      </x:c>
    </x:row>
    <x:row r="1195">
      <x:c r="A1195" t="str">
        <x:v>TXN-0001194</x:v>
      </x:c>
      <x:c r="B1195" t="str">
        <x:v>2026-04</x:v>
      </x:c>
      <x:c r="C1195" t="n">
        <x:v>46121</x:v>
      </x:c>
      <x:c r="D1195" t="str">
        <x:v>USR-00720</x:v>
      </x:c>
      <x:c r="E1195" t="str">
        <x:v>SUS-001033</x:v>
      </x:c>
      <x:c r="F1195" t="str">
        <x:v>Plus mensual</x:v>
      </x:c>
      <x:c r="G1195" t="str">
        <x:v>Mensual</x:v>
      </x:c>
      <x:c r="H1195" t="n">
        <x:v>1</x:v>
      </x:c>
      <x:c r="I1195" t="str">
        <x:v>Aprobado</x:v>
      </x:c>
      <x:c r="J1195" t="n">
        <x:v>29900</x:v>
      </x:c>
      <x:c r="K1195" t="str">
        <x:v>Tarjeta crédito</x:v>
      </x:c>
      <x:c r="L1195" t="str">
        <x:v>Sin error</x:v>
      </x:c>
    </x:row>
    <x:row r="1196">
      <x:c r="A1196" t="str">
        <x:v>TXN-0001195</x:v>
      </x:c>
      <x:c r="B1196" t="str">
        <x:v>2026-04</x:v>
      </x:c>
      <x:c r="C1196" t="n">
        <x:v>46124</x:v>
      </x:c>
      <x:c r="D1196" t="str">
        <x:v>USR-00725</x:v>
      </x:c>
      <x:c r="E1196" t="str">
        <x:v>SUS-001038</x:v>
      </x:c>
      <x:c r="F1196" t="str">
        <x:v>Plus mensual</x:v>
      </x:c>
      <x:c r="G1196" t="str">
        <x:v>Mensual</x:v>
      </x:c>
      <x:c r="H1196" t="n">
        <x:v>1</x:v>
      </x:c>
      <x:c r="I1196" t="str">
        <x:v>Aprobado</x:v>
      </x:c>
      <x:c r="J1196" t="n">
        <x:v>29900</x:v>
      </x:c>
      <x:c r="K1196" t="str">
        <x:v>PSE</x:v>
      </x:c>
      <x:c r="L1196" t="str">
        <x:v>Sin error</x:v>
      </x:c>
    </x:row>
    <x:row r="1197">
      <x:c r="A1197" t="str">
        <x:v>TXN-0001196</x:v>
      </x:c>
      <x:c r="B1197" t="str">
        <x:v>2026-04</x:v>
      </x:c>
      <x:c r="C1197" t="n">
        <x:v>46124</x:v>
      </x:c>
      <x:c r="D1197" t="str">
        <x:v>USR-00733</x:v>
      </x:c>
      <x:c r="E1197" t="str">
        <x:v>SUS-001046</x:v>
      </x:c>
      <x:c r="F1197" t="str">
        <x:v>Plus mensual</x:v>
      </x:c>
      <x:c r="G1197" t="str">
        <x:v>Mensual</x:v>
      </x:c>
      <x:c r="H1197" t="n">
        <x:v>1</x:v>
      </x:c>
      <x:c r="I1197" t="str">
        <x:v>Aprobado</x:v>
      </x:c>
      <x:c r="J1197" t="n">
        <x:v>29900</x:v>
      </x:c>
      <x:c r="K1197" t="str">
        <x:v>Tarjeta débito</x:v>
      </x:c>
      <x:c r="L1197" t="str">
        <x:v>Sin error</x:v>
      </x:c>
    </x:row>
    <x:row r="1198">
      <x:c r="A1198" t="str">
        <x:v>TXN-0001197</x:v>
      </x:c>
      <x:c r="B1198" t="str">
        <x:v>2026-04</x:v>
      </x:c>
      <x:c r="C1198" t="n">
        <x:v>46118</x:v>
      </x:c>
      <x:c r="D1198" t="str">
        <x:v>USR-00734</x:v>
      </x:c>
      <x:c r="E1198" t="str">
        <x:v>SUS-001047</x:v>
      </x:c>
      <x:c r="F1198" t="str">
        <x:v>Plus mensual</x:v>
      </x:c>
      <x:c r="G1198" t="str">
        <x:v>Mensual</x:v>
      </x:c>
      <x:c r="H1198" t="n">
        <x:v>1</x:v>
      </x:c>
      <x:c r="I1198" t="str">
        <x:v>Aprobado</x:v>
      </x:c>
      <x:c r="J1198" t="n">
        <x:v>29900</x:v>
      </x:c>
      <x:c r="K1198" t="str">
        <x:v>Tarjeta débito</x:v>
      </x:c>
      <x:c r="L1198" t="str">
        <x:v>Sin error</x:v>
      </x:c>
    </x:row>
    <x:row r="1199">
      <x:c r="A1199" t="str">
        <x:v>TXN-0001198</x:v>
      </x:c>
      <x:c r="B1199" t="str">
        <x:v>2026-04</x:v>
      </x:c>
      <x:c r="C1199" t="n">
        <x:v>46121</x:v>
      </x:c>
      <x:c r="D1199" t="str">
        <x:v>USR-00736</x:v>
      </x:c>
      <x:c r="E1199" t="str">
        <x:v>SUS-001049</x:v>
      </x:c>
      <x:c r="F1199" t="str">
        <x:v>Plus mensual</x:v>
      </x:c>
      <x:c r="G1199" t="str">
        <x:v>Mensual</x:v>
      </x:c>
      <x:c r="H1199" t="n">
        <x:v>1</x:v>
      </x:c>
      <x:c r="I1199" t="str">
        <x:v>Aprobado</x:v>
      </x:c>
      <x:c r="J1199" t="n">
        <x:v>29900</x:v>
      </x:c>
      <x:c r="K1199" t="str">
        <x:v>Tarjeta crédito</x:v>
      </x:c>
      <x:c r="L1199" t="str">
        <x:v>Sin error</x:v>
      </x:c>
    </x:row>
    <x:row r="1200">
      <x:c r="A1200" t="str">
        <x:v>TXN-0001199</x:v>
      </x:c>
      <x:c r="B1200" t="str">
        <x:v>2026-04</x:v>
      </x:c>
      <x:c r="C1200" t="n">
        <x:v>46120</x:v>
      </x:c>
      <x:c r="D1200" t="str">
        <x:v>USR-00741</x:v>
      </x:c>
      <x:c r="E1200" t="str">
        <x:v>SUS-001054</x:v>
      </x:c>
      <x:c r="F1200" t="str">
        <x:v>Plus mensual</x:v>
      </x:c>
      <x:c r="G1200" t="str">
        <x:v>Mensual</x:v>
      </x:c>
      <x:c r="H1200" t="n">
        <x:v>1</x:v>
      </x:c>
      <x:c r="I1200" t="str">
        <x:v>Aprobado</x:v>
      </x:c>
      <x:c r="J1200" t="n">
        <x:v>29900</x:v>
      </x:c>
      <x:c r="K1200" t="str">
        <x:v>Tarjeta crédito</x:v>
      </x:c>
      <x:c r="L1200" t="str">
        <x:v>Sin error</x:v>
      </x:c>
    </x:row>
    <x:row r="1201">
      <x:c r="A1201" t="str">
        <x:v>TXN-0001200</x:v>
      </x:c>
      <x:c r="B1201" t="str">
        <x:v>2026-04</x:v>
      </x:c>
      <x:c r="C1201" t="n">
        <x:v>46122</x:v>
      </x:c>
      <x:c r="D1201" t="str">
        <x:v>USR-00743</x:v>
      </x:c>
      <x:c r="E1201" t="str">
        <x:v>SUS-001056</x:v>
      </x:c>
      <x:c r="F1201" t="str">
        <x:v>Plus mensual</x:v>
      </x:c>
      <x:c r="G1201" t="str">
        <x:v>Mensual</x:v>
      </x:c>
      <x:c r="H1201" t="n">
        <x:v>1</x:v>
      </x:c>
      <x:c r="I1201" t="str">
        <x:v>Aprobado</x:v>
      </x:c>
      <x:c r="J1201" t="n">
        <x:v>29900</x:v>
      </x:c>
      <x:c r="K1201" t="str">
        <x:v>PSE</x:v>
      </x:c>
      <x:c r="L1201" t="str">
        <x:v>Sin error</x:v>
      </x:c>
    </x:row>
    <x:row r="1202">
      <x:c r="A1202" t="str">
        <x:v>TXN-0001201</x:v>
      </x:c>
      <x:c r="B1202" t="str">
        <x:v>2026-04</x:v>
      </x:c>
      <x:c r="C1202" t="n">
        <x:v>46120</x:v>
      </x:c>
      <x:c r="D1202" t="str">
        <x:v>USR-00746</x:v>
      </x:c>
      <x:c r="E1202" t="str">
        <x:v>SUS-001059</x:v>
      </x:c>
      <x:c r="F1202" t="str">
        <x:v>Plus mensual</x:v>
      </x:c>
      <x:c r="G1202" t="str">
        <x:v>Mensual</x:v>
      </x:c>
      <x:c r="H1202" t="n">
        <x:v>1</x:v>
      </x:c>
      <x:c r="I1202" t="str">
        <x:v>Aprobado</x:v>
      </x:c>
      <x:c r="J1202" t="n">
        <x:v>29900</x:v>
      </x:c>
      <x:c r="K1202" t="str">
        <x:v>PSE</x:v>
      </x:c>
      <x:c r="L1202" t="str">
        <x:v>Sin error</x:v>
      </x:c>
    </x:row>
    <x:row r="1203">
      <x:c r="A1203" t="str">
        <x:v>TXN-0001202</x:v>
      </x:c>
      <x:c r="B1203" t="str">
        <x:v>2026-04</x:v>
      </x:c>
      <x:c r="C1203" t="n">
        <x:v>46121</x:v>
      </x:c>
      <x:c r="D1203" t="str">
        <x:v>USR-00751</x:v>
      </x:c>
      <x:c r="E1203" t="str">
        <x:v>SUS-001064</x:v>
      </x:c>
      <x:c r="F1203" t="str">
        <x:v>Plus mensual</x:v>
      </x:c>
      <x:c r="G1203" t="str">
        <x:v>Mensual</x:v>
      </x:c>
      <x:c r="H1203" t="n">
        <x:v>1</x:v>
      </x:c>
      <x:c r="I1203" t="str">
        <x:v>Aprobado</x:v>
      </x:c>
      <x:c r="J1203" t="n">
        <x:v>29900</x:v>
      </x:c>
      <x:c r="K1203" t="str">
        <x:v>PSE</x:v>
      </x:c>
      <x:c r="L1203" t="str">
        <x:v>Sin error</x:v>
      </x:c>
    </x:row>
    <x:row r="1204">
      <x:c r="A1204" t="str">
        <x:v>TXN-0001203</x:v>
      </x:c>
      <x:c r="B1204" t="str">
        <x:v>2026-04</x:v>
      </x:c>
      <x:c r="C1204" t="n">
        <x:v>46124</x:v>
      </x:c>
      <x:c r="D1204" t="str">
        <x:v>USR-00767</x:v>
      </x:c>
      <x:c r="E1204" t="str">
        <x:v>SUS-001080</x:v>
      </x:c>
      <x:c r="F1204" t="str">
        <x:v>Plus mensual</x:v>
      </x:c>
      <x:c r="G1204" t="str">
        <x:v>Mensual</x:v>
      </x:c>
      <x:c r="H1204" t="n">
        <x:v>1</x:v>
      </x:c>
      <x:c r="I1204" t="str">
        <x:v>Aprobado</x:v>
      </x:c>
      <x:c r="J1204" t="n">
        <x:v>29900</x:v>
      </x:c>
      <x:c r="K1204" t="str">
        <x:v>Tarjeta crédito</x:v>
      </x:c>
      <x:c r="L1204" t="str">
        <x:v>Sin error</x:v>
      </x:c>
    </x:row>
    <x:row r="1205">
      <x:c r="A1205" t="str">
        <x:v>TXN-0001204</x:v>
      </x:c>
      <x:c r="B1205" t="str">
        <x:v>2026-04</x:v>
      </x:c>
      <x:c r="C1205" t="n">
        <x:v>46119</x:v>
      </x:c>
      <x:c r="D1205" t="str">
        <x:v>USR-00768</x:v>
      </x:c>
      <x:c r="E1205" t="str">
        <x:v>SUS-001081</x:v>
      </x:c>
      <x:c r="F1205" t="str">
        <x:v>Plus mensual</x:v>
      </x:c>
      <x:c r="G1205" t="str">
        <x:v>Mensual</x:v>
      </x:c>
      <x:c r="H1205" t="n">
        <x:v>1</x:v>
      </x:c>
      <x:c r="I1205" t="str">
        <x:v>Aprobado</x:v>
      </x:c>
      <x:c r="J1205" t="n">
        <x:v>29900</x:v>
      </x:c>
      <x:c r="K1205" t="str">
        <x:v>PSE</x:v>
      </x:c>
      <x:c r="L1205" t="str">
        <x:v>Sin error</x:v>
      </x:c>
    </x:row>
    <x:row r="1206">
      <x:c r="A1206" t="str">
        <x:v>TXN-0001205</x:v>
      </x:c>
      <x:c r="B1206" t="str">
        <x:v>2026-04</x:v>
      </x:c>
      <x:c r="C1206" t="n">
        <x:v>46122</x:v>
      </x:c>
      <x:c r="D1206" t="str">
        <x:v>USR-00773</x:v>
      </x:c>
      <x:c r="E1206" t="str">
        <x:v>SUS-001086</x:v>
      </x:c>
      <x:c r="F1206" t="str">
        <x:v>Plus anual</x:v>
      </x:c>
      <x:c r="G1206" t="str">
        <x:v>Anual</x:v>
      </x:c>
      <x:c r="H1206" t="n">
        <x:v>1</x:v>
      </x:c>
      <x:c r="I1206" t="str">
        <x:v>Aprobado</x:v>
      </x:c>
      <x:c r="J1206" t="n">
        <x:v>299000</x:v>
      </x:c>
      <x:c r="K1206" t="str">
        <x:v>Tarjeta débito</x:v>
      </x:c>
      <x:c r="L1206" t="str">
        <x:v>Sin error</x:v>
      </x:c>
    </x:row>
    <x:row r="1207">
      <x:c r="A1207" t="str">
        <x:v>TXN-0001206</x:v>
      </x:c>
      <x:c r="B1207" t="str">
        <x:v>2026-04</x:v>
      </x:c>
      <x:c r="C1207" t="n">
        <x:v>46120</x:v>
      </x:c>
      <x:c r="D1207" t="str">
        <x:v>USR-00775</x:v>
      </x:c>
      <x:c r="E1207" t="str">
        <x:v>SUS-001088</x:v>
      </x:c>
      <x:c r="F1207" t="str">
        <x:v>Plus mensual</x:v>
      </x:c>
      <x:c r="G1207" t="str">
        <x:v>Mensual</x:v>
      </x:c>
      <x:c r="H1207" t="n">
        <x:v>1</x:v>
      </x:c>
      <x:c r="I1207" t="str">
        <x:v>Aprobado</x:v>
      </x:c>
      <x:c r="J1207" t="n">
        <x:v>29900</x:v>
      </x:c>
      <x:c r="K1207" t="str">
        <x:v>Tarjeta débito</x:v>
      </x:c>
      <x:c r="L1207" t="str">
        <x:v>Sin error</x:v>
      </x:c>
    </x:row>
    <x:row r="1208">
      <x:c r="A1208" t="str">
        <x:v>TXN-0001207</x:v>
      </x:c>
      <x:c r="B1208" t="str">
        <x:v>2026-04</x:v>
      </x:c>
      <x:c r="C1208" t="n">
        <x:v>46119</x:v>
      </x:c>
      <x:c r="D1208" t="str">
        <x:v>USR-00777</x:v>
      </x:c>
      <x:c r="E1208" t="str">
        <x:v>SUS-001090</x:v>
      </x:c>
      <x:c r="F1208" t="str">
        <x:v>Plus mensual</x:v>
      </x:c>
      <x:c r="G1208" t="str">
        <x:v>Mensual</x:v>
      </x:c>
      <x:c r="H1208" t="n">
        <x:v>1</x:v>
      </x:c>
      <x:c r="I1208" t="str">
        <x:v>Aprobado</x:v>
      </x:c>
      <x:c r="J1208" t="n">
        <x:v>29900</x:v>
      </x:c>
      <x:c r="K1208" t="str">
        <x:v>Tarjeta débito</x:v>
      </x:c>
      <x:c r="L1208" t="str">
        <x:v>Sin error</x:v>
      </x:c>
    </x:row>
    <x:row r="1209">
      <x:c r="A1209" t="str">
        <x:v>TXN-0001208</x:v>
      </x:c>
      <x:c r="B1209" t="str">
        <x:v>2026-04</x:v>
      </x:c>
      <x:c r="C1209" t="n">
        <x:v>46117</x:v>
      </x:c>
      <x:c r="D1209" t="str">
        <x:v>USR-00782</x:v>
      </x:c>
      <x:c r="E1209" t="str">
        <x:v>SUS-001095</x:v>
      </x:c>
      <x:c r="F1209" t="str">
        <x:v>Plus mensual</x:v>
      </x:c>
      <x:c r="G1209" t="str">
        <x:v>Mensual</x:v>
      </x:c>
      <x:c r="H1209" t="n">
        <x:v>1</x:v>
      </x:c>
      <x:c r="I1209" t="str">
        <x:v>Aprobado</x:v>
      </x:c>
      <x:c r="J1209" t="n">
        <x:v>29900</x:v>
      </x:c>
      <x:c r="K1209" t="str">
        <x:v>PSE</x:v>
      </x:c>
      <x:c r="L1209" t="str">
        <x:v>Sin error</x:v>
      </x:c>
    </x:row>
    <x:row r="1210">
      <x:c r="A1210" t="str">
        <x:v>TXN-0001209</x:v>
      </x:c>
      <x:c r="B1210" t="str">
        <x:v>2026-04</x:v>
      </x:c>
      <x:c r="C1210" t="n">
        <x:v>46119</x:v>
      </x:c>
      <x:c r="D1210" t="str">
        <x:v>USR-00783</x:v>
      </x:c>
      <x:c r="E1210" t="str">
        <x:v>SUS-001096</x:v>
      </x:c>
      <x:c r="F1210" t="str">
        <x:v>Plus mensual</x:v>
      </x:c>
      <x:c r="G1210" t="str">
        <x:v>Mensual</x:v>
      </x:c>
      <x:c r="H1210" t="n">
        <x:v>1</x:v>
      </x:c>
      <x:c r="I1210" t="str">
        <x:v>Aprobado</x:v>
      </x:c>
      <x:c r="J1210" t="n">
        <x:v>29900</x:v>
      </x:c>
      <x:c r="K1210" t="str">
        <x:v>Tarjeta débito</x:v>
      </x:c>
      <x:c r="L1210" t="str">
        <x:v>Sin error</x:v>
      </x:c>
    </x:row>
    <x:row r="1211">
      <x:c r="A1211" t="str">
        <x:v>TXN-0001210</x:v>
      </x:c>
      <x:c r="B1211" t="str">
        <x:v>2026-04</x:v>
      </x:c>
      <x:c r="C1211" t="n">
        <x:v>46120</x:v>
      </x:c>
      <x:c r="D1211" t="str">
        <x:v>USR-00785</x:v>
      </x:c>
      <x:c r="E1211" t="str">
        <x:v>SUS-001098</x:v>
      </x:c>
      <x:c r="F1211" t="str">
        <x:v>Plus mensual</x:v>
      </x:c>
      <x:c r="G1211" t="str">
        <x:v>Mensual</x:v>
      </x:c>
      <x:c r="H1211" t="n">
        <x:v>1</x:v>
      </x:c>
      <x:c r="I1211" t="str">
        <x:v>Aprobado</x:v>
      </x:c>
      <x:c r="J1211" t="n">
        <x:v>29900</x:v>
      </x:c>
      <x:c r="K1211" t="str">
        <x:v>PSE</x:v>
      </x:c>
      <x:c r="L1211" t="str">
        <x:v>Sin error</x:v>
      </x:c>
    </x:row>
    <x:row r="1212">
      <x:c r="A1212" t="str">
        <x:v>TXN-0001211</x:v>
      </x:c>
      <x:c r="B1212" t="str">
        <x:v>2026-05</x:v>
      </x:c>
      <x:c r="C1212" t="n">
        <x:v>46148</x:v>
      </x:c>
      <x:c r="D1212" t="str">
        <x:v>USR-00002</x:v>
      </x:c>
      <x:c r="E1212" t="str">
        <x:v>SUS-001099</x:v>
      </x:c>
      <x:c r="F1212" t="str">
        <x:v>Plus anual</x:v>
      </x:c>
      <x:c r="G1212" t="str">
        <x:v>Anual</x:v>
      </x:c>
      <x:c r="H1212" t="n">
        <x:v>1</x:v>
      </x:c>
      <x:c r="I1212" t="str">
        <x:v>Rechazado</x:v>
      </x:c>
      <x:c r="J1212" t="n">
        <x:v>299000</x:v>
      </x:c>
      <x:c r="K1212" t="str">
        <x:v>PSE</x:v>
      </x:c>
      <x:c r="L1212" t="str">
        <x:v>Declinado por entidad</x:v>
      </x:c>
    </x:row>
    <x:row r="1213">
      <x:c r="A1213" t="str">
        <x:v>TXN-0001212</x:v>
      </x:c>
      <x:c r="B1213" t="str">
        <x:v>2026-05</x:v>
      </x:c>
      <x:c r="C1213" t="n">
        <x:v>46151</x:v>
      </x:c>
      <x:c r="D1213" t="str">
        <x:v>USR-00002</x:v>
      </x:c>
      <x:c r="E1213" t="str">
        <x:v>SUS-001099</x:v>
      </x:c>
      <x:c r="F1213" t="str">
        <x:v>Plus anual</x:v>
      </x:c>
      <x:c r="G1213" t="str">
        <x:v>Anual</x:v>
      </x:c>
      <x:c r="H1213" t="n">
        <x:v>2</x:v>
      </x:c>
      <x:c r="I1213" t="str">
        <x:v>Aprobado</x:v>
      </x:c>
      <x:c r="J1213" t="n">
        <x:v>299000</x:v>
      </x:c>
      <x:c r="K1213" t="str">
        <x:v>Tarjeta crédito</x:v>
      </x:c>
      <x:c r="L1213" t="str">
        <x:v>Sin error</x:v>
      </x:c>
    </x:row>
    <x:row r="1214">
      <x:c r="A1214" t="str">
        <x:v>TXN-0001213</x:v>
      </x:c>
      <x:c r="B1214" t="str">
        <x:v>2026-05</x:v>
      </x:c>
      <x:c r="C1214" t="n">
        <x:v>46154</x:v>
      </x:c>
      <x:c r="D1214" t="str">
        <x:v>USR-00011</x:v>
      </x:c>
      <x:c r="E1214" t="str">
        <x:v>SUS-000961</x:v>
      </x:c>
      <x:c r="F1214" t="str">
        <x:v>Plus mensual</x:v>
      </x:c>
      <x:c r="G1214" t="str">
        <x:v>Mensual</x:v>
      </x:c>
      <x:c r="H1214" t="n">
        <x:v>1</x:v>
      </x:c>
      <x:c r="I1214" t="str">
        <x:v>Aprobado</x:v>
      </x:c>
      <x:c r="J1214" t="n">
        <x:v>29900</x:v>
      </x:c>
      <x:c r="K1214" t="str">
        <x:v>Tarjeta crédito</x:v>
      </x:c>
      <x:c r="L1214" t="str">
        <x:v>Sin error</x:v>
      </x:c>
    </x:row>
    <x:row r="1215">
      <x:c r="A1215" t="str">
        <x:v>TXN-0001214</x:v>
      </x:c>
      <x:c r="B1215" t="str">
        <x:v>2026-05</x:v>
      </x:c>
      <x:c r="C1215" t="n">
        <x:v>46151</x:v>
      </x:c>
      <x:c r="D1215" t="str">
        <x:v>USR-00012</x:v>
      </x:c>
      <x:c r="E1215" t="str">
        <x:v>SUS-000837</x:v>
      </x:c>
      <x:c r="F1215" t="str">
        <x:v>Plus mensual</x:v>
      </x:c>
      <x:c r="G1215" t="str">
        <x:v>Mensual</x:v>
      </x:c>
      <x:c r="H1215" t="n">
        <x:v>1</x:v>
      </x:c>
      <x:c r="I1215" t="str">
        <x:v>Aprobado</x:v>
      </x:c>
      <x:c r="J1215" t="n">
        <x:v>29900</x:v>
      </x:c>
      <x:c r="K1215" t="str">
        <x:v>Tarjeta crédito</x:v>
      </x:c>
      <x:c r="L1215" t="str">
        <x:v>Sin error</x:v>
      </x:c>
    </x:row>
    <x:row r="1216">
      <x:c r="A1216" t="str">
        <x:v>TXN-0001215</x:v>
      </x:c>
      <x:c r="B1216" t="str">
        <x:v>2026-05</x:v>
      </x:c>
      <x:c r="C1216" t="n">
        <x:v>46153</x:v>
      </x:c>
      <x:c r="D1216" t="str">
        <x:v>USR-00015</x:v>
      </x:c>
      <x:c r="E1216" t="str">
        <x:v>SUS-001100</x:v>
      </x:c>
      <x:c r="F1216" t="str">
        <x:v>Plus mensual</x:v>
      </x:c>
      <x:c r="G1216" t="str">
        <x:v>Mensual</x:v>
      </x:c>
      <x:c r="H1216" t="n">
        <x:v>1</x:v>
      </x:c>
      <x:c r="I1216" t="str">
        <x:v>Aprobado</x:v>
      </x:c>
      <x:c r="J1216" t="n">
        <x:v>29900</x:v>
      </x:c>
      <x:c r="K1216" t="str">
        <x:v>Tarjeta crédito</x:v>
      </x:c>
      <x:c r="L1216" t="str">
        <x:v>Sin error</x:v>
      </x:c>
    </x:row>
    <x:row r="1217">
      <x:c r="A1217" t="str">
        <x:v>TXN-0001216</x:v>
      </x:c>
      <x:c r="B1217" t="str">
        <x:v>2026-05</x:v>
      </x:c>
      <x:c r="C1217" t="n">
        <x:v>46148</x:v>
      </x:c>
      <x:c r="D1217" t="str">
        <x:v>USR-00018</x:v>
      </x:c>
      <x:c r="E1217" t="str">
        <x:v>SUS-000157</x:v>
      </x:c>
      <x:c r="F1217" t="str">
        <x:v>Plus mensual</x:v>
      </x:c>
      <x:c r="G1217" t="str">
        <x:v>Mensual</x:v>
      </x:c>
      <x:c r="H1217" t="n">
        <x:v>1</x:v>
      </x:c>
      <x:c r="I1217" t="str">
        <x:v>Aprobado</x:v>
      </x:c>
      <x:c r="J1217" t="n">
        <x:v>29900</x:v>
      </x:c>
      <x:c r="K1217" t="str">
        <x:v>PSE</x:v>
      </x:c>
      <x:c r="L1217" t="str">
        <x:v>Sin error</x:v>
      </x:c>
    </x:row>
    <x:row r="1218">
      <x:c r="A1218" t="str">
        <x:v>TXN-0001217</x:v>
      </x:c>
      <x:c r="B1218" t="str">
        <x:v>2026-05</x:v>
      </x:c>
      <x:c r="C1218" t="n">
        <x:v>46153</x:v>
      </x:c>
      <x:c r="D1218" t="str">
        <x:v>USR-00019</x:v>
      </x:c>
      <x:c r="E1218" t="str">
        <x:v>SUS-000158</x:v>
      </x:c>
      <x:c r="F1218" t="str">
        <x:v>Plus mensual</x:v>
      </x:c>
      <x:c r="G1218" t="str">
        <x:v>Mensual</x:v>
      </x:c>
      <x:c r="H1218" t="n">
        <x:v>1</x:v>
      </x:c>
      <x:c r="I1218" t="str">
        <x:v>Aprobado</x:v>
      </x:c>
      <x:c r="J1218" t="n">
        <x:v>29900</x:v>
      </x:c>
      <x:c r="K1218" t="str">
        <x:v>PSE</x:v>
      </x:c>
      <x:c r="L1218" t="str">
        <x:v>Sin error</x:v>
      </x:c>
    </x:row>
    <x:row r="1219">
      <x:c r="A1219" t="str">
        <x:v>TXN-0001218</x:v>
      </x:c>
      <x:c r="B1219" t="str">
        <x:v>2026-05</x:v>
      </x:c>
      <x:c r="C1219" t="n">
        <x:v>46148</x:v>
      </x:c>
      <x:c r="D1219" t="str">
        <x:v>USR-00034</x:v>
      </x:c>
      <x:c r="E1219" t="str">
        <x:v>SUS-000734</x:v>
      </x:c>
      <x:c r="F1219" t="str">
        <x:v>Plus mensual</x:v>
      </x:c>
      <x:c r="G1219" t="str">
        <x:v>Mensual</x:v>
      </x:c>
      <x:c r="H1219" t="n">
        <x:v>1</x:v>
      </x:c>
      <x:c r="I1219" t="str">
        <x:v>Aprobado</x:v>
      </x:c>
      <x:c r="J1219" t="n">
        <x:v>29900</x:v>
      </x:c>
      <x:c r="K1219" t="str">
        <x:v>Tarjeta débito</x:v>
      </x:c>
      <x:c r="L1219" t="str">
        <x:v>Sin error</x:v>
      </x:c>
    </x:row>
    <x:row r="1220">
      <x:c r="A1220" t="str">
        <x:v>TXN-0001219</x:v>
      </x:c>
      <x:c r="B1220" t="str">
        <x:v>2026-05</x:v>
      </x:c>
      <x:c r="C1220" t="n">
        <x:v>46153</x:v>
      </x:c>
      <x:c r="D1220" t="str">
        <x:v>USR-00035</x:v>
      </x:c>
      <x:c r="E1220" t="str">
        <x:v>SUS-000964</x:v>
      </x:c>
      <x:c r="F1220" t="str">
        <x:v>Plus mensual</x:v>
      </x:c>
      <x:c r="G1220" t="str">
        <x:v>Mensual</x:v>
      </x:c>
      <x:c r="H1220" t="n">
        <x:v>1</x:v>
      </x:c>
      <x:c r="I1220" t="str">
        <x:v>Aprobado</x:v>
      </x:c>
      <x:c r="J1220" t="n">
        <x:v>29900</x:v>
      </x:c>
      <x:c r="K1220" t="str">
        <x:v>PSE</x:v>
      </x:c>
      <x:c r="L1220" t="str">
        <x:v>Sin error</x:v>
      </x:c>
    </x:row>
    <x:row r="1221">
      <x:c r="A1221" t="str">
        <x:v>TXN-0001220</x:v>
      </x:c>
      <x:c r="B1221" t="str">
        <x:v>2026-05</x:v>
      </x:c>
      <x:c r="C1221" t="n">
        <x:v>46151</x:v>
      </x:c>
      <x:c r="D1221" t="str">
        <x:v>USR-00037</x:v>
      </x:c>
      <x:c r="E1221" t="str">
        <x:v>SUS-000457</x:v>
      </x:c>
      <x:c r="F1221" t="str">
        <x:v>Plus mensual</x:v>
      </x:c>
      <x:c r="G1221" t="str">
        <x:v>Mensual</x:v>
      </x:c>
      <x:c r="H1221" t="n">
        <x:v>1</x:v>
      </x:c>
      <x:c r="I1221" t="str">
        <x:v>Aprobado</x:v>
      </x:c>
      <x:c r="J1221" t="n">
        <x:v>29900</x:v>
      </x:c>
      <x:c r="K1221" t="str">
        <x:v>Tarjeta débito</x:v>
      </x:c>
      <x:c r="L1221" t="str">
        <x:v>Sin error</x:v>
      </x:c>
    </x:row>
    <x:row r="1222">
      <x:c r="A1222" t="str">
        <x:v>TXN-0001221</x:v>
      </x:c>
      <x:c r="B1222" t="str">
        <x:v>2026-05</x:v>
      </x:c>
      <x:c r="C1222" t="n">
        <x:v>46150</x:v>
      </x:c>
      <x:c r="D1222" t="str">
        <x:v>USR-00048</x:v>
      </x:c>
      <x:c r="E1222" t="str">
        <x:v>SIN_SUSCRIPCION</x:v>
      </x:c>
      <x:c r="F1222" t="str">
        <x:v>Plus mensual</x:v>
      </x:c>
      <x:c r="G1222" t="str">
        <x:v>Mensual</x:v>
      </x:c>
      <x:c r="H1222" t="n">
        <x:v>1</x:v>
      </x:c>
      <x:c r="I1222" t="str">
        <x:v>Rechazado</x:v>
      </x:c>
      <x:c r="J1222" t="n">
        <x:v>29900</x:v>
      </x:c>
      <x:c r="K1222" t="str">
        <x:v>PSE</x:v>
      </x:c>
      <x:c r="L1222" t="str">
        <x:v>Error temporal</x:v>
      </x:c>
    </x:row>
    <x:row r="1223">
      <x:c r="A1223" t="str">
        <x:v>TXN-0001222</x:v>
      </x:c>
      <x:c r="B1223" t="str">
        <x:v>2026-05</x:v>
      </x:c>
      <x:c r="C1223" t="n">
        <x:v>46153</x:v>
      </x:c>
      <x:c r="D1223" t="str">
        <x:v>USR-00048</x:v>
      </x:c>
      <x:c r="E1223" t="str">
        <x:v>SIN_SUSCRIPCION</x:v>
      </x:c>
      <x:c r="F1223" t="str">
        <x:v>Plus mensual</x:v>
      </x:c>
      <x:c r="G1223" t="str">
        <x:v>Mensual</x:v>
      </x:c>
      <x:c r="H1223" t="n">
        <x:v>2</x:v>
      </x:c>
      <x:c r="I1223" t="str">
        <x:v>Rechazado</x:v>
      </x:c>
      <x:c r="J1223" t="n">
        <x:v>29900</x:v>
      </x:c>
      <x:c r="K1223" t="str">
        <x:v>Tarjeta crédito</x:v>
      </x:c>
      <x:c r="L1223" t="str">
        <x:v>Declinado por entidad</x:v>
      </x:c>
    </x:row>
    <x:row r="1224">
      <x:c r="A1224" t="str">
        <x:v>TXN-0001223</x:v>
      </x:c>
      <x:c r="B1224" t="str">
        <x:v>2026-05</x:v>
      </x:c>
      <x:c r="C1224" t="n">
        <x:v>46153</x:v>
      </x:c>
      <x:c r="D1224" t="str">
        <x:v>USR-00055</x:v>
      </x:c>
      <x:c r="E1224" t="str">
        <x:v>SUS-001102</x:v>
      </x:c>
      <x:c r="F1224" t="str">
        <x:v>Plus mensual</x:v>
      </x:c>
      <x:c r="G1224" t="str">
        <x:v>Mensual</x:v>
      </x:c>
      <x:c r="H1224" t="n">
        <x:v>1</x:v>
      </x:c>
      <x:c r="I1224" t="str">
        <x:v>Aprobado</x:v>
      </x:c>
      <x:c r="J1224" t="n">
        <x:v>29900</x:v>
      </x:c>
      <x:c r="K1224" t="str">
        <x:v>Tarjeta débito</x:v>
      </x:c>
      <x:c r="L1224" t="str">
        <x:v>Sin error</x:v>
      </x:c>
    </x:row>
    <x:row r="1225">
      <x:c r="A1225" t="str">
        <x:v>TXN-0001224</x:v>
      </x:c>
      <x:c r="B1225" t="str">
        <x:v>2026-05</x:v>
      </x:c>
      <x:c r="C1225" t="n">
        <x:v>46152</x:v>
      </x:c>
      <x:c r="D1225" t="str">
        <x:v>USR-00057</x:v>
      </x:c>
      <x:c r="E1225" t="str">
        <x:v>SUS-001103</x:v>
      </x:c>
      <x:c r="F1225" t="str">
        <x:v>Plus anual</x:v>
      </x:c>
      <x:c r="G1225" t="str">
        <x:v>Anual</x:v>
      </x:c>
      <x:c r="H1225" t="n">
        <x:v>1</x:v>
      </x:c>
      <x:c r="I1225" t="str">
        <x:v>Aprobado</x:v>
      </x:c>
      <x:c r="J1225" t="n">
        <x:v>299000</x:v>
      </x:c>
      <x:c r="K1225" t="str">
        <x:v>Tarjeta crédito</x:v>
      </x:c>
      <x:c r="L1225" t="str">
        <x:v>Sin error</x:v>
      </x:c>
    </x:row>
    <x:row r="1226">
      <x:c r="A1226" t="str">
        <x:v>TXN-0001225</x:v>
      </x:c>
      <x:c r="B1226" t="str">
        <x:v>2026-05</x:v>
      </x:c>
      <x:c r="C1226" t="n">
        <x:v>46147</x:v>
      </x:c>
      <x:c r="D1226" t="str">
        <x:v>USR-00064</x:v>
      </x:c>
      <x:c r="E1226" t="str">
        <x:v>SUS-000333</x:v>
      </x:c>
      <x:c r="F1226" t="str">
        <x:v>Plus mensual</x:v>
      </x:c>
      <x:c r="G1226" t="str">
        <x:v>Mensual</x:v>
      </x:c>
      <x:c r="H1226" t="n">
        <x:v>1</x:v>
      </x:c>
      <x:c r="I1226" t="str">
        <x:v>Aprobado</x:v>
      </x:c>
      <x:c r="J1226" t="n">
        <x:v>29900</x:v>
      </x:c>
      <x:c r="K1226" t="str">
        <x:v>Tarjeta crédito</x:v>
      </x:c>
      <x:c r="L1226" t="str">
        <x:v>Sin error</x:v>
      </x:c>
    </x:row>
    <x:row r="1227">
      <x:c r="A1227" t="str">
        <x:v>TXN-0001226</x:v>
      </x:c>
      <x:c r="B1227" t="str">
        <x:v>2026-05</x:v>
      </x:c>
      <x:c r="C1227" t="n">
        <x:v>46147</x:v>
      </x:c>
      <x:c r="D1227" t="str">
        <x:v>USR-00067</x:v>
      </x:c>
      <x:c r="E1227" t="str">
        <x:v>SUS-001104</x:v>
      </x:c>
      <x:c r="F1227" t="str">
        <x:v>Plus mensual</x:v>
      </x:c>
      <x:c r="G1227" t="str">
        <x:v>Mensual</x:v>
      </x:c>
      <x:c r="H1227" t="n">
        <x:v>1</x:v>
      </x:c>
      <x:c r="I1227" t="str">
        <x:v>Aprobado</x:v>
      </x:c>
      <x:c r="J1227" t="n">
        <x:v>29900</x:v>
      </x:c>
      <x:c r="K1227" t="str">
        <x:v>Tarjeta crédito</x:v>
      </x:c>
      <x:c r="L1227" t="str">
        <x:v>Sin error</x:v>
      </x:c>
    </x:row>
    <x:row r="1228">
      <x:c r="A1228" t="str">
        <x:v>TXN-0001227</x:v>
      </x:c>
      <x:c r="B1228" t="str">
        <x:v>2026-05</x:v>
      </x:c>
      <x:c r="C1228" t="n">
        <x:v>46149</x:v>
      </x:c>
      <x:c r="D1228" t="str">
        <x:v>USR-00076</x:v>
      </x:c>
      <x:c r="E1228" t="str">
        <x:v>SUS-000966</x:v>
      </x:c>
      <x:c r="F1228" t="str">
        <x:v>Plus mensual</x:v>
      </x:c>
      <x:c r="G1228" t="str">
        <x:v>Mensual</x:v>
      </x:c>
      <x:c r="H1228" t="n">
        <x:v>1</x:v>
      </x:c>
      <x:c r="I1228" t="str">
        <x:v>Aprobado</x:v>
      </x:c>
      <x:c r="J1228" t="n">
        <x:v>29900</x:v>
      </x:c>
      <x:c r="K1228" t="str">
        <x:v>PSE</x:v>
      </x:c>
      <x:c r="L1228" t="str">
        <x:v>Sin error</x:v>
      </x:c>
    </x:row>
    <x:row r="1229">
      <x:c r="A1229" t="str">
        <x:v>TXN-0001228</x:v>
      </x:c>
      <x:c r="B1229" t="str">
        <x:v>2026-05</x:v>
      </x:c>
      <x:c r="C1229" t="n">
        <x:v>46148</x:v>
      </x:c>
      <x:c r="D1229" t="str">
        <x:v>USR-00078</x:v>
      </x:c>
      <x:c r="E1229" t="str">
        <x:v>SUS-000083</x:v>
      </x:c>
      <x:c r="F1229" t="str">
        <x:v>Plus mensual</x:v>
      </x:c>
      <x:c r="G1229" t="str">
        <x:v>Mensual</x:v>
      </x:c>
      <x:c r="H1229" t="n">
        <x:v>1</x:v>
      </x:c>
      <x:c r="I1229" t="str">
        <x:v>Aprobado</x:v>
      </x:c>
      <x:c r="J1229" t="n">
        <x:v>29900</x:v>
      </x:c>
      <x:c r="K1229" t="str">
        <x:v>Tarjeta débito</x:v>
      </x:c>
      <x:c r="L1229" t="str">
        <x:v>Sin error</x:v>
      </x:c>
    </x:row>
    <x:row r="1230">
      <x:c r="A1230" t="str">
        <x:v>TXN-0001229</x:v>
      </x:c>
      <x:c r="B1230" t="str">
        <x:v>2026-05</x:v>
      </x:c>
      <x:c r="C1230" t="n">
        <x:v>46148</x:v>
      </x:c>
      <x:c r="D1230" t="str">
        <x:v>USR-00079</x:v>
      </x:c>
      <x:c r="E1230" t="str">
        <x:v>SUS-000336</x:v>
      </x:c>
      <x:c r="F1230" t="str">
        <x:v>Plus mensual</x:v>
      </x:c>
      <x:c r="G1230" t="str">
        <x:v>Mensual</x:v>
      </x:c>
      <x:c r="H1230" t="n">
        <x:v>1</x:v>
      </x:c>
      <x:c r="I1230" t="str">
        <x:v>Aprobado</x:v>
      </x:c>
      <x:c r="J1230" t="n">
        <x:v>29900</x:v>
      </x:c>
      <x:c r="K1230" t="str">
        <x:v>Tarjeta crédito</x:v>
      </x:c>
      <x:c r="L1230" t="str">
        <x:v>Sin error</x:v>
      </x:c>
    </x:row>
    <x:row r="1231">
      <x:c r="A1231" t="str">
        <x:v>TXN-0001230</x:v>
      </x:c>
      <x:c r="B1231" t="str">
        <x:v>2026-05</x:v>
      </x:c>
      <x:c r="C1231" t="n">
        <x:v>46148</x:v>
      </x:c>
      <x:c r="D1231" t="str">
        <x:v>USR-00091</x:v>
      </x:c>
      <x:c r="E1231" t="str">
        <x:v>SUS-000736</x:v>
      </x:c>
      <x:c r="F1231" t="str">
        <x:v>Plus mensual</x:v>
      </x:c>
      <x:c r="G1231" t="str">
        <x:v>Mensual</x:v>
      </x:c>
      <x:c r="H1231" t="n">
        <x:v>1</x:v>
      </x:c>
      <x:c r="I1231" t="str">
        <x:v>Aprobado</x:v>
      </x:c>
      <x:c r="J1231" t="n">
        <x:v>29900</x:v>
      </x:c>
      <x:c r="K1231" t="str">
        <x:v>Tarjeta crédito</x:v>
      </x:c>
      <x:c r="L1231" t="str">
        <x:v>Sin error</x:v>
      </x:c>
    </x:row>
    <x:row r="1232">
      <x:c r="A1232" t="str">
        <x:v>TXN-0001231</x:v>
      </x:c>
      <x:c r="B1232" t="str">
        <x:v>2026-05</x:v>
      </x:c>
      <x:c r="C1232" t="n">
        <x:v>46149</x:v>
      </x:c>
      <x:c r="D1232" t="str">
        <x:v>USR-00096</x:v>
      </x:c>
      <x:c r="E1232" t="str">
        <x:v>SUS-000273</x:v>
      </x:c>
      <x:c r="F1232" t="str">
        <x:v>Plus mensual</x:v>
      </x:c>
      <x:c r="G1232" t="str">
        <x:v>Mensual</x:v>
      </x:c>
      <x:c r="H1232" t="n">
        <x:v>1</x:v>
      </x:c>
      <x:c r="I1232" t="str">
        <x:v>Aprobado</x:v>
      </x:c>
      <x:c r="J1232" t="n">
        <x:v>29900</x:v>
      </x:c>
      <x:c r="K1232" t="str">
        <x:v>PSE</x:v>
      </x:c>
      <x:c r="L1232" t="str">
        <x:v>Sin error</x:v>
      </x:c>
    </x:row>
    <x:row r="1233">
      <x:c r="A1233" t="str">
        <x:v>TXN-0001232</x:v>
      </x:c>
      <x:c r="B1233" t="str">
        <x:v>2026-05</x:v>
      </x:c>
      <x:c r="C1233" t="n">
        <x:v>46151</x:v>
      </x:c>
      <x:c r="D1233" t="str">
        <x:v>USR-00099</x:v>
      </x:c>
      <x:c r="E1233" t="str">
        <x:v>SUS-000337</x:v>
      </x:c>
      <x:c r="F1233" t="str">
        <x:v>Plus mensual</x:v>
      </x:c>
      <x:c r="G1233" t="str">
        <x:v>Mensual</x:v>
      </x:c>
      <x:c r="H1233" t="n">
        <x:v>1</x:v>
      </x:c>
      <x:c r="I1233" t="str">
        <x:v>Aprobado</x:v>
      </x:c>
      <x:c r="J1233" t="n">
        <x:v>29900</x:v>
      </x:c>
      <x:c r="K1233" t="str">
        <x:v>PSE</x:v>
      </x:c>
      <x:c r="L1233" t="str">
        <x:v>Sin error</x:v>
      </x:c>
    </x:row>
    <x:row r="1234">
      <x:c r="A1234" t="str">
        <x:v>TXN-0001233</x:v>
      </x:c>
      <x:c r="B1234" t="str">
        <x:v>2026-05</x:v>
      </x:c>
      <x:c r="C1234" t="n">
        <x:v>46149</x:v>
      </x:c>
      <x:c r="D1234" t="str">
        <x:v>USR-00102</x:v>
      </x:c>
      <x:c r="E1234" t="str">
        <x:v>SUS-000842</x:v>
      </x:c>
      <x:c r="F1234" t="str">
        <x:v>Plus mensual</x:v>
      </x:c>
      <x:c r="G1234" t="str">
        <x:v>Mensual</x:v>
      </x:c>
      <x:c r="H1234" t="n">
        <x:v>1</x:v>
      </x:c>
      <x:c r="I1234" t="str">
        <x:v>Aprobado</x:v>
      </x:c>
      <x:c r="J1234" t="n">
        <x:v>29900</x:v>
      </x:c>
      <x:c r="K1234" t="str">
        <x:v>Tarjeta crédito</x:v>
      </x:c>
      <x:c r="L1234" t="str">
        <x:v>Sin error</x:v>
      </x:c>
    </x:row>
    <x:row r="1235">
      <x:c r="A1235" t="str">
        <x:v>TXN-0001234</x:v>
      </x:c>
      <x:c r="B1235" t="str">
        <x:v>2026-05</x:v>
      </x:c>
      <x:c r="C1235" t="n">
        <x:v>46153</x:v>
      </x:c>
      <x:c r="D1235" t="str">
        <x:v>USR-00108</x:v>
      </x:c>
      <x:c r="E1235" t="str">
        <x:v>SUS-001108</x:v>
      </x:c>
      <x:c r="F1235" t="str">
        <x:v>Plus mensual</x:v>
      </x:c>
      <x:c r="G1235" t="str">
        <x:v>Mensual</x:v>
      </x:c>
      <x:c r="H1235" t="n">
        <x:v>1</x:v>
      </x:c>
      <x:c r="I1235" t="str">
        <x:v>Rechazado</x:v>
      </x:c>
      <x:c r="J1235" t="n">
        <x:v>29900</x:v>
      </x:c>
      <x:c r="K1235" t="str">
        <x:v>Tarjeta crédito</x:v>
      </x:c>
      <x:c r="L1235" t="str">
        <x:v>Fondos insuficientes</x:v>
      </x:c>
    </x:row>
    <x:row r="1236">
      <x:c r="A1236" t="str">
        <x:v>TXN-0001235</x:v>
      </x:c>
      <x:c r="B1236" t="str">
        <x:v>2026-05</x:v>
      </x:c>
      <x:c r="C1236" t="n">
        <x:v>46152</x:v>
      </x:c>
      <x:c r="D1236" t="str">
        <x:v>USR-00108</x:v>
      </x:c>
      <x:c r="E1236" t="str">
        <x:v>SUS-001108</x:v>
      </x:c>
      <x:c r="F1236" t="str">
        <x:v>Plus mensual</x:v>
      </x:c>
      <x:c r="G1236" t="str">
        <x:v>Mensual</x:v>
      </x:c>
      <x:c r="H1236" t="n">
        <x:v>2</x:v>
      </x:c>
      <x:c r="I1236" t="str">
        <x:v>Aprobado</x:v>
      </x:c>
      <x:c r="J1236" t="n">
        <x:v>29900</x:v>
      </x:c>
      <x:c r="K1236" t="str">
        <x:v>Tarjeta crédito</x:v>
      </x:c>
      <x:c r="L1236" t="str">
        <x:v>Sin error</x:v>
      </x:c>
    </x:row>
    <x:row r="1237">
      <x:c r="A1237" t="str">
        <x:v>TXN-0001236</x:v>
      </x:c>
      <x:c r="B1237" t="str">
        <x:v>2026-05</x:v>
      </x:c>
      <x:c r="C1237" t="n">
        <x:v>46149</x:v>
      </x:c>
      <x:c r="D1237" t="str">
        <x:v>USR-00116</x:v>
      </x:c>
      <x:c r="E1237" t="str">
        <x:v>SUS-001109</x:v>
      </x:c>
      <x:c r="F1237" t="str">
        <x:v>Plus anual</x:v>
      </x:c>
      <x:c r="G1237" t="str">
        <x:v>Anual</x:v>
      </x:c>
      <x:c r="H1237" t="n">
        <x:v>1</x:v>
      </x:c>
      <x:c r="I1237" t="str">
        <x:v>Aprobado</x:v>
      </x:c>
      <x:c r="J1237" t="n">
        <x:v>299000</x:v>
      </x:c>
      <x:c r="K1237" t="str">
        <x:v>Tarjeta crédito</x:v>
      </x:c>
      <x:c r="L1237" t="str">
        <x:v>Sin error</x:v>
      </x:c>
    </x:row>
    <x:row r="1238">
      <x:c r="A1238" t="str">
        <x:v>TXN-0001237</x:v>
      </x:c>
      <x:c r="B1238" t="str">
        <x:v>2026-05</x:v>
      </x:c>
      <x:c r="C1238" t="n">
        <x:v>46152</x:v>
      </x:c>
      <x:c r="D1238" t="str">
        <x:v>USR-00122</x:v>
      </x:c>
      <x:c r="E1238" t="str">
        <x:v>SUS-000843</x:v>
      </x:c>
      <x:c r="F1238" t="str">
        <x:v>Plus mensual</x:v>
      </x:c>
      <x:c r="G1238" t="str">
        <x:v>Mensual</x:v>
      </x:c>
      <x:c r="H1238" t="n">
        <x:v>1</x:v>
      </x:c>
      <x:c r="I1238" t="str">
        <x:v>Aprobado</x:v>
      </x:c>
      <x:c r="J1238" t="n">
        <x:v>29900</x:v>
      </x:c>
      <x:c r="K1238" t="str">
        <x:v>Tarjeta crédito</x:v>
      </x:c>
      <x:c r="L1238" t="str">
        <x:v>Sin error</x:v>
      </x:c>
    </x:row>
    <x:row r="1239">
      <x:c r="A1239" t="str">
        <x:v>TXN-0001238</x:v>
      </x:c>
      <x:c r="B1239" t="str">
        <x:v>2026-05</x:v>
      </x:c>
      <x:c r="C1239" t="n">
        <x:v>46153</x:v>
      </x:c>
      <x:c r="D1239" t="str">
        <x:v>USR-00132</x:v>
      </x:c>
      <x:c r="E1239" t="str">
        <x:v>SUS-001110</x:v>
      </x:c>
      <x:c r="F1239" t="str">
        <x:v>Plus anual</x:v>
      </x:c>
      <x:c r="G1239" t="str">
        <x:v>Anual</x:v>
      </x:c>
      <x:c r="H1239" t="n">
        <x:v>1</x:v>
      </x:c>
      <x:c r="I1239" t="str">
        <x:v>Aprobado</x:v>
      </x:c>
      <x:c r="J1239" t="n">
        <x:v>299000</x:v>
      </x:c>
      <x:c r="K1239" t="str">
        <x:v>PSE</x:v>
      </x:c>
      <x:c r="L1239" t="str">
        <x:v>Sin error</x:v>
      </x:c>
    </x:row>
    <x:row r="1240">
      <x:c r="A1240" t="str">
        <x:v>TXN-0001239</x:v>
      </x:c>
      <x:c r="B1240" t="str">
        <x:v>2026-05</x:v>
      </x:c>
      <x:c r="C1240" t="n">
        <x:v>46154</x:v>
      </x:c>
      <x:c r="D1240" t="str">
        <x:v>USR-00141</x:v>
      </x:c>
      <x:c r="E1240" t="str">
        <x:v>SUS-000150</x:v>
      </x:c>
      <x:c r="F1240" t="str">
        <x:v>Plus anual</x:v>
      </x:c>
      <x:c r="G1240" t="str">
        <x:v>Anual</x:v>
      </x:c>
      <x:c r="H1240" t="n">
        <x:v>1</x:v>
      </x:c>
      <x:c r="I1240" t="str">
        <x:v>Aprobado</x:v>
      </x:c>
      <x:c r="J1240" t="n">
        <x:v>299000</x:v>
      </x:c>
      <x:c r="K1240" t="str">
        <x:v>Tarjeta débito</x:v>
      </x:c>
      <x:c r="L1240" t="str">
        <x:v>Sin error</x:v>
      </x:c>
    </x:row>
    <x:row r="1241">
      <x:c r="A1241" t="str">
        <x:v>TXN-0001240</x:v>
      </x:c>
      <x:c r="B1241" t="str">
        <x:v>2026-05</x:v>
      </x:c>
      <x:c r="C1241" t="n">
        <x:v>46154</x:v>
      </x:c>
      <x:c r="D1241" t="str">
        <x:v>USR-00145</x:v>
      </x:c>
      <x:c r="E1241" t="str">
        <x:v>SUS-000168</x:v>
      </x:c>
      <x:c r="F1241" t="str">
        <x:v>Plus mensual</x:v>
      </x:c>
      <x:c r="G1241" t="str">
        <x:v>Mensual</x:v>
      </x:c>
      <x:c r="H1241" t="n">
        <x:v>1</x:v>
      </x:c>
      <x:c r="I1241" t="str">
        <x:v>Aprobado</x:v>
      </x:c>
      <x:c r="J1241" t="n">
        <x:v>29900</x:v>
      </x:c>
      <x:c r="K1241" t="str">
        <x:v>Tarjeta débito</x:v>
      </x:c>
      <x:c r="L1241" t="str">
        <x:v>Sin error</x:v>
      </x:c>
    </x:row>
    <x:row r="1242">
      <x:c r="A1242" t="str">
        <x:v>TXN-0001241</x:v>
      </x:c>
      <x:c r="B1242" t="str">
        <x:v>2026-05</x:v>
      </x:c>
      <x:c r="C1242" t="n">
        <x:v>46150</x:v>
      </x:c>
      <x:c r="D1242" t="str">
        <x:v>USR-00148</x:v>
      </x:c>
      <x:c r="E1242" t="str">
        <x:v>SUS-000740</x:v>
      </x:c>
      <x:c r="F1242" t="str">
        <x:v>Plus mensual</x:v>
      </x:c>
      <x:c r="G1242" t="str">
        <x:v>Mensual</x:v>
      </x:c>
      <x:c r="H1242" t="n">
        <x:v>1</x:v>
      </x:c>
      <x:c r="I1242" t="str">
        <x:v>Aprobado</x:v>
      </x:c>
      <x:c r="J1242" t="n">
        <x:v>29900</x:v>
      </x:c>
      <x:c r="K1242" t="str">
        <x:v>PSE</x:v>
      </x:c>
      <x:c r="L1242" t="str">
        <x:v>Sin error</x:v>
      </x:c>
    </x:row>
    <x:row r="1243">
      <x:c r="A1243" t="str">
        <x:v>TXN-0001242</x:v>
      </x:c>
      <x:c r="B1243" t="str">
        <x:v>2026-05</x:v>
      </x:c>
      <x:c r="C1243" t="n">
        <x:v>46151</x:v>
      </x:c>
      <x:c r="D1243" t="str">
        <x:v>USR-00154</x:v>
      </x:c>
      <x:c r="E1243" t="str">
        <x:v>SUS-000278</x:v>
      </x:c>
      <x:c r="F1243" t="str">
        <x:v>Plus mensual</x:v>
      </x:c>
      <x:c r="G1243" t="str">
        <x:v>Mensual</x:v>
      </x:c>
      <x:c r="H1243" t="n">
        <x:v>1</x:v>
      </x:c>
      <x:c r="I1243" t="str">
        <x:v>Aprobado</x:v>
      </x:c>
      <x:c r="J1243" t="n">
        <x:v>29900</x:v>
      </x:c>
      <x:c r="K1243" t="str">
        <x:v>Tarjeta débito</x:v>
      </x:c>
      <x:c r="L1243" t="str">
        <x:v>Sin error</x:v>
      </x:c>
    </x:row>
    <x:row r="1244">
      <x:c r="A1244" t="str">
        <x:v>TXN-0001243</x:v>
      </x:c>
      <x:c r="B1244" t="str">
        <x:v>2026-05</x:v>
      </x:c>
      <x:c r="C1244" t="n">
        <x:v>46153</x:v>
      </x:c>
      <x:c r="D1244" t="str">
        <x:v>USR-00155</x:v>
      </x:c>
      <x:c r="E1244" t="str">
        <x:v>SUS-000462</x:v>
      </x:c>
      <x:c r="F1244" t="str">
        <x:v>Plus mensual</x:v>
      </x:c>
      <x:c r="G1244" t="str">
        <x:v>Mensual</x:v>
      </x:c>
      <x:c r="H1244" t="n">
        <x:v>1</x:v>
      </x:c>
      <x:c r="I1244" t="str">
        <x:v>Aprobado</x:v>
      </x:c>
      <x:c r="J1244" t="n">
        <x:v>29900</x:v>
      </x:c>
      <x:c r="K1244" t="str">
        <x:v>Tarjeta crédito</x:v>
      </x:c>
      <x:c r="L1244" t="str">
        <x:v>Sin error</x:v>
      </x:c>
    </x:row>
    <x:row r="1245">
      <x:c r="A1245" t="str">
        <x:v>TXN-0001244</x:v>
      </x:c>
      <x:c r="B1245" t="str">
        <x:v>2026-05</x:v>
      </x:c>
      <x:c r="C1245" t="n">
        <x:v>46151</x:v>
      </x:c>
      <x:c r="D1245" t="str">
        <x:v>USR-00158</x:v>
      </x:c>
      <x:c r="E1245" t="str">
        <x:v>SUS-001111</x:v>
      </x:c>
      <x:c r="F1245" t="str">
        <x:v>Plus mensual</x:v>
      </x:c>
      <x:c r="G1245" t="str">
        <x:v>Mensual</x:v>
      </x:c>
      <x:c r="H1245" t="n">
        <x:v>1</x:v>
      </x:c>
      <x:c r="I1245" t="str">
        <x:v>Aprobado</x:v>
      </x:c>
      <x:c r="J1245" t="n">
        <x:v>29900</x:v>
      </x:c>
      <x:c r="K1245" t="str">
        <x:v>Tarjeta crédito</x:v>
      </x:c>
      <x:c r="L1245" t="str">
        <x:v>Sin error</x:v>
      </x:c>
    </x:row>
    <x:row r="1246">
      <x:c r="A1246" t="str">
        <x:v>TXN-0001245</x:v>
      </x:c>
      <x:c r="B1246" t="str">
        <x:v>2026-05</x:v>
      </x:c>
      <x:c r="C1246" t="n">
        <x:v>46154</x:v>
      </x:c>
      <x:c r="D1246" t="str">
        <x:v>USR-00162</x:v>
      </x:c>
      <x:c r="E1246" t="str">
        <x:v>SUS-000225</x:v>
      </x:c>
      <x:c r="F1246" t="str">
        <x:v>Plus mensual</x:v>
      </x:c>
      <x:c r="G1246" t="str">
        <x:v>Mensual</x:v>
      </x:c>
      <x:c r="H1246" t="n">
        <x:v>1</x:v>
      </x:c>
      <x:c r="I1246" t="str">
        <x:v>Aprobado</x:v>
      </x:c>
      <x:c r="J1246" t="n">
        <x:v>29900</x:v>
      </x:c>
      <x:c r="K1246" t="str">
        <x:v>PSE</x:v>
      </x:c>
      <x:c r="L1246" t="str">
        <x:v>Sin error</x:v>
      </x:c>
    </x:row>
    <x:row r="1247">
      <x:c r="A1247" t="str">
        <x:v>TXN-0001246</x:v>
      </x:c>
      <x:c r="B1247" t="str">
        <x:v>2026-05</x:v>
      </x:c>
      <x:c r="C1247" t="n">
        <x:v>46147</x:v>
      </x:c>
      <x:c r="D1247" t="str">
        <x:v>USR-00164</x:v>
      </x:c>
      <x:c r="E1247" t="str">
        <x:v>SUS-000534</x:v>
      </x:c>
      <x:c r="F1247" t="str">
        <x:v>Plus mensual</x:v>
      </x:c>
      <x:c r="G1247" t="str">
        <x:v>Mensual</x:v>
      </x:c>
      <x:c r="H1247" t="n">
        <x:v>1</x:v>
      </x:c>
      <x:c r="I1247" t="str">
        <x:v>Aprobado</x:v>
      </x:c>
      <x:c r="J1247" t="n">
        <x:v>29900</x:v>
      </x:c>
      <x:c r="K1247" t="str">
        <x:v>Tarjeta débito</x:v>
      </x:c>
      <x:c r="L1247" t="str">
        <x:v>Sin error</x:v>
      </x:c>
    </x:row>
    <x:row r="1248">
      <x:c r="A1248" t="str">
        <x:v>TXN-0001247</x:v>
      </x:c>
      <x:c r="B1248" t="str">
        <x:v>2026-05</x:v>
      </x:c>
      <x:c r="C1248" t="n">
        <x:v>46152</x:v>
      </x:c>
      <x:c r="D1248" t="str">
        <x:v>USR-00165</x:v>
      </x:c>
      <x:c r="E1248" t="str">
        <x:v>SUS-001112</x:v>
      </x:c>
      <x:c r="F1248" t="str">
        <x:v>Plus anual</x:v>
      </x:c>
      <x:c r="G1248" t="str">
        <x:v>Anual</x:v>
      </x:c>
      <x:c r="H1248" t="n">
        <x:v>1</x:v>
      </x:c>
      <x:c r="I1248" t="str">
        <x:v>Aprobado</x:v>
      </x:c>
      <x:c r="J1248" t="n">
        <x:v>299000</x:v>
      </x:c>
      <x:c r="K1248" t="str">
        <x:v>Tarjeta crédito</x:v>
      </x:c>
      <x:c r="L1248" t="str">
        <x:v>Sin error</x:v>
      </x:c>
    </x:row>
    <x:row r="1249">
      <x:c r="A1249" t="str">
        <x:v>TXN-0001248</x:v>
      </x:c>
      <x:c r="B1249" t="str">
        <x:v>2026-05</x:v>
      </x:c>
      <x:c r="C1249" t="n">
        <x:v>46150</x:v>
      </x:c>
      <x:c r="D1249" t="str">
        <x:v>USR-00167</x:v>
      </x:c>
      <x:c r="E1249" t="str">
        <x:v>SUS-000226</x:v>
      </x:c>
      <x:c r="F1249" t="str">
        <x:v>Plus mensual</x:v>
      </x:c>
      <x:c r="G1249" t="str">
        <x:v>Mensual</x:v>
      </x:c>
      <x:c r="H1249" t="n">
        <x:v>1</x:v>
      </x:c>
      <x:c r="I1249" t="str">
        <x:v>Aprobado</x:v>
      </x:c>
      <x:c r="J1249" t="n">
        <x:v>29900</x:v>
      </x:c>
      <x:c r="K1249" t="str">
        <x:v>Tarjeta débito</x:v>
      </x:c>
      <x:c r="L1249" t="str">
        <x:v>Sin error</x:v>
      </x:c>
    </x:row>
    <x:row r="1250">
      <x:c r="A1250" t="str">
        <x:v>TXN-0001249</x:v>
      </x:c>
      <x:c r="B1250" t="str">
        <x:v>2026-05</x:v>
      </x:c>
      <x:c r="C1250" t="n">
        <x:v>46147</x:v>
      </x:c>
      <x:c r="D1250" t="str">
        <x:v>USR-00184</x:v>
      </x:c>
      <x:c r="E1250" t="str">
        <x:v>SUS-000281</x:v>
      </x:c>
      <x:c r="F1250" t="str">
        <x:v>Plus mensual</x:v>
      </x:c>
      <x:c r="G1250" t="str">
        <x:v>Mensual</x:v>
      </x:c>
      <x:c r="H1250" t="n">
        <x:v>1</x:v>
      </x:c>
      <x:c r="I1250" t="str">
        <x:v>Aprobado</x:v>
      </x:c>
      <x:c r="J1250" t="n">
        <x:v>29900</x:v>
      </x:c>
      <x:c r="K1250" t="str">
        <x:v>Tarjeta crédito</x:v>
      </x:c>
      <x:c r="L1250" t="str">
        <x:v>Sin error</x:v>
      </x:c>
    </x:row>
    <x:row r="1251">
      <x:c r="A1251" t="str">
        <x:v>TXN-0001250</x:v>
      </x:c>
      <x:c r="B1251" t="str">
        <x:v>2026-05</x:v>
      </x:c>
      <x:c r="C1251" t="n">
        <x:v>46148</x:v>
      </x:c>
      <x:c r="D1251" t="str">
        <x:v>USR-00186</x:v>
      </x:c>
      <x:c r="E1251" t="str">
        <x:v>SUS-000971</x:v>
      </x:c>
      <x:c r="F1251" t="str">
        <x:v>Plus mensual</x:v>
      </x:c>
      <x:c r="G1251" t="str">
        <x:v>Mensual</x:v>
      </x:c>
      <x:c r="H1251" t="n">
        <x:v>1</x:v>
      </x:c>
      <x:c r="I1251" t="str">
        <x:v>Rechazado</x:v>
      </x:c>
      <x:c r="J1251" t="n">
        <x:v>29900</x:v>
      </x:c>
      <x:c r="K1251" t="str">
        <x:v>Tarjeta crédito</x:v>
      </x:c>
      <x:c r="L1251" t="str">
        <x:v>Error temporal</x:v>
      </x:c>
    </x:row>
    <x:row r="1252">
      <x:c r="A1252" t="str">
        <x:v>TXN-0001251</x:v>
      </x:c>
      <x:c r="B1252" t="str">
        <x:v>2026-05</x:v>
      </x:c>
      <x:c r="C1252" t="n">
        <x:v>46149</x:v>
      </x:c>
      <x:c r="D1252" t="str">
        <x:v>USR-00186</x:v>
      </x:c>
      <x:c r="E1252" t="str">
        <x:v>SUS-000971</x:v>
      </x:c>
      <x:c r="F1252" t="str">
        <x:v>Plus mensual</x:v>
      </x:c>
      <x:c r="G1252" t="str">
        <x:v>Mensual</x:v>
      </x:c>
      <x:c r="H1252" t="n">
        <x:v>2</x:v>
      </x:c>
      <x:c r="I1252" t="str">
        <x:v>Aprobado</x:v>
      </x:c>
      <x:c r="J1252" t="n">
        <x:v>29900</x:v>
      </x:c>
      <x:c r="K1252" t="str">
        <x:v>Tarjeta débito</x:v>
      </x:c>
      <x:c r="L1252" t="str">
        <x:v>Sin error</x:v>
      </x:c>
    </x:row>
    <x:row r="1253">
      <x:c r="A1253" t="str">
        <x:v>TXN-0001252</x:v>
      </x:c>
      <x:c r="B1253" t="str">
        <x:v>2026-05</x:v>
      </x:c>
      <x:c r="C1253" t="n">
        <x:v>46153</x:v>
      </x:c>
      <x:c r="D1253" t="str">
        <x:v>USR-00188</x:v>
      </x:c>
      <x:c r="E1253" t="str">
        <x:v>SUS-000229</x:v>
      </x:c>
      <x:c r="F1253" t="str">
        <x:v>Plus mensual</x:v>
      </x:c>
      <x:c r="G1253" t="str">
        <x:v>Mensual</x:v>
      </x:c>
      <x:c r="H1253" t="n">
        <x:v>1</x:v>
      </x:c>
      <x:c r="I1253" t="str">
        <x:v>Aprobado</x:v>
      </x:c>
      <x:c r="J1253" t="n">
        <x:v>29900</x:v>
      </x:c>
      <x:c r="K1253" t="str">
        <x:v>Tarjeta crédito</x:v>
      </x:c>
      <x:c r="L1253" t="str">
        <x:v>Sin error</x:v>
      </x:c>
    </x:row>
    <x:row r="1254">
      <x:c r="A1254" t="str">
        <x:v>TXN-0001253</x:v>
      </x:c>
      <x:c r="B1254" t="str">
        <x:v>2026-05</x:v>
      </x:c>
      <x:c r="C1254" t="n">
        <x:v>46154</x:v>
      </x:c>
      <x:c r="D1254" t="str">
        <x:v>USR-00201</x:v>
      </x:c>
      <x:c r="E1254" t="str">
        <x:v>SUS-000242</x:v>
      </x:c>
      <x:c r="F1254" t="str">
        <x:v>Plus mensual</x:v>
      </x:c>
      <x:c r="G1254" t="str">
        <x:v>Mensual</x:v>
      </x:c>
      <x:c r="H1254" t="n">
        <x:v>1</x:v>
      </x:c>
      <x:c r="I1254" t="str">
        <x:v>Aprobado</x:v>
      </x:c>
      <x:c r="J1254" t="n">
        <x:v>29900</x:v>
      </x:c>
      <x:c r="K1254" t="str">
        <x:v>Tarjeta débito</x:v>
      </x:c>
      <x:c r="L1254" t="str">
        <x:v>Sin error</x:v>
      </x:c>
    </x:row>
    <x:row r="1255">
      <x:c r="A1255" t="str">
        <x:v>TXN-0001254</x:v>
      </x:c>
      <x:c r="B1255" t="str">
        <x:v>2026-05</x:v>
      </x:c>
      <x:c r="C1255" t="n">
        <x:v>46148</x:v>
      </x:c>
      <x:c r="D1255" t="str">
        <x:v>USR-00206</x:v>
      </x:c>
      <x:c r="E1255" t="str">
        <x:v>SUS-000623</x:v>
      </x:c>
      <x:c r="F1255" t="str">
        <x:v>Plus mensual</x:v>
      </x:c>
      <x:c r="G1255" t="str">
        <x:v>Mensual</x:v>
      </x:c>
      <x:c r="H1255" t="n">
        <x:v>1</x:v>
      </x:c>
      <x:c r="I1255" t="str">
        <x:v>Aprobado</x:v>
      </x:c>
      <x:c r="J1255" t="n">
        <x:v>29900</x:v>
      </x:c>
      <x:c r="K1255" t="str">
        <x:v>PSE</x:v>
      </x:c>
      <x:c r="L1255" t="str">
        <x:v>Sin error</x:v>
      </x:c>
    </x:row>
    <x:row r="1256">
      <x:c r="A1256" t="str">
        <x:v>TXN-0001255</x:v>
      </x:c>
      <x:c r="B1256" t="str">
        <x:v>2026-05</x:v>
      </x:c>
      <x:c r="C1256" t="n">
        <x:v>46147</x:v>
      </x:c>
      <x:c r="D1256" t="str">
        <x:v>USR-00207</x:v>
      </x:c>
      <x:c r="E1256" t="str">
        <x:v>SUS-000624</x:v>
      </x:c>
      <x:c r="F1256" t="str">
        <x:v>Plus mensual</x:v>
      </x:c>
      <x:c r="G1256" t="str">
        <x:v>Mensual</x:v>
      </x:c>
      <x:c r="H1256" t="n">
        <x:v>1</x:v>
      </x:c>
      <x:c r="I1256" t="str">
        <x:v>Aprobado</x:v>
      </x:c>
      <x:c r="J1256" t="n">
        <x:v>29900</x:v>
      </x:c>
      <x:c r="K1256" t="str">
        <x:v>PSE</x:v>
      </x:c>
      <x:c r="L1256" t="str">
        <x:v>Sin error</x:v>
      </x:c>
    </x:row>
    <x:row r="1257">
      <x:c r="A1257" t="str">
        <x:v>TXN-0001256</x:v>
      </x:c>
      <x:c r="B1257" t="str">
        <x:v>2026-05</x:v>
      </x:c>
      <x:c r="C1257" t="n">
        <x:v>46152</x:v>
      </x:c>
      <x:c r="D1257" t="str">
        <x:v>USR-00211</x:v>
      </x:c>
      <x:c r="E1257" t="str">
        <x:v>SUS-000747</x:v>
      </x:c>
      <x:c r="F1257" t="str">
        <x:v>Plus mensual</x:v>
      </x:c>
      <x:c r="G1257" t="str">
        <x:v>Mensual</x:v>
      </x:c>
      <x:c r="H1257" t="n">
        <x:v>1</x:v>
      </x:c>
      <x:c r="I1257" t="str">
        <x:v>Rechazado</x:v>
      </x:c>
      <x:c r="J1257" t="n">
        <x:v>29900</x:v>
      </x:c>
      <x:c r="K1257" t="str">
        <x:v>Tarjeta crédito</x:v>
      </x:c>
      <x:c r="L1257" t="str">
        <x:v>Error temporal</x:v>
      </x:c>
    </x:row>
    <x:row r="1258">
      <x:c r="A1258" t="str">
        <x:v>TXN-0001257</x:v>
      </x:c>
      <x:c r="B1258" t="str">
        <x:v>2026-05</x:v>
      </x:c>
      <x:c r="C1258" t="n">
        <x:v>46147</x:v>
      </x:c>
      <x:c r="D1258" t="str">
        <x:v>USR-00211</x:v>
      </x:c>
      <x:c r="E1258" t="str">
        <x:v>SUS-000747</x:v>
      </x:c>
      <x:c r="F1258" t="str">
        <x:v>Plus mensual</x:v>
      </x:c>
      <x:c r="G1258" t="str">
        <x:v>Mensual</x:v>
      </x:c>
      <x:c r="H1258" t="n">
        <x:v>2</x:v>
      </x:c>
      <x:c r="I1258" t="str">
        <x:v>Aprobado</x:v>
      </x:c>
      <x:c r="J1258" t="n">
        <x:v>29900</x:v>
      </x:c>
      <x:c r="K1258" t="str">
        <x:v>Tarjeta crédito</x:v>
      </x:c>
      <x:c r="L1258" t="str">
        <x:v>Sin error</x:v>
      </x:c>
    </x:row>
    <x:row r="1259">
      <x:c r="A1259" t="str">
        <x:v>TXN-0001258</x:v>
      </x:c>
      <x:c r="B1259" t="str">
        <x:v>2026-05</x:v>
      </x:c>
      <x:c r="C1259" t="n">
        <x:v>46153</x:v>
      </x:c>
      <x:c r="D1259" t="str">
        <x:v>USR-00213</x:v>
      </x:c>
      <x:c r="E1259" t="str">
        <x:v>SUS-000972</x:v>
      </x:c>
      <x:c r="F1259" t="str">
        <x:v>Plus mensual</x:v>
      </x:c>
      <x:c r="G1259" t="str">
        <x:v>Mensual</x:v>
      </x:c>
      <x:c r="H1259" t="n">
        <x:v>1</x:v>
      </x:c>
      <x:c r="I1259" t="str">
        <x:v>Aprobado</x:v>
      </x:c>
      <x:c r="J1259" t="n">
        <x:v>29900</x:v>
      </x:c>
      <x:c r="K1259" t="str">
        <x:v>Tarjeta débito</x:v>
      </x:c>
      <x:c r="L1259" t="str">
        <x:v>Sin error</x:v>
      </x:c>
    </x:row>
    <x:row r="1260">
      <x:c r="A1260" t="str">
        <x:v>TXN-0001259</x:v>
      </x:c>
      <x:c r="B1260" t="str">
        <x:v>2026-05</x:v>
      </x:c>
      <x:c r="C1260" t="n">
        <x:v>46153</x:v>
      </x:c>
      <x:c r="D1260" t="str">
        <x:v>USR-00220</x:v>
      </x:c>
      <x:c r="E1260" t="str">
        <x:v>SUS-000261</x:v>
      </x:c>
      <x:c r="F1260" t="str">
        <x:v>Plus mensual</x:v>
      </x:c>
      <x:c r="G1260" t="str">
        <x:v>Mensual</x:v>
      </x:c>
      <x:c r="H1260" t="n">
        <x:v>1</x:v>
      </x:c>
      <x:c r="I1260" t="str">
        <x:v>Aprobado</x:v>
      </x:c>
      <x:c r="J1260" t="n">
        <x:v>29900</x:v>
      </x:c>
      <x:c r="K1260" t="str">
        <x:v>Tarjeta crédito</x:v>
      </x:c>
      <x:c r="L1260" t="str">
        <x:v>Sin error</x:v>
      </x:c>
    </x:row>
    <x:row r="1261">
      <x:c r="A1261" t="str">
        <x:v>TXN-0001260</x:v>
      </x:c>
      <x:c r="B1261" t="str">
        <x:v>2026-05</x:v>
      </x:c>
      <x:c r="C1261" t="n">
        <x:v>46153</x:v>
      </x:c>
      <x:c r="D1261" t="str">
        <x:v>USR-00224</x:v>
      </x:c>
      <x:c r="E1261" t="str">
        <x:v>SUS-000265</x:v>
      </x:c>
      <x:c r="F1261" t="str">
        <x:v>Plus mensual</x:v>
      </x:c>
      <x:c r="G1261" t="str">
        <x:v>Mensual</x:v>
      </x:c>
      <x:c r="H1261" t="n">
        <x:v>1</x:v>
      </x:c>
      <x:c r="I1261" t="str">
        <x:v>Aprobado</x:v>
      </x:c>
      <x:c r="J1261" t="n">
        <x:v>29900</x:v>
      </x:c>
      <x:c r="K1261" t="str">
        <x:v>PSE</x:v>
      </x:c>
      <x:c r="L1261" t="str">
        <x:v>Sin error</x:v>
      </x:c>
    </x:row>
    <x:row r="1262">
      <x:c r="A1262" t="str">
        <x:v>TXN-0001261</x:v>
      </x:c>
      <x:c r="B1262" t="str">
        <x:v>2026-05</x:v>
      </x:c>
      <x:c r="C1262" t="n">
        <x:v>46147</x:v>
      </x:c>
      <x:c r="D1262" t="str">
        <x:v>USR-00225</x:v>
      </x:c>
      <x:c r="E1262" t="str">
        <x:v>SUS-001113</x:v>
      </x:c>
      <x:c r="F1262" t="str">
        <x:v>Plus mensual</x:v>
      </x:c>
      <x:c r="G1262" t="str">
        <x:v>Mensual</x:v>
      </x:c>
      <x:c r="H1262" t="n">
        <x:v>1</x:v>
      </x:c>
      <x:c r="I1262" t="str">
        <x:v>Aprobado</x:v>
      </x:c>
      <x:c r="J1262" t="n">
        <x:v>29900</x:v>
      </x:c>
      <x:c r="K1262" t="str">
        <x:v>Tarjeta débito</x:v>
      </x:c>
      <x:c r="L1262" t="str">
        <x:v>Sin error</x:v>
      </x:c>
    </x:row>
    <x:row r="1263">
      <x:c r="A1263" t="str">
        <x:v>TXN-0001262</x:v>
      </x:c>
      <x:c r="B1263" t="str">
        <x:v>2026-05</x:v>
      </x:c>
      <x:c r="C1263" t="n">
        <x:v>46147</x:v>
      </x:c>
      <x:c r="D1263" t="str">
        <x:v>USR-00237</x:v>
      </x:c>
      <x:c r="E1263" t="str">
        <x:v>SUS-001114</x:v>
      </x:c>
      <x:c r="F1263" t="str">
        <x:v>Plus mensual</x:v>
      </x:c>
      <x:c r="G1263" t="str">
        <x:v>Mensual</x:v>
      </x:c>
      <x:c r="H1263" t="n">
        <x:v>1</x:v>
      </x:c>
      <x:c r="I1263" t="str">
        <x:v>Aprobado</x:v>
      </x:c>
      <x:c r="J1263" t="n">
        <x:v>29900</x:v>
      </x:c>
      <x:c r="K1263" t="str">
        <x:v>Tarjeta débito</x:v>
      </x:c>
      <x:c r="L1263" t="str">
        <x:v>Sin error</x:v>
      </x:c>
    </x:row>
    <x:row r="1264">
      <x:c r="A1264" t="str">
        <x:v>TXN-0001263</x:v>
      </x:c>
      <x:c r="B1264" t="str">
        <x:v>2026-05</x:v>
      </x:c>
      <x:c r="C1264" t="n">
        <x:v>46150</x:v>
      </x:c>
      <x:c r="D1264" t="str">
        <x:v>USR-00238</x:v>
      </x:c>
      <x:c r="E1264" t="str">
        <x:v>SUS-000299</x:v>
      </x:c>
      <x:c r="F1264" t="str">
        <x:v>Plus mensual</x:v>
      </x:c>
      <x:c r="G1264" t="str">
        <x:v>Mensual</x:v>
      </x:c>
      <x:c r="H1264" t="n">
        <x:v>1</x:v>
      </x:c>
      <x:c r="I1264" t="str">
        <x:v>Aprobado</x:v>
      </x:c>
      <x:c r="J1264" t="n">
        <x:v>29900</x:v>
      </x:c>
      <x:c r="K1264" t="str">
        <x:v>PSE</x:v>
      </x:c>
      <x:c r="L1264" t="str">
        <x:v>Sin error</x:v>
      </x:c>
    </x:row>
    <x:row r="1265">
      <x:c r="A1265" t="str">
        <x:v>TXN-0001264</x:v>
      </x:c>
      <x:c r="B1265" t="str">
        <x:v>2026-05</x:v>
      </x:c>
      <x:c r="C1265" t="n">
        <x:v>46153</x:v>
      </x:c>
      <x:c r="D1265" t="str">
        <x:v>USR-00249</x:v>
      </x:c>
      <x:c r="E1265" t="str">
        <x:v>SUS-000310</x:v>
      </x:c>
      <x:c r="F1265" t="str">
        <x:v>Plus mensual</x:v>
      </x:c>
      <x:c r="G1265" t="str">
        <x:v>Mensual</x:v>
      </x:c>
      <x:c r="H1265" t="n">
        <x:v>1</x:v>
      </x:c>
      <x:c r="I1265" t="str">
        <x:v>Aprobado</x:v>
      </x:c>
      <x:c r="J1265" t="n">
        <x:v>29900</x:v>
      </x:c>
      <x:c r="K1265" t="str">
        <x:v>Tarjeta débito</x:v>
      </x:c>
      <x:c r="L1265" t="str">
        <x:v>Sin error</x:v>
      </x:c>
    </x:row>
    <x:row r="1266">
      <x:c r="A1266" t="str">
        <x:v>TXN-0001265</x:v>
      </x:c>
      <x:c r="B1266" t="str">
        <x:v>2026-05</x:v>
      </x:c>
      <x:c r="C1266" t="n">
        <x:v>46152</x:v>
      </x:c>
      <x:c r="D1266" t="str">
        <x:v>USR-00250</x:v>
      </x:c>
      <x:c r="E1266" t="str">
        <x:v>SUS-000539</x:v>
      </x:c>
      <x:c r="F1266" t="str">
        <x:v>Plus mensual</x:v>
      </x:c>
      <x:c r="G1266" t="str">
        <x:v>Mensual</x:v>
      </x:c>
      <x:c r="H1266" t="n">
        <x:v>1</x:v>
      </x:c>
      <x:c r="I1266" t="str">
        <x:v>Aprobado</x:v>
      </x:c>
      <x:c r="J1266" t="n">
        <x:v>29900</x:v>
      </x:c>
      <x:c r="K1266" t="str">
        <x:v>Tarjeta crédito</x:v>
      </x:c>
      <x:c r="L1266" t="str">
        <x:v>Sin error</x:v>
      </x:c>
    </x:row>
    <x:row r="1267">
      <x:c r="A1267" t="str">
        <x:v>TXN-0001266</x:v>
      </x:c>
      <x:c r="B1267" t="str">
        <x:v>2026-05</x:v>
      </x:c>
      <x:c r="C1267" t="n">
        <x:v>46151</x:v>
      </x:c>
      <x:c r="D1267" t="str">
        <x:v>USR-00252</x:v>
      </x:c>
      <x:c r="E1267" t="str">
        <x:v>SUS-000848</x:v>
      </x:c>
      <x:c r="F1267" t="str">
        <x:v>Plus mensual</x:v>
      </x:c>
      <x:c r="G1267" t="str">
        <x:v>Mensual</x:v>
      </x:c>
      <x:c r="H1267" t="n">
        <x:v>1</x:v>
      </x:c>
      <x:c r="I1267" t="str">
        <x:v>Aprobado</x:v>
      </x:c>
      <x:c r="J1267" t="n">
        <x:v>29900</x:v>
      </x:c>
      <x:c r="K1267" t="str">
        <x:v>PSE</x:v>
      </x:c>
      <x:c r="L1267" t="str">
        <x:v>Sin error</x:v>
      </x:c>
    </x:row>
    <x:row r="1268">
      <x:c r="A1268" t="str">
        <x:v>TXN-0001267</x:v>
      </x:c>
      <x:c r="B1268" t="str">
        <x:v>2026-05</x:v>
      </x:c>
      <x:c r="C1268" t="n">
        <x:v>46151</x:v>
      </x:c>
      <x:c r="D1268" t="str">
        <x:v>USR-00254</x:v>
      </x:c>
      <x:c r="E1268" t="str">
        <x:v>SUS-000974</x:v>
      </x:c>
      <x:c r="F1268" t="str">
        <x:v>Plus mensual</x:v>
      </x:c>
      <x:c r="G1268" t="str">
        <x:v>Mensual</x:v>
      </x:c>
      <x:c r="H1268" t="n">
        <x:v>1</x:v>
      </x:c>
      <x:c r="I1268" t="str">
        <x:v>Aprobado</x:v>
      </x:c>
      <x:c r="J1268" t="n">
        <x:v>29900</x:v>
      </x:c>
      <x:c r="K1268" t="str">
        <x:v>Tarjeta crédito</x:v>
      </x:c>
      <x:c r="L1268" t="str">
        <x:v>Sin error</x:v>
      </x:c>
    </x:row>
    <x:row r="1269">
      <x:c r="A1269" t="str">
        <x:v>TXN-0001268</x:v>
      </x:c>
      <x:c r="B1269" t="str">
        <x:v>2026-05</x:v>
      </x:c>
      <x:c r="C1269" t="n">
        <x:v>46152</x:v>
      </x:c>
      <x:c r="D1269" t="str">
        <x:v>USR-00261</x:v>
      </x:c>
      <x:c r="E1269" t="str">
        <x:v>SUS-001115</x:v>
      </x:c>
      <x:c r="F1269" t="str">
        <x:v>Plus anual</x:v>
      </x:c>
      <x:c r="G1269" t="str">
        <x:v>Anual</x:v>
      </x:c>
      <x:c r="H1269" t="n">
        <x:v>1</x:v>
      </x:c>
      <x:c r="I1269" t="str">
        <x:v>Aprobado</x:v>
      </x:c>
      <x:c r="J1269" t="n">
        <x:v>299000</x:v>
      </x:c>
      <x:c r="K1269" t="str">
        <x:v>PSE</x:v>
      </x:c>
      <x:c r="L1269" t="str">
        <x:v>Sin error</x:v>
      </x:c>
    </x:row>
    <x:row r="1270">
      <x:c r="A1270" t="str">
        <x:v>TXN-0001269</x:v>
      </x:c>
      <x:c r="B1270" t="str">
        <x:v>2026-05</x:v>
      </x:c>
      <x:c r="C1270" t="n">
        <x:v>46151</x:v>
      </x:c>
      <x:c r="D1270" t="str">
        <x:v>USR-00268</x:v>
      </x:c>
      <x:c r="E1270" t="str">
        <x:v>SUS-000629</x:v>
      </x:c>
      <x:c r="F1270" t="str">
        <x:v>Plus mensual</x:v>
      </x:c>
      <x:c r="G1270" t="str">
        <x:v>Mensual</x:v>
      </x:c>
      <x:c r="H1270" t="n">
        <x:v>1</x:v>
      </x:c>
      <x:c r="I1270" t="str">
        <x:v>Rechazado</x:v>
      </x:c>
      <x:c r="J1270" t="n">
        <x:v>29900</x:v>
      </x:c>
      <x:c r="K1270" t="str">
        <x:v>Tarjeta débito</x:v>
      </x:c>
      <x:c r="L1270" t="str">
        <x:v>Fondos insuficientes</x:v>
      </x:c>
    </x:row>
    <x:row r="1271">
      <x:c r="A1271" t="str">
        <x:v>TXN-0001270</x:v>
      </x:c>
      <x:c r="B1271" t="str">
        <x:v>2026-05</x:v>
      </x:c>
      <x:c r="C1271" t="n">
        <x:v>46153</x:v>
      </x:c>
      <x:c r="D1271" t="str">
        <x:v>USR-00268</x:v>
      </x:c>
      <x:c r="E1271" t="str">
        <x:v>SUS-000629</x:v>
      </x:c>
      <x:c r="F1271" t="str">
        <x:v>Plus mensual</x:v>
      </x:c>
      <x:c r="G1271" t="str">
        <x:v>Mensual</x:v>
      </x:c>
      <x:c r="H1271" t="n">
        <x:v>2</x:v>
      </x:c>
      <x:c r="I1271" t="str">
        <x:v>Aprobado</x:v>
      </x:c>
      <x:c r="J1271" t="n">
        <x:v>29900</x:v>
      </x:c>
      <x:c r="K1271" t="str">
        <x:v>PSE</x:v>
      </x:c>
      <x:c r="L1271" t="str">
        <x:v>Sin error</x:v>
      </x:c>
    </x:row>
    <x:row r="1272">
      <x:c r="A1272" t="str">
        <x:v>TXN-0001271</x:v>
      </x:c>
      <x:c r="B1272" t="str">
        <x:v>2026-05</x:v>
      </x:c>
      <x:c r="C1272" t="n">
        <x:v>46153</x:v>
      </x:c>
      <x:c r="D1272" t="str">
        <x:v>USR-00273</x:v>
      </x:c>
      <x:c r="E1272" t="str">
        <x:v>SUS-000850</x:v>
      </x:c>
      <x:c r="F1272" t="str">
        <x:v>Plus mensual</x:v>
      </x:c>
      <x:c r="G1272" t="str">
        <x:v>Mensual</x:v>
      </x:c>
      <x:c r="H1272" t="n">
        <x:v>1</x:v>
      </x:c>
      <x:c r="I1272" t="str">
        <x:v>Aprobado</x:v>
      </x:c>
      <x:c r="J1272" t="n">
        <x:v>29900</x:v>
      </x:c>
      <x:c r="K1272" t="str">
        <x:v>PSE</x:v>
      </x:c>
      <x:c r="L1272" t="str">
        <x:v>Sin error</x:v>
      </x:c>
    </x:row>
    <x:row r="1273">
      <x:c r="A1273" t="str">
        <x:v>TXN-0001272</x:v>
      </x:c>
      <x:c r="B1273" t="str">
        <x:v>2026-05</x:v>
      </x:c>
      <x:c r="C1273" t="n">
        <x:v>46151</x:v>
      </x:c>
      <x:c r="D1273" t="str">
        <x:v>USR-00279</x:v>
      </x:c>
      <x:c r="E1273" t="str">
        <x:v>SUS-000543</x:v>
      </x:c>
      <x:c r="F1273" t="str">
        <x:v>Plus mensual</x:v>
      </x:c>
      <x:c r="G1273" t="str">
        <x:v>Mensual</x:v>
      </x:c>
      <x:c r="H1273" t="n">
        <x:v>1</x:v>
      </x:c>
      <x:c r="I1273" t="str">
        <x:v>Aprobado</x:v>
      </x:c>
      <x:c r="J1273" t="n">
        <x:v>29900</x:v>
      </x:c>
      <x:c r="K1273" t="str">
        <x:v>PSE</x:v>
      </x:c>
      <x:c r="L1273" t="str">
        <x:v>Sin error</x:v>
      </x:c>
    </x:row>
    <x:row r="1274">
      <x:c r="A1274" t="str">
        <x:v>TXN-0001273</x:v>
      </x:c>
      <x:c r="B1274" t="str">
        <x:v>2026-05</x:v>
      </x:c>
      <x:c r="C1274" t="n">
        <x:v>46149</x:v>
      </x:c>
      <x:c r="D1274" t="str">
        <x:v>USR-00282</x:v>
      </x:c>
      <x:c r="E1274" t="str">
        <x:v>SUS-001116</x:v>
      </x:c>
      <x:c r="F1274" t="str">
        <x:v>Plus anual</x:v>
      </x:c>
      <x:c r="G1274" t="str">
        <x:v>Anual</x:v>
      </x:c>
      <x:c r="H1274" t="n">
        <x:v>1</x:v>
      </x:c>
      <x:c r="I1274" t="str">
        <x:v>Aprobado</x:v>
      </x:c>
      <x:c r="J1274" t="n">
        <x:v>299000</x:v>
      </x:c>
      <x:c r="K1274" t="str">
        <x:v>PSE</x:v>
      </x:c>
      <x:c r="L1274" t="str">
        <x:v>Sin error</x:v>
      </x:c>
    </x:row>
    <x:row r="1275">
      <x:c r="A1275" t="str">
        <x:v>TXN-0001274</x:v>
      </x:c>
      <x:c r="B1275" t="str">
        <x:v>2026-05</x:v>
      </x:c>
      <x:c r="C1275" t="n">
        <x:v>46148</x:v>
      </x:c>
      <x:c r="D1275" t="str">
        <x:v>USR-00290</x:v>
      </x:c>
      <x:c r="E1275" t="str">
        <x:v>SUS-001117</x:v>
      </x:c>
      <x:c r="F1275" t="str">
        <x:v>Plus mensual</x:v>
      </x:c>
      <x:c r="G1275" t="str">
        <x:v>Mensual</x:v>
      </x:c>
      <x:c r="H1275" t="n">
        <x:v>1</x:v>
      </x:c>
      <x:c r="I1275" t="str">
        <x:v>Aprobado</x:v>
      </x:c>
      <x:c r="J1275" t="n">
        <x:v>29900</x:v>
      </x:c>
      <x:c r="K1275" t="str">
        <x:v>Tarjeta crédito</x:v>
      </x:c>
      <x:c r="L1275" t="str">
        <x:v>Sin error</x:v>
      </x:c>
    </x:row>
    <x:row r="1276">
      <x:c r="A1276" t="str">
        <x:v>TXN-0001275</x:v>
      </x:c>
      <x:c r="B1276" t="str">
        <x:v>2026-05</x:v>
      </x:c>
      <x:c r="C1276" t="n">
        <x:v>46147</x:v>
      </x:c>
      <x:c r="D1276" t="str">
        <x:v>USR-00292</x:v>
      </x:c>
      <x:c r="E1276" t="str">
        <x:v>SUS-000852</x:v>
      </x:c>
      <x:c r="F1276" t="str">
        <x:v>Plus mensual</x:v>
      </x:c>
      <x:c r="G1276" t="str">
        <x:v>Mensual</x:v>
      </x:c>
      <x:c r="H1276" t="n">
        <x:v>1</x:v>
      </x:c>
      <x:c r="I1276" t="str">
        <x:v>Aprobado</x:v>
      </x:c>
      <x:c r="J1276" t="n">
        <x:v>29900</x:v>
      </x:c>
      <x:c r="K1276" t="str">
        <x:v>PSE</x:v>
      </x:c>
      <x:c r="L1276" t="str">
        <x:v>Sin error</x:v>
      </x:c>
    </x:row>
    <x:row r="1277">
      <x:c r="A1277" t="str">
        <x:v>TXN-0001276</x:v>
      </x:c>
      <x:c r="B1277" t="str">
        <x:v>2026-05</x:v>
      </x:c>
      <x:c r="C1277" t="n">
        <x:v>46152</x:v>
      </x:c>
      <x:c r="D1277" t="str">
        <x:v>USR-00293</x:v>
      </x:c>
      <x:c r="E1277" t="str">
        <x:v>SUS-000754</x:v>
      </x:c>
      <x:c r="F1277" t="str">
        <x:v>Plus mensual</x:v>
      </x:c>
      <x:c r="G1277" t="str">
        <x:v>Mensual</x:v>
      </x:c>
      <x:c r="H1277" t="n">
        <x:v>1</x:v>
      </x:c>
      <x:c r="I1277" t="str">
        <x:v>Aprobado</x:v>
      </x:c>
      <x:c r="J1277" t="n">
        <x:v>29900</x:v>
      </x:c>
      <x:c r="K1277" t="str">
        <x:v>Tarjeta crédito</x:v>
      </x:c>
      <x:c r="L1277" t="str">
        <x:v>Sin error</x:v>
      </x:c>
    </x:row>
    <x:row r="1278">
      <x:c r="A1278" t="str">
        <x:v>TXN-0001277</x:v>
      </x:c>
      <x:c r="B1278" t="str">
        <x:v>2026-05</x:v>
      </x:c>
      <x:c r="C1278" t="n">
        <x:v>46147</x:v>
      </x:c>
      <x:c r="D1278" t="str">
        <x:v>USR-00296</x:v>
      </x:c>
      <x:c r="E1278" t="str">
        <x:v>SUS-000632</x:v>
      </x:c>
      <x:c r="F1278" t="str">
        <x:v>Plus mensual</x:v>
      </x:c>
      <x:c r="G1278" t="str">
        <x:v>Mensual</x:v>
      </x:c>
      <x:c r="H1278" t="n">
        <x:v>1</x:v>
      </x:c>
      <x:c r="I1278" t="str">
        <x:v>Aprobado</x:v>
      </x:c>
      <x:c r="J1278" t="n">
        <x:v>29900</x:v>
      </x:c>
      <x:c r="K1278" t="str">
        <x:v>PSE</x:v>
      </x:c>
      <x:c r="L1278" t="str">
        <x:v>Sin error</x:v>
      </x:c>
    </x:row>
    <x:row r="1279">
      <x:c r="A1279" t="str">
        <x:v>TXN-0001278</x:v>
      </x:c>
      <x:c r="B1279" t="str">
        <x:v>2026-05</x:v>
      </x:c>
      <x:c r="C1279" t="n">
        <x:v>46147</x:v>
      </x:c>
      <x:c r="D1279" t="str">
        <x:v>USR-00297</x:v>
      </x:c>
      <x:c r="E1279" t="str">
        <x:v>SUS-001118</x:v>
      </x:c>
      <x:c r="F1279" t="str">
        <x:v>Plus anual</x:v>
      </x:c>
      <x:c r="G1279" t="str">
        <x:v>Anual</x:v>
      </x:c>
      <x:c r="H1279" t="n">
        <x:v>1</x:v>
      </x:c>
      <x:c r="I1279" t="str">
        <x:v>Aprobado</x:v>
      </x:c>
      <x:c r="J1279" t="n">
        <x:v>299000</x:v>
      </x:c>
      <x:c r="K1279" t="str">
        <x:v>Tarjeta crédito</x:v>
      </x:c>
      <x:c r="L1279" t="str">
        <x:v>Sin error</x:v>
      </x:c>
    </x:row>
    <x:row r="1280">
      <x:c r="A1280" t="str">
        <x:v>TXN-0001279</x:v>
      </x:c>
      <x:c r="B1280" t="str">
        <x:v>2026-05</x:v>
      </x:c>
      <x:c r="C1280" t="n">
        <x:v>46147</x:v>
      </x:c>
      <x:c r="D1280" t="str">
        <x:v>USR-00306</x:v>
      </x:c>
      <x:c r="E1280" t="str">
        <x:v>SUS-000853</x:v>
      </x:c>
      <x:c r="F1280" t="str">
        <x:v>Plus mensual</x:v>
      </x:c>
      <x:c r="G1280" t="str">
        <x:v>Mensual</x:v>
      </x:c>
      <x:c r="H1280" t="n">
        <x:v>1</x:v>
      </x:c>
      <x:c r="I1280" t="str">
        <x:v>Aprobado</x:v>
      </x:c>
      <x:c r="J1280" t="n">
        <x:v>29900</x:v>
      </x:c>
      <x:c r="K1280" t="str">
        <x:v>Tarjeta crédito</x:v>
      </x:c>
      <x:c r="L1280" t="str">
        <x:v>Sin error</x:v>
      </x:c>
    </x:row>
    <x:row r="1281">
      <x:c r="A1281" t="str">
        <x:v>TXN-0001280</x:v>
      </x:c>
      <x:c r="B1281" t="str">
        <x:v>2026-05</x:v>
      </x:c>
      <x:c r="C1281" t="n">
        <x:v>46154</x:v>
      </x:c>
      <x:c r="D1281" t="str">
        <x:v>USR-00311</x:v>
      </x:c>
      <x:c r="E1281" t="str">
        <x:v>SUS-000977</x:v>
      </x:c>
      <x:c r="F1281" t="str">
        <x:v>Plus mensual</x:v>
      </x:c>
      <x:c r="G1281" t="str">
        <x:v>Mensual</x:v>
      </x:c>
      <x:c r="H1281" t="n">
        <x:v>1</x:v>
      </x:c>
      <x:c r="I1281" t="str">
        <x:v>Aprobado</x:v>
      </x:c>
      <x:c r="J1281" t="n">
        <x:v>29900</x:v>
      </x:c>
      <x:c r="K1281" t="str">
        <x:v>Tarjeta débito</x:v>
      </x:c>
      <x:c r="L1281" t="str">
        <x:v>Sin error</x:v>
      </x:c>
    </x:row>
    <x:row r="1282">
      <x:c r="A1282" t="str">
        <x:v>TXN-0001281</x:v>
      </x:c>
      <x:c r="B1282" t="str">
        <x:v>2026-05</x:v>
      </x:c>
      <x:c r="C1282" t="n">
        <x:v>46151</x:v>
      </x:c>
      <x:c r="D1282" t="str">
        <x:v>USR-00312</x:v>
      </x:c>
      <x:c r="E1282" t="str">
        <x:v>SUS-000634</x:v>
      </x:c>
      <x:c r="F1282" t="str">
        <x:v>Plus mensual</x:v>
      </x:c>
      <x:c r="G1282" t="str">
        <x:v>Mensual</x:v>
      </x:c>
      <x:c r="H1282" t="n">
        <x:v>1</x:v>
      </x:c>
      <x:c r="I1282" t="str">
        <x:v>Rechazado</x:v>
      </x:c>
      <x:c r="J1282" t="n">
        <x:v>29900</x:v>
      </x:c>
      <x:c r="K1282" t="str">
        <x:v>Tarjeta crédito</x:v>
      </x:c>
      <x:c r="L1282" t="str">
        <x:v>Fondos insuficientes</x:v>
      </x:c>
    </x:row>
    <x:row r="1283">
      <x:c r="A1283" t="str">
        <x:v>TXN-0001282</x:v>
      </x:c>
      <x:c r="B1283" t="str">
        <x:v>2026-05</x:v>
      </x:c>
      <x:c r="C1283" t="n">
        <x:v>46153</x:v>
      </x:c>
      <x:c r="D1283" t="str">
        <x:v>USR-00312</x:v>
      </x:c>
      <x:c r="E1283" t="str">
        <x:v>SUS-000634</x:v>
      </x:c>
      <x:c r="F1283" t="str">
        <x:v>Plus mensual</x:v>
      </x:c>
      <x:c r="G1283" t="str">
        <x:v>Mensual</x:v>
      </x:c>
      <x:c r="H1283" t="n">
        <x:v>2</x:v>
      </x:c>
      <x:c r="I1283" t="str">
        <x:v>Aprobado</x:v>
      </x:c>
      <x:c r="J1283" t="n">
        <x:v>29900</x:v>
      </x:c>
      <x:c r="K1283" t="str">
        <x:v>Tarjeta crédito</x:v>
      </x:c>
      <x:c r="L1283" t="str">
        <x:v>Sin error</x:v>
      </x:c>
    </x:row>
    <x:row r="1284">
      <x:c r="A1284" t="str">
        <x:v>TXN-0001283</x:v>
      </x:c>
      <x:c r="B1284" t="str">
        <x:v>2026-05</x:v>
      </x:c>
      <x:c r="C1284" t="n">
        <x:v>46150</x:v>
      </x:c>
      <x:c r="D1284" t="str">
        <x:v>USR-00313</x:v>
      </x:c>
      <x:c r="E1284" t="str">
        <x:v>SUS-000635</x:v>
      </x:c>
      <x:c r="F1284" t="str">
        <x:v>Plus mensual</x:v>
      </x:c>
      <x:c r="G1284" t="str">
        <x:v>Mensual</x:v>
      </x:c>
      <x:c r="H1284" t="n">
        <x:v>1</x:v>
      </x:c>
      <x:c r="I1284" t="str">
        <x:v>Aprobado</x:v>
      </x:c>
      <x:c r="J1284" t="n">
        <x:v>29900</x:v>
      </x:c>
      <x:c r="K1284" t="str">
        <x:v>Tarjeta crédito</x:v>
      </x:c>
      <x:c r="L1284" t="str">
        <x:v>Sin error</x:v>
      </x:c>
    </x:row>
    <x:row r="1285">
      <x:c r="A1285" t="str">
        <x:v>TXN-0001284</x:v>
      </x:c>
      <x:c r="B1285" t="str">
        <x:v>2026-05</x:v>
      </x:c>
      <x:c r="C1285" t="n">
        <x:v>46148</x:v>
      </x:c>
      <x:c r="D1285" t="str">
        <x:v>USR-00317</x:v>
      </x:c>
      <x:c r="E1285" t="str">
        <x:v>SUS-000546</x:v>
      </x:c>
      <x:c r="F1285" t="str">
        <x:v>Plus mensual</x:v>
      </x:c>
      <x:c r="G1285" t="str">
        <x:v>Mensual</x:v>
      </x:c>
      <x:c r="H1285" t="n">
        <x:v>1</x:v>
      </x:c>
      <x:c r="I1285" t="str">
        <x:v>Aprobado</x:v>
      </x:c>
      <x:c r="J1285" t="n">
        <x:v>29900</x:v>
      </x:c>
      <x:c r="K1285" t="str">
        <x:v>PSE</x:v>
      </x:c>
      <x:c r="L1285" t="str">
        <x:v>Sin error</x:v>
      </x:c>
    </x:row>
    <x:row r="1286">
      <x:c r="A1286" t="str">
        <x:v>TXN-0001285</x:v>
      </x:c>
      <x:c r="B1286" t="str">
        <x:v>2026-05</x:v>
      </x:c>
      <x:c r="C1286" t="n">
        <x:v>46151</x:v>
      </x:c>
      <x:c r="D1286" t="str">
        <x:v>USR-00320</x:v>
      </x:c>
      <x:c r="E1286" t="str">
        <x:v>SUS-000419</x:v>
      </x:c>
      <x:c r="F1286" t="str">
        <x:v>Plus mensual</x:v>
      </x:c>
      <x:c r="G1286" t="str">
        <x:v>Mensual</x:v>
      </x:c>
      <x:c r="H1286" t="n">
        <x:v>1</x:v>
      </x:c>
      <x:c r="I1286" t="str">
        <x:v>Rechazado</x:v>
      </x:c>
      <x:c r="J1286" t="n">
        <x:v>29900</x:v>
      </x:c>
      <x:c r="K1286" t="str">
        <x:v>PSE</x:v>
      </x:c>
      <x:c r="L1286" t="str">
        <x:v>Declinado por entidad</x:v>
      </x:c>
    </x:row>
    <x:row r="1287">
      <x:c r="A1287" t="str">
        <x:v>TXN-0001286</x:v>
      </x:c>
      <x:c r="B1287" t="str">
        <x:v>2026-05</x:v>
      </x:c>
      <x:c r="C1287" t="n">
        <x:v>46153</x:v>
      </x:c>
      <x:c r="D1287" t="str">
        <x:v>USR-00320</x:v>
      </x:c>
      <x:c r="E1287" t="str">
        <x:v>SUS-000419</x:v>
      </x:c>
      <x:c r="F1287" t="str">
        <x:v>Plus mensual</x:v>
      </x:c>
      <x:c r="G1287" t="str">
        <x:v>Mensual</x:v>
      </x:c>
      <x:c r="H1287" t="n">
        <x:v>2</x:v>
      </x:c>
      <x:c r="I1287" t="str">
        <x:v>Aprobado</x:v>
      </x:c>
      <x:c r="J1287" t="n">
        <x:v>29900</x:v>
      </x:c>
      <x:c r="K1287" t="str">
        <x:v>Tarjeta débito</x:v>
      </x:c>
      <x:c r="L1287" t="str">
        <x:v>Sin error</x:v>
      </x:c>
    </x:row>
    <x:row r="1288">
      <x:c r="A1288" t="str">
        <x:v>TXN-0001287</x:v>
      </x:c>
      <x:c r="B1288" t="str">
        <x:v>2026-05</x:v>
      </x:c>
      <x:c r="C1288" t="n">
        <x:v>46151</x:v>
      </x:c>
      <x:c r="D1288" t="str">
        <x:v>USR-00325</x:v>
      </x:c>
      <x:c r="E1288" t="str">
        <x:v>SUS-001119</x:v>
      </x:c>
      <x:c r="F1288" t="str">
        <x:v>Plus anual</x:v>
      </x:c>
      <x:c r="G1288" t="str">
        <x:v>Anual</x:v>
      </x:c>
      <x:c r="H1288" t="n">
        <x:v>1</x:v>
      </x:c>
      <x:c r="I1288" t="str">
        <x:v>Aprobado</x:v>
      </x:c>
      <x:c r="J1288" t="n">
        <x:v>299000</x:v>
      </x:c>
      <x:c r="K1288" t="str">
        <x:v>PSE</x:v>
      </x:c>
      <x:c r="L1288" t="str">
        <x:v>Sin error</x:v>
      </x:c>
    </x:row>
    <x:row r="1289">
      <x:c r="A1289" t="str">
        <x:v>TXN-0001288</x:v>
      </x:c>
      <x:c r="B1289" t="str">
        <x:v>2026-05</x:v>
      </x:c>
      <x:c r="C1289" t="n">
        <x:v>46151</x:v>
      </x:c>
      <x:c r="D1289" t="str">
        <x:v>USR-00327</x:v>
      </x:c>
      <x:c r="E1289" t="str">
        <x:v>SUS-001120</x:v>
      </x:c>
      <x:c r="F1289" t="str">
        <x:v>Plus anual</x:v>
      </x:c>
      <x:c r="G1289" t="str">
        <x:v>Anual</x:v>
      </x:c>
      <x:c r="H1289" t="n">
        <x:v>1</x:v>
      </x:c>
      <x:c r="I1289" t="str">
        <x:v>Aprobado</x:v>
      </x:c>
      <x:c r="J1289" t="n">
        <x:v>299000</x:v>
      </x:c>
      <x:c r="K1289" t="str">
        <x:v>PSE</x:v>
      </x:c>
      <x:c r="L1289" t="str">
        <x:v>Sin error</x:v>
      </x:c>
    </x:row>
    <x:row r="1290">
      <x:c r="A1290" t="str">
        <x:v>TXN-0001289</x:v>
      </x:c>
      <x:c r="B1290" t="str">
        <x:v>2026-05</x:v>
      </x:c>
      <x:c r="C1290" t="n">
        <x:v>46148</x:v>
      </x:c>
      <x:c r="D1290" t="str">
        <x:v>USR-00331</x:v>
      </x:c>
      <x:c r="E1290" t="str">
        <x:v>SUS-001121</x:v>
      </x:c>
      <x:c r="F1290" t="str">
        <x:v>Plus anual</x:v>
      </x:c>
      <x:c r="G1290" t="str">
        <x:v>Anual</x:v>
      </x:c>
      <x:c r="H1290" t="n">
        <x:v>1</x:v>
      </x:c>
      <x:c r="I1290" t="str">
        <x:v>Aprobado</x:v>
      </x:c>
      <x:c r="J1290" t="n">
        <x:v>299000</x:v>
      </x:c>
      <x:c r="K1290" t="str">
        <x:v>PSE</x:v>
      </x:c>
      <x:c r="L1290" t="str">
        <x:v>Sin error</x:v>
      </x:c>
    </x:row>
    <x:row r="1291">
      <x:c r="A1291" t="str">
        <x:v>TXN-0001290</x:v>
      </x:c>
      <x:c r="B1291" t="str">
        <x:v>2026-05</x:v>
      </x:c>
      <x:c r="C1291" t="n">
        <x:v>46149</x:v>
      </x:c>
      <x:c r="D1291" t="str">
        <x:v>USR-00332</x:v>
      </x:c>
      <x:c r="E1291" t="str">
        <x:v>SUS-000470</x:v>
      </x:c>
      <x:c r="F1291" t="str">
        <x:v>Plus mensual</x:v>
      </x:c>
      <x:c r="G1291" t="str">
        <x:v>Mensual</x:v>
      </x:c>
      <x:c r="H1291" t="n">
        <x:v>1</x:v>
      </x:c>
      <x:c r="I1291" t="str">
        <x:v>Aprobado</x:v>
      </x:c>
      <x:c r="J1291" t="n">
        <x:v>29900</x:v>
      </x:c>
      <x:c r="K1291" t="str">
        <x:v>Tarjeta crédito</x:v>
      </x:c>
      <x:c r="L1291" t="str">
        <x:v>Sin error</x:v>
      </x:c>
    </x:row>
    <x:row r="1292">
      <x:c r="A1292" t="str">
        <x:v>TXN-0001291</x:v>
      </x:c>
      <x:c r="B1292" t="str">
        <x:v>2026-05</x:v>
      </x:c>
      <x:c r="C1292" t="n">
        <x:v>46148</x:v>
      </x:c>
      <x:c r="D1292" t="str">
        <x:v>USR-00335</x:v>
      </x:c>
      <x:c r="E1292" t="str">
        <x:v>SUS-000855</x:v>
      </x:c>
      <x:c r="F1292" t="str">
        <x:v>Plus mensual</x:v>
      </x:c>
      <x:c r="G1292" t="str">
        <x:v>Mensual</x:v>
      </x:c>
      <x:c r="H1292" t="n">
        <x:v>1</x:v>
      </x:c>
      <x:c r="I1292" t="str">
        <x:v>Aprobado</x:v>
      </x:c>
      <x:c r="J1292" t="n">
        <x:v>29900</x:v>
      </x:c>
      <x:c r="K1292" t="str">
        <x:v>Tarjeta débito</x:v>
      </x:c>
      <x:c r="L1292" t="str">
        <x:v>Sin error</x:v>
      </x:c>
    </x:row>
    <x:row r="1293">
      <x:c r="A1293" t="str">
        <x:v>TXN-0001292</x:v>
      </x:c>
      <x:c r="B1293" t="str">
        <x:v>2026-05</x:v>
      </x:c>
      <x:c r="C1293" t="n">
        <x:v>46152</x:v>
      </x:c>
      <x:c r="D1293" t="str">
        <x:v>USR-00336</x:v>
      </x:c>
      <x:c r="E1293" t="str">
        <x:v>SUS-000435</x:v>
      </x:c>
      <x:c r="F1293" t="str">
        <x:v>Plus mensual</x:v>
      </x:c>
      <x:c r="G1293" t="str">
        <x:v>Mensual</x:v>
      </x:c>
      <x:c r="H1293" t="n">
        <x:v>1</x:v>
      </x:c>
      <x:c r="I1293" t="str">
        <x:v>Aprobado</x:v>
      </x:c>
      <x:c r="J1293" t="n">
        <x:v>29900</x:v>
      </x:c>
      <x:c r="K1293" t="str">
        <x:v>Tarjeta crédito</x:v>
      </x:c>
      <x:c r="L1293" t="str">
        <x:v>Sin error</x:v>
      </x:c>
    </x:row>
    <x:row r="1294">
      <x:c r="A1294" t="str">
        <x:v>TXN-0001293</x:v>
      </x:c>
      <x:c r="B1294" t="str">
        <x:v>2026-05</x:v>
      </x:c>
      <x:c r="C1294" t="n">
        <x:v>46149</x:v>
      </x:c>
      <x:c r="D1294" t="str">
        <x:v>USR-00338</x:v>
      </x:c>
      <x:c r="E1294" t="str">
        <x:v>SUS-000856</x:v>
      </x:c>
      <x:c r="F1294" t="str">
        <x:v>Plus mensual</x:v>
      </x:c>
      <x:c r="G1294" t="str">
        <x:v>Mensual</x:v>
      </x:c>
      <x:c r="H1294" t="n">
        <x:v>1</x:v>
      </x:c>
      <x:c r="I1294" t="str">
        <x:v>Aprobado</x:v>
      </x:c>
      <x:c r="J1294" t="n">
        <x:v>29900</x:v>
      </x:c>
      <x:c r="K1294" t="str">
        <x:v>PSE</x:v>
      </x:c>
      <x:c r="L1294" t="str">
        <x:v>Sin error</x:v>
      </x:c>
    </x:row>
    <x:row r="1295">
      <x:c r="A1295" t="str">
        <x:v>TXN-0001294</x:v>
      </x:c>
      <x:c r="B1295" t="str">
        <x:v>2026-05</x:v>
      </x:c>
      <x:c r="C1295" t="n">
        <x:v>46148</x:v>
      </x:c>
      <x:c r="D1295" t="str">
        <x:v>USR-00340</x:v>
      </x:c>
      <x:c r="E1295" t="str">
        <x:v>SUS-000757</x:v>
      </x:c>
      <x:c r="F1295" t="str">
        <x:v>Plus mensual</x:v>
      </x:c>
      <x:c r="G1295" t="str">
        <x:v>Mensual</x:v>
      </x:c>
      <x:c r="H1295" t="n">
        <x:v>1</x:v>
      </x:c>
      <x:c r="I1295" t="str">
        <x:v>Rechazado</x:v>
      </x:c>
      <x:c r="J1295" t="n">
        <x:v>29900</x:v>
      </x:c>
      <x:c r="K1295" t="str">
        <x:v>Tarjeta crédito</x:v>
      </x:c>
      <x:c r="L1295" t="str">
        <x:v>Error temporal</x:v>
      </x:c>
    </x:row>
    <x:row r="1296">
      <x:c r="A1296" t="str">
        <x:v>TXN-0001295</x:v>
      </x:c>
      <x:c r="B1296" t="str">
        <x:v>2026-05</x:v>
      </x:c>
      <x:c r="C1296" t="n">
        <x:v>46151</x:v>
      </x:c>
      <x:c r="D1296" t="str">
        <x:v>USR-00340</x:v>
      </x:c>
      <x:c r="E1296" t="str">
        <x:v>SUS-000757</x:v>
      </x:c>
      <x:c r="F1296" t="str">
        <x:v>Plus mensual</x:v>
      </x:c>
      <x:c r="G1296" t="str">
        <x:v>Mensual</x:v>
      </x:c>
      <x:c r="H1296" t="n">
        <x:v>2</x:v>
      </x:c>
      <x:c r="I1296" t="str">
        <x:v>Aprobado</x:v>
      </x:c>
      <x:c r="J1296" t="n">
        <x:v>29900</x:v>
      </x:c>
      <x:c r="K1296" t="str">
        <x:v>Tarjeta crédito</x:v>
      </x:c>
      <x:c r="L1296" t="str">
        <x:v>Sin error</x:v>
      </x:c>
    </x:row>
    <x:row r="1297">
      <x:c r="A1297" t="str">
        <x:v>TXN-0001296</x:v>
      </x:c>
      <x:c r="B1297" t="str">
        <x:v>2026-05</x:v>
      </x:c>
      <x:c r="C1297" t="n">
        <x:v>46149</x:v>
      </x:c>
      <x:c r="D1297" t="str">
        <x:v>USR-00341</x:v>
      </x:c>
      <x:c r="E1297" t="str">
        <x:v>SUS-000980</x:v>
      </x:c>
      <x:c r="F1297" t="str">
        <x:v>Plus mensual</x:v>
      </x:c>
      <x:c r="G1297" t="str">
        <x:v>Mensual</x:v>
      </x:c>
      <x:c r="H1297" t="n">
        <x:v>1</x:v>
      </x:c>
      <x:c r="I1297" t="str">
        <x:v>Aprobado</x:v>
      </x:c>
      <x:c r="J1297" t="n">
        <x:v>29900</x:v>
      </x:c>
      <x:c r="K1297" t="str">
        <x:v>PSE</x:v>
      </x:c>
      <x:c r="L1297" t="str">
        <x:v>Sin error</x:v>
      </x:c>
    </x:row>
    <x:row r="1298">
      <x:c r="A1298" t="str">
        <x:v>TXN-0001297</x:v>
      </x:c>
      <x:c r="B1298" t="str">
        <x:v>2026-05</x:v>
      </x:c>
      <x:c r="C1298" t="n">
        <x:v>46148</x:v>
      </x:c>
      <x:c r="D1298" t="str">
        <x:v>USR-00346</x:v>
      </x:c>
      <x:c r="E1298" t="str">
        <x:v>SUS-000471</x:v>
      </x:c>
      <x:c r="F1298" t="str">
        <x:v>Plus mensual</x:v>
      </x:c>
      <x:c r="G1298" t="str">
        <x:v>Mensual</x:v>
      </x:c>
      <x:c r="H1298" t="n">
        <x:v>1</x:v>
      </x:c>
      <x:c r="I1298" t="str">
        <x:v>Aprobado</x:v>
      </x:c>
      <x:c r="J1298" t="n">
        <x:v>29900</x:v>
      </x:c>
      <x:c r="K1298" t="str">
        <x:v>PSE</x:v>
      </x:c>
      <x:c r="L1298" t="str">
        <x:v>Sin error</x:v>
      </x:c>
    </x:row>
    <x:row r="1299">
      <x:c r="A1299" t="str">
        <x:v>TXN-0001298</x:v>
      </x:c>
      <x:c r="B1299" t="str">
        <x:v>2026-05</x:v>
      </x:c>
      <x:c r="C1299" t="n">
        <x:v>46154</x:v>
      </x:c>
      <x:c r="D1299" t="str">
        <x:v>USR-00353</x:v>
      </x:c>
      <x:c r="E1299" t="str">
        <x:v>SUS-000857</x:v>
      </x:c>
      <x:c r="F1299" t="str">
        <x:v>Plus mensual</x:v>
      </x:c>
      <x:c r="G1299" t="str">
        <x:v>Mensual</x:v>
      </x:c>
      <x:c r="H1299" t="n">
        <x:v>1</x:v>
      </x:c>
      <x:c r="I1299" t="str">
        <x:v>Aprobado</x:v>
      </x:c>
      <x:c r="J1299" t="n">
        <x:v>29900</x:v>
      </x:c>
      <x:c r="K1299" t="str">
        <x:v>Tarjeta crédito</x:v>
      </x:c>
      <x:c r="L1299" t="str">
        <x:v>Sin error</x:v>
      </x:c>
    </x:row>
    <x:row r="1300">
      <x:c r="A1300" t="str">
        <x:v>TXN-0001299</x:v>
      </x:c>
      <x:c r="B1300" t="str">
        <x:v>2026-05</x:v>
      </x:c>
      <x:c r="C1300" t="n">
        <x:v>46150</x:v>
      </x:c>
      <x:c r="D1300" t="str">
        <x:v>USR-00358</x:v>
      </x:c>
      <x:c r="E1300" t="str">
        <x:v>SUS-001122</x:v>
      </x:c>
      <x:c r="F1300" t="str">
        <x:v>Plus mensual</x:v>
      </x:c>
      <x:c r="G1300" t="str">
        <x:v>Mensual</x:v>
      </x:c>
      <x:c r="H1300" t="n">
        <x:v>1</x:v>
      </x:c>
      <x:c r="I1300" t="str">
        <x:v>Aprobado</x:v>
      </x:c>
      <x:c r="J1300" t="n">
        <x:v>29900</x:v>
      </x:c>
      <x:c r="K1300" t="str">
        <x:v>Tarjeta débito</x:v>
      </x:c>
      <x:c r="L1300" t="str">
        <x:v>Sin error</x:v>
      </x:c>
    </x:row>
    <x:row r="1301">
      <x:c r="A1301" t="str">
        <x:v>TXN-0001300</x:v>
      </x:c>
      <x:c r="B1301" t="str">
        <x:v>2026-05</x:v>
      </x:c>
      <x:c r="C1301" t="n">
        <x:v>46153</x:v>
      </x:c>
      <x:c r="D1301" t="str">
        <x:v>USR-00359</x:v>
      </x:c>
      <x:c r="E1301" t="str">
        <x:v>SUS-000981</x:v>
      </x:c>
      <x:c r="F1301" t="str">
        <x:v>Plus mensual</x:v>
      </x:c>
      <x:c r="G1301" t="str">
        <x:v>Mensual</x:v>
      </x:c>
      <x:c r="H1301" t="n">
        <x:v>1</x:v>
      </x:c>
      <x:c r="I1301" t="str">
        <x:v>Aprobado</x:v>
      </x:c>
      <x:c r="J1301" t="n">
        <x:v>29900</x:v>
      </x:c>
      <x:c r="K1301" t="str">
        <x:v>PSE</x:v>
      </x:c>
      <x:c r="L1301" t="str">
        <x:v>Sin error</x:v>
      </x:c>
    </x:row>
    <x:row r="1302">
      <x:c r="A1302" t="str">
        <x:v>TXN-0001301</x:v>
      </x:c>
      <x:c r="B1302" t="str">
        <x:v>2026-05</x:v>
      </x:c>
      <x:c r="C1302" t="n">
        <x:v>46154</x:v>
      </x:c>
      <x:c r="D1302" t="str">
        <x:v>USR-00360</x:v>
      </x:c>
      <x:c r="E1302" t="str">
        <x:v>SUS-000638</x:v>
      </x:c>
      <x:c r="F1302" t="str">
        <x:v>Plus mensual</x:v>
      </x:c>
      <x:c r="G1302" t="str">
        <x:v>Mensual</x:v>
      </x:c>
      <x:c r="H1302" t="n">
        <x:v>1</x:v>
      </x:c>
      <x:c r="I1302" t="str">
        <x:v>Aprobado</x:v>
      </x:c>
      <x:c r="J1302" t="n">
        <x:v>29900</x:v>
      </x:c>
      <x:c r="K1302" t="str">
        <x:v>Tarjeta débito</x:v>
      </x:c>
      <x:c r="L1302" t="str">
        <x:v>Sin error</x:v>
      </x:c>
    </x:row>
    <x:row r="1303">
      <x:c r="A1303" t="str">
        <x:v>TXN-0001302</x:v>
      </x:c>
      <x:c r="B1303" t="str">
        <x:v>2026-05</x:v>
      </x:c>
      <x:c r="C1303" t="n">
        <x:v>46153</x:v>
      </x:c>
      <x:c r="D1303" t="str">
        <x:v>USR-00363</x:v>
      </x:c>
      <x:c r="E1303" t="str">
        <x:v>SUS-001123</x:v>
      </x:c>
      <x:c r="F1303" t="str">
        <x:v>Plus anual</x:v>
      </x:c>
      <x:c r="G1303" t="str">
        <x:v>Anual</x:v>
      </x:c>
      <x:c r="H1303" t="n">
        <x:v>1</x:v>
      </x:c>
      <x:c r="I1303" t="str">
        <x:v>Aprobado</x:v>
      </x:c>
      <x:c r="J1303" t="n">
        <x:v>299000</x:v>
      </x:c>
      <x:c r="K1303" t="str">
        <x:v>Tarjeta débito</x:v>
      </x:c>
      <x:c r="L1303" t="str">
        <x:v>Sin error</x:v>
      </x:c>
    </x:row>
    <x:row r="1304">
      <x:c r="A1304" t="str">
        <x:v>TXN-0001303</x:v>
      </x:c>
      <x:c r="B1304" t="str">
        <x:v>2026-05</x:v>
      </x:c>
      <x:c r="C1304" t="n">
        <x:v>46150</x:v>
      </x:c>
      <x:c r="D1304" t="str">
        <x:v>USR-00364</x:v>
      </x:c>
      <x:c r="E1304" t="str">
        <x:v>SIN_SUSCRIPCION</x:v>
      </x:c>
      <x:c r="F1304" t="str">
        <x:v>Plus mensual</x:v>
      </x:c>
      <x:c r="G1304" t="str">
        <x:v>Mensual</x:v>
      </x:c>
      <x:c r="H1304" t="n">
        <x:v>1</x:v>
      </x:c>
      <x:c r="I1304" t="str">
        <x:v>Rechazado</x:v>
      </x:c>
      <x:c r="J1304" t="n">
        <x:v>29900</x:v>
      </x:c>
      <x:c r="K1304" t="str">
        <x:v>PSE</x:v>
      </x:c>
      <x:c r="L1304" t="str">
        <x:v>Declinado por entidad</x:v>
      </x:c>
    </x:row>
    <x:row r="1305">
      <x:c r="A1305" t="str">
        <x:v>TXN-0001304</x:v>
      </x:c>
      <x:c r="B1305" t="str">
        <x:v>2026-05</x:v>
      </x:c>
      <x:c r="C1305" t="n">
        <x:v>46152</x:v>
      </x:c>
      <x:c r="D1305" t="str">
        <x:v>USR-00364</x:v>
      </x:c>
      <x:c r="E1305" t="str">
        <x:v>SIN_SUSCRIPCION</x:v>
      </x:c>
      <x:c r="F1305" t="str">
        <x:v>Plus mensual</x:v>
      </x:c>
      <x:c r="G1305" t="str">
        <x:v>Mensual</x:v>
      </x:c>
      <x:c r="H1305" t="n">
        <x:v>2</x:v>
      </x:c>
      <x:c r="I1305" t="str">
        <x:v>Rechazado</x:v>
      </x:c>
      <x:c r="J1305" t="n">
        <x:v>29900</x:v>
      </x:c>
      <x:c r="K1305" t="str">
        <x:v>PSE</x:v>
      </x:c>
      <x:c r="L1305" t="str">
        <x:v>Declinado por entidad</x:v>
      </x:c>
    </x:row>
    <x:row r="1306">
      <x:c r="A1306" t="str">
        <x:v>TXN-0001305</x:v>
      </x:c>
      <x:c r="B1306" t="str">
        <x:v>2026-05</x:v>
      </x:c>
      <x:c r="C1306" t="n">
        <x:v>46149</x:v>
      </x:c>
      <x:c r="D1306" t="str">
        <x:v>USR-00372</x:v>
      </x:c>
      <x:c r="E1306" t="str">
        <x:v>SUS-000983</x:v>
      </x:c>
      <x:c r="F1306" t="str">
        <x:v>Plus mensual</x:v>
      </x:c>
      <x:c r="G1306" t="str">
        <x:v>Mensual</x:v>
      </x:c>
      <x:c r="H1306" t="n">
        <x:v>1</x:v>
      </x:c>
      <x:c r="I1306" t="str">
        <x:v>Aprobado</x:v>
      </x:c>
      <x:c r="J1306" t="n">
        <x:v>29900</x:v>
      </x:c>
      <x:c r="K1306" t="str">
        <x:v>Tarjeta crédito</x:v>
      </x:c>
      <x:c r="L1306" t="str">
        <x:v>Sin error</x:v>
      </x:c>
    </x:row>
    <x:row r="1307">
      <x:c r="A1307" t="str">
        <x:v>TXN-0001306</x:v>
      </x:c>
      <x:c r="B1307" t="str">
        <x:v>2026-05</x:v>
      </x:c>
      <x:c r="C1307" t="n">
        <x:v>46153</x:v>
      </x:c>
      <x:c r="D1307" t="str">
        <x:v>USR-00377</x:v>
      </x:c>
      <x:c r="E1307" t="str">
        <x:v>SUS-000492</x:v>
      </x:c>
      <x:c r="F1307" t="str">
        <x:v>Plus mensual</x:v>
      </x:c>
      <x:c r="G1307" t="str">
        <x:v>Mensual</x:v>
      </x:c>
      <x:c r="H1307" t="n">
        <x:v>1</x:v>
      </x:c>
      <x:c r="I1307" t="str">
        <x:v>Aprobado</x:v>
      </x:c>
      <x:c r="J1307" t="n">
        <x:v>29900</x:v>
      </x:c>
      <x:c r="K1307" t="str">
        <x:v>PSE</x:v>
      </x:c>
      <x:c r="L1307" t="str">
        <x:v>Sin error</x:v>
      </x:c>
    </x:row>
    <x:row r="1308">
      <x:c r="A1308" t="str">
        <x:v>TXN-0001307</x:v>
      </x:c>
      <x:c r="B1308" t="str">
        <x:v>2026-05</x:v>
      </x:c>
      <x:c r="C1308" t="n">
        <x:v>46154</x:v>
      </x:c>
      <x:c r="D1308" t="str">
        <x:v>USR-00380</x:v>
      </x:c>
      <x:c r="E1308" t="str">
        <x:v>SUS-000495</x:v>
      </x:c>
      <x:c r="F1308" t="str">
        <x:v>Plus mensual</x:v>
      </x:c>
      <x:c r="G1308" t="str">
        <x:v>Mensual</x:v>
      </x:c>
      <x:c r="H1308" t="n">
        <x:v>1</x:v>
      </x:c>
      <x:c r="I1308" t="str">
        <x:v>Aprobado</x:v>
      </x:c>
      <x:c r="J1308" t="n">
        <x:v>29900</x:v>
      </x:c>
      <x:c r="K1308" t="str">
        <x:v>Tarjeta débito</x:v>
      </x:c>
      <x:c r="L1308" t="str">
        <x:v>Sin error</x:v>
      </x:c>
    </x:row>
    <x:row r="1309">
      <x:c r="A1309" t="str">
        <x:v>TXN-0001308</x:v>
      </x:c>
      <x:c r="B1309" t="str">
        <x:v>2026-05</x:v>
      </x:c>
      <x:c r="C1309" t="n">
        <x:v>46152</x:v>
      </x:c>
      <x:c r="D1309" t="str">
        <x:v>USR-00384</x:v>
      </x:c>
      <x:c r="E1309" t="str">
        <x:v>SUS-000984</x:v>
      </x:c>
      <x:c r="F1309" t="str">
        <x:v>Plus mensual</x:v>
      </x:c>
      <x:c r="G1309" t="str">
        <x:v>Mensual</x:v>
      </x:c>
      <x:c r="H1309" t="n">
        <x:v>1</x:v>
      </x:c>
      <x:c r="I1309" t="str">
        <x:v>Aprobado</x:v>
      </x:c>
      <x:c r="J1309" t="n">
        <x:v>29900</x:v>
      </x:c>
      <x:c r="K1309" t="str">
        <x:v>PSE</x:v>
      </x:c>
      <x:c r="L1309" t="str">
        <x:v>Sin error</x:v>
      </x:c>
    </x:row>
    <x:row r="1310">
      <x:c r="A1310" t="str">
        <x:v>TXN-0001309</x:v>
      </x:c>
      <x:c r="B1310" t="str">
        <x:v>2026-05</x:v>
      </x:c>
      <x:c r="C1310" t="n">
        <x:v>46150</x:v>
      </x:c>
      <x:c r="D1310" t="str">
        <x:v>USR-00387</x:v>
      </x:c>
      <x:c r="E1310" t="str">
        <x:v>SUS-001125</x:v>
      </x:c>
      <x:c r="F1310" t="str">
        <x:v>Plus mensual</x:v>
      </x:c>
      <x:c r="G1310" t="str">
        <x:v>Mensual</x:v>
      </x:c>
      <x:c r="H1310" t="n">
        <x:v>1</x:v>
      </x:c>
      <x:c r="I1310" t="str">
        <x:v>Aprobado</x:v>
      </x:c>
      <x:c r="J1310" t="n">
        <x:v>29900</x:v>
      </x:c>
      <x:c r="K1310" t="str">
        <x:v>Tarjeta débito</x:v>
      </x:c>
      <x:c r="L1310" t="str">
        <x:v>Sin error</x:v>
      </x:c>
    </x:row>
    <x:row r="1311">
      <x:c r="A1311" t="str">
        <x:v>TXN-0001310</x:v>
      </x:c>
      <x:c r="B1311" t="str">
        <x:v>2026-05</x:v>
      </x:c>
      <x:c r="C1311" t="n">
        <x:v>46152</x:v>
      </x:c>
      <x:c r="D1311" t="str">
        <x:v>USR-00389</x:v>
      </x:c>
      <x:c r="E1311" t="str">
        <x:v>SUS-000641</x:v>
      </x:c>
      <x:c r="F1311" t="str">
        <x:v>Plus mensual</x:v>
      </x:c>
      <x:c r="G1311" t="str">
        <x:v>Mensual</x:v>
      </x:c>
      <x:c r="H1311" t="n">
        <x:v>1</x:v>
      </x:c>
      <x:c r="I1311" t="str">
        <x:v>Aprobado</x:v>
      </x:c>
      <x:c r="J1311" t="n">
        <x:v>29900</x:v>
      </x:c>
      <x:c r="K1311" t="str">
        <x:v>Tarjeta crédito</x:v>
      </x:c>
      <x:c r="L1311" t="str">
        <x:v>Sin error</x:v>
      </x:c>
    </x:row>
    <x:row r="1312">
      <x:c r="A1312" t="str">
        <x:v>TXN-0001311</x:v>
      </x:c>
      <x:c r="B1312" t="str">
        <x:v>2026-05</x:v>
      </x:c>
      <x:c r="C1312" t="n">
        <x:v>46150</x:v>
      </x:c>
      <x:c r="D1312" t="str">
        <x:v>USR-00391</x:v>
      </x:c>
      <x:c r="E1312" t="str">
        <x:v>SUS-000506</x:v>
      </x:c>
      <x:c r="F1312" t="str">
        <x:v>Plus mensual</x:v>
      </x:c>
      <x:c r="G1312" t="str">
        <x:v>Mensual</x:v>
      </x:c>
      <x:c r="H1312" t="n">
        <x:v>1</x:v>
      </x:c>
      <x:c r="I1312" t="str">
        <x:v>Aprobado</x:v>
      </x:c>
      <x:c r="J1312" t="n">
        <x:v>29900</x:v>
      </x:c>
      <x:c r="K1312" t="str">
        <x:v>PSE</x:v>
      </x:c>
      <x:c r="L1312" t="str">
        <x:v>Sin error</x:v>
      </x:c>
    </x:row>
    <x:row r="1313">
      <x:c r="A1313" t="str">
        <x:v>TXN-0001312</x:v>
      </x:c>
      <x:c r="B1313" t="str">
        <x:v>2026-05</x:v>
      </x:c>
      <x:c r="C1313" t="n">
        <x:v>46152</x:v>
      </x:c>
      <x:c r="D1313" t="str">
        <x:v>USR-00395</x:v>
      </x:c>
      <x:c r="E1313" t="str">
        <x:v>SUS-000642</x:v>
      </x:c>
      <x:c r="F1313" t="str">
        <x:v>Plus mensual</x:v>
      </x:c>
      <x:c r="G1313" t="str">
        <x:v>Mensual</x:v>
      </x:c>
      <x:c r="H1313" t="n">
        <x:v>1</x:v>
      </x:c>
      <x:c r="I1313" t="str">
        <x:v>Aprobado</x:v>
      </x:c>
      <x:c r="J1313" t="n">
        <x:v>29900</x:v>
      </x:c>
      <x:c r="K1313" t="str">
        <x:v>Tarjeta crédito</x:v>
      </x:c>
      <x:c r="L1313" t="str">
        <x:v>Sin error</x:v>
      </x:c>
    </x:row>
    <x:row r="1314">
      <x:c r="A1314" t="str">
        <x:v>TXN-0001313</x:v>
      </x:c>
      <x:c r="B1314" t="str">
        <x:v>2026-05</x:v>
      </x:c>
      <x:c r="C1314" t="n">
        <x:v>46153</x:v>
      </x:c>
      <x:c r="D1314" t="str">
        <x:v>USR-00396</x:v>
      </x:c>
      <x:c r="E1314" t="str">
        <x:v>SUS-000511</x:v>
      </x:c>
      <x:c r="F1314" t="str">
        <x:v>Plus mensual</x:v>
      </x:c>
      <x:c r="G1314" t="str">
        <x:v>Mensual</x:v>
      </x:c>
      <x:c r="H1314" t="n">
        <x:v>1</x:v>
      </x:c>
      <x:c r="I1314" t="str">
        <x:v>Aprobado</x:v>
      </x:c>
      <x:c r="J1314" t="n">
        <x:v>29900</x:v>
      </x:c>
      <x:c r="K1314" t="str">
        <x:v>PSE</x:v>
      </x:c>
      <x:c r="L1314" t="str">
        <x:v>Sin error</x:v>
      </x:c>
    </x:row>
    <x:row r="1315">
      <x:c r="A1315" t="str">
        <x:v>TXN-0001314</x:v>
      </x:c>
      <x:c r="B1315" t="str">
        <x:v>2026-05</x:v>
      </x:c>
      <x:c r="C1315" t="n">
        <x:v>46147</x:v>
      </x:c>
      <x:c r="D1315" t="str">
        <x:v>USR-00403</x:v>
      </x:c>
      <x:c r="E1315" t="str">
        <x:v>SUS-000987</x:v>
      </x:c>
      <x:c r="F1315" t="str">
        <x:v>Plus mensual</x:v>
      </x:c>
      <x:c r="G1315" t="str">
        <x:v>Mensual</x:v>
      </x:c>
      <x:c r="H1315" t="n">
        <x:v>1</x:v>
      </x:c>
      <x:c r="I1315" t="str">
        <x:v>Aprobado</x:v>
      </x:c>
      <x:c r="J1315" t="n">
        <x:v>29900</x:v>
      </x:c>
      <x:c r="K1315" t="str">
        <x:v>Tarjeta débito</x:v>
      </x:c>
      <x:c r="L1315" t="str">
        <x:v>Sin error</x:v>
      </x:c>
    </x:row>
    <x:row r="1316">
      <x:c r="A1316" t="str">
        <x:v>TXN-0001315</x:v>
      </x:c>
      <x:c r="B1316" t="str">
        <x:v>2026-05</x:v>
      </x:c>
      <x:c r="C1316" t="n">
        <x:v>46148</x:v>
      </x:c>
      <x:c r="D1316" t="str">
        <x:v>USR-00404</x:v>
      </x:c>
      <x:c r="E1316" t="str">
        <x:v>SUS-000861</x:v>
      </x:c>
      <x:c r="F1316" t="str">
        <x:v>Plus mensual</x:v>
      </x:c>
      <x:c r="G1316" t="str">
        <x:v>Mensual</x:v>
      </x:c>
      <x:c r="H1316" t="n">
        <x:v>1</x:v>
      </x:c>
      <x:c r="I1316" t="str">
        <x:v>Aprobado</x:v>
      </x:c>
      <x:c r="J1316" t="n">
        <x:v>29900</x:v>
      </x:c>
      <x:c r="K1316" t="str">
        <x:v>Tarjeta crédito</x:v>
      </x:c>
      <x:c r="L1316" t="str">
        <x:v>Sin error</x:v>
      </x:c>
    </x:row>
    <x:row r="1317">
      <x:c r="A1317" t="str">
        <x:v>TXN-0001316</x:v>
      </x:c>
      <x:c r="B1317" t="str">
        <x:v>2026-05</x:v>
      </x:c>
      <x:c r="C1317" t="n">
        <x:v>46151</x:v>
      </x:c>
      <x:c r="D1317" t="str">
        <x:v>USR-00409</x:v>
      </x:c>
      <x:c r="E1317" t="str">
        <x:v>SUS-000988</x:v>
      </x:c>
      <x:c r="F1317" t="str">
        <x:v>Plus mensual</x:v>
      </x:c>
      <x:c r="G1317" t="str">
        <x:v>Mensual</x:v>
      </x:c>
      <x:c r="H1317" t="n">
        <x:v>1</x:v>
      </x:c>
      <x:c r="I1317" t="str">
        <x:v>Aprobado</x:v>
      </x:c>
      <x:c r="J1317" t="n">
        <x:v>29900</x:v>
      </x:c>
      <x:c r="K1317" t="str">
        <x:v>PSE</x:v>
      </x:c>
      <x:c r="L1317" t="str">
        <x:v>Sin error</x:v>
      </x:c>
    </x:row>
    <x:row r="1318">
      <x:c r="A1318" t="str">
        <x:v>TXN-0001317</x:v>
      </x:c>
      <x:c r="B1318" t="str">
        <x:v>2026-05</x:v>
      </x:c>
      <x:c r="C1318" t="n">
        <x:v>46153</x:v>
      </x:c>
      <x:c r="D1318" t="str">
        <x:v>USR-00413</x:v>
      </x:c>
      <x:c r="E1318" t="str">
        <x:v>SUS-000862</x:v>
      </x:c>
      <x:c r="F1318" t="str">
        <x:v>Plus mensual</x:v>
      </x:c>
      <x:c r="G1318" t="str">
        <x:v>Mensual</x:v>
      </x:c>
      <x:c r="H1318" t="n">
        <x:v>1</x:v>
      </x:c>
      <x:c r="I1318" t="str">
        <x:v>Aprobado</x:v>
      </x:c>
      <x:c r="J1318" t="n">
        <x:v>29900</x:v>
      </x:c>
      <x:c r="K1318" t="str">
        <x:v>PSE</x:v>
      </x:c>
      <x:c r="L1318" t="str">
        <x:v>Sin error</x:v>
      </x:c>
    </x:row>
    <x:row r="1319">
      <x:c r="A1319" t="str">
        <x:v>TXN-0001318</x:v>
      </x:c>
      <x:c r="B1319" t="str">
        <x:v>2026-05</x:v>
      </x:c>
      <x:c r="C1319" t="n">
        <x:v>46154</x:v>
      </x:c>
      <x:c r="D1319" t="str">
        <x:v>USR-00414</x:v>
      </x:c>
      <x:c r="E1319" t="str">
        <x:v>SUS-000556</x:v>
      </x:c>
      <x:c r="F1319" t="str">
        <x:v>Plus mensual</x:v>
      </x:c>
      <x:c r="G1319" t="str">
        <x:v>Mensual</x:v>
      </x:c>
      <x:c r="H1319" t="n">
        <x:v>1</x:v>
      </x:c>
      <x:c r="I1319" t="str">
        <x:v>Aprobado</x:v>
      </x:c>
      <x:c r="J1319" t="n">
        <x:v>29900</x:v>
      </x:c>
      <x:c r="K1319" t="str">
        <x:v>Tarjeta débito</x:v>
      </x:c>
      <x:c r="L1319" t="str">
        <x:v>Sin error</x:v>
      </x:c>
    </x:row>
    <x:row r="1320">
      <x:c r="A1320" t="str">
        <x:v>TXN-0001319</x:v>
      </x:c>
      <x:c r="B1320" t="str">
        <x:v>2026-05</x:v>
      </x:c>
      <x:c r="C1320" t="n">
        <x:v>46147</x:v>
      </x:c>
      <x:c r="D1320" t="str">
        <x:v>USR-00416</x:v>
      </x:c>
      <x:c r="E1320" t="str">
        <x:v>SUS-000863</x:v>
      </x:c>
      <x:c r="F1320" t="str">
        <x:v>Plus mensual</x:v>
      </x:c>
      <x:c r="G1320" t="str">
        <x:v>Mensual</x:v>
      </x:c>
      <x:c r="H1320" t="n">
        <x:v>1</x:v>
      </x:c>
      <x:c r="I1320" t="str">
        <x:v>Aprobado</x:v>
      </x:c>
      <x:c r="J1320" t="n">
        <x:v>29900</x:v>
      </x:c>
      <x:c r="K1320" t="str">
        <x:v>Tarjeta crédito</x:v>
      </x:c>
      <x:c r="L1320" t="str">
        <x:v>Sin error</x:v>
      </x:c>
    </x:row>
    <x:row r="1321">
      <x:c r="A1321" t="str">
        <x:v>TXN-0001320</x:v>
      </x:c>
      <x:c r="B1321" t="str">
        <x:v>2026-05</x:v>
      </x:c>
      <x:c r="C1321" t="n">
        <x:v>46147</x:v>
      </x:c>
      <x:c r="D1321" t="str">
        <x:v>USR-00417</x:v>
      </x:c>
      <x:c r="E1321" t="str">
        <x:v>SIN_SUSCRIPCION</x:v>
      </x:c>
      <x:c r="F1321" t="str">
        <x:v>Plus mensual</x:v>
      </x:c>
      <x:c r="G1321" t="str">
        <x:v>Mensual</x:v>
      </x:c>
      <x:c r="H1321" t="n">
        <x:v>1</x:v>
      </x:c>
      <x:c r="I1321" t="str">
        <x:v>Rechazado</x:v>
      </x:c>
      <x:c r="J1321" t="n">
        <x:v>29900</x:v>
      </x:c>
      <x:c r="K1321" t="str">
        <x:v>Tarjeta crédito</x:v>
      </x:c>
      <x:c r="L1321" t="str">
        <x:v>Error temporal</x:v>
      </x:c>
    </x:row>
    <x:row r="1322">
      <x:c r="A1322" t="str">
        <x:v>TXN-0001321</x:v>
      </x:c>
      <x:c r="B1322" t="str">
        <x:v>2026-05</x:v>
      </x:c>
      <x:c r="C1322" t="n">
        <x:v>46152</x:v>
      </x:c>
      <x:c r="D1322" t="str">
        <x:v>USR-00417</x:v>
      </x:c>
      <x:c r="E1322" t="str">
        <x:v>SIN_SUSCRIPCION</x:v>
      </x:c>
      <x:c r="F1322" t="str">
        <x:v>Plus mensual</x:v>
      </x:c>
      <x:c r="G1322" t="str">
        <x:v>Mensual</x:v>
      </x:c>
      <x:c r="H1322" t="n">
        <x:v>2</x:v>
      </x:c>
      <x:c r="I1322" t="str">
        <x:v>Rechazado</x:v>
      </x:c>
      <x:c r="J1322" t="n">
        <x:v>29900</x:v>
      </x:c>
      <x:c r="K1322" t="str">
        <x:v>Tarjeta débito</x:v>
      </x:c>
      <x:c r="L1322" t="str">
        <x:v>Declinado por entidad</x:v>
      </x:c>
    </x:row>
    <x:row r="1323">
      <x:c r="A1323" t="str">
        <x:v>TXN-0001322</x:v>
      </x:c>
      <x:c r="B1323" t="str">
        <x:v>2026-05</x:v>
      </x:c>
      <x:c r="C1323" t="n">
        <x:v>46151</x:v>
      </x:c>
      <x:c r="D1323" t="str">
        <x:v>USR-00419</x:v>
      </x:c>
      <x:c r="E1323" t="str">
        <x:v>SUS-000989</x:v>
      </x:c>
      <x:c r="F1323" t="str">
        <x:v>Plus mensual</x:v>
      </x:c>
      <x:c r="G1323" t="str">
        <x:v>Mensual</x:v>
      </x:c>
      <x:c r="H1323" t="n">
        <x:v>1</x:v>
      </x:c>
      <x:c r="I1323" t="str">
        <x:v>Aprobado</x:v>
      </x:c>
      <x:c r="J1323" t="n">
        <x:v>29900</x:v>
      </x:c>
      <x:c r="K1323" t="str">
        <x:v>Tarjeta débito</x:v>
      </x:c>
      <x:c r="L1323" t="str">
        <x:v>Sin error</x:v>
      </x:c>
    </x:row>
    <x:row r="1324">
      <x:c r="A1324" t="str">
        <x:v>TXN-0001323</x:v>
      </x:c>
      <x:c r="B1324" t="str">
        <x:v>2026-05</x:v>
      </x:c>
      <x:c r="C1324" t="n">
        <x:v>46148</x:v>
      </x:c>
      <x:c r="D1324" t="str">
        <x:v>USR-00420</x:v>
      </x:c>
      <x:c r="E1324" t="str">
        <x:v>SUS-000562</x:v>
      </x:c>
      <x:c r="F1324" t="str">
        <x:v>Plus mensual</x:v>
      </x:c>
      <x:c r="G1324" t="str">
        <x:v>Mensual</x:v>
      </x:c>
      <x:c r="H1324" t="n">
        <x:v>1</x:v>
      </x:c>
      <x:c r="I1324" t="str">
        <x:v>Aprobado</x:v>
      </x:c>
      <x:c r="J1324" t="n">
        <x:v>29900</x:v>
      </x:c>
      <x:c r="K1324" t="str">
        <x:v>Tarjeta crédito</x:v>
      </x:c>
      <x:c r="L1324" t="str">
        <x:v>Sin error</x:v>
      </x:c>
    </x:row>
    <x:row r="1325">
      <x:c r="A1325" t="str">
        <x:v>TXN-0001324</x:v>
      </x:c>
      <x:c r="B1325" t="str">
        <x:v>2026-05</x:v>
      </x:c>
      <x:c r="C1325" t="n">
        <x:v>46148</x:v>
      </x:c>
      <x:c r="D1325" t="str">
        <x:v>USR-00421</x:v>
      </x:c>
      <x:c r="E1325" t="str">
        <x:v>SUS-000864</x:v>
      </x:c>
      <x:c r="F1325" t="str">
        <x:v>Plus mensual</x:v>
      </x:c>
      <x:c r="G1325" t="str">
        <x:v>Mensual</x:v>
      </x:c>
      <x:c r="H1325" t="n">
        <x:v>1</x:v>
      </x:c>
      <x:c r="I1325" t="str">
        <x:v>Aprobado</x:v>
      </x:c>
      <x:c r="J1325" t="n">
        <x:v>29900</x:v>
      </x:c>
      <x:c r="K1325" t="str">
        <x:v>Tarjeta débito</x:v>
      </x:c>
      <x:c r="L1325" t="str">
        <x:v>Sin error</x:v>
      </x:c>
    </x:row>
    <x:row r="1326">
      <x:c r="A1326" t="str">
        <x:v>TXN-0001325</x:v>
      </x:c>
      <x:c r="B1326" t="str">
        <x:v>2026-05</x:v>
      </x:c>
      <x:c r="C1326" t="n">
        <x:v>46149</x:v>
      </x:c>
      <x:c r="D1326" t="str">
        <x:v>USR-00423</x:v>
      </x:c>
      <x:c r="E1326" t="str">
        <x:v>SUS-000565</x:v>
      </x:c>
      <x:c r="F1326" t="str">
        <x:v>Plus mensual</x:v>
      </x:c>
      <x:c r="G1326" t="str">
        <x:v>Mensual</x:v>
      </x:c>
      <x:c r="H1326" t="n">
        <x:v>1</x:v>
      </x:c>
      <x:c r="I1326" t="str">
        <x:v>Aprobado</x:v>
      </x:c>
      <x:c r="J1326" t="n">
        <x:v>29900</x:v>
      </x:c>
      <x:c r="K1326" t="str">
        <x:v>Tarjeta débito</x:v>
      </x:c>
      <x:c r="L1326" t="str">
        <x:v>Sin error</x:v>
      </x:c>
    </x:row>
    <x:row r="1327">
      <x:c r="A1327" t="str">
        <x:v>TXN-0001326</x:v>
      </x:c>
      <x:c r="B1327" t="str">
        <x:v>2026-05</x:v>
      </x:c>
      <x:c r="C1327" t="n">
        <x:v>46147</x:v>
      </x:c>
      <x:c r="D1327" t="str">
        <x:v>USR-00435</x:v>
      </x:c>
      <x:c r="E1327" t="str">
        <x:v>SUS-000577</x:v>
      </x:c>
      <x:c r="F1327" t="str">
        <x:v>Plus mensual</x:v>
      </x:c>
      <x:c r="G1327" t="str">
        <x:v>Mensual</x:v>
      </x:c>
      <x:c r="H1327" t="n">
        <x:v>1</x:v>
      </x:c>
      <x:c r="I1327" t="str">
        <x:v>Aprobado</x:v>
      </x:c>
      <x:c r="J1327" t="n">
        <x:v>29900</x:v>
      </x:c>
      <x:c r="K1327" t="str">
        <x:v>Tarjeta débito</x:v>
      </x:c>
      <x:c r="L1327" t="str">
        <x:v>Sin error</x:v>
      </x:c>
    </x:row>
    <x:row r="1328">
      <x:c r="A1328" t="str">
        <x:v>TXN-0001327</x:v>
      </x:c>
      <x:c r="B1328" t="str">
        <x:v>2026-05</x:v>
      </x:c>
      <x:c r="C1328" t="n">
        <x:v>46148</x:v>
      </x:c>
      <x:c r="D1328" t="str">
        <x:v>USR-00440</x:v>
      </x:c>
      <x:c r="E1328" t="str">
        <x:v>SUS-001128</x:v>
      </x:c>
      <x:c r="F1328" t="str">
        <x:v>Plus mensual</x:v>
      </x:c>
      <x:c r="G1328" t="str">
        <x:v>Mensual</x:v>
      </x:c>
      <x:c r="H1328" t="n">
        <x:v>1</x:v>
      </x:c>
      <x:c r="I1328" t="str">
        <x:v>Aprobado</x:v>
      </x:c>
      <x:c r="J1328" t="n">
        <x:v>29900</x:v>
      </x:c>
      <x:c r="K1328" t="str">
        <x:v>Tarjeta débito</x:v>
      </x:c>
      <x:c r="L1328" t="str">
        <x:v>Sin error</x:v>
      </x:c>
    </x:row>
    <x:row r="1329">
      <x:c r="A1329" t="str">
        <x:v>TXN-0001328</x:v>
      </x:c>
      <x:c r="B1329" t="str">
        <x:v>2026-05</x:v>
      </x:c>
      <x:c r="C1329" t="n">
        <x:v>46154</x:v>
      </x:c>
      <x:c r="D1329" t="str">
        <x:v>USR-00446</x:v>
      </x:c>
      <x:c r="E1329" t="str">
        <x:v>SUS-000588</x:v>
      </x:c>
      <x:c r="F1329" t="str">
        <x:v>Plus mensual</x:v>
      </x:c>
      <x:c r="G1329" t="str">
        <x:v>Mensual</x:v>
      </x:c>
      <x:c r="H1329" t="n">
        <x:v>1</x:v>
      </x:c>
      <x:c r="I1329" t="str">
        <x:v>Aprobado</x:v>
      </x:c>
      <x:c r="J1329" t="n">
        <x:v>29900</x:v>
      </x:c>
      <x:c r="K1329" t="str">
        <x:v>Tarjeta débito</x:v>
      </x:c>
      <x:c r="L1329" t="str">
        <x:v>Sin error</x:v>
      </x:c>
    </x:row>
    <x:row r="1330">
      <x:c r="A1330" t="str">
        <x:v>TXN-0001329</x:v>
      </x:c>
      <x:c r="B1330" t="str">
        <x:v>2026-05</x:v>
      </x:c>
      <x:c r="C1330" t="n">
        <x:v>46150</x:v>
      </x:c>
      <x:c r="D1330" t="str">
        <x:v>USR-00448</x:v>
      </x:c>
      <x:c r="E1330" t="str">
        <x:v>SUS-000645</x:v>
      </x:c>
      <x:c r="F1330" t="str">
        <x:v>Plus mensual</x:v>
      </x:c>
      <x:c r="G1330" t="str">
        <x:v>Mensual</x:v>
      </x:c>
      <x:c r="H1330" t="n">
        <x:v>1</x:v>
      </x:c>
      <x:c r="I1330" t="str">
        <x:v>Aprobado</x:v>
      </x:c>
      <x:c r="J1330" t="n">
        <x:v>29900</x:v>
      </x:c>
      <x:c r="K1330" t="str">
        <x:v>Tarjeta débito</x:v>
      </x:c>
      <x:c r="L1330" t="str">
        <x:v>Sin error</x:v>
      </x:c>
    </x:row>
    <x:row r="1331">
      <x:c r="A1331" t="str">
        <x:v>TXN-0001330</x:v>
      </x:c>
      <x:c r="B1331" t="str">
        <x:v>2026-05</x:v>
      </x:c>
      <x:c r="C1331" t="n">
        <x:v>46153</x:v>
      </x:c>
      <x:c r="D1331" t="str">
        <x:v>USR-00450</x:v>
      </x:c>
      <x:c r="E1331" t="str">
        <x:v>SUS-000867</x:v>
      </x:c>
      <x:c r="F1331" t="str">
        <x:v>Plus mensual</x:v>
      </x:c>
      <x:c r="G1331" t="str">
        <x:v>Mensual</x:v>
      </x:c>
      <x:c r="H1331" t="n">
        <x:v>1</x:v>
      </x:c>
      <x:c r="I1331" t="str">
        <x:v>Rechazado</x:v>
      </x:c>
      <x:c r="J1331" t="n">
        <x:v>29900</x:v>
      </x:c>
      <x:c r="K1331" t="str">
        <x:v>Tarjeta crédito</x:v>
      </x:c>
      <x:c r="L1331" t="str">
        <x:v>Fondos insuficientes</x:v>
      </x:c>
    </x:row>
    <x:row r="1332">
      <x:c r="A1332" t="str">
        <x:v>TXN-0001331</x:v>
      </x:c>
      <x:c r="B1332" t="str">
        <x:v>2026-05</x:v>
      </x:c>
      <x:c r="C1332" t="n">
        <x:v>46148</x:v>
      </x:c>
      <x:c r="D1332" t="str">
        <x:v>USR-00450</x:v>
      </x:c>
      <x:c r="E1332" t="str">
        <x:v>SUS-000867</x:v>
      </x:c>
      <x:c r="F1332" t="str">
        <x:v>Plus mensual</x:v>
      </x:c>
      <x:c r="G1332" t="str">
        <x:v>Mensual</x:v>
      </x:c>
      <x:c r="H1332" t="n">
        <x:v>2</x:v>
      </x:c>
      <x:c r="I1332" t="str">
        <x:v>Aprobado</x:v>
      </x:c>
      <x:c r="J1332" t="n">
        <x:v>29900</x:v>
      </x:c>
      <x:c r="K1332" t="str">
        <x:v>PSE</x:v>
      </x:c>
      <x:c r="L1332" t="str">
        <x:v>Sin error</x:v>
      </x:c>
    </x:row>
    <x:row r="1333">
      <x:c r="A1333" t="str">
        <x:v>TXN-0001332</x:v>
      </x:c>
      <x:c r="B1333" t="str">
        <x:v>2026-05</x:v>
      </x:c>
      <x:c r="C1333" t="n">
        <x:v>46147</x:v>
      </x:c>
      <x:c r="D1333" t="str">
        <x:v>USR-00452</x:v>
      </x:c>
      <x:c r="E1333" t="str">
        <x:v>SUS-000868</x:v>
      </x:c>
      <x:c r="F1333" t="str">
        <x:v>Plus mensual</x:v>
      </x:c>
      <x:c r="G1333" t="str">
        <x:v>Mensual</x:v>
      </x:c>
      <x:c r="H1333" t="n">
        <x:v>1</x:v>
      </x:c>
      <x:c r="I1333" t="str">
        <x:v>Aprobado</x:v>
      </x:c>
      <x:c r="J1333" t="n">
        <x:v>29900</x:v>
      </x:c>
      <x:c r="K1333" t="str">
        <x:v>Tarjeta débito</x:v>
      </x:c>
      <x:c r="L1333" t="str">
        <x:v>Sin error</x:v>
      </x:c>
    </x:row>
    <x:row r="1334">
      <x:c r="A1334" t="str">
        <x:v>TXN-0001333</x:v>
      </x:c>
      <x:c r="B1334" t="str">
        <x:v>2026-05</x:v>
      </x:c>
      <x:c r="C1334" t="n">
        <x:v>46153</x:v>
      </x:c>
      <x:c r="D1334" t="str">
        <x:v>USR-00456</x:v>
      </x:c>
      <x:c r="E1334" t="str">
        <x:v>SUS-000598</x:v>
      </x:c>
      <x:c r="F1334" t="str">
        <x:v>Plus mensual</x:v>
      </x:c>
      <x:c r="G1334" t="str">
        <x:v>Mensual</x:v>
      </x:c>
      <x:c r="H1334" t="n">
        <x:v>1</x:v>
      </x:c>
      <x:c r="I1334" t="str">
        <x:v>Aprobado</x:v>
      </x:c>
      <x:c r="J1334" t="n">
        <x:v>29900</x:v>
      </x:c>
      <x:c r="K1334" t="str">
        <x:v>PSE</x:v>
      </x:c>
      <x:c r="L1334" t="str">
        <x:v>Sin error</x:v>
      </x:c>
    </x:row>
    <x:row r="1335">
      <x:c r="A1335" t="str">
        <x:v>TXN-0001334</x:v>
      </x:c>
      <x:c r="B1335" t="str">
        <x:v>2026-05</x:v>
      </x:c>
      <x:c r="C1335" t="n">
        <x:v>46149</x:v>
      </x:c>
      <x:c r="D1335" t="str">
        <x:v>USR-00458</x:v>
      </x:c>
      <x:c r="E1335" t="str">
        <x:v>SUS-000600</x:v>
      </x:c>
      <x:c r="F1335" t="str">
        <x:v>Plus mensual</x:v>
      </x:c>
      <x:c r="G1335" t="str">
        <x:v>Mensual</x:v>
      </x:c>
      <x:c r="H1335" t="n">
        <x:v>1</x:v>
      </x:c>
      <x:c r="I1335" t="str">
        <x:v>Aprobado</x:v>
      </x:c>
      <x:c r="J1335" t="n">
        <x:v>29900</x:v>
      </x:c>
      <x:c r="K1335" t="str">
        <x:v>Tarjeta crédito</x:v>
      </x:c>
      <x:c r="L1335" t="str">
        <x:v>Sin error</x:v>
      </x:c>
    </x:row>
    <x:row r="1336">
      <x:c r="A1336" t="str">
        <x:v>TXN-0001335</x:v>
      </x:c>
      <x:c r="B1336" t="str">
        <x:v>2026-05</x:v>
      </x:c>
      <x:c r="C1336" t="n">
        <x:v>46152</x:v>
      </x:c>
      <x:c r="D1336" t="str">
        <x:v>USR-00465</x:v>
      </x:c>
      <x:c r="E1336" t="str">
        <x:v>SUS-000607</x:v>
      </x:c>
      <x:c r="F1336" t="str">
        <x:v>Plus mensual</x:v>
      </x:c>
      <x:c r="G1336" t="str">
        <x:v>Mensual</x:v>
      </x:c>
      <x:c r="H1336" t="n">
        <x:v>1</x:v>
      </x:c>
      <x:c r="I1336" t="str">
        <x:v>Aprobado</x:v>
      </x:c>
      <x:c r="J1336" t="n">
        <x:v>29900</x:v>
      </x:c>
      <x:c r="K1336" t="str">
        <x:v>Tarjeta crédito</x:v>
      </x:c>
      <x:c r="L1336" t="str">
        <x:v>Sin error</x:v>
      </x:c>
    </x:row>
    <x:row r="1337">
      <x:c r="A1337" t="str">
        <x:v>TXN-0001336</x:v>
      </x:c>
      <x:c r="B1337" t="str">
        <x:v>2026-05</x:v>
      </x:c>
      <x:c r="C1337" t="n">
        <x:v>46149</x:v>
      </x:c>
      <x:c r="D1337" t="str">
        <x:v>USR-00467</x:v>
      </x:c>
      <x:c r="E1337" t="str">
        <x:v>SUS-000763</x:v>
      </x:c>
      <x:c r="F1337" t="str">
        <x:v>Plus mensual</x:v>
      </x:c>
      <x:c r="G1337" t="str">
        <x:v>Mensual</x:v>
      </x:c>
      <x:c r="H1337" t="n">
        <x:v>1</x:v>
      </x:c>
      <x:c r="I1337" t="str">
        <x:v>Aprobado</x:v>
      </x:c>
      <x:c r="J1337" t="n">
        <x:v>29900</x:v>
      </x:c>
      <x:c r="K1337" t="str">
        <x:v>Tarjeta crédito</x:v>
      </x:c>
      <x:c r="L1337" t="str">
        <x:v>Sin error</x:v>
      </x:c>
    </x:row>
    <x:row r="1338">
      <x:c r="A1338" t="str">
        <x:v>TXN-0001337</x:v>
      </x:c>
      <x:c r="B1338" t="str">
        <x:v>2026-05</x:v>
      </x:c>
      <x:c r="C1338" t="n">
        <x:v>46147</x:v>
      </x:c>
      <x:c r="D1338" t="str">
        <x:v>USR-00468</x:v>
      </x:c>
      <x:c r="E1338" t="str">
        <x:v>SUS-001129</x:v>
      </x:c>
      <x:c r="F1338" t="str">
        <x:v>Plus anual</x:v>
      </x:c>
      <x:c r="G1338" t="str">
        <x:v>Anual</x:v>
      </x:c>
      <x:c r="H1338" t="n">
        <x:v>1</x:v>
      </x:c>
      <x:c r="I1338" t="str">
        <x:v>Aprobado</x:v>
      </x:c>
      <x:c r="J1338" t="n">
        <x:v>299000</x:v>
      </x:c>
      <x:c r="K1338" t="str">
        <x:v>Tarjeta débito</x:v>
      </x:c>
      <x:c r="L1338" t="str">
        <x:v>Sin error</x:v>
      </x:c>
    </x:row>
    <x:row r="1339">
      <x:c r="A1339" t="str">
        <x:v>TXN-0001338</x:v>
      </x:c>
      <x:c r="B1339" t="str">
        <x:v>2026-05</x:v>
      </x:c>
      <x:c r="C1339" t="n">
        <x:v>46149</x:v>
      </x:c>
      <x:c r="D1339" t="str">
        <x:v>USR-00469</x:v>
      </x:c>
      <x:c r="E1339" t="str">
        <x:v>SUS-000648</x:v>
      </x:c>
      <x:c r="F1339" t="str">
        <x:v>Plus mensual</x:v>
      </x:c>
      <x:c r="G1339" t="str">
        <x:v>Mensual</x:v>
      </x:c>
      <x:c r="H1339" t="n">
        <x:v>1</x:v>
      </x:c>
      <x:c r="I1339" t="str">
        <x:v>Aprobado</x:v>
      </x:c>
      <x:c r="J1339" t="n">
        <x:v>29900</x:v>
      </x:c>
      <x:c r="K1339" t="str">
        <x:v>PSE</x:v>
      </x:c>
      <x:c r="L1339" t="str">
        <x:v>Sin error</x:v>
      </x:c>
    </x:row>
    <x:row r="1340">
      <x:c r="A1340" t="str">
        <x:v>TXN-0001339</x:v>
      </x:c>
      <x:c r="B1340" t="str">
        <x:v>2026-05</x:v>
      </x:c>
      <x:c r="C1340" t="n">
        <x:v>46153</x:v>
      </x:c>
      <x:c r="D1340" t="str">
        <x:v>USR-00473</x:v>
      </x:c>
      <x:c r="E1340" t="str">
        <x:v>SUS-000651</x:v>
      </x:c>
      <x:c r="F1340" t="str">
        <x:v>Plus mensual</x:v>
      </x:c>
      <x:c r="G1340" t="str">
        <x:v>Mensual</x:v>
      </x:c>
      <x:c r="H1340" t="n">
        <x:v>1</x:v>
      </x:c>
      <x:c r="I1340" t="str">
        <x:v>Aprobado</x:v>
      </x:c>
      <x:c r="J1340" t="n">
        <x:v>29900</x:v>
      </x:c>
      <x:c r="K1340" t="str">
        <x:v>PSE</x:v>
      </x:c>
      <x:c r="L1340" t="str">
        <x:v>Sin error</x:v>
      </x:c>
    </x:row>
    <x:row r="1341">
      <x:c r="A1341" t="str">
        <x:v>TXN-0001340</x:v>
      </x:c>
      <x:c r="B1341" t="str">
        <x:v>2026-05</x:v>
      </x:c>
      <x:c r="C1341" t="n">
        <x:v>46150</x:v>
      </x:c>
      <x:c r="D1341" t="str">
        <x:v>USR-00475</x:v>
      </x:c>
      <x:c r="E1341" t="str">
        <x:v>SUS-000991</x:v>
      </x:c>
      <x:c r="F1341" t="str">
        <x:v>Plus mensual</x:v>
      </x:c>
      <x:c r="G1341" t="str">
        <x:v>Mensual</x:v>
      </x:c>
      <x:c r="H1341" t="n">
        <x:v>1</x:v>
      </x:c>
      <x:c r="I1341" t="str">
        <x:v>Aprobado</x:v>
      </x:c>
      <x:c r="J1341" t="n">
        <x:v>29900</x:v>
      </x:c>
      <x:c r="K1341" t="str">
        <x:v>Tarjeta débito</x:v>
      </x:c>
      <x:c r="L1341" t="str">
        <x:v>Sin error</x:v>
      </x:c>
    </x:row>
    <x:row r="1342">
      <x:c r="A1342" t="str">
        <x:v>TXN-0001341</x:v>
      </x:c>
      <x:c r="B1342" t="str">
        <x:v>2026-05</x:v>
      </x:c>
      <x:c r="C1342" t="n">
        <x:v>46150</x:v>
      </x:c>
      <x:c r="D1342" t="str">
        <x:v>USR-00481</x:v>
      </x:c>
      <x:c r="E1342" t="str">
        <x:v>SUS-001130</x:v>
      </x:c>
      <x:c r="F1342" t="str">
        <x:v>Plus mensual</x:v>
      </x:c>
      <x:c r="G1342" t="str">
        <x:v>Mensual</x:v>
      </x:c>
      <x:c r="H1342" t="n">
        <x:v>1</x:v>
      </x:c>
      <x:c r="I1342" t="str">
        <x:v>Aprobado</x:v>
      </x:c>
      <x:c r="J1342" t="n">
        <x:v>29900</x:v>
      </x:c>
      <x:c r="K1342" t="str">
        <x:v>PSE</x:v>
      </x:c>
      <x:c r="L1342" t="str">
        <x:v>Sin error</x:v>
      </x:c>
    </x:row>
    <x:row r="1343">
      <x:c r="A1343" t="str">
        <x:v>TXN-0001342</x:v>
      </x:c>
      <x:c r="B1343" t="str">
        <x:v>2026-05</x:v>
      </x:c>
      <x:c r="C1343" t="n">
        <x:v>46152</x:v>
      </x:c>
      <x:c r="D1343" t="str">
        <x:v>USR-00484</x:v>
      </x:c>
      <x:c r="E1343" t="str">
        <x:v>SUS-000662</x:v>
      </x:c>
      <x:c r="F1343" t="str">
        <x:v>Plus mensual</x:v>
      </x:c>
      <x:c r="G1343" t="str">
        <x:v>Mensual</x:v>
      </x:c>
      <x:c r="H1343" t="n">
        <x:v>1</x:v>
      </x:c>
      <x:c r="I1343" t="str">
        <x:v>Aprobado</x:v>
      </x:c>
      <x:c r="J1343" t="n">
        <x:v>29900</x:v>
      </x:c>
      <x:c r="K1343" t="str">
        <x:v>Tarjeta débito</x:v>
      </x:c>
      <x:c r="L1343" t="str">
        <x:v>Sin error</x:v>
      </x:c>
    </x:row>
    <x:row r="1344">
      <x:c r="A1344" t="str">
        <x:v>TXN-0001343</x:v>
      </x:c>
      <x:c r="B1344" t="str">
        <x:v>2026-05</x:v>
      </x:c>
      <x:c r="C1344" t="n">
        <x:v>46154</x:v>
      </x:c>
      <x:c r="D1344" t="str">
        <x:v>USR-00488</x:v>
      </x:c>
      <x:c r="E1344" t="str">
        <x:v>SUS-001131</x:v>
      </x:c>
      <x:c r="F1344" t="str">
        <x:v>Plus mensual</x:v>
      </x:c>
      <x:c r="G1344" t="str">
        <x:v>Mensual</x:v>
      </x:c>
      <x:c r="H1344" t="n">
        <x:v>1</x:v>
      </x:c>
      <x:c r="I1344" t="str">
        <x:v>Aprobado</x:v>
      </x:c>
      <x:c r="J1344" t="n">
        <x:v>29900</x:v>
      </x:c>
      <x:c r="K1344" t="str">
        <x:v>Tarjeta crédito</x:v>
      </x:c>
      <x:c r="L1344" t="str">
        <x:v>Sin error</x:v>
      </x:c>
    </x:row>
    <x:row r="1345">
      <x:c r="A1345" t="str">
        <x:v>TXN-0001344</x:v>
      </x:c>
      <x:c r="B1345" t="str">
        <x:v>2026-05</x:v>
      </x:c>
      <x:c r="C1345" t="n">
        <x:v>46150</x:v>
      </x:c>
      <x:c r="D1345" t="str">
        <x:v>USR-00489</x:v>
      </x:c>
      <x:c r="E1345" t="str">
        <x:v>SUS-000766</x:v>
      </x:c>
      <x:c r="F1345" t="str">
        <x:v>Plus mensual</x:v>
      </x:c>
      <x:c r="G1345" t="str">
        <x:v>Mensual</x:v>
      </x:c>
      <x:c r="H1345" t="n">
        <x:v>1</x:v>
      </x:c>
      <x:c r="I1345" t="str">
        <x:v>Aprobado</x:v>
      </x:c>
      <x:c r="J1345" t="n">
        <x:v>29900</x:v>
      </x:c>
      <x:c r="K1345" t="str">
        <x:v>Tarjeta crédito</x:v>
      </x:c>
      <x:c r="L1345" t="str">
        <x:v>Sin error</x:v>
      </x:c>
    </x:row>
    <x:row r="1346">
      <x:c r="A1346" t="str">
        <x:v>TXN-0001345</x:v>
      </x:c>
      <x:c r="B1346" t="str">
        <x:v>2026-05</x:v>
      </x:c>
      <x:c r="C1346" t="n">
        <x:v>46150</x:v>
      </x:c>
      <x:c r="D1346" t="str">
        <x:v>USR-00490</x:v>
      </x:c>
      <x:c r="E1346" t="str">
        <x:v>SUS-000992</x:v>
      </x:c>
      <x:c r="F1346" t="str">
        <x:v>Plus mensual</x:v>
      </x:c>
      <x:c r="G1346" t="str">
        <x:v>Mensual</x:v>
      </x:c>
      <x:c r="H1346" t="n">
        <x:v>1</x:v>
      </x:c>
      <x:c r="I1346" t="str">
        <x:v>Aprobado</x:v>
      </x:c>
      <x:c r="J1346" t="n">
        <x:v>29900</x:v>
      </x:c>
      <x:c r="K1346" t="str">
        <x:v>PSE</x:v>
      </x:c>
      <x:c r="L1346" t="str">
        <x:v>Sin error</x:v>
      </x:c>
    </x:row>
    <x:row r="1347">
      <x:c r="A1347" t="str">
        <x:v>TXN-0001346</x:v>
      </x:c>
      <x:c r="B1347" t="str">
        <x:v>2026-05</x:v>
      </x:c>
      <x:c r="C1347" t="n">
        <x:v>46153</x:v>
      </x:c>
      <x:c r="D1347" t="str">
        <x:v>USR-00502</x:v>
      </x:c>
      <x:c r="E1347" t="str">
        <x:v>SUS-001132</x:v>
      </x:c>
      <x:c r="F1347" t="str">
        <x:v>Plus anual</x:v>
      </x:c>
      <x:c r="G1347" t="str">
        <x:v>Anual</x:v>
      </x:c>
      <x:c r="H1347" t="n">
        <x:v>1</x:v>
      </x:c>
      <x:c r="I1347" t="str">
        <x:v>Aprobado</x:v>
      </x:c>
      <x:c r="J1347" t="n">
        <x:v>299000</x:v>
      </x:c>
      <x:c r="K1347" t="str">
        <x:v>Tarjeta débito</x:v>
      </x:c>
      <x:c r="L1347" t="str">
        <x:v>Sin error</x:v>
      </x:c>
    </x:row>
    <x:row r="1348">
      <x:c r="A1348" t="str">
        <x:v>TXN-0001347</x:v>
      </x:c>
      <x:c r="B1348" t="str">
        <x:v>2026-05</x:v>
      </x:c>
      <x:c r="C1348" t="n">
        <x:v>46147</x:v>
      </x:c>
      <x:c r="D1348" t="str">
        <x:v>USR-00504</x:v>
      </x:c>
      <x:c r="E1348" t="str">
        <x:v>SUS-001133</x:v>
      </x:c>
      <x:c r="F1348" t="str">
        <x:v>Plus mensual</x:v>
      </x:c>
      <x:c r="G1348" t="str">
        <x:v>Mensual</x:v>
      </x:c>
      <x:c r="H1348" t="n">
        <x:v>1</x:v>
      </x:c>
      <x:c r="I1348" t="str">
        <x:v>Aprobado</x:v>
      </x:c>
      <x:c r="J1348" t="n">
        <x:v>29900</x:v>
      </x:c>
      <x:c r="K1348" t="str">
        <x:v>Tarjeta crédito</x:v>
      </x:c>
      <x:c r="L1348" t="str">
        <x:v>Sin error</x:v>
      </x:c>
    </x:row>
    <x:row r="1349">
      <x:c r="A1349" t="str">
        <x:v>TXN-0001348</x:v>
      </x:c>
      <x:c r="B1349" t="str">
        <x:v>2026-05</x:v>
      </x:c>
      <x:c r="C1349" t="n">
        <x:v>46150</x:v>
      </x:c>
      <x:c r="D1349" t="str">
        <x:v>USR-00517</x:v>
      </x:c>
      <x:c r="E1349" t="str">
        <x:v>SUS-000767</x:v>
      </x:c>
      <x:c r="F1349" t="str">
        <x:v>Plus mensual</x:v>
      </x:c>
      <x:c r="G1349" t="str">
        <x:v>Mensual</x:v>
      </x:c>
      <x:c r="H1349" t="n">
        <x:v>1</x:v>
      </x:c>
      <x:c r="I1349" t="str">
        <x:v>Aprobado</x:v>
      </x:c>
      <x:c r="J1349" t="n">
        <x:v>29900</x:v>
      </x:c>
      <x:c r="K1349" t="str">
        <x:v>Tarjeta débito</x:v>
      </x:c>
      <x:c r="L1349" t="str">
        <x:v>Sin error</x:v>
      </x:c>
    </x:row>
    <x:row r="1350">
      <x:c r="A1350" t="str">
        <x:v>TXN-0001349</x:v>
      </x:c>
      <x:c r="B1350" t="str">
        <x:v>2026-05</x:v>
      </x:c>
      <x:c r="C1350" t="n">
        <x:v>46152</x:v>
      </x:c>
      <x:c r="D1350" t="str">
        <x:v>USR-00518</x:v>
      </x:c>
      <x:c r="E1350" t="str">
        <x:v>SUS-000696</x:v>
      </x:c>
      <x:c r="F1350" t="str">
        <x:v>Plus mensual</x:v>
      </x:c>
      <x:c r="G1350" t="str">
        <x:v>Mensual</x:v>
      </x:c>
      <x:c r="H1350" t="n">
        <x:v>1</x:v>
      </x:c>
      <x:c r="I1350" t="str">
        <x:v>Aprobado</x:v>
      </x:c>
      <x:c r="J1350" t="n">
        <x:v>29900</x:v>
      </x:c>
      <x:c r="K1350" t="str">
        <x:v>PSE</x:v>
      </x:c>
      <x:c r="L1350" t="str">
        <x:v>Sin error</x:v>
      </x:c>
    </x:row>
    <x:row r="1351">
      <x:c r="A1351" t="str">
        <x:v>TXN-0001350</x:v>
      </x:c>
      <x:c r="B1351" t="str">
        <x:v>2026-05</x:v>
      </x:c>
      <x:c r="C1351" t="n">
        <x:v>46150</x:v>
      </x:c>
      <x:c r="D1351" t="str">
        <x:v>USR-00524</x:v>
      </x:c>
      <x:c r="E1351" t="str">
        <x:v>SUS-000876</x:v>
      </x:c>
      <x:c r="F1351" t="str">
        <x:v>Plus mensual</x:v>
      </x:c>
      <x:c r="G1351" t="str">
        <x:v>Mensual</x:v>
      </x:c>
      <x:c r="H1351" t="n">
        <x:v>1</x:v>
      </x:c>
      <x:c r="I1351" t="str">
        <x:v>Aprobado</x:v>
      </x:c>
      <x:c r="J1351" t="n">
        <x:v>29900</x:v>
      </x:c>
      <x:c r="K1351" t="str">
        <x:v>Tarjeta crédito</x:v>
      </x:c>
      <x:c r="L1351" t="str">
        <x:v>Sin error</x:v>
      </x:c>
    </x:row>
    <x:row r="1352">
      <x:c r="A1352" t="str">
        <x:v>TXN-0001351</x:v>
      </x:c>
      <x:c r="B1352" t="str">
        <x:v>2026-05</x:v>
      </x:c>
      <x:c r="C1352" t="n">
        <x:v>46154</x:v>
      </x:c>
      <x:c r="D1352" t="str">
        <x:v>USR-00527</x:v>
      </x:c>
      <x:c r="E1352" t="str">
        <x:v>SUS-000705</x:v>
      </x:c>
      <x:c r="F1352" t="str">
        <x:v>Plus mensual</x:v>
      </x:c>
      <x:c r="G1352" t="str">
        <x:v>Mensual</x:v>
      </x:c>
      <x:c r="H1352" t="n">
        <x:v>1</x:v>
      </x:c>
      <x:c r="I1352" t="str">
        <x:v>Aprobado</x:v>
      </x:c>
      <x:c r="J1352" t="n">
        <x:v>29900</x:v>
      </x:c>
      <x:c r="K1352" t="str">
        <x:v>Tarjeta débito</x:v>
      </x:c>
      <x:c r="L1352" t="str">
        <x:v>Sin error</x:v>
      </x:c>
    </x:row>
    <x:row r="1353">
      <x:c r="A1353" t="str">
        <x:v>TXN-0001352</x:v>
      </x:c>
      <x:c r="B1353" t="str">
        <x:v>2026-05</x:v>
      </x:c>
      <x:c r="C1353" t="n">
        <x:v>46152</x:v>
      </x:c>
      <x:c r="D1353" t="str">
        <x:v>USR-00528</x:v>
      </x:c>
      <x:c r="E1353" t="str">
        <x:v>SUS-000877</x:v>
      </x:c>
      <x:c r="F1353" t="str">
        <x:v>Plus mensual</x:v>
      </x:c>
      <x:c r="G1353" t="str">
        <x:v>Mensual</x:v>
      </x:c>
      <x:c r="H1353" t="n">
        <x:v>1</x:v>
      </x:c>
      <x:c r="I1353" t="str">
        <x:v>Aprobado</x:v>
      </x:c>
      <x:c r="J1353" t="n">
        <x:v>29900</x:v>
      </x:c>
      <x:c r="K1353" t="str">
        <x:v>Tarjeta débito</x:v>
      </x:c>
      <x:c r="L1353" t="str">
        <x:v>Sin error</x:v>
      </x:c>
    </x:row>
    <x:row r="1354">
      <x:c r="A1354" t="str">
        <x:v>TXN-0001353</x:v>
      </x:c>
      <x:c r="B1354" t="str">
        <x:v>2026-05</x:v>
      </x:c>
      <x:c r="C1354" t="n">
        <x:v>46150</x:v>
      </x:c>
      <x:c r="D1354" t="str">
        <x:v>USR-00532</x:v>
      </x:c>
      <x:c r="E1354" t="str">
        <x:v>SUS-001136</x:v>
      </x:c>
      <x:c r="F1354" t="str">
        <x:v>Plus mensual</x:v>
      </x:c>
      <x:c r="G1354" t="str">
        <x:v>Mensual</x:v>
      </x:c>
      <x:c r="H1354" t="n">
        <x:v>1</x:v>
      </x:c>
      <x:c r="I1354" t="str">
        <x:v>Aprobado</x:v>
      </x:c>
      <x:c r="J1354" t="n">
        <x:v>29900</x:v>
      </x:c>
      <x:c r="K1354" t="str">
        <x:v>Tarjeta débito</x:v>
      </x:c>
      <x:c r="L1354" t="str">
        <x:v>Sin error</x:v>
      </x:c>
    </x:row>
    <x:row r="1355">
      <x:c r="A1355" t="str">
        <x:v>TXN-0001354</x:v>
      </x:c>
      <x:c r="B1355" t="str">
        <x:v>2026-05</x:v>
      </x:c>
      <x:c r="C1355" t="n">
        <x:v>46152</x:v>
      </x:c>
      <x:c r="D1355" t="str">
        <x:v>USR-00534</x:v>
      </x:c>
      <x:c r="E1355" t="str">
        <x:v>SUS-000712</x:v>
      </x:c>
      <x:c r="F1355" t="str">
        <x:v>Plus mensual</x:v>
      </x:c>
      <x:c r="G1355" t="str">
        <x:v>Mensual</x:v>
      </x:c>
      <x:c r="H1355" t="n">
        <x:v>1</x:v>
      </x:c>
      <x:c r="I1355" t="str">
        <x:v>Aprobado</x:v>
      </x:c>
      <x:c r="J1355" t="n">
        <x:v>29900</x:v>
      </x:c>
      <x:c r="K1355" t="str">
        <x:v>Tarjeta crédito</x:v>
      </x:c>
      <x:c r="L1355" t="str">
        <x:v>Sin error</x:v>
      </x:c>
    </x:row>
    <x:row r="1356">
      <x:c r="A1356" t="str">
        <x:v>TXN-0001355</x:v>
      </x:c>
      <x:c r="B1356" t="str">
        <x:v>2026-05</x:v>
      </x:c>
      <x:c r="C1356" t="n">
        <x:v>46147</x:v>
      </x:c>
      <x:c r="D1356" t="str">
        <x:v>USR-00535</x:v>
      </x:c>
      <x:c r="E1356" t="str">
        <x:v>SUS-000996</x:v>
      </x:c>
      <x:c r="F1356" t="str">
        <x:v>Plus mensual</x:v>
      </x:c>
      <x:c r="G1356" t="str">
        <x:v>Mensual</x:v>
      </x:c>
      <x:c r="H1356" t="n">
        <x:v>1</x:v>
      </x:c>
      <x:c r="I1356" t="str">
        <x:v>Aprobado</x:v>
      </x:c>
      <x:c r="J1356" t="n">
        <x:v>29900</x:v>
      </x:c>
      <x:c r="K1356" t="str">
        <x:v>PSE</x:v>
      </x:c>
      <x:c r="L1356" t="str">
        <x:v>Sin error</x:v>
      </x:c>
    </x:row>
    <x:row r="1357">
      <x:c r="A1357" t="str">
        <x:v>TXN-0001356</x:v>
      </x:c>
      <x:c r="B1357" t="str">
        <x:v>2026-05</x:v>
      </x:c>
      <x:c r="C1357" t="n">
        <x:v>46149</x:v>
      </x:c>
      <x:c r="D1357" t="str">
        <x:v>USR-00538</x:v>
      </x:c>
      <x:c r="E1357" t="str">
        <x:v>SUS-000716</x:v>
      </x:c>
      <x:c r="F1357" t="str">
        <x:v>Plus mensual</x:v>
      </x:c>
      <x:c r="G1357" t="str">
        <x:v>Mensual</x:v>
      </x:c>
      <x:c r="H1357" t="n">
        <x:v>1</x:v>
      </x:c>
      <x:c r="I1357" t="str">
        <x:v>Rechazado</x:v>
      </x:c>
      <x:c r="J1357" t="n">
        <x:v>29900</x:v>
      </x:c>
      <x:c r="K1357" t="str">
        <x:v>Tarjeta débito</x:v>
      </x:c>
      <x:c r="L1357" t="str">
        <x:v>Fondos insuficientes</x:v>
      </x:c>
    </x:row>
    <x:row r="1358">
      <x:c r="A1358" t="str">
        <x:v>TXN-0001357</x:v>
      </x:c>
      <x:c r="B1358" t="str">
        <x:v>2026-05</x:v>
      </x:c>
      <x:c r="C1358" t="n">
        <x:v>46153</x:v>
      </x:c>
      <x:c r="D1358" t="str">
        <x:v>USR-00538</x:v>
      </x:c>
      <x:c r="E1358" t="str">
        <x:v>SUS-000716</x:v>
      </x:c>
      <x:c r="F1358" t="str">
        <x:v>Plus mensual</x:v>
      </x:c>
      <x:c r="G1358" t="str">
        <x:v>Mensual</x:v>
      </x:c>
      <x:c r="H1358" t="n">
        <x:v>2</x:v>
      </x:c>
      <x:c r="I1358" t="str">
        <x:v>Aprobado</x:v>
      </x:c>
      <x:c r="J1358" t="n">
        <x:v>29900</x:v>
      </x:c>
      <x:c r="K1358" t="str">
        <x:v>PSE</x:v>
      </x:c>
      <x:c r="L1358" t="str">
        <x:v>Sin error</x:v>
      </x:c>
    </x:row>
    <x:row r="1359">
      <x:c r="A1359" t="str">
        <x:v>TXN-0001358</x:v>
      </x:c>
      <x:c r="B1359" t="str">
        <x:v>2026-05</x:v>
      </x:c>
      <x:c r="C1359" t="n">
        <x:v>46151</x:v>
      </x:c>
      <x:c r="D1359" t="str">
        <x:v>USR-00539</x:v>
      </x:c>
      <x:c r="E1359" t="str">
        <x:v>SUS-001137</x:v>
      </x:c>
      <x:c r="F1359" t="str">
        <x:v>Plus mensual</x:v>
      </x:c>
      <x:c r="G1359" t="str">
        <x:v>Mensual</x:v>
      </x:c>
      <x:c r="H1359" t="n">
        <x:v>1</x:v>
      </x:c>
      <x:c r="I1359" t="str">
        <x:v>Aprobado</x:v>
      </x:c>
      <x:c r="J1359" t="n">
        <x:v>29900</x:v>
      </x:c>
      <x:c r="K1359" t="str">
        <x:v>Tarjeta crédito</x:v>
      </x:c>
      <x:c r="L1359" t="str">
        <x:v>Sin error</x:v>
      </x:c>
    </x:row>
    <x:row r="1360">
      <x:c r="A1360" t="str">
        <x:v>TXN-0001359</x:v>
      </x:c>
      <x:c r="B1360" t="str">
        <x:v>2026-05</x:v>
      </x:c>
      <x:c r="C1360" t="n">
        <x:v>46150</x:v>
      </x:c>
      <x:c r="D1360" t="str">
        <x:v>USR-00547</x:v>
      </x:c>
      <x:c r="E1360" t="str">
        <x:v>SUS-000725</x:v>
      </x:c>
      <x:c r="F1360" t="str">
        <x:v>Plus mensual</x:v>
      </x:c>
      <x:c r="G1360" t="str">
        <x:v>Mensual</x:v>
      </x:c>
      <x:c r="H1360" t="n">
        <x:v>1</x:v>
      </x:c>
      <x:c r="I1360" t="str">
        <x:v>Aprobado</x:v>
      </x:c>
      <x:c r="J1360" t="n">
        <x:v>29900</x:v>
      </x:c>
      <x:c r="K1360" t="str">
        <x:v>PSE</x:v>
      </x:c>
      <x:c r="L1360" t="str">
        <x:v>Sin error</x:v>
      </x:c>
    </x:row>
    <x:row r="1361">
      <x:c r="A1361" t="str">
        <x:v>TXN-0001360</x:v>
      </x:c>
      <x:c r="B1361" t="str">
        <x:v>2026-05</x:v>
      </x:c>
      <x:c r="C1361" t="n">
        <x:v>46152</x:v>
      </x:c>
      <x:c r="D1361" t="str">
        <x:v>USR-00560</x:v>
      </x:c>
      <x:c r="E1361" t="str">
        <x:v>SUS-000879</x:v>
      </x:c>
      <x:c r="F1361" t="str">
        <x:v>Plus mensual</x:v>
      </x:c>
      <x:c r="G1361" t="str">
        <x:v>Mensual</x:v>
      </x:c>
      <x:c r="H1361" t="n">
        <x:v>1</x:v>
      </x:c>
      <x:c r="I1361" t="str">
        <x:v>Aprobado</x:v>
      </x:c>
      <x:c r="J1361" t="n">
        <x:v>29900</x:v>
      </x:c>
      <x:c r="K1361" t="str">
        <x:v>Tarjeta débito</x:v>
      </x:c>
      <x:c r="L1361" t="str">
        <x:v>Sin error</x:v>
      </x:c>
    </x:row>
    <x:row r="1362">
      <x:c r="A1362" t="str">
        <x:v>TXN-0001361</x:v>
      </x:c>
      <x:c r="B1362" t="str">
        <x:v>2026-05</x:v>
      </x:c>
      <x:c r="C1362" t="n">
        <x:v>46152</x:v>
      </x:c>
      <x:c r="D1362" t="str">
        <x:v>USR-00561</x:v>
      </x:c>
      <x:c r="E1362" t="str">
        <x:v>SUS-000880</x:v>
      </x:c>
      <x:c r="F1362" t="str">
        <x:v>Plus mensual</x:v>
      </x:c>
      <x:c r="G1362" t="str">
        <x:v>Mensual</x:v>
      </x:c>
      <x:c r="H1362" t="n">
        <x:v>1</x:v>
      </x:c>
      <x:c r="I1362" t="str">
        <x:v>Aprobado</x:v>
      </x:c>
      <x:c r="J1362" t="n">
        <x:v>29900</x:v>
      </x:c>
      <x:c r="K1362" t="str">
        <x:v>Tarjeta crédito</x:v>
      </x:c>
      <x:c r="L1362" t="str">
        <x:v>Sin error</x:v>
      </x:c>
    </x:row>
    <x:row r="1363">
      <x:c r="A1363" t="str">
        <x:v>TXN-0001362</x:v>
      </x:c>
      <x:c r="B1363" t="str">
        <x:v>2026-05</x:v>
      </x:c>
      <x:c r="C1363" t="n">
        <x:v>46151</x:v>
      </x:c>
      <x:c r="D1363" t="str">
        <x:v>USR-00563</x:v>
      </x:c>
      <x:c r="E1363" t="str">
        <x:v>SUS-000777</x:v>
      </x:c>
      <x:c r="F1363" t="str">
        <x:v>Plus mensual</x:v>
      </x:c>
      <x:c r="G1363" t="str">
        <x:v>Mensual</x:v>
      </x:c>
      <x:c r="H1363" t="n">
        <x:v>1</x:v>
      </x:c>
      <x:c r="I1363" t="str">
        <x:v>Aprobado</x:v>
      </x:c>
      <x:c r="J1363" t="n">
        <x:v>29900</x:v>
      </x:c>
      <x:c r="K1363" t="str">
        <x:v>Tarjeta crédito</x:v>
      </x:c>
      <x:c r="L1363" t="str">
        <x:v>Sin error</x:v>
      </x:c>
    </x:row>
    <x:row r="1364">
      <x:c r="A1364" t="str">
        <x:v>TXN-0001363</x:v>
      </x:c>
      <x:c r="B1364" t="str">
        <x:v>2026-05</x:v>
      </x:c>
      <x:c r="C1364" t="n">
        <x:v>46148</x:v>
      </x:c>
      <x:c r="D1364" t="str">
        <x:v>USR-00565</x:v>
      </x:c>
      <x:c r="E1364" t="str">
        <x:v>SUS-001138</x:v>
      </x:c>
      <x:c r="F1364" t="str">
        <x:v>Plus mensual</x:v>
      </x:c>
      <x:c r="G1364" t="str">
        <x:v>Mensual</x:v>
      </x:c>
      <x:c r="H1364" t="n">
        <x:v>1</x:v>
      </x:c>
      <x:c r="I1364" t="str">
        <x:v>Aprobado</x:v>
      </x:c>
      <x:c r="J1364" t="n">
        <x:v>29900</x:v>
      </x:c>
      <x:c r="K1364" t="str">
        <x:v>Tarjeta crédito</x:v>
      </x:c>
      <x:c r="L1364" t="str">
        <x:v>Sin error</x:v>
      </x:c>
    </x:row>
    <x:row r="1365">
      <x:c r="A1365" t="str">
        <x:v>TXN-0001364</x:v>
      </x:c>
      <x:c r="B1365" t="str">
        <x:v>2026-05</x:v>
      </x:c>
      <x:c r="C1365" t="n">
        <x:v>46154</x:v>
      </x:c>
      <x:c r="D1365" t="str">
        <x:v>USR-00567</x:v>
      </x:c>
      <x:c r="E1365" t="str">
        <x:v>SUS-000999</x:v>
      </x:c>
      <x:c r="F1365" t="str">
        <x:v>Plus mensual</x:v>
      </x:c>
      <x:c r="G1365" t="str">
        <x:v>Mensual</x:v>
      </x:c>
      <x:c r="H1365" t="n">
        <x:v>1</x:v>
      </x:c>
      <x:c r="I1365" t="str">
        <x:v>Aprobado</x:v>
      </x:c>
      <x:c r="J1365" t="n">
        <x:v>29900</x:v>
      </x:c>
      <x:c r="K1365" t="str">
        <x:v>PSE</x:v>
      </x:c>
      <x:c r="L1365" t="str">
        <x:v>Sin error</x:v>
      </x:c>
    </x:row>
    <x:row r="1366">
      <x:c r="A1366" t="str">
        <x:v>TXN-0001365</x:v>
      </x:c>
      <x:c r="B1366" t="str">
        <x:v>2026-05</x:v>
      </x:c>
      <x:c r="C1366" t="n">
        <x:v>46151</x:v>
      </x:c>
      <x:c r="D1366" t="str">
        <x:v>USR-00577</x:v>
      </x:c>
      <x:c r="E1366" t="str">
        <x:v>SUS-001139</x:v>
      </x:c>
      <x:c r="F1366" t="str">
        <x:v>Plus anual</x:v>
      </x:c>
      <x:c r="G1366" t="str">
        <x:v>Anual</x:v>
      </x:c>
      <x:c r="H1366" t="n">
        <x:v>1</x:v>
      </x:c>
      <x:c r="I1366" t="str">
        <x:v>Aprobado</x:v>
      </x:c>
      <x:c r="J1366" t="n">
        <x:v>299000</x:v>
      </x:c>
      <x:c r="K1366" t="str">
        <x:v>Tarjeta débito</x:v>
      </x:c>
      <x:c r="L1366" t="str">
        <x:v>Sin error</x:v>
      </x:c>
    </x:row>
    <x:row r="1367">
      <x:c r="A1367" t="str">
        <x:v>TXN-0001366</x:v>
      </x:c>
      <x:c r="B1367" t="str">
        <x:v>2026-05</x:v>
      </x:c>
      <x:c r="C1367" t="n">
        <x:v>46151</x:v>
      </x:c>
      <x:c r="D1367" t="str">
        <x:v>USR-00587</x:v>
      </x:c>
      <x:c r="E1367" t="str">
        <x:v>SUS-000801</x:v>
      </x:c>
      <x:c r="F1367" t="str">
        <x:v>Plus mensual</x:v>
      </x:c>
      <x:c r="G1367" t="str">
        <x:v>Mensual</x:v>
      </x:c>
      <x:c r="H1367" t="n">
        <x:v>1</x:v>
      </x:c>
      <x:c r="I1367" t="str">
        <x:v>Aprobado</x:v>
      </x:c>
      <x:c r="J1367" t="n">
        <x:v>29900</x:v>
      </x:c>
      <x:c r="K1367" t="str">
        <x:v>Tarjeta débito</x:v>
      </x:c>
      <x:c r="L1367" t="str">
        <x:v>Sin error</x:v>
      </x:c>
    </x:row>
    <x:row r="1368">
      <x:c r="A1368" t="str">
        <x:v>TXN-0001367</x:v>
      </x:c>
      <x:c r="B1368" t="str">
        <x:v>2026-05</x:v>
      </x:c>
      <x:c r="C1368" t="n">
        <x:v>46149</x:v>
      </x:c>
      <x:c r="D1368" t="str">
        <x:v>USR-00592</x:v>
      </x:c>
      <x:c r="E1368" t="str">
        <x:v>SUS-001001</x:v>
      </x:c>
      <x:c r="F1368" t="str">
        <x:v>Plus mensual</x:v>
      </x:c>
      <x:c r="G1368" t="str">
        <x:v>Mensual</x:v>
      </x:c>
      <x:c r="H1368" t="n">
        <x:v>1</x:v>
      </x:c>
      <x:c r="I1368" t="str">
        <x:v>Aprobado</x:v>
      </x:c>
      <x:c r="J1368" t="n">
        <x:v>29900</x:v>
      </x:c>
      <x:c r="K1368" t="str">
        <x:v>Tarjeta débito</x:v>
      </x:c>
      <x:c r="L1368" t="str">
        <x:v>Sin error</x:v>
      </x:c>
    </x:row>
    <x:row r="1369">
      <x:c r="A1369" t="str">
        <x:v>TXN-0001368</x:v>
      </x:c>
      <x:c r="B1369" t="str">
        <x:v>2026-05</x:v>
      </x:c>
      <x:c r="C1369" t="n">
        <x:v>46147</x:v>
      </x:c>
      <x:c r="D1369" t="str">
        <x:v>USR-00602</x:v>
      </x:c>
      <x:c r="E1369" t="str">
        <x:v>SUS-000816</x:v>
      </x:c>
      <x:c r="F1369" t="str">
        <x:v>Plus mensual</x:v>
      </x:c>
      <x:c r="G1369" t="str">
        <x:v>Mensual</x:v>
      </x:c>
      <x:c r="H1369" t="n">
        <x:v>1</x:v>
      </x:c>
      <x:c r="I1369" t="str">
        <x:v>Aprobado</x:v>
      </x:c>
      <x:c r="J1369" t="n">
        <x:v>29900</x:v>
      </x:c>
      <x:c r="K1369" t="str">
        <x:v>PSE</x:v>
      </x:c>
      <x:c r="L1369" t="str">
        <x:v>Sin error</x:v>
      </x:c>
    </x:row>
    <x:row r="1370">
      <x:c r="A1370" t="str">
        <x:v>TXN-0001369</x:v>
      </x:c>
      <x:c r="B1370" t="str">
        <x:v>2026-05</x:v>
      </x:c>
      <x:c r="C1370" t="n">
        <x:v>46147</x:v>
      </x:c>
      <x:c r="D1370" t="str">
        <x:v>USR-00614</x:v>
      </x:c>
      <x:c r="E1370" t="str">
        <x:v>SUS-000885</x:v>
      </x:c>
      <x:c r="F1370" t="str">
        <x:v>Plus mensual</x:v>
      </x:c>
      <x:c r="G1370" t="str">
        <x:v>Mensual</x:v>
      </x:c>
      <x:c r="H1370" t="n">
        <x:v>1</x:v>
      </x:c>
      <x:c r="I1370" t="str">
        <x:v>Aprobado</x:v>
      </x:c>
      <x:c r="J1370" t="n">
        <x:v>29900</x:v>
      </x:c>
      <x:c r="K1370" t="str">
        <x:v>Tarjeta crédito</x:v>
      </x:c>
      <x:c r="L1370" t="str">
        <x:v>Sin error</x:v>
      </x:c>
    </x:row>
    <x:row r="1371">
      <x:c r="A1371" t="str">
        <x:v>TXN-0001370</x:v>
      </x:c>
      <x:c r="B1371" t="str">
        <x:v>2026-05</x:v>
      </x:c>
      <x:c r="C1371" t="n">
        <x:v>46153</x:v>
      </x:c>
      <x:c r="D1371" t="str">
        <x:v>USR-00619</x:v>
      </x:c>
      <x:c r="E1371" t="str">
        <x:v>SUS-000833</x:v>
      </x:c>
      <x:c r="F1371" t="str">
        <x:v>Plus mensual</x:v>
      </x:c>
      <x:c r="G1371" t="str">
        <x:v>Mensual</x:v>
      </x:c>
      <x:c r="H1371" t="n">
        <x:v>1</x:v>
      </x:c>
      <x:c r="I1371" t="str">
        <x:v>Aprobado</x:v>
      </x:c>
      <x:c r="J1371" t="n">
        <x:v>29900</x:v>
      </x:c>
      <x:c r="K1371" t="str">
        <x:v>Tarjeta débito</x:v>
      </x:c>
      <x:c r="L1371" t="str">
        <x:v>Sin error</x:v>
      </x:c>
    </x:row>
    <x:row r="1372">
      <x:c r="A1372" t="str">
        <x:v>TXN-0001371</x:v>
      </x:c>
      <x:c r="B1372" t="str">
        <x:v>2026-05</x:v>
      </x:c>
      <x:c r="C1372" t="n">
        <x:v>46150</x:v>
      </x:c>
      <x:c r="D1372" t="str">
        <x:v>USR-00621</x:v>
      </x:c>
      <x:c r="E1372" t="str">
        <x:v>SUS-000835</x:v>
      </x:c>
      <x:c r="F1372" t="str">
        <x:v>Plus mensual</x:v>
      </x:c>
      <x:c r="G1372" t="str">
        <x:v>Mensual</x:v>
      </x:c>
      <x:c r="H1372" t="n">
        <x:v>1</x:v>
      </x:c>
      <x:c r="I1372" t="str">
        <x:v>Aprobado</x:v>
      </x:c>
      <x:c r="J1372" t="n">
        <x:v>29900</x:v>
      </x:c>
      <x:c r="K1372" t="str">
        <x:v>Tarjeta débito</x:v>
      </x:c>
      <x:c r="L1372" t="str">
        <x:v>Sin error</x:v>
      </x:c>
    </x:row>
    <x:row r="1373">
      <x:c r="A1373" t="str">
        <x:v>TXN-0001372</x:v>
      </x:c>
      <x:c r="B1373" t="str">
        <x:v>2026-05</x:v>
      </x:c>
      <x:c r="C1373" t="n">
        <x:v>46150</x:v>
      </x:c>
      <x:c r="D1373" t="str">
        <x:v>USR-00622</x:v>
      </x:c>
      <x:c r="E1373" t="str">
        <x:v>SUS-001140</x:v>
      </x:c>
      <x:c r="F1373" t="str">
        <x:v>Plus mensual</x:v>
      </x:c>
      <x:c r="G1373" t="str">
        <x:v>Mensual</x:v>
      </x:c>
      <x:c r="H1373" t="n">
        <x:v>1</x:v>
      </x:c>
      <x:c r="I1373" t="str">
        <x:v>Aprobado</x:v>
      </x:c>
      <x:c r="J1373" t="n">
        <x:v>29900</x:v>
      </x:c>
      <x:c r="K1373" t="str">
        <x:v>Tarjeta débito</x:v>
      </x:c>
      <x:c r="L1373" t="str">
        <x:v>Sin error</x:v>
      </x:c>
    </x:row>
    <x:row r="1374">
      <x:c r="A1374" t="str">
        <x:v>TXN-0001373</x:v>
      </x:c>
      <x:c r="B1374" t="str">
        <x:v>2026-05</x:v>
      </x:c>
      <x:c r="C1374" t="n">
        <x:v>46152</x:v>
      </x:c>
      <x:c r="D1374" t="str">
        <x:v>USR-00625</x:v>
      </x:c>
      <x:c r="E1374" t="str">
        <x:v>SUS-000888</x:v>
      </x:c>
      <x:c r="F1374" t="str">
        <x:v>Plus mensual</x:v>
      </x:c>
      <x:c r="G1374" t="str">
        <x:v>Mensual</x:v>
      </x:c>
      <x:c r="H1374" t="n">
        <x:v>1</x:v>
      </x:c>
      <x:c r="I1374" t="str">
        <x:v>Aprobado</x:v>
      </x:c>
      <x:c r="J1374" t="n">
        <x:v>29900</x:v>
      </x:c>
      <x:c r="K1374" t="str">
        <x:v>Tarjeta crédito</x:v>
      </x:c>
      <x:c r="L1374" t="str">
        <x:v>Sin error</x:v>
      </x:c>
    </x:row>
    <x:row r="1375">
      <x:c r="A1375" t="str">
        <x:v>TXN-0001374</x:v>
      </x:c>
      <x:c r="B1375" t="str">
        <x:v>2026-05</x:v>
      </x:c>
      <x:c r="C1375" t="n">
        <x:v>46152</x:v>
      </x:c>
      <x:c r="D1375" t="str">
        <x:v>USR-00626</x:v>
      </x:c>
      <x:c r="E1375" t="str">
        <x:v>SUS-000889</x:v>
      </x:c>
      <x:c r="F1375" t="str">
        <x:v>Plus mensual</x:v>
      </x:c>
      <x:c r="G1375" t="str">
        <x:v>Mensual</x:v>
      </x:c>
      <x:c r="H1375" t="n">
        <x:v>1</x:v>
      </x:c>
      <x:c r="I1375" t="str">
        <x:v>Aprobado</x:v>
      </x:c>
      <x:c r="J1375" t="n">
        <x:v>29900</x:v>
      </x:c>
      <x:c r="K1375" t="str">
        <x:v>PSE</x:v>
      </x:c>
      <x:c r="L1375" t="str">
        <x:v>Sin error</x:v>
      </x:c>
    </x:row>
    <x:row r="1376">
      <x:c r="A1376" t="str">
        <x:v>TXN-0001375</x:v>
      </x:c>
      <x:c r="B1376" t="str">
        <x:v>2026-05</x:v>
      </x:c>
      <x:c r="C1376" t="n">
        <x:v>46147</x:v>
      </x:c>
      <x:c r="D1376" t="str">
        <x:v>USR-00636</x:v>
      </x:c>
      <x:c r="E1376" t="str">
        <x:v>SUS-001005</x:v>
      </x:c>
      <x:c r="F1376" t="str">
        <x:v>Plus mensual</x:v>
      </x:c>
      <x:c r="G1376" t="str">
        <x:v>Mensual</x:v>
      </x:c>
      <x:c r="H1376" t="n">
        <x:v>1</x:v>
      </x:c>
      <x:c r="I1376" t="str">
        <x:v>Aprobado</x:v>
      </x:c>
      <x:c r="J1376" t="n">
        <x:v>29900</x:v>
      </x:c>
      <x:c r="K1376" t="str">
        <x:v>Tarjeta crédito</x:v>
      </x:c>
      <x:c r="L1376" t="str">
        <x:v>Sin error</x:v>
      </x:c>
    </x:row>
    <x:row r="1377">
      <x:c r="A1377" t="str">
        <x:v>TXN-0001376</x:v>
      </x:c>
      <x:c r="B1377" t="str">
        <x:v>2026-05</x:v>
      </x:c>
      <x:c r="C1377" t="n">
        <x:v>46150</x:v>
      </x:c>
      <x:c r="D1377" t="str">
        <x:v>USR-00639</x:v>
      </x:c>
      <x:c r="E1377" t="str">
        <x:v>SUS-001006</x:v>
      </x:c>
      <x:c r="F1377" t="str">
        <x:v>Plus mensual</x:v>
      </x:c>
      <x:c r="G1377" t="str">
        <x:v>Mensual</x:v>
      </x:c>
      <x:c r="H1377" t="n">
        <x:v>1</x:v>
      </x:c>
      <x:c r="I1377" t="str">
        <x:v>Aprobado</x:v>
      </x:c>
      <x:c r="J1377" t="n">
        <x:v>29900</x:v>
      </x:c>
      <x:c r="K1377" t="str">
        <x:v>Tarjeta crédito</x:v>
      </x:c>
      <x:c r="L1377" t="str">
        <x:v>Sin error</x:v>
      </x:c>
    </x:row>
    <x:row r="1378">
      <x:c r="A1378" t="str">
        <x:v>TXN-0001377</x:v>
      </x:c>
      <x:c r="B1378" t="str">
        <x:v>2026-05</x:v>
      </x:c>
      <x:c r="C1378" t="n">
        <x:v>46152</x:v>
      </x:c>
      <x:c r="D1378" t="str">
        <x:v>USR-00644</x:v>
      </x:c>
      <x:c r="E1378" t="str">
        <x:v>SUS-000907</x:v>
      </x:c>
      <x:c r="F1378" t="str">
        <x:v>Plus mensual</x:v>
      </x:c>
      <x:c r="G1378" t="str">
        <x:v>Mensual</x:v>
      </x:c>
      <x:c r="H1378" t="n">
        <x:v>1</x:v>
      </x:c>
      <x:c r="I1378" t="str">
        <x:v>Aprobado</x:v>
      </x:c>
      <x:c r="J1378" t="n">
        <x:v>29900</x:v>
      </x:c>
      <x:c r="K1378" t="str">
        <x:v>PSE</x:v>
      </x:c>
      <x:c r="L1378" t="str">
        <x:v>Sin error</x:v>
      </x:c>
    </x:row>
    <x:row r="1379">
      <x:c r="A1379" t="str">
        <x:v>TXN-0001378</x:v>
      </x:c>
      <x:c r="B1379" t="str">
        <x:v>2026-05</x:v>
      </x:c>
      <x:c r="C1379" t="n">
        <x:v>46152</x:v>
      </x:c>
      <x:c r="D1379" t="str">
        <x:v>USR-00648</x:v>
      </x:c>
      <x:c r="E1379" t="str">
        <x:v>SUS-000911</x:v>
      </x:c>
      <x:c r="F1379" t="str">
        <x:v>Plus mensual</x:v>
      </x:c>
      <x:c r="G1379" t="str">
        <x:v>Mensual</x:v>
      </x:c>
      <x:c r="H1379" t="n">
        <x:v>1</x:v>
      </x:c>
      <x:c r="I1379" t="str">
        <x:v>Aprobado</x:v>
      </x:c>
      <x:c r="J1379" t="n">
        <x:v>29900</x:v>
      </x:c>
      <x:c r="K1379" t="str">
        <x:v>Tarjeta crédito</x:v>
      </x:c>
      <x:c r="L1379" t="str">
        <x:v>Sin error</x:v>
      </x:c>
    </x:row>
    <x:row r="1380">
      <x:c r="A1380" t="str">
        <x:v>TXN-0001379</x:v>
      </x:c>
      <x:c r="B1380" t="str">
        <x:v>2026-05</x:v>
      </x:c>
      <x:c r="C1380" t="n">
        <x:v>46147</x:v>
      </x:c>
      <x:c r="D1380" t="str">
        <x:v>USR-00651</x:v>
      </x:c>
      <x:c r="E1380" t="str">
        <x:v>SUS-000914</x:v>
      </x:c>
      <x:c r="F1380" t="str">
        <x:v>Plus mensual</x:v>
      </x:c>
      <x:c r="G1380" t="str">
        <x:v>Mensual</x:v>
      </x:c>
      <x:c r="H1380" t="n">
        <x:v>1</x:v>
      </x:c>
      <x:c r="I1380" t="str">
        <x:v>Rechazado</x:v>
      </x:c>
      <x:c r="J1380" t="n">
        <x:v>29900</x:v>
      </x:c>
      <x:c r="K1380" t="str">
        <x:v>PSE</x:v>
      </x:c>
      <x:c r="L1380" t="str">
        <x:v>Declinado por entidad</x:v>
      </x:c>
    </x:row>
    <x:row r="1381">
      <x:c r="A1381" t="str">
        <x:v>TXN-0001380</x:v>
      </x:c>
      <x:c r="B1381" t="str">
        <x:v>2026-05</x:v>
      </x:c>
      <x:c r="C1381" t="n">
        <x:v>46148</x:v>
      </x:c>
      <x:c r="D1381" t="str">
        <x:v>USR-00651</x:v>
      </x:c>
      <x:c r="E1381" t="str">
        <x:v>SUS-000914</x:v>
      </x:c>
      <x:c r="F1381" t="str">
        <x:v>Plus mensual</x:v>
      </x:c>
      <x:c r="G1381" t="str">
        <x:v>Mensual</x:v>
      </x:c>
      <x:c r="H1381" t="n">
        <x:v>2</x:v>
      </x:c>
      <x:c r="I1381" t="str">
        <x:v>Aprobado</x:v>
      </x:c>
      <x:c r="J1381" t="n">
        <x:v>29900</x:v>
      </x:c>
      <x:c r="K1381" t="str">
        <x:v>Tarjeta crédito</x:v>
      </x:c>
      <x:c r="L1381" t="str">
        <x:v>Sin error</x:v>
      </x:c>
    </x:row>
    <x:row r="1382">
      <x:c r="A1382" t="str">
        <x:v>TXN-0001381</x:v>
      </x:c>
      <x:c r="B1382" t="str">
        <x:v>2026-05</x:v>
      </x:c>
      <x:c r="C1382" t="n">
        <x:v>46147</x:v>
      </x:c>
      <x:c r="D1382" t="str">
        <x:v>USR-00652</x:v>
      </x:c>
      <x:c r="E1382" t="str">
        <x:v>SUS-001141</x:v>
      </x:c>
      <x:c r="F1382" t="str">
        <x:v>Plus mensual</x:v>
      </x:c>
      <x:c r="G1382" t="str">
        <x:v>Mensual</x:v>
      </x:c>
      <x:c r="H1382" t="n">
        <x:v>1</x:v>
      </x:c>
      <x:c r="I1382" t="str">
        <x:v>Aprobado</x:v>
      </x:c>
      <x:c r="J1382" t="n">
        <x:v>29900</x:v>
      </x:c>
      <x:c r="K1382" t="str">
        <x:v>Tarjeta débito</x:v>
      </x:c>
      <x:c r="L1382" t="str">
        <x:v>Sin error</x:v>
      </x:c>
    </x:row>
    <x:row r="1383">
      <x:c r="A1383" t="str">
        <x:v>TXN-0001382</x:v>
      </x:c>
      <x:c r="B1383" t="str">
        <x:v>2026-05</x:v>
      </x:c>
      <x:c r="C1383" t="n">
        <x:v>46150</x:v>
      </x:c>
      <x:c r="D1383" t="str">
        <x:v>USR-00654</x:v>
      </x:c>
      <x:c r="E1383" t="str">
        <x:v>SUS-000917</x:v>
      </x:c>
      <x:c r="F1383" t="str">
        <x:v>Plus mensual</x:v>
      </x:c>
      <x:c r="G1383" t="str">
        <x:v>Mensual</x:v>
      </x:c>
      <x:c r="H1383" t="n">
        <x:v>1</x:v>
      </x:c>
      <x:c r="I1383" t="str">
        <x:v>Aprobado</x:v>
      </x:c>
      <x:c r="J1383" t="n">
        <x:v>29900</x:v>
      </x:c>
      <x:c r="K1383" t="str">
        <x:v>PSE</x:v>
      </x:c>
      <x:c r="L1383" t="str">
        <x:v>Sin error</x:v>
      </x:c>
    </x:row>
    <x:row r="1384">
      <x:c r="A1384" t="str">
        <x:v>TXN-0001383</x:v>
      </x:c>
      <x:c r="B1384" t="str">
        <x:v>2026-05</x:v>
      </x:c>
      <x:c r="C1384" t="n">
        <x:v>46150</x:v>
      </x:c>
      <x:c r="D1384" t="str">
        <x:v>USR-00660</x:v>
      </x:c>
      <x:c r="E1384" t="str">
        <x:v>SUS-001008</x:v>
      </x:c>
      <x:c r="F1384" t="str">
        <x:v>Plus mensual</x:v>
      </x:c>
      <x:c r="G1384" t="str">
        <x:v>Mensual</x:v>
      </x:c>
      <x:c r="H1384" t="n">
        <x:v>1</x:v>
      </x:c>
      <x:c r="I1384" t="str">
        <x:v>Aprobado</x:v>
      </x:c>
      <x:c r="J1384" t="n">
        <x:v>29900</x:v>
      </x:c>
      <x:c r="K1384" t="str">
        <x:v>Tarjeta débito</x:v>
      </x:c>
      <x:c r="L1384" t="str">
        <x:v>Sin error</x:v>
      </x:c>
    </x:row>
    <x:row r="1385">
      <x:c r="A1385" t="str">
        <x:v>TXN-0001384</x:v>
      </x:c>
      <x:c r="B1385" t="str">
        <x:v>2026-05</x:v>
      </x:c>
      <x:c r="C1385" t="n">
        <x:v>46147</x:v>
      </x:c>
      <x:c r="D1385" t="str">
        <x:v>USR-00661</x:v>
      </x:c>
      <x:c r="E1385" t="str">
        <x:v>SUS-001142</x:v>
      </x:c>
      <x:c r="F1385" t="str">
        <x:v>Plus mensual</x:v>
      </x:c>
      <x:c r="G1385" t="str">
        <x:v>Mensual</x:v>
      </x:c>
      <x:c r="H1385" t="n">
        <x:v>1</x:v>
      </x:c>
      <x:c r="I1385" t="str">
        <x:v>Aprobado</x:v>
      </x:c>
      <x:c r="J1385" t="n">
        <x:v>29900</x:v>
      </x:c>
      <x:c r="K1385" t="str">
        <x:v>Tarjeta crédito</x:v>
      </x:c>
      <x:c r="L1385" t="str">
        <x:v>Sin error</x:v>
      </x:c>
    </x:row>
    <x:row r="1386">
      <x:c r="A1386" t="str">
        <x:v>TXN-0001385</x:v>
      </x:c>
      <x:c r="B1386" t="str">
        <x:v>2026-05</x:v>
      </x:c>
      <x:c r="C1386" t="n">
        <x:v>46154</x:v>
      </x:c>
      <x:c r="D1386" t="str">
        <x:v>USR-00666</x:v>
      </x:c>
      <x:c r="E1386" t="str">
        <x:v>SUS-001009</x:v>
      </x:c>
      <x:c r="F1386" t="str">
        <x:v>Plus mensual</x:v>
      </x:c>
      <x:c r="G1386" t="str">
        <x:v>Mensual</x:v>
      </x:c>
      <x:c r="H1386" t="n">
        <x:v>1</x:v>
      </x:c>
      <x:c r="I1386" t="str">
        <x:v>Aprobado</x:v>
      </x:c>
      <x:c r="J1386" t="n">
        <x:v>29900</x:v>
      </x:c>
      <x:c r="K1386" t="str">
        <x:v>PSE</x:v>
      </x:c>
      <x:c r="L1386" t="str">
        <x:v>Sin error</x:v>
      </x:c>
    </x:row>
    <x:row r="1387">
      <x:c r="A1387" t="str">
        <x:v>TXN-0001386</x:v>
      </x:c>
      <x:c r="B1387" t="str">
        <x:v>2026-05</x:v>
      </x:c>
      <x:c r="C1387" t="n">
        <x:v>46152</x:v>
      </x:c>
      <x:c r="D1387" t="str">
        <x:v>USR-00668</x:v>
      </x:c>
      <x:c r="E1387" t="str">
        <x:v>SUS-001143</x:v>
      </x:c>
      <x:c r="F1387" t="str">
        <x:v>Plus anual</x:v>
      </x:c>
      <x:c r="G1387" t="str">
        <x:v>Anual</x:v>
      </x:c>
      <x:c r="H1387" t="n">
        <x:v>1</x:v>
      </x:c>
      <x:c r="I1387" t="str">
        <x:v>Aprobado</x:v>
      </x:c>
      <x:c r="J1387" t="n">
        <x:v>299000</x:v>
      </x:c>
      <x:c r="K1387" t="str">
        <x:v>Tarjeta crédito</x:v>
      </x:c>
      <x:c r="L1387" t="str">
        <x:v>Sin error</x:v>
      </x:c>
    </x:row>
    <x:row r="1388">
      <x:c r="A1388" t="str">
        <x:v>TXN-0001387</x:v>
      </x:c>
      <x:c r="B1388" t="str">
        <x:v>2026-05</x:v>
      </x:c>
      <x:c r="C1388" t="n">
        <x:v>46153</x:v>
      </x:c>
      <x:c r="D1388" t="str">
        <x:v>USR-00669</x:v>
      </x:c>
      <x:c r="E1388" t="str">
        <x:v>SUS-000932</x:v>
      </x:c>
      <x:c r="F1388" t="str">
        <x:v>Plus mensual</x:v>
      </x:c>
      <x:c r="G1388" t="str">
        <x:v>Mensual</x:v>
      </x:c>
      <x:c r="H1388" t="n">
        <x:v>1</x:v>
      </x:c>
      <x:c r="I1388" t="str">
        <x:v>Aprobado</x:v>
      </x:c>
      <x:c r="J1388" t="n">
        <x:v>29900</x:v>
      </x:c>
      <x:c r="K1388" t="str">
        <x:v>Tarjeta crédito</x:v>
      </x:c>
      <x:c r="L1388" t="str">
        <x:v>Sin error</x:v>
      </x:c>
    </x:row>
    <x:row r="1389">
      <x:c r="A1389" t="str">
        <x:v>TXN-0001388</x:v>
      </x:c>
      <x:c r="B1389" t="str">
        <x:v>2026-05</x:v>
      </x:c>
      <x:c r="C1389" t="n">
        <x:v>46150</x:v>
      </x:c>
      <x:c r="D1389" t="str">
        <x:v>USR-00676</x:v>
      </x:c>
      <x:c r="E1389" t="str">
        <x:v>SUS-001144</x:v>
      </x:c>
      <x:c r="F1389" t="str">
        <x:v>Plus anual</x:v>
      </x:c>
      <x:c r="G1389" t="str">
        <x:v>Anual</x:v>
      </x:c>
      <x:c r="H1389" t="n">
        <x:v>1</x:v>
      </x:c>
      <x:c r="I1389" t="str">
        <x:v>Aprobado</x:v>
      </x:c>
      <x:c r="J1389" t="n">
        <x:v>299000</x:v>
      </x:c>
      <x:c r="K1389" t="str">
        <x:v>Tarjeta débito</x:v>
      </x:c>
      <x:c r="L1389" t="str">
        <x:v>Sin error</x:v>
      </x:c>
    </x:row>
    <x:row r="1390">
      <x:c r="A1390" t="str">
        <x:v>TXN-0001389</x:v>
      </x:c>
      <x:c r="B1390" t="str">
        <x:v>2026-05</x:v>
      </x:c>
      <x:c r="C1390" t="n">
        <x:v>46149</x:v>
      </x:c>
      <x:c r="D1390" t="str">
        <x:v>USR-00677</x:v>
      </x:c>
      <x:c r="E1390" t="str">
        <x:v>SUS-001145</x:v>
      </x:c>
      <x:c r="F1390" t="str">
        <x:v>Plus anual</x:v>
      </x:c>
      <x:c r="G1390" t="str">
        <x:v>Anual</x:v>
      </x:c>
      <x:c r="H1390" t="n">
        <x:v>1</x:v>
      </x:c>
      <x:c r="I1390" t="str">
        <x:v>Aprobado</x:v>
      </x:c>
      <x:c r="J1390" t="n">
        <x:v>299000</x:v>
      </x:c>
      <x:c r="K1390" t="str">
        <x:v>PSE</x:v>
      </x:c>
      <x:c r="L1390" t="str">
        <x:v>Sin error</x:v>
      </x:c>
    </x:row>
    <x:row r="1391">
      <x:c r="A1391" t="str">
        <x:v>TXN-0001390</x:v>
      </x:c>
      <x:c r="B1391" t="str">
        <x:v>2026-05</x:v>
      </x:c>
      <x:c r="C1391" t="n">
        <x:v>46149</x:v>
      </x:c>
      <x:c r="D1391" t="str">
        <x:v>USR-00678</x:v>
      </x:c>
      <x:c r="E1391" t="str">
        <x:v>SUS-000941</x:v>
      </x:c>
      <x:c r="F1391" t="str">
        <x:v>Plus mensual</x:v>
      </x:c>
      <x:c r="G1391" t="str">
        <x:v>Mensual</x:v>
      </x:c>
      <x:c r="H1391" t="n">
        <x:v>1</x:v>
      </x:c>
      <x:c r="I1391" t="str">
        <x:v>Aprobado</x:v>
      </x:c>
      <x:c r="J1391" t="n">
        <x:v>29900</x:v>
      </x:c>
      <x:c r="K1391" t="str">
        <x:v>Tarjeta crédito</x:v>
      </x:c>
      <x:c r="L1391" t="str">
        <x:v>Sin error</x:v>
      </x:c>
    </x:row>
    <x:row r="1392">
      <x:c r="A1392" t="str">
        <x:v>TXN-0001391</x:v>
      </x:c>
      <x:c r="B1392" t="str">
        <x:v>2026-05</x:v>
      </x:c>
      <x:c r="C1392" t="n">
        <x:v>46149</x:v>
      </x:c>
      <x:c r="D1392" t="str">
        <x:v>USR-00690</x:v>
      </x:c>
      <x:c r="E1392" t="str">
        <x:v>SUS-001146</x:v>
      </x:c>
      <x:c r="F1392" t="str">
        <x:v>Plus mensual</x:v>
      </x:c>
      <x:c r="G1392" t="str">
        <x:v>Mensual</x:v>
      </x:c>
      <x:c r="H1392" t="n">
        <x:v>1</x:v>
      </x:c>
      <x:c r="I1392" t="str">
        <x:v>Aprobado</x:v>
      </x:c>
      <x:c r="J1392" t="n">
        <x:v>29900</x:v>
      </x:c>
      <x:c r="K1392" t="str">
        <x:v>PSE</x:v>
      </x:c>
      <x:c r="L1392" t="str">
        <x:v>Sin error</x:v>
      </x:c>
    </x:row>
    <x:row r="1393">
      <x:c r="A1393" t="str">
        <x:v>TXN-0001392</x:v>
      </x:c>
      <x:c r="B1393" t="str">
        <x:v>2026-05</x:v>
      </x:c>
      <x:c r="C1393" t="n">
        <x:v>46154</x:v>
      </x:c>
      <x:c r="D1393" t="str">
        <x:v>USR-00712</x:v>
      </x:c>
      <x:c r="E1393" t="str">
        <x:v>SUS-001147</x:v>
      </x:c>
      <x:c r="F1393" t="str">
        <x:v>Plus mensual</x:v>
      </x:c>
      <x:c r="G1393" t="str">
        <x:v>Mensual</x:v>
      </x:c>
      <x:c r="H1393" t="n">
        <x:v>1</x:v>
      </x:c>
      <x:c r="I1393" t="str">
        <x:v>Aprobado</x:v>
      </x:c>
      <x:c r="J1393" t="n">
        <x:v>29900</x:v>
      </x:c>
      <x:c r="K1393" t="str">
        <x:v>Tarjeta débito</x:v>
      </x:c>
      <x:c r="L1393" t="str">
        <x:v>Sin error</x:v>
      </x:c>
    </x:row>
    <x:row r="1394">
      <x:c r="A1394" t="str">
        <x:v>TXN-0001393</x:v>
      </x:c>
      <x:c r="B1394" t="str">
        <x:v>2026-05</x:v>
      </x:c>
      <x:c r="C1394" t="n">
        <x:v>46148</x:v>
      </x:c>
      <x:c r="D1394" t="str">
        <x:v>USR-00714</x:v>
      </x:c>
      <x:c r="E1394" t="str">
        <x:v>SUS-001027</x:v>
      </x:c>
      <x:c r="F1394" t="str">
        <x:v>Plus mensual</x:v>
      </x:c>
      <x:c r="G1394" t="str">
        <x:v>Mensual</x:v>
      </x:c>
      <x:c r="H1394" t="n">
        <x:v>1</x:v>
      </x:c>
      <x:c r="I1394" t="str">
        <x:v>Aprobado</x:v>
      </x:c>
      <x:c r="J1394" t="n">
        <x:v>29900</x:v>
      </x:c>
      <x:c r="K1394" t="str">
        <x:v>PSE</x:v>
      </x:c>
      <x:c r="L1394" t="str">
        <x:v>Sin error</x:v>
      </x:c>
    </x:row>
    <x:row r="1395">
      <x:c r="A1395" t="str">
        <x:v>TXN-0001394</x:v>
      </x:c>
      <x:c r="B1395" t="str">
        <x:v>2026-05</x:v>
      </x:c>
      <x:c r="C1395" t="n">
        <x:v>46149</x:v>
      </x:c>
      <x:c r="D1395" t="str">
        <x:v>USR-00715</x:v>
      </x:c>
      <x:c r="E1395" t="str">
        <x:v>SUS-001028</x:v>
      </x:c>
      <x:c r="F1395" t="str">
        <x:v>Plus mensual</x:v>
      </x:c>
      <x:c r="G1395" t="str">
        <x:v>Mensual</x:v>
      </x:c>
      <x:c r="H1395" t="n">
        <x:v>1</x:v>
      </x:c>
      <x:c r="I1395" t="str">
        <x:v>Aprobado</x:v>
      </x:c>
      <x:c r="J1395" t="n">
        <x:v>29900</x:v>
      </x:c>
      <x:c r="K1395" t="str">
        <x:v>Tarjeta débito</x:v>
      </x:c>
      <x:c r="L1395" t="str">
        <x:v>Sin error</x:v>
      </x:c>
    </x:row>
    <x:row r="1396">
      <x:c r="A1396" t="str">
        <x:v>TXN-0001395</x:v>
      </x:c>
      <x:c r="B1396" t="str">
        <x:v>2026-05</x:v>
      </x:c>
      <x:c r="C1396" t="n">
        <x:v>46154</x:v>
      </x:c>
      <x:c r="D1396" t="str">
        <x:v>USR-00720</x:v>
      </x:c>
      <x:c r="E1396" t="str">
        <x:v>SUS-001033</x:v>
      </x:c>
      <x:c r="F1396" t="str">
        <x:v>Plus mensual</x:v>
      </x:c>
      <x:c r="G1396" t="str">
        <x:v>Mensual</x:v>
      </x:c>
      <x:c r="H1396" t="n">
        <x:v>1</x:v>
      </x:c>
      <x:c r="I1396" t="str">
        <x:v>Aprobado</x:v>
      </x:c>
      <x:c r="J1396" t="n">
        <x:v>29900</x:v>
      </x:c>
      <x:c r="K1396" t="str">
        <x:v>Tarjeta crédito</x:v>
      </x:c>
      <x:c r="L1396" t="str">
        <x:v>Sin error</x:v>
      </x:c>
    </x:row>
    <x:row r="1397">
      <x:c r="A1397" t="str">
        <x:v>TXN-0001396</x:v>
      </x:c>
      <x:c r="B1397" t="str">
        <x:v>2026-05</x:v>
      </x:c>
      <x:c r="C1397" t="n">
        <x:v>46153</x:v>
      </x:c>
      <x:c r="D1397" t="str">
        <x:v>USR-00724</x:v>
      </x:c>
      <x:c r="E1397" t="str">
        <x:v>SUS-001148</x:v>
      </x:c>
      <x:c r="F1397" t="str">
        <x:v>Plus mensual</x:v>
      </x:c>
      <x:c r="G1397" t="str">
        <x:v>Mensual</x:v>
      </x:c>
      <x:c r="H1397" t="n">
        <x:v>1</x:v>
      </x:c>
      <x:c r="I1397" t="str">
        <x:v>Aprobado</x:v>
      </x:c>
      <x:c r="J1397" t="n">
        <x:v>29900</x:v>
      </x:c>
      <x:c r="K1397" t="str">
        <x:v>Tarjeta crédito</x:v>
      </x:c>
      <x:c r="L1397" t="str">
        <x:v>Sin error</x:v>
      </x:c>
    </x:row>
    <x:row r="1398">
      <x:c r="A1398" t="str">
        <x:v>TXN-0001397</x:v>
      </x:c>
      <x:c r="B1398" t="str">
        <x:v>2026-05</x:v>
      </x:c>
      <x:c r="C1398" t="n">
        <x:v>46152</x:v>
      </x:c>
      <x:c r="D1398" t="str">
        <x:v>USR-00725</x:v>
      </x:c>
      <x:c r="E1398" t="str">
        <x:v>SUS-001038</x:v>
      </x:c>
      <x:c r="F1398" t="str">
        <x:v>Plus mensual</x:v>
      </x:c>
      <x:c r="G1398" t="str">
        <x:v>Mensual</x:v>
      </x:c>
      <x:c r="H1398" t="n">
        <x:v>1</x:v>
      </x:c>
      <x:c r="I1398" t="str">
        <x:v>Aprobado</x:v>
      </x:c>
      <x:c r="J1398" t="n">
        <x:v>29900</x:v>
      </x:c>
      <x:c r="K1398" t="str">
        <x:v>Tarjeta débito</x:v>
      </x:c>
      <x:c r="L1398" t="str">
        <x:v>Sin error</x:v>
      </x:c>
    </x:row>
    <x:row r="1399">
      <x:c r="A1399" t="str">
        <x:v>TXN-0001398</x:v>
      </x:c>
      <x:c r="B1399" t="str">
        <x:v>2026-05</x:v>
      </x:c>
      <x:c r="C1399" t="n">
        <x:v>46151</x:v>
      </x:c>
      <x:c r="D1399" t="str">
        <x:v>USR-00733</x:v>
      </x:c>
      <x:c r="E1399" t="str">
        <x:v>SUS-001046</x:v>
      </x:c>
      <x:c r="F1399" t="str">
        <x:v>Plus mensual</x:v>
      </x:c>
      <x:c r="G1399" t="str">
        <x:v>Mensual</x:v>
      </x:c>
      <x:c r="H1399" t="n">
        <x:v>1</x:v>
      </x:c>
      <x:c r="I1399" t="str">
        <x:v>Aprobado</x:v>
      </x:c>
      <x:c r="J1399" t="n">
        <x:v>29900</x:v>
      </x:c>
      <x:c r="K1399" t="str">
        <x:v>Tarjeta débito</x:v>
      </x:c>
      <x:c r="L1399" t="str">
        <x:v>Sin error</x:v>
      </x:c>
    </x:row>
    <x:row r="1400">
      <x:c r="A1400" t="str">
        <x:v>TXN-0001399</x:v>
      </x:c>
      <x:c r="B1400" t="str">
        <x:v>2026-05</x:v>
      </x:c>
      <x:c r="C1400" t="n">
        <x:v>46147</x:v>
      </x:c>
      <x:c r="D1400" t="str">
        <x:v>USR-00734</x:v>
      </x:c>
      <x:c r="E1400" t="str">
        <x:v>SUS-001047</x:v>
      </x:c>
      <x:c r="F1400" t="str">
        <x:v>Plus mensual</x:v>
      </x:c>
      <x:c r="G1400" t="str">
        <x:v>Mensual</x:v>
      </x:c>
      <x:c r="H1400" t="n">
        <x:v>1</x:v>
      </x:c>
      <x:c r="I1400" t="str">
        <x:v>Aprobado</x:v>
      </x:c>
      <x:c r="J1400" t="n">
        <x:v>29900</x:v>
      </x:c>
      <x:c r="K1400" t="str">
        <x:v>PSE</x:v>
      </x:c>
      <x:c r="L1400" t="str">
        <x:v>Sin error</x:v>
      </x:c>
    </x:row>
    <x:row r="1401">
      <x:c r="A1401" t="str">
        <x:v>TXN-0001400</x:v>
      </x:c>
      <x:c r="B1401" t="str">
        <x:v>2026-05</x:v>
      </x:c>
      <x:c r="C1401" t="n">
        <x:v>46152</x:v>
      </x:c>
      <x:c r="D1401" t="str">
        <x:v>USR-00736</x:v>
      </x:c>
      <x:c r="E1401" t="str">
        <x:v>SUS-001049</x:v>
      </x:c>
      <x:c r="F1401" t="str">
        <x:v>Plus mensual</x:v>
      </x:c>
      <x:c r="G1401" t="str">
        <x:v>Mensual</x:v>
      </x:c>
      <x:c r="H1401" t="n">
        <x:v>1</x:v>
      </x:c>
      <x:c r="I1401" t="str">
        <x:v>Aprobado</x:v>
      </x:c>
      <x:c r="J1401" t="n">
        <x:v>29900</x:v>
      </x:c>
      <x:c r="K1401" t="str">
        <x:v>Tarjeta débito</x:v>
      </x:c>
      <x:c r="L1401" t="str">
        <x:v>Sin error</x:v>
      </x:c>
    </x:row>
    <x:row r="1402">
      <x:c r="A1402" t="str">
        <x:v>TXN-0001401</x:v>
      </x:c>
      <x:c r="B1402" t="str">
        <x:v>2026-05</x:v>
      </x:c>
      <x:c r="C1402" t="n">
        <x:v>46150</x:v>
      </x:c>
      <x:c r="D1402" t="str">
        <x:v>USR-00737</x:v>
      </x:c>
      <x:c r="E1402" t="str">
        <x:v>SUS-001149</x:v>
      </x:c>
      <x:c r="F1402" t="str">
        <x:v>Plus anual</x:v>
      </x:c>
      <x:c r="G1402" t="str">
        <x:v>Anual</x:v>
      </x:c>
      <x:c r="H1402" t="n">
        <x:v>1</x:v>
      </x:c>
      <x:c r="I1402" t="str">
        <x:v>Aprobado</x:v>
      </x:c>
      <x:c r="J1402" t="n">
        <x:v>299000</x:v>
      </x:c>
      <x:c r="K1402" t="str">
        <x:v>PSE</x:v>
      </x:c>
      <x:c r="L1402" t="str">
        <x:v>Sin error</x:v>
      </x:c>
    </x:row>
    <x:row r="1403">
      <x:c r="A1403" t="str">
        <x:v>TXN-0001402</x:v>
      </x:c>
      <x:c r="B1403" t="str">
        <x:v>2026-05</x:v>
      </x:c>
      <x:c r="C1403" t="n">
        <x:v>46147</x:v>
      </x:c>
      <x:c r="D1403" t="str">
        <x:v>USR-00741</x:v>
      </x:c>
      <x:c r="E1403" t="str">
        <x:v>SUS-001054</x:v>
      </x:c>
      <x:c r="F1403" t="str">
        <x:v>Plus mensual</x:v>
      </x:c>
      <x:c r="G1403" t="str">
        <x:v>Mensual</x:v>
      </x:c>
      <x:c r="H1403" t="n">
        <x:v>1</x:v>
      </x:c>
      <x:c r="I1403" t="str">
        <x:v>Aprobado</x:v>
      </x:c>
      <x:c r="J1403" t="n">
        <x:v>29900</x:v>
      </x:c>
      <x:c r="K1403" t="str">
        <x:v>Tarjeta débito</x:v>
      </x:c>
      <x:c r="L1403" t="str">
        <x:v>Sin error</x:v>
      </x:c>
    </x:row>
    <x:row r="1404">
      <x:c r="A1404" t="str">
        <x:v>TXN-0001403</x:v>
      </x:c>
      <x:c r="B1404" t="str">
        <x:v>2026-05</x:v>
      </x:c>
      <x:c r="C1404" t="n">
        <x:v>46153</x:v>
      </x:c>
      <x:c r="D1404" t="str">
        <x:v>USR-00743</x:v>
      </x:c>
      <x:c r="E1404" t="str">
        <x:v>SUS-001056</x:v>
      </x:c>
      <x:c r="F1404" t="str">
        <x:v>Plus mensual</x:v>
      </x:c>
      <x:c r="G1404" t="str">
        <x:v>Mensual</x:v>
      </x:c>
      <x:c r="H1404" t="n">
        <x:v>1</x:v>
      </x:c>
      <x:c r="I1404" t="str">
        <x:v>Aprobado</x:v>
      </x:c>
      <x:c r="J1404" t="n">
        <x:v>29900</x:v>
      </x:c>
      <x:c r="K1404" t="str">
        <x:v>Tarjeta crédito</x:v>
      </x:c>
      <x:c r="L1404" t="str">
        <x:v>Sin error</x:v>
      </x:c>
    </x:row>
    <x:row r="1405">
      <x:c r="A1405" t="str">
        <x:v>TXN-0001404</x:v>
      </x:c>
      <x:c r="B1405" t="str">
        <x:v>2026-05</x:v>
      </x:c>
      <x:c r="C1405" t="n">
        <x:v>46151</x:v>
      </x:c>
      <x:c r="D1405" t="str">
        <x:v>USR-00751</x:v>
      </x:c>
      <x:c r="E1405" t="str">
        <x:v>SUS-001064</x:v>
      </x:c>
      <x:c r="F1405" t="str">
        <x:v>Plus mensual</x:v>
      </x:c>
      <x:c r="G1405" t="str">
        <x:v>Mensual</x:v>
      </x:c>
      <x:c r="H1405" t="n">
        <x:v>1</x:v>
      </x:c>
      <x:c r="I1405" t="str">
        <x:v>Aprobado</x:v>
      </x:c>
      <x:c r="J1405" t="n">
        <x:v>29900</x:v>
      </x:c>
      <x:c r="K1405" t="str">
        <x:v>Tarjeta crédito</x:v>
      </x:c>
      <x:c r="L1405" t="str">
        <x:v>Sin error</x:v>
      </x:c>
    </x:row>
    <x:row r="1406">
      <x:c r="A1406" t="str">
        <x:v>TXN-0001405</x:v>
      </x:c>
      <x:c r="B1406" t="str">
        <x:v>2026-05</x:v>
      </x:c>
      <x:c r="C1406" t="n">
        <x:v>46151</x:v>
      </x:c>
      <x:c r="D1406" t="str">
        <x:v>USR-00767</x:v>
      </x:c>
      <x:c r="E1406" t="str">
        <x:v>SUS-001080</x:v>
      </x:c>
      <x:c r="F1406" t="str">
        <x:v>Plus mensual</x:v>
      </x:c>
      <x:c r="G1406" t="str">
        <x:v>Mensual</x:v>
      </x:c>
      <x:c r="H1406" t="n">
        <x:v>1</x:v>
      </x:c>
      <x:c r="I1406" t="str">
        <x:v>Rechazado</x:v>
      </x:c>
      <x:c r="J1406" t="n">
        <x:v>29900</x:v>
      </x:c>
      <x:c r="K1406" t="str">
        <x:v>PSE</x:v>
      </x:c>
      <x:c r="L1406" t="str">
        <x:v>Fondos insuficientes</x:v>
      </x:c>
    </x:row>
    <x:row r="1407">
      <x:c r="A1407" t="str">
        <x:v>TXN-0001406</x:v>
      </x:c>
      <x:c r="B1407" t="str">
        <x:v>2026-05</x:v>
      </x:c>
      <x:c r="C1407" t="n">
        <x:v>46153</x:v>
      </x:c>
      <x:c r="D1407" t="str">
        <x:v>USR-00767</x:v>
      </x:c>
      <x:c r="E1407" t="str">
        <x:v>SUS-001080</x:v>
      </x:c>
      <x:c r="F1407" t="str">
        <x:v>Plus mensual</x:v>
      </x:c>
      <x:c r="G1407" t="str">
        <x:v>Mensual</x:v>
      </x:c>
      <x:c r="H1407" t="n">
        <x:v>2</x:v>
      </x:c>
      <x:c r="I1407" t="str">
        <x:v>Aprobado</x:v>
      </x:c>
      <x:c r="J1407" t="n">
        <x:v>29900</x:v>
      </x:c>
      <x:c r="K1407" t="str">
        <x:v>Tarjeta crédito</x:v>
      </x:c>
      <x:c r="L1407" t="str">
        <x:v>Sin error</x:v>
      </x:c>
    </x:row>
    <x:row r="1408">
      <x:c r="A1408" t="str">
        <x:v>TXN-0001407</x:v>
      </x:c>
      <x:c r="B1408" t="str">
        <x:v>2026-05</x:v>
      </x:c>
      <x:c r="C1408" t="n">
        <x:v>46148</x:v>
      </x:c>
      <x:c r="D1408" t="str">
        <x:v>USR-00768</x:v>
      </x:c>
      <x:c r="E1408" t="str">
        <x:v>SUS-001081</x:v>
      </x:c>
      <x:c r="F1408" t="str">
        <x:v>Plus mensual</x:v>
      </x:c>
      <x:c r="G1408" t="str">
        <x:v>Mensual</x:v>
      </x:c>
      <x:c r="H1408" t="n">
        <x:v>1</x:v>
      </x:c>
      <x:c r="I1408" t="str">
        <x:v>Aprobado</x:v>
      </x:c>
      <x:c r="J1408" t="n">
        <x:v>29900</x:v>
      </x:c>
      <x:c r="K1408" t="str">
        <x:v>PSE</x:v>
      </x:c>
      <x:c r="L1408" t="str">
        <x:v>Sin error</x:v>
      </x:c>
    </x:row>
    <x:row r="1409">
      <x:c r="A1409" t="str">
        <x:v>TXN-0001408</x:v>
      </x:c>
      <x:c r="B1409" t="str">
        <x:v>2026-05</x:v>
      </x:c>
      <x:c r="C1409" t="n">
        <x:v>46149</x:v>
      </x:c>
      <x:c r="D1409" t="str">
        <x:v>USR-00775</x:v>
      </x:c>
      <x:c r="E1409" t="str">
        <x:v>SUS-001088</x:v>
      </x:c>
      <x:c r="F1409" t="str">
        <x:v>Plus mensual</x:v>
      </x:c>
      <x:c r="G1409" t="str">
        <x:v>Mensual</x:v>
      </x:c>
      <x:c r="H1409" t="n">
        <x:v>1</x:v>
      </x:c>
      <x:c r="I1409" t="str">
        <x:v>Aprobado</x:v>
      </x:c>
      <x:c r="J1409" t="n">
        <x:v>29900</x:v>
      </x:c>
      <x:c r="K1409" t="str">
        <x:v>PSE</x:v>
      </x:c>
      <x:c r="L1409" t="str">
        <x:v>Sin error</x:v>
      </x:c>
    </x:row>
    <x:row r="1410">
      <x:c r="A1410" t="str">
        <x:v>TXN-0001409</x:v>
      </x:c>
      <x:c r="B1410" t="str">
        <x:v>2026-05</x:v>
      </x:c>
      <x:c r="C1410" t="n">
        <x:v>46150</x:v>
      </x:c>
      <x:c r="D1410" t="str">
        <x:v>USR-00778</x:v>
      </x:c>
      <x:c r="E1410" t="str">
        <x:v>SUS-001152</x:v>
      </x:c>
      <x:c r="F1410" t="str">
        <x:v>Plus mensual</x:v>
      </x:c>
      <x:c r="G1410" t="str">
        <x:v>Mensual</x:v>
      </x:c>
      <x:c r="H1410" t="n">
        <x:v>1</x:v>
      </x:c>
      <x:c r="I1410" t="str">
        <x:v>Aprobado</x:v>
      </x:c>
      <x:c r="J1410" t="n">
        <x:v>29900</x:v>
      </x:c>
      <x:c r="K1410" t="str">
        <x:v>Tarjeta débito</x:v>
      </x:c>
      <x:c r="L1410" t="str">
        <x:v>Sin error</x:v>
      </x:c>
    </x:row>
    <x:row r="1411">
      <x:c r="A1411" t="str">
        <x:v>TXN-0001410</x:v>
      </x:c>
      <x:c r="B1411" t="str">
        <x:v>2026-05</x:v>
      </x:c>
      <x:c r="C1411" t="n">
        <x:v>46154</x:v>
      </x:c>
      <x:c r="D1411" t="str">
        <x:v>USR-00781</x:v>
      </x:c>
      <x:c r="E1411" t="str">
        <x:v>SIN_SUSCRIPCION</x:v>
      </x:c>
      <x:c r="F1411" t="str">
        <x:v>Plus mensual</x:v>
      </x:c>
      <x:c r="G1411" t="str">
        <x:v>Mensual</x:v>
      </x:c>
      <x:c r="H1411" t="n">
        <x:v>1</x:v>
      </x:c>
      <x:c r="I1411" t="str">
        <x:v>Rechazado</x:v>
      </x:c>
      <x:c r="J1411" t="n">
        <x:v>29900</x:v>
      </x:c>
      <x:c r="K1411" t="str">
        <x:v>Tarjeta crédito</x:v>
      </x:c>
      <x:c r="L1411" t="str">
        <x:v>Error temporal</x:v>
      </x:c>
    </x:row>
    <x:row r="1412">
      <x:c r="A1412" t="str">
        <x:v>TXN-0001411</x:v>
      </x:c>
      <x:c r="B1412" t="str">
        <x:v>2026-05</x:v>
      </x:c>
      <x:c r="C1412" t="n">
        <x:v>46147</x:v>
      </x:c>
      <x:c r="D1412" t="str">
        <x:v>USR-00781</x:v>
      </x:c>
      <x:c r="E1412" t="str">
        <x:v>SIN_SUSCRIPCION</x:v>
      </x:c>
      <x:c r="F1412" t="str">
        <x:v>Plus mensual</x:v>
      </x:c>
      <x:c r="G1412" t="str">
        <x:v>Mensual</x:v>
      </x:c>
      <x:c r="H1412" t="n">
        <x:v>2</x:v>
      </x:c>
      <x:c r="I1412" t="str">
        <x:v>Rechazado</x:v>
      </x:c>
      <x:c r="J1412" t="n">
        <x:v>29900</x:v>
      </x:c>
      <x:c r="K1412" t="str">
        <x:v>Tarjeta débito</x:v>
      </x:c>
      <x:c r="L1412" t="str">
        <x:v>Declinado por entidad</x:v>
      </x:c>
    </x:row>
    <x:row r="1413">
      <x:c r="A1413" t="str">
        <x:v>TXN-0001412</x:v>
      </x:c>
      <x:c r="B1413" t="str">
        <x:v>2026-05</x:v>
      </x:c>
      <x:c r="C1413" t="n">
        <x:v>46149</x:v>
      </x:c>
      <x:c r="D1413" t="str">
        <x:v>USR-00783</x:v>
      </x:c>
      <x:c r="E1413" t="str">
        <x:v>SUS-001096</x:v>
      </x:c>
      <x:c r="F1413" t="str">
        <x:v>Plus mensual</x:v>
      </x:c>
      <x:c r="G1413" t="str">
        <x:v>Mensual</x:v>
      </x:c>
      <x:c r="H1413" t="n">
        <x:v>1</x:v>
      </x:c>
      <x:c r="I1413" t="str">
        <x:v>Aprobado</x:v>
      </x:c>
      <x:c r="J1413" t="n">
        <x:v>29900</x:v>
      </x:c>
      <x:c r="K1413" t="str">
        <x:v>Tarjeta débito</x:v>
      </x:c>
      <x:c r="L1413" t="str">
        <x:v>Sin error</x:v>
      </x:c>
    </x:row>
    <x:row r="1414">
      <x:c r="A1414" t="str">
        <x:v>TXN-0001413</x:v>
      </x:c>
      <x:c r="B1414" t="str">
        <x:v>2026-05</x:v>
      </x:c>
      <x:c r="C1414" t="n">
        <x:v>46148</x:v>
      </x:c>
      <x:c r="D1414" t="str">
        <x:v>USR-00785</x:v>
      </x:c>
      <x:c r="E1414" t="str">
        <x:v>SUS-001098</x:v>
      </x:c>
      <x:c r="F1414" t="str">
        <x:v>Plus mensual</x:v>
      </x:c>
      <x:c r="G1414" t="str">
        <x:v>Mensual</x:v>
      </x:c>
      <x:c r="H1414" t="n">
        <x:v>1</x:v>
      </x:c>
      <x:c r="I1414" t="str">
        <x:v>Aprobado</x:v>
      </x:c>
      <x:c r="J1414" t="n">
        <x:v>29900</x:v>
      </x:c>
      <x:c r="K1414" t="str">
        <x:v>Tarjeta crédito</x:v>
      </x:c>
      <x:c r="L1414" t="str">
        <x:v>Sin error</x:v>
      </x:c>
    </x:row>
    <x:row r="1415">
      <x:c r="A1415" t="str">
        <x:v>TXN-0001414</x:v>
      </x:c>
      <x:c r="B1415" t="str">
        <x:v>2026-05</x:v>
      </x:c>
      <x:c r="C1415" t="n">
        <x:v>46150</x:v>
      </x:c>
      <x:c r="D1415" t="str">
        <x:v>USR-00787</x:v>
      </x:c>
      <x:c r="E1415" t="str">
        <x:v>SUS-001155</x:v>
      </x:c>
      <x:c r="F1415" t="str">
        <x:v>Plus mensual</x:v>
      </x:c>
      <x:c r="G1415" t="str">
        <x:v>Mensual</x:v>
      </x:c>
      <x:c r="H1415" t="n">
        <x:v>1</x:v>
      </x:c>
      <x:c r="I1415" t="str">
        <x:v>Rechazado</x:v>
      </x:c>
      <x:c r="J1415" t="n">
        <x:v>29900</x:v>
      </x:c>
      <x:c r="K1415" t="str">
        <x:v>Tarjeta crédito</x:v>
      </x:c>
      <x:c r="L1415" t="str">
        <x:v>Error temporal</x:v>
      </x:c>
    </x:row>
    <x:row r="1416">
      <x:c r="A1416" t="str">
        <x:v>TXN-0001415</x:v>
      </x:c>
      <x:c r="B1416" t="str">
        <x:v>2026-05</x:v>
      </x:c>
      <x:c r="C1416" t="n">
        <x:v>46151</x:v>
      </x:c>
      <x:c r="D1416" t="str">
        <x:v>USR-00787</x:v>
      </x:c>
      <x:c r="E1416" t="str">
        <x:v>SUS-001155</x:v>
      </x:c>
      <x:c r="F1416" t="str">
        <x:v>Plus mensual</x:v>
      </x:c>
      <x:c r="G1416" t="str">
        <x:v>Mensual</x:v>
      </x:c>
      <x:c r="H1416" t="n">
        <x:v>2</x:v>
      </x:c>
      <x:c r="I1416" t="str">
        <x:v>Aprobado</x:v>
      </x:c>
      <x:c r="J1416" t="n">
        <x:v>29900</x:v>
      </x:c>
      <x:c r="K1416" t="str">
        <x:v>Tarjeta crédito</x:v>
      </x:c>
      <x:c r="L1416" t="str">
        <x:v>Sin error</x:v>
      </x:c>
    </x:row>
    <x:row r="1417">
      <x:c r="A1417" t="str">
        <x:v>TXN-0001416</x:v>
      </x:c>
      <x:c r="B1417" t="str">
        <x:v>2026-05</x:v>
      </x:c>
      <x:c r="C1417" t="n">
        <x:v>46152</x:v>
      </x:c>
      <x:c r="D1417" t="str">
        <x:v>USR-00790</x:v>
      </x:c>
      <x:c r="E1417" t="str">
        <x:v>SUS-001158</x:v>
      </x:c>
      <x:c r="F1417" t="str">
        <x:v>Plus mensual</x:v>
      </x:c>
      <x:c r="G1417" t="str">
        <x:v>Mensual</x:v>
      </x:c>
      <x:c r="H1417" t="n">
        <x:v>1</x:v>
      </x:c>
      <x:c r="I1417" t="str">
        <x:v>Aprobado</x:v>
      </x:c>
      <x:c r="J1417" t="n">
        <x:v>29900</x:v>
      </x:c>
      <x:c r="K1417" t="str">
        <x:v>PSE</x:v>
      </x:c>
      <x:c r="L1417" t="str">
        <x:v>Sin error</x:v>
      </x:c>
    </x:row>
    <x:row r="1418">
      <x:c r="A1418" t="str">
        <x:v>TXN-0001417</x:v>
      </x:c>
      <x:c r="B1418" t="str">
        <x:v>2026-05</x:v>
      </x:c>
      <x:c r="C1418" t="n">
        <x:v>46150</x:v>
      </x:c>
      <x:c r="D1418" t="str">
        <x:v>USR-00797</x:v>
      </x:c>
      <x:c r="E1418" t="str">
        <x:v>SUS-001165</x:v>
      </x:c>
      <x:c r="F1418" t="str">
        <x:v>Plus mensual</x:v>
      </x:c>
      <x:c r="G1418" t="str">
        <x:v>Mensual</x:v>
      </x:c>
      <x:c r="H1418" t="n">
        <x:v>1</x:v>
      </x:c>
      <x:c r="I1418" t="str">
        <x:v>Aprobado</x:v>
      </x:c>
      <x:c r="J1418" t="n">
        <x:v>29900</x:v>
      </x:c>
      <x:c r="K1418" t="str">
        <x:v>Tarjeta débito</x:v>
      </x:c>
      <x:c r="L1418" t="str">
        <x:v>Sin error</x:v>
      </x:c>
    </x:row>
    <x:row r="1419">
      <x:c r="A1419" t="str">
        <x:v>TXN-0001418</x:v>
      </x:c>
      <x:c r="B1419" t="str">
        <x:v>2026-05</x:v>
      </x:c>
      <x:c r="C1419" t="n">
        <x:v>46150</x:v>
      </x:c>
      <x:c r="D1419" t="str">
        <x:v>USR-00798</x:v>
      </x:c>
      <x:c r="E1419" t="str">
        <x:v>SUS-001166</x:v>
      </x:c>
      <x:c r="F1419" t="str">
        <x:v>Plus mensual</x:v>
      </x:c>
      <x:c r="G1419" t="str">
        <x:v>Mensual</x:v>
      </x:c>
      <x:c r="H1419" t="n">
        <x:v>1</x:v>
      </x:c>
      <x:c r="I1419" t="str">
        <x:v>Aprobado</x:v>
      </x:c>
      <x:c r="J1419" t="n">
        <x:v>29900</x:v>
      </x:c>
      <x:c r="K1419" t="str">
        <x:v>Tarjeta débito</x:v>
      </x:c>
      <x:c r="L1419" t="str">
        <x:v>Sin error</x:v>
      </x:c>
    </x:row>
    <x:row r="1420">
      <x:c r="A1420" t="str">
        <x:v>TXN-0001419</x:v>
      </x:c>
      <x:c r="B1420" t="str">
        <x:v>2026-05</x:v>
      </x:c>
      <x:c r="C1420" t="n">
        <x:v>46152</x:v>
      </x:c>
      <x:c r="D1420" t="str">
        <x:v>USR-00810</x:v>
      </x:c>
      <x:c r="E1420" t="str">
        <x:v>SUS-001178</x:v>
      </x:c>
      <x:c r="F1420" t="str">
        <x:v>Plus anual</x:v>
      </x:c>
      <x:c r="G1420" t="str">
        <x:v>Anual</x:v>
      </x:c>
      <x:c r="H1420" t="n">
        <x:v>1</x:v>
      </x:c>
      <x:c r="I1420" t="str">
        <x:v>Aprobado</x:v>
      </x:c>
      <x:c r="J1420" t="n">
        <x:v>299000</x:v>
      </x:c>
      <x:c r="K1420" t="str">
        <x:v>Tarjeta crédito</x:v>
      </x:c>
      <x:c r="L1420" t="str">
        <x:v>Sin error</x:v>
      </x:c>
    </x:row>
    <x:row r="1421">
      <x:c r="A1421" t="str">
        <x:v>TXN-0001420</x:v>
      </x:c>
      <x:c r="B1421" t="str">
        <x:v>2026-05</x:v>
      </x:c>
      <x:c r="C1421" t="n">
        <x:v>46147</x:v>
      </x:c>
      <x:c r="D1421" t="str">
        <x:v>USR-00813</x:v>
      </x:c>
      <x:c r="E1421" t="str">
        <x:v>SUS-001181</x:v>
      </x:c>
      <x:c r="F1421" t="str">
        <x:v>Plus mensual</x:v>
      </x:c>
      <x:c r="G1421" t="str">
        <x:v>Mensual</x:v>
      </x:c>
      <x:c r="H1421" t="n">
        <x:v>1</x:v>
      </x:c>
      <x:c r="I1421" t="str">
        <x:v>Aprobado</x:v>
      </x:c>
      <x:c r="J1421" t="n">
        <x:v>29900</x:v>
      </x:c>
      <x:c r="K1421" t="str">
        <x:v>Tarjeta crédito</x:v>
      </x:c>
      <x:c r="L1421" t="str">
        <x:v>Sin error</x:v>
      </x:c>
    </x:row>
    <x:row r="1422">
      <x:c r="A1422" t="str">
        <x:v>TXN-0001421</x:v>
      </x:c>
      <x:c r="B1422" t="str">
        <x:v>2026-05</x:v>
      </x:c>
      <x:c r="C1422" t="n">
        <x:v>46154</x:v>
      </x:c>
      <x:c r="D1422" t="str">
        <x:v>USR-00824</x:v>
      </x:c>
      <x:c r="E1422" t="str">
        <x:v>SUS-001192</x:v>
      </x:c>
      <x:c r="F1422" t="str">
        <x:v>Plus mensual</x:v>
      </x:c>
      <x:c r="G1422" t="str">
        <x:v>Mensual</x:v>
      </x:c>
      <x:c r="H1422" t="n">
        <x:v>1</x:v>
      </x:c>
      <x:c r="I1422" t="str">
        <x:v>Aprobado</x:v>
      </x:c>
      <x:c r="J1422" t="n">
        <x:v>29900</x:v>
      </x:c>
      <x:c r="K1422" t="str">
        <x:v>Tarjeta débito</x:v>
      </x:c>
      <x:c r="L1422" t="str">
        <x:v>Sin error</x:v>
      </x:c>
    </x:row>
    <x:row r="1423">
      <x:c r="A1423" t="str">
        <x:v>TXN-0001422</x:v>
      </x:c>
      <x:c r="B1423" t="str">
        <x:v>2026-05</x:v>
      </x:c>
      <x:c r="C1423" t="n">
        <x:v>46154</x:v>
      </x:c>
      <x:c r="D1423" t="str">
        <x:v>USR-00826</x:v>
      </x:c>
      <x:c r="E1423" t="str">
        <x:v>SUS-001194</x:v>
      </x:c>
      <x:c r="F1423" t="str">
        <x:v>Plus mensual</x:v>
      </x:c>
      <x:c r="G1423" t="str">
        <x:v>Mensual</x:v>
      </x:c>
      <x:c r="H1423" t="n">
        <x:v>1</x:v>
      </x:c>
      <x:c r="I1423" t="str">
        <x:v>Aprobado</x:v>
      </x:c>
      <x:c r="J1423" t="n">
        <x:v>29900</x:v>
      </x:c>
      <x:c r="K1423" t="str">
        <x:v>Tarjeta crédito</x:v>
      </x:c>
      <x:c r="L1423" t="str">
        <x:v>Sin error</x:v>
      </x:c>
    </x:row>
    <x:row r="1424">
      <x:c r="A1424" t="str">
        <x:v>TXN-0001423</x:v>
      </x:c>
      <x:c r="B1424" t="str">
        <x:v>2026-05</x:v>
      </x:c>
      <x:c r="C1424" t="n">
        <x:v>46152</x:v>
      </x:c>
      <x:c r="D1424" t="str">
        <x:v>USR-00832</x:v>
      </x:c>
      <x:c r="E1424" t="str">
        <x:v>SUS-001200</x:v>
      </x:c>
      <x:c r="F1424" t="str">
        <x:v>Plus mensual</x:v>
      </x:c>
      <x:c r="G1424" t="str">
        <x:v>Mensual</x:v>
      </x:c>
      <x:c r="H1424" t="n">
        <x:v>1</x:v>
      </x:c>
      <x:c r="I1424" t="str">
        <x:v>Aprobado</x:v>
      </x:c>
      <x:c r="J1424" t="n">
        <x:v>29900</x:v>
      </x:c>
      <x:c r="K1424" t="str">
        <x:v>PSE</x:v>
      </x:c>
      <x:c r="L1424" t="str">
        <x:v>Sin error</x:v>
      </x:c>
    </x:row>
    <x:row r="1425">
      <x:c r="A1425" t="str">
        <x:v>TXN-0001424</x:v>
      </x:c>
      <x:c r="B1425" t="str">
        <x:v>2026-05</x:v>
      </x:c>
      <x:c r="C1425" t="n">
        <x:v>46151</x:v>
      </x:c>
      <x:c r="D1425" t="str">
        <x:v>USR-00833</x:v>
      </x:c>
      <x:c r="E1425" t="str">
        <x:v>SUS-001201</x:v>
      </x:c>
      <x:c r="F1425" t="str">
        <x:v>Plus mensual</x:v>
      </x:c>
      <x:c r="G1425" t="str">
        <x:v>Mensual</x:v>
      </x:c>
      <x:c r="H1425" t="n">
        <x:v>1</x:v>
      </x:c>
      <x:c r="I1425" t="str">
        <x:v>Aprobado</x:v>
      </x:c>
      <x:c r="J1425" t="n">
        <x:v>29900</x:v>
      </x:c>
      <x:c r="K1425" t="str">
        <x:v>Tarjeta débito</x:v>
      </x:c>
      <x:c r="L1425" t="str">
        <x:v>Sin error</x:v>
      </x:c>
    </x:row>
    <x:row r="1426">
      <x:c r="A1426" t="str">
        <x:v>TXN-0001425</x:v>
      </x:c>
      <x:c r="B1426" t="str">
        <x:v>2026-05</x:v>
      </x:c>
      <x:c r="C1426" t="n">
        <x:v>46154</x:v>
      </x:c>
      <x:c r="D1426" t="str">
        <x:v>USR-00837</x:v>
      </x:c>
      <x:c r="E1426" t="str">
        <x:v>SUS-001205</x:v>
      </x:c>
      <x:c r="F1426" t="str">
        <x:v>Plus anual</x:v>
      </x:c>
      <x:c r="G1426" t="str">
        <x:v>Anual</x:v>
      </x:c>
      <x:c r="H1426" t="n">
        <x:v>1</x:v>
      </x:c>
      <x:c r="I1426" t="str">
        <x:v>Aprobado</x:v>
      </x:c>
      <x:c r="J1426" t="n">
        <x:v>299000</x:v>
      </x:c>
      <x:c r="K1426" t="str">
        <x:v>PSE</x:v>
      </x:c>
      <x:c r="L1426" t="str">
        <x:v>Sin error</x:v>
      </x:c>
    </x:row>
    <x:row r="1427">
      <x:c r="A1427" t="str">
        <x:v>TXN-0001426</x:v>
      </x:c>
      <x:c r="B1427" t="str">
        <x:v>2026-05</x:v>
      </x:c>
      <x:c r="C1427" t="n">
        <x:v>46147</x:v>
      </x:c>
      <x:c r="D1427" t="str">
        <x:v>USR-00846</x:v>
      </x:c>
      <x:c r="E1427" t="str">
        <x:v>SUS-001214</x:v>
      </x:c>
      <x:c r="F1427" t="str">
        <x:v>Plus mensual</x:v>
      </x:c>
      <x:c r="G1427" t="str">
        <x:v>Mensual</x:v>
      </x:c>
      <x:c r="H1427" t="n">
        <x:v>1</x:v>
      </x:c>
      <x:c r="I1427" t="str">
        <x:v>Aprobado</x:v>
      </x:c>
      <x:c r="J1427" t="n">
        <x:v>29900</x:v>
      </x:c>
      <x:c r="K1427" t="str">
        <x:v>PSE</x:v>
      </x:c>
      <x:c r="L1427" t="str">
        <x:v>Sin error</x:v>
      </x:c>
    </x:row>
    <x:row r="1428">
      <x:c r="A1428" t="str">
        <x:v>TXN-0001427</x:v>
      </x:c>
      <x:c r="B1428" t="str">
        <x:v>2026-05</x:v>
      </x:c>
      <x:c r="C1428" t="n">
        <x:v>46150</x:v>
      </x:c>
      <x:c r="D1428" t="str">
        <x:v>USR-00850</x:v>
      </x:c>
      <x:c r="E1428" t="str">
        <x:v>SUS-001218</x:v>
      </x:c>
      <x:c r="F1428" t="str">
        <x:v>Plus mensual</x:v>
      </x:c>
      <x:c r="G1428" t="str">
        <x:v>Mensual</x:v>
      </x:c>
      <x:c r="H1428" t="n">
        <x:v>1</x:v>
      </x:c>
      <x:c r="I1428" t="str">
        <x:v>Aprobado</x:v>
      </x:c>
      <x:c r="J1428" t="n">
        <x:v>29900</x:v>
      </x:c>
      <x:c r="K1428" t="str">
        <x:v>Tarjeta crédito</x:v>
      </x:c>
      <x:c r="L1428" t="str">
        <x:v>Sin error</x:v>
      </x:c>
    </x:row>
    <x:row r="1429">
      <x:c r="A1429" t="str">
        <x:v>TXN-0001428</x:v>
      </x:c>
      <x:c r="B1429" t="str">
        <x:v>2026-05</x:v>
      </x:c>
      <x:c r="C1429" t="n">
        <x:v>46149</x:v>
      </x:c>
      <x:c r="D1429" t="str">
        <x:v>USR-00851</x:v>
      </x:c>
      <x:c r="E1429" t="str">
        <x:v>SUS-001219</x:v>
      </x:c>
      <x:c r="F1429" t="str">
        <x:v>Plus mensual</x:v>
      </x:c>
      <x:c r="G1429" t="str">
        <x:v>Mensual</x:v>
      </x:c>
      <x:c r="H1429" t="n">
        <x:v>1</x:v>
      </x:c>
      <x:c r="I1429" t="str">
        <x:v>Rechazado</x:v>
      </x:c>
      <x:c r="J1429" t="n">
        <x:v>29900</x:v>
      </x:c>
      <x:c r="K1429" t="str">
        <x:v>Tarjeta débito</x:v>
      </x:c>
      <x:c r="L1429" t="str">
        <x:v>Error temporal</x:v>
      </x:c>
    </x:row>
    <x:row r="1430">
      <x:c r="A1430" t="str">
        <x:v>TXN-0001429</x:v>
      </x:c>
      <x:c r="B1430" t="str">
        <x:v>2026-05</x:v>
      </x:c>
      <x:c r="C1430" t="n">
        <x:v>46153</x:v>
      </x:c>
      <x:c r="D1430" t="str">
        <x:v>USR-00851</x:v>
      </x:c>
      <x:c r="E1430" t="str">
        <x:v>SUS-001219</x:v>
      </x:c>
      <x:c r="F1430" t="str">
        <x:v>Plus mensual</x:v>
      </x:c>
      <x:c r="G1430" t="str">
        <x:v>Mensual</x:v>
      </x:c>
      <x:c r="H1430" t="n">
        <x:v>2</x:v>
      </x:c>
      <x:c r="I1430" t="str">
        <x:v>Aprobado</x:v>
      </x:c>
      <x:c r="J1430" t="n">
        <x:v>29900</x:v>
      </x:c>
      <x:c r="K1430" t="str">
        <x:v>PSE</x:v>
      </x:c>
      <x:c r="L1430" t="str">
        <x:v>Sin error</x:v>
      </x:c>
    </x:row>
    <x:row r="1431">
      <x:c r="A1431" t="str">
        <x:v>TXN-0001430</x:v>
      </x:c>
      <x:c r="B1431" t="str">
        <x:v>2026-05</x:v>
      </x:c>
      <x:c r="C1431" t="n">
        <x:v>46153</x:v>
      </x:c>
      <x:c r="D1431" t="str">
        <x:v>USR-00858</x:v>
      </x:c>
      <x:c r="E1431" t="str">
        <x:v>SUS-001226</x:v>
      </x:c>
      <x:c r="F1431" t="str">
        <x:v>Plus mensual</x:v>
      </x:c>
      <x:c r="G1431" t="str">
        <x:v>Mensual</x:v>
      </x:c>
      <x:c r="H1431" t="n">
        <x:v>1</x:v>
      </x:c>
      <x:c r="I1431" t="str">
        <x:v>Aprobado</x:v>
      </x:c>
      <x:c r="J1431" t="n">
        <x:v>29900</x:v>
      </x:c>
      <x:c r="K1431" t="str">
        <x:v>PSE</x:v>
      </x:c>
      <x:c r="L1431" t="str">
        <x:v>Sin error</x:v>
      </x:c>
    </x:row>
    <x:row r="1432">
      <x:c r="A1432" t="str">
        <x:v>TXN-0001431</x:v>
      </x:c>
      <x:c r="B1432" t="str">
        <x:v>2026-05</x:v>
      </x:c>
      <x:c r="C1432" t="n">
        <x:v>46150</x:v>
      </x:c>
      <x:c r="D1432" t="str">
        <x:v>USR-00859</x:v>
      </x:c>
      <x:c r="E1432" t="str">
        <x:v>SUS-001227</x:v>
      </x:c>
      <x:c r="F1432" t="str">
        <x:v>Plus mensual</x:v>
      </x:c>
      <x:c r="G1432" t="str">
        <x:v>Mensual</x:v>
      </x:c>
      <x:c r="H1432" t="n">
        <x:v>1</x:v>
      </x:c>
      <x:c r="I1432" t="str">
        <x:v>Aprobado</x:v>
      </x:c>
      <x:c r="J1432" t="n">
        <x:v>29900</x:v>
      </x:c>
      <x:c r="K1432" t="str">
        <x:v>Tarjeta crédito</x:v>
      </x:c>
      <x:c r="L1432" t="str">
        <x:v>Sin error</x:v>
      </x:c>
    </x:row>
    <x:row r="1433">
      <x:c r="A1433" t="str">
        <x:v>TXN-0001432</x:v>
      </x:c>
      <x:c r="B1433" t="str">
        <x:v>2026-05</x:v>
      </x:c>
      <x:c r="C1433" t="n">
        <x:v>46149</x:v>
      </x:c>
      <x:c r="D1433" t="str">
        <x:v>USR-00860</x:v>
      </x:c>
      <x:c r="E1433" t="str">
        <x:v>SUS-001228</x:v>
      </x:c>
      <x:c r="F1433" t="str">
        <x:v>Plus mensual</x:v>
      </x:c>
      <x:c r="G1433" t="str">
        <x:v>Mensual</x:v>
      </x:c>
      <x:c r="H1433" t="n">
        <x:v>1</x:v>
      </x:c>
      <x:c r="I1433" t="str">
        <x:v>Aprobado</x:v>
      </x:c>
      <x:c r="J1433" t="n">
        <x:v>29900</x:v>
      </x:c>
      <x:c r="K1433" t="str">
        <x:v>PSE</x:v>
      </x:c>
      <x:c r="L1433" t="str">
        <x:v>Sin error</x:v>
      </x:c>
    </x:row>
    <x:row r="1434">
      <x:c r="A1434" t="str">
        <x:v>TXN-0001433</x:v>
      </x:c>
      <x:c r="B1434" t="str">
        <x:v>2026-05</x:v>
      </x:c>
      <x:c r="C1434" t="n">
        <x:v>46153</x:v>
      </x:c>
      <x:c r="D1434" t="str">
        <x:v>USR-00861</x:v>
      </x:c>
      <x:c r="E1434" t="str">
        <x:v>SUS-001229</x:v>
      </x:c>
      <x:c r="F1434" t="str">
        <x:v>Plus mensual</x:v>
      </x:c>
      <x:c r="G1434" t="str">
        <x:v>Mensual</x:v>
      </x:c>
      <x:c r="H1434" t="n">
        <x:v>1</x:v>
      </x:c>
      <x:c r="I1434" t="str">
        <x:v>Aprobado</x:v>
      </x:c>
      <x:c r="J1434" t="n">
        <x:v>29900</x:v>
      </x:c>
      <x:c r="K1434" t="str">
        <x:v>Tarjeta débito</x:v>
      </x:c>
      <x:c r="L1434" t="str">
        <x:v>Sin error</x:v>
      </x:c>
    </x:row>
    <x:row r="1435">
      <x:c r="A1435" t="str">
        <x:v>TXN-0001434</x:v>
      </x:c>
      <x:c r="B1435" t="str">
        <x:v>2026-05</x:v>
      </x:c>
      <x:c r="C1435" t="n">
        <x:v>46152</x:v>
      </x:c>
      <x:c r="D1435" t="str">
        <x:v>USR-00862</x:v>
      </x:c>
      <x:c r="E1435" t="str">
        <x:v>SUS-001230</x:v>
      </x:c>
      <x:c r="F1435" t="str">
        <x:v>Plus mensual</x:v>
      </x:c>
      <x:c r="G1435" t="str">
        <x:v>Mensual</x:v>
      </x:c>
      <x:c r="H1435" t="n">
        <x:v>1</x:v>
      </x:c>
      <x:c r="I1435" t="str">
        <x:v>Aprobado</x:v>
      </x:c>
      <x:c r="J1435" t="n">
        <x:v>29900</x:v>
      </x:c>
      <x:c r="K1435" t="str">
        <x:v>Tarjeta débito</x:v>
      </x:c>
      <x:c r="L1435" t="str">
        <x:v>Sin error</x:v>
      </x:c>
    </x:row>
    <x:row r="1436">
      <x:c r="A1436" t="str">
        <x:v>TXN-0001435</x:v>
      </x:c>
      <x:c r="B1436" t="str">
        <x:v>2026-05</x:v>
      </x:c>
      <x:c r="C1436" t="n">
        <x:v>46147</x:v>
      </x:c>
      <x:c r="D1436" t="str">
        <x:v>USR-00871</x:v>
      </x:c>
      <x:c r="E1436" t="str">
        <x:v>SUS-001239</x:v>
      </x:c>
      <x:c r="F1436" t="str">
        <x:v>Plus mensual</x:v>
      </x:c>
      <x:c r="G1436" t="str">
        <x:v>Mensual</x:v>
      </x:c>
      <x:c r="H1436" t="n">
        <x:v>1</x:v>
      </x:c>
      <x:c r="I1436" t="str">
        <x:v>Aprobado</x:v>
      </x:c>
      <x:c r="J1436" t="n">
        <x:v>29900</x:v>
      </x:c>
      <x:c r="K1436" t="str">
        <x:v>Tarjeta crédito</x:v>
      </x:c>
      <x:c r="L1436" t="str">
        <x:v>Sin error</x:v>
      </x:c>
    </x:row>
    <x:row r="1437">
      <x:c r="A1437" t="str">
        <x:v>TXN-0001436</x:v>
      </x:c>
      <x:c r="B1437" t="str">
        <x:v>2026-05</x:v>
      </x:c>
      <x:c r="C1437" t="n">
        <x:v>46152</x:v>
      </x:c>
      <x:c r="D1437" t="str">
        <x:v>USR-00872</x:v>
      </x:c>
      <x:c r="E1437" t="str">
        <x:v>SUS-001240</x:v>
      </x:c>
      <x:c r="F1437" t="str">
        <x:v>Plus mensual</x:v>
      </x:c>
      <x:c r="G1437" t="str">
        <x:v>Mensual</x:v>
      </x:c>
      <x:c r="H1437" t="n">
        <x:v>1</x:v>
      </x:c>
      <x:c r="I1437" t="str">
        <x:v>Aprobado</x:v>
      </x:c>
      <x:c r="J1437" t="n">
        <x:v>29900</x:v>
      </x:c>
      <x:c r="K1437" t="str">
        <x:v>Tarjeta débito</x:v>
      </x:c>
      <x:c r="L1437" t="str">
        <x:v>Sin error</x:v>
      </x:c>
    </x:row>
    <x:row r="1438">
      <x:c r="A1438" t="str">
        <x:v>TXN-0001437</x:v>
      </x:c>
      <x:c r="B1438" t="str">
        <x:v>2026-05</x:v>
      </x:c>
      <x:c r="C1438" t="n">
        <x:v>46149</x:v>
      </x:c>
      <x:c r="D1438" t="str">
        <x:v>USR-00875</x:v>
      </x:c>
      <x:c r="E1438" t="str">
        <x:v>SUS-001243</x:v>
      </x:c>
      <x:c r="F1438" t="str">
        <x:v>Plus mensual</x:v>
      </x:c>
      <x:c r="G1438" t="str">
        <x:v>Mensual</x:v>
      </x:c>
      <x:c r="H1438" t="n">
        <x:v>1</x:v>
      </x:c>
      <x:c r="I1438" t="str">
        <x:v>Aprobado</x:v>
      </x:c>
      <x:c r="J1438" t="n">
        <x:v>29900</x:v>
      </x:c>
      <x:c r="K1438" t="str">
        <x:v>Tarjeta débito</x:v>
      </x:c>
      <x:c r="L1438" t="str">
        <x:v>Sin error</x:v>
      </x:c>
    </x:row>
    <x:row r="1439">
      <x:c r="A1439" t="str">
        <x:v>TXN-0001438</x:v>
      </x:c>
      <x:c r="B1439" t="str">
        <x:v>2026-05</x:v>
      </x:c>
      <x:c r="C1439" t="n">
        <x:v>46149</x:v>
      </x:c>
      <x:c r="D1439" t="str">
        <x:v>USR-00882</x:v>
      </x:c>
      <x:c r="E1439" t="str">
        <x:v>SUS-001250</x:v>
      </x:c>
      <x:c r="F1439" t="str">
        <x:v>Plus mensual</x:v>
      </x:c>
      <x:c r="G1439" t="str">
        <x:v>Mensual</x:v>
      </x:c>
      <x:c r="H1439" t="n">
        <x:v>1</x:v>
      </x:c>
      <x:c r="I1439" t="str">
        <x:v>Rechazado</x:v>
      </x:c>
      <x:c r="J1439" t="n">
        <x:v>29900</x:v>
      </x:c>
      <x:c r="K1439" t="str">
        <x:v>Tarjeta débito</x:v>
      </x:c>
      <x:c r="L1439" t="str">
        <x:v>Fondos insuficientes</x:v>
      </x:c>
    </x:row>
    <x:row r="1440">
      <x:c r="A1440" t="str">
        <x:v>TXN-0001439</x:v>
      </x:c>
      <x:c r="B1440" t="str">
        <x:v>2026-05</x:v>
      </x:c>
      <x:c r="C1440" t="n">
        <x:v>46149</x:v>
      </x:c>
      <x:c r="D1440" t="str">
        <x:v>USR-00882</x:v>
      </x:c>
      <x:c r="E1440" t="str">
        <x:v>SUS-001250</x:v>
      </x:c>
      <x:c r="F1440" t="str">
        <x:v>Plus mensual</x:v>
      </x:c>
      <x:c r="G1440" t="str">
        <x:v>Mensual</x:v>
      </x:c>
      <x:c r="H1440" t="n">
        <x:v>2</x:v>
      </x:c>
      <x:c r="I1440" t="str">
        <x:v>Aprobado</x:v>
      </x:c>
      <x:c r="J1440" t="n">
        <x:v>29900</x:v>
      </x:c>
      <x:c r="K1440" t="str">
        <x:v>Tarjeta débito</x:v>
      </x:c>
      <x:c r="L1440" t="str">
        <x:v>Sin error</x:v>
      </x:c>
    </x:row>
    <x:row r="1441">
      <x:c r="A1441" t="str">
        <x:v>TXN-0001440</x:v>
      </x:c>
      <x:c r="B1441" t="str">
        <x:v>2026-05</x:v>
      </x:c>
      <x:c r="C1441" t="n">
        <x:v>46150</x:v>
      </x:c>
      <x:c r="D1441" t="str">
        <x:v>USR-00885</x:v>
      </x:c>
      <x:c r="E1441" t="str">
        <x:v>SUS-001253</x:v>
      </x:c>
      <x:c r="F1441" t="str">
        <x:v>Plus mensual</x:v>
      </x:c>
      <x:c r="G1441" t="str">
        <x:v>Mensual</x:v>
      </x:c>
      <x:c r="H1441" t="n">
        <x:v>1</x:v>
      </x:c>
      <x:c r="I1441" t="str">
        <x:v>Aprobado</x:v>
      </x:c>
      <x:c r="J1441" t="n">
        <x:v>29900</x:v>
      </x:c>
      <x:c r="K1441" t="str">
        <x:v>PSE</x:v>
      </x:c>
      <x:c r="L1441" t="str">
        <x:v>Sin error</x:v>
      </x:c>
    </x:row>
    <x:row r="1442">
      <x:c r="A1442" t="str">
        <x:v>TXN-0001441</x:v>
      </x:c>
      <x:c r="B1442" t="str">
        <x:v>2026-06</x:v>
      </x:c>
      <x:c r="C1442" t="n">
        <x:v>46180</x:v>
      </x:c>
      <x:c r="D1442" t="str">
        <x:v>USR-00007</x:v>
      </x:c>
      <x:c r="E1442" t="str">
        <x:v>SUS-001260</x:v>
      </x:c>
      <x:c r="F1442" t="str">
        <x:v>Plus mensual</x:v>
      </x:c>
      <x:c r="G1442" t="str">
        <x:v>Mensual</x:v>
      </x:c>
      <x:c r="H1442" t="n">
        <x:v>1</x:v>
      </x:c>
      <x:c r="I1442" t="str">
        <x:v>Aprobado</x:v>
      </x:c>
      <x:c r="J1442" t="n">
        <x:v>29900</x:v>
      </x:c>
      <x:c r="K1442" t="str">
        <x:v>Tarjeta crédito</x:v>
      </x:c>
      <x:c r="L1442" t="str">
        <x:v>Sin error</x:v>
      </x:c>
    </x:row>
    <x:row r="1443">
      <x:c r="A1443" t="str">
        <x:v>TXN-0001442</x:v>
      </x:c>
      <x:c r="B1443" t="str">
        <x:v>2026-06</x:v>
      </x:c>
      <x:c r="C1443" t="n">
        <x:v>46180</x:v>
      </x:c>
      <x:c r="D1443" t="str">
        <x:v>USR-00011</x:v>
      </x:c>
      <x:c r="E1443" t="str">
        <x:v>SUS-000961</x:v>
      </x:c>
      <x:c r="F1443" t="str">
        <x:v>Plus mensual</x:v>
      </x:c>
      <x:c r="G1443" t="str">
        <x:v>Mensual</x:v>
      </x:c>
      <x:c r="H1443" t="n">
        <x:v>1</x:v>
      </x:c>
      <x:c r="I1443" t="str">
        <x:v>Aprobado</x:v>
      </x:c>
      <x:c r="J1443" t="n">
        <x:v>29900</x:v>
      </x:c>
      <x:c r="K1443" t="str">
        <x:v>PSE</x:v>
      </x:c>
      <x:c r="L1443" t="str">
        <x:v>Sin error</x:v>
      </x:c>
    </x:row>
    <x:row r="1444">
      <x:c r="A1444" t="str">
        <x:v>TXN-0001443</x:v>
      </x:c>
      <x:c r="B1444" t="str">
        <x:v>2026-06</x:v>
      </x:c>
      <x:c r="C1444" t="n">
        <x:v>46178</x:v>
      </x:c>
      <x:c r="D1444" t="str">
        <x:v>USR-00012</x:v>
      </x:c>
      <x:c r="E1444" t="str">
        <x:v>SUS-000837</x:v>
      </x:c>
      <x:c r="F1444" t="str">
        <x:v>Plus mensual</x:v>
      </x:c>
      <x:c r="G1444" t="str">
        <x:v>Mensual</x:v>
      </x:c>
      <x:c r="H1444" t="n">
        <x:v>1</x:v>
      </x:c>
      <x:c r="I1444" t="str">
        <x:v>Aprobado</x:v>
      </x:c>
      <x:c r="J1444" t="n">
        <x:v>29900</x:v>
      </x:c>
      <x:c r="K1444" t="str">
        <x:v>PSE</x:v>
      </x:c>
      <x:c r="L1444" t="str">
        <x:v>Sin error</x:v>
      </x:c>
    </x:row>
    <x:row r="1445">
      <x:c r="A1445" t="str">
        <x:v>TXN-0001444</x:v>
      </x:c>
      <x:c r="B1445" t="str">
        <x:v>2026-06</x:v>
      </x:c>
      <x:c r="C1445" t="n">
        <x:v>46181</x:v>
      </x:c>
      <x:c r="D1445" t="str">
        <x:v>USR-00015</x:v>
      </x:c>
      <x:c r="E1445" t="str">
        <x:v>SUS-001100</x:v>
      </x:c>
      <x:c r="F1445" t="str">
        <x:v>Plus mensual</x:v>
      </x:c>
      <x:c r="G1445" t="str">
        <x:v>Mensual</x:v>
      </x:c>
      <x:c r="H1445" t="n">
        <x:v>1</x:v>
      </x:c>
      <x:c r="I1445" t="str">
        <x:v>Aprobado</x:v>
      </x:c>
      <x:c r="J1445" t="n">
        <x:v>29900</x:v>
      </x:c>
      <x:c r="K1445" t="str">
        <x:v>PSE</x:v>
      </x:c>
      <x:c r="L1445" t="str">
        <x:v>Sin error</x:v>
      </x:c>
    </x:row>
    <x:row r="1446">
      <x:c r="A1446" t="str">
        <x:v>TXN-0001445</x:v>
      </x:c>
      <x:c r="B1446" t="str">
        <x:v>2026-06</x:v>
      </x:c>
      <x:c r="C1446" t="n">
        <x:v>46180</x:v>
      </x:c>
      <x:c r="D1446" t="str">
        <x:v>USR-00018</x:v>
      </x:c>
      <x:c r="E1446" t="str">
        <x:v>SUS-000157</x:v>
      </x:c>
      <x:c r="F1446" t="str">
        <x:v>Plus mensual</x:v>
      </x:c>
      <x:c r="G1446" t="str">
        <x:v>Mensual</x:v>
      </x:c>
      <x:c r="H1446" t="n">
        <x:v>1</x:v>
      </x:c>
      <x:c r="I1446" t="str">
        <x:v>Aprobado</x:v>
      </x:c>
      <x:c r="J1446" t="n">
        <x:v>29900</x:v>
      </x:c>
      <x:c r="K1446" t="str">
        <x:v>PSE</x:v>
      </x:c>
      <x:c r="L1446" t="str">
        <x:v>Sin error</x:v>
      </x:c>
    </x:row>
    <x:row r="1447">
      <x:c r="A1447" t="str">
        <x:v>TXN-0001446</x:v>
      </x:c>
      <x:c r="B1447" t="str">
        <x:v>2026-06</x:v>
      </x:c>
      <x:c r="C1447" t="n">
        <x:v>46181</x:v>
      </x:c>
      <x:c r="D1447" t="str">
        <x:v>USR-00019</x:v>
      </x:c>
      <x:c r="E1447" t="str">
        <x:v>SUS-000158</x:v>
      </x:c>
      <x:c r="F1447" t="str">
        <x:v>Plus mensual</x:v>
      </x:c>
      <x:c r="G1447" t="str">
        <x:v>Mensual</x:v>
      </x:c>
      <x:c r="H1447" t="n">
        <x:v>1</x:v>
      </x:c>
      <x:c r="I1447" t="str">
        <x:v>Aprobado</x:v>
      </x:c>
      <x:c r="J1447" t="n">
        <x:v>29900</x:v>
      </x:c>
      <x:c r="K1447" t="str">
        <x:v>Tarjeta débito</x:v>
      </x:c>
      <x:c r="L1447" t="str">
        <x:v>Sin error</x:v>
      </x:c>
    </x:row>
    <x:row r="1448">
      <x:c r="A1448" t="str">
        <x:v>TXN-0001447</x:v>
      </x:c>
      <x:c r="B1448" t="str">
        <x:v>2026-06</x:v>
      </x:c>
      <x:c r="C1448" t="n">
        <x:v>46184</x:v>
      </x:c>
      <x:c r="D1448" t="str">
        <x:v>USR-00034</x:v>
      </x:c>
      <x:c r="E1448" t="str">
        <x:v>SUS-000734</x:v>
      </x:c>
      <x:c r="F1448" t="str">
        <x:v>Plus mensual</x:v>
      </x:c>
      <x:c r="G1448" t="str">
        <x:v>Mensual</x:v>
      </x:c>
      <x:c r="H1448" t="n">
        <x:v>1</x:v>
      </x:c>
      <x:c r="I1448" t="str">
        <x:v>Aprobado</x:v>
      </x:c>
      <x:c r="J1448" t="n">
        <x:v>29900</x:v>
      </x:c>
      <x:c r="K1448" t="str">
        <x:v>PSE</x:v>
      </x:c>
      <x:c r="L1448" t="str">
        <x:v>Sin error</x:v>
      </x:c>
    </x:row>
    <x:row r="1449">
      <x:c r="A1449" t="str">
        <x:v>TXN-0001448</x:v>
      </x:c>
      <x:c r="B1449" t="str">
        <x:v>2026-06</x:v>
      </x:c>
      <x:c r="C1449" t="n">
        <x:v>46181</x:v>
      </x:c>
      <x:c r="D1449" t="str">
        <x:v>USR-00035</x:v>
      </x:c>
      <x:c r="E1449" t="str">
        <x:v>SUS-000964</x:v>
      </x:c>
      <x:c r="F1449" t="str">
        <x:v>Plus mensual</x:v>
      </x:c>
      <x:c r="G1449" t="str">
        <x:v>Mensual</x:v>
      </x:c>
      <x:c r="H1449" t="n">
        <x:v>1</x:v>
      </x:c>
      <x:c r="I1449" t="str">
        <x:v>Aprobado</x:v>
      </x:c>
      <x:c r="J1449" t="n">
        <x:v>29900</x:v>
      </x:c>
      <x:c r="K1449" t="str">
        <x:v>Tarjeta crédito</x:v>
      </x:c>
      <x:c r="L1449" t="str">
        <x:v>Sin error</x:v>
      </x:c>
    </x:row>
    <x:row r="1450">
      <x:c r="A1450" t="str">
        <x:v>TXN-0001449</x:v>
      </x:c>
      <x:c r="B1450" t="str">
        <x:v>2026-06</x:v>
      </x:c>
      <x:c r="C1450" t="n">
        <x:v>46183</x:v>
      </x:c>
      <x:c r="D1450" t="str">
        <x:v>USR-00037</x:v>
      </x:c>
      <x:c r="E1450" t="str">
        <x:v>SUS-000457</x:v>
      </x:c>
      <x:c r="F1450" t="str">
        <x:v>Plus mensual</x:v>
      </x:c>
      <x:c r="G1450" t="str">
        <x:v>Mensual</x:v>
      </x:c>
      <x:c r="H1450" t="n">
        <x:v>1</x:v>
      </x:c>
      <x:c r="I1450" t="str">
        <x:v>Aprobado</x:v>
      </x:c>
      <x:c r="J1450" t="n">
        <x:v>29900</x:v>
      </x:c>
      <x:c r="K1450" t="str">
        <x:v>Tarjeta débito</x:v>
      </x:c>
      <x:c r="L1450" t="str">
        <x:v>Sin error</x:v>
      </x:c>
    </x:row>
    <x:row r="1451">
      <x:c r="A1451" t="str">
        <x:v>TXN-0001450</x:v>
      </x:c>
      <x:c r="B1451" t="str">
        <x:v>2026-06</x:v>
      </x:c>
      <x:c r="C1451" t="n">
        <x:v>46184</x:v>
      </x:c>
      <x:c r="D1451" t="str">
        <x:v>USR-00055</x:v>
      </x:c>
      <x:c r="E1451" t="str">
        <x:v>SUS-001102</x:v>
      </x:c>
      <x:c r="F1451" t="str">
        <x:v>Plus mensual</x:v>
      </x:c>
      <x:c r="G1451" t="str">
        <x:v>Mensual</x:v>
      </x:c>
      <x:c r="H1451" t="n">
        <x:v>1</x:v>
      </x:c>
      <x:c r="I1451" t="str">
        <x:v>Aprobado</x:v>
      </x:c>
      <x:c r="J1451" t="n">
        <x:v>29900</x:v>
      </x:c>
      <x:c r="K1451" t="str">
        <x:v>PSE</x:v>
      </x:c>
      <x:c r="L1451" t="str">
        <x:v>Sin error</x:v>
      </x:c>
    </x:row>
    <x:row r="1452">
      <x:c r="A1452" t="str">
        <x:v>TXN-0001451</x:v>
      </x:c>
      <x:c r="B1452" t="str">
        <x:v>2026-06</x:v>
      </x:c>
      <x:c r="C1452" t="n">
        <x:v>46184</x:v>
      </x:c>
      <x:c r="D1452" t="str">
        <x:v>USR-00064</x:v>
      </x:c>
      <x:c r="E1452" t="str">
        <x:v>SUS-000333</x:v>
      </x:c>
      <x:c r="F1452" t="str">
        <x:v>Plus mensual</x:v>
      </x:c>
      <x:c r="G1452" t="str">
        <x:v>Mensual</x:v>
      </x:c>
      <x:c r="H1452" t="n">
        <x:v>1</x:v>
      </x:c>
      <x:c r="I1452" t="str">
        <x:v>Aprobado</x:v>
      </x:c>
      <x:c r="J1452" t="n">
        <x:v>29900</x:v>
      </x:c>
      <x:c r="K1452" t="str">
        <x:v>PSE</x:v>
      </x:c>
      <x:c r="L1452" t="str">
        <x:v>Sin error</x:v>
      </x:c>
    </x:row>
    <x:row r="1453">
      <x:c r="A1453" t="str">
        <x:v>TXN-0001452</x:v>
      </x:c>
      <x:c r="B1453" t="str">
        <x:v>2026-06</x:v>
      </x:c>
      <x:c r="C1453" t="n">
        <x:v>46185</x:v>
      </x:c>
      <x:c r="D1453" t="str">
        <x:v>USR-00067</x:v>
      </x:c>
      <x:c r="E1453" t="str">
        <x:v>SUS-001104</x:v>
      </x:c>
      <x:c r="F1453" t="str">
        <x:v>Plus mensual</x:v>
      </x:c>
      <x:c r="G1453" t="str">
        <x:v>Mensual</x:v>
      </x:c>
      <x:c r="H1453" t="n">
        <x:v>1</x:v>
      </x:c>
      <x:c r="I1453" t="str">
        <x:v>Aprobado</x:v>
      </x:c>
      <x:c r="J1453" t="n">
        <x:v>29900</x:v>
      </x:c>
      <x:c r="K1453" t="str">
        <x:v>Tarjeta crédito</x:v>
      </x:c>
      <x:c r="L1453" t="str">
        <x:v>Sin error</x:v>
      </x:c>
    </x:row>
    <x:row r="1454">
      <x:c r="A1454" t="str">
        <x:v>TXN-0001453</x:v>
      </x:c>
      <x:c r="B1454" t="str">
        <x:v>2026-06</x:v>
      </x:c>
      <x:c r="C1454" t="n">
        <x:v>46183</x:v>
      </x:c>
      <x:c r="D1454" t="str">
        <x:v>USR-00071</x:v>
      </x:c>
      <x:c r="E1454" t="str">
        <x:v>SUS-001261</x:v>
      </x:c>
      <x:c r="F1454" t="str">
        <x:v>Plus mensual</x:v>
      </x:c>
      <x:c r="G1454" t="str">
        <x:v>Mensual</x:v>
      </x:c>
      <x:c r="H1454" t="n">
        <x:v>1</x:v>
      </x:c>
      <x:c r="I1454" t="str">
        <x:v>Aprobado</x:v>
      </x:c>
      <x:c r="J1454" t="n">
        <x:v>29900</x:v>
      </x:c>
      <x:c r="K1454" t="str">
        <x:v>PSE</x:v>
      </x:c>
      <x:c r="L1454" t="str">
        <x:v>Sin error</x:v>
      </x:c>
    </x:row>
    <x:row r="1455">
      <x:c r="A1455" t="str">
        <x:v>TXN-0001454</x:v>
      </x:c>
      <x:c r="B1455" t="str">
        <x:v>2026-06</x:v>
      </x:c>
      <x:c r="C1455" t="n">
        <x:v>46178</x:v>
      </x:c>
      <x:c r="D1455" t="str">
        <x:v>USR-00073</x:v>
      </x:c>
      <x:c r="E1455" t="str">
        <x:v>SUS-001262</x:v>
      </x:c>
      <x:c r="F1455" t="str">
        <x:v>Plus mensual</x:v>
      </x:c>
      <x:c r="G1455" t="str">
        <x:v>Mensual</x:v>
      </x:c>
      <x:c r="H1455" t="n">
        <x:v>1</x:v>
      </x:c>
      <x:c r="I1455" t="str">
        <x:v>Aprobado</x:v>
      </x:c>
      <x:c r="J1455" t="n">
        <x:v>29900</x:v>
      </x:c>
      <x:c r="K1455" t="str">
        <x:v>Tarjeta débito</x:v>
      </x:c>
      <x:c r="L1455" t="str">
        <x:v>Sin error</x:v>
      </x:c>
    </x:row>
    <x:row r="1456">
      <x:c r="A1456" t="str">
        <x:v>TXN-0001455</x:v>
      </x:c>
      <x:c r="B1456" t="str">
        <x:v>2026-06</x:v>
      </x:c>
      <x:c r="C1456" t="n">
        <x:v>46180</x:v>
      </x:c>
      <x:c r="D1456" t="str">
        <x:v>USR-00076</x:v>
      </x:c>
      <x:c r="E1456" t="str">
        <x:v>SUS-000966</x:v>
      </x:c>
      <x:c r="F1456" t="str">
        <x:v>Plus mensual</x:v>
      </x:c>
      <x:c r="G1456" t="str">
        <x:v>Mensual</x:v>
      </x:c>
      <x:c r="H1456" t="n">
        <x:v>1</x:v>
      </x:c>
      <x:c r="I1456" t="str">
        <x:v>Aprobado</x:v>
      </x:c>
      <x:c r="J1456" t="n">
        <x:v>29900</x:v>
      </x:c>
      <x:c r="K1456" t="str">
        <x:v>Tarjeta crédito</x:v>
      </x:c>
      <x:c r="L1456" t="str">
        <x:v>Sin error</x:v>
      </x:c>
    </x:row>
    <x:row r="1457">
      <x:c r="A1457" t="str">
        <x:v>TXN-0001456</x:v>
      </x:c>
      <x:c r="B1457" t="str">
        <x:v>2026-06</x:v>
      </x:c>
      <x:c r="C1457" t="n">
        <x:v>46183</x:v>
      </x:c>
      <x:c r="D1457" t="str">
        <x:v>USR-00078</x:v>
      </x:c>
      <x:c r="E1457" t="str">
        <x:v>SUS-000083</x:v>
      </x:c>
      <x:c r="F1457" t="str">
        <x:v>Plus mensual</x:v>
      </x:c>
      <x:c r="G1457" t="str">
        <x:v>Mensual</x:v>
      </x:c>
      <x:c r="H1457" t="n">
        <x:v>1</x:v>
      </x:c>
      <x:c r="I1457" t="str">
        <x:v>Aprobado</x:v>
      </x:c>
      <x:c r="J1457" t="n">
        <x:v>29900</x:v>
      </x:c>
      <x:c r="K1457" t="str">
        <x:v>Tarjeta crédito</x:v>
      </x:c>
      <x:c r="L1457" t="str">
        <x:v>Sin error</x:v>
      </x:c>
    </x:row>
    <x:row r="1458">
      <x:c r="A1458" t="str">
        <x:v>TXN-0001457</x:v>
      </x:c>
      <x:c r="B1458" t="str">
        <x:v>2026-06</x:v>
      </x:c>
      <x:c r="C1458" t="n">
        <x:v>46185</x:v>
      </x:c>
      <x:c r="D1458" t="str">
        <x:v>USR-00079</x:v>
      </x:c>
      <x:c r="E1458" t="str">
        <x:v>SUS-000336</x:v>
      </x:c>
      <x:c r="F1458" t="str">
        <x:v>Plus mensual</x:v>
      </x:c>
      <x:c r="G1458" t="str">
        <x:v>Mensual</x:v>
      </x:c>
      <x:c r="H1458" t="n">
        <x:v>1</x:v>
      </x:c>
      <x:c r="I1458" t="str">
        <x:v>Aprobado</x:v>
      </x:c>
      <x:c r="J1458" t="n">
        <x:v>29900</x:v>
      </x:c>
      <x:c r="K1458" t="str">
        <x:v>Tarjeta débito</x:v>
      </x:c>
      <x:c r="L1458" t="str">
        <x:v>Sin error</x:v>
      </x:c>
    </x:row>
    <x:row r="1459">
      <x:c r="A1459" t="str">
        <x:v>TXN-0001458</x:v>
      </x:c>
      <x:c r="B1459" t="str">
        <x:v>2026-06</x:v>
      </x:c>
      <x:c r="C1459" t="n">
        <x:v>46184</x:v>
      </x:c>
      <x:c r="D1459" t="str">
        <x:v>USR-00080</x:v>
      </x:c>
      <x:c r="E1459" t="str">
        <x:v>SUS-000162</x:v>
      </x:c>
      <x:c r="F1459" t="str">
        <x:v>Plus anual</x:v>
      </x:c>
      <x:c r="G1459" t="str">
        <x:v>Anual</x:v>
      </x:c>
      <x:c r="H1459" t="n">
        <x:v>1</x:v>
      </x:c>
      <x:c r="I1459" t="str">
        <x:v>Aprobado</x:v>
      </x:c>
      <x:c r="J1459" t="n">
        <x:v>299000</x:v>
      </x:c>
      <x:c r="K1459" t="str">
        <x:v>Tarjeta crédito</x:v>
      </x:c>
      <x:c r="L1459" t="str">
        <x:v>Sin error</x:v>
      </x:c>
    </x:row>
    <x:row r="1460">
      <x:c r="A1460" t="str">
        <x:v>TXN-0001459</x:v>
      </x:c>
      <x:c r="B1460" t="str">
        <x:v>2026-06</x:v>
      </x:c>
      <x:c r="C1460" t="n">
        <x:v>46178</x:v>
      </x:c>
      <x:c r="D1460" t="str">
        <x:v>USR-00091</x:v>
      </x:c>
      <x:c r="E1460" t="str">
        <x:v>SUS-000736</x:v>
      </x:c>
      <x:c r="F1460" t="str">
        <x:v>Plus mensual</x:v>
      </x:c>
      <x:c r="G1460" t="str">
        <x:v>Mensual</x:v>
      </x:c>
      <x:c r="H1460" t="n">
        <x:v>1</x:v>
      </x:c>
      <x:c r="I1460" t="str">
        <x:v>Aprobado</x:v>
      </x:c>
      <x:c r="J1460" t="n">
        <x:v>29900</x:v>
      </x:c>
      <x:c r="K1460" t="str">
        <x:v>PSE</x:v>
      </x:c>
      <x:c r="L1460" t="str">
        <x:v>Sin error</x:v>
      </x:c>
    </x:row>
    <x:row r="1461">
      <x:c r="A1461" t="str">
        <x:v>TXN-0001460</x:v>
      </x:c>
      <x:c r="B1461" t="str">
        <x:v>2026-06</x:v>
      </x:c>
      <x:c r="C1461" t="n">
        <x:v>46184</x:v>
      </x:c>
      <x:c r="D1461" t="str">
        <x:v>USR-00096</x:v>
      </x:c>
      <x:c r="E1461" t="str">
        <x:v>SUS-000273</x:v>
      </x:c>
      <x:c r="F1461" t="str">
        <x:v>Plus mensual</x:v>
      </x:c>
      <x:c r="G1461" t="str">
        <x:v>Mensual</x:v>
      </x:c>
      <x:c r="H1461" t="n">
        <x:v>1</x:v>
      </x:c>
      <x:c r="I1461" t="str">
        <x:v>Aprobado</x:v>
      </x:c>
      <x:c r="J1461" t="n">
        <x:v>29900</x:v>
      </x:c>
      <x:c r="K1461" t="str">
        <x:v>PSE</x:v>
      </x:c>
      <x:c r="L1461" t="str">
        <x:v>Sin error</x:v>
      </x:c>
    </x:row>
    <x:row r="1462">
      <x:c r="A1462" t="str">
        <x:v>TXN-0001461</x:v>
      </x:c>
      <x:c r="B1462" t="str">
        <x:v>2026-06</x:v>
      </x:c>
      <x:c r="C1462" t="n">
        <x:v>46178</x:v>
      </x:c>
      <x:c r="D1462" t="str">
        <x:v>USR-00099</x:v>
      </x:c>
      <x:c r="E1462" t="str">
        <x:v>SUS-000337</x:v>
      </x:c>
      <x:c r="F1462" t="str">
        <x:v>Plus mensual</x:v>
      </x:c>
      <x:c r="G1462" t="str">
        <x:v>Mensual</x:v>
      </x:c>
      <x:c r="H1462" t="n">
        <x:v>1</x:v>
      </x:c>
      <x:c r="I1462" t="str">
        <x:v>Aprobado</x:v>
      </x:c>
      <x:c r="J1462" t="n">
        <x:v>29900</x:v>
      </x:c>
      <x:c r="K1462" t="str">
        <x:v>Tarjeta crédito</x:v>
      </x:c>
      <x:c r="L1462" t="str">
        <x:v>Sin error</x:v>
      </x:c>
    </x:row>
    <x:row r="1463">
      <x:c r="A1463" t="str">
        <x:v>TXN-0001462</x:v>
      </x:c>
      <x:c r="B1463" t="str">
        <x:v>2026-06</x:v>
      </x:c>
      <x:c r="C1463" t="n">
        <x:v>46180</x:v>
      </x:c>
      <x:c r="D1463" t="str">
        <x:v>USR-00102</x:v>
      </x:c>
      <x:c r="E1463" t="str">
        <x:v>SUS-000842</x:v>
      </x:c>
      <x:c r="F1463" t="str">
        <x:v>Plus mensual</x:v>
      </x:c>
      <x:c r="G1463" t="str">
        <x:v>Mensual</x:v>
      </x:c>
      <x:c r="H1463" t="n">
        <x:v>1</x:v>
      </x:c>
      <x:c r="I1463" t="str">
        <x:v>Aprobado</x:v>
      </x:c>
      <x:c r="J1463" t="n">
        <x:v>29900</x:v>
      </x:c>
      <x:c r="K1463" t="str">
        <x:v>PSE</x:v>
      </x:c>
      <x:c r="L1463" t="str">
        <x:v>Sin error</x:v>
      </x:c>
    </x:row>
    <x:row r="1464">
      <x:c r="A1464" t="str">
        <x:v>TXN-0001463</x:v>
      </x:c>
      <x:c r="B1464" t="str">
        <x:v>2026-06</x:v>
      </x:c>
      <x:c r="C1464" t="n">
        <x:v>46184</x:v>
      </x:c>
      <x:c r="D1464" t="str">
        <x:v>USR-00108</x:v>
      </x:c>
      <x:c r="E1464" t="str">
        <x:v>SUS-001108</x:v>
      </x:c>
      <x:c r="F1464" t="str">
        <x:v>Plus mensual</x:v>
      </x:c>
      <x:c r="G1464" t="str">
        <x:v>Mensual</x:v>
      </x:c>
      <x:c r="H1464" t="n">
        <x:v>1</x:v>
      </x:c>
      <x:c r="I1464" t="str">
        <x:v>Aprobado</x:v>
      </x:c>
      <x:c r="J1464" t="n">
        <x:v>29900</x:v>
      </x:c>
      <x:c r="K1464" t="str">
        <x:v>Tarjeta crédito</x:v>
      </x:c>
      <x:c r="L1464" t="str">
        <x:v>Sin error</x:v>
      </x:c>
    </x:row>
    <x:row r="1465">
      <x:c r="A1465" t="str">
        <x:v>TXN-0001464</x:v>
      </x:c>
      <x:c r="B1465" t="str">
        <x:v>2026-06</x:v>
      </x:c>
      <x:c r="C1465" t="n">
        <x:v>46180</x:v>
      </x:c>
      <x:c r="D1465" t="str">
        <x:v>USR-00120</x:v>
      </x:c>
      <x:c r="E1465" t="str">
        <x:v>SUS-000165</x:v>
      </x:c>
      <x:c r="F1465" t="str">
        <x:v>Plus anual</x:v>
      </x:c>
      <x:c r="G1465" t="str">
        <x:v>Anual</x:v>
      </x:c>
      <x:c r="H1465" t="n">
        <x:v>1</x:v>
      </x:c>
      <x:c r="I1465" t="str">
        <x:v>Aprobado</x:v>
      </x:c>
      <x:c r="J1465" t="n">
        <x:v>299000</x:v>
      </x:c>
      <x:c r="K1465" t="str">
        <x:v>PSE</x:v>
      </x:c>
      <x:c r="L1465" t="str">
        <x:v>Sin error</x:v>
      </x:c>
    </x:row>
    <x:row r="1466">
      <x:c r="A1466" t="str">
        <x:v>TXN-0001465</x:v>
      </x:c>
      <x:c r="B1466" t="str">
        <x:v>2026-06</x:v>
      </x:c>
      <x:c r="C1466" t="n">
        <x:v>46179</x:v>
      </x:c>
      <x:c r="D1466" t="str">
        <x:v>USR-00122</x:v>
      </x:c>
      <x:c r="E1466" t="str">
        <x:v>SUS-000843</x:v>
      </x:c>
      <x:c r="F1466" t="str">
        <x:v>Plus mensual</x:v>
      </x:c>
      <x:c r="G1466" t="str">
        <x:v>Mensual</x:v>
      </x:c>
      <x:c r="H1466" t="n">
        <x:v>1</x:v>
      </x:c>
      <x:c r="I1466" t="str">
        <x:v>Aprobado</x:v>
      </x:c>
      <x:c r="J1466" t="n">
        <x:v>29900</x:v>
      </x:c>
      <x:c r="K1466" t="str">
        <x:v>Tarjeta débito</x:v>
      </x:c>
      <x:c r="L1466" t="str">
        <x:v>Sin error</x:v>
      </x:c>
    </x:row>
    <x:row r="1467">
      <x:c r="A1467" t="str">
        <x:v>TXN-0001466</x:v>
      </x:c>
      <x:c r="B1467" t="str">
        <x:v>2026-06</x:v>
      </x:c>
      <x:c r="C1467" t="n">
        <x:v>46181</x:v>
      </x:c>
      <x:c r="D1467" t="str">
        <x:v>USR-00136</x:v>
      </x:c>
      <x:c r="E1467" t="str">
        <x:v>SUS-001263</x:v>
      </x:c>
      <x:c r="F1467" t="str">
        <x:v>Plus mensual</x:v>
      </x:c>
      <x:c r="G1467" t="str">
        <x:v>Mensual</x:v>
      </x:c>
      <x:c r="H1467" t="n">
        <x:v>1</x:v>
      </x:c>
      <x:c r="I1467" t="str">
        <x:v>Aprobado</x:v>
      </x:c>
      <x:c r="J1467" t="n">
        <x:v>29900</x:v>
      </x:c>
      <x:c r="K1467" t="str">
        <x:v>Tarjeta débito</x:v>
      </x:c>
      <x:c r="L1467" t="str">
        <x:v>Sin error</x:v>
      </x:c>
    </x:row>
    <x:row r="1468">
      <x:c r="A1468" t="str">
        <x:v>TXN-0001467</x:v>
      </x:c>
      <x:c r="B1468" t="str">
        <x:v>2026-06</x:v>
      </x:c>
      <x:c r="C1468" t="n">
        <x:v>46180</x:v>
      </x:c>
      <x:c r="D1468" t="str">
        <x:v>USR-00145</x:v>
      </x:c>
      <x:c r="E1468" t="str">
        <x:v>SUS-000168</x:v>
      </x:c>
      <x:c r="F1468" t="str">
        <x:v>Plus mensual</x:v>
      </x:c>
      <x:c r="G1468" t="str">
        <x:v>Mensual</x:v>
      </x:c>
      <x:c r="H1468" t="n">
        <x:v>1</x:v>
      </x:c>
      <x:c r="I1468" t="str">
        <x:v>Aprobado</x:v>
      </x:c>
      <x:c r="J1468" t="n">
        <x:v>29900</x:v>
      </x:c>
      <x:c r="K1468" t="str">
        <x:v>Tarjeta crédito</x:v>
      </x:c>
      <x:c r="L1468" t="str">
        <x:v>Sin error</x:v>
      </x:c>
    </x:row>
    <x:row r="1469">
      <x:c r="A1469" t="str">
        <x:v>TXN-0001468</x:v>
      </x:c>
      <x:c r="B1469" t="str">
        <x:v>2026-06</x:v>
      </x:c>
      <x:c r="C1469" t="n">
        <x:v>46185</x:v>
      </x:c>
      <x:c r="D1469" t="str">
        <x:v>USR-00148</x:v>
      </x:c>
      <x:c r="E1469" t="str">
        <x:v>SUS-000740</x:v>
      </x:c>
      <x:c r="F1469" t="str">
        <x:v>Plus mensual</x:v>
      </x:c>
      <x:c r="G1469" t="str">
        <x:v>Mensual</x:v>
      </x:c>
      <x:c r="H1469" t="n">
        <x:v>1</x:v>
      </x:c>
      <x:c r="I1469" t="str">
        <x:v>Aprobado</x:v>
      </x:c>
      <x:c r="J1469" t="n">
        <x:v>29900</x:v>
      </x:c>
      <x:c r="K1469" t="str">
        <x:v>Tarjeta crédito</x:v>
      </x:c>
      <x:c r="L1469" t="str">
        <x:v>Sin error</x:v>
      </x:c>
    </x:row>
    <x:row r="1470">
      <x:c r="A1470" t="str">
        <x:v>TXN-0001469</x:v>
      </x:c>
      <x:c r="B1470" t="str">
        <x:v>2026-06</x:v>
      </x:c>
      <x:c r="C1470" t="n">
        <x:v>46184</x:v>
      </x:c>
      <x:c r="D1470" t="str">
        <x:v>USR-00151</x:v>
      </x:c>
      <x:c r="E1470" t="str">
        <x:v>SUS-001264</x:v>
      </x:c>
      <x:c r="F1470" t="str">
        <x:v>Plus mensual</x:v>
      </x:c>
      <x:c r="G1470" t="str">
        <x:v>Mensual</x:v>
      </x:c>
      <x:c r="H1470" t="n">
        <x:v>1</x:v>
      </x:c>
      <x:c r="I1470" t="str">
        <x:v>Aprobado</x:v>
      </x:c>
      <x:c r="J1470" t="n">
        <x:v>29900</x:v>
      </x:c>
      <x:c r="K1470" t="str">
        <x:v>Tarjeta débito</x:v>
      </x:c>
      <x:c r="L1470" t="str">
        <x:v>Sin error</x:v>
      </x:c>
    </x:row>
    <x:row r="1471">
      <x:c r="A1471" t="str">
        <x:v>TXN-0001470</x:v>
      </x:c>
      <x:c r="B1471" t="str">
        <x:v>2026-06</x:v>
      </x:c>
      <x:c r="C1471" t="n">
        <x:v>46181</x:v>
      </x:c>
      <x:c r="D1471" t="str">
        <x:v>USR-00154</x:v>
      </x:c>
      <x:c r="E1471" t="str">
        <x:v>SUS-000278</x:v>
      </x:c>
      <x:c r="F1471" t="str">
        <x:v>Plus mensual</x:v>
      </x:c>
      <x:c r="G1471" t="str">
        <x:v>Mensual</x:v>
      </x:c>
      <x:c r="H1471" t="n">
        <x:v>1</x:v>
      </x:c>
      <x:c r="I1471" t="str">
        <x:v>Aprobado</x:v>
      </x:c>
      <x:c r="J1471" t="n">
        <x:v>29900</x:v>
      </x:c>
      <x:c r="K1471" t="str">
        <x:v>PSE</x:v>
      </x:c>
      <x:c r="L1471" t="str">
        <x:v>Sin error</x:v>
      </x:c>
    </x:row>
    <x:row r="1472">
      <x:c r="A1472" t="str">
        <x:v>TXN-0001471</x:v>
      </x:c>
      <x:c r="B1472" t="str">
        <x:v>2026-06</x:v>
      </x:c>
      <x:c r="C1472" t="n">
        <x:v>46181</x:v>
      </x:c>
      <x:c r="D1472" t="str">
        <x:v>USR-00155</x:v>
      </x:c>
      <x:c r="E1472" t="str">
        <x:v>SUS-000462</x:v>
      </x:c>
      <x:c r="F1472" t="str">
        <x:v>Plus mensual</x:v>
      </x:c>
      <x:c r="G1472" t="str">
        <x:v>Mensual</x:v>
      </x:c>
      <x:c r="H1472" t="n">
        <x:v>1</x:v>
      </x:c>
      <x:c r="I1472" t="str">
        <x:v>Aprobado</x:v>
      </x:c>
      <x:c r="J1472" t="n">
        <x:v>29900</x:v>
      </x:c>
      <x:c r="K1472" t="str">
        <x:v>Tarjeta crédito</x:v>
      </x:c>
      <x:c r="L1472" t="str">
        <x:v>Sin error</x:v>
      </x:c>
    </x:row>
    <x:row r="1473">
      <x:c r="A1473" t="str">
        <x:v>TXN-0001472</x:v>
      </x:c>
      <x:c r="B1473" t="str">
        <x:v>2026-06</x:v>
      </x:c>
      <x:c r="C1473" t="n">
        <x:v>46180</x:v>
      </x:c>
      <x:c r="D1473" t="str">
        <x:v>USR-00158</x:v>
      </x:c>
      <x:c r="E1473" t="str">
        <x:v>SUS-001111</x:v>
      </x:c>
      <x:c r="F1473" t="str">
        <x:v>Plus mensual</x:v>
      </x:c>
      <x:c r="G1473" t="str">
        <x:v>Mensual</x:v>
      </x:c>
      <x:c r="H1473" t="n">
        <x:v>1</x:v>
      </x:c>
      <x:c r="I1473" t="str">
        <x:v>Aprobado</x:v>
      </x:c>
      <x:c r="J1473" t="n">
        <x:v>29900</x:v>
      </x:c>
      <x:c r="K1473" t="str">
        <x:v>Tarjeta débito</x:v>
      </x:c>
      <x:c r="L1473" t="str">
        <x:v>Sin error</x:v>
      </x:c>
    </x:row>
    <x:row r="1474">
      <x:c r="A1474" t="str">
        <x:v>TXN-0001473</x:v>
      </x:c>
      <x:c r="B1474" t="str">
        <x:v>2026-06</x:v>
      </x:c>
      <x:c r="C1474" t="n">
        <x:v>46183</x:v>
      </x:c>
      <x:c r="D1474" t="str">
        <x:v>USR-00162</x:v>
      </x:c>
      <x:c r="E1474" t="str">
        <x:v>SUS-000225</x:v>
      </x:c>
      <x:c r="F1474" t="str">
        <x:v>Plus mensual</x:v>
      </x:c>
      <x:c r="G1474" t="str">
        <x:v>Mensual</x:v>
      </x:c>
      <x:c r="H1474" t="n">
        <x:v>1</x:v>
      </x:c>
      <x:c r="I1474" t="str">
        <x:v>Aprobado</x:v>
      </x:c>
      <x:c r="J1474" t="n">
        <x:v>29900</x:v>
      </x:c>
      <x:c r="K1474" t="str">
        <x:v>Tarjeta débito</x:v>
      </x:c>
      <x:c r="L1474" t="str">
        <x:v>Sin error</x:v>
      </x:c>
    </x:row>
    <x:row r="1475">
      <x:c r="A1475" t="str">
        <x:v>TXN-0001474</x:v>
      </x:c>
      <x:c r="B1475" t="str">
        <x:v>2026-06</x:v>
      </x:c>
      <x:c r="C1475" t="n">
        <x:v>46183</x:v>
      </x:c>
      <x:c r="D1475" t="str">
        <x:v>USR-00164</x:v>
      </x:c>
      <x:c r="E1475" t="str">
        <x:v>SUS-000534</x:v>
      </x:c>
      <x:c r="F1475" t="str">
        <x:v>Plus mensual</x:v>
      </x:c>
      <x:c r="G1475" t="str">
        <x:v>Mensual</x:v>
      </x:c>
      <x:c r="H1475" t="n">
        <x:v>1</x:v>
      </x:c>
      <x:c r="I1475" t="str">
        <x:v>Aprobado</x:v>
      </x:c>
      <x:c r="J1475" t="n">
        <x:v>29900</x:v>
      </x:c>
      <x:c r="K1475" t="str">
        <x:v>Tarjeta débito</x:v>
      </x:c>
      <x:c r="L1475" t="str">
        <x:v>Sin error</x:v>
      </x:c>
    </x:row>
    <x:row r="1476">
      <x:c r="A1476" t="str">
        <x:v>TXN-0001475</x:v>
      </x:c>
      <x:c r="B1476" t="str">
        <x:v>2026-06</x:v>
      </x:c>
      <x:c r="C1476" t="n">
        <x:v>46180</x:v>
      </x:c>
      <x:c r="D1476" t="str">
        <x:v>USR-00167</x:v>
      </x:c>
      <x:c r="E1476" t="str">
        <x:v>SUS-000226</x:v>
      </x:c>
      <x:c r="F1476" t="str">
        <x:v>Plus mensual</x:v>
      </x:c>
      <x:c r="G1476" t="str">
        <x:v>Mensual</x:v>
      </x:c>
      <x:c r="H1476" t="n">
        <x:v>1</x:v>
      </x:c>
      <x:c r="I1476" t="str">
        <x:v>Aprobado</x:v>
      </x:c>
      <x:c r="J1476" t="n">
        <x:v>29900</x:v>
      </x:c>
      <x:c r="K1476" t="str">
        <x:v>PSE</x:v>
      </x:c>
      <x:c r="L1476" t="str">
        <x:v>Sin error</x:v>
      </x:c>
    </x:row>
    <x:row r="1477">
      <x:c r="A1477" t="str">
        <x:v>TXN-0001476</x:v>
      </x:c>
      <x:c r="B1477" t="str">
        <x:v>2026-06</x:v>
      </x:c>
      <x:c r="C1477" t="n">
        <x:v>46181</x:v>
      </x:c>
      <x:c r="D1477" t="str">
        <x:v>USR-00174</x:v>
      </x:c>
      <x:c r="E1477" t="str">
        <x:v>SUS-001265</x:v>
      </x:c>
      <x:c r="F1477" t="str">
        <x:v>Plus mensual</x:v>
      </x:c>
      <x:c r="G1477" t="str">
        <x:v>Mensual</x:v>
      </x:c>
      <x:c r="H1477" t="n">
        <x:v>1</x:v>
      </x:c>
      <x:c r="I1477" t="str">
        <x:v>Aprobado</x:v>
      </x:c>
      <x:c r="J1477" t="n">
        <x:v>29900</x:v>
      </x:c>
      <x:c r="K1477" t="str">
        <x:v>Tarjeta débito</x:v>
      </x:c>
      <x:c r="L1477" t="str">
        <x:v>Sin error</x:v>
      </x:c>
    </x:row>
    <x:row r="1478">
      <x:c r="A1478" t="str">
        <x:v>TXN-0001477</x:v>
      </x:c>
      <x:c r="B1478" t="str">
        <x:v>2026-06</x:v>
      </x:c>
      <x:c r="C1478" t="n">
        <x:v>46179</x:v>
      </x:c>
      <x:c r="D1478" t="str">
        <x:v>USR-00179</x:v>
      </x:c>
      <x:c r="E1478" t="str">
        <x:v>SUS-001266</x:v>
      </x:c>
      <x:c r="F1478" t="str">
        <x:v>Plus mensual</x:v>
      </x:c>
      <x:c r="G1478" t="str">
        <x:v>Mensual</x:v>
      </x:c>
      <x:c r="H1478" t="n">
        <x:v>1</x:v>
      </x:c>
      <x:c r="I1478" t="str">
        <x:v>Aprobado</x:v>
      </x:c>
      <x:c r="J1478" t="n">
        <x:v>29900</x:v>
      </x:c>
      <x:c r="K1478" t="str">
        <x:v>PSE</x:v>
      </x:c>
      <x:c r="L1478" t="str">
        <x:v>Sin error</x:v>
      </x:c>
    </x:row>
    <x:row r="1479">
      <x:c r="A1479" t="str">
        <x:v>TXN-0001478</x:v>
      </x:c>
      <x:c r="B1479" t="str">
        <x:v>2026-06</x:v>
      </x:c>
      <x:c r="C1479" t="n">
        <x:v>46179</x:v>
      </x:c>
      <x:c r="D1479" t="str">
        <x:v>USR-00184</x:v>
      </x:c>
      <x:c r="E1479" t="str">
        <x:v>SUS-000281</x:v>
      </x:c>
      <x:c r="F1479" t="str">
        <x:v>Plus mensual</x:v>
      </x:c>
      <x:c r="G1479" t="str">
        <x:v>Mensual</x:v>
      </x:c>
      <x:c r="H1479" t="n">
        <x:v>1</x:v>
      </x:c>
      <x:c r="I1479" t="str">
        <x:v>Aprobado</x:v>
      </x:c>
      <x:c r="J1479" t="n">
        <x:v>29900</x:v>
      </x:c>
      <x:c r="K1479" t="str">
        <x:v>Tarjeta débito</x:v>
      </x:c>
      <x:c r="L1479" t="str">
        <x:v>Sin error</x:v>
      </x:c>
    </x:row>
    <x:row r="1480">
      <x:c r="A1480" t="str">
        <x:v>TXN-0001479</x:v>
      </x:c>
      <x:c r="B1480" t="str">
        <x:v>2026-06</x:v>
      </x:c>
      <x:c r="C1480" t="n">
        <x:v>46178</x:v>
      </x:c>
      <x:c r="D1480" t="str">
        <x:v>USR-00188</x:v>
      </x:c>
      <x:c r="E1480" t="str">
        <x:v>SUS-000229</x:v>
      </x:c>
      <x:c r="F1480" t="str">
        <x:v>Plus mensual</x:v>
      </x:c>
      <x:c r="G1480" t="str">
        <x:v>Mensual</x:v>
      </x:c>
      <x:c r="H1480" t="n">
        <x:v>1</x:v>
      </x:c>
      <x:c r="I1480" t="str">
        <x:v>Aprobado</x:v>
      </x:c>
      <x:c r="J1480" t="n">
        <x:v>29900</x:v>
      </x:c>
      <x:c r="K1480" t="str">
        <x:v>Tarjeta débito</x:v>
      </x:c>
      <x:c r="L1480" t="str">
        <x:v>Sin error</x:v>
      </x:c>
    </x:row>
    <x:row r="1481">
      <x:c r="A1481" t="str">
        <x:v>TXN-0001480</x:v>
      </x:c>
      <x:c r="B1481" t="str">
        <x:v>2026-06</x:v>
      </x:c>
      <x:c r="C1481" t="n">
        <x:v>46181</x:v>
      </x:c>
      <x:c r="D1481" t="str">
        <x:v>USR-00201</x:v>
      </x:c>
      <x:c r="E1481" t="str">
        <x:v>SUS-000242</x:v>
      </x:c>
      <x:c r="F1481" t="str">
        <x:v>Plus mensual</x:v>
      </x:c>
      <x:c r="G1481" t="str">
        <x:v>Mensual</x:v>
      </x:c>
      <x:c r="H1481" t="n">
        <x:v>1</x:v>
      </x:c>
      <x:c r="I1481" t="str">
        <x:v>Aprobado</x:v>
      </x:c>
      <x:c r="J1481" t="n">
        <x:v>29900</x:v>
      </x:c>
      <x:c r="K1481" t="str">
        <x:v>Tarjeta débito</x:v>
      </x:c>
      <x:c r="L1481" t="str">
        <x:v>Sin error</x:v>
      </x:c>
    </x:row>
    <x:row r="1482">
      <x:c r="A1482" t="str">
        <x:v>TXN-0001481</x:v>
      </x:c>
      <x:c r="B1482" t="str">
        <x:v>2026-06</x:v>
      </x:c>
      <x:c r="C1482" t="n">
        <x:v>46178</x:v>
      </x:c>
      <x:c r="D1482" t="str">
        <x:v>USR-00206</x:v>
      </x:c>
      <x:c r="E1482" t="str">
        <x:v>SUS-000623</x:v>
      </x:c>
      <x:c r="F1482" t="str">
        <x:v>Plus mensual</x:v>
      </x:c>
      <x:c r="G1482" t="str">
        <x:v>Mensual</x:v>
      </x:c>
      <x:c r="H1482" t="n">
        <x:v>1</x:v>
      </x:c>
      <x:c r="I1482" t="str">
        <x:v>Aprobado</x:v>
      </x:c>
      <x:c r="J1482" t="n">
        <x:v>29900</x:v>
      </x:c>
      <x:c r="K1482" t="str">
        <x:v>PSE</x:v>
      </x:c>
      <x:c r="L1482" t="str">
        <x:v>Sin error</x:v>
      </x:c>
    </x:row>
    <x:row r="1483">
      <x:c r="A1483" t="str">
        <x:v>TXN-0001482</x:v>
      </x:c>
      <x:c r="B1483" t="str">
        <x:v>2026-06</x:v>
      </x:c>
      <x:c r="C1483" t="n">
        <x:v>46183</x:v>
      </x:c>
      <x:c r="D1483" t="str">
        <x:v>USR-00211</x:v>
      </x:c>
      <x:c r="E1483" t="str">
        <x:v>SUS-000747</x:v>
      </x:c>
      <x:c r="F1483" t="str">
        <x:v>Plus mensual</x:v>
      </x:c>
      <x:c r="G1483" t="str">
        <x:v>Mensual</x:v>
      </x:c>
      <x:c r="H1483" t="n">
        <x:v>1</x:v>
      </x:c>
      <x:c r="I1483" t="str">
        <x:v>Aprobado</x:v>
      </x:c>
      <x:c r="J1483" t="n">
        <x:v>29900</x:v>
      </x:c>
      <x:c r="K1483" t="str">
        <x:v>Tarjeta débito</x:v>
      </x:c>
      <x:c r="L1483" t="str">
        <x:v>Sin error</x:v>
      </x:c>
    </x:row>
    <x:row r="1484">
      <x:c r="A1484" t="str">
        <x:v>TXN-0001483</x:v>
      </x:c>
      <x:c r="B1484" t="str">
        <x:v>2026-06</x:v>
      </x:c>
      <x:c r="C1484" t="n">
        <x:v>46183</x:v>
      </x:c>
      <x:c r="D1484" t="str">
        <x:v>USR-00213</x:v>
      </x:c>
      <x:c r="E1484" t="str">
        <x:v>SUS-000972</x:v>
      </x:c>
      <x:c r="F1484" t="str">
        <x:v>Plus mensual</x:v>
      </x:c>
      <x:c r="G1484" t="str">
        <x:v>Mensual</x:v>
      </x:c>
      <x:c r="H1484" t="n">
        <x:v>1</x:v>
      </x:c>
      <x:c r="I1484" t="str">
        <x:v>Aprobado</x:v>
      </x:c>
      <x:c r="J1484" t="n">
        <x:v>29900</x:v>
      </x:c>
      <x:c r="K1484" t="str">
        <x:v>Tarjeta débito</x:v>
      </x:c>
      <x:c r="L1484" t="str">
        <x:v>Sin error</x:v>
      </x:c>
    </x:row>
    <x:row r="1485">
      <x:c r="A1485" t="str">
        <x:v>TXN-0001484</x:v>
      </x:c>
      <x:c r="B1485" t="str">
        <x:v>2026-06</x:v>
      </x:c>
      <x:c r="C1485" t="n">
        <x:v>46182</x:v>
      </x:c>
      <x:c r="D1485" t="str">
        <x:v>USR-00220</x:v>
      </x:c>
      <x:c r="E1485" t="str">
        <x:v>SUS-000261</x:v>
      </x:c>
      <x:c r="F1485" t="str">
        <x:v>Plus mensual</x:v>
      </x:c>
      <x:c r="G1485" t="str">
        <x:v>Mensual</x:v>
      </x:c>
      <x:c r="H1485" t="n">
        <x:v>1</x:v>
      </x:c>
      <x:c r="I1485" t="str">
        <x:v>Aprobado</x:v>
      </x:c>
      <x:c r="J1485" t="n">
        <x:v>29900</x:v>
      </x:c>
      <x:c r="K1485" t="str">
        <x:v>PSE</x:v>
      </x:c>
      <x:c r="L1485" t="str">
        <x:v>Sin error</x:v>
      </x:c>
    </x:row>
    <x:row r="1486">
      <x:c r="A1486" t="str">
        <x:v>TXN-0001485</x:v>
      </x:c>
      <x:c r="B1486" t="str">
        <x:v>2026-06</x:v>
      </x:c>
      <x:c r="C1486" t="n">
        <x:v>46178</x:v>
      </x:c>
      <x:c r="D1486" t="str">
        <x:v>USR-00224</x:v>
      </x:c>
      <x:c r="E1486" t="str">
        <x:v>SUS-001269</x:v>
      </x:c>
      <x:c r="F1486" t="str">
        <x:v>Plus anual</x:v>
      </x:c>
      <x:c r="G1486" t="str">
        <x:v>Anual</x:v>
      </x:c>
      <x:c r="H1486" t="n">
        <x:v>1</x:v>
      </x:c>
      <x:c r="I1486" t="str">
        <x:v>Aprobado</x:v>
      </x:c>
      <x:c r="J1486" t="n">
        <x:v>299000</x:v>
      </x:c>
      <x:c r="K1486" t="str">
        <x:v>PSE</x:v>
      </x:c>
      <x:c r="L1486" t="str">
        <x:v>Sin error</x:v>
      </x:c>
    </x:row>
    <x:row r="1487">
      <x:c r="A1487" t="str">
        <x:v>TXN-0001486</x:v>
      </x:c>
      <x:c r="B1487" t="str">
        <x:v>2026-06</x:v>
      </x:c>
      <x:c r="C1487" t="n">
        <x:v>46184</x:v>
      </x:c>
      <x:c r="D1487" t="str">
        <x:v>USR-00225</x:v>
      </x:c>
      <x:c r="E1487" t="str">
        <x:v>SUS-001113</x:v>
      </x:c>
      <x:c r="F1487" t="str">
        <x:v>Plus mensual</x:v>
      </x:c>
      <x:c r="G1487" t="str">
        <x:v>Mensual</x:v>
      </x:c>
      <x:c r="H1487" t="n">
        <x:v>1</x:v>
      </x:c>
      <x:c r="I1487" t="str">
        <x:v>Aprobado</x:v>
      </x:c>
      <x:c r="J1487" t="n">
        <x:v>29900</x:v>
      </x:c>
      <x:c r="K1487" t="str">
        <x:v>Tarjeta débito</x:v>
      </x:c>
      <x:c r="L1487" t="str">
        <x:v>Sin error</x:v>
      </x:c>
    </x:row>
    <x:row r="1488">
      <x:c r="A1488" t="str">
        <x:v>TXN-0001487</x:v>
      </x:c>
      <x:c r="B1488" t="str">
        <x:v>2026-06</x:v>
      </x:c>
      <x:c r="C1488" t="n">
        <x:v>46178</x:v>
      </x:c>
      <x:c r="D1488" t="str">
        <x:v>USR-00237</x:v>
      </x:c>
      <x:c r="E1488" t="str">
        <x:v>SUS-001114</x:v>
      </x:c>
      <x:c r="F1488" t="str">
        <x:v>Plus mensual</x:v>
      </x:c>
      <x:c r="G1488" t="str">
        <x:v>Mensual</x:v>
      </x:c>
      <x:c r="H1488" t="n">
        <x:v>1</x:v>
      </x:c>
      <x:c r="I1488" t="str">
        <x:v>Aprobado</x:v>
      </x:c>
      <x:c r="J1488" t="n">
        <x:v>29900</x:v>
      </x:c>
      <x:c r="K1488" t="str">
        <x:v>Tarjeta crédito</x:v>
      </x:c>
      <x:c r="L1488" t="str">
        <x:v>Sin error</x:v>
      </x:c>
    </x:row>
    <x:row r="1489">
      <x:c r="A1489" t="str">
        <x:v>TXN-0001488</x:v>
      </x:c>
      <x:c r="B1489" t="str">
        <x:v>2026-06</x:v>
      </x:c>
      <x:c r="C1489" t="n">
        <x:v>46182</x:v>
      </x:c>
      <x:c r="D1489" t="str">
        <x:v>USR-00238</x:v>
      </x:c>
      <x:c r="E1489" t="str">
        <x:v>SUS-000299</x:v>
      </x:c>
      <x:c r="F1489" t="str">
        <x:v>Plus mensual</x:v>
      </x:c>
      <x:c r="G1489" t="str">
        <x:v>Mensual</x:v>
      </x:c>
      <x:c r="H1489" t="n">
        <x:v>1</x:v>
      </x:c>
      <x:c r="I1489" t="str">
        <x:v>Aprobado</x:v>
      </x:c>
      <x:c r="J1489" t="n">
        <x:v>29900</x:v>
      </x:c>
      <x:c r="K1489" t="str">
        <x:v>Tarjeta débito</x:v>
      </x:c>
      <x:c r="L1489" t="str">
        <x:v>Sin error</x:v>
      </x:c>
    </x:row>
    <x:row r="1490">
      <x:c r="A1490" t="str">
        <x:v>TXN-0001489</x:v>
      </x:c>
      <x:c r="B1490" t="str">
        <x:v>2026-06</x:v>
      </x:c>
      <x:c r="C1490" t="n">
        <x:v>46180</x:v>
      </x:c>
      <x:c r="D1490" t="str">
        <x:v>USR-00249</x:v>
      </x:c>
      <x:c r="E1490" t="str">
        <x:v>SUS-000310</x:v>
      </x:c>
      <x:c r="F1490" t="str">
        <x:v>Plus mensual</x:v>
      </x:c>
      <x:c r="G1490" t="str">
        <x:v>Mensual</x:v>
      </x:c>
      <x:c r="H1490" t="n">
        <x:v>1</x:v>
      </x:c>
      <x:c r="I1490" t="str">
        <x:v>Aprobado</x:v>
      </x:c>
      <x:c r="J1490" t="n">
        <x:v>29900</x:v>
      </x:c>
      <x:c r="K1490" t="str">
        <x:v>PSE</x:v>
      </x:c>
      <x:c r="L1490" t="str">
        <x:v>Sin error</x:v>
      </x:c>
    </x:row>
    <x:row r="1491">
      <x:c r="A1491" t="str">
        <x:v>TXN-0001490</x:v>
      </x:c>
      <x:c r="B1491" t="str">
        <x:v>2026-06</x:v>
      </x:c>
      <x:c r="C1491" t="n">
        <x:v>46182</x:v>
      </x:c>
      <x:c r="D1491" t="str">
        <x:v>USR-00250</x:v>
      </x:c>
      <x:c r="E1491" t="str">
        <x:v>SUS-000539</x:v>
      </x:c>
      <x:c r="F1491" t="str">
        <x:v>Plus mensual</x:v>
      </x:c>
      <x:c r="G1491" t="str">
        <x:v>Mensual</x:v>
      </x:c>
      <x:c r="H1491" t="n">
        <x:v>1</x:v>
      </x:c>
      <x:c r="I1491" t="str">
        <x:v>Aprobado</x:v>
      </x:c>
      <x:c r="J1491" t="n">
        <x:v>29900</x:v>
      </x:c>
      <x:c r="K1491" t="str">
        <x:v>PSE</x:v>
      </x:c>
      <x:c r="L1491" t="str">
        <x:v>Sin error</x:v>
      </x:c>
    </x:row>
    <x:row r="1492">
      <x:c r="A1492" t="str">
        <x:v>TXN-0001491</x:v>
      </x:c>
      <x:c r="B1492" t="str">
        <x:v>2026-06</x:v>
      </x:c>
      <x:c r="C1492" t="n">
        <x:v>46185</x:v>
      </x:c>
      <x:c r="D1492" t="str">
        <x:v>USR-00252</x:v>
      </x:c>
      <x:c r="E1492" t="str">
        <x:v>SUS-000848</x:v>
      </x:c>
      <x:c r="F1492" t="str">
        <x:v>Plus mensual</x:v>
      </x:c>
      <x:c r="G1492" t="str">
        <x:v>Mensual</x:v>
      </x:c>
      <x:c r="H1492" t="n">
        <x:v>1</x:v>
      </x:c>
      <x:c r="I1492" t="str">
        <x:v>Aprobado</x:v>
      </x:c>
      <x:c r="J1492" t="n">
        <x:v>29900</x:v>
      </x:c>
      <x:c r="K1492" t="str">
        <x:v>Tarjeta débito</x:v>
      </x:c>
      <x:c r="L1492" t="str">
        <x:v>Sin error</x:v>
      </x:c>
    </x:row>
    <x:row r="1493">
      <x:c r="A1493" t="str">
        <x:v>TXN-0001492</x:v>
      </x:c>
      <x:c r="B1493" t="str">
        <x:v>2026-06</x:v>
      </x:c>
      <x:c r="C1493" t="n">
        <x:v>46181</x:v>
      </x:c>
      <x:c r="D1493" t="str">
        <x:v>USR-00254</x:v>
      </x:c>
      <x:c r="E1493" t="str">
        <x:v>SUS-000974</x:v>
      </x:c>
      <x:c r="F1493" t="str">
        <x:v>Plus mensual</x:v>
      </x:c>
      <x:c r="G1493" t="str">
        <x:v>Mensual</x:v>
      </x:c>
      <x:c r="H1493" t="n">
        <x:v>1</x:v>
      </x:c>
      <x:c r="I1493" t="str">
        <x:v>Rechazado</x:v>
      </x:c>
      <x:c r="J1493" t="n">
        <x:v>29900</x:v>
      </x:c>
      <x:c r="K1493" t="str">
        <x:v>Tarjeta débito</x:v>
      </x:c>
      <x:c r="L1493" t="str">
        <x:v>Fondos insuficientes</x:v>
      </x:c>
    </x:row>
    <x:row r="1494">
      <x:c r="A1494" t="str">
        <x:v>TXN-0001493</x:v>
      </x:c>
      <x:c r="B1494" t="str">
        <x:v>2026-06</x:v>
      </x:c>
      <x:c r="C1494" t="n">
        <x:v>46179</x:v>
      </x:c>
      <x:c r="D1494" t="str">
        <x:v>USR-00254</x:v>
      </x:c>
      <x:c r="E1494" t="str">
        <x:v>SUS-000974</x:v>
      </x:c>
      <x:c r="F1494" t="str">
        <x:v>Plus mensual</x:v>
      </x:c>
      <x:c r="G1494" t="str">
        <x:v>Mensual</x:v>
      </x:c>
      <x:c r="H1494" t="n">
        <x:v>2</x:v>
      </x:c>
      <x:c r="I1494" t="str">
        <x:v>Aprobado</x:v>
      </x:c>
      <x:c r="J1494" t="n">
        <x:v>29900</x:v>
      </x:c>
      <x:c r="K1494" t="str">
        <x:v>Tarjeta débito</x:v>
      </x:c>
      <x:c r="L1494" t="str">
        <x:v>Sin error</x:v>
      </x:c>
    </x:row>
    <x:row r="1495">
      <x:c r="A1495" t="str">
        <x:v>TXN-0001494</x:v>
      </x:c>
      <x:c r="B1495" t="str">
        <x:v>2026-06</x:v>
      </x:c>
      <x:c r="C1495" t="n">
        <x:v>46179</x:v>
      </x:c>
      <x:c r="D1495" t="str">
        <x:v>USR-00258</x:v>
      </x:c>
      <x:c r="E1495" t="str">
        <x:v>SUS-001270</x:v>
      </x:c>
      <x:c r="F1495" t="str">
        <x:v>Plus mensual</x:v>
      </x:c>
      <x:c r="G1495" t="str">
        <x:v>Mensual</x:v>
      </x:c>
      <x:c r="H1495" t="n">
        <x:v>1</x:v>
      </x:c>
      <x:c r="I1495" t="str">
        <x:v>Aprobado</x:v>
      </x:c>
      <x:c r="J1495" t="n">
        <x:v>29900</x:v>
      </x:c>
      <x:c r="K1495" t="str">
        <x:v>Tarjeta débito</x:v>
      </x:c>
      <x:c r="L1495" t="str">
        <x:v>Sin error</x:v>
      </x:c>
    </x:row>
    <x:row r="1496">
      <x:c r="A1496" t="str">
        <x:v>TXN-0001495</x:v>
      </x:c>
      <x:c r="B1496" t="str">
        <x:v>2026-06</x:v>
      </x:c>
      <x:c r="C1496" t="n">
        <x:v>46181</x:v>
      </x:c>
      <x:c r="D1496" t="str">
        <x:v>USR-00268</x:v>
      </x:c>
      <x:c r="E1496" t="str">
        <x:v>SUS-000629</x:v>
      </x:c>
      <x:c r="F1496" t="str">
        <x:v>Plus mensual</x:v>
      </x:c>
      <x:c r="G1496" t="str">
        <x:v>Mensual</x:v>
      </x:c>
      <x:c r="H1496" t="n">
        <x:v>1</x:v>
      </x:c>
      <x:c r="I1496" t="str">
        <x:v>Aprobado</x:v>
      </x:c>
      <x:c r="J1496" t="n">
        <x:v>29900</x:v>
      </x:c>
      <x:c r="K1496" t="str">
        <x:v>Tarjeta crédito</x:v>
      </x:c>
      <x:c r="L1496" t="str">
        <x:v>Sin error</x:v>
      </x:c>
    </x:row>
    <x:row r="1497">
      <x:c r="A1497" t="str">
        <x:v>TXN-0001496</x:v>
      </x:c>
      <x:c r="B1497" t="str">
        <x:v>2026-06</x:v>
      </x:c>
      <x:c r="C1497" t="n">
        <x:v>46182</x:v>
      </x:c>
      <x:c r="D1497" t="str">
        <x:v>USR-00273</x:v>
      </x:c>
      <x:c r="E1497" t="str">
        <x:v>SUS-000850</x:v>
      </x:c>
      <x:c r="F1497" t="str">
        <x:v>Plus mensual</x:v>
      </x:c>
      <x:c r="G1497" t="str">
        <x:v>Mensual</x:v>
      </x:c>
      <x:c r="H1497" t="n">
        <x:v>1</x:v>
      </x:c>
      <x:c r="I1497" t="str">
        <x:v>Aprobado</x:v>
      </x:c>
      <x:c r="J1497" t="n">
        <x:v>29900</x:v>
      </x:c>
      <x:c r="K1497" t="str">
        <x:v>PSE</x:v>
      </x:c>
      <x:c r="L1497" t="str">
        <x:v>Sin error</x:v>
      </x:c>
    </x:row>
    <x:row r="1498">
      <x:c r="A1498" t="str">
        <x:v>TXN-0001497</x:v>
      </x:c>
      <x:c r="B1498" t="str">
        <x:v>2026-06</x:v>
      </x:c>
      <x:c r="C1498" t="n">
        <x:v>46179</x:v>
      </x:c>
      <x:c r="D1498" t="str">
        <x:v>USR-00279</x:v>
      </x:c>
      <x:c r="E1498" t="str">
        <x:v>SUS-001271</x:v>
      </x:c>
      <x:c r="F1498" t="str">
        <x:v>Plus anual</x:v>
      </x:c>
      <x:c r="G1498" t="str">
        <x:v>Anual</x:v>
      </x:c>
      <x:c r="H1498" t="n">
        <x:v>1</x:v>
      </x:c>
      <x:c r="I1498" t="str">
        <x:v>Aprobado</x:v>
      </x:c>
      <x:c r="J1498" t="n">
        <x:v>299000</x:v>
      </x:c>
      <x:c r="K1498" t="str">
        <x:v>PSE</x:v>
      </x:c>
      <x:c r="L1498" t="str">
        <x:v>Sin error</x:v>
      </x:c>
    </x:row>
    <x:row r="1499">
      <x:c r="A1499" t="str">
        <x:v>TXN-0001498</x:v>
      </x:c>
      <x:c r="B1499" t="str">
        <x:v>2026-06</x:v>
      </x:c>
      <x:c r="C1499" t="n">
        <x:v>46184</x:v>
      </x:c>
      <x:c r="D1499" t="str">
        <x:v>USR-00290</x:v>
      </x:c>
      <x:c r="E1499" t="str">
        <x:v>SUS-001117</x:v>
      </x:c>
      <x:c r="F1499" t="str">
        <x:v>Plus mensual</x:v>
      </x:c>
      <x:c r="G1499" t="str">
        <x:v>Mensual</x:v>
      </x:c>
      <x:c r="H1499" t="n">
        <x:v>1</x:v>
      </x:c>
      <x:c r="I1499" t="str">
        <x:v>Aprobado</x:v>
      </x:c>
      <x:c r="J1499" t="n">
        <x:v>29900</x:v>
      </x:c>
      <x:c r="K1499" t="str">
        <x:v>PSE</x:v>
      </x:c>
      <x:c r="L1499" t="str">
        <x:v>Sin error</x:v>
      </x:c>
    </x:row>
    <x:row r="1500">
      <x:c r="A1500" t="str">
        <x:v>TXN-0001499</x:v>
      </x:c>
      <x:c r="B1500" t="str">
        <x:v>2026-06</x:v>
      </x:c>
      <x:c r="C1500" t="n">
        <x:v>46181</x:v>
      </x:c>
      <x:c r="D1500" t="str">
        <x:v>USR-00292</x:v>
      </x:c>
      <x:c r="E1500" t="str">
        <x:v>SUS-000852</x:v>
      </x:c>
      <x:c r="F1500" t="str">
        <x:v>Plus mensual</x:v>
      </x:c>
      <x:c r="G1500" t="str">
        <x:v>Mensual</x:v>
      </x:c>
      <x:c r="H1500" t="n">
        <x:v>1</x:v>
      </x:c>
      <x:c r="I1500" t="str">
        <x:v>Aprobado</x:v>
      </x:c>
      <x:c r="J1500" t="n">
        <x:v>29900</x:v>
      </x:c>
      <x:c r="K1500" t="str">
        <x:v>Tarjeta crédito</x:v>
      </x:c>
      <x:c r="L1500" t="str">
        <x:v>Sin error</x:v>
      </x:c>
    </x:row>
    <x:row r="1501">
      <x:c r="A1501" t="str">
        <x:v>TXN-0001500</x:v>
      </x:c>
      <x:c r="B1501" t="str">
        <x:v>2026-06</x:v>
      </x:c>
      <x:c r="C1501" t="n">
        <x:v>46178</x:v>
      </x:c>
      <x:c r="D1501" t="str">
        <x:v>USR-00293</x:v>
      </x:c>
      <x:c r="E1501" t="str">
        <x:v>SUS-000754</x:v>
      </x:c>
      <x:c r="F1501" t="str">
        <x:v>Plus mensual</x:v>
      </x:c>
      <x:c r="G1501" t="str">
        <x:v>Mensual</x:v>
      </x:c>
      <x:c r="H1501" t="n">
        <x:v>1</x:v>
      </x:c>
      <x:c r="I1501" t="str">
        <x:v>Aprobado</x:v>
      </x:c>
      <x:c r="J1501" t="n">
        <x:v>29900</x:v>
      </x:c>
      <x:c r="K1501" t="str">
        <x:v>Tarjeta crédito</x:v>
      </x:c>
      <x:c r="L1501" t="str">
        <x:v>Sin error</x:v>
      </x:c>
    </x:row>
    <x:row r="1502">
      <x:c r="A1502" t="str">
        <x:v>TXN-0001501</x:v>
      </x:c>
      <x:c r="B1502" t="str">
        <x:v>2026-06</x:v>
      </x:c>
      <x:c r="C1502" t="n">
        <x:v>46185</x:v>
      </x:c>
      <x:c r="D1502" t="str">
        <x:v>USR-00296</x:v>
      </x:c>
      <x:c r="E1502" t="str">
        <x:v>SUS-000632</x:v>
      </x:c>
      <x:c r="F1502" t="str">
        <x:v>Plus mensual</x:v>
      </x:c>
      <x:c r="G1502" t="str">
        <x:v>Mensual</x:v>
      </x:c>
      <x:c r="H1502" t="n">
        <x:v>1</x:v>
      </x:c>
      <x:c r="I1502" t="str">
        <x:v>Aprobado</x:v>
      </x:c>
      <x:c r="J1502" t="n">
        <x:v>29900</x:v>
      </x:c>
      <x:c r="K1502" t="str">
        <x:v>PSE</x:v>
      </x:c>
      <x:c r="L1502" t="str">
        <x:v>Sin error</x:v>
      </x:c>
    </x:row>
    <x:row r="1503">
      <x:c r="A1503" t="str">
        <x:v>TXN-0001502</x:v>
      </x:c>
      <x:c r="B1503" t="str">
        <x:v>2026-06</x:v>
      </x:c>
      <x:c r="C1503" t="n">
        <x:v>46180</x:v>
      </x:c>
      <x:c r="D1503" t="str">
        <x:v>USR-00306</x:v>
      </x:c>
      <x:c r="E1503" t="str">
        <x:v>SUS-000853</x:v>
      </x:c>
      <x:c r="F1503" t="str">
        <x:v>Plus mensual</x:v>
      </x:c>
      <x:c r="G1503" t="str">
        <x:v>Mensual</x:v>
      </x:c>
      <x:c r="H1503" t="n">
        <x:v>1</x:v>
      </x:c>
      <x:c r="I1503" t="str">
        <x:v>Aprobado</x:v>
      </x:c>
      <x:c r="J1503" t="n">
        <x:v>29900</x:v>
      </x:c>
      <x:c r="K1503" t="str">
        <x:v>Tarjeta crédito</x:v>
      </x:c>
      <x:c r="L1503" t="str">
        <x:v>Sin error</x:v>
      </x:c>
    </x:row>
    <x:row r="1504">
      <x:c r="A1504" t="str">
        <x:v>TXN-0001503</x:v>
      </x:c>
      <x:c r="B1504" t="str">
        <x:v>2026-06</x:v>
      </x:c>
      <x:c r="C1504" t="n">
        <x:v>46180</x:v>
      </x:c>
      <x:c r="D1504" t="str">
        <x:v>USR-00311</x:v>
      </x:c>
      <x:c r="E1504" t="str">
        <x:v>SUS-000977</x:v>
      </x:c>
      <x:c r="F1504" t="str">
        <x:v>Plus mensual</x:v>
      </x:c>
      <x:c r="G1504" t="str">
        <x:v>Mensual</x:v>
      </x:c>
      <x:c r="H1504" t="n">
        <x:v>1</x:v>
      </x:c>
      <x:c r="I1504" t="str">
        <x:v>Aprobado</x:v>
      </x:c>
      <x:c r="J1504" t="n">
        <x:v>29900</x:v>
      </x:c>
      <x:c r="K1504" t="str">
        <x:v>Tarjeta débito</x:v>
      </x:c>
      <x:c r="L1504" t="str">
        <x:v>Sin error</x:v>
      </x:c>
    </x:row>
    <x:row r="1505">
      <x:c r="A1505" t="str">
        <x:v>TXN-0001504</x:v>
      </x:c>
      <x:c r="B1505" t="str">
        <x:v>2026-06</x:v>
      </x:c>
      <x:c r="C1505" t="n">
        <x:v>46182</x:v>
      </x:c>
      <x:c r="D1505" t="str">
        <x:v>USR-00312</x:v>
      </x:c>
      <x:c r="E1505" t="str">
        <x:v>SUS-000634</x:v>
      </x:c>
      <x:c r="F1505" t="str">
        <x:v>Plus mensual</x:v>
      </x:c>
      <x:c r="G1505" t="str">
        <x:v>Mensual</x:v>
      </x:c>
      <x:c r="H1505" t="n">
        <x:v>1</x:v>
      </x:c>
      <x:c r="I1505" t="str">
        <x:v>Aprobado</x:v>
      </x:c>
      <x:c r="J1505" t="n">
        <x:v>29900</x:v>
      </x:c>
      <x:c r="K1505" t="str">
        <x:v>PSE</x:v>
      </x:c>
      <x:c r="L1505" t="str">
        <x:v>Sin error</x:v>
      </x:c>
    </x:row>
    <x:row r="1506">
      <x:c r="A1506" t="str">
        <x:v>TXN-0001505</x:v>
      </x:c>
      <x:c r="B1506" t="str">
        <x:v>2026-06</x:v>
      </x:c>
      <x:c r="C1506" t="n">
        <x:v>46181</x:v>
      </x:c>
      <x:c r="D1506" t="str">
        <x:v>USR-00313</x:v>
      </x:c>
      <x:c r="E1506" t="str">
        <x:v>SUS-000635</x:v>
      </x:c>
      <x:c r="F1506" t="str">
        <x:v>Plus mensual</x:v>
      </x:c>
      <x:c r="G1506" t="str">
        <x:v>Mensual</x:v>
      </x:c>
      <x:c r="H1506" t="n">
        <x:v>1</x:v>
      </x:c>
      <x:c r="I1506" t="str">
        <x:v>Aprobado</x:v>
      </x:c>
      <x:c r="J1506" t="n">
        <x:v>29900</x:v>
      </x:c>
      <x:c r="K1506" t="str">
        <x:v>Tarjeta crédito</x:v>
      </x:c>
      <x:c r="L1506" t="str">
        <x:v>Sin error</x:v>
      </x:c>
    </x:row>
    <x:row r="1507">
      <x:c r="A1507" t="str">
        <x:v>TXN-0001506</x:v>
      </x:c>
      <x:c r="B1507" t="str">
        <x:v>2026-06</x:v>
      </x:c>
      <x:c r="C1507" t="n">
        <x:v>46181</x:v>
      </x:c>
      <x:c r="D1507" t="str">
        <x:v>USR-00316</x:v>
      </x:c>
      <x:c r="E1507" t="str">
        <x:v>SUS-001272</x:v>
      </x:c>
      <x:c r="F1507" t="str">
        <x:v>Plus mensual</x:v>
      </x:c>
      <x:c r="G1507" t="str">
        <x:v>Mensual</x:v>
      </x:c>
      <x:c r="H1507" t="n">
        <x:v>1</x:v>
      </x:c>
      <x:c r="I1507" t="str">
        <x:v>Aprobado</x:v>
      </x:c>
      <x:c r="J1507" t="n">
        <x:v>29900</x:v>
      </x:c>
      <x:c r="K1507" t="str">
        <x:v>Tarjeta débito</x:v>
      </x:c>
      <x:c r="L1507" t="str">
        <x:v>Sin error</x:v>
      </x:c>
    </x:row>
    <x:row r="1508">
      <x:c r="A1508" t="str">
        <x:v>TXN-0001507</x:v>
      </x:c>
      <x:c r="B1508" t="str">
        <x:v>2026-06</x:v>
      </x:c>
      <x:c r="C1508" t="n">
        <x:v>46179</x:v>
      </x:c>
      <x:c r="D1508" t="str">
        <x:v>USR-00317</x:v>
      </x:c>
      <x:c r="E1508" t="str">
        <x:v>SUS-000546</x:v>
      </x:c>
      <x:c r="F1508" t="str">
        <x:v>Plus mensual</x:v>
      </x:c>
      <x:c r="G1508" t="str">
        <x:v>Mensual</x:v>
      </x:c>
      <x:c r="H1508" t="n">
        <x:v>1</x:v>
      </x:c>
      <x:c r="I1508" t="str">
        <x:v>Aprobado</x:v>
      </x:c>
      <x:c r="J1508" t="n">
        <x:v>29900</x:v>
      </x:c>
      <x:c r="K1508" t="str">
        <x:v>Tarjeta débito</x:v>
      </x:c>
      <x:c r="L1508" t="str">
        <x:v>Sin error</x:v>
      </x:c>
    </x:row>
    <x:row r="1509">
      <x:c r="A1509" t="str">
        <x:v>TXN-0001508</x:v>
      </x:c>
      <x:c r="B1509" t="str">
        <x:v>2026-06</x:v>
      </x:c>
      <x:c r="C1509" t="n">
        <x:v>46180</x:v>
      </x:c>
      <x:c r="D1509" t="str">
        <x:v>USR-00320</x:v>
      </x:c>
      <x:c r="E1509" t="str">
        <x:v>SUS-000419</x:v>
      </x:c>
      <x:c r="F1509" t="str">
        <x:v>Plus mensual</x:v>
      </x:c>
      <x:c r="G1509" t="str">
        <x:v>Mensual</x:v>
      </x:c>
      <x:c r="H1509" t="n">
        <x:v>1</x:v>
      </x:c>
      <x:c r="I1509" t="str">
        <x:v>Aprobado</x:v>
      </x:c>
      <x:c r="J1509" t="n">
        <x:v>29900</x:v>
      </x:c>
      <x:c r="K1509" t="str">
        <x:v>PSE</x:v>
      </x:c>
      <x:c r="L1509" t="str">
        <x:v>Sin error</x:v>
      </x:c>
    </x:row>
    <x:row r="1510">
      <x:c r="A1510" t="str">
        <x:v>TXN-0001509</x:v>
      </x:c>
      <x:c r="B1510" t="str">
        <x:v>2026-06</x:v>
      </x:c>
      <x:c r="C1510" t="n">
        <x:v>46180</x:v>
      </x:c>
      <x:c r="D1510" t="str">
        <x:v>USR-00332</x:v>
      </x:c>
      <x:c r="E1510" t="str">
        <x:v>SUS-000470</x:v>
      </x:c>
      <x:c r="F1510" t="str">
        <x:v>Plus mensual</x:v>
      </x:c>
      <x:c r="G1510" t="str">
        <x:v>Mensual</x:v>
      </x:c>
      <x:c r="H1510" t="n">
        <x:v>1</x:v>
      </x:c>
      <x:c r="I1510" t="str">
        <x:v>Aprobado</x:v>
      </x:c>
      <x:c r="J1510" t="n">
        <x:v>29900</x:v>
      </x:c>
      <x:c r="K1510" t="str">
        <x:v>PSE</x:v>
      </x:c>
      <x:c r="L1510" t="str">
        <x:v>Sin error</x:v>
      </x:c>
    </x:row>
    <x:row r="1511">
      <x:c r="A1511" t="str">
        <x:v>TXN-0001510</x:v>
      </x:c>
      <x:c r="B1511" t="str">
        <x:v>2026-06</x:v>
      </x:c>
      <x:c r="C1511" t="n">
        <x:v>46179</x:v>
      </x:c>
      <x:c r="D1511" t="str">
        <x:v>USR-00335</x:v>
      </x:c>
      <x:c r="E1511" t="str">
        <x:v>SUS-000855</x:v>
      </x:c>
      <x:c r="F1511" t="str">
        <x:v>Plus mensual</x:v>
      </x:c>
      <x:c r="G1511" t="str">
        <x:v>Mensual</x:v>
      </x:c>
      <x:c r="H1511" t="n">
        <x:v>1</x:v>
      </x:c>
      <x:c r="I1511" t="str">
        <x:v>Aprobado</x:v>
      </x:c>
      <x:c r="J1511" t="n">
        <x:v>29900</x:v>
      </x:c>
      <x:c r="K1511" t="str">
        <x:v>Tarjeta débito</x:v>
      </x:c>
      <x:c r="L1511" t="str">
        <x:v>Sin error</x:v>
      </x:c>
    </x:row>
    <x:row r="1512">
      <x:c r="A1512" t="str">
        <x:v>TXN-0001511</x:v>
      </x:c>
      <x:c r="B1512" t="str">
        <x:v>2026-06</x:v>
      </x:c>
      <x:c r="C1512" t="n">
        <x:v>46178</x:v>
      </x:c>
      <x:c r="D1512" t="str">
        <x:v>USR-00336</x:v>
      </x:c>
      <x:c r="E1512" t="str">
        <x:v>SUS-000435</x:v>
      </x:c>
      <x:c r="F1512" t="str">
        <x:v>Plus mensual</x:v>
      </x:c>
      <x:c r="G1512" t="str">
        <x:v>Mensual</x:v>
      </x:c>
      <x:c r="H1512" t="n">
        <x:v>1</x:v>
      </x:c>
      <x:c r="I1512" t="str">
        <x:v>Aprobado</x:v>
      </x:c>
      <x:c r="J1512" t="n">
        <x:v>29900</x:v>
      </x:c>
      <x:c r="K1512" t="str">
        <x:v>PSE</x:v>
      </x:c>
      <x:c r="L1512" t="str">
        <x:v>Sin error</x:v>
      </x:c>
    </x:row>
    <x:row r="1513">
      <x:c r="A1513" t="str">
        <x:v>TXN-0001512</x:v>
      </x:c>
      <x:c r="B1513" t="str">
        <x:v>2026-06</x:v>
      </x:c>
      <x:c r="C1513" t="n">
        <x:v>46180</x:v>
      </x:c>
      <x:c r="D1513" t="str">
        <x:v>USR-00338</x:v>
      </x:c>
      <x:c r="E1513" t="str">
        <x:v>SUS-000856</x:v>
      </x:c>
      <x:c r="F1513" t="str">
        <x:v>Plus mensual</x:v>
      </x:c>
      <x:c r="G1513" t="str">
        <x:v>Mensual</x:v>
      </x:c>
      <x:c r="H1513" t="n">
        <x:v>1</x:v>
      </x:c>
      <x:c r="I1513" t="str">
        <x:v>Aprobado</x:v>
      </x:c>
      <x:c r="J1513" t="n">
        <x:v>29900</x:v>
      </x:c>
      <x:c r="K1513" t="str">
        <x:v>PSE</x:v>
      </x:c>
      <x:c r="L1513" t="str">
        <x:v>Sin error</x:v>
      </x:c>
    </x:row>
    <x:row r="1514">
      <x:c r="A1514" t="str">
        <x:v>TXN-0001513</x:v>
      </x:c>
      <x:c r="B1514" t="str">
        <x:v>2026-06</x:v>
      </x:c>
      <x:c r="C1514" t="n">
        <x:v>46181</x:v>
      </x:c>
      <x:c r="D1514" t="str">
        <x:v>USR-00340</x:v>
      </x:c>
      <x:c r="E1514" t="str">
        <x:v>SUS-000757</x:v>
      </x:c>
      <x:c r="F1514" t="str">
        <x:v>Plus mensual</x:v>
      </x:c>
      <x:c r="G1514" t="str">
        <x:v>Mensual</x:v>
      </x:c>
      <x:c r="H1514" t="n">
        <x:v>1</x:v>
      </x:c>
      <x:c r="I1514" t="str">
        <x:v>Aprobado</x:v>
      </x:c>
      <x:c r="J1514" t="n">
        <x:v>29900</x:v>
      </x:c>
      <x:c r="K1514" t="str">
        <x:v>Tarjeta débito</x:v>
      </x:c>
      <x:c r="L1514" t="str">
        <x:v>Sin error</x:v>
      </x:c>
    </x:row>
    <x:row r="1515">
      <x:c r="A1515" t="str">
        <x:v>TXN-0001514</x:v>
      </x:c>
      <x:c r="B1515" t="str">
        <x:v>2026-06</x:v>
      </x:c>
      <x:c r="C1515" t="n">
        <x:v>46183</x:v>
      </x:c>
      <x:c r="D1515" t="str">
        <x:v>USR-00341</x:v>
      </x:c>
      <x:c r="E1515" t="str">
        <x:v>SUS-000980</x:v>
      </x:c>
      <x:c r="F1515" t="str">
        <x:v>Plus mensual</x:v>
      </x:c>
      <x:c r="G1515" t="str">
        <x:v>Mensual</x:v>
      </x:c>
      <x:c r="H1515" t="n">
        <x:v>1</x:v>
      </x:c>
      <x:c r="I1515" t="str">
        <x:v>Aprobado</x:v>
      </x:c>
      <x:c r="J1515" t="n">
        <x:v>29900</x:v>
      </x:c>
      <x:c r="K1515" t="str">
        <x:v>Tarjeta crédito</x:v>
      </x:c>
      <x:c r="L1515" t="str">
        <x:v>Sin error</x:v>
      </x:c>
    </x:row>
    <x:row r="1516">
      <x:c r="A1516" t="str">
        <x:v>TXN-0001515</x:v>
      </x:c>
      <x:c r="B1516" t="str">
        <x:v>2026-06</x:v>
      </x:c>
      <x:c r="C1516" t="n">
        <x:v>46182</x:v>
      </x:c>
      <x:c r="D1516" t="str">
        <x:v>USR-00353</x:v>
      </x:c>
      <x:c r="E1516" t="str">
        <x:v>SUS-000857</x:v>
      </x:c>
      <x:c r="F1516" t="str">
        <x:v>Plus mensual</x:v>
      </x:c>
      <x:c r="G1516" t="str">
        <x:v>Mensual</x:v>
      </x:c>
      <x:c r="H1516" t="n">
        <x:v>1</x:v>
      </x:c>
      <x:c r="I1516" t="str">
        <x:v>Aprobado</x:v>
      </x:c>
      <x:c r="J1516" t="n">
        <x:v>29900</x:v>
      </x:c>
      <x:c r="K1516" t="str">
        <x:v>Tarjeta crédito</x:v>
      </x:c>
      <x:c r="L1516" t="str">
        <x:v>Sin error</x:v>
      </x:c>
    </x:row>
    <x:row r="1517">
      <x:c r="A1517" t="str">
        <x:v>TXN-0001516</x:v>
      </x:c>
      <x:c r="B1517" t="str">
        <x:v>2026-06</x:v>
      </x:c>
      <x:c r="C1517" t="n">
        <x:v>46185</x:v>
      </x:c>
      <x:c r="D1517" t="str">
        <x:v>USR-00358</x:v>
      </x:c>
      <x:c r="E1517" t="str">
        <x:v>SUS-001122</x:v>
      </x:c>
      <x:c r="F1517" t="str">
        <x:v>Plus mensual</x:v>
      </x:c>
      <x:c r="G1517" t="str">
        <x:v>Mensual</x:v>
      </x:c>
      <x:c r="H1517" t="n">
        <x:v>1</x:v>
      </x:c>
      <x:c r="I1517" t="str">
        <x:v>Aprobado</x:v>
      </x:c>
      <x:c r="J1517" t="n">
        <x:v>29900</x:v>
      </x:c>
      <x:c r="K1517" t="str">
        <x:v>PSE</x:v>
      </x:c>
      <x:c r="L1517" t="str">
        <x:v>Sin error</x:v>
      </x:c>
    </x:row>
    <x:row r="1518">
      <x:c r="A1518" t="str">
        <x:v>TXN-0001517</x:v>
      </x:c>
      <x:c r="B1518" t="str">
        <x:v>2026-06</x:v>
      </x:c>
      <x:c r="C1518" t="n">
        <x:v>46183</x:v>
      </x:c>
      <x:c r="D1518" t="str">
        <x:v>USR-00359</x:v>
      </x:c>
      <x:c r="E1518" t="str">
        <x:v>SUS-000981</x:v>
      </x:c>
      <x:c r="F1518" t="str">
        <x:v>Plus mensual</x:v>
      </x:c>
      <x:c r="G1518" t="str">
        <x:v>Mensual</x:v>
      </x:c>
      <x:c r="H1518" t="n">
        <x:v>1</x:v>
      </x:c>
      <x:c r="I1518" t="str">
        <x:v>Aprobado</x:v>
      </x:c>
      <x:c r="J1518" t="n">
        <x:v>29900</x:v>
      </x:c>
      <x:c r="K1518" t="str">
        <x:v>Tarjeta crédito</x:v>
      </x:c>
      <x:c r="L1518" t="str">
        <x:v>Sin error</x:v>
      </x:c>
    </x:row>
    <x:row r="1519">
      <x:c r="A1519" t="str">
        <x:v>TXN-0001518</x:v>
      </x:c>
      <x:c r="B1519" t="str">
        <x:v>2026-06</x:v>
      </x:c>
      <x:c r="C1519" t="n">
        <x:v>46180</x:v>
      </x:c>
      <x:c r="D1519" t="str">
        <x:v>USR-00360</x:v>
      </x:c>
      <x:c r="E1519" t="str">
        <x:v>SUS-000638</x:v>
      </x:c>
      <x:c r="F1519" t="str">
        <x:v>Plus mensual</x:v>
      </x:c>
      <x:c r="G1519" t="str">
        <x:v>Mensual</x:v>
      </x:c>
      <x:c r="H1519" t="n">
        <x:v>1</x:v>
      </x:c>
      <x:c r="I1519" t="str">
        <x:v>Aprobado</x:v>
      </x:c>
      <x:c r="J1519" t="n">
        <x:v>29900</x:v>
      </x:c>
      <x:c r="K1519" t="str">
        <x:v>PSE</x:v>
      </x:c>
      <x:c r="L1519" t="str">
        <x:v>Sin error</x:v>
      </x:c>
    </x:row>
    <x:row r="1520">
      <x:c r="A1520" t="str">
        <x:v>TXN-0001519</x:v>
      </x:c>
      <x:c r="B1520" t="str">
        <x:v>2026-06</x:v>
      </x:c>
      <x:c r="C1520" t="n">
        <x:v>46180</x:v>
      </x:c>
      <x:c r="D1520" t="str">
        <x:v>USR-00372</x:v>
      </x:c>
      <x:c r="E1520" t="str">
        <x:v>SUS-000983</x:v>
      </x:c>
      <x:c r="F1520" t="str">
        <x:v>Plus mensual</x:v>
      </x:c>
      <x:c r="G1520" t="str">
        <x:v>Mensual</x:v>
      </x:c>
      <x:c r="H1520" t="n">
        <x:v>1</x:v>
      </x:c>
      <x:c r="I1520" t="str">
        <x:v>Aprobado</x:v>
      </x:c>
      <x:c r="J1520" t="n">
        <x:v>29900</x:v>
      </x:c>
      <x:c r="K1520" t="str">
        <x:v>PSE</x:v>
      </x:c>
      <x:c r="L1520" t="str">
        <x:v>Sin error</x:v>
      </x:c>
    </x:row>
    <x:row r="1521">
      <x:c r="A1521" t="str">
        <x:v>TXN-0001520</x:v>
      </x:c>
      <x:c r="B1521" t="str">
        <x:v>2026-06</x:v>
      </x:c>
      <x:c r="C1521" t="n">
        <x:v>46185</x:v>
      </x:c>
      <x:c r="D1521" t="str">
        <x:v>USR-00377</x:v>
      </x:c>
      <x:c r="E1521" t="str">
        <x:v>SUS-000492</x:v>
      </x:c>
      <x:c r="F1521" t="str">
        <x:v>Plus mensual</x:v>
      </x:c>
      <x:c r="G1521" t="str">
        <x:v>Mensual</x:v>
      </x:c>
      <x:c r="H1521" t="n">
        <x:v>1</x:v>
      </x:c>
      <x:c r="I1521" t="str">
        <x:v>Aprobado</x:v>
      </x:c>
      <x:c r="J1521" t="n">
        <x:v>29900</x:v>
      </x:c>
      <x:c r="K1521" t="str">
        <x:v>Tarjeta crédito</x:v>
      </x:c>
      <x:c r="L1521" t="str">
        <x:v>Sin error</x:v>
      </x:c>
    </x:row>
    <x:row r="1522">
      <x:c r="A1522" t="str">
        <x:v>TXN-0001521</x:v>
      </x:c>
      <x:c r="B1522" t="str">
        <x:v>2026-06</x:v>
      </x:c>
      <x:c r="C1522" t="n">
        <x:v>46184</x:v>
      </x:c>
      <x:c r="D1522" t="str">
        <x:v>USR-00380</x:v>
      </x:c>
      <x:c r="E1522" t="str">
        <x:v>SUS-000495</x:v>
      </x:c>
      <x:c r="F1522" t="str">
        <x:v>Plus mensual</x:v>
      </x:c>
      <x:c r="G1522" t="str">
        <x:v>Mensual</x:v>
      </x:c>
      <x:c r="H1522" t="n">
        <x:v>1</x:v>
      </x:c>
      <x:c r="I1522" t="str">
        <x:v>Aprobado</x:v>
      </x:c>
      <x:c r="J1522" t="n">
        <x:v>29900</x:v>
      </x:c>
      <x:c r="K1522" t="str">
        <x:v>Tarjeta débito</x:v>
      </x:c>
      <x:c r="L1522" t="str">
        <x:v>Sin error</x:v>
      </x:c>
    </x:row>
    <x:row r="1523">
      <x:c r="A1523" t="str">
        <x:v>TXN-0001522</x:v>
      </x:c>
      <x:c r="B1523" t="str">
        <x:v>2026-06</x:v>
      </x:c>
      <x:c r="C1523" t="n">
        <x:v>46183</x:v>
      </x:c>
      <x:c r="D1523" t="str">
        <x:v>USR-00384</x:v>
      </x:c>
      <x:c r="E1523" t="str">
        <x:v>SUS-000984</x:v>
      </x:c>
      <x:c r="F1523" t="str">
        <x:v>Plus mensual</x:v>
      </x:c>
      <x:c r="G1523" t="str">
        <x:v>Mensual</x:v>
      </x:c>
      <x:c r="H1523" t="n">
        <x:v>1</x:v>
      </x:c>
      <x:c r="I1523" t="str">
        <x:v>Aprobado</x:v>
      </x:c>
      <x:c r="J1523" t="n">
        <x:v>29900</x:v>
      </x:c>
      <x:c r="K1523" t="str">
        <x:v>Tarjeta débito</x:v>
      </x:c>
      <x:c r="L1523" t="str">
        <x:v>Sin error</x:v>
      </x:c>
    </x:row>
    <x:row r="1524">
      <x:c r="A1524" t="str">
        <x:v>TXN-0001523</x:v>
      </x:c>
      <x:c r="B1524" t="str">
        <x:v>2026-06</x:v>
      </x:c>
      <x:c r="C1524" t="n">
        <x:v>46178</x:v>
      </x:c>
      <x:c r="D1524" t="str">
        <x:v>USR-00387</x:v>
      </x:c>
      <x:c r="E1524" t="str">
        <x:v>SUS-001125</x:v>
      </x:c>
      <x:c r="F1524" t="str">
        <x:v>Plus mensual</x:v>
      </x:c>
      <x:c r="G1524" t="str">
        <x:v>Mensual</x:v>
      </x:c>
      <x:c r="H1524" t="n">
        <x:v>1</x:v>
      </x:c>
      <x:c r="I1524" t="str">
        <x:v>Aprobado</x:v>
      </x:c>
      <x:c r="J1524" t="n">
        <x:v>29900</x:v>
      </x:c>
      <x:c r="K1524" t="str">
        <x:v>Tarjeta crédito</x:v>
      </x:c>
      <x:c r="L1524" t="str">
        <x:v>Sin error</x:v>
      </x:c>
    </x:row>
    <x:row r="1525">
      <x:c r="A1525" t="str">
        <x:v>TXN-0001524</x:v>
      </x:c>
      <x:c r="B1525" t="str">
        <x:v>2026-06</x:v>
      </x:c>
      <x:c r="C1525" t="n">
        <x:v>46181</x:v>
      </x:c>
      <x:c r="D1525" t="str">
        <x:v>USR-00389</x:v>
      </x:c>
      <x:c r="E1525" t="str">
        <x:v>SUS-000641</x:v>
      </x:c>
      <x:c r="F1525" t="str">
        <x:v>Plus mensual</x:v>
      </x:c>
      <x:c r="G1525" t="str">
        <x:v>Mensual</x:v>
      </x:c>
      <x:c r="H1525" t="n">
        <x:v>1</x:v>
      </x:c>
      <x:c r="I1525" t="str">
        <x:v>Aprobado</x:v>
      </x:c>
      <x:c r="J1525" t="n">
        <x:v>29900</x:v>
      </x:c>
      <x:c r="K1525" t="str">
        <x:v>Tarjeta débito</x:v>
      </x:c>
      <x:c r="L1525" t="str">
        <x:v>Sin error</x:v>
      </x:c>
    </x:row>
    <x:row r="1526">
      <x:c r="A1526" t="str">
        <x:v>TXN-0001525</x:v>
      </x:c>
      <x:c r="B1526" t="str">
        <x:v>2026-06</x:v>
      </x:c>
      <x:c r="C1526" t="n">
        <x:v>46185</x:v>
      </x:c>
      <x:c r="D1526" t="str">
        <x:v>USR-00391</x:v>
      </x:c>
      <x:c r="E1526" t="str">
        <x:v>SUS-000506</x:v>
      </x:c>
      <x:c r="F1526" t="str">
        <x:v>Plus mensual</x:v>
      </x:c>
      <x:c r="G1526" t="str">
        <x:v>Mensual</x:v>
      </x:c>
      <x:c r="H1526" t="n">
        <x:v>1</x:v>
      </x:c>
      <x:c r="I1526" t="str">
        <x:v>Aprobado</x:v>
      </x:c>
      <x:c r="J1526" t="n">
        <x:v>29900</x:v>
      </x:c>
      <x:c r="K1526" t="str">
        <x:v>Tarjeta crédito</x:v>
      </x:c>
      <x:c r="L1526" t="str">
        <x:v>Sin error</x:v>
      </x:c>
    </x:row>
    <x:row r="1527">
      <x:c r="A1527" t="str">
        <x:v>TXN-0001526</x:v>
      </x:c>
      <x:c r="B1527" t="str">
        <x:v>2026-06</x:v>
      </x:c>
      <x:c r="C1527" t="n">
        <x:v>46182</x:v>
      </x:c>
      <x:c r="D1527" t="str">
        <x:v>USR-00395</x:v>
      </x:c>
      <x:c r="E1527" t="str">
        <x:v>SUS-000642</x:v>
      </x:c>
      <x:c r="F1527" t="str">
        <x:v>Plus mensual</x:v>
      </x:c>
      <x:c r="G1527" t="str">
        <x:v>Mensual</x:v>
      </x:c>
      <x:c r="H1527" t="n">
        <x:v>1</x:v>
      </x:c>
      <x:c r="I1527" t="str">
        <x:v>Rechazado</x:v>
      </x:c>
      <x:c r="J1527" t="n">
        <x:v>29900</x:v>
      </x:c>
      <x:c r="K1527" t="str">
        <x:v>Tarjeta crédito</x:v>
      </x:c>
      <x:c r="L1527" t="str">
        <x:v>Error temporal</x:v>
      </x:c>
    </x:row>
    <x:row r="1528">
      <x:c r="A1528" t="str">
        <x:v>TXN-0001527</x:v>
      </x:c>
      <x:c r="B1528" t="str">
        <x:v>2026-06</x:v>
      </x:c>
      <x:c r="C1528" t="n">
        <x:v>46180</x:v>
      </x:c>
      <x:c r="D1528" t="str">
        <x:v>USR-00395</x:v>
      </x:c>
      <x:c r="E1528" t="str">
        <x:v>SUS-000642</x:v>
      </x:c>
      <x:c r="F1528" t="str">
        <x:v>Plus mensual</x:v>
      </x:c>
      <x:c r="G1528" t="str">
        <x:v>Mensual</x:v>
      </x:c>
      <x:c r="H1528" t="n">
        <x:v>2</x:v>
      </x:c>
      <x:c r="I1528" t="str">
        <x:v>Aprobado</x:v>
      </x:c>
      <x:c r="J1528" t="n">
        <x:v>29900</x:v>
      </x:c>
      <x:c r="K1528" t="str">
        <x:v>Tarjeta débito</x:v>
      </x:c>
      <x:c r="L1528" t="str">
        <x:v>Sin error</x:v>
      </x:c>
    </x:row>
    <x:row r="1529">
      <x:c r="A1529" t="str">
        <x:v>TXN-0001528</x:v>
      </x:c>
      <x:c r="B1529" t="str">
        <x:v>2026-06</x:v>
      </x:c>
      <x:c r="C1529" t="n">
        <x:v>46181</x:v>
      </x:c>
      <x:c r="D1529" t="str">
        <x:v>USR-00396</x:v>
      </x:c>
      <x:c r="E1529" t="str">
        <x:v>SUS-000511</x:v>
      </x:c>
      <x:c r="F1529" t="str">
        <x:v>Plus mensual</x:v>
      </x:c>
      <x:c r="G1529" t="str">
        <x:v>Mensual</x:v>
      </x:c>
      <x:c r="H1529" t="n">
        <x:v>1</x:v>
      </x:c>
      <x:c r="I1529" t="str">
        <x:v>Aprobado</x:v>
      </x:c>
      <x:c r="J1529" t="n">
        <x:v>29900</x:v>
      </x:c>
      <x:c r="K1529" t="str">
        <x:v>PSE</x:v>
      </x:c>
      <x:c r="L1529" t="str">
        <x:v>Sin error</x:v>
      </x:c>
    </x:row>
    <x:row r="1530">
      <x:c r="A1530" t="str">
        <x:v>TXN-0001529</x:v>
      </x:c>
      <x:c r="B1530" t="str">
        <x:v>2026-06</x:v>
      </x:c>
      <x:c r="C1530" t="n">
        <x:v>46178</x:v>
      </x:c>
      <x:c r="D1530" t="str">
        <x:v>USR-00403</x:v>
      </x:c>
      <x:c r="E1530" t="str">
        <x:v>SUS-000987</x:v>
      </x:c>
      <x:c r="F1530" t="str">
        <x:v>Plus mensual</x:v>
      </x:c>
      <x:c r="G1530" t="str">
        <x:v>Mensual</x:v>
      </x:c>
      <x:c r="H1530" t="n">
        <x:v>1</x:v>
      </x:c>
      <x:c r="I1530" t="str">
        <x:v>Rechazado</x:v>
      </x:c>
      <x:c r="J1530" t="n">
        <x:v>29900</x:v>
      </x:c>
      <x:c r="K1530" t="str">
        <x:v>Tarjeta crédito</x:v>
      </x:c>
      <x:c r="L1530" t="str">
        <x:v>Error temporal</x:v>
      </x:c>
    </x:row>
    <x:row r="1531">
      <x:c r="A1531" t="str">
        <x:v>TXN-0001530</x:v>
      </x:c>
      <x:c r="B1531" t="str">
        <x:v>2026-06</x:v>
      </x:c>
      <x:c r="C1531" t="n">
        <x:v>46178</x:v>
      </x:c>
      <x:c r="D1531" t="str">
        <x:v>USR-00403</x:v>
      </x:c>
      <x:c r="E1531" t="str">
        <x:v>SUS-000987</x:v>
      </x:c>
      <x:c r="F1531" t="str">
        <x:v>Plus mensual</x:v>
      </x:c>
      <x:c r="G1531" t="str">
        <x:v>Mensual</x:v>
      </x:c>
      <x:c r="H1531" t="n">
        <x:v>2</x:v>
      </x:c>
      <x:c r="I1531" t="str">
        <x:v>Aprobado</x:v>
      </x:c>
      <x:c r="J1531" t="n">
        <x:v>29900</x:v>
      </x:c>
      <x:c r="K1531" t="str">
        <x:v>PSE</x:v>
      </x:c>
      <x:c r="L1531" t="str">
        <x:v>Sin error</x:v>
      </x:c>
    </x:row>
    <x:row r="1532">
      <x:c r="A1532" t="str">
        <x:v>TXN-0001531</x:v>
      </x:c>
      <x:c r="B1532" t="str">
        <x:v>2026-06</x:v>
      </x:c>
      <x:c r="C1532" t="n">
        <x:v>46185</x:v>
      </x:c>
      <x:c r="D1532" t="str">
        <x:v>USR-00404</x:v>
      </x:c>
      <x:c r="E1532" t="str">
        <x:v>SUS-000861</x:v>
      </x:c>
      <x:c r="F1532" t="str">
        <x:v>Plus mensual</x:v>
      </x:c>
      <x:c r="G1532" t="str">
        <x:v>Mensual</x:v>
      </x:c>
      <x:c r="H1532" t="n">
        <x:v>1</x:v>
      </x:c>
      <x:c r="I1532" t="str">
        <x:v>Aprobado</x:v>
      </x:c>
      <x:c r="J1532" t="n">
        <x:v>29900</x:v>
      </x:c>
      <x:c r="K1532" t="str">
        <x:v>PSE</x:v>
      </x:c>
      <x:c r="L1532" t="str">
        <x:v>Sin error</x:v>
      </x:c>
    </x:row>
    <x:row r="1533">
      <x:c r="A1533" t="str">
        <x:v>TXN-0001532</x:v>
      </x:c>
      <x:c r="B1533" t="str">
        <x:v>2026-06</x:v>
      </x:c>
      <x:c r="C1533" t="n">
        <x:v>46179</x:v>
      </x:c>
      <x:c r="D1533" t="str">
        <x:v>USR-00409</x:v>
      </x:c>
      <x:c r="E1533" t="str">
        <x:v>SUS-000988</x:v>
      </x:c>
      <x:c r="F1533" t="str">
        <x:v>Plus mensual</x:v>
      </x:c>
      <x:c r="G1533" t="str">
        <x:v>Mensual</x:v>
      </x:c>
      <x:c r="H1533" t="n">
        <x:v>1</x:v>
      </x:c>
      <x:c r="I1533" t="str">
        <x:v>Aprobado</x:v>
      </x:c>
      <x:c r="J1533" t="n">
        <x:v>29900</x:v>
      </x:c>
      <x:c r="K1533" t="str">
        <x:v>PSE</x:v>
      </x:c>
      <x:c r="L1533" t="str">
        <x:v>Sin error</x:v>
      </x:c>
    </x:row>
    <x:row r="1534">
      <x:c r="A1534" t="str">
        <x:v>TXN-0001533</x:v>
      </x:c>
      <x:c r="B1534" t="str">
        <x:v>2026-06</x:v>
      </x:c>
      <x:c r="C1534" t="n">
        <x:v>46184</x:v>
      </x:c>
      <x:c r="D1534" t="str">
        <x:v>USR-00413</x:v>
      </x:c>
      <x:c r="E1534" t="str">
        <x:v>SUS-000862</x:v>
      </x:c>
      <x:c r="F1534" t="str">
        <x:v>Plus mensual</x:v>
      </x:c>
      <x:c r="G1534" t="str">
        <x:v>Mensual</x:v>
      </x:c>
      <x:c r="H1534" t="n">
        <x:v>1</x:v>
      </x:c>
      <x:c r="I1534" t="str">
        <x:v>Aprobado</x:v>
      </x:c>
      <x:c r="J1534" t="n">
        <x:v>29900</x:v>
      </x:c>
      <x:c r="K1534" t="str">
        <x:v>Tarjeta débito</x:v>
      </x:c>
      <x:c r="L1534" t="str">
        <x:v>Sin error</x:v>
      </x:c>
    </x:row>
    <x:row r="1535">
      <x:c r="A1535" t="str">
        <x:v>TXN-0001534</x:v>
      </x:c>
      <x:c r="B1535" t="str">
        <x:v>2026-06</x:v>
      </x:c>
      <x:c r="C1535" t="n">
        <x:v>46180</x:v>
      </x:c>
      <x:c r="D1535" t="str">
        <x:v>USR-00414</x:v>
      </x:c>
      <x:c r="E1535" t="str">
        <x:v>SUS-000556</x:v>
      </x:c>
      <x:c r="F1535" t="str">
        <x:v>Plus mensual</x:v>
      </x:c>
      <x:c r="G1535" t="str">
        <x:v>Mensual</x:v>
      </x:c>
      <x:c r="H1535" t="n">
        <x:v>1</x:v>
      </x:c>
      <x:c r="I1535" t="str">
        <x:v>Aprobado</x:v>
      </x:c>
      <x:c r="J1535" t="n">
        <x:v>29900</x:v>
      </x:c>
      <x:c r="K1535" t="str">
        <x:v>Tarjeta débito</x:v>
      </x:c>
      <x:c r="L1535" t="str">
        <x:v>Sin error</x:v>
      </x:c>
    </x:row>
    <x:row r="1536">
      <x:c r="A1536" t="str">
        <x:v>TXN-0001535</x:v>
      </x:c>
      <x:c r="B1536" t="str">
        <x:v>2026-06</x:v>
      </x:c>
      <x:c r="C1536" t="n">
        <x:v>46181</x:v>
      </x:c>
      <x:c r="D1536" t="str">
        <x:v>USR-00416</x:v>
      </x:c>
      <x:c r="E1536" t="str">
        <x:v>SUS-000863</x:v>
      </x:c>
      <x:c r="F1536" t="str">
        <x:v>Plus mensual</x:v>
      </x:c>
      <x:c r="G1536" t="str">
        <x:v>Mensual</x:v>
      </x:c>
      <x:c r="H1536" t="n">
        <x:v>1</x:v>
      </x:c>
      <x:c r="I1536" t="str">
        <x:v>Aprobado</x:v>
      </x:c>
      <x:c r="J1536" t="n">
        <x:v>29900</x:v>
      </x:c>
      <x:c r="K1536" t="str">
        <x:v>Tarjeta débito</x:v>
      </x:c>
      <x:c r="L1536" t="str">
        <x:v>Sin error</x:v>
      </x:c>
    </x:row>
    <x:row r="1537">
      <x:c r="A1537" t="str">
        <x:v>TXN-0001536</x:v>
      </x:c>
      <x:c r="B1537" t="str">
        <x:v>2026-06</x:v>
      </x:c>
      <x:c r="C1537" t="n">
        <x:v>46178</x:v>
      </x:c>
      <x:c r="D1537" t="str">
        <x:v>USR-00419</x:v>
      </x:c>
      <x:c r="E1537" t="str">
        <x:v>SUS-000989</x:v>
      </x:c>
      <x:c r="F1537" t="str">
        <x:v>Plus mensual</x:v>
      </x:c>
      <x:c r="G1537" t="str">
        <x:v>Mensual</x:v>
      </x:c>
      <x:c r="H1537" t="n">
        <x:v>1</x:v>
      </x:c>
      <x:c r="I1537" t="str">
        <x:v>Aprobado</x:v>
      </x:c>
      <x:c r="J1537" t="n">
        <x:v>29900</x:v>
      </x:c>
      <x:c r="K1537" t="str">
        <x:v>PSE</x:v>
      </x:c>
      <x:c r="L1537" t="str">
        <x:v>Sin error</x:v>
      </x:c>
    </x:row>
    <x:row r="1538">
      <x:c r="A1538" t="str">
        <x:v>TXN-0001537</x:v>
      </x:c>
      <x:c r="B1538" t="str">
        <x:v>2026-06</x:v>
      </x:c>
      <x:c r="C1538" t="n">
        <x:v>46183</x:v>
      </x:c>
      <x:c r="D1538" t="str">
        <x:v>USR-00420</x:v>
      </x:c>
      <x:c r="E1538" t="str">
        <x:v>SIN_SUSCRIPCION</x:v>
      </x:c>
      <x:c r="F1538" t="str">
        <x:v>Plus mensual</x:v>
      </x:c>
      <x:c r="G1538" t="str">
        <x:v>Mensual</x:v>
      </x:c>
      <x:c r="H1538" t="n">
        <x:v>1</x:v>
      </x:c>
      <x:c r="I1538" t="str">
        <x:v>Rechazado</x:v>
      </x:c>
      <x:c r="J1538" t="n">
        <x:v>29900</x:v>
      </x:c>
      <x:c r="K1538" t="str">
        <x:v>PSE</x:v>
      </x:c>
      <x:c r="L1538" t="str">
        <x:v>Fondos insuficientes</x:v>
      </x:c>
    </x:row>
    <x:row r="1539">
      <x:c r="A1539" t="str">
        <x:v>TXN-0001538</x:v>
      </x:c>
      <x:c r="B1539" t="str">
        <x:v>2026-06</x:v>
      </x:c>
      <x:c r="C1539" t="n">
        <x:v>46178</x:v>
      </x:c>
      <x:c r="D1539" t="str">
        <x:v>USR-00420</x:v>
      </x:c>
      <x:c r="E1539" t="str">
        <x:v>SIN_SUSCRIPCION</x:v>
      </x:c>
      <x:c r="F1539" t="str">
        <x:v>Plus mensual</x:v>
      </x:c>
      <x:c r="G1539" t="str">
        <x:v>Mensual</x:v>
      </x:c>
      <x:c r="H1539" t="n">
        <x:v>2</x:v>
      </x:c>
      <x:c r="I1539" t="str">
        <x:v>Rechazado</x:v>
      </x:c>
      <x:c r="J1539" t="n">
        <x:v>29900</x:v>
      </x:c>
      <x:c r="K1539" t="str">
        <x:v>Tarjeta débito</x:v>
      </x:c>
      <x:c r="L1539" t="str">
        <x:v>Error temporal</x:v>
      </x:c>
    </x:row>
    <x:row r="1540">
      <x:c r="A1540" t="str">
        <x:v>TXN-0001539</x:v>
      </x:c>
      <x:c r="B1540" t="str">
        <x:v>2026-06</x:v>
      </x:c>
      <x:c r="C1540" t="n">
        <x:v>46181</x:v>
      </x:c>
      <x:c r="D1540" t="str">
        <x:v>USR-00421</x:v>
      </x:c>
      <x:c r="E1540" t="str">
        <x:v>SUS-000864</x:v>
      </x:c>
      <x:c r="F1540" t="str">
        <x:v>Plus mensual</x:v>
      </x:c>
      <x:c r="G1540" t="str">
        <x:v>Mensual</x:v>
      </x:c>
      <x:c r="H1540" t="n">
        <x:v>1</x:v>
      </x:c>
      <x:c r="I1540" t="str">
        <x:v>Aprobado</x:v>
      </x:c>
      <x:c r="J1540" t="n">
        <x:v>29900</x:v>
      </x:c>
      <x:c r="K1540" t="str">
        <x:v>PSE</x:v>
      </x:c>
      <x:c r="L1540" t="str">
        <x:v>Sin error</x:v>
      </x:c>
    </x:row>
    <x:row r="1541">
      <x:c r="A1541" t="str">
        <x:v>TXN-0001540</x:v>
      </x:c>
      <x:c r="B1541" t="str">
        <x:v>2026-06</x:v>
      </x:c>
      <x:c r="C1541" t="n">
        <x:v>46180</x:v>
      </x:c>
      <x:c r="D1541" t="str">
        <x:v>USR-00423</x:v>
      </x:c>
      <x:c r="E1541" t="str">
        <x:v>SUS-000565</x:v>
      </x:c>
      <x:c r="F1541" t="str">
        <x:v>Plus mensual</x:v>
      </x:c>
      <x:c r="G1541" t="str">
        <x:v>Mensual</x:v>
      </x:c>
      <x:c r="H1541" t="n">
        <x:v>1</x:v>
      </x:c>
      <x:c r="I1541" t="str">
        <x:v>Aprobado</x:v>
      </x:c>
      <x:c r="J1541" t="n">
        <x:v>29900</x:v>
      </x:c>
      <x:c r="K1541" t="str">
        <x:v>Tarjeta crédito</x:v>
      </x:c>
      <x:c r="L1541" t="str">
        <x:v>Sin error</x:v>
      </x:c>
    </x:row>
    <x:row r="1542">
      <x:c r="A1542" t="str">
        <x:v>TXN-0001541</x:v>
      </x:c>
      <x:c r="B1542" t="str">
        <x:v>2026-06</x:v>
      </x:c>
      <x:c r="C1542" t="n">
        <x:v>46183</x:v>
      </x:c>
      <x:c r="D1542" t="str">
        <x:v>USR-00435</x:v>
      </x:c>
      <x:c r="E1542" t="str">
        <x:v>SUS-000577</x:v>
      </x:c>
      <x:c r="F1542" t="str">
        <x:v>Plus mensual</x:v>
      </x:c>
      <x:c r="G1542" t="str">
        <x:v>Mensual</x:v>
      </x:c>
      <x:c r="H1542" t="n">
        <x:v>1</x:v>
      </x:c>
      <x:c r="I1542" t="str">
        <x:v>Rechazado</x:v>
      </x:c>
      <x:c r="J1542" t="n">
        <x:v>29900</x:v>
      </x:c>
      <x:c r="K1542" t="str">
        <x:v>PSE</x:v>
      </x:c>
      <x:c r="L1542" t="str">
        <x:v>Error temporal</x:v>
      </x:c>
    </x:row>
    <x:row r="1543">
      <x:c r="A1543" t="str">
        <x:v>TXN-0001542</x:v>
      </x:c>
      <x:c r="B1543" t="str">
        <x:v>2026-06</x:v>
      </x:c>
      <x:c r="C1543" t="n">
        <x:v>46180</x:v>
      </x:c>
      <x:c r="D1543" t="str">
        <x:v>USR-00435</x:v>
      </x:c>
      <x:c r="E1543" t="str">
        <x:v>SUS-000577</x:v>
      </x:c>
      <x:c r="F1543" t="str">
        <x:v>Plus mensual</x:v>
      </x:c>
      <x:c r="G1543" t="str">
        <x:v>Mensual</x:v>
      </x:c>
      <x:c r="H1543" t="n">
        <x:v>2</x:v>
      </x:c>
      <x:c r="I1543" t="str">
        <x:v>Aprobado</x:v>
      </x:c>
      <x:c r="J1543" t="n">
        <x:v>29900</x:v>
      </x:c>
      <x:c r="K1543" t="str">
        <x:v>Tarjeta débito</x:v>
      </x:c>
      <x:c r="L1543" t="str">
        <x:v>Sin error</x:v>
      </x:c>
    </x:row>
    <x:row r="1544">
      <x:c r="A1544" t="str">
        <x:v>TXN-0001543</x:v>
      </x:c>
      <x:c r="B1544" t="str">
        <x:v>2026-06</x:v>
      </x:c>
      <x:c r="C1544" t="n">
        <x:v>46183</x:v>
      </x:c>
      <x:c r="D1544" t="str">
        <x:v>USR-00438</x:v>
      </x:c>
      <x:c r="E1544" t="str">
        <x:v>SUS-001275</x:v>
      </x:c>
      <x:c r="F1544" t="str">
        <x:v>Plus mensual</x:v>
      </x:c>
      <x:c r="G1544" t="str">
        <x:v>Mensual</x:v>
      </x:c>
      <x:c r="H1544" t="n">
        <x:v>1</x:v>
      </x:c>
      <x:c r="I1544" t="str">
        <x:v>Aprobado</x:v>
      </x:c>
      <x:c r="J1544" t="n">
        <x:v>29900</x:v>
      </x:c>
      <x:c r="K1544" t="str">
        <x:v>Tarjeta crédito</x:v>
      </x:c>
      <x:c r="L1544" t="str">
        <x:v>Sin error</x:v>
      </x:c>
    </x:row>
    <x:row r="1545">
      <x:c r="A1545" t="str">
        <x:v>TXN-0001544</x:v>
      </x:c>
      <x:c r="B1545" t="str">
        <x:v>2026-06</x:v>
      </x:c>
      <x:c r="C1545" t="n">
        <x:v>46183</x:v>
      </x:c>
      <x:c r="D1545" t="str">
        <x:v>USR-00440</x:v>
      </x:c>
      <x:c r="E1545" t="str">
        <x:v>SUS-001128</x:v>
      </x:c>
      <x:c r="F1545" t="str">
        <x:v>Plus mensual</x:v>
      </x:c>
      <x:c r="G1545" t="str">
        <x:v>Mensual</x:v>
      </x:c>
      <x:c r="H1545" t="n">
        <x:v>1</x:v>
      </x:c>
      <x:c r="I1545" t="str">
        <x:v>Aprobado</x:v>
      </x:c>
      <x:c r="J1545" t="n">
        <x:v>29900</x:v>
      </x:c>
      <x:c r="K1545" t="str">
        <x:v>PSE</x:v>
      </x:c>
      <x:c r="L1545" t="str">
        <x:v>Sin error</x:v>
      </x:c>
    </x:row>
    <x:row r="1546">
      <x:c r="A1546" t="str">
        <x:v>TXN-0001545</x:v>
      </x:c>
      <x:c r="B1546" t="str">
        <x:v>2026-06</x:v>
      </x:c>
      <x:c r="C1546" t="n">
        <x:v>46182</x:v>
      </x:c>
      <x:c r="D1546" t="str">
        <x:v>USR-00446</x:v>
      </x:c>
      <x:c r="E1546" t="str">
        <x:v>SUS-000588</x:v>
      </x:c>
      <x:c r="F1546" t="str">
        <x:v>Plus mensual</x:v>
      </x:c>
      <x:c r="G1546" t="str">
        <x:v>Mensual</x:v>
      </x:c>
      <x:c r="H1546" t="n">
        <x:v>1</x:v>
      </x:c>
      <x:c r="I1546" t="str">
        <x:v>Aprobado</x:v>
      </x:c>
      <x:c r="J1546" t="n">
        <x:v>29900</x:v>
      </x:c>
      <x:c r="K1546" t="str">
        <x:v>Tarjeta crédito</x:v>
      </x:c>
      <x:c r="L1546" t="str">
        <x:v>Sin error</x:v>
      </x:c>
    </x:row>
    <x:row r="1547">
      <x:c r="A1547" t="str">
        <x:v>TXN-0001546</x:v>
      </x:c>
      <x:c r="B1547" t="str">
        <x:v>2026-06</x:v>
      </x:c>
      <x:c r="C1547" t="n">
        <x:v>46183</x:v>
      </x:c>
      <x:c r="D1547" t="str">
        <x:v>USR-00450</x:v>
      </x:c>
      <x:c r="E1547" t="str">
        <x:v>SUS-000867</x:v>
      </x:c>
      <x:c r="F1547" t="str">
        <x:v>Plus mensual</x:v>
      </x:c>
      <x:c r="G1547" t="str">
        <x:v>Mensual</x:v>
      </x:c>
      <x:c r="H1547" t="n">
        <x:v>1</x:v>
      </x:c>
      <x:c r="I1547" t="str">
        <x:v>Aprobado</x:v>
      </x:c>
      <x:c r="J1547" t="n">
        <x:v>29900</x:v>
      </x:c>
      <x:c r="K1547" t="str">
        <x:v>PSE</x:v>
      </x:c>
      <x:c r="L1547" t="str">
        <x:v>Sin error</x:v>
      </x:c>
    </x:row>
    <x:row r="1548">
      <x:c r="A1548" t="str">
        <x:v>TXN-0001547</x:v>
      </x:c>
      <x:c r="B1548" t="str">
        <x:v>2026-06</x:v>
      </x:c>
      <x:c r="C1548" t="n">
        <x:v>46185</x:v>
      </x:c>
      <x:c r="D1548" t="str">
        <x:v>USR-00452</x:v>
      </x:c>
      <x:c r="E1548" t="str">
        <x:v>SUS-000868</x:v>
      </x:c>
      <x:c r="F1548" t="str">
        <x:v>Plus mensual</x:v>
      </x:c>
      <x:c r="G1548" t="str">
        <x:v>Mensual</x:v>
      </x:c>
      <x:c r="H1548" t="n">
        <x:v>1</x:v>
      </x:c>
      <x:c r="I1548" t="str">
        <x:v>Aprobado</x:v>
      </x:c>
      <x:c r="J1548" t="n">
        <x:v>29900</x:v>
      </x:c>
      <x:c r="K1548" t="str">
        <x:v>PSE</x:v>
      </x:c>
      <x:c r="L1548" t="str">
        <x:v>Sin error</x:v>
      </x:c>
    </x:row>
    <x:row r="1549">
      <x:c r="A1549" t="str">
        <x:v>TXN-0001548</x:v>
      </x:c>
      <x:c r="B1549" t="str">
        <x:v>2026-06</x:v>
      </x:c>
      <x:c r="C1549" t="n">
        <x:v>46182</x:v>
      </x:c>
      <x:c r="D1549" t="str">
        <x:v>USR-00456</x:v>
      </x:c>
      <x:c r="E1549" t="str">
        <x:v>SUS-000598</x:v>
      </x:c>
      <x:c r="F1549" t="str">
        <x:v>Plus mensual</x:v>
      </x:c>
      <x:c r="G1549" t="str">
        <x:v>Mensual</x:v>
      </x:c>
      <x:c r="H1549" t="n">
        <x:v>1</x:v>
      </x:c>
      <x:c r="I1549" t="str">
        <x:v>Aprobado</x:v>
      </x:c>
      <x:c r="J1549" t="n">
        <x:v>29900</x:v>
      </x:c>
      <x:c r="K1549" t="str">
        <x:v>PSE</x:v>
      </x:c>
      <x:c r="L1549" t="str">
        <x:v>Sin error</x:v>
      </x:c>
    </x:row>
    <x:row r="1550">
      <x:c r="A1550" t="str">
        <x:v>TXN-0001549</x:v>
      </x:c>
      <x:c r="B1550" t="str">
        <x:v>2026-06</x:v>
      </x:c>
      <x:c r="C1550" t="n">
        <x:v>46178</x:v>
      </x:c>
      <x:c r="D1550" t="str">
        <x:v>USR-00458</x:v>
      </x:c>
      <x:c r="E1550" t="str">
        <x:v>SUS-000600</x:v>
      </x:c>
      <x:c r="F1550" t="str">
        <x:v>Plus mensual</x:v>
      </x:c>
      <x:c r="G1550" t="str">
        <x:v>Mensual</x:v>
      </x:c>
      <x:c r="H1550" t="n">
        <x:v>1</x:v>
      </x:c>
      <x:c r="I1550" t="str">
        <x:v>Aprobado</x:v>
      </x:c>
      <x:c r="J1550" t="n">
        <x:v>29900</x:v>
      </x:c>
      <x:c r="K1550" t="str">
        <x:v>Tarjeta débito</x:v>
      </x:c>
      <x:c r="L1550" t="str">
        <x:v>Sin error</x:v>
      </x:c>
    </x:row>
    <x:row r="1551">
      <x:c r="A1551" t="str">
        <x:v>TXN-0001550</x:v>
      </x:c>
      <x:c r="B1551" t="str">
        <x:v>2026-06</x:v>
      </x:c>
      <x:c r="C1551" t="n">
        <x:v>46179</x:v>
      </x:c>
      <x:c r="D1551" t="str">
        <x:v>USR-00465</x:v>
      </x:c>
      <x:c r="E1551" t="str">
        <x:v>SUS-000607</x:v>
      </x:c>
      <x:c r="F1551" t="str">
        <x:v>Plus mensual</x:v>
      </x:c>
      <x:c r="G1551" t="str">
        <x:v>Mensual</x:v>
      </x:c>
      <x:c r="H1551" t="n">
        <x:v>1</x:v>
      </x:c>
      <x:c r="I1551" t="str">
        <x:v>Aprobado</x:v>
      </x:c>
      <x:c r="J1551" t="n">
        <x:v>29900</x:v>
      </x:c>
      <x:c r="K1551" t="str">
        <x:v>Tarjeta crédito</x:v>
      </x:c>
      <x:c r="L1551" t="str">
        <x:v>Sin error</x:v>
      </x:c>
    </x:row>
    <x:row r="1552">
      <x:c r="A1552" t="str">
        <x:v>TXN-0001551</x:v>
      </x:c>
      <x:c r="B1552" t="str">
        <x:v>2026-06</x:v>
      </x:c>
      <x:c r="C1552" t="n">
        <x:v>46181</x:v>
      </x:c>
      <x:c r="D1552" t="str">
        <x:v>USR-00467</x:v>
      </x:c>
      <x:c r="E1552" t="str">
        <x:v>SUS-000763</x:v>
      </x:c>
      <x:c r="F1552" t="str">
        <x:v>Plus mensual</x:v>
      </x:c>
      <x:c r="G1552" t="str">
        <x:v>Mensual</x:v>
      </x:c>
      <x:c r="H1552" t="n">
        <x:v>1</x:v>
      </x:c>
      <x:c r="I1552" t="str">
        <x:v>Aprobado</x:v>
      </x:c>
      <x:c r="J1552" t="n">
        <x:v>29900</x:v>
      </x:c>
      <x:c r="K1552" t="str">
        <x:v>Tarjeta débito</x:v>
      </x:c>
      <x:c r="L1552" t="str">
        <x:v>Sin error</x:v>
      </x:c>
    </x:row>
    <x:row r="1553">
      <x:c r="A1553" t="str">
        <x:v>TXN-0001552</x:v>
      </x:c>
      <x:c r="B1553" t="str">
        <x:v>2026-06</x:v>
      </x:c>
      <x:c r="C1553" t="n">
        <x:v>46182</x:v>
      </x:c>
      <x:c r="D1553" t="str">
        <x:v>USR-00469</x:v>
      </x:c>
      <x:c r="E1553" t="str">
        <x:v>SUS-000648</x:v>
      </x:c>
      <x:c r="F1553" t="str">
        <x:v>Plus mensual</x:v>
      </x:c>
      <x:c r="G1553" t="str">
        <x:v>Mensual</x:v>
      </x:c>
      <x:c r="H1553" t="n">
        <x:v>1</x:v>
      </x:c>
      <x:c r="I1553" t="str">
        <x:v>Aprobado</x:v>
      </x:c>
      <x:c r="J1553" t="n">
        <x:v>29900</x:v>
      </x:c>
      <x:c r="K1553" t="str">
        <x:v>Tarjeta débito</x:v>
      </x:c>
      <x:c r="L1553" t="str">
        <x:v>Sin error</x:v>
      </x:c>
    </x:row>
    <x:row r="1554">
      <x:c r="A1554" t="str">
        <x:v>TXN-0001553</x:v>
      </x:c>
      <x:c r="B1554" t="str">
        <x:v>2026-06</x:v>
      </x:c>
      <x:c r="C1554" t="n">
        <x:v>46181</x:v>
      </x:c>
      <x:c r="D1554" t="str">
        <x:v>USR-00473</x:v>
      </x:c>
      <x:c r="E1554" t="str">
        <x:v>SUS-000651</x:v>
      </x:c>
      <x:c r="F1554" t="str">
        <x:v>Plus mensual</x:v>
      </x:c>
      <x:c r="G1554" t="str">
        <x:v>Mensual</x:v>
      </x:c>
      <x:c r="H1554" t="n">
        <x:v>1</x:v>
      </x:c>
      <x:c r="I1554" t="str">
        <x:v>Aprobado</x:v>
      </x:c>
      <x:c r="J1554" t="n">
        <x:v>29900</x:v>
      </x:c>
      <x:c r="K1554" t="str">
        <x:v>PSE</x:v>
      </x:c>
      <x:c r="L1554" t="str">
        <x:v>Sin error</x:v>
      </x:c>
    </x:row>
    <x:row r="1555">
      <x:c r="A1555" t="str">
        <x:v>TXN-0001554</x:v>
      </x:c>
      <x:c r="B1555" t="str">
        <x:v>2026-06</x:v>
      </x:c>
      <x:c r="C1555" t="n">
        <x:v>46181</x:v>
      </x:c>
      <x:c r="D1555" t="str">
        <x:v>USR-00475</x:v>
      </x:c>
      <x:c r="E1555" t="str">
        <x:v>SUS-001277</x:v>
      </x:c>
      <x:c r="F1555" t="str">
        <x:v>Plus anual</x:v>
      </x:c>
      <x:c r="G1555" t="str">
        <x:v>Anual</x:v>
      </x:c>
      <x:c r="H1555" t="n">
        <x:v>1</x:v>
      </x:c>
      <x:c r="I1555" t="str">
        <x:v>Aprobado</x:v>
      </x:c>
      <x:c r="J1555" t="n">
        <x:v>299000</x:v>
      </x:c>
      <x:c r="K1555" t="str">
        <x:v>Tarjeta crédito</x:v>
      </x:c>
      <x:c r="L1555" t="str">
        <x:v>Sin error</x:v>
      </x:c>
    </x:row>
    <x:row r="1556">
      <x:c r="A1556" t="str">
        <x:v>TXN-0001555</x:v>
      </x:c>
      <x:c r="B1556" t="str">
        <x:v>2026-06</x:v>
      </x:c>
      <x:c r="C1556" t="n">
        <x:v>46178</x:v>
      </x:c>
      <x:c r="D1556" t="str">
        <x:v>USR-00477</x:v>
      </x:c>
      <x:c r="E1556" t="str">
        <x:v>SUS-001278</x:v>
      </x:c>
      <x:c r="F1556" t="str">
        <x:v>Plus mensual</x:v>
      </x:c>
      <x:c r="G1556" t="str">
        <x:v>Mensual</x:v>
      </x:c>
      <x:c r="H1556" t="n">
        <x:v>1</x:v>
      </x:c>
      <x:c r="I1556" t="str">
        <x:v>Aprobado</x:v>
      </x:c>
      <x:c r="J1556" t="n">
        <x:v>29900</x:v>
      </x:c>
      <x:c r="K1556" t="str">
        <x:v>PSE</x:v>
      </x:c>
      <x:c r="L1556" t="str">
        <x:v>Sin error</x:v>
      </x:c>
    </x:row>
    <x:row r="1557">
      <x:c r="A1557" t="str">
        <x:v>TXN-0001556</x:v>
      </x:c>
      <x:c r="B1557" t="str">
        <x:v>2026-06</x:v>
      </x:c>
      <x:c r="C1557" t="n">
        <x:v>46180</x:v>
      </x:c>
      <x:c r="D1557" t="str">
        <x:v>USR-00481</x:v>
      </x:c>
      <x:c r="E1557" t="str">
        <x:v>SUS-001130</x:v>
      </x:c>
      <x:c r="F1557" t="str">
        <x:v>Plus mensual</x:v>
      </x:c>
      <x:c r="G1557" t="str">
        <x:v>Mensual</x:v>
      </x:c>
      <x:c r="H1557" t="n">
        <x:v>1</x:v>
      </x:c>
      <x:c r="I1557" t="str">
        <x:v>Aprobado</x:v>
      </x:c>
      <x:c r="J1557" t="n">
        <x:v>29900</x:v>
      </x:c>
      <x:c r="K1557" t="str">
        <x:v>PSE</x:v>
      </x:c>
      <x:c r="L1557" t="str">
        <x:v>Sin error</x:v>
      </x:c>
    </x:row>
    <x:row r="1558">
      <x:c r="A1558" t="str">
        <x:v>TXN-0001557</x:v>
      </x:c>
      <x:c r="B1558" t="str">
        <x:v>2026-06</x:v>
      </x:c>
      <x:c r="C1558" t="n">
        <x:v>46185</x:v>
      </x:c>
      <x:c r="D1558" t="str">
        <x:v>USR-00484</x:v>
      </x:c>
      <x:c r="E1558" t="str">
        <x:v>SUS-000662</x:v>
      </x:c>
      <x:c r="F1558" t="str">
        <x:v>Plus mensual</x:v>
      </x:c>
      <x:c r="G1558" t="str">
        <x:v>Mensual</x:v>
      </x:c>
      <x:c r="H1558" t="n">
        <x:v>1</x:v>
      </x:c>
      <x:c r="I1558" t="str">
        <x:v>Aprobado</x:v>
      </x:c>
      <x:c r="J1558" t="n">
        <x:v>29900</x:v>
      </x:c>
      <x:c r="K1558" t="str">
        <x:v>Tarjeta crédito</x:v>
      </x:c>
      <x:c r="L1558" t="str">
        <x:v>Sin error</x:v>
      </x:c>
    </x:row>
    <x:row r="1559">
      <x:c r="A1559" t="str">
        <x:v>TXN-0001558</x:v>
      </x:c>
      <x:c r="B1559" t="str">
        <x:v>2026-06</x:v>
      </x:c>
      <x:c r="C1559" t="n">
        <x:v>46178</x:v>
      </x:c>
      <x:c r="D1559" t="str">
        <x:v>USR-00488</x:v>
      </x:c>
      <x:c r="E1559" t="str">
        <x:v>SUS-001131</x:v>
      </x:c>
      <x:c r="F1559" t="str">
        <x:v>Plus mensual</x:v>
      </x:c>
      <x:c r="G1559" t="str">
        <x:v>Mensual</x:v>
      </x:c>
      <x:c r="H1559" t="n">
        <x:v>1</x:v>
      </x:c>
      <x:c r="I1559" t="str">
        <x:v>Aprobado</x:v>
      </x:c>
      <x:c r="J1559" t="n">
        <x:v>29900</x:v>
      </x:c>
      <x:c r="K1559" t="str">
        <x:v>Tarjeta crédito</x:v>
      </x:c>
      <x:c r="L1559" t="str">
        <x:v>Sin error</x:v>
      </x:c>
    </x:row>
    <x:row r="1560">
      <x:c r="A1560" t="str">
        <x:v>TXN-0001559</x:v>
      </x:c>
      <x:c r="B1560" t="str">
        <x:v>2026-06</x:v>
      </x:c>
      <x:c r="C1560" t="n">
        <x:v>46180</x:v>
      </x:c>
      <x:c r="D1560" t="str">
        <x:v>USR-00489</x:v>
      </x:c>
      <x:c r="E1560" t="str">
        <x:v>SUS-000766</x:v>
      </x:c>
      <x:c r="F1560" t="str">
        <x:v>Plus mensual</x:v>
      </x:c>
      <x:c r="G1560" t="str">
        <x:v>Mensual</x:v>
      </x:c>
      <x:c r="H1560" t="n">
        <x:v>1</x:v>
      </x:c>
      <x:c r="I1560" t="str">
        <x:v>Aprobado</x:v>
      </x:c>
      <x:c r="J1560" t="n">
        <x:v>29900</x:v>
      </x:c>
      <x:c r="K1560" t="str">
        <x:v>Tarjeta débito</x:v>
      </x:c>
      <x:c r="L1560" t="str">
        <x:v>Sin error</x:v>
      </x:c>
    </x:row>
    <x:row r="1561">
      <x:c r="A1561" t="str">
        <x:v>TXN-0001560</x:v>
      </x:c>
      <x:c r="B1561" t="str">
        <x:v>2026-06</x:v>
      </x:c>
      <x:c r="C1561" t="n">
        <x:v>46183</x:v>
      </x:c>
      <x:c r="D1561" t="str">
        <x:v>USR-00490</x:v>
      </x:c>
      <x:c r="E1561" t="str">
        <x:v>SUS-000992</x:v>
      </x:c>
      <x:c r="F1561" t="str">
        <x:v>Plus mensual</x:v>
      </x:c>
      <x:c r="G1561" t="str">
        <x:v>Mensual</x:v>
      </x:c>
      <x:c r="H1561" t="n">
        <x:v>1</x:v>
      </x:c>
      <x:c r="I1561" t="str">
        <x:v>Aprobado</x:v>
      </x:c>
      <x:c r="J1561" t="n">
        <x:v>29900</x:v>
      </x:c>
      <x:c r="K1561" t="str">
        <x:v>PSE</x:v>
      </x:c>
      <x:c r="L1561" t="str">
        <x:v>Sin error</x:v>
      </x:c>
    </x:row>
    <x:row r="1562">
      <x:c r="A1562" t="str">
        <x:v>TXN-0001561</x:v>
      </x:c>
      <x:c r="B1562" t="str">
        <x:v>2026-06</x:v>
      </x:c>
      <x:c r="C1562" t="n">
        <x:v>46181</x:v>
      </x:c>
      <x:c r="D1562" t="str">
        <x:v>USR-00492</x:v>
      </x:c>
      <x:c r="E1562" t="str">
        <x:v>SUS-001279</x:v>
      </x:c>
      <x:c r="F1562" t="str">
        <x:v>Plus mensual</x:v>
      </x:c>
      <x:c r="G1562" t="str">
        <x:v>Mensual</x:v>
      </x:c>
      <x:c r="H1562" t="n">
        <x:v>1</x:v>
      </x:c>
      <x:c r="I1562" t="str">
        <x:v>Aprobado</x:v>
      </x:c>
      <x:c r="J1562" t="n">
        <x:v>29900</x:v>
      </x:c>
      <x:c r="K1562" t="str">
        <x:v>Tarjeta débito</x:v>
      </x:c>
      <x:c r="L1562" t="str">
        <x:v>Sin error</x:v>
      </x:c>
    </x:row>
    <x:row r="1563">
      <x:c r="A1563" t="str">
        <x:v>TXN-0001562</x:v>
      </x:c>
      <x:c r="B1563" t="str">
        <x:v>2026-06</x:v>
      </x:c>
      <x:c r="C1563" t="n">
        <x:v>46185</x:v>
      </x:c>
      <x:c r="D1563" t="str">
        <x:v>USR-00504</x:v>
      </x:c>
      <x:c r="E1563" t="str">
        <x:v>SUS-001133</x:v>
      </x:c>
      <x:c r="F1563" t="str">
        <x:v>Plus mensual</x:v>
      </x:c>
      <x:c r="G1563" t="str">
        <x:v>Mensual</x:v>
      </x:c>
      <x:c r="H1563" t="n">
        <x:v>1</x:v>
      </x:c>
      <x:c r="I1563" t="str">
        <x:v>Aprobado</x:v>
      </x:c>
      <x:c r="J1563" t="n">
        <x:v>29900</x:v>
      </x:c>
      <x:c r="K1563" t="str">
        <x:v>Tarjeta débito</x:v>
      </x:c>
      <x:c r="L1563" t="str">
        <x:v>Sin error</x:v>
      </x:c>
    </x:row>
    <x:row r="1564">
      <x:c r="A1564" t="str">
        <x:v>TXN-0001563</x:v>
      </x:c>
      <x:c r="B1564" t="str">
        <x:v>2026-06</x:v>
      </x:c>
      <x:c r="C1564" t="n">
        <x:v>46182</x:v>
      </x:c>
      <x:c r="D1564" t="str">
        <x:v>USR-00515</x:v>
      </x:c>
      <x:c r="E1564" t="str">
        <x:v>SUS-001280</x:v>
      </x:c>
      <x:c r="F1564" t="str">
        <x:v>Plus mensual</x:v>
      </x:c>
      <x:c r="G1564" t="str">
        <x:v>Mensual</x:v>
      </x:c>
      <x:c r="H1564" t="n">
        <x:v>1</x:v>
      </x:c>
      <x:c r="I1564" t="str">
        <x:v>Aprobado</x:v>
      </x:c>
      <x:c r="J1564" t="n">
        <x:v>29900</x:v>
      </x:c>
      <x:c r="K1564" t="str">
        <x:v>Tarjeta débito</x:v>
      </x:c>
      <x:c r="L1564" t="str">
        <x:v>Sin error</x:v>
      </x:c>
    </x:row>
    <x:row r="1565">
      <x:c r="A1565" t="str">
        <x:v>TXN-0001564</x:v>
      </x:c>
      <x:c r="B1565" t="str">
        <x:v>2026-06</x:v>
      </x:c>
      <x:c r="C1565" t="n">
        <x:v>46179</x:v>
      </x:c>
      <x:c r="D1565" t="str">
        <x:v>USR-00517</x:v>
      </x:c>
      <x:c r="E1565" t="str">
        <x:v>SUS-000767</x:v>
      </x:c>
      <x:c r="F1565" t="str">
        <x:v>Plus mensual</x:v>
      </x:c>
      <x:c r="G1565" t="str">
        <x:v>Mensual</x:v>
      </x:c>
      <x:c r="H1565" t="n">
        <x:v>1</x:v>
      </x:c>
      <x:c r="I1565" t="str">
        <x:v>Aprobado</x:v>
      </x:c>
      <x:c r="J1565" t="n">
        <x:v>29900</x:v>
      </x:c>
      <x:c r="K1565" t="str">
        <x:v>Tarjeta crédito</x:v>
      </x:c>
      <x:c r="L1565" t="str">
        <x:v>Sin error</x:v>
      </x:c>
    </x:row>
    <x:row r="1566">
      <x:c r="A1566" t="str">
        <x:v>TXN-0001565</x:v>
      </x:c>
      <x:c r="B1566" t="str">
        <x:v>2026-06</x:v>
      </x:c>
      <x:c r="C1566" t="n">
        <x:v>46178</x:v>
      </x:c>
      <x:c r="D1566" t="str">
        <x:v>USR-00518</x:v>
      </x:c>
      <x:c r="E1566" t="str">
        <x:v>SUS-000696</x:v>
      </x:c>
      <x:c r="F1566" t="str">
        <x:v>Plus mensual</x:v>
      </x:c>
      <x:c r="G1566" t="str">
        <x:v>Mensual</x:v>
      </x:c>
      <x:c r="H1566" t="n">
        <x:v>1</x:v>
      </x:c>
      <x:c r="I1566" t="str">
        <x:v>Aprobado</x:v>
      </x:c>
      <x:c r="J1566" t="n">
        <x:v>29900</x:v>
      </x:c>
      <x:c r="K1566" t="str">
        <x:v>Tarjeta débito</x:v>
      </x:c>
      <x:c r="L1566" t="str">
        <x:v>Sin error</x:v>
      </x:c>
    </x:row>
    <x:row r="1567">
      <x:c r="A1567" t="str">
        <x:v>TXN-0001566</x:v>
      </x:c>
      <x:c r="B1567" t="str">
        <x:v>2026-06</x:v>
      </x:c>
      <x:c r="C1567" t="n">
        <x:v>46180</x:v>
      </x:c>
      <x:c r="D1567" t="str">
        <x:v>USR-00520</x:v>
      </x:c>
      <x:c r="E1567" t="str">
        <x:v>SUS-001281</x:v>
      </x:c>
      <x:c r="F1567" t="str">
        <x:v>Plus mensual</x:v>
      </x:c>
      <x:c r="G1567" t="str">
        <x:v>Mensual</x:v>
      </x:c>
      <x:c r="H1567" t="n">
        <x:v>1</x:v>
      </x:c>
      <x:c r="I1567" t="str">
        <x:v>Aprobado</x:v>
      </x:c>
      <x:c r="J1567" t="n">
        <x:v>29900</x:v>
      </x:c>
      <x:c r="K1567" t="str">
        <x:v>Tarjeta crédito</x:v>
      </x:c>
      <x:c r="L1567" t="str">
        <x:v>Sin error</x:v>
      </x:c>
    </x:row>
    <x:row r="1568">
      <x:c r="A1568" t="str">
        <x:v>TXN-0001567</x:v>
      </x:c>
      <x:c r="B1568" t="str">
        <x:v>2026-06</x:v>
      </x:c>
      <x:c r="C1568" t="n">
        <x:v>46181</x:v>
      </x:c>
      <x:c r="D1568" t="str">
        <x:v>USR-00524</x:v>
      </x:c>
      <x:c r="E1568" t="str">
        <x:v>SUS-000876</x:v>
      </x:c>
      <x:c r="F1568" t="str">
        <x:v>Plus mensual</x:v>
      </x:c>
      <x:c r="G1568" t="str">
        <x:v>Mensual</x:v>
      </x:c>
      <x:c r="H1568" t="n">
        <x:v>1</x:v>
      </x:c>
      <x:c r="I1568" t="str">
        <x:v>Aprobado</x:v>
      </x:c>
      <x:c r="J1568" t="n">
        <x:v>29900</x:v>
      </x:c>
      <x:c r="K1568" t="str">
        <x:v>Tarjeta crédito</x:v>
      </x:c>
      <x:c r="L1568" t="str">
        <x:v>Sin error</x:v>
      </x:c>
    </x:row>
    <x:row r="1569">
      <x:c r="A1569" t="str">
        <x:v>TXN-0001568</x:v>
      </x:c>
      <x:c r="B1569" t="str">
        <x:v>2026-06</x:v>
      </x:c>
      <x:c r="C1569" t="n">
        <x:v>46185</x:v>
      </x:c>
      <x:c r="D1569" t="str">
        <x:v>USR-00527</x:v>
      </x:c>
      <x:c r="E1569" t="str">
        <x:v>SUS-000705</x:v>
      </x:c>
      <x:c r="F1569" t="str">
        <x:v>Plus mensual</x:v>
      </x:c>
      <x:c r="G1569" t="str">
        <x:v>Mensual</x:v>
      </x:c>
      <x:c r="H1569" t="n">
        <x:v>1</x:v>
      </x:c>
      <x:c r="I1569" t="str">
        <x:v>Aprobado</x:v>
      </x:c>
      <x:c r="J1569" t="n">
        <x:v>29900</x:v>
      </x:c>
      <x:c r="K1569" t="str">
        <x:v>Tarjeta crédito</x:v>
      </x:c>
      <x:c r="L1569" t="str">
        <x:v>Sin error</x:v>
      </x:c>
    </x:row>
    <x:row r="1570">
      <x:c r="A1570" t="str">
        <x:v>TXN-0001569</x:v>
      </x:c>
      <x:c r="B1570" t="str">
        <x:v>2026-06</x:v>
      </x:c>
      <x:c r="C1570" t="n">
        <x:v>46178</x:v>
      </x:c>
      <x:c r="D1570" t="str">
        <x:v>USR-00528</x:v>
      </x:c>
      <x:c r="E1570" t="str">
        <x:v>SUS-000877</x:v>
      </x:c>
      <x:c r="F1570" t="str">
        <x:v>Plus mensual</x:v>
      </x:c>
      <x:c r="G1570" t="str">
        <x:v>Mensual</x:v>
      </x:c>
      <x:c r="H1570" t="n">
        <x:v>1</x:v>
      </x:c>
      <x:c r="I1570" t="str">
        <x:v>Aprobado</x:v>
      </x:c>
      <x:c r="J1570" t="n">
        <x:v>29900</x:v>
      </x:c>
      <x:c r="K1570" t="str">
        <x:v>Tarjeta débito</x:v>
      </x:c>
      <x:c r="L1570" t="str">
        <x:v>Sin error</x:v>
      </x:c>
    </x:row>
    <x:row r="1571">
      <x:c r="A1571" t="str">
        <x:v>TXN-0001570</x:v>
      </x:c>
      <x:c r="B1571" t="str">
        <x:v>2026-06</x:v>
      </x:c>
      <x:c r="C1571" t="n">
        <x:v>46185</x:v>
      </x:c>
      <x:c r="D1571" t="str">
        <x:v>USR-00532</x:v>
      </x:c>
      <x:c r="E1571" t="str">
        <x:v>SUS-001136</x:v>
      </x:c>
      <x:c r="F1571" t="str">
        <x:v>Plus mensual</x:v>
      </x:c>
      <x:c r="G1571" t="str">
        <x:v>Mensual</x:v>
      </x:c>
      <x:c r="H1571" t="n">
        <x:v>1</x:v>
      </x:c>
      <x:c r="I1571" t="str">
        <x:v>Aprobado</x:v>
      </x:c>
      <x:c r="J1571" t="n">
        <x:v>29900</x:v>
      </x:c>
      <x:c r="K1571" t="str">
        <x:v>PSE</x:v>
      </x:c>
      <x:c r="L1571" t="str">
        <x:v>Sin error</x:v>
      </x:c>
    </x:row>
    <x:row r="1572">
      <x:c r="A1572" t="str">
        <x:v>TXN-0001571</x:v>
      </x:c>
      <x:c r="B1572" t="str">
        <x:v>2026-06</x:v>
      </x:c>
      <x:c r="C1572" t="n">
        <x:v>46180</x:v>
      </x:c>
      <x:c r="D1572" t="str">
        <x:v>USR-00534</x:v>
      </x:c>
      <x:c r="E1572" t="str">
        <x:v>SUS-000712</x:v>
      </x:c>
      <x:c r="F1572" t="str">
        <x:v>Plus mensual</x:v>
      </x:c>
      <x:c r="G1572" t="str">
        <x:v>Mensual</x:v>
      </x:c>
      <x:c r="H1572" t="n">
        <x:v>1</x:v>
      </x:c>
      <x:c r="I1572" t="str">
        <x:v>Aprobado</x:v>
      </x:c>
      <x:c r="J1572" t="n">
        <x:v>29900</x:v>
      </x:c>
      <x:c r="K1572" t="str">
        <x:v>PSE</x:v>
      </x:c>
      <x:c r="L1572" t="str">
        <x:v>Sin error</x:v>
      </x:c>
    </x:row>
    <x:row r="1573">
      <x:c r="A1573" t="str">
        <x:v>TXN-0001572</x:v>
      </x:c>
      <x:c r="B1573" t="str">
        <x:v>2026-06</x:v>
      </x:c>
      <x:c r="C1573" t="n">
        <x:v>46185</x:v>
      </x:c>
      <x:c r="D1573" t="str">
        <x:v>USR-00535</x:v>
      </x:c>
      <x:c r="E1573" t="str">
        <x:v>SUS-000996</x:v>
      </x:c>
      <x:c r="F1573" t="str">
        <x:v>Plus mensual</x:v>
      </x:c>
      <x:c r="G1573" t="str">
        <x:v>Mensual</x:v>
      </x:c>
      <x:c r="H1573" t="n">
        <x:v>1</x:v>
      </x:c>
      <x:c r="I1573" t="str">
        <x:v>Aprobado</x:v>
      </x:c>
      <x:c r="J1573" t="n">
        <x:v>29900</x:v>
      </x:c>
      <x:c r="K1573" t="str">
        <x:v>Tarjeta crédito</x:v>
      </x:c>
      <x:c r="L1573" t="str">
        <x:v>Sin error</x:v>
      </x:c>
    </x:row>
    <x:row r="1574">
      <x:c r="A1574" t="str">
        <x:v>TXN-0001573</x:v>
      </x:c>
      <x:c r="B1574" t="str">
        <x:v>2026-06</x:v>
      </x:c>
      <x:c r="C1574" t="n">
        <x:v>46185</x:v>
      </x:c>
      <x:c r="D1574" t="str">
        <x:v>USR-00538</x:v>
      </x:c>
      <x:c r="E1574" t="str">
        <x:v>SUS-000716</x:v>
      </x:c>
      <x:c r="F1574" t="str">
        <x:v>Plus mensual</x:v>
      </x:c>
      <x:c r="G1574" t="str">
        <x:v>Mensual</x:v>
      </x:c>
      <x:c r="H1574" t="n">
        <x:v>1</x:v>
      </x:c>
      <x:c r="I1574" t="str">
        <x:v>Aprobado</x:v>
      </x:c>
      <x:c r="J1574" t="n">
        <x:v>29900</x:v>
      </x:c>
      <x:c r="K1574" t="str">
        <x:v>PSE</x:v>
      </x:c>
      <x:c r="L1574" t="str">
        <x:v>Sin error</x:v>
      </x:c>
    </x:row>
    <x:row r="1575">
      <x:c r="A1575" t="str">
        <x:v>TXN-0001574</x:v>
      </x:c>
      <x:c r="B1575" t="str">
        <x:v>2026-06</x:v>
      </x:c>
      <x:c r="C1575" t="n">
        <x:v>46184</x:v>
      </x:c>
      <x:c r="D1575" t="str">
        <x:v>USR-00539</x:v>
      </x:c>
      <x:c r="E1575" t="str">
        <x:v>SUS-001137</x:v>
      </x:c>
      <x:c r="F1575" t="str">
        <x:v>Plus mensual</x:v>
      </x:c>
      <x:c r="G1575" t="str">
        <x:v>Mensual</x:v>
      </x:c>
      <x:c r="H1575" t="n">
        <x:v>1</x:v>
      </x:c>
      <x:c r="I1575" t="str">
        <x:v>Aprobado</x:v>
      </x:c>
      <x:c r="J1575" t="n">
        <x:v>29900</x:v>
      </x:c>
      <x:c r="K1575" t="str">
        <x:v>Tarjeta crédito</x:v>
      </x:c>
      <x:c r="L1575" t="str">
        <x:v>Sin error</x:v>
      </x:c>
    </x:row>
    <x:row r="1576">
      <x:c r="A1576" t="str">
        <x:v>TXN-0001575</x:v>
      </x:c>
      <x:c r="B1576" t="str">
        <x:v>2026-06</x:v>
      </x:c>
      <x:c r="C1576" t="n">
        <x:v>46182</x:v>
      </x:c>
      <x:c r="D1576" t="str">
        <x:v>USR-00543</x:v>
      </x:c>
      <x:c r="E1576" t="str">
        <x:v>SUS-001282</x:v>
      </x:c>
      <x:c r="F1576" t="str">
        <x:v>Plus mensual</x:v>
      </x:c>
      <x:c r="G1576" t="str">
        <x:v>Mensual</x:v>
      </x:c>
      <x:c r="H1576" t="n">
        <x:v>1</x:v>
      </x:c>
      <x:c r="I1576" t="str">
        <x:v>Aprobado</x:v>
      </x:c>
      <x:c r="J1576" t="n">
        <x:v>29900</x:v>
      </x:c>
      <x:c r="K1576" t="str">
        <x:v>PSE</x:v>
      </x:c>
      <x:c r="L1576" t="str">
        <x:v>Sin error</x:v>
      </x:c>
    </x:row>
    <x:row r="1577">
      <x:c r="A1577" t="str">
        <x:v>TXN-0001576</x:v>
      </x:c>
      <x:c r="B1577" t="str">
        <x:v>2026-06</x:v>
      </x:c>
      <x:c r="C1577" t="n">
        <x:v>46184</x:v>
      </x:c>
      <x:c r="D1577" t="str">
        <x:v>USR-00547</x:v>
      </x:c>
      <x:c r="E1577" t="str">
        <x:v>SIN_SUSCRIPCION</x:v>
      </x:c>
      <x:c r="F1577" t="str">
        <x:v>Plus mensual</x:v>
      </x:c>
      <x:c r="G1577" t="str">
        <x:v>Mensual</x:v>
      </x:c>
      <x:c r="H1577" t="n">
        <x:v>1</x:v>
      </x:c>
      <x:c r="I1577" t="str">
        <x:v>Rechazado</x:v>
      </x:c>
      <x:c r="J1577" t="n">
        <x:v>29900</x:v>
      </x:c>
      <x:c r="K1577" t="str">
        <x:v>Tarjeta débito</x:v>
      </x:c>
      <x:c r="L1577" t="str">
        <x:v>Declinado por entidad</x:v>
      </x:c>
    </x:row>
    <x:row r="1578">
      <x:c r="A1578" t="str">
        <x:v>TXN-0001577</x:v>
      </x:c>
      <x:c r="B1578" t="str">
        <x:v>2026-06</x:v>
      </x:c>
      <x:c r="C1578" t="n">
        <x:v>46180</x:v>
      </x:c>
      <x:c r="D1578" t="str">
        <x:v>USR-00547</x:v>
      </x:c>
      <x:c r="E1578" t="str">
        <x:v>SIN_SUSCRIPCION</x:v>
      </x:c>
      <x:c r="F1578" t="str">
        <x:v>Plus mensual</x:v>
      </x:c>
      <x:c r="G1578" t="str">
        <x:v>Mensual</x:v>
      </x:c>
      <x:c r="H1578" t="n">
        <x:v>2</x:v>
      </x:c>
      <x:c r="I1578" t="str">
        <x:v>Rechazado</x:v>
      </x:c>
      <x:c r="J1578" t="n">
        <x:v>29900</x:v>
      </x:c>
      <x:c r="K1578" t="str">
        <x:v>Tarjeta débito</x:v>
      </x:c>
      <x:c r="L1578" t="str">
        <x:v>Fondos insuficientes</x:v>
      </x:c>
    </x:row>
    <x:row r="1579">
      <x:c r="A1579" t="str">
        <x:v>TXN-0001578</x:v>
      </x:c>
      <x:c r="B1579" t="str">
        <x:v>2026-06</x:v>
      </x:c>
      <x:c r="C1579" t="n">
        <x:v>46180</x:v>
      </x:c>
      <x:c r="D1579" t="str">
        <x:v>USR-00558</x:v>
      </x:c>
      <x:c r="E1579" t="str">
        <x:v>SUS-001284</x:v>
      </x:c>
      <x:c r="F1579" t="str">
        <x:v>Plus mensual</x:v>
      </x:c>
      <x:c r="G1579" t="str">
        <x:v>Mensual</x:v>
      </x:c>
      <x:c r="H1579" t="n">
        <x:v>1</x:v>
      </x:c>
      <x:c r="I1579" t="str">
        <x:v>Aprobado</x:v>
      </x:c>
      <x:c r="J1579" t="n">
        <x:v>29900</x:v>
      </x:c>
      <x:c r="K1579" t="str">
        <x:v>PSE</x:v>
      </x:c>
      <x:c r="L1579" t="str">
        <x:v>Sin error</x:v>
      </x:c>
    </x:row>
    <x:row r="1580">
      <x:c r="A1580" t="str">
        <x:v>TXN-0001579</x:v>
      </x:c>
      <x:c r="B1580" t="str">
        <x:v>2026-06</x:v>
      </x:c>
      <x:c r="C1580" t="n">
        <x:v>46182</x:v>
      </x:c>
      <x:c r="D1580" t="str">
        <x:v>USR-00560</x:v>
      </x:c>
      <x:c r="E1580" t="str">
        <x:v>SUS-000879</x:v>
      </x:c>
      <x:c r="F1580" t="str">
        <x:v>Plus mensual</x:v>
      </x:c>
      <x:c r="G1580" t="str">
        <x:v>Mensual</x:v>
      </x:c>
      <x:c r="H1580" t="n">
        <x:v>1</x:v>
      </x:c>
      <x:c r="I1580" t="str">
        <x:v>Aprobado</x:v>
      </x:c>
      <x:c r="J1580" t="n">
        <x:v>29900</x:v>
      </x:c>
      <x:c r="K1580" t="str">
        <x:v>PSE</x:v>
      </x:c>
      <x:c r="L1580" t="str">
        <x:v>Sin error</x:v>
      </x:c>
    </x:row>
    <x:row r="1581">
      <x:c r="A1581" t="str">
        <x:v>TXN-0001580</x:v>
      </x:c>
      <x:c r="B1581" t="str">
        <x:v>2026-06</x:v>
      </x:c>
      <x:c r="C1581" t="n">
        <x:v>46181</x:v>
      </x:c>
      <x:c r="D1581" t="str">
        <x:v>USR-00561</x:v>
      </x:c>
      <x:c r="E1581" t="str">
        <x:v>SUS-000880</x:v>
      </x:c>
      <x:c r="F1581" t="str">
        <x:v>Plus mensual</x:v>
      </x:c>
      <x:c r="G1581" t="str">
        <x:v>Mensual</x:v>
      </x:c>
      <x:c r="H1581" t="n">
        <x:v>1</x:v>
      </x:c>
      <x:c r="I1581" t="str">
        <x:v>Aprobado</x:v>
      </x:c>
      <x:c r="J1581" t="n">
        <x:v>29900</x:v>
      </x:c>
      <x:c r="K1581" t="str">
        <x:v>Tarjeta crédito</x:v>
      </x:c>
      <x:c r="L1581" t="str">
        <x:v>Sin error</x:v>
      </x:c>
    </x:row>
    <x:row r="1582">
      <x:c r="A1582" t="str">
        <x:v>TXN-0001581</x:v>
      </x:c>
      <x:c r="B1582" t="str">
        <x:v>2026-06</x:v>
      </x:c>
      <x:c r="C1582" t="n">
        <x:v>46183</x:v>
      </x:c>
      <x:c r="D1582" t="str">
        <x:v>USR-00563</x:v>
      </x:c>
      <x:c r="E1582" t="str">
        <x:v>SUS-000777</x:v>
      </x:c>
      <x:c r="F1582" t="str">
        <x:v>Plus mensual</x:v>
      </x:c>
      <x:c r="G1582" t="str">
        <x:v>Mensual</x:v>
      </x:c>
      <x:c r="H1582" t="n">
        <x:v>1</x:v>
      </x:c>
      <x:c r="I1582" t="str">
        <x:v>Aprobado</x:v>
      </x:c>
      <x:c r="J1582" t="n">
        <x:v>29900</x:v>
      </x:c>
      <x:c r="K1582" t="str">
        <x:v>Tarjeta débito</x:v>
      </x:c>
      <x:c r="L1582" t="str">
        <x:v>Sin error</x:v>
      </x:c>
    </x:row>
    <x:row r="1583">
      <x:c r="A1583" t="str">
        <x:v>TXN-0001582</x:v>
      </x:c>
      <x:c r="B1583" t="str">
        <x:v>2026-06</x:v>
      </x:c>
      <x:c r="C1583" t="n">
        <x:v>46181</x:v>
      </x:c>
      <x:c r="D1583" t="str">
        <x:v>USR-00565</x:v>
      </x:c>
      <x:c r="E1583" t="str">
        <x:v>SUS-001138</x:v>
      </x:c>
      <x:c r="F1583" t="str">
        <x:v>Plus mensual</x:v>
      </x:c>
      <x:c r="G1583" t="str">
        <x:v>Mensual</x:v>
      </x:c>
      <x:c r="H1583" t="n">
        <x:v>1</x:v>
      </x:c>
      <x:c r="I1583" t="str">
        <x:v>Aprobado</x:v>
      </x:c>
      <x:c r="J1583" t="n">
        <x:v>29900</x:v>
      </x:c>
      <x:c r="K1583" t="str">
        <x:v>Tarjeta débito</x:v>
      </x:c>
      <x:c r="L1583" t="str">
        <x:v>Sin error</x:v>
      </x:c>
    </x:row>
    <x:row r="1584">
      <x:c r="A1584" t="str">
        <x:v>TXN-0001583</x:v>
      </x:c>
      <x:c r="B1584" t="str">
        <x:v>2026-06</x:v>
      </x:c>
      <x:c r="C1584" t="n">
        <x:v>46185</x:v>
      </x:c>
      <x:c r="D1584" t="str">
        <x:v>USR-00567</x:v>
      </x:c>
      <x:c r="E1584" t="str">
        <x:v>SUS-000999</x:v>
      </x:c>
      <x:c r="F1584" t="str">
        <x:v>Plus mensual</x:v>
      </x:c>
      <x:c r="G1584" t="str">
        <x:v>Mensual</x:v>
      </x:c>
      <x:c r="H1584" t="n">
        <x:v>1</x:v>
      </x:c>
      <x:c r="I1584" t="str">
        <x:v>Aprobado</x:v>
      </x:c>
      <x:c r="J1584" t="n">
        <x:v>29900</x:v>
      </x:c>
      <x:c r="K1584" t="str">
        <x:v>Tarjeta crédito</x:v>
      </x:c>
      <x:c r="L1584" t="str">
        <x:v>Sin error</x:v>
      </x:c>
    </x:row>
    <x:row r="1585">
      <x:c r="A1585" t="str">
        <x:v>TXN-0001584</x:v>
      </x:c>
      <x:c r="B1585" t="str">
        <x:v>2026-06</x:v>
      </x:c>
      <x:c r="C1585" t="n">
        <x:v>46179</x:v>
      </x:c>
      <x:c r="D1585" t="str">
        <x:v>USR-00571</x:v>
      </x:c>
      <x:c r="E1585" t="str">
        <x:v>SUS-001285</x:v>
      </x:c>
      <x:c r="F1585" t="str">
        <x:v>Plus mensual</x:v>
      </x:c>
      <x:c r="G1585" t="str">
        <x:v>Mensual</x:v>
      </x:c>
      <x:c r="H1585" t="n">
        <x:v>1</x:v>
      </x:c>
      <x:c r="I1585" t="str">
        <x:v>Aprobado</x:v>
      </x:c>
      <x:c r="J1585" t="n">
        <x:v>29900</x:v>
      </x:c>
      <x:c r="K1585" t="str">
        <x:v>Tarjeta crédito</x:v>
      </x:c>
      <x:c r="L1585" t="str">
        <x:v>Sin error</x:v>
      </x:c>
    </x:row>
    <x:row r="1586">
      <x:c r="A1586" t="str">
        <x:v>TXN-0001585</x:v>
      </x:c>
      <x:c r="B1586" t="str">
        <x:v>2026-06</x:v>
      </x:c>
      <x:c r="C1586" t="n">
        <x:v>46183</x:v>
      </x:c>
      <x:c r="D1586" t="str">
        <x:v>USR-00587</x:v>
      </x:c>
      <x:c r="E1586" t="str">
        <x:v>SUS-000801</x:v>
      </x:c>
      <x:c r="F1586" t="str">
        <x:v>Plus mensual</x:v>
      </x:c>
      <x:c r="G1586" t="str">
        <x:v>Mensual</x:v>
      </x:c>
      <x:c r="H1586" t="n">
        <x:v>1</x:v>
      </x:c>
      <x:c r="I1586" t="str">
        <x:v>Rechazado</x:v>
      </x:c>
      <x:c r="J1586" t="n">
        <x:v>29900</x:v>
      </x:c>
      <x:c r="K1586" t="str">
        <x:v>PSE</x:v>
      </x:c>
      <x:c r="L1586" t="str">
        <x:v>Fondos insuficientes</x:v>
      </x:c>
    </x:row>
    <x:row r="1587">
      <x:c r="A1587" t="str">
        <x:v>TXN-0001586</x:v>
      </x:c>
      <x:c r="B1587" t="str">
        <x:v>2026-06</x:v>
      </x:c>
      <x:c r="C1587" t="n">
        <x:v>46178</x:v>
      </x:c>
      <x:c r="D1587" t="str">
        <x:v>USR-00587</x:v>
      </x:c>
      <x:c r="E1587" t="str">
        <x:v>SUS-000801</x:v>
      </x:c>
      <x:c r="F1587" t="str">
        <x:v>Plus mensual</x:v>
      </x:c>
      <x:c r="G1587" t="str">
        <x:v>Mensual</x:v>
      </x:c>
      <x:c r="H1587" t="n">
        <x:v>2</x:v>
      </x:c>
      <x:c r="I1587" t="str">
        <x:v>Aprobado</x:v>
      </x:c>
      <x:c r="J1587" t="n">
        <x:v>29900</x:v>
      </x:c>
      <x:c r="K1587" t="str">
        <x:v>PSE</x:v>
      </x:c>
      <x:c r="L1587" t="str">
        <x:v>Sin error</x:v>
      </x:c>
    </x:row>
    <x:row r="1588">
      <x:c r="A1588" t="str">
        <x:v>TXN-0001587</x:v>
      </x:c>
      <x:c r="B1588" t="str">
        <x:v>2026-06</x:v>
      </x:c>
      <x:c r="C1588" t="n">
        <x:v>46178</x:v>
      </x:c>
      <x:c r="D1588" t="str">
        <x:v>USR-00592</x:v>
      </x:c>
      <x:c r="E1588" t="str">
        <x:v>SUS-001001</x:v>
      </x:c>
      <x:c r="F1588" t="str">
        <x:v>Plus mensual</x:v>
      </x:c>
      <x:c r="G1588" t="str">
        <x:v>Mensual</x:v>
      </x:c>
      <x:c r="H1588" t="n">
        <x:v>1</x:v>
      </x:c>
      <x:c r="I1588" t="str">
        <x:v>Aprobado</x:v>
      </x:c>
      <x:c r="J1588" t="n">
        <x:v>29900</x:v>
      </x:c>
      <x:c r="K1588" t="str">
        <x:v>PSE</x:v>
      </x:c>
      <x:c r="L1588" t="str">
        <x:v>Sin error</x:v>
      </x:c>
    </x:row>
    <x:row r="1589">
      <x:c r="A1589" t="str">
        <x:v>TXN-0001588</x:v>
      </x:c>
      <x:c r="B1589" t="str">
        <x:v>2026-06</x:v>
      </x:c>
      <x:c r="C1589" t="n">
        <x:v>46185</x:v>
      </x:c>
      <x:c r="D1589" t="str">
        <x:v>USR-00602</x:v>
      </x:c>
      <x:c r="E1589" t="str">
        <x:v>SUS-000816</x:v>
      </x:c>
      <x:c r="F1589" t="str">
        <x:v>Plus mensual</x:v>
      </x:c>
      <x:c r="G1589" t="str">
        <x:v>Mensual</x:v>
      </x:c>
      <x:c r="H1589" t="n">
        <x:v>1</x:v>
      </x:c>
      <x:c r="I1589" t="str">
        <x:v>Aprobado</x:v>
      </x:c>
      <x:c r="J1589" t="n">
        <x:v>29900</x:v>
      </x:c>
      <x:c r="K1589" t="str">
        <x:v>Tarjeta débito</x:v>
      </x:c>
      <x:c r="L1589" t="str">
        <x:v>Sin error</x:v>
      </x:c>
    </x:row>
    <x:row r="1590">
      <x:c r="A1590" t="str">
        <x:v>TXN-0001589</x:v>
      </x:c>
      <x:c r="B1590" t="str">
        <x:v>2026-06</x:v>
      </x:c>
      <x:c r="C1590" t="n">
        <x:v>46183</x:v>
      </x:c>
      <x:c r="D1590" t="str">
        <x:v>USR-00603</x:v>
      </x:c>
      <x:c r="E1590" t="str">
        <x:v>SUS-001286</x:v>
      </x:c>
      <x:c r="F1590" t="str">
        <x:v>Plus mensual</x:v>
      </x:c>
      <x:c r="G1590" t="str">
        <x:v>Mensual</x:v>
      </x:c>
      <x:c r="H1590" t="n">
        <x:v>1</x:v>
      </x:c>
      <x:c r="I1590" t="str">
        <x:v>Rechazado</x:v>
      </x:c>
      <x:c r="J1590" t="n">
        <x:v>29900</x:v>
      </x:c>
      <x:c r="K1590" t="str">
        <x:v>Tarjeta débito</x:v>
      </x:c>
      <x:c r="L1590" t="str">
        <x:v>Declinado por entidad</x:v>
      </x:c>
    </x:row>
    <x:row r="1591">
      <x:c r="A1591" t="str">
        <x:v>TXN-0001590</x:v>
      </x:c>
      <x:c r="B1591" t="str">
        <x:v>2026-06</x:v>
      </x:c>
      <x:c r="C1591" t="n">
        <x:v>46183</x:v>
      </x:c>
      <x:c r="D1591" t="str">
        <x:v>USR-00603</x:v>
      </x:c>
      <x:c r="E1591" t="str">
        <x:v>SUS-001286</x:v>
      </x:c>
      <x:c r="F1591" t="str">
        <x:v>Plus mensual</x:v>
      </x:c>
      <x:c r="G1591" t="str">
        <x:v>Mensual</x:v>
      </x:c>
      <x:c r="H1591" t="n">
        <x:v>2</x:v>
      </x:c>
      <x:c r="I1591" t="str">
        <x:v>Aprobado</x:v>
      </x:c>
      <x:c r="J1591" t="n">
        <x:v>29900</x:v>
      </x:c>
      <x:c r="K1591" t="str">
        <x:v>Tarjeta crédito</x:v>
      </x:c>
      <x:c r="L1591" t="str">
        <x:v>Sin error</x:v>
      </x:c>
    </x:row>
    <x:row r="1592">
      <x:c r="A1592" t="str">
        <x:v>TXN-0001591</x:v>
      </x:c>
      <x:c r="B1592" t="str">
        <x:v>2026-06</x:v>
      </x:c>
      <x:c r="C1592" t="n">
        <x:v>46184</x:v>
      </x:c>
      <x:c r="D1592" t="str">
        <x:v>USR-00614</x:v>
      </x:c>
      <x:c r="E1592" t="str">
        <x:v>SUS-000885</x:v>
      </x:c>
      <x:c r="F1592" t="str">
        <x:v>Plus mensual</x:v>
      </x:c>
      <x:c r="G1592" t="str">
        <x:v>Mensual</x:v>
      </x:c>
      <x:c r="H1592" t="n">
        <x:v>1</x:v>
      </x:c>
      <x:c r="I1592" t="str">
        <x:v>Aprobado</x:v>
      </x:c>
      <x:c r="J1592" t="n">
        <x:v>29900</x:v>
      </x:c>
      <x:c r="K1592" t="str">
        <x:v>PSE</x:v>
      </x:c>
      <x:c r="L1592" t="str">
        <x:v>Sin error</x:v>
      </x:c>
    </x:row>
    <x:row r="1593">
      <x:c r="A1593" t="str">
        <x:v>TXN-0001592</x:v>
      </x:c>
      <x:c r="B1593" t="str">
        <x:v>2026-06</x:v>
      </x:c>
      <x:c r="C1593" t="n">
        <x:v>46178</x:v>
      </x:c>
      <x:c r="D1593" t="str">
        <x:v>USR-00619</x:v>
      </x:c>
      <x:c r="E1593" t="str">
        <x:v>SUS-000833</x:v>
      </x:c>
      <x:c r="F1593" t="str">
        <x:v>Plus mensual</x:v>
      </x:c>
      <x:c r="G1593" t="str">
        <x:v>Mensual</x:v>
      </x:c>
      <x:c r="H1593" t="n">
        <x:v>1</x:v>
      </x:c>
      <x:c r="I1593" t="str">
        <x:v>Aprobado</x:v>
      </x:c>
      <x:c r="J1593" t="n">
        <x:v>29900</x:v>
      </x:c>
      <x:c r="K1593" t="str">
        <x:v>Tarjeta crédito</x:v>
      </x:c>
      <x:c r="L1593" t="str">
        <x:v>Sin error</x:v>
      </x:c>
    </x:row>
    <x:row r="1594">
      <x:c r="A1594" t="str">
        <x:v>TXN-0001593</x:v>
      </x:c>
      <x:c r="B1594" t="str">
        <x:v>2026-06</x:v>
      </x:c>
      <x:c r="C1594" t="n">
        <x:v>46178</x:v>
      </x:c>
      <x:c r="D1594" t="str">
        <x:v>USR-00621</x:v>
      </x:c>
      <x:c r="E1594" t="str">
        <x:v>SUS-000835</x:v>
      </x:c>
      <x:c r="F1594" t="str">
        <x:v>Plus mensual</x:v>
      </x:c>
      <x:c r="G1594" t="str">
        <x:v>Mensual</x:v>
      </x:c>
      <x:c r="H1594" t="n">
        <x:v>1</x:v>
      </x:c>
      <x:c r="I1594" t="str">
        <x:v>Aprobado</x:v>
      </x:c>
      <x:c r="J1594" t="n">
        <x:v>29900</x:v>
      </x:c>
      <x:c r="K1594" t="str">
        <x:v>Tarjeta débito</x:v>
      </x:c>
      <x:c r="L1594" t="str">
        <x:v>Sin error</x:v>
      </x:c>
    </x:row>
    <x:row r="1595">
      <x:c r="A1595" t="str">
        <x:v>TXN-0001594</x:v>
      </x:c>
      <x:c r="B1595" t="str">
        <x:v>2026-06</x:v>
      </x:c>
      <x:c r="C1595" t="n">
        <x:v>46183</x:v>
      </x:c>
      <x:c r="D1595" t="str">
        <x:v>USR-00622</x:v>
      </x:c>
      <x:c r="E1595" t="str">
        <x:v>SUS-001287</x:v>
      </x:c>
      <x:c r="F1595" t="str">
        <x:v>Plus anual</x:v>
      </x:c>
      <x:c r="G1595" t="str">
        <x:v>Anual</x:v>
      </x:c>
      <x:c r="H1595" t="n">
        <x:v>1</x:v>
      </x:c>
      <x:c r="I1595" t="str">
        <x:v>Aprobado</x:v>
      </x:c>
      <x:c r="J1595" t="n">
        <x:v>299000</x:v>
      </x:c>
      <x:c r="K1595" t="str">
        <x:v>PSE</x:v>
      </x:c>
      <x:c r="L1595" t="str">
        <x:v>Sin error</x:v>
      </x:c>
    </x:row>
    <x:row r="1596">
      <x:c r="A1596" t="str">
        <x:v>TXN-0001595</x:v>
      </x:c>
      <x:c r="B1596" t="str">
        <x:v>2026-06</x:v>
      </x:c>
      <x:c r="C1596" t="n">
        <x:v>46180</x:v>
      </x:c>
      <x:c r="D1596" t="str">
        <x:v>USR-00625</x:v>
      </x:c>
      <x:c r="E1596" t="str">
        <x:v>SUS-000888</x:v>
      </x:c>
      <x:c r="F1596" t="str">
        <x:v>Plus mensual</x:v>
      </x:c>
      <x:c r="G1596" t="str">
        <x:v>Mensual</x:v>
      </x:c>
      <x:c r="H1596" t="n">
        <x:v>1</x:v>
      </x:c>
      <x:c r="I1596" t="str">
        <x:v>Aprobado</x:v>
      </x:c>
      <x:c r="J1596" t="n">
        <x:v>29900</x:v>
      </x:c>
      <x:c r="K1596" t="str">
        <x:v>Tarjeta débito</x:v>
      </x:c>
      <x:c r="L1596" t="str">
        <x:v>Sin error</x:v>
      </x:c>
    </x:row>
    <x:row r="1597">
      <x:c r="A1597" t="str">
        <x:v>TXN-0001596</x:v>
      </x:c>
      <x:c r="B1597" t="str">
        <x:v>2026-06</x:v>
      </x:c>
      <x:c r="C1597" t="n">
        <x:v>46178</x:v>
      </x:c>
      <x:c r="D1597" t="str">
        <x:v>USR-00626</x:v>
      </x:c>
      <x:c r="E1597" t="str">
        <x:v>SUS-000889</x:v>
      </x:c>
      <x:c r="F1597" t="str">
        <x:v>Plus mensual</x:v>
      </x:c>
      <x:c r="G1597" t="str">
        <x:v>Mensual</x:v>
      </x:c>
      <x:c r="H1597" t="n">
        <x:v>1</x:v>
      </x:c>
      <x:c r="I1597" t="str">
        <x:v>Aprobado</x:v>
      </x:c>
      <x:c r="J1597" t="n">
        <x:v>29900</x:v>
      </x:c>
      <x:c r="K1597" t="str">
        <x:v>Tarjeta débito</x:v>
      </x:c>
      <x:c r="L1597" t="str">
        <x:v>Sin error</x:v>
      </x:c>
    </x:row>
    <x:row r="1598">
      <x:c r="A1598" t="str">
        <x:v>TXN-0001597</x:v>
      </x:c>
      <x:c r="B1598" t="str">
        <x:v>2026-06</x:v>
      </x:c>
      <x:c r="C1598" t="n">
        <x:v>46183</x:v>
      </x:c>
      <x:c r="D1598" t="str">
        <x:v>USR-00629</x:v>
      </x:c>
      <x:c r="E1598" t="str">
        <x:v>SUS-001288</x:v>
      </x:c>
      <x:c r="F1598" t="str">
        <x:v>Plus mensual</x:v>
      </x:c>
      <x:c r="G1598" t="str">
        <x:v>Mensual</x:v>
      </x:c>
      <x:c r="H1598" t="n">
        <x:v>1</x:v>
      </x:c>
      <x:c r="I1598" t="str">
        <x:v>Aprobado</x:v>
      </x:c>
      <x:c r="J1598" t="n">
        <x:v>29900</x:v>
      </x:c>
      <x:c r="K1598" t="str">
        <x:v>Tarjeta débito</x:v>
      </x:c>
      <x:c r="L1598" t="str">
        <x:v>Sin error</x:v>
      </x:c>
    </x:row>
    <x:row r="1599">
      <x:c r="A1599" t="str">
        <x:v>TXN-0001598</x:v>
      </x:c>
      <x:c r="B1599" t="str">
        <x:v>2026-06</x:v>
      </x:c>
      <x:c r="C1599" t="n">
        <x:v>46184</x:v>
      </x:c>
      <x:c r="D1599" t="str">
        <x:v>USR-00636</x:v>
      </x:c>
      <x:c r="E1599" t="str">
        <x:v>SUS-001005</x:v>
      </x:c>
      <x:c r="F1599" t="str">
        <x:v>Plus mensual</x:v>
      </x:c>
      <x:c r="G1599" t="str">
        <x:v>Mensual</x:v>
      </x:c>
      <x:c r="H1599" t="n">
        <x:v>1</x:v>
      </x:c>
      <x:c r="I1599" t="str">
        <x:v>Aprobado</x:v>
      </x:c>
      <x:c r="J1599" t="n">
        <x:v>29900</x:v>
      </x:c>
      <x:c r="K1599" t="str">
        <x:v>Tarjeta crédito</x:v>
      </x:c>
      <x:c r="L1599" t="str">
        <x:v>Sin error</x:v>
      </x:c>
    </x:row>
    <x:row r="1600">
      <x:c r="A1600" t="str">
        <x:v>TXN-0001599</x:v>
      </x:c>
      <x:c r="B1600" t="str">
        <x:v>2026-06</x:v>
      </x:c>
      <x:c r="C1600" t="n">
        <x:v>46178</x:v>
      </x:c>
      <x:c r="D1600" t="str">
        <x:v>USR-00644</x:v>
      </x:c>
      <x:c r="E1600" t="str">
        <x:v>SUS-000907</x:v>
      </x:c>
      <x:c r="F1600" t="str">
        <x:v>Plus mensual</x:v>
      </x:c>
      <x:c r="G1600" t="str">
        <x:v>Mensual</x:v>
      </x:c>
      <x:c r="H1600" t="n">
        <x:v>1</x:v>
      </x:c>
      <x:c r="I1600" t="str">
        <x:v>Aprobado</x:v>
      </x:c>
      <x:c r="J1600" t="n">
        <x:v>29900</x:v>
      </x:c>
      <x:c r="K1600" t="str">
        <x:v>Tarjeta crédito</x:v>
      </x:c>
      <x:c r="L1600" t="str">
        <x:v>Sin error</x:v>
      </x:c>
    </x:row>
    <x:row r="1601">
      <x:c r="A1601" t="str">
        <x:v>TXN-0001600</x:v>
      </x:c>
      <x:c r="B1601" t="str">
        <x:v>2026-06</x:v>
      </x:c>
      <x:c r="C1601" t="n">
        <x:v>46179</x:v>
      </x:c>
      <x:c r="D1601" t="str">
        <x:v>USR-00648</x:v>
      </x:c>
      <x:c r="E1601" t="str">
        <x:v>SUS-000911</x:v>
      </x:c>
      <x:c r="F1601" t="str">
        <x:v>Plus mensual</x:v>
      </x:c>
      <x:c r="G1601" t="str">
        <x:v>Mensual</x:v>
      </x:c>
      <x:c r="H1601" t="n">
        <x:v>1</x:v>
      </x:c>
      <x:c r="I1601" t="str">
        <x:v>Aprobado</x:v>
      </x:c>
      <x:c r="J1601" t="n">
        <x:v>29900</x:v>
      </x:c>
      <x:c r="K1601" t="str">
        <x:v>Tarjeta crédito</x:v>
      </x:c>
      <x:c r="L1601" t="str">
        <x:v>Sin error</x:v>
      </x:c>
    </x:row>
    <x:row r="1602">
      <x:c r="A1602" t="str">
        <x:v>TXN-0001601</x:v>
      </x:c>
      <x:c r="B1602" t="str">
        <x:v>2026-06</x:v>
      </x:c>
      <x:c r="C1602" t="n">
        <x:v>46181</x:v>
      </x:c>
      <x:c r="D1602" t="str">
        <x:v>USR-00651</x:v>
      </x:c>
      <x:c r="E1602" t="str">
        <x:v>SUS-000914</x:v>
      </x:c>
      <x:c r="F1602" t="str">
        <x:v>Plus mensual</x:v>
      </x:c>
      <x:c r="G1602" t="str">
        <x:v>Mensual</x:v>
      </x:c>
      <x:c r="H1602" t="n">
        <x:v>1</x:v>
      </x:c>
      <x:c r="I1602" t="str">
        <x:v>Aprobado</x:v>
      </x:c>
      <x:c r="J1602" t="n">
        <x:v>29900</x:v>
      </x:c>
      <x:c r="K1602" t="str">
        <x:v>Tarjeta crédito</x:v>
      </x:c>
      <x:c r="L1602" t="str">
        <x:v>Sin error</x:v>
      </x:c>
    </x:row>
    <x:row r="1603">
      <x:c r="A1603" t="str">
        <x:v>TXN-0001602</x:v>
      </x:c>
      <x:c r="B1603" t="str">
        <x:v>2026-06</x:v>
      </x:c>
      <x:c r="C1603" t="n">
        <x:v>46184</x:v>
      </x:c>
      <x:c r="D1603" t="str">
        <x:v>USR-00653</x:v>
      </x:c>
      <x:c r="E1603" t="str">
        <x:v>SUS-001291</x:v>
      </x:c>
      <x:c r="F1603" t="str">
        <x:v>Plus mensual</x:v>
      </x:c>
      <x:c r="G1603" t="str">
        <x:v>Mensual</x:v>
      </x:c>
      <x:c r="H1603" t="n">
        <x:v>1</x:v>
      </x:c>
      <x:c r="I1603" t="str">
        <x:v>Aprobado</x:v>
      </x:c>
      <x:c r="J1603" t="n">
        <x:v>29900</x:v>
      </x:c>
      <x:c r="K1603" t="str">
        <x:v>Tarjeta débito</x:v>
      </x:c>
      <x:c r="L1603" t="str">
        <x:v>Sin error</x:v>
      </x:c>
    </x:row>
    <x:row r="1604">
      <x:c r="A1604" t="str">
        <x:v>TXN-0001603</x:v>
      </x:c>
      <x:c r="B1604" t="str">
        <x:v>2026-06</x:v>
      </x:c>
      <x:c r="C1604" t="n">
        <x:v>46179</x:v>
      </x:c>
      <x:c r="D1604" t="str">
        <x:v>USR-00654</x:v>
      </x:c>
      <x:c r="E1604" t="str">
        <x:v>SUS-000917</x:v>
      </x:c>
      <x:c r="F1604" t="str">
        <x:v>Plus mensual</x:v>
      </x:c>
      <x:c r="G1604" t="str">
        <x:v>Mensual</x:v>
      </x:c>
      <x:c r="H1604" t="n">
        <x:v>1</x:v>
      </x:c>
      <x:c r="I1604" t="str">
        <x:v>Aprobado</x:v>
      </x:c>
      <x:c r="J1604" t="n">
        <x:v>29900</x:v>
      </x:c>
      <x:c r="K1604" t="str">
        <x:v>PSE</x:v>
      </x:c>
      <x:c r="L1604" t="str">
        <x:v>Sin error</x:v>
      </x:c>
    </x:row>
    <x:row r="1605">
      <x:c r="A1605" t="str">
        <x:v>TXN-0001604</x:v>
      </x:c>
      <x:c r="B1605" t="str">
        <x:v>2026-06</x:v>
      </x:c>
      <x:c r="C1605" t="n">
        <x:v>46178</x:v>
      </x:c>
      <x:c r="D1605" t="str">
        <x:v>USR-00660</x:v>
      </x:c>
      <x:c r="E1605" t="str">
        <x:v>SUS-001292</x:v>
      </x:c>
      <x:c r="F1605" t="str">
        <x:v>Plus anual</x:v>
      </x:c>
      <x:c r="G1605" t="str">
        <x:v>Anual</x:v>
      </x:c>
      <x:c r="H1605" t="n">
        <x:v>1</x:v>
      </x:c>
      <x:c r="I1605" t="str">
        <x:v>Aprobado</x:v>
      </x:c>
      <x:c r="J1605" t="n">
        <x:v>299000</x:v>
      </x:c>
      <x:c r="K1605" t="str">
        <x:v>PSE</x:v>
      </x:c>
      <x:c r="L1605" t="str">
        <x:v>Sin error</x:v>
      </x:c>
    </x:row>
    <x:row r="1606">
      <x:c r="A1606" t="str">
        <x:v>TXN-0001605</x:v>
      </x:c>
      <x:c r="B1606" t="str">
        <x:v>2026-06</x:v>
      </x:c>
      <x:c r="C1606" t="n">
        <x:v>46185</x:v>
      </x:c>
      <x:c r="D1606" t="str">
        <x:v>USR-00661</x:v>
      </x:c>
      <x:c r="E1606" t="str">
        <x:v>SUS-001142</x:v>
      </x:c>
      <x:c r="F1606" t="str">
        <x:v>Plus mensual</x:v>
      </x:c>
      <x:c r="G1606" t="str">
        <x:v>Mensual</x:v>
      </x:c>
      <x:c r="H1606" t="n">
        <x:v>1</x:v>
      </x:c>
      <x:c r="I1606" t="str">
        <x:v>Aprobado</x:v>
      </x:c>
      <x:c r="J1606" t="n">
        <x:v>29900</x:v>
      </x:c>
      <x:c r="K1606" t="str">
        <x:v>PSE</x:v>
      </x:c>
      <x:c r="L1606" t="str">
        <x:v>Sin error</x:v>
      </x:c>
    </x:row>
    <x:row r="1607">
      <x:c r="A1607" t="str">
        <x:v>TXN-0001606</x:v>
      </x:c>
      <x:c r="B1607" t="str">
        <x:v>2026-06</x:v>
      </x:c>
      <x:c r="C1607" t="n">
        <x:v>46179</x:v>
      </x:c>
      <x:c r="D1607" t="str">
        <x:v>USR-00662</x:v>
      </x:c>
      <x:c r="E1607" t="str">
        <x:v>SUS-001293</x:v>
      </x:c>
      <x:c r="F1607" t="str">
        <x:v>Plus mensual</x:v>
      </x:c>
      <x:c r="G1607" t="str">
        <x:v>Mensual</x:v>
      </x:c>
      <x:c r="H1607" t="n">
        <x:v>1</x:v>
      </x:c>
      <x:c r="I1607" t="str">
        <x:v>Rechazado</x:v>
      </x:c>
      <x:c r="J1607" t="n">
        <x:v>29900</x:v>
      </x:c>
      <x:c r="K1607" t="str">
        <x:v>Tarjeta crédito</x:v>
      </x:c>
      <x:c r="L1607" t="str">
        <x:v>Declinado por entidad</x:v>
      </x:c>
    </x:row>
    <x:row r="1608">
      <x:c r="A1608" t="str">
        <x:v>TXN-0001607</x:v>
      </x:c>
      <x:c r="B1608" t="str">
        <x:v>2026-06</x:v>
      </x:c>
      <x:c r="C1608" t="n">
        <x:v>46182</x:v>
      </x:c>
      <x:c r="D1608" t="str">
        <x:v>USR-00662</x:v>
      </x:c>
      <x:c r="E1608" t="str">
        <x:v>SUS-001293</x:v>
      </x:c>
      <x:c r="F1608" t="str">
        <x:v>Plus mensual</x:v>
      </x:c>
      <x:c r="G1608" t="str">
        <x:v>Mensual</x:v>
      </x:c>
      <x:c r="H1608" t="n">
        <x:v>2</x:v>
      </x:c>
      <x:c r="I1608" t="str">
        <x:v>Aprobado</x:v>
      </x:c>
      <x:c r="J1608" t="n">
        <x:v>29900</x:v>
      </x:c>
      <x:c r="K1608" t="str">
        <x:v>PSE</x:v>
      </x:c>
      <x:c r="L1608" t="str">
        <x:v>Sin error</x:v>
      </x:c>
    </x:row>
    <x:row r="1609">
      <x:c r="A1609" t="str">
        <x:v>TXN-0001608</x:v>
      </x:c>
      <x:c r="B1609" t="str">
        <x:v>2026-06</x:v>
      </x:c>
      <x:c r="C1609" t="n">
        <x:v>46184</x:v>
      </x:c>
      <x:c r="D1609" t="str">
        <x:v>USR-00666</x:v>
      </x:c>
      <x:c r="E1609" t="str">
        <x:v>SUS-001009</x:v>
      </x:c>
      <x:c r="F1609" t="str">
        <x:v>Plus mensual</x:v>
      </x:c>
      <x:c r="G1609" t="str">
        <x:v>Mensual</x:v>
      </x:c>
      <x:c r="H1609" t="n">
        <x:v>1</x:v>
      </x:c>
      <x:c r="I1609" t="str">
        <x:v>Rechazado</x:v>
      </x:c>
      <x:c r="J1609" t="n">
        <x:v>29900</x:v>
      </x:c>
      <x:c r="K1609" t="str">
        <x:v>Tarjeta crédito</x:v>
      </x:c>
      <x:c r="L1609" t="str">
        <x:v>Error temporal</x:v>
      </x:c>
    </x:row>
    <x:row r="1610">
      <x:c r="A1610" t="str">
        <x:v>TXN-0001609</x:v>
      </x:c>
      <x:c r="B1610" t="str">
        <x:v>2026-06</x:v>
      </x:c>
      <x:c r="C1610" t="n">
        <x:v>46181</x:v>
      </x:c>
      <x:c r="D1610" t="str">
        <x:v>USR-00666</x:v>
      </x:c>
      <x:c r="E1610" t="str">
        <x:v>SUS-001009</x:v>
      </x:c>
      <x:c r="F1610" t="str">
        <x:v>Plus mensual</x:v>
      </x:c>
      <x:c r="G1610" t="str">
        <x:v>Mensual</x:v>
      </x:c>
      <x:c r="H1610" t="n">
        <x:v>2</x:v>
      </x:c>
      <x:c r="I1610" t="str">
        <x:v>Aprobado</x:v>
      </x:c>
      <x:c r="J1610" t="n">
        <x:v>29900</x:v>
      </x:c>
      <x:c r="K1610" t="str">
        <x:v>Tarjeta crédito</x:v>
      </x:c>
      <x:c r="L1610" t="str">
        <x:v>Sin error</x:v>
      </x:c>
    </x:row>
    <x:row r="1611">
      <x:c r="A1611" t="str">
        <x:v>TXN-0001610</x:v>
      </x:c>
      <x:c r="B1611" t="str">
        <x:v>2026-06</x:v>
      </x:c>
      <x:c r="C1611" t="n">
        <x:v>46184</x:v>
      </x:c>
      <x:c r="D1611" t="str">
        <x:v>USR-00669</x:v>
      </x:c>
      <x:c r="E1611" t="str">
        <x:v>SUS-000932</x:v>
      </x:c>
      <x:c r="F1611" t="str">
        <x:v>Plus mensual</x:v>
      </x:c>
      <x:c r="G1611" t="str">
        <x:v>Mensual</x:v>
      </x:c>
      <x:c r="H1611" t="n">
        <x:v>1</x:v>
      </x:c>
      <x:c r="I1611" t="str">
        <x:v>Rechazado</x:v>
      </x:c>
      <x:c r="J1611" t="n">
        <x:v>29900</x:v>
      </x:c>
      <x:c r="K1611" t="str">
        <x:v>Tarjeta crédito</x:v>
      </x:c>
      <x:c r="L1611" t="str">
        <x:v>Fondos insuficientes</x:v>
      </x:c>
    </x:row>
    <x:row r="1612">
      <x:c r="A1612" t="str">
        <x:v>TXN-0001611</x:v>
      </x:c>
      <x:c r="B1612" t="str">
        <x:v>2026-06</x:v>
      </x:c>
      <x:c r="C1612" t="n">
        <x:v>46181</x:v>
      </x:c>
      <x:c r="D1612" t="str">
        <x:v>USR-00669</x:v>
      </x:c>
      <x:c r="E1612" t="str">
        <x:v>SUS-000932</x:v>
      </x:c>
      <x:c r="F1612" t="str">
        <x:v>Plus mensual</x:v>
      </x:c>
      <x:c r="G1612" t="str">
        <x:v>Mensual</x:v>
      </x:c>
      <x:c r="H1612" t="n">
        <x:v>2</x:v>
      </x:c>
      <x:c r="I1612" t="str">
        <x:v>Aprobado</x:v>
      </x:c>
      <x:c r="J1612" t="n">
        <x:v>29900</x:v>
      </x:c>
      <x:c r="K1612" t="str">
        <x:v>Tarjeta crédito</x:v>
      </x:c>
      <x:c r="L1612" t="str">
        <x:v>Sin error</x:v>
      </x:c>
    </x:row>
    <x:row r="1613">
      <x:c r="A1613" t="str">
        <x:v>TXN-0001612</x:v>
      </x:c>
      <x:c r="B1613" t="str">
        <x:v>2026-06</x:v>
      </x:c>
      <x:c r="C1613" t="n">
        <x:v>46180</x:v>
      </x:c>
      <x:c r="D1613" t="str">
        <x:v>USR-00678</x:v>
      </x:c>
      <x:c r="E1613" t="str">
        <x:v>SUS-000941</x:v>
      </x:c>
      <x:c r="F1613" t="str">
        <x:v>Plus mensual</x:v>
      </x:c>
      <x:c r="G1613" t="str">
        <x:v>Mensual</x:v>
      </x:c>
      <x:c r="H1613" t="n">
        <x:v>1</x:v>
      </x:c>
      <x:c r="I1613" t="str">
        <x:v>Aprobado</x:v>
      </x:c>
      <x:c r="J1613" t="n">
        <x:v>29900</x:v>
      </x:c>
      <x:c r="K1613" t="str">
        <x:v>PSE</x:v>
      </x:c>
      <x:c r="L1613" t="str">
        <x:v>Sin error</x:v>
      </x:c>
    </x:row>
    <x:row r="1614">
      <x:c r="A1614" t="str">
        <x:v>TXN-0001613</x:v>
      </x:c>
      <x:c r="B1614" t="str">
        <x:v>2026-06</x:v>
      </x:c>
      <x:c r="C1614" t="n">
        <x:v>46179</x:v>
      </x:c>
      <x:c r="D1614" t="str">
        <x:v>USR-00687</x:v>
      </x:c>
      <x:c r="E1614" t="str">
        <x:v>SUS-001294</x:v>
      </x:c>
      <x:c r="F1614" t="str">
        <x:v>Plus mensual</x:v>
      </x:c>
      <x:c r="G1614" t="str">
        <x:v>Mensual</x:v>
      </x:c>
      <x:c r="H1614" t="n">
        <x:v>1</x:v>
      </x:c>
      <x:c r="I1614" t="str">
        <x:v>Aprobado</x:v>
      </x:c>
      <x:c r="J1614" t="n">
        <x:v>29900</x:v>
      </x:c>
      <x:c r="K1614" t="str">
        <x:v>PSE</x:v>
      </x:c>
      <x:c r="L1614" t="str">
        <x:v>Sin error</x:v>
      </x:c>
    </x:row>
    <x:row r="1615">
      <x:c r="A1615" t="str">
        <x:v>TXN-0001614</x:v>
      </x:c>
      <x:c r="B1615" t="str">
        <x:v>2026-06</x:v>
      </x:c>
      <x:c r="C1615" t="n">
        <x:v>46180</x:v>
      </x:c>
      <x:c r="D1615" t="str">
        <x:v>USR-00712</x:v>
      </x:c>
      <x:c r="E1615" t="str">
        <x:v>SUS-001147</x:v>
      </x:c>
      <x:c r="F1615" t="str">
        <x:v>Plus mensual</x:v>
      </x:c>
      <x:c r="G1615" t="str">
        <x:v>Mensual</x:v>
      </x:c>
      <x:c r="H1615" t="n">
        <x:v>1</x:v>
      </x:c>
      <x:c r="I1615" t="str">
        <x:v>Aprobado</x:v>
      </x:c>
      <x:c r="J1615" t="n">
        <x:v>29900</x:v>
      </x:c>
      <x:c r="K1615" t="str">
        <x:v>Tarjeta débito</x:v>
      </x:c>
      <x:c r="L1615" t="str">
        <x:v>Sin error</x:v>
      </x:c>
    </x:row>
    <x:row r="1616">
      <x:c r="A1616" t="str">
        <x:v>TXN-0001615</x:v>
      </x:c>
      <x:c r="B1616" t="str">
        <x:v>2026-06</x:v>
      </x:c>
      <x:c r="C1616" t="n">
        <x:v>46185</x:v>
      </x:c>
      <x:c r="D1616" t="str">
        <x:v>USR-00714</x:v>
      </x:c>
      <x:c r="E1616" t="str">
        <x:v>SUS-001027</x:v>
      </x:c>
      <x:c r="F1616" t="str">
        <x:v>Plus mensual</x:v>
      </x:c>
      <x:c r="G1616" t="str">
        <x:v>Mensual</x:v>
      </x:c>
      <x:c r="H1616" t="n">
        <x:v>1</x:v>
      </x:c>
      <x:c r="I1616" t="str">
        <x:v>Aprobado</x:v>
      </x:c>
      <x:c r="J1616" t="n">
        <x:v>29900</x:v>
      </x:c>
      <x:c r="K1616" t="str">
        <x:v>PSE</x:v>
      </x:c>
      <x:c r="L1616" t="str">
        <x:v>Sin error</x:v>
      </x:c>
    </x:row>
    <x:row r="1617">
      <x:c r="A1617" t="str">
        <x:v>TXN-0001616</x:v>
      </x:c>
      <x:c r="B1617" t="str">
        <x:v>2026-06</x:v>
      </x:c>
      <x:c r="C1617" t="n">
        <x:v>46182</x:v>
      </x:c>
      <x:c r="D1617" t="str">
        <x:v>USR-00715</x:v>
      </x:c>
      <x:c r="E1617" t="str">
        <x:v>SUS-001028</x:v>
      </x:c>
      <x:c r="F1617" t="str">
        <x:v>Plus mensual</x:v>
      </x:c>
      <x:c r="G1617" t="str">
        <x:v>Mensual</x:v>
      </x:c>
      <x:c r="H1617" t="n">
        <x:v>1</x:v>
      </x:c>
      <x:c r="I1617" t="str">
        <x:v>Aprobado</x:v>
      </x:c>
      <x:c r="J1617" t="n">
        <x:v>29900</x:v>
      </x:c>
      <x:c r="K1617" t="str">
        <x:v>Tarjeta débito</x:v>
      </x:c>
      <x:c r="L1617" t="str">
        <x:v>Sin error</x:v>
      </x:c>
    </x:row>
    <x:row r="1618">
      <x:c r="A1618" t="str">
        <x:v>TXN-0001617</x:v>
      </x:c>
      <x:c r="B1618" t="str">
        <x:v>2026-06</x:v>
      </x:c>
      <x:c r="C1618" t="n">
        <x:v>46178</x:v>
      </x:c>
      <x:c r="D1618" t="str">
        <x:v>USR-00720</x:v>
      </x:c>
      <x:c r="E1618" t="str">
        <x:v>SUS-001033</x:v>
      </x:c>
      <x:c r="F1618" t="str">
        <x:v>Plus mensual</x:v>
      </x:c>
      <x:c r="G1618" t="str">
        <x:v>Mensual</x:v>
      </x:c>
      <x:c r="H1618" t="n">
        <x:v>1</x:v>
      </x:c>
      <x:c r="I1618" t="str">
        <x:v>Aprobado</x:v>
      </x:c>
      <x:c r="J1618" t="n">
        <x:v>29900</x:v>
      </x:c>
      <x:c r="K1618" t="str">
        <x:v>Tarjeta débito</x:v>
      </x:c>
      <x:c r="L1618" t="str">
        <x:v>Sin error</x:v>
      </x:c>
    </x:row>
    <x:row r="1619">
      <x:c r="A1619" t="str">
        <x:v>TXN-0001618</x:v>
      </x:c>
      <x:c r="B1619" t="str">
        <x:v>2026-06</x:v>
      </x:c>
      <x:c r="C1619" t="n">
        <x:v>46182</x:v>
      </x:c>
      <x:c r="D1619" t="str">
        <x:v>USR-00722</x:v>
      </x:c>
      <x:c r="E1619" t="str">
        <x:v>SUS-001295</x:v>
      </x:c>
      <x:c r="F1619" t="str">
        <x:v>Plus mensual</x:v>
      </x:c>
      <x:c r="G1619" t="str">
        <x:v>Mensual</x:v>
      </x:c>
      <x:c r="H1619" t="n">
        <x:v>1</x:v>
      </x:c>
      <x:c r="I1619" t="str">
        <x:v>Aprobado</x:v>
      </x:c>
      <x:c r="J1619" t="n">
        <x:v>29900</x:v>
      </x:c>
      <x:c r="K1619" t="str">
        <x:v>Tarjeta débito</x:v>
      </x:c>
      <x:c r="L1619" t="str">
        <x:v>Sin error</x:v>
      </x:c>
    </x:row>
    <x:row r="1620">
      <x:c r="A1620" t="str">
        <x:v>TXN-0001619</x:v>
      </x:c>
      <x:c r="B1620" t="str">
        <x:v>2026-06</x:v>
      </x:c>
      <x:c r="C1620" t="n">
        <x:v>46179</x:v>
      </x:c>
      <x:c r="D1620" t="str">
        <x:v>USR-00724</x:v>
      </x:c>
      <x:c r="E1620" t="str">
        <x:v>SUS-001148</x:v>
      </x:c>
      <x:c r="F1620" t="str">
        <x:v>Plus mensual</x:v>
      </x:c>
      <x:c r="G1620" t="str">
        <x:v>Mensual</x:v>
      </x:c>
      <x:c r="H1620" t="n">
        <x:v>1</x:v>
      </x:c>
      <x:c r="I1620" t="str">
        <x:v>Aprobado</x:v>
      </x:c>
      <x:c r="J1620" t="n">
        <x:v>29900</x:v>
      </x:c>
      <x:c r="K1620" t="str">
        <x:v>PSE</x:v>
      </x:c>
      <x:c r="L1620" t="str">
        <x:v>Sin error</x:v>
      </x:c>
    </x:row>
    <x:row r="1621">
      <x:c r="A1621" t="str">
        <x:v>TXN-0001620</x:v>
      </x:c>
      <x:c r="B1621" t="str">
        <x:v>2026-06</x:v>
      </x:c>
      <x:c r="C1621" t="n">
        <x:v>46183</x:v>
      </x:c>
      <x:c r="D1621" t="str">
        <x:v>USR-00725</x:v>
      </x:c>
      <x:c r="E1621" t="str">
        <x:v>SUS-001038</x:v>
      </x:c>
      <x:c r="F1621" t="str">
        <x:v>Plus mensual</x:v>
      </x:c>
      <x:c r="G1621" t="str">
        <x:v>Mensual</x:v>
      </x:c>
      <x:c r="H1621" t="n">
        <x:v>1</x:v>
      </x:c>
      <x:c r="I1621" t="str">
        <x:v>Aprobado</x:v>
      </x:c>
      <x:c r="J1621" t="n">
        <x:v>29900</x:v>
      </x:c>
      <x:c r="K1621" t="str">
        <x:v>Tarjeta crédito</x:v>
      </x:c>
      <x:c r="L1621" t="str">
        <x:v>Sin error</x:v>
      </x:c>
    </x:row>
    <x:row r="1622">
      <x:c r="A1622" t="str">
        <x:v>TXN-0001621</x:v>
      </x:c>
      <x:c r="B1622" t="str">
        <x:v>2026-06</x:v>
      </x:c>
      <x:c r="C1622" t="n">
        <x:v>46185</x:v>
      </x:c>
      <x:c r="D1622" t="str">
        <x:v>USR-00733</x:v>
      </x:c>
      <x:c r="E1622" t="str">
        <x:v>SUS-001046</x:v>
      </x:c>
      <x:c r="F1622" t="str">
        <x:v>Plus mensual</x:v>
      </x:c>
      <x:c r="G1622" t="str">
        <x:v>Mensual</x:v>
      </x:c>
      <x:c r="H1622" t="n">
        <x:v>1</x:v>
      </x:c>
      <x:c r="I1622" t="str">
        <x:v>Aprobado</x:v>
      </x:c>
      <x:c r="J1622" t="n">
        <x:v>29900</x:v>
      </x:c>
      <x:c r="K1622" t="str">
        <x:v>PSE</x:v>
      </x:c>
      <x:c r="L1622" t="str">
        <x:v>Sin error</x:v>
      </x:c>
    </x:row>
    <x:row r="1623">
      <x:c r="A1623" t="str">
        <x:v>TXN-0001622</x:v>
      </x:c>
      <x:c r="B1623" t="str">
        <x:v>2026-06</x:v>
      </x:c>
      <x:c r="C1623" t="n">
        <x:v>46185</x:v>
      </x:c>
      <x:c r="D1623" t="str">
        <x:v>USR-00734</x:v>
      </x:c>
      <x:c r="E1623" t="str">
        <x:v>SUS-001047</x:v>
      </x:c>
      <x:c r="F1623" t="str">
        <x:v>Plus mensual</x:v>
      </x:c>
      <x:c r="G1623" t="str">
        <x:v>Mensual</x:v>
      </x:c>
      <x:c r="H1623" t="n">
        <x:v>1</x:v>
      </x:c>
      <x:c r="I1623" t="str">
        <x:v>Aprobado</x:v>
      </x:c>
      <x:c r="J1623" t="n">
        <x:v>29900</x:v>
      </x:c>
      <x:c r="K1623" t="str">
        <x:v>Tarjeta débito</x:v>
      </x:c>
      <x:c r="L1623" t="str">
        <x:v>Sin error</x:v>
      </x:c>
    </x:row>
    <x:row r="1624">
      <x:c r="A1624" t="str">
        <x:v>TXN-0001623</x:v>
      </x:c>
      <x:c r="B1624" t="str">
        <x:v>2026-06</x:v>
      </x:c>
      <x:c r="C1624" t="n">
        <x:v>46181</x:v>
      </x:c>
      <x:c r="D1624" t="str">
        <x:v>USR-00735</x:v>
      </x:c>
      <x:c r="E1624" t="str">
        <x:v>SUS-001296</x:v>
      </x:c>
      <x:c r="F1624" t="str">
        <x:v>Plus mensual</x:v>
      </x:c>
      <x:c r="G1624" t="str">
        <x:v>Mensual</x:v>
      </x:c>
      <x:c r="H1624" t="n">
        <x:v>1</x:v>
      </x:c>
      <x:c r="I1624" t="str">
        <x:v>Aprobado</x:v>
      </x:c>
      <x:c r="J1624" t="n">
        <x:v>29900</x:v>
      </x:c>
      <x:c r="K1624" t="str">
        <x:v>Tarjeta crédito</x:v>
      </x:c>
      <x:c r="L1624" t="str">
        <x:v>Sin error</x:v>
      </x:c>
    </x:row>
    <x:row r="1625">
      <x:c r="A1625" t="str">
        <x:v>TXN-0001624</x:v>
      </x:c>
      <x:c r="B1625" t="str">
        <x:v>2026-06</x:v>
      </x:c>
      <x:c r="C1625" t="n">
        <x:v>46184</x:v>
      </x:c>
      <x:c r="D1625" t="str">
        <x:v>USR-00736</x:v>
      </x:c>
      <x:c r="E1625" t="str">
        <x:v>SUS-001049</x:v>
      </x:c>
      <x:c r="F1625" t="str">
        <x:v>Plus mensual</x:v>
      </x:c>
      <x:c r="G1625" t="str">
        <x:v>Mensual</x:v>
      </x:c>
      <x:c r="H1625" t="n">
        <x:v>1</x:v>
      </x:c>
      <x:c r="I1625" t="str">
        <x:v>Aprobado</x:v>
      </x:c>
      <x:c r="J1625" t="n">
        <x:v>29900</x:v>
      </x:c>
      <x:c r="K1625" t="str">
        <x:v>Tarjeta débito</x:v>
      </x:c>
      <x:c r="L1625" t="str">
        <x:v>Sin error</x:v>
      </x:c>
    </x:row>
    <x:row r="1626">
      <x:c r="A1626" t="str">
        <x:v>TXN-0001625</x:v>
      </x:c>
      <x:c r="B1626" t="str">
        <x:v>2026-06</x:v>
      </x:c>
      <x:c r="C1626" t="n">
        <x:v>46180</x:v>
      </x:c>
      <x:c r="D1626" t="str">
        <x:v>USR-00741</x:v>
      </x:c>
      <x:c r="E1626" t="str">
        <x:v>SUS-001054</x:v>
      </x:c>
      <x:c r="F1626" t="str">
        <x:v>Plus mensual</x:v>
      </x:c>
      <x:c r="G1626" t="str">
        <x:v>Mensual</x:v>
      </x:c>
      <x:c r="H1626" t="n">
        <x:v>1</x:v>
      </x:c>
      <x:c r="I1626" t="str">
        <x:v>Aprobado</x:v>
      </x:c>
      <x:c r="J1626" t="n">
        <x:v>29900</x:v>
      </x:c>
      <x:c r="K1626" t="str">
        <x:v>Tarjeta crédito</x:v>
      </x:c>
      <x:c r="L1626" t="str">
        <x:v>Sin error</x:v>
      </x:c>
    </x:row>
    <x:row r="1627">
      <x:c r="A1627" t="str">
        <x:v>TXN-0001626</x:v>
      </x:c>
      <x:c r="B1627" t="str">
        <x:v>2026-06</x:v>
      </x:c>
      <x:c r="C1627" t="n">
        <x:v>46185</x:v>
      </x:c>
      <x:c r="D1627" t="str">
        <x:v>USR-00743</x:v>
      </x:c>
      <x:c r="E1627" t="str">
        <x:v>SUS-001056</x:v>
      </x:c>
      <x:c r="F1627" t="str">
        <x:v>Plus mensual</x:v>
      </x:c>
      <x:c r="G1627" t="str">
        <x:v>Mensual</x:v>
      </x:c>
      <x:c r="H1627" t="n">
        <x:v>1</x:v>
      </x:c>
      <x:c r="I1627" t="str">
        <x:v>Aprobado</x:v>
      </x:c>
      <x:c r="J1627" t="n">
        <x:v>29900</x:v>
      </x:c>
      <x:c r="K1627" t="str">
        <x:v>PSE</x:v>
      </x:c>
      <x:c r="L1627" t="str">
        <x:v>Sin error</x:v>
      </x:c>
    </x:row>
    <x:row r="1628">
      <x:c r="A1628" t="str">
        <x:v>TXN-0001627</x:v>
      </x:c>
      <x:c r="B1628" t="str">
        <x:v>2026-06</x:v>
      </x:c>
      <x:c r="C1628" t="n">
        <x:v>46185</x:v>
      </x:c>
      <x:c r="D1628" t="str">
        <x:v>USR-00751</x:v>
      </x:c>
      <x:c r="E1628" t="str">
        <x:v>SUS-001064</x:v>
      </x:c>
      <x:c r="F1628" t="str">
        <x:v>Plus mensual</x:v>
      </x:c>
      <x:c r="G1628" t="str">
        <x:v>Mensual</x:v>
      </x:c>
      <x:c r="H1628" t="n">
        <x:v>1</x:v>
      </x:c>
      <x:c r="I1628" t="str">
        <x:v>Aprobado</x:v>
      </x:c>
      <x:c r="J1628" t="n">
        <x:v>29900</x:v>
      </x:c>
      <x:c r="K1628" t="str">
        <x:v>PSE</x:v>
      </x:c>
      <x:c r="L1628" t="str">
        <x:v>Sin error</x:v>
      </x:c>
    </x:row>
    <x:row r="1629">
      <x:c r="A1629" t="str">
        <x:v>TXN-0001628</x:v>
      </x:c>
      <x:c r="B1629" t="str">
        <x:v>2026-06</x:v>
      </x:c>
      <x:c r="C1629" t="n">
        <x:v>46179</x:v>
      </x:c>
      <x:c r="D1629" t="str">
        <x:v>USR-00760</x:v>
      </x:c>
      <x:c r="E1629" t="str">
        <x:v>SUS-001297</x:v>
      </x:c>
      <x:c r="F1629" t="str">
        <x:v>Plus mensual</x:v>
      </x:c>
      <x:c r="G1629" t="str">
        <x:v>Mensual</x:v>
      </x:c>
      <x:c r="H1629" t="n">
        <x:v>1</x:v>
      </x:c>
      <x:c r="I1629" t="str">
        <x:v>Aprobado</x:v>
      </x:c>
      <x:c r="J1629" t="n">
        <x:v>29900</x:v>
      </x:c>
      <x:c r="K1629" t="str">
        <x:v>Tarjeta crédito</x:v>
      </x:c>
      <x:c r="L1629" t="str">
        <x:v>Sin error</x:v>
      </x:c>
    </x:row>
    <x:row r="1630">
      <x:c r="A1630" t="str">
        <x:v>TXN-0001629</x:v>
      </x:c>
      <x:c r="B1630" t="str">
        <x:v>2026-06</x:v>
      </x:c>
      <x:c r="C1630" t="n">
        <x:v>46182</x:v>
      </x:c>
      <x:c r="D1630" t="str">
        <x:v>USR-00767</x:v>
      </x:c>
      <x:c r="E1630" t="str">
        <x:v>SUS-001080</x:v>
      </x:c>
      <x:c r="F1630" t="str">
        <x:v>Plus mensual</x:v>
      </x:c>
      <x:c r="G1630" t="str">
        <x:v>Mensual</x:v>
      </x:c>
      <x:c r="H1630" t="n">
        <x:v>1</x:v>
      </x:c>
      <x:c r="I1630" t="str">
        <x:v>Aprobado</x:v>
      </x:c>
      <x:c r="J1630" t="n">
        <x:v>29900</x:v>
      </x:c>
      <x:c r="K1630" t="str">
        <x:v>Tarjeta crédito</x:v>
      </x:c>
      <x:c r="L1630" t="str">
        <x:v>Sin error</x:v>
      </x:c>
    </x:row>
    <x:row r="1631">
      <x:c r="A1631" t="str">
        <x:v>TXN-0001630</x:v>
      </x:c>
      <x:c r="B1631" t="str">
        <x:v>2026-06</x:v>
      </x:c>
      <x:c r="C1631" t="n">
        <x:v>46180</x:v>
      </x:c>
      <x:c r="D1631" t="str">
        <x:v>USR-00768</x:v>
      </x:c>
      <x:c r="E1631" t="str">
        <x:v>SUS-001081</x:v>
      </x:c>
      <x:c r="F1631" t="str">
        <x:v>Plus mensual</x:v>
      </x:c>
      <x:c r="G1631" t="str">
        <x:v>Mensual</x:v>
      </x:c>
      <x:c r="H1631" t="n">
        <x:v>1</x:v>
      </x:c>
      <x:c r="I1631" t="str">
        <x:v>Aprobado</x:v>
      </x:c>
      <x:c r="J1631" t="n">
        <x:v>29900</x:v>
      </x:c>
      <x:c r="K1631" t="str">
        <x:v>Tarjeta crédito</x:v>
      </x:c>
      <x:c r="L1631" t="str">
        <x:v>Sin error</x:v>
      </x:c>
    </x:row>
    <x:row r="1632">
      <x:c r="A1632" t="str">
        <x:v>TXN-0001631</x:v>
      </x:c>
      <x:c r="B1632" t="str">
        <x:v>2026-06</x:v>
      </x:c>
      <x:c r="C1632" t="n">
        <x:v>46185</x:v>
      </x:c>
      <x:c r="D1632" t="str">
        <x:v>USR-00775</x:v>
      </x:c>
      <x:c r="E1632" t="str">
        <x:v>SUS-001088</x:v>
      </x:c>
      <x:c r="F1632" t="str">
        <x:v>Plus mensual</x:v>
      </x:c>
      <x:c r="G1632" t="str">
        <x:v>Mensual</x:v>
      </x:c>
      <x:c r="H1632" t="n">
        <x:v>1</x:v>
      </x:c>
      <x:c r="I1632" t="str">
        <x:v>Aprobado</x:v>
      </x:c>
      <x:c r="J1632" t="n">
        <x:v>29900</x:v>
      </x:c>
      <x:c r="K1632" t="str">
        <x:v>PSE</x:v>
      </x:c>
      <x:c r="L1632" t="str">
        <x:v>Sin error</x:v>
      </x:c>
    </x:row>
    <x:row r="1633">
      <x:c r="A1633" t="str">
        <x:v>TXN-0001632</x:v>
      </x:c>
      <x:c r="B1633" t="str">
        <x:v>2026-06</x:v>
      </x:c>
      <x:c r="C1633" t="n">
        <x:v>46178</x:v>
      </x:c>
      <x:c r="D1633" t="str">
        <x:v>USR-00778</x:v>
      </x:c>
      <x:c r="E1633" t="str">
        <x:v>SUS-001298</x:v>
      </x:c>
      <x:c r="F1633" t="str">
        <x:v>Plus anual</x:v>
      </x:c>
      <x:c r="G1633" t="str">
        <x:v>Anual</x:v>
      </x:c>
      <x:c r="H1633" t="n">
        <x:v>1</x:v>
      </x:c>
      <x:c r="I1633" t="str">
        <x:v>Aprobado</x:v>
      </x:c>
      <x:c r="J1633" t="n">
        <x:v>299000</x:v>
      </x:c>
      <x:c r="K1633" t="str">
        <x:v>Tarjeta débito</x:v>
      </x:c>
      <x:c r="L1633" t="str">
        <x:v>Sin error</x:v>
      </x:c>
    </x:row>
    <x:row r="1634">
      <x:c r="A1634" t="str">
        <x:v>TXN-0001633</x:v>
      </x:c>
      <x:c r="B1634" t="str">
        <x:v>2026-06</x:v>
      </x:c>
      <x:c r="C1634" t="n">
        <x:v>46185</x:v>
      </x:c>
      <x:c r="D1634" t="str">
        <x:v>USR-00783</x:v>
      </x:c>
      <x:c r="E1634" t="str">
        <x:v>SUS-001096</x:v>
      </x:c>
      <x:c r="F1634" t="str">
        <x:v>Plus mensual</x:v>
      </x:c>
      <x:c r="G1634" t="str">
        <x:v>Mensual</x:v>
      </x:c>
      <x:c r="H1634" t="n">
        <x:v>1</x:v>
      </x:c>
      <x:c r="I1634" t="str">
        <x:v>Aprobado</x:v>
      </x:c>
      <x:c r="J1634" t="n">
        <x:v>29900</x:v>
      </x:c>
      <x:c r="K1634" t="str">
        <x:v>PSE</x:v>
      </x:c>
      <x:c r="L1634" t="str">
        <x:v>Sin error</x:v>
      </x:c>
    </x:row>
    <x:row r="1635">
      <x:c r="A1635" t="str">
        <x:v>TXN-0001634</x:v>
      </x:c>
      <x:c r="B1635" t="str">
        <x:v>2026-06</x:v>
      </x:c>
      <x:c r="C1635" t="n">
        <x:v>46178</x:v>
      </x:c>
      <x:c r="D1635" t="str">
        <x:v>USR-00785</x:v>
      </x:c>
      <x:c r="E1635" t="str">
        <x:v>SUS-001098</x:v>
      </x:c>
      <x:c r="F1635" t="str">
        <x:v>Plus mensual</x:v>
      </x:c>
      <x:c r="G1635" t="str">
        <x:v>Mensual</x:v>
      </x:c>
      <x:c r="H1635" t="n">
        <x:v>1</x:v>
      </x:c>
      <x:c r="I1635" t="str">
        <x:v>Aprobado</x:v>
      </x:c>
      <x:c r="J1635" t="n">
        <x:v>29900</x:v>
      </x:c>
      <x:c r="K1635" t="str">
        <x:v>PSE</x:v>
      </x:c>
      <x:c r="L1635" t="str">
        <x:v>Sin error</x:v>
      </x:c>
    </x:row>
    <x:row r="1636">
      <x:c r="A1636" t="str">
        <x:v>TXN-0001635</x:v>
      </x:c>
      <x:c r="B1636" t="str">
        <x:v>2026-06</x:v>
      </x:c>
      <x:c r="C1636" t="n">
        <x:v>46181</x:v>
      </x:c>
      <x:c r="D1636" t="str">
        <x:v>USR-00787</x:v>
      </x:c>
      <x:c r="E1636" t="str">
        <x:v>SUS-001155</x:v>
      </x:c>
      <x:c r="F1636" t="str">
        <x:v>Plus mensual</x:v>
      </x:c>
      <x:c r="G1636" t="str">
        <x:v>Mensual</x:v>
      </x:c>
      <x:c r="H1636" t="n">
        <x:v>1</x:v>
      </x:c>
      <x:c r="I1636" t="str">
        <x:v>Rechazado</x:v>
      </x:c>
      <x:c r="J1636" t="n">
        <x:v>29900</x:v>
      </x:c>
      <x:c r="K1636" t="str">
        <x:v>PSE</x:v>
      </x:c>
      <x:c r="L1636" t="str">
        <x:v>Fondos insuficientes</x:v>
      </x:c>
    </x:row>
    <x:row r="1637">
      <x:c r="A1637" t="str">
        <x:v>TXN-0001636</x:v>
      </x:c>
      <x:c r="B1637" t="str">
        <x:v>2026-06</x:v>
      </x:c>
      <x:c r="C1637" t="n">
        <x:v>46181</x:v>
      </x:c>
      <x:c r="D1637" t="str">
        <x:v>USR-00787</x:v>
      </x:c>
      <x:c r="E1637" t="str">
        <x:v>SUS-001155</x:v>
      </x:c>
      <x:c r="F1637" t="str">
        <x:v>Plus mensual</x:v>
      </x:c>
      <x:c r="G1637" t="str">
        <x:v>Mensual</x:v>
      </x:c>
      <x:c r="H1637" t="n">
        <x:v>2</x:v>
      </x:c>
      <x:c r="I1637" t="str">
        <x:v>Aprobado</x:v>
      </x:c>
      <x:c r="J1637" t="n">
        <x:v>29900</x:v>
      </x:c>
      <x:c r="K1637" t="str">
        <x:v>Tarjeta crédito</x:v>
      </x:c>
      <x:c r="L1637" t="str">
        <x:v>Sin error</x:v>
      </x:c>
    </x:row>
    <x:row r="1638">
      <x:c r="A1638" t="str">
        <x:v>TXN-0001637</x:v>
      </x:c>
      <x:c r="B1638" t="str">
        <x:v>2026-06</x:v>
      </x:c>
      <x:c r="C1638" t="n">
        <x:v>46178</x:v>
      </x:c>
      <x:c r="D1638" t="str">
        <x:v>USR-00790</x:v>
      </x:c>
      <x:c r="E1638" t="str">
        <x:v>SUS-001158</x:v>
      </x:c>
      <x:c r="F1638" t="str">
        <x:v>Plus mensual</x:v>
      </x:c>
      <x:c r="G1638" t="str">
        <x:v>Mensual</x:v>
      </x:c>
      <x:c r="H1638" t="n">
        <x:v>1</x:v>
      </x:c>
      <x:c r="I1638" t="str">
        <x:v>Aprobado</x:v>
      </x:c>
      <x:c r="J1638" t="n">
        <x:v>29900</x:v>
      </x:c>
      <x:c r="K1638" t="str">
        <x:v>Tarjeta crédito</x:v>
      </x:c>
      <x:c r="L1638" t="str">
        <x:v>Sin error</x:v>
      </x:c>
    </x:row>
    <x:row r="1639">
      <x:c r="A1639" t="str">
        <x:v>TXN-0001638</x:v>
      </x:c>
      <x:c r="B1639" t="str">
        <x:v>2026-06</x:v>
      </x:c>
      <x:c r="C1639" t="n">
        <x:v>46184</x:v>
      </x:c>
      <x:c r="D1639" t="str">
        <x:v>USR-00797</x:v>
      </x:c>
      <x:c r="E1639" t="str">
        <x:v>SUS-001299</x:v>
      </x:c>
      <x:c r="F1639" t="str">
        <x:v>Plus anual</x:v>
      </x:c>
      <x:c r="G1639" t="str">
        <x:v>Anual</x:v>
      </x:c>
      <x:c r="H1639" t="n">
        <x:v>1</x:v>
      </x:c>
      <x:c r="I1639" t="str">
        <x:v>Aprobado</x:v>
      </x:c>
      <x:c r="J1639" t="n">
        <x:v>299000</x:v>
      </x:c>
      <x:c r="K1639" t="str">
        <x:v>PSE</x:v>
      </x:c>
      <x:c r="L1639" t="str">
        <x:v>Sin error</x:v>
      </x:c>
    </x:row>
    <x:row r="1640">
      <x:c r="A1640" t="str">
        <x:v>TXN-0001639</x:v>
      </x:c>
      <x:c r="B1640" t="str">
        <x:v>2026-06</x:v>
      </x:c>
      <x:c r="C1640" t="n">
        <x:v>46182</x:v>
      </x:c>
      <x:c r="D1640" t="str">
        <x:v>USR-00798</x:v>
      </x:c>
      <x:c r="E1640" t="str">
        <x:v>SUS-001166</x:v>
      </x:c>
      <x:c r="F1640" t="str">
        <x:v>Plus mensual</x:v>
      </x:c>
      <x:c r="G1640" t="str">
        <x:v>Mensual</x:v>
      </x:c>
      <x:c r="H1640" t="n">
        <x:v>1</x:v>
      </x:c>
      <x:c r="I1640" t="str">
        <x:v>Aprobado</x:v>
      </x:c>
      <x:c r="J1640" t="n">
        <x:v>29900</x:v>
      </x:c>
      <x:c r="K1640" t="str">
        <x:v>Tarjeta débito</x:v>
      </x:c>
      <x:c r="L1640" t="str">
        <x:v>Sin error</x:v>
      </x:c>
    </x:row>
    <x:row r="1641">
      <x:c r="A1641" t="str">
        <x:v>TXN-0001640</x:v>
      </x:c>
      <x:c r="B1641" t="str">
        <x:v>2026-06</x:v>
      </x:c>
      <x:c r="C1641" t="n">
        <x:v>46182</x:v>
      </x:c>
      <x:c r="D1641" t="str">
        <x:v>USR-00813</x:v>
      </x:c>
      <x:c r="E1641" t="str">
        <x:v>SUS-001181</x:v>
      </x:c>
      <x:c r="F1641" t="str">
        <x:v>Plus mensual</x:v>
      </x:c>
      <x:c r="G1641" t="str">
        <x:v>Mensual</x:v>
      </x:c>
      <x:c r="H1641" t="n">
        <x:v>1</x:v>
      </x:c>
      <x:c r="I1641" t="str">
        <x:v>Aprobado</x:v>
      </x:c>
      <x:c r="J1641" t="n">
        <x:v>29900</x:v>
      </x:c>
      <x:c r="K1641" t="str">
        <x:v>Tarjeta crédito</x:v>
      </x:c>
      <x:c r="L1641" t="str">
        <x:v>Sin error</x:v>
      </x:c>
    </x:row>
    <x:row r="1642">
      <x:c r="A1642" t="str">
        <x:v>TXN-0001641</x:v>
      </x:c>
      <x:c r="B1642" t="str">
        <x:v>2026-06</x:v>
      </x:c>
      <x:c r="C1642" t="n">
        <x:v>46182</x:v>
      </x:c>
      <x:c r="D1642" t="str">
        <x:v>USR-00821</x:v>
      </x:c>
      <x:c r="E1642" t="str">
        <x:v>SUS-001300</x:v>
      </x:c>
      <x:c r="F1642" t="str">
        <x:v>Plus anual</x:v>
      </x:c>
      <x:c r="G1642" t="str">
        <x:v>Anual</x:v>
      </x:c>
      <x:c r="H1642" t="n">
        <x:v>1</x:v>
      </x:c>
      <x:c r="I1642" t="str">
        <x:v>Aprobado</x:v>
      </x:c>
      <x:c r="J1642" t="n">
        <x:v>299000</x:v>
      </x:c>
      <x:c r="K1642" t="str">
        <x:v>PSE</x:v>
      </x:c>
      <x:c r="L1642" t="str">
        <x:v>Sin error</x:v>
      </x:c>
    </x:row>
    <x:row r="1643">
      <x:c r="A1643" t="str">
        <x:v>TXN-0001642</x:v>
      </x:c>
      <x:c r="B1643" t="str">
        <x:v>2026-06</x:v>
      </x:c>
      <x:c r="C1643" t="n">
        <x:v>46185</x:v>
      </x:c>
      <x:c r="D1643" t="str">
        <x:v>USR-00824</x:v>
      </x:c>
      <x:c r="E1643" t="str">
        <x:v>SUS-001192</x:v>
      </x:c>
      <x:c r="F1643" t="str">
        <x:v>Plus mensual</x:v>
      </x:c>
      <x:c r="G1643" t="str">
        <x:v>Mensual</x:v>
      </x:c>
      <x:c r="H1643" t="n">
        <x:v>1</x:v>
      </x:c>
      <x:c r="I1643" t="str">
        <x:v>Aprobado</x:v>
      </x:c>
      <x:c r="J1643" t="n">
        <x:v>29900</x:v>
      </x:c>
      <x:c r="K1643" t="str">
        <x:v>PSE</x:v>
      </x:c>
      <x:c r="L1643" t="str">
        <x:v>Sin error</x:v>
      </x:c>
    </x:row>
    <x:row r="1644">
      <x:c r="A1644" t="str">
        <x:v>TXN-0001643</x:v>
      </x:c>
      <x:c r="B1644" t="str">
        <x:v>2026-06</x:v>
      </x:c>
      <x:c r="C1644" t="n">
        <x:v>46180</x:v>
      </x:c>
      <x:c r="D1644" t="str">
        <x:v>USR-00831</x:v>
      </x:c>
      <x:c r="E1644" t="str">
        <x:v>SUS-001301</x:v>
      </x:c>
      <x:c r="F1644" t="str">
        <x:v>Plus anual</x:v>
      </x:c>
      <x:c r="G1644" t="str">
        <x:v>Anual</x:v>
      </x:c>
      <x:c r="H1644" t="n">
        <x:v>1</x:v>
      </x:c>
      <x:c r="I1644" t="str">
        <x:v>Aprobado</x:v>
      </x:c>
      <x:c r="J1644" t="n">
        <x:v>299000</x:v>
      </x:c>
      <x:c r="K1644" t="str">
        <x:v>Tarjeta débito</x:v>
      </x:c>
      <x:c r="L1644" t="str">
        <x:v>Sin error</x:v>
      </x:c>
    </x:row>
    <x:row r="1645">
      <x:c r="A1645" t="str">
        <x:v>TXN-0001644</x:v>
      </x:c>
      <x:c r="B1645" t="str">
        <x:v>2026-06</x:v>
      </x:c>
      <x:c r="C1645" t="n">
        <x:v>46181</x:v>
      </x:c>
      <x:c r="D1645" t="str">
        <x:v>USR-00832</x:v>
      </x:c>
      <x:c r="E1645" t="str">
        <x:v>SUS-001200</x:v>
      </x:c>
      <x:c r="F1645" t="str">
        <x:v>Plus mensual</x:v>
      </x:c>
      <x:c r="G1645" t="str">
        <x:v>Mensual</x:v>
      </x:c>
      <x:c r="H1645" t="n">
        <x:v>1</x:v>
      </x:c>
      <x:c r="I1645" t="str">
        <x:v>Rechazado</x:v>
      </x:c>
      <x:c r="J1645" t="n">
        <x:v>29900</x:v>
      </x:c>
      <x:c r="K1645" t="str">
        <x:v>Tarjeta crédito</x:v>
      </x:c>
      <x:c r="L1645" t="str">
        <x:v>Declinado por entidad</x:v>
      </x:c>
    </x:row>
    <x:row r="1646">
      <x:c r="A1646" t="str">
        <x:v>TXN-0001645</x:v>
      </x:c>
      <x:c r="B1646" t="str">
        <x:v>2026-06</x:v>
      </x:c>
      <x:c r="C1646" t="n">
        <x:v>46181</x:v>
      </x:c>
      <x:c r="D1646" t="str">
        <x:v>USR-00832</x:v>
      </x:c>
      <x:c r="E1646" t="str">
        <x:v>SUS-001200</x:v>
      </x:c>
      <x:c r="F1646" t="str">
        <x:v>Plus mensual</x:v>
      </x:c>
      <x:c r="G1646" t="str">
        <x:v>Mensual</x:v>
      </x:c>
      <x:c r="H1646" t="n">
        <x:v>2</x:v>
      </x:c>
      <x:c r="I1646" t="str">
        <x:v>Aprobado</x:v>
      </x:c>
      <x:c r="J1646" t="n">
        <x:v>29900</x:v>
      </x:c>
      <x:c r="K1646" t="str">
        <x:v>Tarjeta débito</x:v>
      </x:c>
      <x:c r="L1646" t="str">
        <x:v>Sin error</x:v>
      </x:c>
    </x:row>
    <x:row r="1647">
      <x:c r="A1647" t="str">
        <x:v>TXN-0001646</x:v>
      </x:c>
      <x:c r="B1647" t="str">
        <x:v>2026-06</x:v>
      </x:c>
      <x:c r="C1647" t="n">
        <x:v>46180</x:v>
      </x:c>
      <x:c r="D1647" t="str">
        <x:v>USR-00833</x:v>
      </x:c>
      <x:c r="E1647" t="str">
        <x:v>SUS-001201</x:v>
      </x:c>
      <x:c r="F1647" t="str">
        <x:v>Plus mensual</x:v>
      </x:c>
      <x:c r="G1647" t="str">
        <x:v>Mensual</x:v>
      </x:c>
      <x:c r="H1647" t="n">
        <x:v>1</x:v>
      </x:c>
      <x:c r="I1647" t="str">
        <x:v>Aprobado</x:v>
      </x:c>
      <x:c r="J1647" t="n">
        <x:v>29900</x:v>
      </x:c>
      <x:c r="K1647" t="str">
        <x:v>Tarjeta crédito</x:v>
      </x:c>
      <x:c r="L1647" t="str">
        <x:v>Sin error</x:v>
      </x:c>
    </x:row>
    <x:row r="1648">
      <x:c r="A1648" t="str">
        <x:v>TXN-0001647</x:v>
      </x:c>
      <x:c r="B1648" t="str">
        <x:v>2026-06</x:v>
      </x:c>
      <x:c r="C1648" t="n">
        <x:v>46178</x:v>
      </x:c>
      <x:c r="D1648" t="str">
        <x:v>USR-00836</x:v>
      </x:c>
      <x:c r="E1648" t="str">
        <x:v>SUS-001302</x:v>
      </x:c>
      <x:c r="F1648" t="str">
        <x:v>Plus mensual</x:v>
      </x:c>
      <x:c r="G1648" t="str">
        <x:v>Mensual</x:v>
      </x:c>
      <x:c r="H1648" t="n">
        <x:v>1</x:v>
      </x:c>
      <x:c r="I1648" t="str">
        <x:v>Aprobado</x:v>
      </x:c>
      <x:c r="J1648" t="n">
        <x:v>29900</x:v>
      </x:c>
      <x:c r="K1648" t="str">
        <x:v>PSE</x:v>
      </x:c>
      <x:c r="L1648" t="str">
        <x:v>Sin error</x:v>
      </x:c>
    </x:row>
    <x:row r="1649">
      <x:c r="A1649" t="str">
        <x:v>TXN-0001648</x:v>
      </x:c>
      <x:c r="B1649" t="str">
        <x:v>2026-06</x:v>
      </x:c>
      <x:c r="C1649" t="n">
        <x:v>46183</x:v>
      </x:c>
      <x:c r="D1649" t="str">
        <x:v>USR-00846</x:v>
      </x:c>
      <x:c r="E1649" t="str">
        <x:v>SUS-001214</x:v>
      </x:c>
      <x:c r="F1649" t="str">
        <x:v>Plus mensual</x:v>
      </x:c>
      <x:c r="G1649" t="str">
        <x:v>Mensual</x:v>
      </x:c>
      <x:c r="H1649" t="n">
        <x:v>1</x:v>
      </x:c>
      <x:c r="I1649" t="str">
        <x:v>Aprobado</x:v>
      </x:c>
      <x:c r="J1649" t="n">
        <x:v>29900</x:v>
      </x:c>
      <x:c r="K1649" t="str">
        <x:v>Tarjeta crédito</x:v>
      </x:c>
      <x:c r="L1649" t="str">
        <x:v>Sin error</x:v>
      </x:c>
    </x:row>
    <x:row r="1650">
      <x:c r="A1650" t="str">
        <x:v>TXN-0001649</x:v>
      </x:c>
      <x:c r="B1650" t="str">
        <x:v>2026-06</x:v>
      </x:c>
      <x:c r="C1650" t="n">
        <x:v>46183</x:v>
      </x:c>
      <x:c r="D1650" t="str">
        <x:v>USR-00850</x:v>
      </x:c>
      <x:c r="E1650" t="str">
        <x:v>SUS-001218</x:v>
      </x:c>
      <x:c r="F1650" t="str">
        <x:v>Plus mensual</x:v>
      </x:c>
      <x:c r="G1650" t="str">
        <x:v>Mensual</x:v>
      </x:c>
      <x:c r="H1650" t="n">
        <x:v>1</x:v>
      </x:c>
      <x:c r="I1650" t="str">
        <x:v>Aprobado</x:v>
      </x:c>
      <x:c r="J1650" t="n">
        <x:v>29900</x:v>
      </x:c>
      <x:c r="K1650" t="str">
        <x:v>Tarjeta crédito</x:v>
      </x:c>
      <x:c r="L1650" t="str">
        <x:v>Sin error</x:v>
      </x:c>
    </x:row>
    <x:row r="1651">
      <x:c r="A1651" t="str">
        <x:v>TXN-0001650</x:v>
      </x:c>
      <x:c r="B1651" t="str">
        <x:v>2026-06</x:v>
      </x:c>
      <x:c r="C1651" t="n">
        <x:v>46180</x:v>
      </x:c>
      <x:c r="D1651" t="str">
        <x:v>USR-00851</x:v>
      </x:c>
      <x:c r="E1651" t="str">
        <x:v>SUS-001303</x:v>
      </x:c>
      <x:c r="F1651" t="str">
        <x:v>Plus anual</x:v>
      </x:c>
      <x:c r="G1651" t="str">
        <x:v>Anual</x:v>
      </x:c>
      <x:c r="H1651" t="n">
        <x:v>1</x:v>
      </x:c>
      <x:c r="I1651" t="str">
        <x:v>Aprobado</x:v>
      </x:c>
      <x:c r="J1651" t="n">
        <x:v>299000</x:v>
      </x:c>
      <x:c r="K1651" t="str">
        <x:v>Tarjeta crédito</x:v>
      </x:c>
      <x:c r="L1651" t="str">
        <x:v>Sin error</x:v>
      </x:c>
    </x:row>
    <x:row r="1652">
      <x:c r="A1652" t="str">
        <x:v>TXN-0001651</x:v>
      </x:c>
      <x:c r="B1652" t="str">
        <x:v>2026-06</x:v>
      </x:c>
      <x:c r="C1652" t="n">
        <x:v>46179</x:v>
      </x:c>
      <x:c r="D1652" t="str">
        <x:v>USR-00858</x:v>
      </x:c>
      <x:c r="E1652" t="str">
        <x:v>SUS-001226</x:v>
      </x:c>
      <x:c r="F1652" t="str">
        <x:v>Plus mensual</x:v>
      </x:c>
      <x:c r="G1652" t="str">
        <x:v>Mensual</x:v>
      </x:c>
      <x:c r="H1652" t="n">
        <x:v>1</x:v>
      </x:c>
      <x:c r="I1652" t="str">
        <x:v>Rechazado</x:v>
      </x:c>
      <x:c r="J1652" t="n">
        <x:v>29900</x:v>
      </x:c>
      <x:c r="K1652" t="str">
        <x:v>PSE</x:v>
      </x:c>
      <x:c r="L1652" t="str">
        <x:v>Declinado por entidad</x:v>
      </x:c>
    </x:row>
    <x:row r="1653">
      <x:c r="A1653" t="str">
        <x:v>TXN-0001652</x:v>
      </x:c>
      <x:c r="B1653" t="str">
        <x:v>2026-06</x:v>
      </x:c>
      <x:c r="C1653" t="n">
        <x:v>46181</x:v>
      </x:c>
      <x:c r="D1653" t="str">
        <x:v>USR-00858</x:v>
      </x:c>
      <x:c r="E1653" t="str">
        <x:v>SUS-001226</x:v>
      </x:c>
      <x:c r="F1653" t="str">
        <x:v>Plus mensual</x:v>
      </x:c>
      <x:c r="G1653" t="str">
        <x:v>Mensual</x:v>
      </x:c>
      <x:c r="H1653" t="n">
        <x:v>2</x:v>
      </x:c>
      <x:c r="I1653" t="str">
        <x:v>Aprobado</x:v>
      </x:c>
      <x:c r="J1653" t="n">
        <x:v>29900</x:v>
      </x:c>
      <x:c r="K1653" t="str">
        <x:v>Tarjeta débito</x:v>
      </x:c>
      <x:c r="L1653" t="str">
        <x:v>Sin error</x:v>
      </x:c>
    </x:row>
    <x:row r="1654">
      <x:c r="A1654" t="str">
        <x:v>TXN-0001653</x:v>
      </x:c>
      <x:c r="B1654" t="str">
        <x:v>2026-06</x:v>
      </x:c>
      <x:c r="C1654" t="n">
        <x:v>46183</x:v>
      </x:c>
      <x:c r="D1654" t="str">
        <x:v>USR-00859</x:v>
      </x:c>
      <x:c r="E1654" t="str">
        <x:v>SUS-001227</x:v>
      </x:c>
      <x:c r="F1654" t="str">
        <x:v>Plus mensual</x:v>
      </x:c>
      <x:c r="G1654" t="str">
        <x:v>Mensual</x:v>
      </x:c>
      <x:c r="H1654" t="n">
        <x:v>1</x:v>
      </x:c>
      <x:c r="I1654" t="str">
        <x:v>Aprobado</x:v>
      </x:c>
      <x:c r="J1654" t="n">
        <x:v>29900</x:v>
      </x:c>
      <x:c r="K1654" t="str">
        <x:v>Tarjeta débito</x:v>
      </x:c>
      <x:c r="L1654" t="str">
        <x:v>Sin error</x:v>
      </x:c>
    </x:row>
    <x:row r="1655">
      <x:c r="A1655" t="str">
        <x:v>TXN-0001654</x:v>
      </x:c>
      <x:c r="B1655" t="str">
        <x:v>2026-06</x:v>
      </x:c>
      <x:c r="C1655" t="n">
        <x:v>46185</x:v>
      </x:c>
      <x:c r="D1655" t="str">
        <x:v>USR-00860</x:v>
      </x:c>
      <x:c r="E1655" t="str">
        <x:v>SUS-001228</x:v>
      </x:c>
      <x:c r="F1655" t="str">
        <x:v>Plus mensual</x:v>
      </x:c>
      <x:c r="G1655" t="str">
        <x:v>Mensual</x:v>
      </x:c>
      <x:c r="H1655" t="n">
        <x:v>1</x:v>
      </x:c>
      <x:c r="I1655" t="str">
        <x:v>Aprobado</x:v>
      </x:c>
      <x:c r="J1655" t="n">
        <x:v>29900</x:v>
      </x:c>
      <x:c r="K1655" t="str">
        <x:v>Tarjeta crédito</x:v>
      </x:c>
      <x:c r="L1655" t="str">
        <x:v>Sin error</x:v>
      </x:c>
    </x:row>
    <x:row r="1656">
      <x:c r="A1656" t="str">
        <x:v>TXN-0001655</x:v>
      </x:c>
      <x:c r="B1656" t="str">
        <x:v>2026-06</x:v>
      </x:c>
      <x:c r="C1656" t="n">
        <x:v>46178</x:v>
      </x:c>
      <x:c r="D1656" t="str">
        <x:v>USR-00861</x:v>
      </x:c>
      <x:c r="E1656" t="str">
        <x:v>SUS-001229</x:v>
      </x:c>
      <x:c r="F1656" t="str">
        <x:v>Plus mensual</x:v>
      </x:c>
      <x:c r="G1656" t="str">
        <x:v>Mensual</x:v>
      </x:c>
      <x:c r="H1656" t="n">
        <x:v>1</x:v>
      </x:c>
      <x:c r="I1656" t="str">
        <x:v>Rechazado</x:v>
      </x:c>
      <x:c r="J1656" t="n">
        <x:v>29900</x:v>
      </x:c>
      <x:c r="K1656" t="str">
        <x:v>PSE</x:v>
      </x:c>
      <x:c r="L1656" t="str">
        <x:v>Declinado por entidad</x:v>
      </x:c>
    </x:row>
    <x:row r="1657">
      <x:c r="A1657" t="str">
        <x:v>TXN-0001656</x:v>
      </x:c>
      <x:c r="B1657" t="str">
        <x:v>2026-06</x:v>
      </x:c>
      <x:c r="C1657" t="n">
        <x:v>46183</x:v>
      </x:c>
      <x:c r="D1657" t="str">
        <x:v>USR-00861</x:v>
      </x:c>
      <x:c r="E1657" t="str">
        <x:v>SUS-001229</x:v>
      </x:c>
      <x:c r="F1657" t="str">
        <x:v>Plus mensual</x:v>
      </x:c>
      <x:c r="G1657" t="str">
        <x:v>Mensual</x:v>
      </x:c>
      <x:c r="H1657" t="n">
        <x:v>2</x:v>
      </x:c>
      <x:c r="I1657" t="str">
        <x:v>Aprobado</x:v>
      </x:c>
      <x:c r="J1657" t="n">
        <x:v>29900</x:v>
      </x:c>
      <x:c r="K1657" t="str">
        <x:v>PSE</x:v>
      </x:c>
      <x:c r="L1657" t="str">
        <x:v>Sin error</x:v>
      </x:c>
    </x:row>
    <x:row r="1658">
      <x:c r="A1658" t="str">
        <x:v>TXN-0001657</x:v>
      </x:c>
      <x:c r="B1658" t="str">
        <x:v>2026-06</x:v>
      </x:c>
      <x:c r="C1658" t="n">
        <x:v>46179</x:v>
      </x:c>
      <x:c r="D1658" t="str">
        <x:v>USR-00862</x:v>
      </x:c>
      <x:c r="E1658" t="str">
        <x:v>SUS-001230</x:v>
      </x:c>
      <x:c r="F1658" t="str">
        <x:v>Plus mensual</x:v>
      </x:c>
      <x:c r="G1658" t="str">
        <x:v>Mensual</x:v>
      </x:c>
      <x:c r="H1658" t="n">
        <x:v>1</x:v>
      </x:c>
      <x:c r="I1658" t="str">
        <x:v>Aprobado</x:v>
      </x:c>
      <x:c r="J1658" t="n">
        <x:v>29900</x:v>
      </x:c>
      <x:c r="K1658" t="str">
        <x:v>Tarjeta crédito</x:v>
      </x:c>
      <x:c r="L1658" t="str">
        <x:v>Sin error</x:v>
      </x:c>
    </x:row>
    <x:row r="1659">
      <x:c r="A1659" t="str">
        <x:v>TXN-0001658</x:v>
      </x:c>
      <x:c r="B1659" t="str">
        <x:v>2026-06</x:v>
      </x:c>
      <x:c r="C1659" t="n">
        <x:v>46184</x:v>
      </x:c>
      <x:c r="D1659" t="str">
        <x:v>USR-00865</x:v>
      </x:c>
      <x:c r="E1659" t="str">
        <x:v>SIN_SUSCRIPCION</x:v>
      </x:c>
      <x:c r="F1659" t="str">
        <x:v>Plus anual</x:v>
      </x:c>
      <x:c r="G1659" t="str">
        <x:v>Anual</x:v>
      </x:c>
      <x:c r="H1659" t="n">
        <x:v>1</x:v>
      </x:c>
      <x:c r="I1659" t="str">
        <x:v>Rechazado</x:v>
      </x:c>
      <x:c r="J1659" t="n">
        <x:v>299000</x:v>
      </x:c>
      <x:c r="K1659" t="str">
        <x:v>Tarjeta crédito</x:v>
      </x:c>
      <x:c r="L1659" t="str">
        <x:v>Error temporal</x:v>
      </x:c>
    </x:row>
    <x:row r="1660">
      <x:c r="A1660" t="str">
        <x:v>TXN-0001659</x:v>
      </x:c>
      <x:c r="B1660" t="str">
        <x:v>2026-06</x:v>
      </x:c>
      <x:c r="C1660" t="n">
        <x:v>46184</x:v>
      </x:c>
      <x:c r="D1660" t="str">
        <x:v>USR-00865</x:v>
      </x:c>
      <x:c r="E1660" t="str">
        <x:v>SIN_SUSCRIPCION</x:v>
      </x:c>
      <x:c r="F1660" t="str">
        <x:v>Plus anual</x:v>
      </x:c>
      <x:c r="G1660" t="str">
        <x:v>Anual</x:v>
      </x:c>
      <x:c r="H1660" t="n">
        <x:v>2</x:v>
      </x:c>
      <x:c r="I1660" t="str">
        <x:v>Rechazado</x:v>
      </x:c>
      <x:c r="J1660" t="n">
        <x:v>299000</x:v>
      </x:c>
      <x:c r="K1660" t="str">
        <x:v>Tarjeta crédito</x:v>
      </x:c>
      <x:c r="L1660" t="str">
        <x:v>Declinado por entidad</x:v>
      </x:c>
    </x:row>
    <x:row r="1661">
      <x:c r="A1661" t="str">
        <x:v>TXN-0001660</x:v>
      </x:c>
      <x:c r="B1661" t="str">
        <x:v>2026-06</x:v>
      </x:c>
      <x:c r="C1661" t="n">
        <x:v>46183</x:v>
      </x:c>
      <x:c r="D1661" t="str">
        <x:v>USR-00871</x:v>
      </x:c>
      <x:c r="E1661" t="str">
        <x:v>SUS-001239</x:v>
      </x:c>
      <x:c r="F1661" t="str">
        <x:v>Plus mensual</x:v>
      </x:c>
      <x:c r="G1661" t="str">
        <x:v>Mensual</x:v>
      </x:c>
      <x:c r="H1661" t="n">
        <x:v>1</x:v>
      </x:c>
      <x:c r="I1661" t="str">
        <x:v>Aprobado</x:v>
      </x:c>
      <x:c r="J1661" t="n">
        <x:v>29900</x:v>
      </x:c>
      <x:c r="K1661" t="str">
        <x:v>Tarjeta débito</x:v>
      </x:c>
      <x:c r="L1661" t="str">
        <x:v>Sin error</x:v>
      </x:c>
    </x:row>
    <x:row r="1662">
      <x:c r="A1662" t="str">
        <x:v>TXN-0001661</x:v>
      </x:c>
      <x:c r="B1662" t="str">
        <x:v>2026-06</x:v>
      </x:c>
      <x:c r="C1662" t="n">
        <x:v>46179</x:v>
      </x:c>
      <x:c r="D1662" t="str">
        <x:v>USR-00875</x:v>
      </x:c>
      <x:c r="E1662" t="str">
        <x:v>SUS-001243</x:v>
      </x:c>
      <x:c r="F1662" t="str">
        <x:v>Plus mensual</x:v>
      </x:c>
      <x:c r="G1662" t="str">
        <x:v>Mensual</x:v>
      </x:c>
      <x:c r="H1662" t="n">
        <x:v>1</x:v>
      </x:c>
      <x:c r="I1662" t="str">
        <x:v>Aprobado</x:v>
      </x:c>
      <x:c r="J1662" t="n">
        <x:v>29900</x:v>
      </x:c>
      <x:c r="K1662" t="str">
        <x:v>PSE</x:v>
      </x:c>
      <x:c r="L1662" t="str">
        <x:v>Sin error</x:v>
      </x:c>
    </x:row>
    <x:row r="1663">
      <x:c r="A1663" t="str">
        <x:v>TXN-0001662</x:v>
      </x:c>
      <x:c r="B1663" t="str">
        <x:v>2026-06</x:v>
      </x:c>
      <x:c r="C1663" t="n">
        <x:v>46182</x:v>
      </x:c>
      <x:c r="D1663" t="str">
        <x:v>USR-00882</x:v>
      </x:c>
      <x:c r="E1663" t="str">
        <x:v>SUS-001250</x:v>
      </x:c>
      <x:c r="F1663" t="str">
        <x:v>Plus mensual</x:v>
      </x:c>
      <x:c r="G1663" t="str">
        <x:v>Mensual</x:v>
      </x:c>
      <x:c r="H1663" t="n">
        <x:v>1</x:v>
      </x:c>
      <x:c r="I1663" t="str">
        <x:v>Aprobado</x:v>
      </x:c>
      <x:c r="J1663" t="n">
        <x:v>29900</x:v>
      </x:c>
      <x:c r="K1663" t="str">
        <x:v>PSE</x:v>
      </x:c>
      <x:c r="L1663" t="str">
        <x:v>Sin error</x:v>
      </x:c>
    </x:row>
    <x:row r="1664">
      <x:c r="A1664" t="str">
        <x:v>TXN-0001663</x:v>
      </x:c>
      <x:c r="B1664" t="str">
        <x:v>2026-06</x:v>
      </x:c>
      <x:c r="C1664" t="n">
        <x:v>46178</x:v>
      </x:c>
      <x:c r="D1664" t="str">
        <x:v>USR-00885</x:v>
      </x:c>
      <x:c r="E1664" t="str">
        <x:v>SUS-001253</x:v>
      </x:c>
      <x:c r="F1664" t="str">
        <x:v>Plus mensual</x:v>
      </x:c>
      <x:c r="G1664" t="str">
        <x:v>Mensual</x:v>
      </x:c>
      <x:c r="H1664" t="n">
        <x:v>1</x:v>
      </x:c>
      <x:c r="I1664" t="str">
        <x:v>Aprobado</x:v>
      </x:c>
      <x:c r="J1664" t="n">
        <x:v>29900</x:v>
      </x:c>
      <x:c r="K1664" t="str">
        <x:v>Tarjeta débito</x:v>
      </x:c>
      <x:c r="L1664" t="str">
        <x:v>Sin error</x:v>
      </x:c>
    </x:row>
    <x:row r="1665">
      <x:c r="A1665" t="str">
        <x:v>TXN-0001664</x:v>
      </x:c>
      <x:c r="B1665" t="str">
        <x:v>2026-06</x:v>
      </x:c>
      <x:c r="C1665" t="n">
        <x:v>46179</x:v>
      </x:c>
      <x:c r="D1665" t="str">
        <x:v>USR-00889</x:v>
      </x:c>
      <x:c r="E1665" t="str">
        <x:v>SUS-001305</x:v>
      </x:c>
      <x:c r="F1665" t="str">
        <x:v>Plus anual</x:v>
      </x:c>
      <x:c r="G1665" t="str">
        <x:v>Anual</x:v>
      </x:c>
      <x:c r="H1665" t="n">
        <x:v>1</x:v>
      </x:c>
      <x:c r="I1665" t="str">
        <x:v>Aprobado</x:v>
      </x:c>
      <x:c r="J1665" t="n">
        <x:v>299000</x:v>
      </x:c>
      <x:c r="K1665" t="str">
        <x:v>PSE</x:v>
      </x:c>
      <x:c r="L1665" t="str">
        <x:v>Sin error</x:v>
      </x:c>
    </x:row>
    <x:row r="1666">
      <x:c r="A1666" t="str">
        <x:v>TXN-0001665</x:v>
      </x:c>
      <x:c r="B1666" t="str">
        <x:v>2026-06</x:v>
      </x:c>
      <x:c r="C1666" t="n">
        <x:v>46180</x:v>
      </x:c>
      <x:c r="D1666" t="str">
        <x:v>USR-00892</x:v>
      </x:c>
      <x:c r="E1666" t="str">
        <x:v>SUS-001306</x:v>
      </x:c>
      <x:c r="F1666" t="str">
        <x:v>Plus anual</x:v>
      </x:c>
      <x:c r="G1666" t="str">
        <x:v>Anual</x:v>
      </x:c>
      <x:c r="H1666" t="n">
        <x:v>1</x:v>
      </x:c>
      <x:c r="I1666" t="str">
        <x:v>Aprobado</x:v>
      </x:c>
      <x:c r="J1666" t="n">
        <x:v>299000</x:v>
      </x:c>
      <x:c r="K1666" t="str">
        <x:v>Tarjeta crédito</x:v>
      </x:c>
      <x:c r="L1666" t="str">
        <x:v>Sin error</x:v>
      </x:c>
    </x:row>
    <x:row r="1667">
      <x:c r="A1667" t="str">
        <x:v>TXN-0001666</x:v>
      </x:c>
      <x:c r="B1667" t="str">
        <x:v>2026-06</x:v>
      </x:c>
      <x:c r="C1667" t="n">
        <x:v>46183</x:v>
      </x:c>
      <x:c r="D1667" t="str">
        <x:v>USR-00895</x:v>
      </x:c>
      <x:c r="E1667" t="str">
        <x:v>SUS-001309</x:v>
      </x:c>
      <x:c r="F1667" t="str">
        <x:v>Plus mensual</x:v>
      </x:c>
      <x:c r="G1667" t="str">
        <x:v>Mensual</x:v>
      </x:c>
      <x:c r="H1667" t="n">
        <x:v>1</x:v>
      </x:c>
      <x:c r="I1667" t="str">
        <x:v>Aprobado</x:v>
      </x:c>
      <x:c r="J1667" t="n">
        <x:v>29900</x:v>
      </x:c>
      <x:c r="K1667" t="str">
        <x:v>Tarjeta crédito</x:v>
      </x:c>
      <x:c r="L1667" t="str">
        <x:v>Sin error</x:v>
      </x:c>
    </x:row>
    <x:row r="1668">
      <x:c r="A1668" t="str">
        <x:v>TXN-0001667</x:v>
      </x:c>
      <x:c r="B1668" t="str">
        <x:v>2026-06</x:v>
      </x:c>
      <x:c r="C1668" t="n">
        <x:v>46184</x:v>
      </x:c>
      <x:c r="D1668" t="str">
        <x:v>USR-00898</x:v>
      </x:c>
      <x:c r="E1668" t="str">
        <x:v>SUS-001312</x:v>
      </x:c>
      <x:c r="F1668" t="str">
        <x:v>Plus mensual</x:v>
      </x:c>
      <x:c r="G1668" t="str">
        <x:v>Mensual</x:v>
      </x:c>
      <x:c r="H1668" t="n">
        <x:v>1</x:v>
      </x:c>
      <x:c r="I1668" t="str">
        <x:v>Aprobado</x:v>
      </x:c>
      <x:c r="J1668" t="n">
        <x:v>29900</x:v>
      </x:c>
      <x:c r="K1668" t="str">
        <x:v>Tarjeta crédito</x:v>
      </x:c>
      <x:c r="L1668" t="str">
        <x:v>Sin error</x:v>
      </x:c>
    </x:row>
    <x:row r="1669">
      <x:c r="A1669" t="str">
        <x:v>TXN-0001668</x:v>
      </x:c>
      <x:c r="B1669" t="str">
        <x:v>2026-06</x:v>
      </x:c>
      <x:c r="C1669" t="n">
        <x:v>46178</x:v>
      </x:c>
      <x:c r="D1669" t="str">
        <x:v>USR-00907</x:v>
      </x:c>
      <x:c r="E1669" t="str">
        <x:v>SUS-001321</x:v>
      </x:c>
      <x:c r="F1669" t="str">
        <x:v>Plus mensual</x:v>
      </x:c>
      <x:c r="G1669" t="str">
        <x:v>Mensual</x:v>
      </x:c>
      <x:c r="H1669" t="n">
        <x:v>1</x:v>
      </x:c>
      <x:c r="I1669" t="str">
        <x:v>Aprobado</x:v>
      </x:c>
      <x:c r="J1669" t="n">
        <x:v>29900</x:v>
      </x:c>
      <x:c r="K1669" t="str">
        <x:v>PSE</x:v>
      </x:c>
      <x:c r="L1669" t="str">
        <x:v>Sin error</x:v>
      </x:c>
    </x:row>
    <x:row r="1670">
      <x:c r="A1670" t="str">
        <x:v>TXN-0001669</x:v>
      </x:c>
      <x:c r="B1670" t="str">
        <x:v>2026-06</x:v>
      </x:c>
      <x:c r="C1670" t="n">
        <x:v>46178</x:v>
      </x:c>
      <x:c r="D1670" t="str">
        <x:v>USR-00908</x:v>
      </x:c>
      <x:c r="E1670" t="str">
        <x:v>SUS-001322</x:v>
      </x:c>
      <x:c r="F1670" t="str">
        <x:v>Plus mensual</x:v>
      </x:c>
      <x:c r="G1670" t="str">
        <x:v>Mensual</x:v>
      </x:c>
      <x:c r="H1670" t="n">
        <x:v>1</x:v>
      </x:c>
      <x:c r="I1670" t="str">
        <x:v>Aprobado</x:v>
      </x:c>
      <x:c r="J1670" t="n">
        <x:v>29900</x:v>
      </x:c>
      <x:c r="K1670" t="str">
        <x:v>Tarjeta crédito</x:v>
      </x:c>
      <x:c r="L1670" t="str">
        <x:v>Sin error</x:v>
      </x:c>
    </x:row>
    <x:row r="1671">
      <x:c r="A1671" t="str">
        <x:v>TXN-0001670</x:v>
      </x:c>
      <x:c r="B1671" t="str">
        <x:v>2026-06</x:v>
      </x:c>
      <x:c r="C1671" t="n">
        <x:v>46180</x:v>
      </x:c>
      <x:c r="D1671" t="str">
        <x:v>USR-00909</x:v>
      </x:c>
      <x:c r="E1671" t="str">
        <x:v>SUS-001323</x:v>
      </x:c>
      <x:c r="F1671" t="str">
        <x:v>Plus mensual</x:v>
      </x:c>
      <x:c r="G1671" t="str">
        <x:v>Mensual</x:v>
      </x:c>
      <x:c r="H1671" t="n">
        <x:v>1</x:v>
      </x:c>
      <x:c r="I1671" t="str">
        <x:v>Aprobado</x:v>
      </x:c>
      <x:c r="J1671" t="n">
        <x:v>29900</x:v>
      </x:c>
      <x:c r="K1671" t="str">
        <x:v>Tarjeta crédito</x:v>
      </x:c>
      <x:c r="L1671" t="str">
        <x:v>Sin error</x:v>
      </x:c>
    </x:row>
    <x:row r="1672">
      <x:c r="A1672" t="str">
        <x:v>TXN-0001671</x:v>
      </x:c>
      <x:c r="B1672" t="str">
        <x:v>2026-06</x:v>
      </x:c>
      <x:c r="C1672" t="n">
        <x:v>46179</x:v>
      </x:c>
      <x:c r="D1672" t="str">
        <x:v>USR-00911</x:v>
      </x:c>
      <x:c r="E1672" t="str">
        <x:v>SUS-001325</x:v>
      </x:c>
      <x:c r="F1672" t="str">
        <x:v>Plus mensual</x:v>
      </x:c>
      <x:c r="G1672" t="str">
        <x:v>Mensual</x:v>
      </x:c>
      <x:c r="H1672" t="n">
        <x:v>1</x:v>
      </x:c>
      <x:c r="I1672" t="str">
        <x:v>Aprobado</x:v>
      </x:c>
      <x:c r="J1672" t="n">
        <x:v>29900</x:v>
      </x:c>
      <x:c r="K1672" t="str">
        <x:v>Tarjeta débito</x:v>
      </x:c>
      <x:c r="L1672" t="str">
        <x:v>Sin error</x:v>
      </x:c>
    </x:row>
    <x:row r="1673">
      <x:c r="A1673" t="str">
        <x:v>TXN-0001672</x:v>
      </x:c>
      <x:c r="B1673" t="str">
        <x:v>2026-06</x:v>
      </x:c>
      <x:c r="C1673" t="n">
        <x:v>46180</x:v>
      </x:c>
      <x:c r="D1673" t="str">
        <x:v>USR-00928</x:v>
      </x:c>
      <x:c r="E1673" t="str">
        <x:v>SUS-001342</x:v>
      </x:c>
      <x:c r="F1673" t="str">
        <x:v>Plus mensual</x:v>
      </x:c>
      <x:c r="G1673" t="str">
        <x:v>Mensual</x:v>
      </x:c>
      <x:c r="H1673" t="n">
        <x:v>1</x:v>
      </x:c>
      <x:c r="I1673" t="str">
        <x:v>Aprobado</x:v>
      </x:c>
      <x:c r="J1673" t="n">
        <x:v>29900</x:v>
      </x:c>
      <x:c r="K1673" t="str">
        <x:v>Tarjeta débito</x:v>
      </x:c>
      <x:c r="L1673" t="str">
        <x:v>Sin error</x:v>
      </x:c>
    </x:row>
    <x:row r="1674">
      <x:c r="A1674" t="str">
        <x:v>TXN-0001673</x:v>
      </x:c>
      <x:c r="B1674" t="str">
        <x:v>2026-06</x:v>
      </x:c>
      <x:c r="C1674" t="n">
        <x:v>46179</x:v>
      </x:c>
      <x:c r="D1674" t="str">
        <x:v>USR-00943</x:v>
      </x:c>
      <x:c r="E1674" t="str">
        <x:v>SUS-001357</x:v>
      </x:c>
      <x:c r="F1674" t="str">
        <x:v>Plus mensual</x:v>
      </x:c>
      <x:c r="G1674" t="str">
        <x:v>Mensual</x:v>
      </x:c>
      <x:c r="H1674" t="n">
        <x:v>1</x:v>
      </x:c>
      <x:c r="I1674" t="str">
        <x:v>Aprobado</x:v>
      </x:c>
      <x:c r="J1674" t="n">
        <x:v>29900</x:v>
      </x:c>
      <x:c r="K1674" t="str">
        <x:v>Tarjeta crédito</x:v>
      </x:c>
      <x:c r="L1674" t="str">
        <x:v>Sin error</x:v>
      </x:c>
    </x:row>
    <x:row r="1675">
      <x:c r="A1675" t="str">
        <x:v>TXN-0001674</x:v>
      </x:c>
      <x:c r="B1675" t="str">
        <x:v>2026-06</x:v>
      </x:c>
      <x:c r="C1675" t="n">
        <x:v>46181</x:v>
      </x:c>
      <x:c r="D1675" t="str">
        <x:v>USR-00947</x:v>
      </x:c>
      <x:c r="E1675" t="str">
        <x:v>SUS-001361</x:v>
      </x:c>
      <x:c r="F1675" t="str">
        <x:v>Plus anual</x:v>
      </x:c>
      <x:c r="G1675" t="str">
        <x:v>Anual</x:v>
      </x:c>
      <x:c r="H1675" t="n">
        <x:v>1</x:v>
      </x:c>
      <x:c r="I1675" t="str">
        <x:v>Aprobado</x:v>
      </x:c>
      <x:c r="J1675" t="n">
        <x:v>299000</x:v>
      </x:c>
      <x:c r="K1675" t="str">
        <x:v>Tarjeta débito</x:v>
      </x:c>
      <x:c r="L1675" t="str">
        <x:v>Sin error</x:v>
      </x:c>
    </x:row>
    <x:row r="1676">
      <x:c r="A1676" t="str">
        <x:v>TXN-0001675</x:v>
      </x:c>
      <x:c r="B1676" t="str">
        <x:v>2026-06</x:v>
      </x:c>
      <x:c r="C1676" t="n">
        <x:v>46182</x:v>
      </x:c>
      <x:c r="D1676" t="str">
        <x:v>USR-00948</x:v>
      </x:c>
      <x:c r="E1676" t="str">
        <x:v>SUS-001362</x:v>
      </x:c>
      <x:c r="F1676" t="str">
        <x:v>Plus mensual</x:v>
      </x:c>
      <x:c r="G1676" t="str">
        <x:v>Mensual</x:v>
      </x:c>
      <x:c r="H1676" t="n">
        <x:v>1</x:v>
      </x:c>
      <x:c r="I1676" t="str">
        <x:v>Aprobado</x:v>
      </x:c>
      <x:c r="J1676" t="n">
        <x:v>29900</x:v>
      </x:c>
      <x:c r="K1676" t="str">
        <x:v>Tarjeta crédito</x:v>
      </x:c>
      <x:c r="L1676" t="str">
        <x:v>Sin error</x:v>
      </x:c>
    </x:row>
    <x:row r="1677">
      <x:c r="A1677" t="str">
        <x:v>TXN-0001676</x:v>
      </x:c>
      <x:c r="B1677" t="str">
        <x:v>2026-06</x:v>
      </x:c>
      <x:c r="C1677" t="n">
        <x:v>46180</x:v>
      </x:c>
      <x:c r="D1677" t="str">
        <x:v>USR-00955</x:v>
      </x:c>
      <x:c r="E1677" t="str">
        <x:v>SUS-001369</x:v>
      </x:c>
      <x:c r="F1677" t="str">
        <x:v>Plus mensual</x:v>
      </x:c>
      <x:c r="G1677" t="str">
        <x:v>Mensual</x:v>
      </x:c>
      <x:c r="H1677" t="n">
        <x:v>1</x:v>
      </x:c>
      <x:c r="I1677" t="str">
        <x:v>Aprobado</x:v>
      </x:c>
      <x:c r="J1677" t="n">
        <x:v>29900</x:v>
      </x:c>
      <x:c r="K1677" t="str">
        <x:v>Tarjeta crédito</x:v>
      </x:c>
      <x:c r="L1677" t="str">
        <x:v>Sin error</x:v>
      </x:c>
    </x:row>
    <x:row r="1678">
      <x:c r="A1678" t="str">
        <x:v>TXN-0001677</x:v>
      </x:c>
      <x:c r="B1678" t="str">
        <x:v>2026-06</x:v>
      </x:c>
      <x:c r="C1678" t="n">
        <x:v>46183</x:v>
      </x:c>
      <x:c r="D1678" t="str">
        <x:v>USR-00966</x:v>
      </x:c>
      <x:c r="E1678" t="str">
        <x:v>SUS-001380</x:v>
      </x:c>
      <x:c r="F1678" t="str">
        <x:v>Plus mensual</x:v>
      </x:c>
      <x:c r="G1678" t="str">
        <x:v>Mensual</x:v>
      </x:c>
      <x:c r="H1678" t="n">
        <x:v>1</x:v>
      </x:c>
      <x:c r="I1678" t="str">
        <x:v>Aprobado</x:v>
      </x:c>
      <x:c r="J1678" t="n">
        <x:v>29900</x:v>
      </x:c>
      <x:c r="K1678" t="str">
        <x:v>Tarjeta débito</x:v>
      </x:c>
      <x:c r="L1678" t="str">
        <x:v>Sin error</x:v>
      </x:c>
    </x:row>
    <x:row r="1679">
      <x:c r="A1679" t="str">
        <x:v>TXN-0001678</x:v>
      </x:c>
      <x:c r="B1679" t="str">
        <x:v>2026-06</x:v>
      </x:c>
      <x:c r="C1679" t="n">
        <x:v>46179</x:v>
      </x:c>
      <x:c r="D1679" t="str">
        <x:v>USR-00968</x:v>
      </x:c>
      <x:c r="E1679" t="str">
        <x:v>SUS-001382</x:v>
      </x:c>
      <x:c r="F1679" t="str">
        <x:v>Plus mensual</x:v>
      </x:c>
      <x:c r="G1679" t="str">
        <x:v>Mensual</x:v>
      </x:c>
      <x:c r="H1679" t="n">
        <x:v>1</x:v>
      </x:c>
      <x:c r="I1679" t="str">
        <x:v>Aprobado</x:v>
      </x:c>
      <x:c r="J1679" t="n">
        <x:v>29900</x:v>
      </x:c>
      <x:c r="K1679" t="str">
        <x:v>Tarjeta débito</x:v>
      </x:c>
      <x:c r="L1679" t="str">
        <x:v>Sin error</x:v>
      </x:c>
    </x:row>
    <x:row r="1680">
      <x:c r="A1680" t="str">
        <x:v>TXN-0001679</x:v>
      </x:c>
      <x:c r="B1680" t="str">
        <x:v>2026-06</x:v>
      </x:c>
      <x:c r="C1680" t="n">
        <x:v>46178</x:v>
      </x:c>
      <x:c r="D1680" t="str">
        <x:v>USR-00975</x:v>
      </x:c>
      <x:c r="E1680" t="str">
        <x:v>SUS-001389</x:v>
      </x:c>
      <x:c r="F1680" t="str">
        <x:v>Plus mensual</x:v>
      </x:c>
      <x:c r="G1680" t="str">
        <x:v>Mensual</x:v>
      </x:c>
      <x:c r="H1680" t="n">
        <x:v>1</x:v>
      </x:c>
      <x:c r="I1680" t="str">
        <x:v>Aprobado</x:v>
      </x:c>
      <x:c r="J1680" t="n">
        <x:v>29900</x:v>
      </x:c>
      <x:c r="K1680" t="str">
        <x:v>Tarjeta débito</x:v>
      </x:c>
      <x:c r="L1680" t="str">
        <x:v>Sin error</x:v>
      </x:c>
    </x:row>
    <x:row r="1681">
      <x:c r="A1681" t="str">
        <x:v>TXN-0001680</x:v>
      </x:c>
      <x:c r="B1681" t="str">
        <x:v>2026-06</x:v>
      </x:c>
      <x:c r="C1681" t="n">
        <x:v>46180</x:v>
      </x:c>
      <x:c r="D1681" t="str">
        <x:v>USR-00976</x:v>
      </x:c>
      <x:c r="E1681" t="str">
        <x:v>SUS-001390</x:v>
      </x:c>
      <x:c r="F1681" t="str">
        <x:v>Plus mensual</x:v>
      </x:c>
      <x:c r="G1681" t="str">
        <x:v>Mensual</x:v>
      </x:c>
      <x:c r="H1681" t="n">
        <x:v>1</x:v>
      </x:c>
      <x:c r="I1681" t="str">
        <x:v>Rechazado</x:v>
      </x:c>
      <x:c r="J1681" t="n">
        <x:v>29900</x:v>
      </x:c>
      <x:c r="K1681" t="str">
        <x:v>Tarjeta débito</x:v>
      </x:c>
      <x:c r="L1681" t="str">
        <x:v>Error temporal</x:v>
      </x:c>
    </x:row>
    <x:row r="1682">
      <x:c r="A1682" t="str">
        <x:v>TXN-0001681</x:v>
      </x:c>
      <x:c r="B1682" t="str">
        <x:v>2026-06</x:v>
      </x:c>
      <x:c r="C1682" t="n">
        <x:v>46180</x:v>
      </x:c>
      <x:c r="D1682" t="str">
        <x:v>USR-00976</x:v>
      </x:c>
      <x:c r="E1682" t="str">
        <x:v>SUS-001390</x:v>
      </x:c>
      <x:c r="F1682" t="str">
        <x:v>Plus mensual</x:v>
      </x:c>
      <x:c r="G1682" t="str">
        <x:v>Mensual</x:v>
      </x:c>
      <x:c r="H1682" t="n">
        <x:v>2</x:v>
      </x:c>
      <x:c r="I1682" t="str">
        <x:v>Aprobado</x:v>
      </x:c>
      <x:c r="J1682" t="n">
        <x:v>29900</x:v>
      </x:c>
      <x:c r="K1682" t="str">
        <x:v>PSE</x:v>
      </x:c>
      <x:c r="L1682" t="str">
        <x:v>Sin error</x:v>
      </x:c>
    </x:row>
    <x:row r="1683">
      <x:c r="A1683" t="str">
        <x:v>TXN-0001682</x:v>
      </x:c>
      <x:c r="B1683" t="str">
        <x:v>2026-07</x:v>
      </x:c>
      <x:c r="C1683" t="n">
        <x:v>46208</x:v>
      </x:c>
      <x:c r="D1683" t="str">
        <x:v>USR-00006</x:v>
      </x:c>
      <x:c r="E1683" t="str">
        <x:v>SUS-001395</x:v>
      </x:c>
      <x:c r="F1683" t="str">
        <x:v>Plus mensual</x:v>
      </x:c>
      <x:c r="G1683" t="str">
        <x:v>Mensual</x:v>
      </x:c>
      <x:c r="H1683" t="n">
        <x:v>1</x:v>
      </x:c>
      <x:c r="I1683" t="str">
        <x:v>Aprobado</x:v>
      </x:c>
      <x:c r="J1683" t="n">
        <x:v>29900</x:v>
      </x:c>
      <x:c r="K1683" t="str">
        <x:v>PSE</x:v>
      </x:c>
      <x:c r="L1683" t="str">
        <x:v>Sin error</x:v>
      </x:c>
    </x:row>
    <x:row r="1684">
      <x:c r="A1684" t="str">
        <x:v>TXN-0001683</x:v>
      </x:c>
      <x:c r="B1684" t="str">
        <x:v>2026-07</x:v>
      </x:c>
      <x:c r="C1684" t="n">
        <x:v>46215</x:v>
      </x:c>
      <x:c r="D1684" t="str">
        <x:v>USR-00007</x:v>
      </x:c>
      <x:c r="E1684" t="str">
        <x:v>SUS-001260</x:v>
      </x:c>
      <x:c r="F1684" t="str">
        <x:v>Plus mensual</x:v>
      </x:c>
      <x:c r="G1684" t="str">
        <x:v>Mensual</x:v>
      </x:c>
      <x:c r="H1684" t="n">
        <x:v>1</x:v>
      </x:c>
      <x:c r="I1684" t="str">
        <x:v>Aprobado</x:v>
      </x:c>
      <x:c r="J1684" t="n">
        <x:v>29900</x:v>
      </x:c>
      <x:c r="K1684" t="str">
        <x:v>Tarjeta crédito</x:v>
      </x:c>
      <x:c r="L1684" t="str">
        <x:v>Sin error</x:v>
      </x:c>
    </x:row>
    <x:row r="1685">
      <x:c r="A1685" t="str">
        <x:v>TXN-0001684</x:v>
      </x:c>
      <x:c r="B1685" t="str">
        <x:v>2026-07</x:v>
      </x:c>
      <x:c r="C1685" t="n">
        <x:v>46212</x:v>
      </x:c>
      <x:c r="D1685" t="str">
        <x:v>USR-00009</x:v>
      </x:c>
      <x:c r="E1685" t="str">
        <x:v>SUS-001396</x:v>
      </x:c>
      <x:c r="F1685" t="str">
        <x:v>Plus mensual</x:v>
      </x:c>
      <x:c r="G1685" t="str">
        <x:v>Mensual</x:v>
      </x:c>
      <x:c r="H1685" t="n">
        <x:v>1</x:v>
      </x:c>
      <x:c r="I1685" t="str">
        <x:v>Aprobado</x:v>
      </x:c>
      <x:c r="J1685" t="n">
        <x:v>29900</x:v>
      </x:c>
      <x:c r="K1685" t="str">
        <x:v>PSE</x:v>
      </x:c>
      <x:c r="L1685" t="str">
        <x:v>Sin error</x:v>
      </x:c>
    </x:row>
    <x:row r="1686">
      <x:c r="A1686" t="str">
        <x:v>TXN-0001685</x:v>
      </x:c>
      <x:c r="B1686" t="str">
        <x:v>2026-07</x:v>
      </x:c>
      <x:c r="C1686" t="n">
        <x:v>46210</x:v>
      </x:c>
      <x:c r="D1686" t="str">
        <x:v>USR-00011</x:v>
      </x:c>
      <x:c r="E1686" t="str">
        <x:v>SUS-000961</x:v>
      </x:c>
      <x:c r="F1686" t="str">
        <x:v>Plus mensual</x:v>
      </x:c>
      <x:c r="G1686" t="str">
        <x:v>Mensual</x:v>
      </x:c>
      <x:c r="H1686" t="n">
        <x:v>1</x:v>
      </x:c>
      <x:c r="I1686" t="str">
        <x:v>Aprobado</x:v>
      </x:c>
      <x:c r="J1686" t="n">
        <x:v>29900</x:v>
      </x:c>
      <x:c r="K1686" t="str">
        <x:v>Tarjeta crédito</x:v>
      </x:c>
      <x:c r="L1686" t="str">
        <x:v>Sin error</x:v>
      </x:c>
    </x:row>
    <x:row r="1687">
      <x:c r="A1687" t="str">
        <x:v>TXN-0001686</x:v>
      </x:c>
      <x:c r="B1687" t="str">
        <x:v>2026-07</x:v>
      </x:c>
      <x:c r="C1687" t="n">
        <x:v>46208</x:v>
      </x:c>
      <x:c r="D1687" t="str">
        <x:v>USR-00012</x:v>
      </x:c>
      <x:c r="E1687" t="str">
        <x:v>SUS-000837</x:v>
      </x:c>
      <x:c r="F1687" t="str">
        <x:v>Plus mensual</x:v>
      </x:c>
      <x:c r="G1687" t="str">
        <x:v>Mensual</x:v>
      </x:c>
      <x:c r="H1687" t="n">
        <x:v>1</x:v>
      </x:c>
      <x:c r="I1687" t="str">
        <x:v>Aprobado</x:v>
      </x:c>
      <x:c r="J1687" t="n">
        <x:v>29900</x:v>
      </x:c>
      <x:c r="K1687" t="str">
        <x:v>Tarjeta débito</x:v>
      </x:c>
      <x:c r="L1687" t="str">
        <x:v>Sin error</x:v>
      </x:c>
    </x:row>
    <x:row r="1688">
      <x:c r="A1688" t="str">
        <x:v>TXN-0001687</x:v>
      </x:c>
      <x:c r="B1688" t="str">
        <x:v>2026-07</x:v>
      </x:c>
      <x:c r="C1688" t="n">
        <x:v>46211</x:v>
      </x:c>
      <x:c r="D1688" t="str">
        <x:v>USR-00015</x:v>
      </x:c>
      <x:c r="E1688" t="str">
        <x:v>SUS-001100</x:v>
      </x:c>
      <x:c r="F1688" t="str">
        <x:v>Plus mensual</x:v>
      </x:c>
      <x:c r="G1688" t="str">
        <x:v>Mensual</x:v>
      </x:c>
      <x:c r="H1688" t="n">
        <x:v>1</x:v>
      </x:c>
      <x:c r="I1688" t="str">
        <x:v>Aprobado</x:v>
      </x:c>
      <x:c r="J1688" t="n">
        <x:v>29900</x:v>
      </x:c>
      <x:c r="K1688" t="str">
        <x:v>Tarjeta crédito</x:v>
      </x:c>
      <x:c r="L1688" t="str">
        <x:v>Sin error</x:v>
      </x:c>
    </x:row>
    <x:row r="1689">
      <x:c r="A1689" t="str">
        <x:v>TXN-0001688</x:v>
      </x:c>
      <x:c r="B1689" t="str">
        <x:v>2026-07</x:v>
      </x:c>
      <x:c r="C1689" t="n">
        <x:v>46209</x:v>
      </x:c>
      <x:c r="D1689" t="str">
        <x:v>USR-00018</x:v>
      </x:c>
      <x:c r="E1689" t="str">
        <x:v>SUS-000157</x:v>
      </x:c>
      <x:c r="F1689" t="str">
        <x:v>Plus mensual</x:v>
      </x:c>
      <x:c r="G1689" t="str">
        <x:v>Mensual</x:v>
      </x:c>
      <x:c r="H1689" t="n">
        <x:v>1</x:v>
      </x:c>
      <x:c r="I1689" t="str">
        <x:v>Aprobado</x:v>
      </x:c>
      <x:c r="J1689" t="n">
        <x:v>29900</x:v>
      </x:c>
      <x:c r="K1689" t="str">
        <x:v>PSE</x:v>
      </x:c>
      <x:c r="L1689" t="str">
        <x:v>Sin error</x:v>
      </x:c>
    </x:row>
    <x:row r="1690">
      <x:c r="A1690" t="str">
        <x:v>TXN-0001689</x:v>
      </x:c>
      <x:c r="B1690" t="str">
        <x:v>2026-07</x:v>
      </x:c>
      <x:c r="C1690" t="n">
        <x:v>46214</x:v>
      </x:c>
      <x:c r="D1690" t="str">
        <x:v>USR-00019</x:v>
      </x:c>
      <x:c r="E1690" t="str">
        <x:v>SUS-000158</x:v>
      </x:c>
      <x:c r="F1690" t="str">
        <x:v>Plus mensual</x:v>
      </x:c>
      <x:c r="G1690" t="str">
        <x:v>Mensual</x:v>
      </x:c>
      <x:c r="H1690" t="n">
        <x:v>1</x:v>
      </x:c>
      <x:c r="I1690" t="str">
        <x:v>Aprobado</x:v>
      </x:c>
      <x:c r="J1690" t="n">
        <x:v>29900</x:v>
      </x:c>
      <x:c r="K1690" t="str">
        <x:v>PSE</x:v>
      </x:c>
      <x:c r="L1690" t="str">
        <x:v>Sin error</x:v>
      </x:c>
    </x:row>
    <x:row r="1691">
      <x:c r="A1691" t="str">
        <x:v>TXN-0001690</x:v>
      </x:c>
      <x:c r="B1691" t="str">
        <x:v>2026-07</x:v>
      </x:c>
      <x:c r="C1691" t="n">
        <x:v>46212</x:v>
      </x:c>
      <x:c r="D1691" t="str">
        <x:v>USR-00029</x:v>
      </x:c>
      <x:c r="E1691" t="str">
        <x:v>SUS-001397</x:v>
      </x:c>
      <x:c r="F1691" t="str">
        <x:v>Plus mensual</x:v>
      </x:c>
      <x:c r="G1691" t="str">
        <x:v>Mensual</x:v>
      </x:c>
      <x:c r="H1691" t="n">
        <x:v>1</x:v>
      </x:c>
      <x:c r="I1691" t="str">
        <x:v>Aprobado</x:v>
      </x:c>
      <x:c r="J1691" t="n">
        <x:v>29900</x:v>
      </x:c>
      <x:c r="K1691" t="str">
        <x:v>Tarjeta débito</x:v>
      </x:c>
      <x:c r="L1691" t="str">
        <x:v>Sin error</x:v>
      </x:c>
    </x:row>
    <x:row r="1692">
      <x:c r="A1692" t="str">
        <x:v>TXN-0001691</x:v>
      </x:c>
      <x:c r="B1692" t="str">
        <x:v>2026-07</x:v>
      </x:c>
      <x:c r="C1692" t="n">
        <x:v>46214</x:v>
      </x:c>
      <x:c r="D1692" t="str">
        <x:v>USR-00032</x:v>
      </x:c>
      <x:c r="E1692" t="str">
        <x:v>SUS-001398</x:v>
      </x:c>
      <x:c r="F1692" t="str">
        <x:v>Plus mensual</x:v>
      </x:c>
      <x:c r="G1692" t="str">
        <x:v>Mensual</x:v>
      </x:c>
      <x:c r="H1692" t="n">
        <x:v>1</x:v>
      </x:c>
      <x:c r="I1692" t="str">
        <x:v>Aprobado</x:v>
      </x:c>
      <x:c r="J1692" t="n">
        <x:v>29900</x:v>
      </x:c>
      <x:c r="K1692" t="str">
        <x:v>Tarjeta débito</x:v>
      </x:c>
      <x:c r="L1692" t="str">
        <x:v>Sin error</x:v>
      </x:c>
    </x:row>
    <x:row r="1693">
      <x:c r="A1693" t="str">
        <x:v>TXN-0001692</x:v>
      </x:c>
      <x:c r="B1693" t="str">
        <x:v>2026-07</x:v>
      </x:c>
      <x:c r="C1693" t="n">
        <x:v>46214</x:v>
      </x:c>
      <x:c r="D1693" t="str">
        <x:v>USR-00034</x:v>
      </x:c>
      <x:c r="E1693" t="str">
        <x:v>SUS-000734</x:v>
      </x:c>
      <x:c r="F1693" t="str">
        <x:v>Plus mensual</x:v>
      </x:c>
      <x:c r="G1693" t="str">
        <x:v>Mensual</x:v>
      </x:c>
      <x:c r="H1693" t="n">
        <x:v>1</x:v>
      </x:c>
      <x:c r="I1693" t="str">
        <x:v>Aprobado</x:v>
      </x:c>
      <x:c r="J1693" t="n">
        <x:v>29900</x:v>
      </x:c>
      <x:c r="K1693" t="str">
        <x:v>Tarjeta débito</x:v>
      </x:c>
      <x:c r="L1693" t="str">
        <x:v>Sin error</x:v>
      </x:c>
    </x:row>
    <x:row r="1694">
      <x:c r="A1694" t="str">
        <x:v>TXN-0001693</x:v>
      </x:c>
      <x:c r="B1694" t="str">
        <x:v>2026-07</x:v>
      </x:c>
      <x:c r="C1694" t="n">
        <x:v>46211</x:v>
      </x:c>
      <x:c r="D1694" t="str">
        <x:v>USR-00035</x:v>
      </x:c>
      <x:c r="E1694" t="str">
        <x:v>SUS-000964</x:v>
      </x:c>
      <x:c r="F1694" t="str">
        <x:v>Plus mensual</x:v>
      </x:c>
      <x:c r="G1694" t="str">
        <x:v>Mensual</x:v>
      </x:c>
      <x:c r="H1694" t="n">
        <x:v>1</x:v>
      </x:c>
      <x:c r="I1694" t="str">
        <x:v>Aprobado</x:v>
      </x:c>
      <x:c r="J1694" t="n">
        <x:v>29900</x:v>
      </x:c>
      <x:c r="K1694" t="str">
        <x:v>PSE</x:v>
      </x:c>
      <x:c r="L1694" t="str">
        <x:v>Sin error</x:v>
      </x:c>
    </x:row>
    <x:row r="1695">
      <x:c r="A1695" t="str">
        <x:v>TXN-0001694</x:v>
      </x:c>
      <x:c r="B1695" t="str">
        <x:v>2026-07</x:v>
      </x:c>
      <x:c r="C1695" t="n">
        <x:v>46213</x:v>
      </x:c>
      <x:c r="D1695" t="str">
        <x:v>USR-00037</x:v>
      </x:c>
      <x:c r="E1695" t="str">
        <x:v>SUS-000457</x:v>
      </x:c>
      <x:c r="F1695" t="str">
        <x:v>Plus mensual</x:v>
      </x:c>
      <x:c r="G1695" t="str">
        <x:v>Mensual</x:v>
      </x:c>
      <x:c r="H1695" t="n">
        <x:v>1</x:v>
      </x:c>
      <x:c r="I1695" t="str">
        <x:v>Aprobado</x:v>
      </x:c>
      <x:c r="J1695" t="n">
        <x:v>29900</x:v>
      </x:c>
      <x:c r="K1695" t="str">
        <x:v>Tarjeta débito</x:v>
      </x:c>
      <x:c r="L1695" t="str">
        <x:v>Sin error</x:v>
      </x:c>
    </x:row>
    <x:row r="1696">
      <x:c r="A1696" t="str">
        <x:v>TXN-0001695</x:v>
      </x:c>
      <x:c r="B1696" t="str">
        <x:v>2026-07</x:v>
      </x:c>
      <x:c r="C1696" t="n">
        <x:v>46215</x:v>
      </x:c>
      <x:c r="D1696" t="str">
        <x:v>USR-00055</x:v>
      </x:c>
      <x:c r="E1696" t="str">
        <x:v>SUS-001102</x:v>
      </x:c>
      <x:c r="F1696" t="str">
        <x:v>Plus mensual</x:v>
      </x:c>
      <x:c r="G1696" t="str">
        <x:v>Mensual</x:v>
      </x:c>
      <x:c r="H1696" t="n">
        <x:v>1</x:v>
      </x:c>
      <x:c r="I1696" t="str">
        <x:v>Rechazado</x:v>
      </x:c>
      <x:c r="J1696" t="n">
        <x:v>29900</x:v>
      </x:c>
      <x:c r="K1696" t="str">
        <x:v>PSE</x:v>
      </x:c>
      <x:c r="L1696" t="str">
        <x:v>Error temporal</x:v>
      </x:c>
    </x:row>
    <x:row r="1697">
      <x:c r="A1697" t="str">
        <x:v>TXN-0001696</x:v>
      </x:c>
      <x:c r="B1697" t="str">
        <x:v>2026-07</x:v>
      </x:c>
      <x:c r="C1697" t="n">
        <x:v>46210</x:v>
      </x:c>
      <x:c r="D1697" t="str">
        <x:v>USR-00055</x:v>
      </x:c>
      <x:c r="E1697" t="str">
        <x:v>SUS-001102</x:v>
      </x:c>
      <x:c r="F1697" t="str">
        <x:v>Plus mensual</x:v>
      </x:c>
      <x:c r="G1697" t="str">
        <x:v>Mensual</x:v>
      </x:c>
      <x:c r="H1697" t="n">
        <x:v>2</x:v>
      </x:c>
      <x:c r="I1697" t="str">
        <x:v>Aprobado</x:v>
      </x:c>
      <x:c r="J1697" t="n">
        <x:v>29900</x:v>
      </x:c>
      <x:c r="K1697" t="str">
        <x:v>Tarjeta crédito</x:v>
      </x:c>
      <x:c r="L1697" t="str">
        <x:v>Sin error</x:v>
      </x:c>
    </x:row>
    <x:row r="1698">
      <x:c r="A1698" t="str">
        <x:v>TXN-0001697</x:v>
      </x:c>
      <x:c r="B1698" t="str">
        <x:v>2026-07</x:v>
      </x:c>
      <x:c r="C1698" t="n">
        <x:v>46211</x:v>
      </x:c>
      <x:c r="D1698" t="str">
        <x:v>USR-00064</x:v>
      </x:c>
      <x:c r="E1698" t="str">
        <x:v>SUS-000333</x:v>
      </x:c>
      <x:c r="F1698" t="str">
        <x:v>Plus mensual</x:v>
      </x:c>
      <x:c r="G1698" t="str">
        <x:v>Mensual</x:v>
      </x:c>
      <x:c r="H1698" t="n">
        <x:v>1</x:v>
      </x:c>
      <x:c r="I1698" t="str">
        <x:v>Aprobado</x:v>
      </x:c>
      <x:c r="J1698" t="n">
        <x:v>29900</x:v>
      </x:c>
      <x:c r="K1698" t="str">
        <x:v>PSE</x:v>
      </x:c>
      <x:c r="L1698" t="str">
        <x:v>Sin error</x:v>
      </x:c>
    </x:row>
    <x:row r="1699">
      <x:c r="A1699" t="str">
        <x:v>TXN-0001698</x:v>
      </x:c>
      <x:c r="B1699" t="str">
        <x:v>2026-07</x:v>
      </x:c>
      <x:c r="C1699" t="n">
        <x:v>46211</x:v>
      </x:c>
      <x:c r="D1699" t="str">
        <x:v>USR-00066</x:v>
      </x:c>
      <x:c r="E1699" t="str">
        <x:v>SUS-000216</x:v>
      </x:c>
      <x:c r="F1699" t="str">
        <x:v>Plus anual</x:v>
      </x:c>
      <x:c r="G1699" t="str">
        <x:v>Anual</x:v>
      </x:c>
      <x:c r="H1699" t="n">
        <x:v>1</x:v>
      </x:c>
      <x:c r="I1699" t="str">
        <x:v>Aprobado</x:v>
      </x:c>
      <x:c r="J1699" t="n">
        <x:v>299000</x:v>
      </x:c>
      <x:c r="K1699" t="str">
        <x:v>Tarjeta débito</x:v>
      </x:c>
      <x:c r="L1699" t="str">
        <x:v>Sin error</x:v>
      </x:c>
    </x:row>
    <x:row r="1700">
      <x:c r="A1700" t="str">
        <x:v>TXN-0001699</x:v>
      </x:c>
      <x:c r="B1700" t="str">
        <x:v>2026-07</x:v>
      </x:c>
      <x:c r="C1700" t="n">
        <x:v>46214</x:v>
      </x:c>
      <x:c r="D1700" t="str">
        <x:v>USR-00067</x:v>
      </x:c>
      <x:c r="E1700" t="str">
        <x:v>SUS-001104</x:v>
      </x:c>
      <x:c r="F1700" t="str">
        <x:v>Plus mensual</x:v>
      </x:c>
      <x:c r="G1700" t="str">
        <x:v>Mensual</x:v>
      </x:c>
      <x:c r="H1700" t="n">
        <x:v>1</x:v>
      </x:c>
      <x:c r="I1700" t="str">
        <x:v>Aprobado</x:v>
      </x:c>
      <x:c r="J1700" t="n">
        <x:v>29900</x:v>
      </x:c>
      <x:c r="K1700" t="str">
        <x:v>Tarjeta débito</x:v>
      </x:c>
      <x:c r="L1700" t="str">
        <x:v>Sin error</x:v>
      </x:c>
    </x:row>
    <x:row r="1701">
      <x:c r="A1701" t="str">
        <x:v>TXN-0001700</x:v>
      </x:c>
      <x:c r="B1701" t="str">
        <x:v>2026-07</x:v>
      </x:c>
      <x:c r="C1701" t="n">
        <x:v>46209</x:v>
      </x:c>
      <x:c r="D1701" t="str">
        <x:v>USR-00070</x:v>
      </x:c>
      <x:c r="E1701" t="str">
        <x:v>SUS-001399</x:v>
      </x:c>
      <x:c r="F1701" t="str">
        <x:v>Plus mensual</x:v>
      </x:c>
      <x:c r="G1701" t="str">
        <x:v>Mensual</x:v>
      </x:c>
      <x:c r="H1701" t="n">
        <x:v>1</x:v>
      </x:c>
      <x:c r="I1701" t="str">
        <x:v>Aprobado</x:v>
      </x:c>
      <x:c r="J1701" t="n">
        <x:v>29900</x:v>
      </x:c>
      <x:c r="K1701" t="str">
        <x:v>Tarjeta crédito</x:v>
      </x:c>
      <x:c r="L1701" t="str">
        <x:v>Sin error</x:v>
      </x:c>
    </x:row>
    <x:row r="1702">
      <x:c r="A1702" t="str">
        <x:v>TXN-0001701</x:v>
      </x:c>
      <x:c r="B1702" t="str">
        <x:v>2026-07</x:v>
      </x:c>
      <x:c r="C1702" t="n">
        <x:v>46214</x:v>
      </x:c>
      <x:c r="D1702" t="str">
        <x:v>USR-00071</x:v>
      </x:c>
      <x:c r="E1702" t="str">
        <x:v>SUS-001261</x:v>
      </x:c>
      <x:c r="F1702" t="str">
        <x:v>Plus mensual</x:v>
      </x:c>
      <x:c r="G1702" t="str">
        <x:v>Mensual</x:v>
      </x:c>
      <x:c r="H1702" t="n">
        <x:v>1</x:v>
      </x:c>
      <x:c r="I1702" t="str">
        <x:v>Aprobado</x:v>
      </x:c>
      <x:c r="J1702" t="n">
        <x:v>29900</x:v>
      </x:c>
      <x:c r="K1702" t="str">
        <x:v>PSE</x:v>
      </x:c>
      <x:c r="L1702" t="str">
        <x:v>Sin error</x:v>
      </x:c>
    </x:row>
    <x:row r="1703">
      <x:c r="A1703" t="str">
        <x:v>TXN-0001702</x:v>
      </x:c>
      <x:c r="B1703" t="str">
        <x:v>2026-07</x:v>
      </x:c>
      <x:c r="C1703" t="n">
        <x:v>46214</x:v>
      </x:c>
      <x:c r="D1703" t="str">
        <x:v>USR-00073</x:v>
      </x:c>
      <x:c r="E1703" t="str">
        <x:v>SUS-001262</x:v>
      </x:c>
      <x:c r="F1703" t="str">
        <x:v>Plus mensual</x:v>
      </x:c>
      <x:c r="G1703" t="str">
        <x:v>Mensual</x:v>
      </x:c>
      <x:c r="H1703" t="n">
        <x:v>1</x:v>
      </x:c>
      <x:c r="I1703" t="str">
        <x:v>Aprobado</x:v>
      </x:c>
      <x:c r="J1703" t="n">
        <x:v>29900</x:v>
      </x:c>
      <x:c r="K1703" t="str">
        <x:v>Tarjeta crédito</x:v>
      </x:c>
      <x:c r="L1703" t="str">
        <x:v>Sin error</x:v>
      </x:c>
    </x:row>
    <x:row r="1704">
      <x:c r="A1704" t="str">
        <x:v>TXN-0001703</x:v>
      </x:c>
      <x:c r="B1704" t="str">
        <x:v>2026-07</x:v>
      </x:c>
      <x:c r="C1704" t="n">
        <x:v>46209</x:v>
      </x:c>
      <x:c r="D1704" t="str">
        <x:v>USR-00076</x:v>
      </x:c>
      <x:c r="E1704" t="str">
        <x:v>SUS-000966</x:v>
      </x:c>
      <x:c r="F1704" t="str">
        <x:v>Plus mensual</x:v>
      </x:c>
      <x:c r="G1704" t="str">
        <x:v>Mensual</x:v>
      </x:c>
      <x:c r="H1704" t="n">
        <x:v>1</x:v>
      </x:c>
      <x:c r="I1704" t="str">
        <x:v>Aprobado</x:v>
      </x:c>
      <x:c r="J1704" t="n">
        <x:v>29900</x:v>
      </x:c>
      <x:c r="K1704" t="str">
        <x:v>Tarjeta crédito</x:v>
      </x:c>
      <x:c r="L1704" t="str">
        <x:v>Sin error</x:v>
      </x:c>
    </x:row>
    <x:row r="1705">
      <x:c r="A1705" t="str">
        <x:v>TXN-0001704</x:v>
      </x:c>
      <x:c r="B1705" t="str">
        <x:v>2026-07</x:v>
      </x:c>
      <x:c r="C1705" t="n">
        <x:v>46209</x:v>
      </x:c>
      <x:c r="D1705" t="str">
        <x:v>USR-00078</x:v>
      </x:c>
      <x:c r="E1705" t="str">
        <x:v>SUS-000083</x:v>
      </x:c>
      <x:c r="F1705" t="str">
        <x:v>Plus mensual</x:v>
      </x:c>
      <x:c r="G1705" t="str">
        <x:v>Mensual</x:v>
      </x:c>
      <x:c r="H1705" t="n">
        <x:v>1</x:v>
      </x:c>
      <x:c r="I1705" t="str">
        <x:v>Aprobado</x:v>
      </x:c>
      <x:c r="J1705" t="n">
        <x:v>29900</x:v>
      </x:c>
      <x:c r="K1705" t="str">
        <x:v>Tarjeta débito</x:v>
      </x:c>
      <x:c r="L1705" t="str">
        <x:v>Sin error</x:v>
      </x:c>
    </x:row>
    <x:row r="1706">
      <x:c r="A1706" t="str">
        <x:v>TXN-0001705</x:v>
      </x:c>
      <x:c r="B1706" t="str">
        <x:v>2026-07</x:v>
      </x:c>
      <x:c r="C1706" t="n">
        <x:v>46208</x:v>
      </x:c>
      <x:c r="D1706" t="str">
        <x:v>USR-00079</x:v>
      </x:c>
      <x:c r="E1706" t="str">
        <x:v>SUS-000336</x:v>
      </x:c>
      <x:c r="F1706" t="str">
        <x:v>Plus mensual</x:v>
      </x:c>
      <x:c r="G1706" t="str">
        <x:v>Mensual</x:v>
      </x:c>
      <x:c r="H1706" t="n">
        <x:v>1</x:v>
      </x:c>
      <x:c r="I1706" t="str">
        <x:v>Aprobado</x:v>
      </x:c>
      <x:c r="J1706" t="n">
        <x:v>29900</x:v>
      </x:c>
      <x:c r="K1706" t="str">
        <x:v>Tarjeta débito</x:v>
      </x:c>
      <x:c r="L1706" t="str">
        <x:v>Sin error</x:v>
      </x:c>
    </x:row>
    <x:row r="1707">
      <x:c r="A1707" t="str">
        <x:v>TXN-0001706</x:v>
      </x:c>
      <x:c r="B1707" t="str">
        <x:v>2026-07</x:v>
      </x:c>
      <x:c r="C1707" t="n">
        <x:v>46215</x:v>
      </x:c>
      <x:c r="D1707" t="str">
        <x:v>USR-00087</x:v>
      </x:c>
      <x:c r="E1707" t="str">
        <x:v>SUS-001400</x:v>
      </x:c>
      <x:c r="F1707" t="str">
        <x:v>Plus mensual</x:v>
      </x:c>
      <x:c r="G1707" t="str">
        <x:v>Mensual</x:v>
      </x:c>
      <x:c r="H1707" t="n">
        <x:v>1</x:v>
      </x:c>
      <x:c r="I1707" t="str">
        <x:v>Aprobado</x:v>
      </x:c>
      <x:c r="J1707" t="n">
        <x:v>29900</x:v>
      </x:c>
      <x:c r="K1707" t="str">
        <x:v>Tarjeta débito</x:v>
      </x:c>
      <x:c r="L1707" t="str">
        <x:v>Sin error</x:v>
      </x:c>
    </x:row>
    <x:row r="1708">
      <x:c r="A1708" t="str">
        <x:v>TXN-0001707</x:v>
      </x:c>
      <x:c r="B1708" t="str">
        <x:v>2026-07</x:v>
      </x:c>
      <x:c r="C1708" t="n">
        <x:v>46213</x:v>
      </x:c>
      <x:c r="D1708" t="str">
        <x:v>USR-00091</x:v>
      </x:c>
      <x:c r="E1708" t="str">
        <x:v>SUS-000736</x:v>
      </x:c>
      <x:c r="F1708" t="str">
        <x:v>Plus mensual</x:v>
      </x:c>
      <x:c r="G1708" t="str">
        <x:v>Mensual</x:v>
      </x:c>
      <x:c r="H1708" t="n">
        <x:v>1</x:v>
      </x:c>
      <x:c r="I1708" t="str">
        <x:v>Aprobado</x:v>
      </x:c>
      <x:c r="J1708" t="n">
        <x:v>29900</x:v>
      </x:c>
      <x:c r="K1708" t="str">
        <x:v>Tarjeta crédito</x:v>
      </x:c>
      <x:c r="L1708" t="str">
        <x:v>Sin error</x:v>
      </x:c>
    </x:row>
    <x:row r="1709">
      <x:c r="A1709" t="str">
        <x:v>TXN-0001708</x:v>
      </x:c>
      <x:c r="B1709" t="str">
        <x:v>2026-07</x:v>
      </x:c>
      <x:c r="C1709" t="n">
        <x:v>46208</x:v>
      </x:c>
      <x:c r="D1709" t="str">
        <x:v>USR-00096</x:v>
      </x:c>
      <x:c r="E1709" t="str">
        <x:v>SUS-000273</x:v>
      </x:c>
      <x:c r="F1709" t="str">
        <x:v>Plus mensual</x:v>
      </x:c>
      <x:c r="G1709" t="str">
        <x:v>Mensual</x:v>
      </x:c>
      <x:c r="H1709" t="n">
        <x:v>1</x:v>
      </x:c>
      <x:c r="I1709" t="str">
        <x:v>Aprobado</x:v>
      </x:c>
      <x:c r="J1709" t="n">
        <x:v>29900</x:v>
      </x:c>
      <x:c r="K1709" t="str">
        <x:v>PSE</x:v>
      </x:c>
      <x:c r="L1709" t="str">
        <x:v>Sin error</x:v>
      </x:c>
    </x:row>
    <x:row r="1710">
      <x:c r="A1710" t="str">
        <x:v>TXN-0001709</x:v>
      </x:c>
      <x:c r="B1710" t="str">
        <x:v>2026-07</x:v>
      </x:c>
      <x:c r="C1710" t="n">
        <x:v>46208</x:v>
      </x:c>
      <x:c r="D1710" t="str">
        <x:v>USR-00098</x:v>
      </x:c>
      <x:c r="E1710" t="str">
        <x:v>SUS-001401</x:v>
      </x:c>
      <x:c r="F1710" t="str">
        <x:v>Plus mensual</x:v>
      </x:c>
      <x:c r="G1710" t="str">
        <x:v>Mensual</x:v>
      </x:c>
      <x:c r="H1710" t="n">
        <x:v>1</x:v>
      </x:c>
      <x:c r="I1710" t="str">
        <x:v>Aprobado</x:v>
      </x:c>
      <x:c r="J1710" t="n">
        <x:v>29900</x:v>
      </x:c>
      <x:c r="K1710" t="str">
        <x:v>Tarjeta crédito</x:v>
      </x:c>
      <x:c r="L1710" t="str">
        <x:v>Sin error</x:v>
      </x:c>
    </x:row>
    <x:row r="1711">
      <x:c r="A1711" t="str">
        <x:v>TXN-0001710</x:v>
      </x:c>
      <x:c r="B1711" t="str">
        <x:v>2026-07</x:v>
      </x:c>
      <x:c r="C1711" t="n">
        <x:v>46209</x:v>
      </x:c>
      <x:c r="D1711" t="str">
        <x:v>USR-00099</x:v>
      </x:c>
      <x:c r="E1711" t="str">
        <x:v>SUS-000337</x:v>
      </x:c>
      <x:c r="F1711" t="str">
        <x:v>Plus mensual</x:v>
      </x:c>
      <x:c r="G1711" t="str">
        <x:v>Mensual</x:v>
      </x:c>
      <x:c r="H1711" t="n">
        <x:v>1</x:v>
      </x:c>
      <x:c r="I1711" t="str">
        <x:v>Aprobado</x:v>
      </x:c>
      <x:c r="J1711" t="n">
        <x:v>29900</x:v>
      </x:c>
      <x:c r="K1711" t="str">
        <x:v>PSE</x:v>
      </x:c>
      <x:c r="L1711" t="str">
        <x:v>Sin error</x:v>
      </x:c>
    </x:row>
    <x:row r="1712">
      <x:c r="A1712" t="str">
        <x:v>TXN-0001711</x:v>
      </x:c>
      <x:c r="B1712" t="str">
        <x:v>2026-07</x:v>
      </x:c>
      <x:c r="C1712" t="n">
        <x:v>46214</x:v>
      </x:c>
      <x:c r="D1712" t="str">
        <x:v>USR-00101</x:v>
      </x:c>
      <x:c r="E1712" t="str">
        <x:v>SUS-000220</x:v>
      </x:c>
      <x:c r="F1712" t="str">
        <x:v>Plus anual</x:v>
      </x:c>
      <x:c r="G1712" t="str">
        <x:v>Anual</x:v>
      </x:c>
      <x:c r="H1712" t="n">
        <x:v>1</x:v>
      </x:c>
      <x:c r="I1712" t="str">
        <x:v>Aprobado</x:v>
      </x:c>
      <x:c r="J1712" t="n">
        <x:v>299000</x:v>
      </x:c>
      <x:c r="K1712" t="str">
        <x:v>PSE</x:v>
      </x:c>
      <x:c r="L1712" t="str">
        <x:v>Sin error</x:v>
      </x:c>
    </x:row>
    <x:row r="1713">
      <x:c r="A1713" t="str">
        <x:v>TXN-0001712</x:v>
      </x:c>
      <x:c r="B1713" t="str">
        <x:v>2026-07</x:v>
      </x:c>
      <x:c r="C1713" t="n">
        <x:v>46210</x:v>
      </x:c>
      <x:c r="D1713" t="str">
        <x:v>USR-00102</x:v>
      </x:c>
      <x:c r="E1713" t="str">
        <x:v>SUS-000842</x:v>
      </x:c>
      <x:c r="F1713" t="str">
        <x:v>Plus mensual</x:v>
      </x:c>
      <x:c r="G1713" t="str">
        <x:v>Mensual</x:v>
      </x:c>
      <x:c r="H1713" t="n">
        <x:v>1</x:v>
      </x:c>
      <x:c r="I1713" t="str">
        <x:v>Aprobado</x:v>
      </x:c>
      <x:c r="J1713" t="n">
        <x:v>29900</x:v>
      </x:c>
      <x:c r="K1713" t="str">
        <x:v>Tarjeta débito</x:v>
      </x:c>
      <x:c r="L1713" t="str">
        <x:v>Sin error</x:v>
      </x:c>
    </x:row>
    <x:row r="1714">
      <x:c r="A1714" t="str">
        <x:v>TXN-0001713</x:v>
      </x:c>
      <x:c r="B1714" t="str">
        <x:v>2026-07</x:v>
      </x:c>
      <x:c r="C1714" t="n">
        <x:v>46215</x:v>
      </x:c>
      <x:c r="D1714" t="str">
        <x:v>USR-00104</x:v>
      </x:c>
      <x:c r="E1714" t="str">
        <x:v>SUS-001402</x:v>
      </x:c>
      <x:c r="F1714" t="str">
        <x:v>Plus mensual</x:v>
      </x:c>
      <x:c r="G1714" t="str">
        <x:v>Mensual</x:v>
      </x:c>
      <x:c r="H1714" t="n">
        <x:v>1</x:v>
      </x:c>
      <x:c r="I1714" t="str">
        <x:v>Aprobado</x:v>
      </x:c>
      <x:c r="J1714" t="n">
        <x:v>29900</x:v>
      </x:c>
      <x:c r="K1714" t="str">
        <x:v>PSE</x:v>
      </x:c>
      <x:c r="L1714" t="str">
        <x:v>Sin error</x:v>
      </x:c>
    </x:row>
    <x:row r="1715">
      <x:c r="A1715" t="str">
        <x:v>TXN-0001714</x:v>
      </x:c>
      <x:c r="B1715" t="str">
        <x:v>2026-07</x:v>
      </x:c>
      <x:c r="C1715" t="n">
        <x:v>46209</x:v>
      </x:c>
      <x:c r="D1715" t="str">
        <x:v>USR-00106</x:v>
      </x:c>
      <x:c r="E1715" t="str">
        <x:v>SUS-001403</x:v>
      </x:c>
      <x:c r="F1715" t="str">
        <x:v>Plus mensual</x:v>
      </x:c>
      <x:c r="G1715" t="str">
        <x:v>Mensual</x:v>
      </x:c>
      <x:c r="H1715" t="n">
        <x:v>1</x:v>
      </x:c>
      <x:c r="I1715" t="str">
        <x:v>Aprobado</x:v>
      </x:c>
      <x:c r="J1715" t="n">
        <x:v>29900</x:v>
      </x:c>
      <x:c r="K1715" t="str">
        <x:v>PSE</x:v>
      </x:c>
      <x:c r="L1715" t="str">
        <x:v>Sin error</x:v>
      </x:c>
    </x:row>
    <x:row r="1716">
      <x:c r="A1716" t="str">
        <x:v>TXN-0001715</x:v>
      </x:c>
      <x:c r="B1716" t="str">
        <x:v>2026-07</x:v>
      </x:c>
      <x:c r="C1716" t="n">
        <x:v>46211</x:v>
      </x:c>
      <x:c r="D1716" t="str">
        <x:v>USR-00108</x:v>
      </x:c>
      <x:c r="E1716" t="str">
        <x:v>SUS-001108</x:v>
      </x:c>
      <x:c r="F1716" t="str">
        <x:v>Plus mensual</x:v>
      </x:c>
      <x:c r="G1716" t="str">
        <x:v>Mensual</x:v>
      </x:c>
      <x:c r="H1716" t="n">
        <x:v>1</x:v>
      </x:c>
      <x:c r="I1716" t="str">
        <x:v>Aprobado</x:v>
      </x:c>
      <x:c r="J1716" t="n">
        <x:v>29900</x:v>
      </x:c>
      <x:c r="K1716" t="str">
        <x:v>Tarjeta débito</x:v>
      </x:c>
      <x:c r="L1716" t="str">
        <x:v>Sin error</x:v>
      </x:c>
    </x:row>
    <x:row r="1717">
      <x:c r="A1717" t="str">
        <x:v>TXN-0001716</x:v>
      </x:c>
      <x:c r="B1717" t="str">
        <x:v>2026-07</x:v>
      </x:c>
      <x:c r="C1717" t="n">
        <x:v>46210</x:v>
      </x:c>
      <x:c r="D1717" t="str">
        <x:v>USR-00118</x:v>
      </x:c>
      <x:c r="E1717" t="str">
        <x:v>SUS-001404</x:v>
      </x:c>
      <x:c r="F1717" t="str">
        <x:v>Plus mensual</x:v>
      </x:c>
      <x:c r="G1717" t="str">
        <x:v>Mensual</x:v>
      </x:c>
      <x:c r="H1717" t="n">
        <x:v>1</x:v>
      </x:c>
      <x:c r="I1717" t="str">
        <x:v>Rechazado</x:v>
      </x:c>
      <x:c r="J1717" t="n">
        <x:v>29900</x:v>
      </x:c>
      <x:c r="K1717" t="str">
        <x:v>PSE</x:v>
      </x:c>
      <x:c r="L1717" t="str">
        <x:v>Fondos insuficientes</x:v>
      </x:c>
    </x:row>
    <x:row r="1718">
      <x:c r="A1718" t="str">
        <x:v>TXN-0001717</x:v>
      </x:c>
      <x:c r="B1718" t="str">
        <x:v>2026-07</x:v>
      </x:c>
      <x:c r="C1718" t="n">
        <x:v>46208</x:v>
      </x:c>
      <x:c r="D1718" t="str">
        <x:v>USR-00118</x:v>
      </x:c>
      <x:c r="E1718" t="str">
        <x:v>SUS-001404</x:v>
      </x:c>
      <x:c r="F1718" t="str">
        <x:v>Plus mensual</x:v>
      </x:c>
      <x:c r="G1718" t="str">
        <x:v>Mensual</x:v>
      </x:c>
      <x:c r="H1718" t="n">
        <x:v>2</x:v>
      </x:c>
      <x:c r="I1718" t="str">
        <x:v>Aprobado</x:v>
      </x:c>
      <x:c r="J1718" t="n">
        <x:v>29900</x:v>
      </x:c>
      <x:c r="K1718" t="str">
        <x:v>PSE</x:v>
      </x:c>
      <x:c r="L1718" t="str">
        <x:v>Sin error</x:v>
      </x:c>
    </x:row>
    <x:row r="1719">
      <x:c r="A1719" t="str">
        <x:v>TXN-0001718</x:v>
      </x:c>
      <x:c r="B1719" t="str">
        <x:v>2026-07</x:v>
      </x:c>
      <x:c r="C1719" t="n">
        <x:v>46214</x:v>
      </x:c>
      <x:c r="D1719" t="str">
        <x:v>USR-00122</x:v>
      </x:c>
      <x:c r="E1719" t="str">
        <x:v>SUS-000843</x:v>
      </x:c>
      <x:c r="F1719" t="str">
        <x:v>Plus mensual</x:v>
      </x:c>
      <x:c r="G1719" t="str">
        <x:v>Mensual</x:v>
      </x:c>
      <x:c r="H1719" t="n">
        <x:v>1</x:v>
      </x:c>
      <x:c r="I1719" t="str">
        <x:v>Aprobado</x:v>
      </x:c>
      <x:c r="J1719" t="n">
        <x:v>29900</x:v>
      </x:c>
      <x:c r="K1719" t="str">
        <x:v>PSE</x:v>
      </x:c>
      <x:c r="L1719" t="str">
        <x:v>Sin error</x:v>
      </x:c>
    </x:row>
    <x:row r="1720">
      <x:c r="A1720" t="str">
        <x:v>TXN-0001719</x:v>
      </x:c>
      <x:c r="B1720" t="str">
        <x:v>2026-07</x:v>
      </x:c>
      <x:c r="C1720" t="n">
        <x:v>46209</x:v>
      </x:c>
      <x:c r="D1720" t="str">
        <x:v>USR-00123</x:v>
      </x:c>
      <x:c r="E1720" t="str">
        <x:v>SUS-001405</x:v>
      </x:c>
      <x:c r="F1720" t="str">
        <x:v>Plus anual</x:v>
      </x:c>
      <x:c r="G1720" t="str">
        <x:v>Anual</x:v>
      </x:c>
      <x:c r="H1720" t="n">
        <x:v>1</x:v>
      </x:c>
      <x:c r="I1720" t="str">
        <x:v>Aprobado</x:v>
      </x:c>
      <x:c r="J1720" t="n">
        <x:v>299000</x:v>
      </x:c>
      <x:c r="K1720" t="str">
        <x:v>Tarjeta débito</x:v>
      </x:c>
      <x:c r="L1720" t="str">
        <x:v>Sin error</x:v>
      </x:c>
    </x:row>
    <x:row r="1721">
      <x:c r="A1721" t="str">
        <x:v>TXN-0001720</x:v>
      </x:c>
      <x:c r="B1721" t="str">
        <x:v>2026-07</x:v>
      </x:c>
      <x:c r="C1721" t="n">
        <x:v>46212</x:v>
      </x:c>
      <x:c r="D1721" t="str">
        <x:v>USR-00136</x:v>
      </x:c>
      <x:c r="E1721" t="str">
        <x:v>SUS-001263</x:v>
      </x:c>
      <x:c r="F1721" t="str">
        <x:v>Plus mensual</x:v>
      </x:c>
      <x:c r="G1721" t="str">
        <x:v>Mensual</x:v>
      </x:c>
      <x:c r="H1721" t="n">
        <x:v>1</x:v>
      </x:c>
      <x:c r="I1721" t="str">
        <x:v>Aprobado</x:v>
      </x:c>
      <x:c r="J1721" t="n">
        <x:v>29900</x:v>
      </x:c>
      <x:c r="K1721" t="str">
        <x:v>Tarjeta crédito</x:v>
      </x:c>
      <x:c r="L1721" t="str">
        <x:v>Sin error</x:v>
      </x:c>
    </x:row>
    <x:row r="1722">
      <x:c r="A1722" t="str">
        <x:v>TXN-0001721</x:v>
      </x:c>
      <x:c r="B1722" t="str">
        <x:v>2026-07</x:v>
      </x:c>
      <x:c r="C1722" t="n">
        <x:v>46214</x:v>
      </x:c>
      <x:c r="D1722" t="str">
        <x:v>USR-00139</x:v>
      </x:c>
      <x:c r="E1722" t="str">
        <x:v>SUS-001406</x:v>
      </x:c>
      <x:c r="F1722" t="str">
        <x:v>Plus mensual</x:v>
      </x:c>
      <x:c r="G1722" t="str">
        <x:v>Mensual</x:v>
      </x:c>
      <x:c r="H1722" t="n">
        <x:v>1</x:v>
      </x:c>
      <x:c r="I1722" t="str">
        <x:v>Aprobado</x:v>
      </x:c>
      <x:c r="J1722" t="n">
        <x:v>29900</x:v>
      </x:c>
      <x:c r="K1722" t="str">
        <x:v>Tarjeta crédito</x:v>
      </x:c>
      <x:c r="L1722" t="str">
        <x:v>Sin error</x:v>
      </x:c>
    </x:row>
    <x:row r="1723">
      <x:c r="A1723" t="str">
        <x:v>TXN-0001722</x:v>
      </x:c>
      <x:c r="B1723" t="str">
        <x:v>2026-07</x:v>
      </x:c>
      <x:c r="C1723" t="n">
        <x:v>46211</x:v>
      </x:c>
      <x:c r="D1723" t="str">
        <x:v>USR-00142</x:v>
      </x:c>
      <x:c r="E1723" t="str">
        <x:v>SUS-001407</x:v>
      </x:c>
      <x:c r="F1723" t="str">
        <x:v>Plus mensual</x:v>
      </x:c>
      <x:c r="G1723" t="str">
        <x:v>Mensual</x:v>
      </x:c>
      <x:c r="H1723" t="n">
        <x:v>1</x:v>
      </x:c>
      <x:c r="I1723" t="str">
        <x:v>Aprobado</x:v>
      </x:c>
      <x:c r="J1723" t="n">
        <x:v>29900</x:v>
      </x:c>
      <x:c r="K1723" t="str">
        <x:v>Tarjeta débito</x:v>
      </x:c>
      <x:c r="L1723" t="str">
        <x:v>Sin error</x:v>
      </x:c>
    </x:row>
    <x:row r="1724">
      <x:c r="A1724" t="str">
        <x:v>TXN-0001723</x:v>
      </x:c>
      <x:c r="B1724" t="str">
        <x:v>2026-07</x:v>
      </x:c>
      <x:c r="C1724" t="n">
        <x:v>46208</x:v>
      </x:c>
      <x:c r="D1724" t="str">
        <x:v>USR-00145</x:v>
      </x:c>
      <x:c r="E1724" t="str">
        <x:v>SUS-000168</x:v>
      </x:c>
      <x:c r="F1724" t="str">
        <x:v>Plus mensual</x:v>
      </x:c>
      <x:c r="G1724" t="str">
        <x:v>Mensual</x:v>
      </x:c>
      <x:c r="H1724" t="n">
        <x:v>1</x:v>
      </x:c>
      <x:c r="I1724" t="str">
        <x:v>Aprobado</x:v>
      </x:c>
      <x:c r="J1724" t="n">
        <x:v>29900</x:v>
      </x:c>
      <x:c r="K1724" t="str">
        <x:v>Tarjeta crédito</x:v>
      </x:c>
      <x:c r="L1724" t="str">
        <x:v>Sin error</x:v>
      </x:c>
    </x:row>
    <x:row r="1725">
      <x:c r="A1725" t="str">
        <x:v>TXN-0001724</x:v>
      </x:c>
      <x:c r="B1725" t="str">
        <x:v>2026-07</x:v>
      </x:c>
      <x:c r="C1725" t="n">
        <x:v>46208</x:v>
      </x:c>
      <x:c r="D1725" t="str">
        <x:v>USR-00151</x:v>
      </x:c>
      <x:c r="E1725" t="str">
        <x:v>SUS-001264</x:v>
      </x:c>
      <x:c r="F1725" t="str">
        <x:v>Plus mensual</x:v>
      </x:c>
      <x:c r="G1725" t="str">
        <x:v>Mensual</x:v>
      </x:c>
      <x:c r="H1725" t="n">
        <x:v>1</x:v>
      </x:c>
      <x:c r="I1725" t="str">
        <x:v>Rechazado</x:v>
      </x:c>
      <x:c r="J1725" t="n">
        <x:v>29900</x:v>
      </x:c>
      <x:c r="K1725" t="str">
        <x:v>PSE</x:v>
      </x:c>
      <x:c r="L1725" t="str">
        <x:v>Fondos insuficientes</x:v>
      </x:c>
    </x:row>
    <x:row r="1726">
      <x:c r="A1726" t="str">
        <x:v>TXN-0001725</x:v>
      </x:c>
      <x:c r="B1726" t="str">
        <x:v>2026-07</x:v>
      </x:c>
      <x:c r="C1726" t="n">
        <x:v>46210</x:v>
      </x:c>
      <x:c r="D1726" t="str">
        <x:v>USR-00151</x:v>
      </x:c>
      <x:c r="E1726" t="str">
        <x:v>SUS-001264</x:v>
      </x:c>
      <x:c r="F1726" t="str">
        <x:v>Plus mensual</x:v>
      </x:c>
      <x:c r="G1726" t="str">
        <x:v>Mensual</x:v>
      </x:c>
      <x:c r="H1726" t="n">
        <x:v>2</x:v>
      </x:c>
      <x:c r="I1726" t="str">
        <x:v>Aprobado</x:v>
      </x:c>
      <x:c r="J1726" t="n">
        <x:v>29900</x:v>
      </x:c>
      <x:c r="K1726" t="str">
        <x:v>Tarjeta crédito</x:v>
      </x:c>
      <x:c r="L1726" t="str">
        <x:v>Sin error</x:v>
      </x:c>
    </x:row>
    <x:row r="1727">
      <x:c r="A1727" t="str">
        <x:v>TXN-0001726</x:v>
      </x:c>
      <x:c r="B1727" t="str">
        <x:v>2026-07</x:v>
      </x:c>
      <x:c r="C1727" t="n">
        <x:v>46208</x:v>
      </x:c>
      <x:c r="D1727" t="str">
        <x:v>USR-00154</x:v>
      </x:c>
      <x:c r="E1727" t="str">
        <x:v>SUS-000278</x:v>
      </x:c>
      <x:c r="F1727" t="str">
        <x:v>Plus mensual</x:v>
      </x:c>
      <x:c r="G1727" t="str">
        <x:v>Mensual</x:v>
      </x:c>
      <x:c r="H1727" t="n">
        <x:v>1</x:v>
      </x:c>
      <x:c r="I1727" t="str">
        <x:v>Aprobado</x:v>
      </x:c>
      <x:c r="J1727" t="n">
        <x:v>29900</x:v>
      </x:c>
      <x:c r="K1727" t="str">
        <x:v>Tarjeta crédito</x:v>
      </x:c>
      <x:c r="L1727" t="str">
        <x:v>Sin error</x:v>
      </x:c>
    </x:row>
    <x:row r="1728">
      <x:c r="A1728" t="str">
        <x:v>TXN-0001727</x:v>
      </x:c>
      <x:c r="B1728" t="str">
        <x:v>2026-07</x:v>
      </x:c>
      <x:c r="C1728" t="n">
        <x:v>46211</x:v>
      </x:c>
      <x:c r="D1728" t="str">
        <x:v>USR-00162</x:v>
      </x:c>
      <x:c r="E1728" t="str">
        <x:v>SUS-000225</x:v>
      </x:c>
      <x:c r="F1728" t="str">
        <x:v>Plus mensual</x:v>
      </x:c>
      <x:c r="G1728" t="str">
        <x:v>Mensual</x:v>
      </x:c>
      <x:c r="H1728" t="n">
        <x:v>1</x:v>
      </x:c>
      <x:c r="I1728" t="str">
        <x:v>Aprobado</x:v>
      </x:c>
      <x:c r="J1728" t="n">
        <x:v>29900</x:v>
      </x:c>
      <x:c r="K1728" t="str">
        <x:v>PSE</x:v>
      </x:c>
      <x:c r="L1728" t="str">
        <x:v>Sin error</x:v>
      </x:c>
    </x:row>
    <x:row r="1729">
      <x:c r="A1729" t="str">
        <x:v>TXN-0001728</x:v>
      </x:c>
      <x:c r="B1729" t="str">
        <x:v>2026-07</x:v>
      </x:c>
      <x:c r="C1729" t="n">
        <x:v>46212</x:v>
      </x:c>
      <x:c r="D1729" t="str">
        <x:v>USR-00164</x:v>
      </x:c>
      <x:c r="E1729" t="str">
        <x:v>SUS-000534</x:v>
      </x:c>
      <x:c r="F1729" t="str">
        <x:v>Plus mensual</x:v>
      </x:c>
      <x:c r="G1729" t="str">
        <x:v>Mensual</x:v>
      </x:c>
      <x:c r="H1729" t="n">
        <x:v>1</x:v>
      </x:c>
      <x:c r="I1729" t="str">
        <x:v>Aprobado</x:v>
      </x:c>
      <x:c r="J1729" t="n">
        <x:v>29900</x:v>
      </x:c>
      <x:c r="K1729" t="str">
        <x:v>Tarjeta crédito</x:v>
      </x:c>
      <x:c r="L1729" t="str">
        <x:v>Sin error</x:v>
      </x:c>
    </x:row>
    <x:row r="1730">
      <x:c r="A1730" t="str">
        <x:v>TXN-0001729</x:v>
      </x:c>
      <x:c r="B1730" t="str">
        <x:v>2026-07</x:v>
      </x:c>
      <x:c r="C1730" t="n">
        <x:v>46209</x:v>
      </x:c>
      <x:c r="D1730" t="str">
        <x:v>USR-00167</x:v>
      </x:c>
      <x:c r="E1730" t="str">
        <x:v>SUS-000226</x:v>
      </x:c>
      <x:c r="F1730" t="str">
        <x:v>Plus mensual</x:v>
      </x:c>
      <x:c r="G1730" t="str">
        <x:v>Mensual</x:v>
      </x:c>
      <x:c r="H1730" t="n">
        <x:v>1</x:v>
      </x:c>
      <x:c r="I1730" t="str">
        <x:v>Aprobado</x:v>
      </x:c>
      <x:c r="J1730" t="n">
        <x:v>29900</x:v>
      </x:c>
      <x:c r="K1730" t="str">
        <x:v>Tarjeta débito</x:v>
      </x:c>
      <x:c r="L1730" t="str">
        <x:v>Sin error</x:v>
      </x:c>
    </x:row>
    <x:row r="1731">
      <x:c r="A1731" t="str">
        <x:v>TXN-0001730</x:v>
      </x:c>
      <x:c r="B1731" t="str">
        <x:v>2026-07</x:v>
      </x:c>
      <x:c r="C1731" t="n">
        <x:v>46209</x:v>
      </x:c>
      <x:c r="D1731" t="str">
        <x:v>USR-00174</x:v>
      </x:c>
      <x:c r="E1731" t="str">
        <x:v>SUS-001265</x:v>
      </x:c>
      <x:c r="F1731" t="str">
        <x:v>Plus mensual</x:v>
      </x:c>
      <x:c r="G1731" t="str">
        <x:v>Mensual</x:v>
      </x:c>
      <x:c r="H1731" t="n">
        <x:v>1</x:v>
      </x:c>
      <x:c r="I1731" t="str">
        <x:v>Aprobado</x:v>
      </x:c>
      <x:c r="J1731" t="n">
        <x:v>29900</x:v>
      </x:c>
      <x:c r="K1731" t="str">
        <x:v>Tarjeta crédito</x:v>
      </x:c>
      <x:c r="L1731" t="str">
        <x:v>Sin error</x:v>
      </x:c>
    </x:row>
    <x:row r="1732">
      <x:c r="A1732" t="str">
        <x:v>TXN-0001731</x:v>
      </x:c>
      <x:c r="B1732" t="str">
        <x:v>2026-07</x:v>
      </x:c>
      <x:c r="C1732" t="n">
        <x:v>46211</x:v>
      </x:c>
      <x:c r="D1732" t="str">
        <x:v>USR-00184</x:v>
      </x:c>
      <x:c r="E1732" t="str">
        <x:v>SUS-000281</x:v>
      </x:c>
      <x:c r="F1732" t="str">
        <x:v>Plus mensual</x:v>
      </x:c>
      <x:c r="G1732" t="str">
        <x:v>Mensual</x:v>
      </x:c>
      <x:c r="H1732" t="n">
        <x:v>1</x:v>
      </x:c>
      <x:c r="I1732" t="str">
        <x:v>Aprobado</x:v>
      </x:c>
      <x:c r="J1732" t="n">
        <x:v>29900</x:v>
      </x:c>
      <x:c r="K1732" t="str">
        <x:v>Tarjeta débito</x:v>
      </x:c>
      <x:c r="L1732" t="str">
        <x:v>Sin error</x:v>
      </x:c>
    </x:row>
    <x:row r="1733">
      <x:c r="A1733" t="str">
        <x:v>TXN-0001732</x:v>
      </x:c>
      <x:c r="B1733" t="str">
        <x:v>2026-07</x:v>
      </x:c>
      <x:c r="C1733" t="n">
        <x:v>46208</x:v>
      </x:c>
      <x:c r="D1733" t="str">
        <x:v>USR-00185</x:v>
      </x:c>
      <x:c r="E1733" t="str">
        <x:v>SUS-000228</x:v>
      </x:c>
      <x:c r="F1733" t="str">
        <x:v>Plus anual</x:v>
      </x:c>
      <x:c r="G1733" t="str">
        <x:v>Anual</x:v>
      </x:c>
      <x:c r="H1733" t="n">
        <x:v>1</x:v>
      </x:c>
      <x:c r="I1733" t="str">
        <x:v>Aprobado</x:v>
      </x:c>
      <x:c r="J1733" t="n">
        <x:v>299000</x:v>
      </x:c>
      <x:c r="K1733" t="str">
        <x:v>Tarjeta crédito</x:v>
      </x:c>
      <x:c r="L1733" t="str">
        <x:v>Sin error</x:v>
      </x:c>
    </x:row>
    <x:row r="1734">
      <x:c r="A1734" t="str">
        <x:v>TXN-0001733</x:v>
      </x:c>
      <x:c r="B1734" t="str">
        <x:v>2026-07</x:v>
      </x:c>
      <x:c r="C1734" t="n">
        <x:v>46208</x:v>
      </x:c>
      <x:c r="D1734" t="str">
        <x:v>USR-00188</x:v>
      </x:c>
      <x:c r="E1734" t="str">
        <x:v>SUS-000229</x:v>
      </x:c>
      <x:c r="F1734" t="str">
        <x:v>Plus mensual</x:v>
      </x:c>
      <x:c r="G1734" t="str">
        <x:v>Mensual</x:v>
      </x:c>
      <x:c r="H1734" t="n">
        <x:v>1</x:v>
      </x:c>
      <x:c r="I1734" t="str">
        <x:v>Rechazado</x:v>
      </x:c>
      <x:c r="J1734" t="n">
        <x:v>29900</x:v>
      </x:c>
      <x:c r="K1734" t="str">
        <x:v>Tarjeta crédito</x:v>
      </x:c>
      <x:c r="L1734" t="str">
        <x:v>Error temporal</x:v>
      </x:c>
    </x:row>
    <x:row r="1735">
      <x:c r="A1735" t="str">
        <x:v>TXN-0001734</x:v>
      </x:c>
      <x:c r="B1735" t="str">
        <x:v>2026-07</x:v>
      </x:c>
      <x:c r="C1735" t="n">
        <x:v>46211</x:v>
      </x:c>
      <x:c r="D1735" t="str">
        <x:v>USR-00188</x:v>
      </x:c>
      <x:c r="E1735" t="str">
        <x:v>SUS-000229</x:v>
      </x:c>
      <x:c r="F1735" t="str">
        <x:v>Plus mensual</x:v>
      </x:c>
      <x:c r="G1735" t="str">
        <x:v>Mensual</x:v>
      </x:c>
      <x:c r="H1735" t="n">
        <x:v>2</x:v>
      </x:c>
      <x:c r="I1735" t="str">
        <x:v>Aprobado</x:v>
      </x:c>
      <x:c r="J1735" t="n">
        <x:v>29900</x:v>
      </x:c>
      <x:c r="K1735" t="str">
        <x:v>Tarjeta débito</x:v>
      </x:c>
      <x:c r="L1735" t="str">
        <x:v>Sin error</x:v>
      </x:c>
    </x:row>
    <x:row r="1736">
      <x:c r="A1736" t="str">
        <x:v>TXN-0001735</x:v>
      </x:c>
      <x:c r="B1736" t="str">
        <x:v>2026-07</x:v>
      </x:c>
      <x:c r="C1736" t="n">
        <x:v>46213</x:v>
      </x:c>
      <x:c r="D1736" t="str">
        <x:v>USR-00201</x:v>
      </x:c>
      <x:c r="E1736" t="str">
        <x:v>SUS-000242</x:v>
      </x:c>
      <x:c r="F1736" t="str">
        <x:v>Plus mensual</x:v>
      </x:c>
      <x:c r="G1736" t="str">
        <x:v>Mensual</x:v>
      </x:c>
      <x:c r="H1736" t="n">
        <x:v>1</x:v>
      </x:c>
      <x:c r="I1736" t="str">
        <x:v>Aprobado</x:v>
      </x:c>
      <x:c r="J1736" t="n">
        <x:v>29900</x:v>
      </x:c>
      <x:c r="K1736" t="str">
        <x:v>PSE</x:v>
      </x:c>
      <x:c r="L1736" t="str">
        <x:v>Sin error</x:v>
      </x:c>
    </x:row>
    <x:row r="1737">
      <x:c r="A1737" t="str">
        <x:v>TXN-0001736</x:v>
      </x:c>
      <x:c r="B1737" t="str">
        <x:v>2026-07</x:v>
      </x:c>
      <x:c r="C1737" t="n">
        <x:v>46210</x:v>
      </x:c>
      <x:c r="D1737" t="str">
        <x:v>USR-00203</x:v>
      </x:c>
      <x:c r="E1737" t="str">
        <x:v>SUS-001412</x:v>
      </x:c>
      <x:c r="F1737" t="str">
        <x:v>Plus mensual</x:v>
      </x:c>
      <x:c r="G1737" t="str">
        <x:v>Mensual</x:v>
      </x:c>
      <x:c r="H1737" t="n">
        <x:v>1</x:v>
      </x:c>
      <x:c r="I1737" t="str">
        <x:v>Aprobado</x:v>
      </x:c>
      <x:c r="J1737" t="n">
        <x:v>29900</x:v>
      </x:c>
      <x:c r="K1737" t="str">
        <x:v>Tarjeta débito</x:v>
      </x:c>
      <x:c r="L1737" t="str">
        <x:v>Sin error</x:v>
      </x:c>
    </x:row>
    <x:row r="1738">
      <x:c r="A1738" t="str">
        <x:v>TXN-0001737</x:v>
      </x:c>
      <x:c r="B1738" t="str">
        <x:v>2026-07</x:v>
      </x:c>
      <x:c r="C1738" t="n">
        <x:v>46209</x:v>
      </x:c>
      <x:c r="D1738" t="str">
        <x:v>USR-00206</x:v>
      </x:c>
      <x:c r="E1738" t="str">
        <x:v>SUS-000623</x:v>
      </x:c>
      <x:c r="F1738" t="str">
        <x:v>Plus mensual</x:v>
      </x:c>
      <x:c r="G1738" t="str">
        <x:v>Mensual</x:v>
      </x:c>
      <x:c r="H1738" t="n">
        <x:v>1</x:v>
      </x:c>
      <x:c r="I1738" t="str">
        <x:v>Aprobado</x:v>
      </x:c>
      <x:c r="J1738" t="n">
        <x:v>29900</x:v>
      </x:c>
      <x:c r="K1738" t="str">
        <x:v>PSE</x:v>
      </x:c>
      <x:c r="L1738" t="str">
        <x:v>Sin error</x:v>
      </x:c>
    </x:row>
    <x:row r="1739">
      <x:c r="A1739" t="str">
        <x:v>TXN-0001738</x:v>
      </x:c>
      <x:c r="B1739" t="str">
        <x:v>2026-07</x:v>
      </x:c>
      <x:c r="C1739" t="n">
        <x:v>46210</x:v>
      </x:c>
      <x:c r="D1739" t="str">
        <x:v>USR-00220</x:v>
      </x:c>
      <x:c r="E1739" t="str">
        <x:v>SIN_SUSCRIPCION</x:v>
      </x:c>
      <x:c r="F1739" t="str">
        <x:v>Plus mensual</x:v>
      </x:c>
      <x:c r="G1739" t="str">
        <x:v>Mensual</x:v>
      </x:c>
      <x:c r="H1739" t="n">
        <x:v>1</x:v>
      </x:c>
      <x:c r="I1739" t="str">
        <x:v>Rechazado</x:v>
      </x:c>
      <x:c r="J1739" t="n">
        <x:v>29900</x:v>
      </x:c>
      <x:c r="K1739" t="str">
        <x:v>Tarjeta crédito</x:v>
      </x:c>
      <x:c r="L1739" t="str">
        <x:v>Declinado por entidad</x:v>
      </x:c>
    </x:row>
    <x:row r="1740">
      <x:c r="A1740" t="str">
        <x:v>TXN-0001739</x:v>
      </x:c>
      <x:c r="B1740" t="str">
        <x:v>2026-07</x:v>
      </x:c>
      <x:c r="C1740" t="n">
        <x:v>46215</x:v>
      </x:c>
      <x:c r="D1740" t="str">
        <x:v>USR-00220</x:v>
      </x:c>
      <x:c r="E1740" t="str">
        <x:v>SIN_SUSCRIPCION</x:v>
      </x:c>
      <x:c r="F1740" t="str">
        <x:v>Plus mensual</x:v>
      </x:c>
      <x:c r="G1740" t="str">
        <x:v>Mensual</x:v>
      </x:c>
      <x:c r="H1740" t="n">
        <x:v>2</x:v>
      </x:c>
      <x:c r="I1740" t="str">
        <x:v>Rechazado</x:v>
      </x:c>
      <x:c r="J1740" t="n">
        <x:v>29900</x:v>
      </x:c>
      <x:c r="K1740" t="str">
        <x:v>Tarjeta débito</x:v>
      </x:c>
      <x:c r="L1740" t="str">
        <x:v>Error temporal</x:v>
      </x:c>
    </x:row>
    <x:row r="1741">
      <x:c r="A1741" t="str">
        <x:v>TXN-0001740</x:v>
      </x:c>
      <x:c r="B1741" t="str">
        <x:v>2026-07</x:v>
      </x:c>
      <x:c r="C1741" t="n">
        <x:v>46210</x:v>
      </x:c>
      <x:c r="D1741" t="str">
        <x:v>USR-00225</x:v>
      </x:c>
      <x:c r="E1741" t="str">
        <x:v>SUS-001113</x:v>
      </x:c>
      <x:c r="F1741" t="str">
        <x:v>Plus mensual</x:v>
      </x:c>
      <x:c r="G1741" t="str">
        <x:v>Mensual</x:v>
      </x:c>
      <x:c r="H1741" t="n">
        <x:v>1</x:v>
      </x:c>
      <x:c r="I1741" t="str">
        <x:v>Aprobado</x:v>
      </x:c>
      <x:c r="J1741" t="n">
        <x:v>29900</x:v>
      </x:c>
      <x:c r="K1741" t="str">
        <x:v>PSE</x:v>
      </x:c>
      <x:c r="L1741" t="str">
        <x:v>Sin error</x:v>
      </x:c>
    </x:row>
    <x:row r="1742">
      <x:c r="A1742" t="str">
        <x:v>TXN-0001741</x:v>
      </x:c>
      <x:c r="B1742" t="str">
        <x:v>2026-07</x:v>
      </x:c>
      <x:c r="C1742" t="n">
        <x:v>46208</x:v>
      </x:c>
      <x:c r="D1742" t="str">
        <x:v>USR-00237</x:v>
      </x:c>
      <x:c r="E1742" t="str">
        <x:v>SUS-001114</x:v>
      </x:c>
      <x:c r="F1742" t="str">
        <x:v>Plus mensual</x:v>
      </x:c>
      <x:c r="G1742" t="str">
        <x:v>Mensual</x:v>
      </x:c>
      <x:c r="H1742" t="n">
        <x:v>1</x:v>
      </x:c>
      <x:c r="I1742" t="str">
        <x:v>Aprobado</x:v>
      </x:c>
      <x:c r="J1742" t="n">
        <x:v>29900</x:v>
      </x:c>
      <x:c r="K1742" t="str">
        <x:v>Tarjeta débito</x:v>
      </x:c>
      <x:c r="L1742" t="str">
        <x:v>Sin error</x:v>
      </x:c>
    </x:row>
    <x:row r="1743">
      <x:c r="A1743" t="str">
        <x:v>TXN-0001742</x:v>
      </x:c>
      <x:c r="B1743" t="str">
        <x:v>2026-07</x:v>
      </x:c>
      <x:c r="C1743" t="n">
        <x:v>46210</x:v>
      </x:c>
      <x:c r="D1743" t="str">
        <x:v>USR-00238</x:v>
      </x:c>
      <x:c r="E1743" t="str">
        <x:v>SUS-000299</x:v>
      </x:c>
      <x:c r="F1743" t="str">
        <x:v>Plus mensual</x:v>
      </x:c>
      <x:c r="G1743" t="str">
        <x:v>Mensual</x:v>
      </x:c>
      <x:c r="H1743" t="n">
        <x:v>1</x:v>
      </x:c>
      <x:c r="I1743" t="str">
        <x:v>Aprobado</x:v>
      </x:c>
      <x:c r="J1743" t="n">
        <x:v>29900</x:v>
      </x:c>
      <x:c r="K1743" t="str">
        <x:v>PSE</x:v>
      </x:c>
      <x:c r="L1743" t="str">
        <x:v>Sin error</x:v>
      </x:c>
    </x:row>
    <x:row r="1744">
      <x:c r="A1744" t="str">
        <x:v>TXN-0001743</x:v>
      </x:c>
      <x:c r="B1744" t="str">
        <x:v>2026-07</x:v>
      </x:c>
      <x:c r="C1744" t="n">
        <x:v>46214</x:v>
      </x:c>
      <x:c r="D1744" t="str">
        <x:v>USR-00248</x:v>
      </x:c>
      <x:c r="E1744" t="str">
        <x:v>SUS-001416</x:v>
      </x:c>
      <x:c r="F1744" t="str">
        <x:v>Plus anual</x:v>
      </x:c>
      <x:c r="G1744" t="str">
        <x:v>Anual</x:v>
      </x:c>
      <x:c r="H1744" t="n">
        <x:v>1</x:v>
      </x:c>
      <x:c r="I1744" t="str">
        <x:v>Aprobado</x:v>
      </x:c>
      <x:c r="J1744" t="n">
        <x:v>299000</x:v>
      </x:c>
      <x:c r="K1744" t="str">
        <x:v>PSE</x:v>
      </x:c>
      <x:c r="L1744" t="str">
        <x:v>Sin error</x:v>
      </x:c>
    </x:row>
    <x:row r="1745">
      <x:c r="A1745" t="str">
        <x:v>TXN-0001744</x:v>
      </x:c>
      <x:c r="B1745" t="str">
        <x:v>2026-07</x:v>
      </x:c>
      <x:c r="C1745" t="n">
        <x:v>46214</x:v>
      </x:c>
      <x:c r="D1745" t="str">
        <x:v>USR-00249</x:v>
      </x:c>
      <x:c r="E1745" t="str">
        <x:v>SUS-000310</x:v>
      </x:c>
      <x:c r="F1745" t="str">
        <x:v>Plus mensual</x:v>
      </x:c>
      <x:c r="G1745" t="str">
        <x:v>Mensual</x:v>
      </x:c>
      <x:c r="H1745" t="n">
        <x:v>1</x:v>
      </x:c>
      <x:c r="I1745" t="str">
        <x:v>Aprobado</x:v>
      </x:c>
      <x:c r="J1745" t="n">
        <x:v>29900</x:v>
      </x:c>
      <x:c r="K1745" t="str">
        <x:v>PSE</x:v>
      </x:c>
      <x:c r="L1745" t="str">
        <x:v>Sin error</x:v>
      </x:c>
    </x:row>
    <x:row r="1746">
      <x:c r="A1746" t="str">
        <x:v>TXN-0001745</x:v>
      </x:c>
      <x:c r="B1746" t="str">
        <x:v>2026-07</x:v>
      </x:c>
      <x:c r="C1746" t="n">
        <x:v>46215</x:v>
      </x:c>
      <x:c r="D1746" t="str">
        <x:v>USR-00250</x:v>
      </x:c>
      <x:c r="E1746" t="str">
        <x:v>SUS-000539</x:v>
      </x:c>
      <x:c r="F1746" t="str">
        <x:v>Plus mensual</x:v>
      </x:c>
      <x:c r="G1746" t="str">
        <x:v>Mensual</x:v>
      </x:c>
      <x:c r="H1746" t="n">
        <x:v>1</x:v>
      </x:c>
      <x:c r="I1746" t="str">
        <x:v>Aprobado</x:v>
      </x:c>
      <x:c r="J1746" t="n">
        <x:v>29900</x:v>
      </x:c>
      <x:c r="K1746" t="str">
        <x:v>PSE</x:v>
      </x:c>
      <x:c r="L1746" t="str">
        <x:v>Sin error</x:v>
      </x:c>
    </x:row>
    <x:row r="1747">
      <x:c r="A1747" t="str">
        <x:v>TXN-0001746</x:v>
      </x:c>
      <x:c r="B1747" t="str">
        <x:v>2026-07</x:v>
      </x:c>
      <x:c r="C1747" t="n">
        <x:v>46212</x:v>
      </x:c>
      <x:c r="D1747" t="str">
        <x:v>USR-00252</x:v>
      </x:c>
      <x:c r="E1747" t="str">
        <x:v>SUS-000848</x:v>
      </x:c>
      <x:c r="F1747" t="str">
        <x:v>Plus mensual</x:v>
      </x:c>
      <x:c r="G1747" t="str">
        <x:v>Mensual</x:v>
      </x:c>
      <x:c r="H1747" t="n">
        <x:v>1</x:v>
      </x:c>
      <x:c r="I1747" t="str">
        <x:v>Aprobado</x:v>
      </x:c>
      <x:c r="J1747" t="n">
        <x:v>29900</x:v>
      </x:c>
      <x:c r="K1747" t="str">
        <x:v>Tarjeta débito</x:v>
      </x:c>
      <x:c r="L1747" t="str">
        <x:v>Sin error</x:v>
      </x:c>
    </x:row>
    <x:row r="1748">
      <x:c r="A1748" t="str">
        <x:v>TXN-0001747</x:v>
      </x:c>
      <x:c r="B1748" t="str">
        <x:v>2026-07</x:v>
      </x:c>
      <x:c r="C1748" t="n">
        <x:v>46208</x:v>
      </x:c>
      <x:c r="D1748" t="str">
        <x:v>USR-00254</x:v>
      </x:c>
      <x:c r="E1748" t="str">
        <x:v>SUS-001417</x:v>
      </x:c>
      <x:c r="F1748" t="str">
        <x:v>Plus anual</x:v>
      </x:c>
      <x:c r="G1748" t="str">
        <x:v>Anual</x:v>
      </x:c>
      <x:c r="H1748" t="n">
        <x:v>1</x:v>
      </x:c>
      <x:c r="I1748" t="str">
        <x:v>Aprobado</x:v>
      </x:c>
      <x:c r="J1748" t="n">
        <x:v>299000</x:v>
      </x:c>
      <x:c r="K1748" t="str">
        <x:v>Tarjeta débito</x:v>
      </x:c>
      <x:c r="L1748" t="str">
        <x:v>Sin error</x:v>
      </x:c>
    </x:row>
    <x:row r="1749">
      <x:c r="A1749" t="str">
        <x:v>TXN-0001748</x:v>
      </x:c>
      <x:c r="B1749" t="str">
        <x:v>2026-07</x:v>
      </x:c>
      <x:c r="C1749" t="n">
        <x:v>46212</x:v>
      </x:c>
      <x:c r="D1749" t="str">
        <x:v>USR-00263</x:v>
      </x:c>
      <x:c r="E1749" t="str">
        <x:v>SUS-001419</x:v>
      </x:c>
      <x:c r="F1749" t="str">
        <x:v>Plus mensual</x:v>
      </x:c>
      <x:c r="G1749" t="str">
        <x:v>Mensual</x:v>
      </x:c>
      <x:c r="H1749" t="n">
        <x:v>1</x:v>
      </x:c>
      <x:c r="I1749" t="str">
        <x:v>Aprobado</x:v>
      </x:c>
      <x:c r="J1749" t="n">
        <x:v>29900</x:v>
      </x:c>
      <x:c r="K1749" t="str">
        <x:v>Tarjeta débito</x:v>
      </x:c>
      <x:c r="L1749" t="str">
        <x:v>Sin error</x:v>
      </x:c>
    </x:row>
    <x:row r="1750">
      <x:c r="A1750" t="str">
        <x:v>TXN-0001749</x:v>
      </x:c>
      <x:c r="B1750" t="str">
        <x:v>2026-07</x:v>
      </x:c>
      <x:c r="C1750" t="n">
        <x:v>46208</x:v>
      </x:c>
      <x:c r="D1750" t="str">
        <x:v>USR-00268</x:v>
      </x:c>
      <x:c r="E1750" t="str">
        <x:v>SUS-000629</x:v>
      </x:c>
      <x:c r="F1750" t="str">
        <x:v>Plus mensual</x:v>
      </x:c>
      <x:c r="G1750" t="str">
        <x:v>Mensual</x:v>
      </x:c>
      <x:c r="H1750" t="n">
        <x:v>1</x:v>
      </x:c>
      <x:c r="I1750" t="str">
        <x:v>Aprobado</x:v>
      </x:c>
      <x:c r="J1750" t="n">
        <x:v>29900</x:v>
      </x:c>
      <x:c r="K1750" t="str">
        <x:v>Tarjeta débito</x:v>
      </x:c>
      <x:c r="L1750" t="str">
        <x:v>Sin error</x:v>
      </x:c>
    </x:row>
    <x:row r="1751">
      <x:c r="A1751" t="str">
        <x:v>TXN-0001750</x:v>
      </x:c>
      <x:c r="B1751" t="str">
        <x:v>2026-07</x:v>
      </x:c>
      <x:c r="C1751" t="n">
        <x:v>46210</x:v>
      </x:c>
      <x:c r="D1751" t="str">
        <x:v>USR-00269</x:v>
      </x:c>
      <x:c r="E1751" t="str">
        <x:v>SUS-001420</x:v>
      </x:c>
      <x:c r="F1751" t="str">
        <x:v>Plus mensual</x:v>
      </x:c>
      <x:c r="G1751" t="str">
        <x:v>Mensual</x:v>
      </x:c>
      <x:c r="H1751" t="n">
        <x:v>1</x:v>
      </x:c>
      <x:c r="I1751" t="str">
        <x:v>Aprobado</x:v>
      </x:c>
      <x:c r="J1751" t="n">
        <x:v>29900</x:v>
      </x:c>
      <x:c r="K1751" t="str">
        <x:v>PSE</x:v>
      </x:c>
      <x:c r="L1751" t="str">
        <x:v>Sin error</x:v>
      </x:c>
    </x:row>
    <x:row r="1752">
      <x:c r="A1752" t="str">
        <x:v>TXN-0001751</x:v>
      </x:c>
      <x:c r="B1752" t="str">
        <x:v>2026-07</x:v>
      </x:c>
      <x:c r="C1752" t="n">
        <x:v>46212</x:v>
      </x:c>
      <x:c r="D1752" t="str">
        <x:v>USR-00273</x:v>
      </x:c>
      <x:c r="E1752" t="str">
        <x:v>SUS-000850</x:v>
      </x:c>
      <x:c r="F1752" t="str">
        <x:v>Plus mensual</x:v>
      </x:c>
      <x:c r="G1752" t="str">
        <x:v>Mensual</x:v>
      </x:c>
      <x:c r="H1752" t="n">
        <x:v>1</x:v>
      </x:c>
      <x:c r="I1752" t="str">
        <x:v>Aprobado</x:v>
      </x:c>
      <x:c r="J1752" t="n">
        <x:v>29900</x:v>
      </x:c>
      <x:c r="K1752" t="str">
        <x:v>PSE</x:v>
      </x:c>
      <x:c r="L1752" t="str">
        <x:v>Sin error</x:v>
      </x:c>
    </x:row>
    <x:row r="1753">
      <x:c r="A1753" t="str">
        <x:v>TXN-0001752</x:v>
      </x:c>
      <x:c r="B1753" t="str">
        <x:v>2026-07</x:v>
      </x:c>
      <x:c r="C1753" t="n">
        <x:v>46208</x:v>
      </x:c>
      <x:c r="D1753" t="str">
        <x:v>USR-00290</x:v>
      </x:c>
      <x:c r="E1753" t="str">
        <x:v>SUS-001117</x:v>
      </x:c>
      <x:c r="F1753" t="str">
        <x:v>Plus mensual</x:v>
      </x:c>
      <x:c r="G1753" t="str">
        <x:v>Mensual</x:v>
      </x:c>
      <x:c r="H1753" t="n">
        <x:v>1</x:v>
      </x:c>
      <x:c r="I1753" t="str">
        <x:v>Aprobado</x:v>
      </x:c>
      <x:c r="J1753" t="n">
        <x:v>29900</x:v>
      </x:c>
      <x:c r="K1753" t="str">
        <x:v>PSE</x:v>
      </x:c>
      <x:c r="L1753" t="str">
        <x:v>Sin error</x:v>
      </x:c>
    </x:row>
    <x:row r="1754">
      <x:c r="A1754" t="str">
        <x:v>TXN-0001753</x:v>
      </x:c>
      <x:c r="B1754" t="str">
        <x:v>2026-07</x:v>
      </x:c>
      <x:c r="C1754" t="n">
        <x:v>46213</x:v>
      </x:c>
      <x:c r="D1754" t="str">
        <x:v>USR-00292</x:v>
      </x:c>
      <x:c r="E1754" t="str">
        <x:v>SUS-000852</x:v>
      </x:c>
      <x:c r="F1754" t="str">
        <x:v>Plus mensual</x:v>
      </x:c>
      <x:c r="G1754" t="str">
        <x:v>Mensual</x:v>
      </x:c>
      <x:c r="H1754" t="n">
        <x:v>1</x:v>
      </x:c>
      <x:c r="I1754" t="str">
        <x:v>Aprobado</x:v>
      </x:c>
      <x:c r="J1754" t="n">
        <x:v>29900</x:v>
      </x:c>
      <x:c r="K1754" t="str">
        <x:v>Tarjeta débito</x:v>
      </x:c>
      <x:c r="L1754" t="str">
        <x:v>Sin error</x:v>
      </x:c>
    </x:row>
    <x:row r="1755">
      <x:c r="A1755" t="str">
        <x:v>TXN-0001754</x:v>
      </x:c>
      <x:c r="B1755" t="str">
        <x:v>2026-07</x:v>
      </x:c>
      <x:c r="C1755" t="n">
        <x:v>46212</x:v>
      </x:c>
      <x:c r="D1755" t="str">
        <x:v>USR-00293</x:v>
      </x:c>
      <x:c r="E1755" t="str">
        <x:v>SUS-001421</x:v>
      </x:c>
      <x:c r="F1755" t="str">
        <x:v>Plus anual</x:v>
      </x:c>
      <x:c r="G1755" t="str">
        <x:v>Anual</x:v>
      </x:c>
      <x:c r="H1755" t="n">
        <x:v>1</x:v>
      </x:c>
      <x:c r="I1755" t="str">
        <x:v>Aprobado</x:v>
      </x:c>
      <x:c r="J1755" t="n">
        <x:v>299000</x:v>
      </x:c>
      <x:c r="K1755" t="str">
        <x:v>Tarjeta crédito</x:v>
      </x:c>
      <x:c r="L1755" t="str">
        <x:v>Sin error</x:v>
      </x:c>
    </x:row>
    <x:row r="1756">
      <x:c r="A1756" t="str">
        <x:v>TXN-0001755</x:v>
      </x:c>
      <x:c r="B1756" t="str">
        <x:v>2026-07</x:v>
      </x:c>
      <x:c r="C1756" t="n">
        <x:v>46210</x:v>
      </x:c>
      <x:c r="D1756" t="str">
        <x:v>USR-00296</x:v>
      </x:c>
      <x:c r="E1756" t="str">
        <x:v>SUS-000632</x:v>
      </x:c>
      <x:c r="F1756" t="str">
        <x:v>Plus mensual</x:v>
      </x:c>
      <x:c r="G1756" t="str">
        <x:v>Mensual</x:v>
      </x:c>
      <x:c r="H1756" t="n">
        <x:v>1</x:v>
      </x:c>
      <x:c r="I1756" t="str">
        <x:v>Aprobado</x:v>
      </x:c>
      <x:c r="J1756" t="n">
        <x:v>29900</x:v>
      </x:c>
      <x:c r="K1756" t="str">
        <x:v>Tarjeta crédito</x:v>
      </x:c>
      <x:c r="L1756" t="str">
        <x:v>Sin error</x:v>
      </x:c>
    </x:row>
    <x:row r="1757">
      <x:c r="A1757" t="str">
        <x:v>TXN-0001756</x:v>
      </x:c>
      <x:c r="B1757" t="str">
        <x:v>2026-07</x:v>
      </x:c>
      <x:c r="C1757" t="n">
        <x:v>46208</x:v>
      </x:c>
      <x:c r="D1757" t="str">
        <x:v>USR-00306</x:v>
      </x:c>
      <x:c r="E1757" t="str">
        <x:v>SUS-000853</x:v>
      </x:c>
      <x:c r="F1757" t="str">
        <x:v>Plus mensual</x:v>
      </x:c>
      <x:c r="G1757" t="str">
        <x:v>Mensual</x:v>
      </x:c>
      <x:c r="H1757" t="n">
        <x:v>1</x:v>
      </x:c>
      <x:c r="I1757" t="str">
        <x:v>Aprobado</x:v>
      </x:c>
      <x:c r="J1757" t="n">
        <x:v>29900</x:v>
      </x:c>
      <x:c r="K1757" t="str">
        <x:v>Tarjeta débito</x:v>
      </x:c>
      <x:c r="L1757" t="str">
        <x:v>Sin error</x:v>
      </x:c>
    </x:row>
    <x:row r="1758">
      <x:c r="A1758" t="str">
        <x:v>TXN-0001757</x:v>
      </x:c>
      <x:c r="B1758" t="str">
        <x:v>2026-07</x:v>
      </x:c>
      <x:c r="C1758" t="n">
        <x:v>46209</x:v>
      </x:c>
      <x:c r="D1758" t="str">
        <x:v>USR-00311</x:v>
      </x:c>
      <x:c r="E1758" t="str">
        <x:v>SUS-000977</x:v>
      </x:c>
      <x:c r="F1758" t="str">
        <x:v>Plus mensual</x:v>
      </x:c>
      <x:c r="G1758" t="str">
        <x:v>Mensual</x:v>
      </x:c>
      <x:c r="H1758" t="n">
        <x:v>1</x:v>
      </x:c>
      <x:c r="I1758" t="str">
        <x:v>Aprobado</x:v>
      </x:c>
      <x:c r="J1758" t="n">
        <x:v>29900</x:v>
      </x:c>
      <x:c r="K1758" t="str">
        <x:v>Tarjeta crédito</x:v>
      </x:c>
      <x:c r="L1758" t="str">
        <x:v>Sin error</x:v>
      </x:c>
    </x:row>
    <x:row r="1759">
      <x:c r="A1759" t="str">
        <x:v>TXN-0001758</x:v>
      </x:c>
      <x:c r="B1759" t="str">
        <x:v>2026-07</x:v>
      </x:c>
      <x:c r="C1759" t="n">
        <x:v>46211</x:v>
      </x:c>
      <x:c r="D1759" t="str">
        <x:v>USR-00312</x:v>
      </x:c>
      <x:c r="E1759" t="str">
        <x:v>SUS-000634</x:v>
      </x:c>
      <x:c r="F1759" t="str">
        <x:v>Plus mensual</x:v>
      </x:c>
      <x:c r="G1759" t="str">
        <x:v>Mensual</x:v>
      </x:c>
      <x:c r="H1759" t="n">
        <x:v>1</x:v>
      </x:c>
      <x:c r="I1759" t="str">
        <x:v>Aprobado</x:v>
      </x:c>
      <x:c r="J1759" t="n">
        <x:v>29900</x:v>
      </x:c>
      <x:c r="K1759" t="str">
        <x:v>Tarjeta débito</x:v>
      </x:c>
      <x:c r="L1759" t="str">
        <x:v>Sin error</x:v>
      </x:c>
    </x:row>
    <x:row r="1760">
      <x:c r="A1760" t="str">
        <x:v>TXN-0001759</x:v>
      </x:c>
      <x:c r="B1760" t="str">
        <x:v>2026-07</x:v>
      </x:c>
      <x:c r="C1760" t="n">
        <x:v>46208</x:v>
      </x:c>
      <x:c r="D1760" t="str">
        <x:v>USR-00313</x:v>
      </x:c>
      <x:c r="E1760" t="str">
        <x:v>SUS-000635</x:v>
      </x:c>
      <x:c r="F1760" t="str">
        <x:v>Plus mensual</x:v>
      </x:c>
      <x:c r="G1760" t="str">
        <x:v>Mensual</x:v>
      </x:c>
      <x:c r="H1760" t="n">
        <x:v>1</x:v>
      </x:c>
      <x:c r="I1760" t="str">
        <x:v>Aprobado</x:v>
      </x:c>
      <x:c r="J1760" t="n">
        <x:v>29900</x:v>
      </x:c>
      <x:c r="K1760" t="str">
        <x:v>Tarjeta crédito</x:v>
      </x:c>
      <x:c r="L1760" t="str">
        <x:v>Sin error</x:v>
      </x:c>
    </x:row>
    <x:row r="1761">
      <x:c r="A1761" t="str">
        <x:v>TXN-0001760</x:v>
      </x:c>
      <x:c r="B1761" t="str">
        <x:v>2026-07</x:v>
      </x:c>
      <x:c r="C1761" t="n">
        <x:v>46209</x:v>
      </x:c>
      <x:c r="D1761" t="str">
        <x:v>USR-00316</x:v>
      </x:c>
      <x:c r="E1761" t="str">
        <x:v>SUS-001272</x:v>
      </x:c>
      <x:c r="F1761" t="str">
        <x:v>Plus mensual</x:v>
      </x:c>
      <x:c r="G1761" t="str">
        <x:v>Mensual</x:v>
      </x:c>
      <x:c r="H1761" t="n">
        <x:v>1</x:v>
      </x:c>
      <x:c r="I1761" t="str">
        <x:v>Aprobado</x:v>
      </x:c>
      <x:c r="J1761" t="n">
        <x:v>29900</x:v>
      </x:c>
      <x:c r="K1761" t="str">
        <x:v>Tarjeta débito</x:v>
      </x:c>
      <x:c r="L1761" t="str">
        <x:v>Sin error</x:v>
      </x:c>
    </x:row>
    <x:row r="1762">
      <x:c r="A1762" t="str">
        <x:v>TXN-0001761</x:v>
      </x:c>
      <x:c r="B1762" t="str">
        <x:v>2026-07</x:v>
      </x:c>
      <x:c r="C1762" t="n">
        <x:v>46211</x:v>
      </x:c>
      <x:c r="D1762" t="str">
        <x:v>USR-00317</x:v>
      </x:c>
      <x:c r="E1762" t="str">
        <x:v>SUS-000546</x:v>
      </x:c>
      <x:c r="F1762" t="str">
        <x:v>Plus mensual</x:v>
      </x:c>
      <x:c r="G1762" t="str">
        <x:v>Mensual</x:v>
      </x:c>
      <x:c r="H1762" t="n">
        <x:v>1</x:v>
      </x:c>
      <x:c r="I1762" t="str">
        <x:v>Aprobado</x:v>
      </x:c>
      <x:c r="J1762" t="n">
        <x:v>29900</x:v>
      </x:c>
      <x:c r="K1762" t="str">
        <x:v>PSE</x:v>
      </x:c>
      <x:c r="L1762" t="str">
        <x:v>Sin error</x:v>
      </x:c>
    </x:row>
    <x:row r="1763">
      <x:c r="A1763" t="str">
        <x:v>TXN-0001762</x:v>
      </x:c>
      <x:c r="B1763" t="str">
        <x:v>2026-07</x:v>
      </x:c>
      <x:c r="C1763" t="n">
        <x:v>46214</x:v>
      </x:c>
      <x:c r="D1763" t="str">
        <x:v>USR-00320</x:v>
      </x:c>
      <x:c r="E1763" t="str">
        <x:v>SUS-000419</x:v>
      </x:c>
      <x:c r="F1763" t="str">
        <x:v>Plus mensual</x:v>
      </x:c>
      <x:c r="G1763" t="str">
        <x:v>Mensual</x:v>
      </x:c>
      <x:c r="H1763" t="n">
        <x:v>1</x:v>
      </x:c>
      <x:c r="I1763" t="str">
        <x:v>Aprobado</x:v>
      </x:c>
      <x:c r="J1763" t="n">
        <x:v>29900</x:v>
      </x:c>
      <x:c r="K1763" t="str">
        <x:v>Tarjeta crédito</x:v>
      </x:c>
      <x:c r="L1763" t="str">
        <x:v>Sin error</x:v>
      </x:c>
    </x:row>
    <x:row r="1764">
      <x:c r="A1764" t="str">
        <x:v>TXN-0001763</x:v>
      </x:c>
      <x:c r="B1764" t="str">
        <x:v>2026-07</x:v>
      </x:c>
      <x:c r="C1764" t="n">
        <x:v>46213</x:v>
      </x:c>
      <x:c r="D1764" t="str">
        <x:v>USR-00332</x:v>
      </x:c>
      <x:c r="E1764" t="str">
        <x:v>SUS-000470</x:v>
      </x:c>
      <x:c r="F1764" t="str">
        <x:v>Plus mensual</x:v>
      </x:c>
      <x:c r="G1764" t="str">
        <x:v>Mensual</x:v>
      </x:c>
      <x:c r="H1764" t="n">
        <x:v>1</x:v>
      </x:c>
      <x:c r="I1764" t="str">
        <x:v>Aprobado</x:v>
      </x:c>
      <x:c r="J1764" t="n">
        <x:v>29900</x:v>
      </x:c>
      <x:c r="K1764" t="str">
        <x:v>PSE</x:v>
      </x:c>
      <x:c r="L1764" t="str">
        <x:v>Sin error</x:v>
      </x:c>
    </x:row>
    <x:row r="1765">
      <x:c r="A1765" t="str">
        <x:v>TXN-0001764</x:v>
      </x:c>
      <x:c r="B1765" t="str">
        <x:v>2026-07</x:v>
      </x:c>
      <x:c r="C1765" t="n">
        <x:v>46210</x:v>
      </x:c>
      <x:c r="D1765" t="str">
        <x:v>USR-00333</x:v>
      </x:c>
      <x:c r="E1765" t="str">
        <x:v>SUS-001422</x:v>
      </x:c>
      <x:c r="F1765" t="str">
        <x:v>Plus mensual</x:v>
      </x:c>
      <x:c r="G1765" t="str">
        <x:v>Mensual</x:v>
      </x:c>
      <x:c r="H1765" t="n">
        <x:v>1</x:v>
      </x:c>
      <x:c r="I1765" t="str">
        <x:v>Aprobado</x:v>
      </x:c>
      <x:c r="J1765" t="n">
        <x:v>29900</x:v>
      </x:c>
      <x:c r="K1765" t="str">
        <x:v>PSE</x:v>
      </x:c>
      <x:c r="L1765" t="str">
        <x:v>Sin error</x:v>
      </x:c>
    </x:row>
    <x:row r="1766">
      <x:c r="A1766" t="str">
        <x:v>TXN-0001765</x:v>
      </x:c>
      <x:c r="B1766" t="str">
        <x:v>2026-07</x:v>
      </x:c>
      <x:c r="C1766" t="n">
        <x:v>46208</x:v>
      </x:c>
      <x:c r="D1766" t="str">
        <x:v>USR-00335</x:v>
      </x:c>
      <x:c r="E1766" t="str">
        <x:v>SUS-000855</x:v>
      </x:c>
      <x:c r="F1766" t="str">
        <x:v>Plus mensual</x:v>
      </x:c>
      <x:c r="G1766" t="str">
        <x:v>Mensual</x:v>
      </x:c>
      <x:c r="H1766" t="n">
        <x:v>1</x:v>
      </x:c>
      <x:c r="I1766" t="str">
        <x:v>Aprobado</x:v>
      </x:c>
      <x:c r="J1766" t="n">
        <x:v>29900</x:v>
      </x:c>
      <x:c r="K1766" t="str">
        <x:v>Tarjeta débito</x:v>
      </x:c>
      <x:c r="L1766" t="str">
        <x:v>Sin error</x:v>
      </x:c>
    </x:row>
    <x:row r="1767">
      <x:c r="A1767" t="str">
        <x:v>TXN-0001766</x:v>
      </x:c>
      <x:c r="B1767" t="str">
        <x:v>2026-07</x:v>
      </x:c>
      <x:c r="C1767" t="n">
        <x:v>46208</x:v>
      </x:c>
      <x:c r="D1767" t="str">
        <x:v>USR-00336</x:v>
      </x:c>
      <x:c r="E1767" t="str">
        <x:v>SUS-000435</x:v>
      </x:c>
      <x:c r="F1767" t="str">
        <x:v>Plus mensual</x:v>
      </x:c>
      <x:c r="G1767" t="str">
        <x:v>Mensual</x:v>
      </x:c>
      <x:c r="H1767" t="n">
        <x:v>1</x:v>
      </x:c>
      <x:c r="I1767" t="str">
        <x:v>Aprobado</x:v>
      </x:c>
      <x:c r="J1767" t="n">
        <x:v>29900</x:v>
      </x:c>
      <x:c r="K1767" t="str">
        <x:v>Tarjeta crédito</x:v>
      </x:c>
      <x:c r="L1767" t="str">
        <x:v>Sin error</x:v>
      </x:c>
    </x:row>
    <x:row r="1768">
      <x:c r="A1768" t="str">
        <x:v>TXN-0001767</x:v>
      </x:c>
      <x:c r="B1768" t="str">
        <x:v>2026-07</x:v>
      </x:c>
      <x:c r="C1768" t="n">
        <x:v>46214</x:v>
      </x:c>
      <x:c r="D1768" t="str">
        <x:v>USR-00338</x:v>
      </x:c>
      <x:c r="E1768" t="str">
        <x:v>SUS-000856</x:v>
      </x:c>
      <x:c r="F1768" t="str">
        <x:v>Plus mensual</x:v>
      </x:c>
      <x:c r="G1768" t="str">
        <x:v>Mensual</x:v>
      </x:c>
      <x:c r="H1768" t="n">
        <x:v>1</x:v>
      </x:c>
      <x:c r="I1768" t="str">
        <x:v>Aprobado</x:v>
      </x:c>
      <x:c r="J1768" t="n">
        <x:v>29900</x:v>
      </x:c>
      <x:c r="K1768" t="str">
        <x:v>Tarjeta crédito</x:v>
      </x:c>
      <x:c r="L1768" t="str">
        <x:v>Sin error</x:v>
      </x:c>
    </x:row>
    <x:row r="1769">
      <x:c r="A1769" t="str">
        <x:v>TXN-0001768</x:v>
      </x:c>
      <x:c r="B1769" t="str">
        <x:v>2026-07</x:v>
      </x:c>
      <x:c r="C1769" t="n">
        <x:v>46214</x:v>
      </x:c>
      <x:c r="D1769" t="str">
        <x:v>USR-00341</x:v>
      </x:c>
      <x:c r="E1769" t="str">
        <x:v>SUS-000980</x:v>
      </x:c>
      <x:c r="F1769" t="str">
        <x:v>Plus mensual</x:v>
      </x:c>
      <x:c r="G1769" t="str">
        <x:v>Mensual</x:v>
      </x:c>
      <x:c r="H1769" t="n">
        <x:v>1</x:v>
      </x:c>
      <x:c r="I1769" t="str">
        <x:v>Aprobado</x:v>
      </x:c>
      <x:c r="J1769" t="n">
        <x:v>29900</x:v>
      </x:c>
      <x:c r="K1769" t="str">
        <x:v>PSE</x:v>
      </x:c>
      <x:c r="L1769" t="str">
        <x:v>Sin error</x:v>
      </x:c>
    </x:row>
    <x:row r="1770">
      <x:c r="A1770" t="str">
        <x:v>TXN-0001769</x:v>
      </x:c>
      <x:c r="B1770" t="str">
        <x:v>2026-07</x:v>
      </x:c>
      <x:c r="C1770" t="n">
        <x:v>46214</x:v>
      </x:c>
      <x:c r="D1770" t="str">
        <x:v>USR-00353</x:v>
      </x:c>
      <x:c r="E1770" t="str">
        <x:v>SUS-000857</x:v>
      </x:c>
      <x:c r="F1770" t="str">
        <x:v>Plus mensual</x:v>
      </x:c>
      <x:c r="G1770" t="str">
        <x:v>Mensual</x:v>
      </x:c>
      <x:c r="H1770" t="n">
        <x:v>1</x:v>
      </x:c>
      <x:c r="I1770" t="str">
        <x:v>Aprobado</x:v>
      </x:c>
      <x:c r="J1770" t="n">
        <x:v>29900</x:v>
      </x:c>
      <x:c r="K1770" t="str">
        <x:v>Tarjeta débito</x:v>
      </x:c>
      <x:c r="L1770" t="str">
        <x:v>Sin error</x:v>
      </x:c>
    </x:row>
    <x:row r="1771">
      <x:c r="A1771" t="str">
        <x:v>TXN-0001770</x:v>
      </x:c>
      <x:c r="B1771" t="str">
        <x:v>2026-07</x:v>
      </x:c>
      <x:c r="C1771" t="n">
        <x:v>46212</x:v>
      </x:c>
      <x:c r="D1771" t="str">
        <x:v>USR-00360</x:v>
      </x:c>
      <x:c r="E1771" t="str">
        <x:v>SUS-000638</x:v>
      </x:c>
      <x:c r="F1771" t="str">
        <x:v>Plus mensual</x:v>
      </x:c>
      <x:c r="G1771" t="str">
        <x:v>Mensual</x:v>
      </x:c>
      <x:c r="H1771" t="n">
        <x:v>1</x:v>
      </x:c>
      <x:c r="I1771" t="str">
        <x:v>Aprobado</x:v>
      </x:c>
      <x:c r="J1771" t="n">
        <x:v>29900</x:v>
      </x:c>
      <x:c r="K1771" t="str">
        <x:v>PSE</x:v>
      </x:c>
      <x:c r="L1771" t="str">
        <x:v>Sin error</x:v>
      </x:c>
    </x:row>
    <x:row r="1772">
      <x:c r="A1772" t="str">
        <x:v>TXN-0001771</x:v>
      </x:c>
      <x:c r="B1772" t="str">
        <x:v>2026-07</x:v>
      </x:c>
      <x:c r="C1772" t="n">
        <x:v>46209</x:v>
      </x:c>
      <x:c r="D1772" t="str">
        <x:v>USR-00366</x:v>
      </x:c>
      <x:c r="E1772" t="str">
        <x:v>SUS-001426</x:v>
      </x:c>
      <x:c r="F1772" t="str">
        <x:v>Plus anual</x:v>
      </x:c>
      <x:c r="G1772" t="str">
        <x:v>Anual</x:v>
      </x:c>
      <x:c r="H1772" t="n">
        <x:v>1</x:v>
      </x:c>
      <x:c r="I1772" t="str">
        <x:v>Aprobado</x:v>
      </x:c>
      <x:c r="J1772" t="n">
        <x:v>299000</x:v>
      </x:c>
      <x:c r="K1772" t="str">
        <x:v>Tarjeta débito</x:v>
      </x:c>
      <x:c r="L1772" t="str">
        <x:v>Sin error</x:v>
      </x:c>
    </x:row>
    <x:row r="1773">
      <x:c r="A1773" t="str">
        <x:v>TXN-0001772</x:v>
      </x:c>
      <x:c r="B1773" t="str">
        <x:v>2026-07</x:v>
      </x:c>
      <x:c r="C1773" t="n">
        <x:v>46213</x:v>
      </x:c>
      <x:c r="D1773" t="str">
        <x:v>USR-00372</x:v>
      </x:c>
      <x:c r="E1773" t="str">
        <x:v>SUS-000983</x:v>
      </x:c>
      <x:c r="F1773" t="str">
        <x:v>Plus mensual</x:v>
      </x:c>
      <x:c r="G1773" t="str">
        <x:v>Mensual</x:v>
      </x:c>
      <x:c r="H1773" t="n">
        <x:v>1</x:v>
      </x:c>
      <x:c r="I1773" t="str">
        <x:v>Aprobado</x:v>
      </x:c>
      <x:c r="J1773" t="n">
        <x:v>29900</x:v>
      </x:c>
      <x:c r="K1773" t="str">
        <x:v>Tarjeta débito</x:v>
      </x:c>
      <x:c r="L1773" t="str">
        <x:v>Sin error</x:v>
      </x:c>
    </x:row>
    <x:row r="1774">
      <x:c r="A1774" t="str">
        <x:v>TXN-0001773</x:v>
      </x:c>
      <x:c r="B1774" t="str">
        <x:v>2026-07</x:v>
      </x:c>
      <x:c r="C1774" t="n">
        <x:v>46212</x:v>
      </x:c>
      <x:c r="D1774" t="str">
        <x:v>USR-00377</x:v>
      </x:c>
      <x:c r="E1774" t="str">
        <x:v>SUS-000492</x:v>
      </x:c>
      <x:c r="F1774" t="str">
        <x:v>Plus mensual</x:v>
      </x:c>
      <x:c r="G1774" t="str">
        <x:v>Mensual</x:v>
      </x:c>
      <x:c r="H1774" t="n">
        <x:v>1</x:v>
      </x:c>
      <x:c r="I1774" t="str">
        <x:v>Aprobado</x:v>
      </x:c>
      <x:c r="J1774" t="n">
        <x:v>29900</x:v>
      </x:c>
      <x:c r="K1774" t="str">
        <x:v>Tarjeta débito</x:v>
      </x:c>
      <x:c r="L1774" t="str">
        <x:v>Sin error</x:v>
      </x:c>
    </x:row>
    <x:row r="1775">
      <x:c r="A1775" t="str">
        <x:v>TXN-0001774</x:v>
      </x:c>
      <x:c r="B1775" t="str">
        <x:v>2026-07</x:v>
      </x:c>
      <x:c r="C1775" t="n">
        <x:v>46213</x:v>
      </x:c>
      <x:c r="D1775" t="str">
        <x:v>USR-00378</x:v>
      </x:c>
      <x:c r="E1775" t="str">
        <x:v>SUS-001427</x:v>
      </x:c>
      <x:c r="F1775" t="str">
        <x:v>Plus mensual</x:v>
      </x:c>
      <x:c r="G1775" t="str">
        <x:v>Mensual</x:v>
      </x:c>
      <x:c r="H1775" t="n">
        <x:v>1</x:v>
      </x:c>
      <x:c r="I1775" t="str">
        <x:v>Rechazado</x:v>
      </x:c>
      <x:c r="J1775" t="n">
        <x:v>29900</x:v>
      </x:c>
      <x:c r="K1775" t="str">
        <x:v>Tarjeta débito</x:v>
      </x:c>
      <x:c r="L1775" t="str">
        <x:v>Declinado por entidad</x:v>
      </x:c>
    </x:row>
    <x:row r="1776">
      <x:c r="A1776" t="str">
        <x:v>TXN-0001775</x:v>
      </x:c>
      <x:c r="B1776" t="str">
        <x:v>2026-07</x:v>
      </x:c>
      <x:c r="C1776" t="n">
        <x:v>46210</x:v>
      </x:c>
      <x:c r="D1776" t="str">
        <x:v>USR-00378</x:v>
      </x:c>
      <x:c r="E1776" t="str">
        <x:v>SUS-001427</x:v>
      </x:c>
      <x:c r="F1776" t="str">
        <x:v>Plus mensual</x:v>
      </x:c>
      <x:c r="G1776" t="str">
        <x:v>Mensual</x:v>
      </x:c>
      <x:c r="H1776" t="n">
        <x:v>2</x:v>
      </x:c>
      <x:c r="I1776" t="str">
        <x:v>Aprobado</x:v>
      </x:c>
      <x:c r="J1776" t="n">
        <x:v>29900</x:v>
      </x:c>
      <x:c r="K1776" t="str">
        <x:v>Tarjeta crédito</x:v>
      </x:c>
      <x:c r="L1776" t="str">
        <x:v>Sin error</x:v>
      </x:c>
    </x:row>
    <x:row r="1777">
      <x:c r="A1777" t="str">
        <x:v>TXN-0001776</x:v>
      </x:c>
      <x:c r="B1777" t="str">
        <x:v>2026-07</x:v>
      </x:c>
      <x:c r="C1777" t="n">
        <x:v>46210</x:v>
      </x:c>
      <x:c r="D1777" t="str">
        <x:v>USR-00379</x:v>
      </x:c>
      <x:c r="E1777" t="str">
        <x:v>SUS-001428</x:v>
      </x:c>
      <x:c r="F1777" t="str">
        <x:v>Plus mensual</x:v>
      </x:c>
      <x:c r="G1777" t="str">
        <x:v>Mensual</x:v>
      </x:c>
      <x:c r="H1777" t="n">
        <x:v>1</x:v>
      </x:c>
      <x:c r="I1777" t="str">
        <x:v>Aprobado</x:v>
      </x:c>
      <x:c r="J1777" t="n">
        <x:v>29900</x:v>
      </x:c>
      <x:c r="K1777" t="str">
        <x:v>PSE</x:v>
      </x:c>
      <x:c r="L1777" t="str">
        <x:v>Sin error</x:v>
      </x:c>
    </x:row>
    <x:row r="1778">
      <x:c r="A1778" t="str">
        <x:v>TXN-0001777</x:v>
      </x:c>
      <x:c r="B1778" t="str">
        <x:v>2026-07</x:v>
      </x:c>
      <x:c r="C1778" t="n">
        <x:v>46215</x:v>
      </x:c>
      <x:c r="D1778" t="str">
        <x:v>USR-00380</x:v>
      </x:c>
      <x:c r="E1778" t="str">
        <x:v>SUS-000495</x:v>
      </x:c>
      <x:c r="F1778" t="str">
        <x:v>Plus mensual</x:v>
      </x:c>
      <x:c r="G1778" t="str">
        <x:v>Mensual</x:v>
      </x:c>
      <x:c r="H1778" t="n">
        <x:v>1</x:v>
      </x:c>
      <x:c r="I1778" t="str">
        <x:v>Aprobado</x:v>
      </x:c>
      <x:c r="J1778" t="n">
        <x:v>29900</x:v>
      </x:c>
      <x:c r="K1778" t="str">
        <x:v>PSE</x:v>
      </x:c>
      <x:c r="L1778" t="str">
        <x:v>Sin error</x:v>
      </x:c>
    </x:row>
    <x:row r="1779">
      <x:c r="A1779" t="str">
        <x:v>TXN-0001778</x:v>
      </x:c>
      <x:c r="B1779" t="str">
        <x:v>2026-07</x:v>
      </x:c>
      <x:c r="C1779" t="n">
        <x:v>46210</x:v>
      </x:c>
      <x:c r="D1779" t="str">
        <x:v>USR-00384</x:v>
      </x:c>
      <x:c r="E1779" t="str">
        <x:v>SUS-000984</x:v>
      </x:c>
      <x:c r="F1779" t="str">
        <x:v>Plus mensual</x:v>
      </x:c>
      <x:c r="G1779" t="str">
        <x:v>Mensual</x:v>
      </x:c>
      <x:c r="H1779" t="n">
        <x:v>1</x:v>
      </x:c>
      <x:c r="I1779" t="str">
        <x:v>Aprobado</x:v>
      </x:c>
      <x:c r="J1779" t="n">
        <x:v>29900</x:v>
      </x:c>
      <x:c r="K1779" t="str">
        <x:v>PSE</x:v>
      </x:c>
      <x:c r="L1779" t="str">
        <x:v>Sin error</x:v>
      </x:c>
    </x:row>
    <x:row r="1780">
      <x:c r="A1780" t="str">
        <x:v>TXN-0001779</x:v>
      </x:c>
      <x:c r="B1780" t="str">
        <x:v>2026-07</x:v>
      </x:c>
      <x:c r="C1780" t="n">
        <x:v>46209</x:v>
      </x:c>
      <x:c r="D1780" t="str">
        <x:v>USR-00387</x:v>
      </x:c>
      <x:c r="E1780" t="str">
        <x:v>SUS-001125</x:v>
      </x:c>
      <x:c r="F1780" t="str">
        <x:v>Plus mensual</x:v>
      </x:c>
      <x:c r="G1780" t="str">
        <x:v>Mensual</x:v>
      </x:c>
      <x:c r="H1780" t="n">
        <x:v>1</x:v>
      </x:c>
      <x:c r="I1780" t="str">
        <x:v>Rechazado</x:v>
      </x:c>
      <x:c r="J1780" t="n">
        <x:v>29900</x:v>
      </x:c>
      <x:c r="K1780" t="str">
        <x:v>Tarjeta crédito</x:v>
      </x:c>
      <x:c r="L1780" t="str">
        <x:v>Declinado por entidad</x:v>
      </x:c>
    </x:row>
    <x:row r="1781">
      <x:c r="A1781" t="str">
        <x:v>TXN-0001780</x:v>
      </x:c>
      <x:c r="B1781" t="str">
        <x:v>2026-07</x:v>
      </x:c>
      <x:c r="C1781" t="n">
        <x:v>46214</x:v>
      </x:c>
      <x:c r="D1781" t="str">
        <x:v>USR-00387</x:v>
      </x:c>
      <x:c r="E1781" t="str">
        <x:v>SUS-001125</x:v>
      </x:c>
      <x:c r="F1781" t="str">
        <x:v>Plus mensual</x:v>
      </x:c>
      <x:c r="G1781" t="str">
        <x:v>Mensual</x:v>
      </x:c>
      <x:c r="H1781" t="n">
        <x:v>2</x:v>
      </x:c>
      <x:c r="I1781" t="str">
        <x:v>Aprobado</x:v>
      </x:c>
      <x:c r="J1781" t="n">
        <x:v>29900</x:v>
      </x:c>
      <x:c r="K1781" t="str">
        <x:v>PSE</x:v>
      </x:c>
      <x:c r="L1781" t="str">
        <x:v>Sin error</x:v>
      </x:c>
    </x:row>
    <x:row r="1782">
      <x:c r="A1782" t="str">
        <x:v>TXN-0001781</x:v>
      </x:c>
      <x:c r="B1782" t="str">
        <x:v>2026-07</x:v>
      </x:c>
      <x:c r="C1782" t="n">
        <x:v>46210</x:v>
      </x:c>
      <x:c r="D1782" t="str">
        <x:v>USR-00389</x:v>
      </x:c>
      <x:c r="E1782" t="str">
        <x:v>SUS-000641</x:v>
      </x:c>
      <x:c r="F1782" t="str">
        <x:v>Plus mensual</x:v>
      </x:c>
      <x:c r="G1782" t="str">
        <x:v>Mensual</x:v>
      </x:c>
      <x:c r="H1782" t="n">
        <x:v>1</x:v>
      </x:c>
      <x:c r="I1782" t="str">
        <x:v>Aprobado</x:v>
      </x:c>
      <x:c r="J1782" t="n">
        <x:v>29900</x:v>
      </x:c>
      <x:c r="K1782" t="str">
        <x:v>PSE</x:v>
      </x:c>
      <x:c r="L1782" t="str">
        <x:v>Sin error</x:v>
      </x:c>
    </x:row>
    <x:row r="1783">
      <x:c r="A1783" t="str">
        <x:v>TXN-0001782</x:v>
      </x:c>
      <x:c r="B1783" t="str">
        <x:v>2026-07</x:v>
      </x:c>
      <x:c r="C1783" t="n">
        <x:v>46212</x:v>
      </x:c>
      <x:c r="D1783" t="str">
        <x:v>USR-00391</x:v>
      </x:c>
      <x:c r="E1783" t="str">
        <x:v>SUS-000506</x:v>
      </x:c>
      <x:c r="F1783" t="str">
        <x:v>Plus mensual</x:v>
      </x:c>
      <x:c r="G1783" t="str">
        <x:v>Mensual</x:v>
      </x:c>
      <x:c r="H1783" t="n">
        <x:v>1</x:v>
      </x:c>
      <x:c r="I1783" t="str">
        <x:v>Aprobado</x:v>
      </x:c>
      <x:c r="J1783" t="n">
        <x:v>29900</x:v>
      </x:c>
      <x:c r="K1783" t="str">
        <x:v>Tarjeta crédito</x:v>
      </x:c>
      <x:c r="L1783" t="str">
        <x:v>Sin error</x:v>
      </x:c>
    </x:row>
    <x:row r="1784">
      <x:c r="A1784" t="str">
        <x:v>TXN-0001783</x:v>
      </x:c>
      <x:c r="B1784" t="str">
        <x:v>2026-07</x:v>
      </x:c>
      <x:c r="C1784" t="n">
        <x:v>46211</x:v>
      </x:c>
      <x:c r="D1784" t="str">
        <x:v>USR-00395</x:v>
      </x:c>
      <x:c r="E1784" t="str">
        <x:v>SUS-000642</x:v>
      </x:c>
      <x:c r="F1784" t="str">
        <x:v>Plus mensual</x:v>
      </x:c>
      <x:c r="G1784" t="str">
        <x:v>Mensual</x:v>
      </x:c>
      <x:c r="H1784" t="n">
        <x:v>1</x:v>
      </x:c>
      <x:c r="I1784" t="str">
        <x:v>Aprobado</x:v>
      </x:c>
      <x:c r="J1784" t="n">
        <x:v>29900</x:v>
      </x:c>
      <x:c r="K1784" t="str">
        <x:v>Tarjeta débito</x:v>
      </x:c>
      <x:c r="L1784" t="str">
        <x:v>Sin error</x:v>
      </x:c>
    </x:row>
    <x:row r="1785">
      <x:c r="A1785" t="str">
        <x:v>TXN-0001784</x:v>
      </x:c>
      <x:c r="B1785" t="str">
        <x:v>2026-07</x:v>
      </x:c>
      <x:c r="C1785" t="n">
        <x:v>46215</x:v>
      </x:c>
      <x:c r="D1785" t="str">
        <x:v>USR-00396</x:v>
      </x:c>
      <x:c r="E1785" t="str">
        <x:v>SUS-000511</x:v>
      </x:c>
      <x:c r="F1785" t="str">
        <x:v>Plus mensual</x:v>
      </x:c>
      <x:c r="G1785" t="str">
        <x:v>Mensual</x:v>
      </x:c>
      <x:c r="H1785" t="n">
        <x:v>1</x:v>
      </x:c>
      <x:c r="I1785" t="str">
        <x:v>Aprobado</x:v>
      </x:c>
      <x:c r="J1785" t="n">
        <x:v>29900</x:v>
      </x:c>
      <x:c r="K1785" t="str">
        <x:v>Tarjeta crédito</x:v>
      </x:c>
      <x:c r="L1785" t="str">
        <x:v>Sin error</x:v>
      </x:c>
    </x:row>
    <x:row r="1786">
      <x:c r="A1786" t="str">
        <x:v>TXN-0001785</x:v>
      </x:c>
      <x:c r="B1786" t="str">
        <x:v>2026-07</x:v>
      </x:c>
      <x:c r="C1786" t="n">
        <x:v>46209</x:v>
      </x:c>
      <x:c r="D1786" t="str">
        <x:v>USR-00403</x:v>
      </x:c>
      <x:c r="E1786" t="str">
        <x:v>SUS-000987</x:v>
      </x:c>
      <x:c r="F1786" t="str">
        <x:v>Plus mensual</x:v>
      </x:c>
      <x:c r="G1786" t="str">
        <x:v>Mensual</x:v>
      </x:c>
      <x:c r="H1786" t="n">
        <x:v>1</x:v>
      </x:c>
      <x:c r="I1786" t="str">
        <x:v>Rechazado</x:v>
      </x:c>
      <x:c r="J1786" t="n">
        <x:v>29900</x:v>
      </x:c>
      <x:c r="K1786" t="str">
        <x:v>PSE</x:v>
      </x:c>
      <x:c r="L1786" t="str">
        <x:v>Fondos insuficientes</x:v>
      </x:c>
    </x:row>
    <x:row r="1787">
      <x:c r="A1787" t="str">
        <x:v>TXN-0001786</x:v>
      </x:c>
      <x:c r="B1787" t="str">
        <x:v>2026-07</x:v>
      </x:c>
      <x:c r="C1787" t="n">
        <x:v>46210</x:v>
      </x:c>
      <x:c r="D1787" t="str">
        <x:v>USR-00403</x:v>
      </x:c>
      <x:c r="E1787" t="str">
        <x:v>SUS-000987</x:v>
      </x:c>
      <x:c r="F1787" t="str">
        <x:v>Plus mensual</x:v>
      </x:c>
      <x:c r="G1787" t="str">
        <x:v>Mensual</x:v>
      </x:c>
      <x:c r="H1787" t="n">
        <x:v>2</x:v>
      </x:c>
      <x:c r="I1787" t="str">
        <x:v>Aprobado</x:v>
      </x:c>
      <x:c r="J1787" t="n">
        <x:v>29900</x:v>
      </x:c>
      <x:c r="K1787" t="str">
        <x:v>Tarjeta débito</x:v>
      </x:c>
      <x:c r="L1787" t="str">
        <x:v>Sin error</x:v>
      </x:c>
    </x:row>
    <x:row r="1788">
      <x:c r="A1788" t="str">
        <x:v>TXN-0001787</x:v>
      </x:c>
      <x:c r="B1788" t="str">
        <x:v>2026-07</x:v>
      </x:c>
      <x:c r="C1788" t="n">
        <x:v>46214</x:v>
      </x:c>
      <x:c r="D1788" t="str">
        <x:v>USR-00404</x:v>
      </x:c>
      <x:c r="E1788" t="str">
        <x:v>SUS-000861</x:v>
      </x:c>
      <x:c r="F1788" t="str">
        <x:v>Plus mensual</x:v>
      </x:c>
      <x:c r="G1788" t="str">
        <x:v>Mensual</x:v>
      </x:c>
      <x:c r="H1788" t="n">
        <x:v>1</x:v>
      </x:c>
      <x:c r="I1788" t="str">
        <x:v>Aprobado</x:v>
      </x:c>
      <x:c r="J1788" t="n">
        <x:v>29900</x:v>
      </x:c>
      <x:c r="K1788" t="str">
        <x:v>Tarjeta débito</x:v>
      </x:c>
      <x:c r="L1788" t="str">
        <x:v>Sin error</x:v>
      </x:c>
    </x:row>
    <x:row r="1789">
      <x:c r="A1789" t="str">
        <x:v>TXN-0001788</x:v>
      </x:c>
      <x:c r="B1789" t="str">
        <x:v>2026-07</x:v>
      </x:c>
      <x:c r="C1789" t="n">
        <x:v>46214</x:v>
      </x:c>
      <x:c r="D1789" t="str">
        <x:v>USR-00409</x:v>
      </x:c>
      <x:c r="E1789" t="str">
        <x:v>SUS-000988</x:v>
      </x:c>
      <x:c r="F1789" t="str">
        <x:v>Plus mensual</x:v>
      </x:c>
      <x:c r="G1789" t="str">
        <x:v>Mensual</x:v>
      </x:c>
      <x:c r="H1789" t="n">
        <x:v>1</x:v>
      </x:c>
      <x:c r="I1789" t="str">
        <x:v>Aprobado</x:v>
      </x:c>
      <x:c r="J1789" t="n">
        <x:v>29900</x:v>
      </x:c>
      <x:c r="K1789" t="str">
        <x:v>Tarjeta débito</x:v>
      </x:c>
      <x:c r="L1789" t="str">
        <x:v>Sin error</x:v>
      </x:c>
    </x:row>
    <x:row r="1790">
      <x:c r="A1790" t="str">
        <x:v>TXN-0001789</x:v>
      </x:c>
      <x:c r="B1790" t="str">
        <x:v>2026-07</x:v>
      </x:c>
      <x:c r="C1790" t="n">
        <x:v>46208</x:v>
      </x:c>
      <x:c r="D1790" t="str">
        <x:v>USR-00413</x:v>
      </x:c>
      <x:c r="E1790" t="str">
        <x:v>SUS-000862</x:v>
      </x:c>
      <x:c r="F1790" t="str">
        <x:v>Plus mensual</x:v>
      </x:c>
      <x:c r="G1790" t="str">
        <x:v>Mensual</x:v>
      </x:c>
      <x:c r="H1790" t="n">
        <x:v>1</x:v>
      </x:c>
      <x:c r="I1790" t="str">
        <x:v>Aprobado</x:v>
      </x:c>
      <x:c r="J1790" t="n">
        <x:v>29900</x:v>
      </x:c>
      <x:c r="K1790" t="str">
        <x:v>Tarjeta débito</x:v>
      </x:c>
      <x:c r="L1790" t="str">
        <x:v>Sin error</x:v>
      </x:c>
    </x:row>
    <x:row r="1791">
      <x:c r="A1791" t="str">
        <x:v>TXN-0001790</x:v>
      </x:c>
      <x:c r="B1791" t="str">
        <x:v>2026-07</x:v>
      </x:c>
      <x:c r="C1791" t="n">
        <x:v>46208</x:v>
      </x:c>
      <x:c r="D1791" t="str">
        <x:v>USR-00414</x:v>
      </x:c>
      <x:c r="E1791" t="str">
        <x:v>SUS-000556</x:v>
      </x:c>
      <x:c r="F1791" t="str">
        <x:v>Plus mensual</x:v>
      </x:c>
      <x:c r="G1791" t="str">
        <x:v>Mensual</x:v>
      </x:c>
      <x:c r="H1791" t="n">
        <x:v>1</x:v>
      </x:c>
      <x:c r="I1791" t="str">
        <x:v>Aprobado</x:v>
      </x:c>
      <x:c r="J1791" t="n">
        <x:v>29900</x:v>
      </x:c>
      <x:c r="K1791" t="str">
        <x:v>PSE</x:v>
      </x:c>
      <x:c r="L1791" t="str">
        <x:v>Sin error</x:v>
      </x:c>
    </x:row>
    <x:row r="1792">
      <x:c r="A1792" t="str">
        <x:v>TXN-0001791</x:v>
      </x:c>
      <x:c r="B1792" t="str">
        <x:v>2026-07</x:v>
      </x:c>
      <x:c r="C1792" t="n">
        <x:v>46211</x:v>
      </x:c>
      <x:c r="D1792" t="str">
        <x:v>USR-00416</x:v>
      </x:c>
      <x:c r="E1792" t="str">
        <x:v>SUS-000863</x:v>
      </x:c>
      <x:c r="F1792" t="str">
        <x:v>Plus mensual</x:v>
      </x:c>
      <x:c r="G1792" t="str">
        <x:v>Mensual</x:v>
      </x:c>
      <x:c r="H1792" t="n">
        <x:v>1</x:v>
      </x:c>
      <x:c r="I1792" t="str">
        <x:v>Rechazado</x:v>
      </x:c>
      <x:c r="J1792" t="n">
        <x:v>29900</x:v>
      </x:c>
      <x:c r="K1792" t="str">
        <x:v>PSE</x:v>
      </x:c>
      <x:c r="L1792" t="str">
        <x:v>Error temporal</x:v>
      </x:c>
    </x:row>
    <x:row r="1793">
      <x:c r="A1793" t="str">
        <x:v>TXN-0001792</x:v>
      </x:c>
      <x:c r="B1793" t="str">
        <x:v>2026-07</x:v>
      </x:c>
      <x:c r="C1793" t="n">
        <x:v>46210</x:v>
      </x:c>
      <x:c r="D1793" t="str">
        <x:v>USR-00416</x:v>
      </x:c>
      <x:c r="E1793" t="str">
        <x:v>SUS-000863</x:v>
      </x:c>
      <x:c r="F1793" t="str">
        <x:v>Plus mensual</x:v>
      </x:c>
      <x:c r="G1793" t="str">
        <x:v>Mensual</x:v>
      </x:c>
      <x:c r="H1793" t="n">
        <x:v>2</x:v>
      </x:c>
      <x:c r="I1793" t="str">
        <x:v>Aprobado</x:v>
      </x:c>
      <x:c r="J1793" t="n">
        <x:v>29900</x:v>
      </x:c>
      <x:c r="K1793" t="str">
        <x:v>Tarjeta crédito</x:v>
      </x:c>
      <x:c r="L1793" t="str">
        <x:v>Sin error</x:v>
      </x:c>
    </x:row>
    <x:row r="1794">
      <x:c r="A1794" t="str">
        <x:v>TXN-0001793</x:v>
      </x:c>
      <x:c r="B1794" t="str">
        <x:v>2026-07</x:v>
      </x:c>
      <x:c r="C1794" t="n">
        <x:v>46210</x:v>
      </x:c>
      <x:c r="D1794" t="str">
        <x:v>USR-00419</x:v>
      </x:c>
      <x:c r="E1794" t="str">
        <x:v>SUS-000989</x:v>
      </x:c>
      <x:c r="F1794" t="str">
        <x:v>Plus mensual</x:v>
      </x:c>
      <x:c r="G1794" t="str">
        <x:v>Mensual</x:v>
      </x:c>
      <x:c r="H1794" t="n">
        <x:v>1</x:v>
      </x:c>
      <x:c r="I1794" t="str">
        <x:v>Aprobado</x:v>
      </x:c>
      <x:c r="J1794" t="n">
        <x:v>29900</x:v>
      </x:c>
      <x:c r="K1794" t="str">
        <x:v>Tarjeta débito</x:v>
      </x:c>
      <x:c r="L1794" t="str">
        <x:v>Sin error</x:v>
      </x:c>
    </x:row>
    <x:row r="1795">
      <x:c r="A1795" t="str">
        <x:v>TXN-0001794</x:v>
      </x:c>
      <x:c r="B1795" t="str">
        <x:v>2026-07</x:v>
      </x:c>
      <x:c r="C1795" t="n">
        <x:v>46214</x:v>
      </x:c>
      <x:c r="D1795" t="str">
        <x:v>USR-00421</x:v>
      </x:c>
      <x:c r="E1795" t="str">
        <x:v>SUS-000864</x:v>
      </x:c>
      <x:c r="F1795" t="str">
        <x:v>Plus mensual</x:v>
      </x:c>
      <x:c r="G1795" t="str">
        <x:v>Mensual</x:v>
      </x:c>
      <x:c r="H1795" t="n">
        <x:v>1</x:v>
      </x:c>
      <x:c r="I1795" t="str">
        <x:v>Aprobado</x:v>
      </x:c>
      <x:c r="J1795" t="n">
        <x:v>29900</x:v>
      </x:c>
      <x:c r="K1795" t="str">
        <x:v>Tarjeta débito</x:v>
      </x:c>
      <x:c r="L1795" t="str">
        <x:v>Sin error</x:v>
      </x:c>
    </x:row>
    <x:row r="1796">
      <x:c r="A1796" t="str">
        <x:v>TXN-0001795</x:v>
      </x:c>
      <x:c r="B1796" t="str">
        <x:v>2026-07</x:v>
      </x:c>
      <x:c r="C1796" t="n">
        <x:v>46209</x:v>
      </x:c>
      <x:c r="D1796" t="str">
        <x:v>USR-00423</x:v>
      </x:c>
      <x:c r="E1796" t="str">
        <x:v>SUS-000565</x:v>
      </x:c>
      <x:c r="F1796" t="str">
        <x:v>Plus mensual</x:v>
      </x:c>
      <x:c r="G1796" t="str">
        <x:v>Mensual</x:v>
      </x:c>
      <x:c r="H1796" t="n">
        <x:v>1</x:v>
      </x:c>
      <x:c r="I1796" t="str">
        <x:v>Aprobado</x:v>
      </x:c>
      <x:c r="J1796" t="n">
        <x:v>29900</x:v>
      </x:c>
      <x:c r="K1796" t="str">
        <x:v>Tarjeta débito</x:v>
      </x:c>
      <x:c r="L1796" t="str">
        <x:v>Sin error</x:v>
      </x:c>
    </x:row>
    <x:row r="1797">
      <x:c r="A1797" t="str">
        <x:v>TXN-0001796</x:v>
      </x:c>
      <x:c r="B1797" t="str">
        <x:v>2026-07</x:v>
      </x:c>
      <x:c r="C1797" t="n">
        <x:v>46214</x:v>
      </x:c>
      <x:c r="D1797" t="str">
        <x:v>USR-00435</x:v>
      </x:c>
      <x:c r="E1797" t="str">
        <x:v>SUS-000577</x:v>
      </x:c>
      <x:c r="F1797" t="str">
        <x:v>Plus mensual</x:v>
      </x:c>
      <x:c r="G1797" t="str">
        <x:v>Mensual</x:v>
      </x:c>
      <x:c r="H1797" t="n">
        <x:v>1</x:v>
      </x:c>
      <x:c r="I1797" t="str">
        <x:v>Aprobado</x:v>
      </x:c>
      <x:c r="J1797" t="n">
        <x:v>29900</x:v>
      </x:c>
      <x:c r="K1797" t="str">
        <x:v>Tarjeta débito</x:v>
      </x:c>
      <x:c r="L1797" t="str">
        <x:v>Sin error</x:v>
      </x:c>
    </x:row>
    <x:row r="1798">
      <x:c r="A1798" t="str">
        <x:v>TXN-0001797</x:v>
      </x:c>
      <x:c r="B1798" t="str">
        <x:v>2026-07</x:v>
      </x:c>
      <x:c r="C1798" t="n">
        <x:v>46213</x:v>
      </x:c>
      <x:c r="D1798" t="str">
        <x:v>USR-00438</x:v>
      </x:c>
      <x:c r="E1798" t="str">
        <x:v>SUS-001275</x:v>
      </x:c>
      <x:c r="F1798" t="str">
        <x:v>Plus mensual</x:v>
      </x:c>
      <x:c r="G1798" t="str">
        <x:v>Mensual</x:v>
      </x:c>
      <x:c r="H1798" t="n">
        <x:v>1</x:v>
      </x:c>
      <x:c r="I1798" t="str">
        <x:v>Aprobado</x:v>
      </x:c>
      <x:c r="J1798" t="n">
        <x:v>29900</x:v>
      </x:c>
      <x:c r="K1798" t="str">
        <x:v>Tarjeta débito</x:v>
      </x:c>
      <x:c r="L1798" t="str">
        <x:v>Sin error</x:v>
      </x:c>
    </x:row>
    <x:row r="1799">
      <x:c r="A1799" t="str">
        <x:v>TXN-0001798</x:v>
      </x:c>
      <x:c r="B1799" t="str">
        <x:v>2026-07</x:v>
      </x:c>
      <x:c r="C1799" t="n">
        <x:v>46208</x:v>
      </x:c>
      <x:c r="D1799" t="str">
        <x:v>USR-00440</x:v>
      </x:c>
      <x:c r="E1799" t="str">
        <x:v>SUS-001128</x:v>
      </x:c>
      <x:c r="F1799" t="str">
        <x:v>Plus mensual</x:v>
      </x:c>
      <x:c r="G1799" t="str">
        <x:v>Mensual</x:v>
      </x:c>
      <x:c r="H1799" t="n">
        <x:v>1</x:v>
      </x:c>
      <x:c r="I1799" t="str">
        <x:v>Aprobado</x:v>
      </x:c>
      <x:c r="J1799" t="n">
        <x:v>29900</x:v>
      </x:c>
      <x:c r="K1799" t="str">
        <x:v>PSE</x:v>
      </x:c>
      <x:c r="L1799" t="str">
        <x:v>Sin error</x:v>
      </x:c>
    </x:row>
    <x:row r="1800">
      <x:c r="A1800" t="str">
        <x:v>TXN-0001799</x:v>
      </x:c>
      <x:c r="B1800" t="str">
        <x:v>2026-07</x:v>
      </x:c>
      <x:c r="C1800" t="n">
        <x:v>46209</x:v>
      </x:c>
      <x:c r="D1800" t="str">
        <x:v>USR-00446</x:v>
      </x:c>
      <x:c r="E1800" t="str">
        <x:v>SUS-000588</x:v>
      </x:c>
      <x:c r="F1800" t="str">
        <x:v>Plus mensual</x:v>
      </x:c>
      <x:c r="G1800" t="str">
        <x:v>Mensual</x:v>
      </x:c>
      <x:c r="H1800" t="n">
        <x:v>1</x:v>
      </x:c>
      <x:c r="I1800" t="str">
        <x:v>Aprobado</x:v>
      </x:c>
      <x:c r="J1800" t="n">
        <x:v>29900</x:v>
      </x:c>
      <x:c r="K1800" t="str">
        <x:v>Tarjeta débito</x:v>
      </x:c>
      <x:c r="L1800" t="str">
        <x:v>Sin error</x:v>
      </x:c>
    </x:row>
    <x:row r="1801">
      <x:c r="A1801" t="str">
        <x:v>TXN-0001800</x:v>
      </x:c>
      <x:c r="B1801" t="str">
        <x:v>2026-07</x:v>
      </x:c>
      <x:c r="C1801" t="n">
        <x:v>46211</x:v>
      </x:c>
      <x:c r="D1801" t="str">
        <x:v>USR-00450</x:v>
      </x:c>
      <x:c r="E1801" t="str">
        <x:v>SUS-000867</x:v>
      </x:c>
      <x:c r="F1801" t="str">
        <x:v>Plus mensual</x:v>
      </x:c>
      <x:c r="G1801" t="str">
        <x:v>Mensual</x:v>
      </x:c>
      <x:c r="H1801" t="n">
        <x:v>1</x:v>
      </x:c>
      <x:c r="I1801" t="str">
        <x:v>Aprobado</x:v>
      </x:c>
      <x:c r="J1801" t="n">
        <x:v>29900</x:v>
      </x:c>
      <x:c r="K1801" t="str">
        <x:v>Tarjeta crédito</x:v>
      </x:c>
      <x:c r="L1801" t="str">
        <x:v>Sin error</x:v>
      </x:c>
    </x:row>
    <x:row r="1802">
      <x:c r="A1802" t="str">
        <x:v>TXN-0001801</x:v>
      </x:c>
      <x:c r="B1802" t="str">
        <x:v>2026-07</x:v>
      </x:c>
      <x:c r="C1802" t="n">
        <x:v>46208</x:v>
      </x:c>
      <x:c r="D1802" t="str">
        <x:v>USR-00452</x:v>
      </x:c>
      <x:c r="E1802" t="str">
        <x:v>SUS-000868</x:v>
      </x:c>
      <x:c r="F1802" t="str">
        <x:v>Plus mensual</x:v>
      </x:c>
      <x:c r="G1802" t="str">
        <x:v>Mensual</x:v>
      </x:c>
      <x:c r="H1802" t="n">
        <x:v>1</x:v>
      </x:c>
      <x:c r="I1802" t="str">
        <x:v>Aprobado</x:v>
      </x:c>
      <x:c r="J1802" t="n">
        <x:v>29900</x:v>
      </x:c>
      <x:c r="K1802" t="str">
        <x:v>Tarjeta débito</x:v>
      </x:c>
      <x:c r="L1802" t="str">
        <x:v>Sin error</x:v>
      </x:c>
    </x:row>
    <x:row r="1803">
      <x:c r="A1803" t="str">
        <x:v>TXN-0001802</x:v>
      </x:c>
      <x:c r="B1803" t="str">
        <x:v>2026-07</x:v>
      </x:c>
      <x:c r="C1803" t="n">
        <x:v>46211</x:v>
      </x:c>
      <x:c r="D1803" t="str">
        <x:v>USR-00455</x:v>
      </x:c>
      <x:c r="E1803" t="str">
        <x:v>SUS-001429</x:v>
      </x:c>
      <x:c r="F1803" t="str">
        <x:v>Plus mensual</x:v>
      </x:c>
      <x:c r="G1803" t="str">
        <x:v>Mensual</x:v>
      </x:c>
      <x:c r="H1803" t="n">
        <x:v>1</x:v>
      </x:c>
      <x:c r="I1803" t="str">
        <x:v>Rechazado</x:v>
      </x:c>
      <x:c r="J1803" t="n">
        <x:v>29900</x:v>
      </x:c>
      <x:c r="K1803" t="str">
        <x:v>PSE</x:v>
      </x:c>
      <x:c r="L1803" t="str">
        <x:v>Declinado por entidad</x:v>
      </x:c>
    </x:row>
    <x:row r="1804">
      <x:c r="A1804" t="str">
        <x:v>TXN-0001803</x:v>
      </x:c>
      <x:c r="B1804" t="str">
        <x:v>2026-07</x:v>
      </x:c>
      <x:c r="C1804" t="n">
        <x:v>46213</x:v>
      </x:c>
      <x:c r="D1804" t="str">
        <x:v>USR-00455</x:v>
      </x:c>
      <x:c r="E1804" t="str">
        <x:v>SUS-001429</x:v>
      </x:c>
      <x:c r="F1804" t="str">
        <x:v>Plus mensual</x:v>
      </x:c>
      <x:c r="G1804" t="str">
        <x:v>Mensual</x:v>
      </x:c>
      <x:c r="H1804" t="n">
        <x:v>2</x:v>
      </x:c>
      <x:c r="I1804" t="str">
        <x:v>Aprobado</x:v>
      </x:c>
      <x:c r="J1804" t="n">
        <x:v>29900</x:v>
      </x:c>
      <x:c r="K1804" t="str">
        <x:v>PSE</x:v>
      </x:c>
      <x:c r="L1804" t="str">
        <x:v>Sin error</x:v>
      </x:c>
    </x:row>
    <x:row r="1805">
      <x:c r="A1805" t="str">
        <x:v>TXN-0001804</x:v>
      </x:c>
      <x:c r="B1805" t="str">
        <x:v>2026-07</x:v>
      </x:c>
      <x:c r="C1805" t="n">
        <x:v>46214</x:v>
      </x:c>
      <x:c r="D1805" t="str">
        <x:v>USR-00456</x:v>
      </x:c>
      <x:c r="E1805" t="str">
        <x:v>SUS-000598</x:v>
      </x:c>
      <x:c r="F1805" t="str">
        <x:v>Plus mensual</x:v>
      </x:c>
      <x:c r="G1805" t="str">
        <x:v>Mensual</x:v>
      </x:c>
      <x:c r="H1805" t="n">
        <x:v>1</x:v>
      </x:c>
      <x:c r="I1805" t="str">
        <x:v>Aprobado</x:v>
      </x:c>
      <x:c r="J1805" t="n">
        <x:v>29900</x:v>
      </x:c>
      <x:c r="K1805" t="str">
        <x:v>PSE</x:v>
      </x:c>
      <x:c r="L1805" t="str">
        <x:v>Sin error</x:v>
      </x:c>
    </x:row>
    <x:row r="1806">
      <x:c r="A1806" t="str">
        <x:v>TXN-0001805</x:v>
      </x:c>
      <x:c r="B1806" t="str">
        <x:v>2026-07</x:v>
      </x:c>
      <x:c r="C1806" t="n">
        <x:v>46212</x:v>
      </x:c>
      <x:c r="D1806" t="str">
        <x:v>USR-00457</x:v>
      </x:c>
      <x:c r="E1806" t="str">
        <x:v>SUS-001430</x:v>
      </x:c>
      <x:c r="F1806" t="str">
        <x:v>Plus mensual</x:v>
      </x:c>
      <x:c r="G1806" t="str">
        <x:v>Mensual</x:v>
      </x:c>
      <x:c r="H1806" t="n">
        <x:v>1</x:v>
      </x:c>
      <x:c r="I1806" t="str">
        <x:v>Aprobado</x:v>
      </x:c>
      <x:c r="J1806" t="n">
        <x:v>29900</x:v>
      </x:c>
      <x:c r="K1806" t="str">
        <x:v>PSE</x:v>
      </x:c>
      <x:c r="L1806" t="str">
        <x:v>Sin error</x:v>
      </x:c>
    </x:row>
    <x:row r="1807">
      <x:c r="A1807" t="str">
        <x:v>TXN-0001806</x:v>
      </x:c>
      <x:c r="B1807" t="str">
        <x:v>2026-07</x:v>
      </x:c>
      <x:c r="C1807" t="n">
        <x:v>46215</x:v>
      </x:c>
      <x:c r="D1807" t="str">
        <x:v>USR-00458</x:v>
      </x:c>
      <x:c r="E1807" t="str">
        <x:v>SUS-000600</x:v>
      </x:c>
      <x:c r="F1807" t="str">
        <x:v>Plus mensual</x:v>
      </x:c>
      <x:c r="G1807" t="str">
        <x:v>Mensual</x:v>
      </x:c>
      <x:c r="H1807" t="n">
        <x:v>1</x:v>
      </x:c>
      <x:c r="I1807" t="str">
        <x:v>Aprobado</x:v>
      </x:c>
      <x:c r="J1807" t="n">
        <x:v>29900</x:v>
      </x:c>
      <x:c r="K1807" t="str">
        <x:v>Tarjeta débito</x:v>
      </x:c>
      <x:c r="L1807" t="str">
        <x:v>Sin error</x:v>
      </x:c>
    </x:row>
    <x:row r="1808">
      <x:c r="A1808" t="str">
        <x:v>TXN-0001807</x:v>
      </x:c>
      <x:c r="B1808" t="str">
        <x:v>2026-07</x:v>
      </x:c>
      <x:c r="C1808" t="n">
        <x:v>46213</x:v>
      </x:c>
      <x:c r="D1808" t="str">
        <x:v>USR-00465</x:v>
      </x:c>
      <x:c r="E1808" t="str">
        <x:v>SUS-000607</x:v>
      </x:c>
      <x:c r="F1808" t="str">
        <x:v>Plus mensual</x:v>
      </x:c>
      <x:c r="G1808" t="str">
        <x:v>Mensual</x:v>
      </x:c>
      <x:c r="H1808" t="n">
        <x:v>1</x:v>
      </x:c>
      <x:c r="I1808" t="str">
        <x:v>Aprobado</x:v>
      </x:c>
      <x:c r="J1808" t="n">
        <x:v>29900</x:v>
      </x:c>
      <x:c r="K1808" t="str">
        <x:v>Tarjeta débito</x:v>
      </x:c>
      <x:c r="L1808" t="str">
        <x:v>Sin error</x:v>
      </x:c>
    </x:row>
    <x:row r="1809">
      <x:c r="A1809" t="str">
        <x:v>TXN-0001808</x:v>
      </x:c>
      <x:c r="B1809" t="str">
        <x:v>2026-07</x:v>
      </x:c>
      <x:c r="C1809" t="n">
        <x:v>46209</x:v>
      </x:c>
      <x:c r="D1809" t="str">
        <x:v>USR-00467</x:v>
      </x:c>
      <x:c r="E1809" t="str">
        <x:v>SUS-000763</x:v>
      </x:c>
      <x:c r="F1809" t="str">
        <x:v>Plus mensual</x:v>
      </x:c>
      <x:c r="G1809" t="str">
        <x:v>Mensual</x:v>
      </x:c>
      <x:c r="H1809" t="n">
        <x:v>1</x:v>
      </x:c>
      <x:c r="I1809" t="str">
        <x:v>Aprobado</x:v>
      </x:c>
      <x:c r="J1809" t="n">
        <x:v>29900</x:v>
      </x:c>
      <x:c r="K1809" t="str">
        <x:v>Tarjeta crédito</x:v>
      </x:c>
      <x:c r="L1809" t="str">
        <x:v>Sin error</x:v>
      </x:c>
    </x:row>
    <x:row r="1810">
      <x:c r="A1810" t="str">
        <x:v>TXN-0001809</x:v>
      </x:c>
      <x:c r="B1810" t="str">
        <x:v>2026-07</x:v>
      </x:c>
      <x:c r="C1810" t="n">
        <x:v>46215</x:v>
      </x:c>
      <x:c r="D1810" t="str">
        <x:v>USR-00469</x:v>
      </x:c>
      <x:c r="E1810" t="str">
        <x:v>SUS-000648</x:v>
      </x:c>
      <x:c r="F1810" t="str">
        <x:v>Plus mensual</x:v>
      </x:c>
      <x:c r="G1810" t="str">
        <x:v>Mensual</x:v>
      </x:c>
      <x:c r="H1810" t="n">
        <x:v>1</x:v>
      </x:c>
      <x:c r="I1810" t="str">
        <x:v>Rechazado</x:v>
      </x:c>
      <x:c r="J1810" t="n">
        <x:v>29900</x:v>
      </x:c>
      <x:c r="K1810" t="str">
        <x:v>Tarjeta crédito</x:v>
      </x:c>
      <x:c r="L1810" t="str">
        <x:v>Error temporal</x:v>
      </x:c>
    </x:row>
    <x:row r="1811">
      <x:c r="A1811" t="str">
        <x:v>TXN-0001810</x:v>
      </x:c>
      <x:c r="B1811" t="str">
        <x:v>2026-07</x:v>
      </x:c>
      <x:c r="C1811" t="n">
        <x:v>46210</x:v>
      </x:c>
      <x:c r="D1811" t="str">
        <x:v>USR-00469</x:v>
      </x:c>
      <x:c r="E1811" t="str">
        <x:v>SUS-000648</x:v>
      </x:c>
      <x:c r="F1811" t="str">
        <x:v>Plus mensual</x:v>
      </x:c>
      <x:c r="G1811" t="str">
        <x:v>Mensual</x:v>
      </x:c>
      <x:c r="H1811" t="n">
        <x:v>2</x:v>
      </x:c>
      <x:c r="I1811" t="str">
        <x:v>Aprobado</x:v>
      </x:c>
      <x:c r="J1811" t="n">
        <x:v>29900</x:v>
      </x:c>
      <x:c r="K1811" t="str">
        <x:v>Tarjeta débito</x:v>
      </x:c>
      <x:c r="L1811" t="str">
        <x:v>Sin error</x:v>
      </x:c>
    </x:row>
    <x:row r="1812">
      <x:c r="A1812" t="str">
        <x:v>TXN-0001811</x:v>
      </x:c>
      <x:c r="B1812" t="str">
        <x:v>2026-07</x:v>
      </x:c>
      <x:c r="C1812" t="n">
        <x:v>46214</x:v>
      </x:c>
      <x:c r="D1812" t="str">
        <x:v>USR-00477</x:v>
      </x:c>
      <x:c r="E1812" t="str">
        <x:v>SUS-001278</x:v>
      </x:c>
      <x:c r="F1812" t="str">
        <x:v>Plus mensual</x:v>
      </x:c>
      <x:c r="G1812" t="str">
        <x:v>Mensual</x:v>
      </x:c>
      <x:c r="H1812" t="n">
        <x:v>1</x:v>
      </x:c>
      <x:c r="I1812" t="str">
        <x:v>Aprobado</x:v>
      </x:c>
      <x:c r="J1812" t="n">
        <x:v>29900</x:v>
      </x:c>
      <x:c r="K1812" t="str">
        <x:v>Tarjeta crédito</x:v>
      </x:c>
      <x:c r="L1812" t="str">
        <x:v>Sin error</x:v>
      </x:c>
    </x:row>
    <x:row r="1813">
      <x:c r="A1813" t="str">
        <x:v>TXN-0001812</x:v>
      </x:c>
      <x:c r="B1813" t="str">
        <x:v>2026-07</x:v>
      </x:c>
      <x:c r="C1813" t="n">
        <x:v>46210</x:v>
      </x:c>
      <x:c r="D1813" t="str">
        <x:v>USR-00481</x:v>
      </x:c>
      <x:c r="E1813" t="str">
        <x:v>SUS-001130</x:v>
      </x:c>
      <x:c r="F1813" t="str">
        <x:v>Plus mensual</x:v>
      </x:c>
      <x:c r="G1813" t="str">
        <x:v>Mensual</x:v>
      </x:c>
      <x:c r="H1813" t="n">
        <x:v>1</x:v>
      </x:c>
      <x:c r="I1813" t="str">
        <x:v>Aprobado</x:v>
      </x:c>
      <x:c r="J1813" t="n">
        <x:v>29900</x:v>
      </x:c>
      <x:c r="K1813" t="str">
        <x:v>Tarjeta crédito</x:v>
      </x:c>
      <x:c r="L1813" t="str">
        <x:v>Sin error</x:v>
      </x:c>
    </x:row>
    <x:row r="1814">
      <x:c r="A1814" t="str">
        <x:v>TXN-0001813</x:v>
      </x:c>
      <x:c r="B1814" t="str">
        <x:v>2026-07</x:v>
      </x:c>
      <x:c r="C1814" t="n">
        <x:v>46214</x:v>
      </x:c>
      <x:c r="D1814" t="str">
        <x:v>USR-00484</x:v>
      </x:c>
      <x:c r="E1814" t="str">
        <x:v>SUS-000662</x:v>
      </x:c>
      <x:c r="F1814" t="str">
        <x:v>Plus mensual</x:v>
      </x:c>
      <x:c r="G1814" t="str">
        <x:v>Mensual</x:v>
      </x:c>
      <x:c r="H1814" t="n">
        <x:v>1</x:v>
      </x:c>
      <x:c r="I1814" t="str">
        <x:v>Aprobado</x:v>
      </x:c>
      <x:c r="J1814" t="n">
        <x:v>29900</x:v>
      </x:c>
      <x:c r="K1814" t="str">
        <x:v>Tarjeta crédito</x:v>
      </x:c>
      <x:c r="L1814" t="str">
        <x:v>Sin error</x:v>
      </x:c>
    </x:row>
    <x:row r="1815">
      <x:c r="A1815" t="str">
        <x:v>TXN-0001814</x:v>
      </x:c>
      <x:c r="B1815" t="str">
        <x:v>2026-07</x:v>
      </x:c>
      <x:c r="C1815" t="n">
        <x:v>46209</x:v>
      </x:c>
      <x:c r="D1815" t="str">
        <x:v>USR-00486</x:v>
      </x:c>
      <x:c r="E1815" t="str">
        <x:v>SUS-001432</x:v>
      </x:c>
      <x:c r="F1815" t="str">
        <x:v>Plus mensual</x:v>
      </x:c>
      <x:c r="G1815" t="str">
        <x:v>Mensual</x:v>
      </x:c>
      <x:c r="H1815" t="n">
        <x:v>1</x:v>
      </x:c>
      <x:c r="I1815" t="str">
        <x:v>Aprobado</x:v>
      </x:c>
      <x:c r="J1815" t="n">
        <x:v>29900</x:v>
      </x:c>
      <x:c r="K1815" t="str">
        <x:v>Tarjeta crédito</x:v>
      </x:c>
      <x:c r="L1815" t="str">
        <x:v>Sin error</x:v>
      </x:c>
    </x:row>
    <x:row r="1816">
      <x:c r="A1816" t="str">
        <x:v>TXN-0001815</x:v>
      </x:c>
      <x:c r="B1816" t="str">
        <x:v>2026-07</x:v>
      </x:c>
      <x:c r="C1816" t="n">
        <x:v>46209</x:v>
      </x:c>
      <x:c r="D1816" t="str">
        <x:v>USR-00488</x:v>
      </x:c>
      <x:c r="E1816" t="str">
        <x:v>SUS-001433</x:v>
      </x:c>
      <x:c r="F1816" t="str">
        <x:v>Plus anual</x:v>
      </x:c>
      <x:c r="G1816" t="str">
        <x:v>Anual</x:v>
      </x:c>
      <x:c r="H1816" t="n">
        <x:v>1</x:v>
      </x:c>
      <x:c r="I1816" t="str">
        <x:v>Aprobado</x:v>
      </x:c>
      <x:c r="J1816" t="n">
        <x:v>299000</x:v>
      </x:c>
      <x:c r="K1816" t="str">
        <x:v>Tarjeta crédito</x:v>
      </x:c>
      <x:c r="L1816" t="str">
        <x:v>Sin error</x:v>
      </x:c>
    </x:row>
    <x:row r="1817">
      <x:c r="A1817" t="str">
        <x:v>TXN-0001816</x:v>
      </x:c>
      <x:c r="B1817" t="str">
        <x:v>2026-07</x:v>
      </x:c>
      <x:c r="C1817" t="n">
        <x:v>46211</x:v>
      </x:c>
      <x:c r="D1817" t="str">
        <x:v>USR-00489</x:v>
      </x:c>
      <x:c r="E1817" t="str">
        <x:v>SUS-000766</x:v>
      </x:c>
      <x:c r="F1817" t="str">
        <x:v>Plus mensual</x:v>
      </x:c>
      <x:c r="G1817" t="str">
        <x:v>Mensual</x:v>
      </x:c>
      <x:c r="H1817" t="n">
        <x:v>1</x:v>
      </x:c>
      <x:c r="I1817" t="str">
        <x:v>Aprobado</x:v>
      </x:c>
      <x:c r="J1817" t="n">
        <x:v>29900</x:v>
      </x:c>
      <x:c r="K1817" t="str">
        <x:v>Tarjeta crédito</x:v>
      </x:c>
      <x:c r="L1817" t="str">
        <x:v>Sin error</x:v>
      </x:c>
    </x:row>
    <x:row r="1818">
      <x:c r="A1818" t="str">
        <x:v>TXN-0001817</x:v>
      </x:c>
      <x:c r="B1818" t="str">
        <x:v>2026-07</x:v>
      </x:c>
      <x:c r="C1818" t="n">
        <x:v>46211</x:v>
      </x:c>
      <x:c r="D1818" t="str">
        <x:v>USR-00490</x:v>
      </x:c>
      <x:c r="E1818" t="str">
        <x:v>SUS-000992</x:v>
      </x:c>
      <x:c r="F1818" t="str">
        <x:v>Plus mensual</x:v>
      </x:c>
      <x:c r="G1818" t="str">
        <x:v>Mensual</x:v>
      </x:c>
      <x:c r="H1818" t="n">
        <x:v>1</x:v>
      </x:c>
      <x:c r="I1818" t="str">
        <x:v>Aprobado</x:v>
      </x:c>
      <x:c r="J1818" t="n">
        <x:v>29900</x:v>
      </x:c>
      <x:c r="K1818" t="str">
        <x:v>Tarjeta crédito</x:v>
      </x:c>
      <x:c r="L1818" t="str">
        <x:v>Sin error</x:v>
      </x:c>
    </x:row>
    <x:row r="1819">
      <x:c r="A1819" t="str">
        <x:v>TXN-0001818</x:v>
      </x:c>
      <x:c r="B1819" t="str">
        <x:v>2026-07</x:v>
      </x:c>
      <x:c r="C1819" t="n">
        <x:v>46213</x:v>
      </x:c>
      <x:c r="D1819" t="str">
        <x:v>USR-00492</x:v>
      </x:c>
      <x:c r="E1819" t="str">
        <x:v>SUS-001279</x:v>
      </x:c>
      <x:c r="F1819" t="str">
        <x:v>Plus mensual</x:v>
      </x:c>
      <x:c r="G1819" t="str">
        <x:v>Mensual</x:v>
      </x:c>
      <x:c r="H1819" t="n">
        <x:v>1</x:v>
      </x:c>
      <x:c r="I1819" t="str">
        <x:v>Aprobado</x:v>
      </x:c>
      <x:c r="J1819" t="n">
        <x:v>29900</x:v>
      </x:c>
      <x:c r="K1819" t="str">
        <x:v>PSE</x:v>
      </x:c>
      <x:c r="L1819" t="str">
        <x:v>Sin error</x:v>
      </x:c>
    </x:row>
    <x:row r="1820">
      <x:c r="A1820" t="str">
        <x:v>TXN-0001819</x:v>
      </x:c>
      <x:c r="B1820" t="str">
        <x:v>2026-07</x:v>
      </x:c>
      <x:c r="C1820" t="n">
        <x:v>46209</x:v>
      </x:c>
      <x:c r="D1820" t="str">
        <x:v>USR-00500</x:v>
      </x:c>
      <x:c r="E1820" t="str">
        <x:v>SUS-001434</x:v>
      </x:c>
      <x:c r="F1820" t="str">
        <x:v>Plus mensual</x:v>
      </x:c>
      <x:c r="G1820" t="str">
        <x:v>Mensual</x:v>
      </x:c>
      <x:c r="H1820" t="n">
        <x:v>1</x:v>
      </x:c>
      <x:c r="I1820" t="str">
        <x:v>Aprobado</x:v>
      </x:c>
      <x:c r="J1820" t="n">
        <x:v>29900</x:v>
      </x:c>
      <x:c r="K1820" t="str">
        <x:v>PSE</x:v>
      </x:c>
      <x:c r="L1820" t="str">
        <x:v>Sin error</x:v>
      </x:c>
    </x:row>
    <x:row r="1821">
      <x:c r="A1821" t="str">
        <x:v>TXN-0001820</x:v>
      </x:c>
      <x:c r="B1821" t="str">
        <x:v>2026-07</x:v>
      </x:c>
      <x:c r="C1821" t="n">
        <x:v>46215</x:v>
      </x:c>
      <x:c r="D1821" t="str">
        <x:v>USR-00504</x:v>
      </x:c>
      <x:c r="E1821" t="str">
        <x:v>SUS-001133</x:v>
      </x:c>
      <x:c r="F1821" t="str">
        <x:v>Plus mensual</x:v>
      </x:c>
      <x:c r="G1821" t="str">
        <x:v>Mensual</x:v>
      </x:c>
      <x:c r="H1821" t="n">
        <x:v>1</x:v>
      </x:c>
      <x:c r="I1821" t="str">
        <x:v>Aprobado</x:v>
      </x:c>
      <x:c r="J1821" t="n">
        <x:v>29900</x:v>
      </x:c>
      <x:c r="K1821" t="str">
        <x:v>PSE</x:v>
      </x:c>
      <x:c r="L1821" t="str">
        <x:v>Sin error</x:v>
      </x:c>
    </x:row>
    <x:row r="1822">
      <x:c r="A1822" t="str">
        <x:v>TXN-0001821</x:v>
      </x:c>
      <x:c r="B1822" t="str">
        <x:v>2026-07</x:v>
      </x:c>
      <x:c r="C1822" t="n">
        <x:v>46208</x:v>
      </x:c>
      <x:c r="D1822" t="str">
        <x:v>USR-00514</x:v>
      </x:c>
      <x:c r="E1822" t="str">
        <x:v>SUS-001435</x:v>
      </x:c>
      <x:c r="F1822" t="str">
        <x:v>Plus mensual</x:v>
      </x:c>
      <x:c r="G1822" t="str">
        <x:v>Mensual</x:v>
      </x:c>
      <x:c r="H1822" t="n">
        <x:v>1</x:v>
      </x:c>
      <x:c r="I1822" t="str">
        <x:v>Aprobado</x:v>
      </x:c>
      <x:c r="J1822" t="n">
        <x:v>29900</x:v>
      </x:c>
      <x:c r="K1822" t="str">
        <x:v>Tarjeta crédito</x:v>
      </x:c>
      <x:c r="L1822" t="str">
        <x:v>Sin error</x:v>
      </x:c>
    </x:row>
    <x:row r="1823">
      <x:c r="A1823" t="str">
        <x:v>TXN-0001822</x:v>
      </x:c>
      <x:c r="B1823" t="str">
        <x:v>2026-07</x:v>
      </x:c>
      <x:c r="C1823" t="n">
        <x:v>46214</x:v>
      </x:c>
      <x:c r="D1823" t="str">
        <x:v>USR-00515</x:v>
      </x:c>
      <x:c r="E1823" t="str">
        <x:v>SUS-001280</x:v>
      </x:c>
      <x:c r="F1823" t="str">
        <x:v>Plus mensual</x:v>
      </x:c>
      <x:c r="G1823" t="str">
        <x:v>Mensual</x:v>
      </x:c>
      <x:c r="H1823" t="n">
        <x:v>1</x:v>
      </x:c>
      <x:c r="I1823" t="str">
        <x:v>Aprobado</x:v>
      </x:c>
      <x:c r="J1823" t="n">
        <x:v>29900</x:v>
      </x:c>
      <x:c r="K1823" t="str">
        <x:v>PSE</x:v>
      </x:c>
      <x:c r="L1823" t="str">
        <x:v>Sin error</x:v>
      </x:c>
    </x:row>
    <x:row r="1824">
      <x:c r="A1824" t="str">
        <x:v>TXN-0001823</x:v>
      </x:c>
      <x:c r="B1824" t="str">
        <x:v>2026-07</x:v>
      </x:c>
      <x:c r="C1824" t="n">
        <x:v>46214</x:v>
      </x:c>
      <x:c r="D1824" t="str">
        <x:v>USR-00517</x:v>
      </x:c>
      <x:c r="E1824" t="str">
        <x:v>SUS-000767</x:v>
      </x:c>
      <x:c r="F1824" t="str">
        <x:v>Plus mensual</x:v>
      </x:c>
      <x:c r="G1824" t="str">
        <x:v>Mensual</x:v>
      </x:c>
      <x:c r="H1824" t="n">
        <x:v>1</x:v>
      </x:c>
      <x:c r="I1824" t="str">
        <x:v>Aprobado</x:v>
      </x:c>
      <x:c r="J1824" t="n">
        <x:v>29900</x:v>
      </x:c>
      <x:c r="K1824" t="str">
        <x:v>PSE</x:v>
      </x:c>
      <x:c r="L1824" t="str">
        <x:v>Sin error</x:v>
      </x:c>
    </x:row>
    <x:row r="1825">
      <x:c r="A1825" t="str">
        <x:v>TXN-0001824</x:v>
      </x:c>
      <x:c r="B1825" t="str">
        <x:v>2026-07</x:v>
      </x:c>
      <x:c r="C1825" t="n">
        <x:v>46213</x:v>
      </x:c>
      <x:c r="D1825" t="str">
        <x:v>USR-00518</x:v>
      </x:c>
      <x:c r="E1825" t="str">
        <x:v>SUS-000696</x:v>
      </x:c>
      <x:c r="F1825" t="str">
        <x:v>Plus mensual</x:v>
      </x:c>
      <x:c r="G1825" t="str">
        <x:v>Mensual</x:v>
      </x:c>
      <x:c r="H1825" t="n">
        <x:v>1</x:v>
      </x:c>
      <x:c r="I1825" t="str">
        <x:v>Aprobado</x:v>
      </x:c>
      <x:c r="J1825" t="n">
        <x:v>29900</x:v>
      </x:c>
      <x:c r="K1825" t="str">
        <x:v>PSE</x:v>
      </x:c>
      <x:c r="L1825" t="str">
        <x:v>Sin error</x:v>
      </x:c>
    </x:row>
    <x:row r="1826">
      <x:c r="A1826" t="str">
        <x:v>TXN-0001825</x:v>
      </x:c>
      <x:c r="B1826" t="str">
        <x:v>2026-07</x:v>
      </x:c>
      <x:c r="C1826" t="n">
        <x:v>46214</x:v>
      </x:c>
      <x:c r="D1826" t="str">
        <x:v>USR-00520</x:v>
      </x:c>
      <x:c r="E1826" t="str">
        <x:v>SUS-001281</x:v>
      </x:c>
      <x:c r="F1826" t="str">
        <x:v>Plus mensual</x:v>
      </x:c>
      <x:c r="G1826" t="str">
        <x:v>Mensual</x:v>
      </x:c>
      <x:c r="H1826" t="n">
        <x:v>1</x:v>
      </x:c>
      <x:c r="I1826" t="str">
        <x:v>Aprobado</x:v>
      </x:c>
      <x:c r="J1826" t="n">
        <x:v>29900</x:v>
      </x:c>
      <x:c r="K1826" t="str">
        <x:v>Tarjeta débito</x:v>
      </x:c>
      <x:c r="L1826" t="str">
        <x:v>Sin error</x:v>
      </x:c>
    </x:row>
    <x:row r="1827">
      <x:c r="A1827" t="str">
        <x:v>TXN-0001826</x:v>
      </x:c>
      <x:c r="B1827" t="str">
        <x:v>2026-07</x:v>
      </x:c>
      <x:c r="C1827" t="n">
        <x:v>46210</x:v>
      </x:c>
      <x:c r="D1827" t="str">
        <x:v>USR-00524</x:v>
      </x:c>
      <x:c r="E1827" t="str">
        <x:v>SUS-000876</x:v>
      </x:c>
      <x:c r="F1827" t="str">
        <x:v>Plus mensual</x:v>
      </x:c>
      <x:c r="G1827" t="str">
        <x:v>Mensual</x:v>
      </x:c>
      <x:c r="H1827" t="n">
        <x:v>1</x:v>
      </x:c>
      <x:c r="I1827" t="str">
        <x:v>Aprobado</x:v>
      </x:c>
      <x:c r="J1827" t="n">
        <x:v>29900</x:v>
      </x:c>
      <x:c r="K1827" t="str">
        <x:v>PSE</x:v>
      </x:c>
      <x:c r="L1827" t="str">
        <x:v>Sin error</x:v>
      </x:c>
    </x:row>
    <x:row r="1828">
      <x:c r="A1828" t="str">
        <x:v>TXN-0001827</x:v>
      </x:c>
      <x:c r="B1828" t="str">
        <x:v>2026-07</x:v>
      </x:c>
      <x:c r="C1828" t="n">
        <x:v>46209</x:v>
      </x:c>
      <x:c r="D1828" t="str">
        <x:v>USR-00527</x:v>
      </x:c>
      <x:c r="E1828" t="str">
        <x:v>SUS-000705</x:v>
      </x:c>
      <x:c r="F1828" t="str">
        <x:v>Plus mensual</x:v>
      </x:c>
      <x:c r="G1828" t="str">
        <x:v>Mensual</x:v>
      </x:c>
      <x:c r="H1828" t="n">
        <x:v>1</x:v>
      </x:c>
      <x:c r="I1828" t="str">
        <x:v>Aprobado</x:v>
      </x:c>
      <x:c r="J1828" t="n">
        <x:v>29900</x:v>
      </x:c>
      <x:c r="K1828" t="str">
        <x:v>PSE</x:v>
      </x:c>
      <x:c r="L1828" t="str">
        <x:v>Sin error</x:v>
      </x:c>
    </x:row>
    <x:row r="1829">
      <x:c r="A1829" t="str">
        <x:v>TXN-0001828</x:v>
      </x:c>
      <x:c r="B1829" t="str">
        <x:v>2026-07</x:v>
      </x:c>
      <x:c r="C1829" t="n">
        <x:v>46210</x:v>
      </x:c>
      <x:c r="D1829" t="str">
        <x:v>USR-00528</x:v>
      </x:c>
      <x:c r="E1829" t="str">
        <x:v>SUS-000877</x:v>
      </x:c>
      <x:c r="F1829" t="str">
        <x:v>Plus mensual</x:v>
      </x:c>
      <x:c r="G1829" t="str">
        <x:v>Mensual</x:v>
      </x:c>
      <x:c r="H1829" t="n">
        <x:v>1</x:v>
      </x:c>
      <x:c r="I1829" t="str">
        <x:v>Aprobado</x:v>
      </x:c>
      <x:c r="J1829" t="n">
        <x:v>29900</x:v>
      </x:c>
      <x:c r="K1829" t="str">
        <x:v>Tarjeta débito</x:v>
      </x:c>
      <x:c r="L1829" t="str">
        <x:v>Sin error</x:v>
      </x:c>
    </x:row>
    <x:row r="1830">
      <x:c r="A1830" t="str">
        <x:v>TXN-0001829</x:v>
      </x:c>
      <x:c r="B1830" t="str">
        <x:v>2026-07</x:v>
      </x:c>
      <x:c r="C1830" t="n">
        <x:v>46210</x:v>
      </x:c>
      <x:c r="D1830" t="str">
        <x:v>USR-00529</x:v>
      </x:c>
      <x:c r="E1830" t="str">
        <x:v>SUS-001436</x:v>
      </x:c>
      <x:c r="F1830" t="str">
        <x:v>Plus mensual</x:v>
      </x:c>
      <x:c r="G1830" t="str">
        <x:v>Mensual</x:v>
      </x:c>
      <x:c r="H1830" t="n">
        <x:v>1</x:v>
      </x:c>
      <x:c r="I1830" t="str">
        <x:v>Aprobado</x:v>
      </x:c>
      <x:c r="J1830" t="n">
        <x:v>29900</x:v>
      </x:c>
      <x:c r="K1830" t="str">
        <x:v>Tarjeta débito</x:v>
      </x:c>
      <x:c r="L1830" t="str">
        <x:v>Sin error</x:v>
      </x:c>
    </x:row>
    <x:row r="1831">
      <x:c r="A1831" t="str">
        <x:v>TXN-0001830</x:v>
      </x:c>
      <x:c r="B1831" t="str">
        <x:v>2026-07</x:v>
      </x:c>
      <x:c r="C1831" t="n">
        <x:v>46210</x:v>
      </x:c>
      <x:c r="D1831" t="str">
        <x:v>USR-00532</x:v>
      </x:c>
      <x:c r="E1831" t="str">
        <x:v>SUS-001136</x:v>
      </x:c>
      <x:c r="F1831" t="str">
        <x:v>Plus mensual</x:v>
      </x:c>
      <x:c r="G1831" t="str">
        <x:v>Mensual</x:v>
      </x:c>
      <x:c r="H1831" t="n">
        <x:v>1</x:v>
      </x:c>
      <x:c r="I1831" t="str">
        <x:v>Aprobado</x:v>
      </x:c>
      <x:c r="J1831" t="n">
        <x:v>29900</x:v>
      </x:c>
      <x:c r="K1831" t="str">
        <x:v>Tarjeta crédito</x:v>
      </x:c>
      <x:c r="L1831" t="str">
        <x:v>Sin error</x:v>
      </x:c>
    </x:row>
    <x:row r="1832">
      <x:c r="A1832" t="str">
        <x:v>TXN-0001831</x:v>
      </x:c>
      <x:c r="B1832" t="str">
        <x:v>2026-07</x:v>
      </x:c>
      <x:c r="C1832" t="n">
        <x:v>46210</x:v>
      </x:c>
      <x:c r="D1832" t="str">
        <x:v>USR-00534</x:v>
      </x:c>
      <x:c r="E1832" t="str">
        <x:v>SUS-000712</x:v>
      </x:c>
      <x:c r="F1832" t="str">
        <x:v>Plus mensual</x:v>
      </x:c>
      <x:c r="G1832" t="str">
        <x:v>Mensual</x:v>
      </x:c>
      <x:c r="H1832" t="n">
        <x:v>1</x:v>
      </x:c>
      <x:c r="I1832" t="str">
        <x:v>Aprobado</x:v>
      </x:c>
      <x:c r="J1832" t="n">
        <x:v>29900</x:v>
      </x:c>
      <x:c r="K1832" t="str">
        <x:v>Tarjeta crédito</x:v>
      </x:c>
      <x:c r="L1832" t="str">
        <x:v>Sin error</x:v>
      </x:c>
    </x:row>
    <x:row r="1833">
      <x:c r="A1833" t="str">
        <x:v>TXN-0001832</x:v>
      </x:c>
      <x:c r="B1833" t="str">
        <x:v>2026-07</x:v>
      </x:c>
      <x:c r="C1833" t="n">
        <x:v>46208</x:v>
      </x:c>
      <x:c r="D1833" t="str">
        <x:v>USR-00535</x:v>
      </x:c>
      <x:c r="E1833" t="str">
        <x:v>SUS-000996</x:v>
      </x:c>
      <x:c r="F1833" t="str">
        <x:v>Plus mensual</x:v>
      </x:c>
      <x:c r="G1833" t="str">
        <x:v>Mensual</x:v>
      </x:c>
      <x:c r="H1833" t="n">
        <x:v>1</x:v>
      </x:c>
      <x:c r="I1833" t="str">
        <x:v>Aprobado</x:v>
      </x:c>
      <x:c r="J1833" t="n">
        <x:v>29900</x:v>
      </x:c>
      <x:c r="K1833" t="str">
        <x:v>Tarjeta crédito</x:v>
      </x:c>
      <x:c r="L1833" t="str">
        <x:v>Sin error</x:v>
      </x:c>
    </x:row>
    <x:row r="1834">
      <x:c r="A1834" t="str">
        <x:v>TXN-0001833</x:v>
      </x:c>
      <x:c r="B1834" t="str">
        <x:v>2026-07</x:v>
      </x:c>
      <x:c r="C1834" t="n">
        <x:v>46212</x:v>
      </x:c>
      <x:c r="D1834" t="str">
        <x:v>USR-00539</x:v>
      </x:c>
      <x:c r="E1834" t="str">
        <x:v>SUS-001137</x:v>
      </x:c>
      <x:c r="F1834" t="str">
        <x:v>Plus mensual</x:v>
      </x:c>
      <x:c r="G1834" t="str">
        <x:v>Mensual</x:v>
      </x:c>
      <x:c r="H1834" t="n">
        <x:v>1</x:v>
      </x:c>
      <x:c r="I1834" t="str">
        <x:v>Aprobado</x:v>
      </x:c>
      <x:c r="J1834" t="n">
        <x:v>29900</x:v>
      </x:c>
      <x:c r="K1834" t="str">
        <x:v>PSE</x:v>
      </x:c>
      <x:c r="L1834" t="str">
        <x:v>Sin error</x:v>
      </x:c>
    </x:row>
    <x:row r="1835">
      <x:c r="A1835" t="str">
        <x:v>TXN-0001834</x:v>
      </x:c>
      <x:c r="B1835" t="str">
        <x:v>2026-07</x:v>
      </x:c>
      <x:c r="C1835" t="n">
        <x:v>46211</x:v>
      </x:c>
      <x:c r="D1835" t="str">
        <x:v>USR-00543</x:v>
      </x:c>
      <x:c r="E1835" t="str">
        <x:v>SUS-001282</x:v>
      </x:c>
      <x:c r="F1835" t="str">
        <x:v>Plus mensual</x:v>
      </x:c>
      <x:c r="G1835" t="str">
        <x:v>Mensual</x:v>
      </x:c>
      <x:c r="H1835" t="n">
        <x:v>1</x:v>
      </x:c>
      <x:c r="I1835" t="str">
        <x:v>Aprobado</x:v>
      </x:c>
      <x:c r="J1835" t="n">
        <x:v>29900</x:v>
      </x:c>
      <x:c r="K1835" t="str">
        <x:v>Tarjeta débito</x:v>
      </x:c>
      <x:c r="L1835" t="str">
        <x:v>Sin error</x:v>
      </x:c>
    </x:row>
    <x:row r="1836">
      <x:c r="A1836" t="str">
        <x:v>TXN-0001835</x:v>
      </x:c>
      <x:c r="B1836" t="str">
        <x:v>2026-07</x:v>
      </x:c>
      <x:c r="C1836" t="n">
        <x:v>46214</x:v>
      </x:c>
      <x:c r="D1836" t="str">
        <x:v>USR-00548</x:v>
      </x:c>
      <x:c r="E1836" t="str">
        <x:v>SUS-001438</x:v>
      </x:c>
      <x:c r="F1836" t="str">
        <x:v>Plus anual</x:v>
      </x:c>
      <x:c r="G1836" t="str">
        <x:v>Anual</x:v>
      </x:c>
      <x:c r="H1836" t="n">
        <x:v>1</x:v>
      </x:c>
      <x:c r="I1836" t="str">
        <x:v>Aprobado</x:v>
      </x:c>
      <x:c r="J1836" t="n">
        <x:v>299000</x:v>
      </x:c>
      <x:c r="K1836" t="str">
        <x:v>Tarjeta crédito</x:v>
      </x:c>
      <x:c r="L1836" t="str">
        <x:v>Sin error</x:v>
      </x:c>
    </x:row>
    <x:row r="1837">
      <x:c r="A1837" t="str">
        <x:v>TXN-0001836</x:v>
      </x:c>
      <x:c r="B1837" t="str">
        <x:v>2026-07</x:v>
      </x:c>
      <x:c r="C1837" t="n">
        <x:v>46210</x:v>
      </x:c>
      <x:c r="D1837" t="str">
        <x:v>USR-00556</x:v>
      </x:c>
      <x:c r="E1837" t="str">
        <x:v>SUS-001439</x:v>
      </x:c>
      <x:c r="F1837" t="str">
        <x:v>Plus anual</x:v>
      </x:c>
      <x:c r="G1837" t="str">
        <x:v>Anual</x:v>
      </x:c>
      <x:c r="H1837" t="n">
        <x:v>1</x:v>
      </x:c>
      <x:c r="I1837" t="str">
        <x:v>Aprobado</x:v>
      </x:c>
      <x:c r="J1837" t="n">
        <x:v>299000</x:v>
      </x:c>
      <x:c r="K1837" t="str">
        <x:v>PSE</x:v>
      </x:c>
      <x:c r="L1837" t="str">
        <x:v>Sin error</x:v>
      </x:c>
    </x:row>
    <x:row r="1838">
      <x:c r="A1838" t="str">
        <x:v>TXN-0001837</x:v>
      </x:c>
      <x:c r="B1838" t="str">
        <x:v>2026-07</x:v>
      </x:c>
      <x:c r="C1838" t="n">
        <x:v>46215</x:v>
      </x:c>
      <x:c r="D1838" t="str">
        <x:v>USR-00558</x:v>
      </x:c>
      <x:c r="E1838" t="str">
        <x:v>SIN_SUSCRIPCION</x:v>
      </x:c>
      <x:c r="F1838" t="str">
        <x:v>Plus mensual</x:v>
      </x:c>
      <x:c r="G1838" t="str">
        <x:v>Mensual</x:v>
      </x:c>
      <x:c r="H1838" t="n">
        <x:v>1</x:v>
      </x:c>
      <x:c r="I1838" t="str">
        <x:v>Rechazado</x:v>
      </x:c>
      <x:c r="J1838" t="n">
        <x:v>29900</x:v>
      </x:c>
      <x:c r="K1838" t="str">
        <x:v>PSE</x:v>
      </x:c>
      <x:c r="L1838" t="str">
        <x:v>Declinado por entidad</x:v>
      </x:c>
    </x:row>
    <x:row r="1839">
      <x:c r="A1839" t="str">
        <x:v>TXN-0001838</x:v>
      </x:c>
      <x:c r="B1839" t="str">
        <x:v>2026-07</x:v>
      </x:c>
      <x:c r="C1839" t="n">
        <x:v>46211</x:v>
      </x:c>
      <x:c r="D1839" t="str">
        <x:v>USR-00558</x:v>
      </x:c>
      <x:c r="E1839" t="str">
        <x:v>SIN_SUSCRIPCION</x:v>
      </x:c>
      <x:c r="F1839" t="str">
        <x:v>Plus mensual</x:v>
      </x:c>
      <x:c r="G1839" t="str">
        <x:v>Mensual</x:v>
      </x:c>
      <x:c r="H1839" t="n">
        <x:v>2</x:v>
      </x:c>
      <x:c r="I1839" t="str">
        <x:v>Rechazado</x:v>
      </x:c>
      <x:c r="J1839" t="n">
        <x:v>29900</x:v>
      </x:c>
      <x:c r="K1839" t="str">
        <x:v>Tarjeta débito</x:v>
      </x:c>
      <x:c r="L1839" t="str">
        <x:v>Declinado por entidad</x:v>
      </x:c>
    </x:row>
    <x:row r="1840">
      <x:c r="A1840" t="str">
        <x:v>TXN-0001839</x:v>
      </x:c>
      <x:c r="B1840" t="str">
        <x:v>2026-07</x:v>
      </x:c>
      <x:c r="C1840" t="n">
        <x:v>46215</x:v>
      </x:c>
      <x:c r="D1840" t="str">
        <x:v>USR-00560</x:v>
      </x:c>
      <x:c r="E1840" t="str">
        <x:v>SUS-000879</x:v>
      </x:c>
      <x:c r="F1840" t="str">
        <x:v>Plus mensual</x:v>
      </x:c>
      <x:c r="G1840" t="str">
        <x:v>Mensual</x:v>
      </x:c>
      <x:c r="H1840" t="n">
        <x:v>1</x:v>
      </x:c>
      <x:c r="I1840" t="str">
        <x:v>Aprobado</x:v>
      </x:c>
      <x:c r="J1840" t="n">
        <x:v>29900</x:v>
      </x:c>
      <x:c r="K1840" t="str">
        <x:v>Tarjeta débito</x:v>
      </x:c>
      <x:c r="L1840" t="str">
        <x:v>Sin error</x:v>
      </x:c>
    </x:row>
    <x:row r="1841">
      <x:c r="A1841" t="str">
        <x:v>TXN-0001840</x:v>
      </x:c>
      <x:c r="B1841" t="str">
        <x:v>2026-07</x:v>
      </x:c>
      <x:c r="C1841" t="n">
        <x:v>46213</x:v>
      </x:c>
      <x:c r="D1841" t="str">
        <x:v>USR-00561</x:v>
      </x:c>
      <x:c r="E1841" t="str">
        <x:v>SUS-000880</x:v>
      </x:c>
      <x:c r="F1841" t="str">
        <x:v>Plus mensual</x:v>
      </x:c>
      <x:c r="G1841" t="str">
        <x:v>Mensual</x:v>
      </x:c>
      <x:c r="H1841" t="n">
        <x:v>1</x:v>
      </x:c>
      <x:c r="I1841" t="str">
        <x:v>Aprobado</x:v>
      </x:c>
      <x:c r="J1841" t="n">
        <x:v>29900</x:v>
      </x:c>
      <x:c r="K1841" t="str">
        <x:v>Tarjeta crédito</x:v>
      </x:c>
      <x:c r="L1841" t="str">
        <x:v>Sin error</x:v>
      </x:c>
    </x:row>
    <x:row r="1842">
      <x:c r="A1842" t="str">
        <x:v>TXN-0001841</x:v>
      </x:c>
      <x:c r="B1842" t="str">
        <x:v>2026-07</x:v>
      </x:c>
      <x:c r="C1842" t="n">
        <x:v>46210</x:v>
      </x:c>
      <x:c r="D1842" t="str">
        <x:v>USR-00563</x:v>
      </x:c>
      <x:c r="E1842" t="str">
        <x:v>SUS-000777</x:v>
      </x:c>
      <x:c r="F1842" t="str">
        <x:v>Plus mensual</x:v>
      </x:c>
      <x:c r="G1842" t="str">
        <x:v>Mensual</x:v>
      </x:c>
      <x:c r="H1842" t="n">
        <x:v>1</x:v>
      </x:c>
      <x:c r="I1842" t="str">
        <x:v>Aprobado</x:v>
      </x:c>
      <x:c r="J1842" t="n">
        <x:v>29900</x:v>
      </x:c>
      <x:c r="K1842" t="str">
        <x:v>PSE</x:v>
      </x:c>
      <x:c r="L1842" t="str">
        <x:v>Sin error</x:v>
      </x:c>
    </x:row>
    <x:row r="1843">
      <x:c r="A1843" t="str">
        <x:v>TXN-0001842</x:v>
      </x:c>
      <x:c r="B1843" t="str">
        <x:v>2026-07</x:v>
      </x:c>
      <x:c r="C1843" t="n">
        <x:v>46212</x:v>
      </x:c>
      <x:c r="D1843" t="str">
        <x:v>USR-00565</x:v>
      </x:c>
      <x:c r="E1843" t="str">
        <x:v>SUS-001138</x:v>
      </x:c>
      <x:c r="F1843" t="str">
        <x:v>Plus mensual</x:v>
      </x:c>
      <x:c r="G1843" t="str">
        <x:v>Mensual</x:v>
      </x:c>
      <x:c r="H1843" t="n">
        <x:v>1</x:v>
      </x:c>
      <x:c r="I1843" t="str">
        <x:v>Aprobado</x:v>
      </x:c>
      <x:c r="J1843" t="n">
        <x:v>29900</x:v>
      </x:c>
      <x:c r="K1843" t="str">
        <x:v>PSE</x:v>
      </x:c>
      <x:c r="L1843" t="str">
        <x:v>Sin error</x:v>
      </x:c>
    </x:row>
    <x:row r="1844">
      <x:c r="A1844" t="str">
        <x:v>TXN-0001843</x:v>
      </x:c>
      <x:c r="B1844" t="str">
        <x:v>2026-07</x:v>
      </x:c>
      <x:c r="C1844" t="n">
        <x:v>46215</x:v>
      </x:c>
      <x:c r="D1844" t="str">
        <x:v>USR-00567</x:v>
      </x:c>
      <x:c r="E1844" t="str">
        <x:v>SUS-000999</x:v>
      </x:c>
      <x:c r="F1844" t="str">
        <x:v>Plus mensual</x:v>
      </x:c>
      <x:c r="G1844" t="str">
        <x:v>Mensual</x:v>
      </x:c>
      <x:c r="H1844" t="n">
        <x:v>1</x:v>
      </x:c>
      <x:c r="I1844" t="str">
        <x:v>Aprobado</x:v>
      </x:c>
      <x:c r="J1844" t="n">
        <x:v>29900</x:v>
      </x:c>
      <x:c r="K1844" t="str">
        <x:v>Tarjeta débito</x:v>
      </x:c>
      <x:c r="L1844" t="str">
        <x:v>Sin error</x:v>
      </x:c>
    </x:row>
    <x:row r="1845">
      <x:c r="A1845" t="str">
        <x:v>TXN-0001844</x:v>
      </x:c>
      <x:c r="B1845" t="str">
        <x:v>2026-07</x:v>
      </x:c>
      <x:c r="C1845" t="n">
        <x:v>46209</x:v>
      </x:c>
      <x:c r="D1845" t="str">
        <x:v>USR-00571</x:v>
      </x:c>
      <x:c r="E1845" t="str">
        <x:v>SUS-001285</x:v>
      </x:c>
      <x:c r="F1845" t="str">
        <x:v>Plus mensual</x:v>
      </x:c>
      <x:c r="G1845" t="str">
        <x:v>Mensual</x:v>
      </x:c>
      <x:c r="H1845" t="n">
        <x:v>1</x:v>
      </x:c>
      <x:c r="I1845" t="str">
        <x:v>Aprobado</x:v>
      </x:c>
      <x:c r="J1845" t="n">
        <x:v>29900</x:v>
      </x:c>
      <x:c r="K1845" t="str">
        <x:v>Tarjeta débito</x:v>
      </x:c>
      <x:c r="L1845" t="str">
        <x:v>Sin error</x:v>
      </x:c>
    </x:row>
    <x:row r="1846">
      <x:c r="A1846" t="str">
        <x:v>TXN-0001845</x:v>
      </x:c>
      <x:c r="B1846" t="str">
        <x:v>2026-07</x:v>
      </x:c>
      <x:c r="C1846" t="n">
        <x:v>46213</x:v>
      </x:c>
      <x:c r="D1846" t="str">
        <x:v>USR-00581</x:v>
      </x:c>
      <x:c r="E1846" t="str">
        <x:v>SUS-001441</x:v>
      </x:c>
      <x:c r="F1846" t="str">
        <x:v>Plus anual</x:v>
      </x:c>
      <x:c r="G1846" t="str">
        <x:v>Anual</x:v>
      </x:c>
      <x:c r="H1846" t="n">
        <x:v>1</x:v>
      </x:c>
      <x:c r="I1846" t="str">
        <x:v>Aprobado</x:v>
      </x:c>
      <x:c r="J1846" t="n">
        <x:v>299000</x:v>
      </x:c>
      <x:c r="K1846" t="str">
        <x:v>PSE</x:v>
      </x:c>
      <x:c r="L1846" t="str">
        <x:v>Sin error</x:v>
      </x:c>
    </x:row>
    <x:row r="1847">
      <x:c r="A1847" t="str">
        <x:v>TXN-0001846</x:v>
      </x:c>
      <x:c r="B1847" t="str">
        <x:v>2026-07</x:v>
      </x:c>
      <x:c r="C1847" t="n">
        <x:v>46212</x:v>
      </x:c>
      <x:c r="D1847" t="str">
        <x:v>USR-00587</x:v>
      </x:c>
      <x:c r="E1847" t="str">
        <x:v>SUS-000801</x:v>
      </x:c>
      <x:c r="F1847" t="str">
        <x:v>Plus mensual</x:v>
      </x:c>
      <x:c r="G1847" t="str">
        <x:v>Mensual</x:v>
      </x:c>
      <x:c r="H1847" t="n">
        <x:v>1</x:v>
      </x:c>
      <x:c r="I1847" t="str">
        <x:v>Aprobado</x:v>
      </x:c>
      <x:c r="J1847" t="n">
        <x:v>29900</x:v>
      </x:c>
      <x:c r="K1847" t="str">
        <x:v>Tarjeta crédito</x:v>
      </x:c>
      <x:c r="L1847" t="str">
        <x:v>Sin error</x:v>
      </x:c>
    </x:row>
    <x:row r="1848">
      <x:c r="A1848" t="str">
        <x:v>TXN-0001847</x:v>
      </x:c>
      <x:c r="B1848" t="str">
        <x:v>2026-07</x:v>
      </x:c>
      <x:c r="C1848" t="n">
        <x:v>46208</x:v>
      </x:c>
      <x:c r="D1848" t="str">
        <x:v>USR-00589</x:v>
      </x:c>
      <x:c r="E1848" t="str">
        <x:v>SUS-001442</x:v>
      </x:c>
      <x:c r="F1848" t="str">
        <x:v>Plus mensual</x:v>
      </x:c>
      <x:c r="G1848" t="str">
        <x:v>Mensual</x:v>
      </x:c>
      <x:c r="H1848" t="n">
        <x:v>1</x:v>
      </x:c>
      <x:c r="I1848" t="str">
        <x:v>Aprobado</x:v>
      </x:c>
      <x:c r="J1848" t="n">
        <x:v>29900</x:v>
      </x:c>
      <x:c r="K1848" t="str">
        <x:v>Tarjeta crédito</x:v>
      </x:c>
      <x:c r="L1848" t="str">
        <x:v>Sin error</x:v>
      </x:c>
    </x:row>
    <x:row r="1849">
      <x:c r="A1849" t="str">
        <x:v>TXN-0001848</x:v>
      </x:c>
      <x:c r="B1849" t="str">
        <x:v>2026-07</x:v>
      </x:c>
      <x:c r="C1849" t="n">
        <x:v>46210</x:v>
      </x:c>
      <x:c r="D1849" t="str">
        <x:v>USR-00592</x:v>
      </x:c>
      <x:c r="E1849" t="str">
        <x:v>SUS-001001</x:v>
      </x:c>
      <x:c r="F1849" t="str">
        <x:v>Plus mensual</x:v>
      </x:c>
      <x:c r="G1849" t="str">
        <x:v>Mensual</x:v>
      </x:c>
      <x:c r="H1849" t="n">
        <x:v>1</x:v>
      </x:c>
      <x:c r="I1849" t="str">
        <x:v>Aprobado</x:v>
      </x:c>
      <x:c r="J1849" t="n">
        <x:v>29900</x:v>
      </x:c>
      <x:c r="K1849" t="str">
        <x:v>Tarjeta crédito</x:v>
      </x:c>
      <x:c r="L1849" t="str">
        <x:v>Sin error</x:v>
      </x:c>
    </x:row>
    <x:row r="1850">
      <x:c r="A1850" t="str">
        <x:v>TXN-0001849</x:v>
      </x:c>
      <x:c r="B1850" t="str">
        <x:v>2026-07</x:v>
      </x:c>
      <x:c r="C1850" t="n">
        <x:v>46214</x:v>
      </x:c>
      <x:c r="D1850" t="str">
        <x:v>USR-00594</x:v>
      </x:c>
      <x:c r="E1850" t="str">
        <x:v>SUS-001443</x:v>
      </x:c>
      <x:c r="F1850" t="str">
        <x:v>Plus mensual</x:v>
      </x:c>
      <x:c r="G1850" t="str">
        <x:v>Mensual</x:v>
      </x:c>
      <x:c r="H1850" t="n">
        <x:v>1</x:v>
      </x:c>
      <x:c r="I1850" t="str">
        <x:v>Aprobado</x:v>
      </x:c>
      <x:c r="J1850" t="n">
        <x:v>29900</x:v>
      </x:c>
      <x:c r="K1850" t="str">
        <x:v>Tarjeta crédito</x:v>
      </x:c>
      <x:c r="L1850" t="str">
        <x:v>Sin error</x:v>
      </x:c>
    </x:row>
    <x:row r="1851">
      <x:c r="A1851" t="str">
        <x:v>TXN-0001850</x:v>
      </x:c>
      <x:c r="B1851" t="str">
        <x:v>2026-07</x:v>
      </x:c>
      <x:c r="C1851" t="n">
        <x:v>46210</x:v>
      </x:c>
      <x:c r="D1851" t="str">
        <x:v>USR-00597</x:v>
      </x:c>
      <x:c r="E1851" t="str">
        <x:v>SUS-001444</x:v>
      </x:c>
      <x:c r="F1851" t="str">
        <x:v>Plus anual</x:v>
      </x:c>
      <x:c r="G1851" t="str">
        <x:v>Anual</x:v>
      </x:c>
      <x:c r="H1851" t="n">
        <x:v>1</x:v>
      </x:c>
      <x:c r="I1851" t="str">
        <x:v>Aprobado</x:v>
      </x:c>
      <x:c r="J1851" t="n">
        <x:v>299000</x:v>
      </x:c>
      <x:c r="K1851" t="str">
        <x:v>PSE</x:v>
      </x:c>
      <x:c r="L1851" t="str">
        <x:v>Sin error</x:v>
      </x:c>
    </x:row>
    <x:row r="1852">
      <x:c r="A1852" t="str">
        <x:v>TXN-0001851</x:v>
      </x:c>
      <x:c r="B1852" t="str">
        <x:v>2026-07</x:v>
      </x:c>
      <x:c r="C1852" t="n">
        <x:v>46213</x:v>
      </x:c>
      <x:c r="D1852" t="str">
        <x:v>USR-00601</x:v>
      </x:c>
      <x:c r="E1852" t="str">
        <x:v>SUS-001445</x:v>
      </x:c>
      <x:c r="F1852" t="str">
        <x:v>Plus mensual</x:v>
      </x:c>
      <x:c r="G1852" t="str">
        <x:v>Mensual</x:v>
      </x:c>
      <x:c r="H1852" t="n">
        <x:v>1</x:v>
      </x:c>
      <x:c r="I1852" t="str">
        <x:v>Rechazado</x:v>
      </x:c>
      <x:c r="J1852" t="n">
        <x:v>29900</x:v>
      </x:c>
      <x:c r="K1852" t="str">
        <x:v>Tarjeta débito</x:v>
      </x:c>
      <x:c r="L1852" t="str">
        <x:v>Error temporal</x:v>
      </x:c>
    </x:row>
    <x:row r="1853">
      <x:c r="A1853" t="str">
        <x:v>TXN-0001852</x:v>
      </x:c>
      <x:c r="B1853" t="str">
        <x:v>2026-07</x:v>
      </x:c>
      <x:c r="C1853" t="n">
        <x:v>46209</x:v>
      </x:c>
      <x:c r="D1853" t="str">
        <x:v>USR-00601</x:v>
      </x:c>
      <x:c r="E1853" t="str">
        <x:v>SUS-001445</x:v>
      </x:c>
      <x:c r="F1853" t="str">
        <x:v>Plus mensual</x:v>
      </x:c>
      <x:c r="G1853" t="str">
        <x:v>Mensual</x:v>
      </x:c>
      <x:c r="H1853" t="n">
        <x:v>2</x:v>
      </x:c>
      <x:c r="I1853" t="str">
        <x:v>Aprobado</x:v>
      </x:c>
      <x:c r="J1853" t="n">
        <x:v>29900</x:v>
      </x:c>
      <x:c r="K1853" t="str">
        <x:v>PSE</x:v>
      </x:c>
      <x:c r="L1853" t="str">
        <x:v>Sin error</x:v>
      </x:c>
    </x:row>
    <x:row r="1854">
      <x:c r="A1854" t="str">
        <x:v>TXN-0001853</x:v>
      </x:c>
      <x:c r="B1854" t="str">
        <x:v>2026-07</x:v>
      </x:c>
      <x:c r="C1854" t="n">
        <x:v>46211</x:v>
      </x:c>
      <x:c r="D1854" t="str">
        <x:v>USR-00602</x:v>
      </x:c>
      <x:c r="E1854" t="str">
        <x:v>SUS-000816</x:v>
      </x:c>
      <x:c r="F1854" t="str">
        <x:v>Plus mensual</x:v>
      </x:c>
      <x:c r="G1854" t="str">
        <x:v>Mensual</x:v>
      </x:c>
      <x:c r="H1854" t="n">
        <x:v>1</x:v>
      </x:c>
      <x:c r="I1854" t="str">
        <x:v>Aprobado</x:v>
      </x:c>
      <x:c r="J1854" t="n">
        <x:v>29900</x:v>
      </x:c>
      <x:c r="K1854" t="str">
        <x:v>Tarjeta crédito</x:v>
      </x:c>
      <x:c r="L1854" t="str">
        <x:v>Sin error</x:v>
      </x:c>
    </x:row>
    <x:row r="1855">
      <x:c r="A1855" t="str">
        <x:v>TXN-0001854</x:v>
      </x:c>
      <x:c r="B1855" t="str">
        <x:v>2026-07</x:v>
      </x:c>
      <x:c r="C1855" t="n">
        <x:v>46212</x:v>
      </x:c>
      <x:c r="D1855" t="str">
        <x:v>USR-00603</x:v>
      </x:c>
      <x:c r="E1855" t="str">
        <x:v>SUS-001286</x:v>
      </x:c>
      <x:c r="F1855" t="str">
        <x:v>Plus mensual</x:v>
      </x:c>
      <x:c r="G1855" t="str">
        <x:v>Mensual</x:v>
      </x:c>
      <x:c r="H1855" t="n">
        <x:v>1</x:v>
      </x:c>
      <x:c r="I1855" t="str">
        <x:v>Aprobado</x:v>
      </x:c>
      <x:c r="J1855" t="n">
        <x:v>29900</x:v>
      </x:c>
      <x:c r="K1855" t="str">
        <x:v>Tarjeta débito</x:v>
      </x:c>
      <x:c r="L1855" t="str">
        <x:v>Sin error</x:v>
      </x:c>
    </x:row>
    <x:row r="1856">
      <x:c r="A1856" t="str">
        <x:v>TXN-0001855</x:v>
      </x:c>
      <x:c r="B1856" t="str">
        <x:v>2026-07</x:v>
      </x:c>
      <x:c r="C1856" t="n">
        <x:v>46210</x:v>
      </x:c>
      <x:c r="D1856" t="str">
        <x:v>USR-00614</x:v>
      </x:c>
      <x:c r="E1856" t="str">
        <x:v>SUS-000885</x:v>
      </x:c>
      <x:c r="F1856" t="str">
        <x:v>Plus mensual</x:v>
      </x:c>
      <x:c r="G1856" t="str">
        <x:v>Mensual</x:v>
      </x:c>
      <x:c r="H1856" t="n">
        <x:v>1</x:v>
      </x:c>
      <x:c r="I1856" t="str">
        <x:v>Aprobado</x:v>
      </x:c>
      <x:c r="J1856" t="n">
        <x:v>29900</x:v>
      </x:c>
      <x:c r="K1856" t="str">
        <x:v>PSE</x:v>
      </x:c>
      <x:c r="L1856" t="str">
        <x:v>Sin error</x:v>
      </x:c>
    </x:row>
    <x:row r="1857">
      <x:c r="A1857" t="str">
        <x:v>TXN-0001856</x:v>
      </x:c>
      <x:c r="B1857" t="str">
        <x:v>2026-07</x:v>
      </x:c>
      <x:c r="C1857" t="n">
        <x:v>46210</x:v>
      </x:c>
      <x:c r="D1857" t="str">
        <x:v>USR-00616</x:v>
      </x:c>
      <x:c r="E1857" t="str">
        <x:v>SIN_SUSCRIPCION</x:v>
      </x:c>
      <x:c r="F1857" t="str">
        <x:v>Plus mensual</x:v>
      </x:c>
      <x:c r="G1857" t="str">
        <x:v>Mensual</x:v>
      </x:c>
      <x:c r="H1857" t="n">
        <x:v>1</x:v>
      </x:c>
      <x:c r="I1857" t="str">
        <x:v>Rechazado</x:v>
      </x:c>
      <x:c r="J1857" t="n">
        <x:v>29900</x:v>
      </x:c>
      <x:c r="K1857" t="str">
        <x:v>PSE</x:v>
      </x:c>
      <x:c r="L1857" t="str">
        <x:v>Error temporal</x:v>
      </x:c>
    </x:row>
    <x:row r="1858">
      <x:c r="A1858" t="str">
        <x:v>TXN-0001857</x:v>
      </x:c>
      <x:c r="B1858" t="str">
        <x:v>2026-07</x:v>
      </x:c>
      <x:c r="C1858" t="n">
        <x:v>46214</x:v>
      </x:c>
      <x:c r="D1858" t="str">
        <x:v>USR-00616</x:v>
      </x:c>
      <x:c r="E1858" t="str">
        <x:v>SIN_SUSCRIPCION</x:v>
      </x:c>
      <x:c r="F1858" t="str">
        <x:v>Plus mensual</x:v>
      </x:c>
      <x:c r="G1858" t="str">
        <x:v>Mensual</x:v>
      </x:c>
      <x:c r="H1858" t="n">
        <x:v>2</x:v>
      </x:c>
      <x:c r="I1858" t="str">
        <x:v>Rechazado</x:v>
      </x:c>
      <x:c r="J1858" t="n">
        <x:v>29900</x:v>
      </x:c>
      <x:c r="K1858" t="str">
        <x:v>Tarjeta débito</x:v>
      </x:c>
      <x:c r="L1858" t="str">
        <x:v>Error temporal</x:v>
      </x:c>
    </x:row>
    <x:row r="1859">
      <x:c r="A1859" t="str">
        <x:v>TXN-0001858</x:v>
      </x:c>
      <x:c r="B1859" t="str">
        <x:v>2026-07</x:v>
      </x:c>
      <x:c r="C1859" t="n">
        <x:v>46213</x:v>
      </x:c>
      <x:c r="D1859" t="str">
        <x:v>USR-00624</x:v>
      </x:c>
      <x:c r="E1859" t="str">
        <x:v>SUS-001447</x:v>
      </x:c>
      <x:c r="F1859" t="str">
        <x:v>Plus mensual</x:v>
      </x:c>
      <x:c r="G1859" t="str">
        <x:v>Mensual</x:v>
      </x:c>
      <x:c r="H1859" t="n">
        <x:v>1</x:v>
      </x:c>
      <x:c r="I1859" t="str">
        <x:v>Aprobado</x:v>
      </x:c>
      <x:c r="J1859" t="n">
        <x:v>29900</x:v>
      </x:c>
      <x:c r="K1859" t="str">
        <x:v>PSE</x:v>
      </x:c>
      <x:c r="L1859" t="str">
        <x:v>Sin error</x:v>
      </x:c>
    </x:row>
    <x:row r="1860">
      <x:c r="A1860" t="str">
        <x:v>TXN-0001859</x:v>
      </x:c>
      <x:c r="B1860" t="str">
        <x:v>2026-07</x:v>
      </x:c>
      <x:c r="C1860" t="n">
        <x:v>46209</x:v>
      </x:c>
      <x:c r="D1860" t="str">
        <x:v>USR-00625</x:v>
      </x:c>
      <x:c r="E1860" t="str">
        <x:v>SUS-000888</x:v>
      </x:c>
      <x:c r="F1860" t="str">
        <x:v>Plus mensual</x:v>
      </x:c>
      <x:c r="G1860" t="str">
        <x:v>Mensual</x:v>
      </x:c>
      <x:c r="H1860" t="n">
        <x:v>1</x:v>
      </x:c>
      <x:c r="I1860" t="str">
        <x:v>Aprobado</x:v>
      </x:c>
      <x:c r="J1860" t="n">
        <x:v>29900</x:v>
      </x:c>
      <x:c r="K1860" t="str">
        <x:v>Tarjeta crédito</x:v>
      </x:c>
      <x:c r="L1860" t="str">
        <x:v>Sin error</x:v>
      </x:c>
    </x:row>
    <x:row r="1861">
      <x:c r="A1861" t="str">
        <x:v>TXN-0001860</x:v>
      </x:c>
      <x:c r="B1861" t="str">
        <x:v>2026-07</x:v>
      </x:c>
      <x:c r="C1861" t="n">
        <x:v>46215</x:v>
      </x:c>
      <x:c r="D1861" t="str">
        <x:v>USR-00626</x:v>
      </x:c>
      <x:c r="E1861" t="str">
        <x:v>SUS-000889</x:v>
      </x:c>
      <x:c r="F1861" t="str">
        <x:v>Plus mensual</x:v>
      </x:c>
      <x:c r="G1861" t="str">
        <x:v>Mensual</x:v>
      </x:c>
      <x:c r="H1861" t="n">
        <x:v>1</x:v>
      </x:c>
      <x:c r="I1861" t="str">
        <x:v>Aprobado</x:v>
      </x:c>
      <x:c r="J1861" t="n">
        <x:v>29900</x:v>
      </x:c>
      <x:c r="K1861" t="str">
        <x:v>PSE</x:v>
      </x:c>
      <x:c r="L1861" t="str">
        <x:v>Sin error</x:v>
      </x:c>
    </x:row>
    <x:row r="1862">
      <x:c r="A1862" t="str">
        <x:v>TXN-0001861</x:v>
      </x:c>
      <x:c r="B1862" t="str">
        <x:v>2026-07</x:v>
      </x:c>
      <x:c r="C1862" t="n">
        <x:v>46212</x:v>
      </x:c>
      <x:c r="D1862" t="str">
        <x:v>USR-00629</x:v>
      </x:c>
      <x:c r="E1862" t="str">
        <x:v>SUS-001448</x:v>
      </x:c>
      <x:c r="F1862" t="str">
        <x:v>Plus anual</x:v>
      </x:c>
      <x:c r="G1862" t="str">
        <x:v>Anual</x:v>
      </x:c>
      <x:c r="H1862" t="n">
        <x:v>1</x:v>
      </x:c>
      <x:c r="I1862" t="str">
        <x:v>Aprobado</x:v>
      </x:c>
      <x:c r="J1862" t="n">
        <x:v>299000</x:v>
      </x:c>
      <x:c r="K1862" t="str">
        <x:v>Tarjeta crédito</x:v>
      </x:c>
      <x:c r="L1862" t="str">
        <x:v>Sin error</x:v>
      </x:c>
    </x:row>
    <x:row r="1863">
      <x:c r="A1863" t="str">
        <x:v>TXN-0001862</x:v>
      </x:c>
      <x:c r="B1863" t="str">
        <x:v>2026-07</x:v>
      </x:c>
      <x:c r="C1863" t="n">
        <x:v>46214</x:v>
      </x:c>
      <x:c r="D1863" t="str">
        <x:v>USR-00636</x:v>
      </x:c>
      <x:c r="E1863" t="str">
        <x:v>SUS-001005</x:v>
      </x:c>
      <x:c r="F1863" t="str">
        <x:v>Plus mensual</x:v>
      </x:c>
      <x:c r="G1863" t="str">
        <x:v>Mensual</x:v>
      </x:c>
      <x:c r="H1863" t="n">
        <x:v>1</x:v>
      </x:c>
      <x:c r="I1863" t="str">
        <x:v>Aprobado</x:v>
      </x:c>
      <x:c r="J1863" t="n">
        <x:v>29900</x:v>
      </x:c>
      <x:c r="K1863" t="str">
        <x:v>Tarjeta crédito</x:v>
      </x:c>
      <x:c r="L1863" t="str">
        <x:v>Sin error</x:v>
      </x:c>
    </x:row>
    <x:row r="1864">
      <x:c r="A1864" t="str">
        <x:v>TXN-0001863</x:v>
      </x:c>
      <x:c r="B1864" t="str">
        <x:v>2026-07</x:v>
      </x:c>
      <x:c r="C1864" t="n">
        <x:v>46213</x:v>
      </x:c>
      <x:c r="D1864" t="str">
        <x:v>USR-00637</x:v>
      </x:c>
      <x:c r="E1864" t="str">
        <x:v>SUS-001449</x:v>
      </x:c>
      <x:c r="F1864" t="str">
        <x:v>Plus mensual</x:v>
      </x:c>
      <x:c r="G1864" t="str">
        <x:v>Mensual</x:v>
      </x:c>
      <x:c r="H1864" t="n">
        <x:v>1</x:v>
      </x:c>
      <x:c r="I1864" t="str">
        <x:v>Aprobado</x:v>
      </x:c>
      <x:c r="J1864" t="n">
        <x:v>29900</x:v>
      </x:c>
      <x:c r="K1864" t="str">
        <x:v>Tarjeta débito</x:v>
      </x:c>
      <x:c r="L1864" t="str">
        <x:v>Sin error</x:v>
      </x:c>
    </x:row>
    <x:row r="1865">
      <x:c r="A1865" t="str">
        <x:v>TXN-0001864</x:v>
      </x:c>
      <x:c r="B1865" t="str">
        <x:v>2026-07</x:v>
      </x:c>
      <x:c r="C1865" t="n">
        <x:v>46208</x:v>
      </x:c>
      <x:c r="D1865" t="str">
        <x:v>USR-00644</x:v>
      </x:c>
      <x:c r="E1865" t="str">
        <x:v>SUS-000907</x:v>
      </x:c>
      <x:c r="F1865" t="str">
        <x:v>Plus mensual</x:v>
      </x:c>
      <x:c r="G1865" t="str">
        <x:v>Mensual</x:v>
      </x:c>
      <x:c r="H1865" t="n">
        <x:v>1</x:v>
      </x:c>
      <x:c r="I1865" t="str">
        <x:v>Aprobado</x:v>
      </x:c>
      <x:c r="J1865" t="n">
        <x:v>29900</x:v>
      </x:c>
      <x:c r="K1865" t="str">
        <x:v>Tarjeta crédito</x:v>
      </x:c>
      <x:c r="L1865" t="str">
        <x:v>Sin error</x:v>
      </x:c>
    </x:row>
    <x:row r="1866">
      <x:c r="A1866" t="str">
        <x:v>TXN-0001865</x:v>
      </x:c>
      <x:c r="B1866" t="str">
        <x:v>2026-07</x:v>
      </x:c>
      <x:c r="C1866" t="n">
        <x:v>46214</x:v>
      </x:c>
      <x:c r="D1866" t="str">
        <x:v>USR-00648</x:v>
      </x:c>
      <x:c r="E1866" t="str">
        <x:v>SUS-000911</x:v>
      </x:c>
      <x:c r="F1866" t="str">
        <x:v>Plus mensual</x:v>
      </x:c>
      <x:c r="G1866" t="str">
        <x:v>Mensual</x:v>
      </x:c>
      <x:c r="H1866" t="n">
        <x:v>1</x:v>
      </x:c>
      <x:c r="I1866" t="str">
        <x:v>Aprobado</x:v>
      </x:c>
      <x:c r="J1866" t="n">
        <x:v>29900</x:v>
      </x:c>
      <x:c r="K1866" t="str">
        <x:v>Tarjeta débito</x:v>
      </x:c>
      <x:c r="L1866" t="str">
        <x:v>Sin error</x:v>
      </x:c>
    </x:row>
    <x:row r="1867">
      <x:c r="A1867" t="str">
        <x:v>TXN-0001866</x:v>
      </x:c>
      <x:c r="B1867" t="str">
        <x:v>2026-07</x:v>
      </x:c>
      <x:c r="C1867" t="n">
        <x:v>46208</x:v>
      </x:c>
      <x:c r="D1867" t="str">
        <x:v>USR-00651</x:v>
      </x:c>
      <x:c r="E1867" t="str">
        <x:v>SUS-000914</x:v>
      </x:c>
      <x:c r="F1867" t="str">
        <x:v>Plus mensual</x:v>
      </x:c>
      <x:c r="G1867" t="str">
        <x:v>Mensual</x:v>
      </x:c>
      <x:c r="H1867" t="n">
        <x:v>1</x:v>
      </x:c>
      <x:c r="I1867" t="str">
        <x:v>Aprobado</x:v>
      </x:c>
      <x:c r="J1867" t="n">
        <x:v>29900</x:v>
      </x:c>
      <x:c r="K1867" t="str">
        <x:v>PSE</x:v>
      </x:c>
      <x:c r="L1867" t="str">
        <x:v>Sin error</x:v>
      </x:c>
    </x:row>
    <x:row r="1868">
      <x:c r="A1868" t="str">
        <x:v>TXN-0001867</x:v>
      </x:c>
      <x:c r="B1868" t="str">
        <x:v>2026-07</x:v>
      </x:c>
      <x:c r="C1868" t="n">
        <x:v>46213</x:v>
      </x:c>
      <x:c r="D1868" t="str">
        <x:v>USR-00653</x:v>
      </x:c>
      <x:c r="E1868" t="str">
        <x:v>SUS-001291</x:v>
      </x:c>
      <x:c r="F1868" t="str">
        <x:v>Plus mensual</x:v>
      </x:c>
      <x:c r="G1868" t="str">
        <x:v>Mensual</x:v>
      </x:c>
      <x:c r="H1868" t="n">
        <x:v>1</x:v>
      </x:c>
      <x:c r="I1868" t="str">
        <x:v>Aprobado</x:v>
      </x:c>
      <x:c r="J1868" t="n">
        <x:v>29900</x:v>
      </x:c>
      <x:c r="K1868" t="str">
        <x:v>PSE</x:v>
      </x:c>
      <x:c r="L1868" t="str">
        <x:v>Sin error</x:v>
      </x:c>
    </x:row>
    <x:row r="1869">
      <x:c r="A1869" t="str">
        <x:v>TXN-0001868</x:v>
      </x:c>
      <x:c r="B1869" t="str">
        <x:v>2026-07</x:v>
      </x:c>
      <x:c r="C1869" t="n">
        <x:v>46209</x:v>
      </x:c>
      <x:c r="D1869" t="str">
        <x:v>USR-00654</x:v>
      </x:c>
      <x:c r="E1869" t="str">
        <x:v>SUS-000917</x:v>
      </x:c>
      <x:c r="F1869" t="str">
        <x:v>Plus mensual</x:v>
      </x:c>
      <x:c r="G1869" t="str">
        <x:v>Mensual</x:v>
      </x:c>
      <x:c r="H1869" t="n">
        <x:v>1</x:v>
      </x:c>
      <x:c r="I1869" t="str">
        <x:v>Aprobado</x:v>
      </x:c>
      <x:c r="J1869" t="n">
        <x:v>29900</x:v>
      </x:c>
      <x:c r="K1869" t="str">
        <x:v>PSE</x:v>
      </x:c>
      <x:c r="L1869" t="str">
        <x:v>Sin error</x:v>
      </x:c>
    </x:row>
    <x:row r="1870">
      <x:c r="A1870" t="str">
        <x:v>TXN-0001869</x:v>
      </x:c>
      <x:c r="B1870" t="str">
        <x:v>2026-07</x:v>
      </x:c>
      <x:c r="C1870" t="n">
        <x:v>46211</x:v>
      </x:c>
      <x:c r="D1870" t="str">
        <x:v>USR-00661</x:v>
      </x:c>
      <x:c r="E1870" t="str">
        <x:v>SUS-001450</x:v>
      </x:c>
      <x:c r="F1870" t="str">
        <x:v>Plus anual</x:v>
      </x:c>
      <x:c r="G1870" t="str">
        <x:v>Anual</x:v>
      </x:c>
      <x:c r="H1870" t="n">
        <x:v>1</x:v>
      </x:c>
      <x:c r="I1870" t="str">
        <x:v>Aprobado</x:v>
      </x:c>
      <x:c r="J1870" t="n">
        <x:v>299000</x:v>
      </x:c>
      <x:c r="K1870" t="str">
        <x:v>Tarjeta crédito</x:v>
      </x:c>
      <x:c r="L1870" t="str">
        <x:v>Sin error</x:v>
      </x:c>
    </x:row>
    <x:row r="1871">
      <x:c r="A1871" t="str">
        <x:v>TXN-0001870</x:v>
      </x:c>
      <x:c r="B1871" t="str">
        <x:v>2026-07</x:v>
      </x:c>
      <x:c r="C1871" t="n">
        <x:v>46211</x:v>
      </x:c>
      <x:c r="D1871" t="str">
        <x:v>USR-00662</x:v>
      </x:c>
      <x:c r="E1871" t="str">
        <x:v>SUS-001293</x:v>
      </x:c>
      <x:c r="F1871" t="str">
        <x:v>Plus mensual</x:v>
      </x:c>
      <x:c r="G1871" t="str">
        <x:v>Mensual</x:v>
      </x:c>
      <x:c r="H1871" t="n">
        <x:v>1</x:v>
      </x:c>
      <x:c r="I1871" t="str">
        <x:v>Aprobado</x:v>
      </x:c>
      <x:c r="J1871" t="n">
        <x:v>29900</x:v>
      </x:c>
      <x:c r="K1871" t="str">
        <x:v>Tarjeta débito</x:v>
      </x:c>
      <x:c r="L1871" t="str">
        <x:v>Sin error</x:v>
      </x:c>
    </x:row>
    <x:row r="1872">
      <x:c r="A1872" t="str">
        <x:v>TXN-0001871</x:v>
      </x:c>
      <x:c r="B1872" t="str">
        <x:v>2026-07</x:v>
      </x:c>
      <x:c r="C1872" t="n">
        <x:v>46215</x:v>
      </x:c>
      <x:c r="D1872" t="str">
        <x:v>USR-00666</x:v>
      </x:c>
      <x:c r="E1872" t="str">
        <x:v>SUS-001009</x:v>
      </x:c>
      <x:c r="F1872" t="str">
        <x:v>Plus mensual</x:v>
      </x:c>
      <x:c r="G1872" t="str">
        <x:v>Mensual</x:v>
      </x:c>
      <x:c r="H1872" t="n">
        <x:v>1</x:v>
      </x:c>
      <x:c r="I1872" t="str">
        <x:v>Aprobado</x:v>
      </x:c>
      <x:c r="J1872" t="n">
        <x:v>29900</x:v>
      </x:c>
      <x:c r="K1872" t="str">
        <x:v>Tarjeta crédito</x:v>
      </x:c>
      <x:c r="L1872" t="str">
        <x:v>Sin error</x:v>
      </x:c>
    </x:row>
    <x:row r="1873">
      <x:c r="A1873" t="str">
        <x:v>TXN-0001872</x:v>
      </x:c>
      <x:c r="B1873" t="str">
        <x:v>2026-07</x:v>
      </x:c>
      <x:c r="C1873" t="n">
        <x:v>46214</x:v>
      </x:c>
      <x:c r="D1873" t="str">
        <x:v>USR-00669</x:v>
      </x:c>
      <x:c r="E1873" t="str">
        <x:v>SUS-000932</x:v>
      </x:c>
      <x:c r="F1873" t="str">
        <x:v>Plus mensual</x:v>
      </x:c>
      <x:c r="G1873" t="str">
        <x:v>Mensual</x:v>
      </x:c>
      <x:c r="H1873" t="n">
        <x:v>1</x:v>
      </x:c>
      <x:c r="I1873" t="str">
        <x:v>Aprobado</x:v>
      </x:c>
      <x:c r="J1873" t="n">
        <x:v>29900</x:v>
      </x:c>
      <x:c r="K1873" t="str">
        <x:v>Tarjeta crédito</x:v>
      </x:c>
      <x:c r="L1873" t="str">
        <x:v>Sin error</x:v>
      </x:c>
    </x:row>
    <x:row r="1874">
      <x:c r="A1874" t="str">
        <x:v>TXN-0001873</x:v>
      </x:c>
      <x:c r="B1874" t="str">
        <x:v>2026-07</x:v>
      </x:c>
      <x:c r="C1874" t="n">
        <x:v>46214</x:v>
      </x:c>
      <x:c r="D1874" t="str">
        <x:v>USR-00678</x:v>
      </x:c>
      <x:c r="E1874" t="str">
        <x:v>SUS-000941</x:v>
      </x:c>
      <x:c r="F1874" t="str">
        <x:v>Plus mensual</x:v>
      </x:c>
      <x:c r="G1874" t="str">
        <x:v>Mensual</x:v>
      </x:c>
      <x:c r="H1874" t="n">
        <x:v>1</x:v>
      </x:c>
      <x:c r="I1874" t="str">
        <x:v>Aprobado</x:v>
      </x:c>
      <x:c r="J1874" t="n">
        <x:v>29900</x:v>
      </x:c>
      <x:c r="K1874" t="str">
        <x:v>Tarjeta débito</x:v>
      </x:c>
      <x:c r="L1874" t="str">
        <x:v>Sin error</x:v>
      </x:c>
    </x:row>
    <x:row r="1875">
      <x:c r="A1875" t="str">
        <x:v>TXN-0001874</x:v>
      </x:c>
      <x:c r="B1875" t="str">
        <x:v>2026-07</x:v>
      </x:c>
      <x:c r="C1875" t="n">
        <x:v>46209</x:v>
      </x:c>
      <x:c r="D1875" t="str">
        <x:v>USR-00680</x:v>
      </x:c>
      <x:c r="E1875" t="str">
        <x:v>SUS-001451</x:v>
      </x:c>
      <x:c r="F1875" t="str">
        <x:v>Plus mensual</x:v>
      </x:c>
      <x:c r="G1875" t="str">
        <x:v>Mensual</x:v>
      </x:c>
      <x:c r="H1875" t="n">
        <x:v>1</x:v>
      </x:c>
      <x:c r="I1875" t="str">
        <x:v>Aprobado</x:v>
      </x:c>
      <x:c r="J1875" t="n">
        <x:v>29900</x:v>
      </x:c>
      <x:c r="K1875" t="str">
        <x:v>Tarjeta crédito</x:v>
      </x:c>
      <x:c r="L1875" t="str">
        <x:v>Sin error</x:v>
      </x:c>
    </x:row>
    <x:row r="1876">
      <x:c r="A1876" t="str">
        <x:v>TXN-0001875</x:v>
      </x:c>
      <x:c r="B1876" t="str">
        <x:v>2026-07</x:v>
      </x:c>
      <x:c r="C1876" t="n">
        <x:v>46212</x:v>
      </x:c>
      <x:c r="D1876" t="str">
        <x:v>USR-00687</x:v>
      </x:c>
      <x:c r="E1876" t="str">
        <x:v>SUS-001294</x:v>
      </x:c>
      <x:c r="F1876" t="str">
        <x:v>Plus mensual</x:v>
      </x:c>
      <x:c r="G1876" t="str">
        <x:v>Mensual</x:v>
      </x:c>
      <x:c r="H1876" t="n">
        <x:v>1</x:v>
      </x:c>
      <x:c r="I1876" t="str">
        <x:v>Aprobado</x:v>
      </x:c>
      <x:c r="J1876" t="n">
        <x:v>29900</x:v>
      </x:c>
      <x:c r="K1876" t="str">
        <x:v>Tarjeta débito</x:v>
      </x:c>
      <x:c r="L1876" t="str">
        <x:v>Sin error</x:v>
      </x:c>
    </x:row>
    <x:row r="1877">
      <x:c r="A1877" t="str">
        <x:v>TXN-0001876</x:v>
      </x:c>
      <x:c r="B1877" t="str">
        <x:v>2026-07</x:v>
      </x:c>
      <x:c r="C1877" t="n">
        <x:v>46215</x:v>
      </x:c>
      <x:c r="D1877" t="str">
        <x:v>USR-00689</x:v>
      </x:c>
      <x:c r="E1877" t="str">
        <x:v>SUS-001452</x:v>
      </x:c>
      <x:c r="F1877" t="str">
        <x:v>Plus mensual</x:v>
      </x:c>
      <x:c r="G1877" t="str">
        <x:v>Mensual</x:v>
      </x:c>
      <x:c r="H1877" t="n">
        <x:v>1</x:v>
      </x:c>
      <x:c r="I1877" t="str">
        <x:v>Aprobado</x:v>
      </x:c>
      <x:c r="J1877" t="n">
        <x:v>29900</x:v>
      </x:c>
      <x:c r="K1877" t="str">
        <x:v>Tarjeta crédito</x:v>
      </x:c>
      <x:c r="L1877" t="str">
        <x:v>Sin error</x:v>
      </x:c>
    </x:row>
    <x:row r="1878">
      <x:c r="A1878" t="str">
        <x:v>TXN-0001877</x:v>
      </x:c>
      <x:c r="B1878" t="str">
        <x:v>2026-07</x:v>
      </x:c>
      <x:c r="C1878" t="n">
        <x:v>46214</x:v>
      </x:c>
      <x:c r="D1878" t="str">
        <x:v>USR-00694</x:v>
      </x:c>
      <x:c r="E1878" t="str">
        <x:v>SUS-001453</x:v>
      </x:c>
      <x:c r="F1878" t="str">
        <x:v>Plus mensual</x:v>
      </x:c>
      <x:c r="G1878" t="str">
        <x:v>Mensual</x:v>
      </x:c>
      <x:c r="H1878" t="n">
        <x:v>1</x:v>
      </x:c>
      <x:c r="I1878" t="str">
        <x:v>Aprobado</x:v>
      </x:c>
      <x:c r="J1878" t="n">
        <x:v>29900</x:v>
      </x:c>
      <x:c r="K1878" t="str">
        <x:v>PSE</x:v>
      </x:c>
      <x:c r="L1878" t="str">
        <x:v>Sin error</x:v>
      </x:c>
    </x:row>
    <x:row r="1879">
      <x:c r="A1879" t="str">
        <x:v>TXN-0001878</x:v>
      </x:c>
      <x:c r="B1879" t="str">
        <x:v>2026-07</x:v>
      </x:c>
      <x:c r="C1879" t="n">
        <x:v>46215</x:v>
      </x:c>
      <x:c r="D1879" t="str">
        <x:v>USR-00712</x:v>
      </x:c>
      <x:c r="E1879" t="str">
        <x:v>SUS-001147</x:v>
      </x:c>
      <x:c r="F1879" t="str">
        <x:v>Plus mensual</x:v>
      </x:c>
      <x:c r="G1879" t="str">
        <x:v>Mensual</x:v>
      </x:c>
      <x:c r="H1879" t="n">
        <x:v>1</x:v>
      </x:c>
      <x:c r="I1879" t="str">
        <x:v>Aprobado</x:v>
      </x:c>
      <x:c r="J1879" t="n">
        <x:v>29900</x:v>
      </x:c>
      <x:c r="K1879" t="str">
        <x:v>Tarjeta crédito</x:v>
      </x:c>
      <x:c r="L1879" t="str">
        <x:v>Sin error</x:v>
      </x:c>
    </x:row>
    <x:row r="1880">
      <x:c r="A1880" t="str">
        <x:v>TXN-0001879</x:v>
      </x:c>
      <x:c r="B1880" t="str">
        <x:v>2026-07</x:v>
      </x:c>
      <x:c r="C1880" t="n">
        <x:v>46212</x:v>
      </x:c>
      <x:c r="D1880" t="str">
        <x:v>USR-00715</x:v>
      </x:c>
      <x:c r="E1880" t="str">
        <x:v>SUS-001028</x:v>
      </x:c>
      <x:c r="F1880" t="str">
        <x:v>Plus mensual</x:v>
      </x:c>
      <x:c r="G1880" t="str">
        <x:v>Mensual</x:v>
      </x:c>
      <x:c r="H1880" t="n">
        <x:v>1</x:v>
      </x:c>
      <x:c r="I1880" t="str">
        <x:v>Aprobado</x:v>
      </x:c>
      <x:c r="J1880" t="n">
        <x:v>29900</x:v>
      </x:c>
      <x:c r="K1880" t="str">
        <x:v>PSE</x:v>
      </x:c>
      <x:c r="L1880" t="str">
        <x:v>Sin error</x:v>
      </x:c>
    </x:row>
    <x:row r="1881">
      <x:c r="A1881" t="str">
        <x:v>TXN-0001880</x:v>
      </x:c>
      <x:c r="B1881" t="str">
        <x:v>2026-07</x:v>
      </x:c>
      <x:c r="C1881" t="n">
        <x:v>46214</x:v>
      </x:c>
      <x:c r="D1881" t="str">
        <x:v>USR-00720</x:v>
      </x:c>
      <x:c r="E1881" t="str">
        <x:v>SUS-001033</x:v>
      </x:c>
      <x:c r="F1881" t="str">
        <x:v>Plus mensual</x:v>
      </x:c>
      <x:c r="G1881" t="str">
        <x:v>Mensual</x:v>
      </x:c>
      <x:c r="H1881" t="n">
        <x:v>1</x:v>
      </x:c>
      <x:c r="I1881" t="str">
        <x:v>Aprobado</x:v>
      </x:c>
      <x:c r="J1881" t="n">
        <x:v>29900</x:v>
      </x:c>
      <x:c r="K1881" t="str">
        <x:v>PSE</x:v>
      </x:c>
      <x:c r="L1881" t="str">
        <x:v>Sin error</x:v>
      </x:c>
    </x:row>
    <x:row r="1882">
      <x:c r="A1882" t="str">
        <x:v>TXN-0001881</x:v>
      </x:c>
      <x:c r="B1882" t="str">
        <x:v>2026-07</x:v>
      </x:c>
      <x:c r="C1882" t="n">
        <x:v>46213</x:v>
      </x:c>
      <x:c r="D1882" t="str">
        <x:v>USR-00722</x:v>
      </x:c>
      <x:c r="E1882" t="str">
        <x:v>SUS-001295</x:v>
      </x:c>
      <x:c r="F1882" t="str">
        <x:v>Plus mensual</x:v>
      </x:c>
      <x:c r="G1882" t="str">
        <x:v>Mensual</x:v>
      </x:c>
      <x:c r="H1882" t="n">
        <x:v>1</x:v>
      </x:c>
      <x:c r="I1882" t="str">
        <x:v>Aprobado</x:v>
      </x:c>
      <x:c r="J1882" t="n">
        <x:v>29900</x:v>
      </x:c>
      <x:c r="K1882" t="str">
        <x:v>Tarjeta débito</x:v>
      </x:c>
      <x:c r="L1882" t="str">
        <x:v>Sin error</x:v>
      </x:c>
    </x:row>
    <x:row r="1883">
      <x:c r="A1883" t="str">
        <x:v>TXN-0001882</x:v>
      </x:c>
      <x:c r="B1883" t="str">
        <x:v>2026-07</x:v>
      </x:c>
      <x:c r="C1883" t="n">
        <x:v>46210</x:v>
      </x:c>
      <x:c r="D1883" t="str">
        <x:v>USR-00725</x:v>
      </x:c>
      <x:c r="E1883" t="str">
        <x:v>SUS-001038</x:v>
      </x:c>
      <x:c r="F1883" t="str">
        <x:v>Plus mensual</x:v>
      </x:c>
      <x:c r="G1883" t="str">
        <x:v>Mensual</x:v>
      </x:c>
      <x:c r="H1883" t="n">
        <x:v>1</x:v>
      </x:c>
      <x:c r="I1883" t="str">
        <x:v>Aprobado</x:v>
      </x:c>
      <x:c r="J1883" t="n">
        <x:v>29900</x:v>
      </x:c>
      <x:c r="K1883" t="str">
        <x:v>Tarjeta débito</x:v>
      </x:c>
      <x:c r="L1883" t="str">
        <x:v>Sin error</x:v>
      </x:c>
    </x:row>
    <x:row r="1884">
      <x:c r="A1884" t="str">
        <x:v>TXN-0001883</x:v>
      </x:c>
      <x:c r="B1884" t="str">
        <x:v>2026-07</x:v>
      </x:c>
      <x:c r="C1884" t="n">
        <x:v>46213</x:v>
      </x:c>
      <x:c r="D1884" t="str">
        <x:v>USR-00726</x:v>
      </x:c>
      <x:c r="E1884" t="str">
        <x:v>SUS-001456</x:v>
      </x:c>
      <x:c r="F1884" t="str">
        <x:v>Plus anual</x:v>
      </x:c>
      <x:c r="G1884" t="str">
        <x:v>Anual</x:v>
      </x:c>
      <x:c r="H1884" t="n">
        <x:v>1</x:v>
      </x:c>
      <x:c r="I1884" t="str">
        <x:v>Aprobado</x:v>
      </x:c>
      <x:c r="J1884" t="n">
        <x:v>299000</x:v>
      </x:c>
      <x:c r="K1884" t="str">
        <x:v>Tarjeta débito</x:v>
      </x:c>
      <x:c r="L1884" t="str">
        <x:v>Sin error</x:v>
      </x:c>
    </x:row>
    <x:row r="1885">
      <x:c r="A1885" t="str">
        <x:v>TXN-0001884</x:v>
      </x:c>
      <x:c r="B1885" t="str">
        <x:v>2026-07</x:v>
      </x:c>
      <x:c r="C1885" t="n">
        <x:v>46208</x:v>
      </x:c>
      <x:c r="D1885" t="str">
        <x:v>USR-00732</x:v>
      </x:c>
      <x:c r="E1885" t="str">
        <x:v>SUS-001457</x:v>
      </x:c>
      <x:c r="F1885" t="str">
        <x:v>Plus mensual</x:v>
      </x:c>
      <x:c r="G1885" t="str">
        <x:v>Mensual</x:v>
      </x:c>
      <x:c r="H1885" t="n">
        <x:v>1</x:v>
      </x:c>
      <x:c r="I1885" t="str">
        <x:v>Aprobado</x:v>
      </x:c>
      <x:c r="J1885" t="n">
        <x:v>29900</x:v>
      </x:c>
      <x:c r="K1885" t="str">
        <x:v>Tarjeta débito</x:v>
      </x:c>
      <x:c r="L1885" t="str">
        <x:v>Sin error</x:v>
      </x:c>
    </x:row>
    <x:row r="1886">
      <x:c r="A1886" t="str">
        <x:v>TXN-0001885</x:v>
      </x:c>
      <x:c r="B1886" t="str">
        <x:v>2026-07</x:v>
      </x:c>
      <x:c r="C1886" t="n">
        <x:v>46210</x:v>
      </x:c>
      <x:c r="D1886" t="str">
        <x:v>USR-00733</x:v>
      </x:c>
      <x:c r="E1886" t="str">
        <x:v>SUS-001046</x:v>
      </x:c>
      <x:c r="F1886" t="str">
        <x:v>Plus mensual</x:v>
      </x:c>
      <x:c r="G1886" t="str">
        <x:v>Mensual</x:v>
      </x:c>
      <x:c r="H1886" t="n">
        <x:v>1</x:v>
      </x:c>
      <x:c r="I1886" t="str">
        <x:v>Aprobado</x:v>
      </x:c>
      <x:c r="J1886" t="n">
        <x:v>29900</x:v>
      </x:c>
      <x:c r="K1886" t="str">
        <x:v>PSE</x:v>
      </x:c>
      <x:c r="L1886" t="str">
        <x:v>Sin error</x:v>
      </x:c>
    </x:row>
    <x:row r="1887">
      <x:c r="A1887" t="str">
        <x:v>TXN-0001886</x:v>
      </x:c>
      <x:c r="B1887" t="str">
        <x:v>2026-07</x:v>
      </x:c>
      <x:c r="C1887" t="n">
        <x:v>46212</x:v>
      </x:c>
      <x:c r="D1887" t="str">
        <x:v>USR-00734</x:v>
      </x:c>
      <x:c r="E1887" t="str">
        <x:v>SIN_SUSCRIPCION</x:v>
      </x:c>
      <x:c r="F1887" t="str">
        <x:v>Plus mensual</x:v>
      </x:c>
      <x:c r="G1887" t="str">
        <x:v>Mensual</x:v>
      </x:c>
      <x:c r="H1887" t="n">
        <x:v>1</x:v>
      </x:c>
      <x:c r="I1887" t="str">
        <x:v>Rechazado</x:v>
      </x:c>
      <x:c r="J1887" t="n">
        <x:v>29900</x:v>
      </x:c>
      <x:c r="K1887" t="str">
        <x:v>Tarjeta crédito</x:v>
      </x:c>
      <x:c r="L1887" t="str">
        <x:v>Error temporal</x:v>
      </x:c>
    </x:row>
    <x:row r="1888">
      <x:c r="A1888" t="str">
        <x:v>TXN-0001887</x:v>
      </x:c>
      <x:c r="B1888" t="str">
        <x:v>2026-07</x:v>
      </x:c>
      <x:c r="C1888" t="n">
        <x:v>46209</x:v>
      </x:c>
      <x:c r="D1888" t="str">
        <x:v>USR-00734</x:v>
      </x:c>
      <x:c r="E1888" t="str">
        <x:v>SIN_SUSCRIPCION</x:v>
      </x:c>
      <x:c r="F1888" t="str">
        <x:v>Plus mensual</x:v>
      </x:c>
      <x:c r="G1888" t="str">
        <x:v>Mensual</x:v>
      </x:c>
      <x:c r="H1888" t="n">
        <x:v>2</x:v>
      </x:c>
      <x:c r="I1888" t="str">
        <x:v>Rechazado</x:v>
      </x:c>
      <x:c r="J1888" t="n">
        <x:v>29900</x:v>
      </x:c>
      <x:c r="K1888" t="str">
        <x:v>Tarjeta crédito</x:v>
      </x:c>
      <x:c r="L1888" t="str">
        <x:v>Error temporal</x:v>
      </x:c>
    </x:row>
    <x:row r="1889">
      <x:c r="A1889" t="str">
        <x:v>TXN-0001888</x:v>
      </x:c>
      <x:c r="B1889" t="str">
        <x:v>2026-07</x:v>
      </x:c>
      <x:c r="C1889" t="n">
        <x:v>46211</x:v>
      </x:c>
      <x:c r="D1889" t="str">
        <x:v>USR-00735</x:v>
      </x:c>
      <x:c r="E1889" t="str">
        <x:v>SUS-001296</x:v>
      </x:c>
      <x:c r="F1889" t="str">
        <x:v>Plus mensual</x:v>
      </x:c>
      <x:c r="G1889" t="str">
        <x:v>Mensual</x:v>
      </x:c>
      <x:c r="H1889" t="n">
        <x:v>1</x:v>
      </x:c>
      <x:c r="I1889" t="str">
        <x:v>Aprobado</x:v>
      </x:c>
      <x:c r="J1889" t="n">
        <x:v>29900</x:v>
      </x:c>
      <x:c r="K1889" t="str">
        <x:v>Tarjeta débito</x:v>
      </x:c>
      <x:c r="L1889" t="str">
        <x:v>Sin error</x:v>
      </x:c>
    </x:row>
    <x:row r="1890">
      <x:c r="A1890" t="str">
        <x:v>TXN-0001889</x:v>
      </x:c>
      <x:c r="B1890" t="str">
        <x:v>2026-07</x:v>
      </x:c>
      <x:c r="C1890" t="n">
        <x:v>46215</x:v>
      </x:c>
      <x:c r="D1890" t="str">
        <x:v>USR-00736</x:v>
      </x:c>
      <x:c r="E1890" t="str">
        <x:v>SUS-001049</x:v>
      </x:c>
      <x:c r="F1890" t="str">
        <x:v>Plus mensual</x:v>
      </x:c>
      <x:c r="G1890" t="str">
        <x:v>Mensual</x:v>
      </x:c>
      <x:c r="H1890" t="n">
        <x:v>1</x:v>
      </x:c>
      <x:c r="I1890" t="str">
        <x:v>Aprobado</x:v>
      </x:c>
      <x:c r="J1890" t="n">
        <x:v>29900</x:v>
      </x:c>
      <x:c r="K1890" t="str">
        <x:v>Tarjeta crédito</x:v>
      </x:c>
      <x:c r="L1890" t="str">
        <x:v>Sin error</x:v>
      </x:c>
    </x:row>
    <x:row r="1891">
      <x:c r="A1891" t="str">
        <x:v>TXN-0001890</x:v>
      </x:c>
      <x:c r="B1891" t="str">
        <x:v>2026-07</x:v>
      </x:c>
      <x:c r="C1891" t="n">
        <x:v>46213</x:v>
      </x:c>
      <x:c r="D1891" t="str">
        <x:v>USR-00741</x:v>
      </x:c>
      <x:c r="E1891" t="str">
        <x:v>SUS-001054</x:v>
      </x:c>
      <x:c r="F1891" t="str">
        <x:v>Plus mensual</x:v>
      </x:c>
      <x:c r="G1891" t="str">
        <x:v>Mensual</x:v>
      </x:c>
      <x:c r="H1891" t="n">
        <x:v>1</x:v>
      </x:c>
      <x:c r="I1891" t="str">
        <x:v>Aprobado</x:v>
      </x:c>
      <x:c r="J1891" t="n">
        <x:v>29900</x:v>
      </x:c>
      <x:c r="K1891" t="str">
        <x:v>PSE</x:v>
      </x:c>
      <x:c r="L1891" t="str">
        <x:v>Sin error</x:v>
      </x:c>
    </x:row>
    <x:row r="1892">
      <x:c r="A1892" t="str">
        <x:v>TXN-0001891</x:v>
      </x:c>
      <x:c r="B1892" t="str">
        <x:v>2026-07</x:v>
      </x:c>
      <x:c r="C1892" t="n">
        <x:v>46211</x:v>
      </x:c>
      <x:c r="D1892" t="str">
        <x:v>USR-00743</x:v>
      </x:c>
      <x:c r="E1892" t="str">
        <x:v>SUS-001056</x:v>
      </x:c>
      <x:c r="F1892" t="str">
        <x:v>Plus mensual</x:v>
      </x:c>
      <x:c r="G1892" t="str">
        <x:v>Mensual</x:v>
      </x:c>
      <x:c r="H1892" t="n">
        <x:v>1</x:v>
      </x:c>
      <x:c r="I1892" t="str">
        <x:v>Rechazado</x:v>
      </x:c>
      <x:c r="J1892" t="n">
        <x:v>29900</x:v>
      </x:c>
      <x:c r="K1892" t="str">
        <x:v>Tarjeta crédito</x:v>
      </x:c>
      <x:c r="L1892" t="str">
        <x:v>Declinado por entidad</x:v>
      </x:c>
    </x:row>
    <x:row r="1893">
      <x:c r="A1893" t="str">
        <x:v>TXN-0001892</x:v>
      </x:c>
      <x:c r="B1893" t="str">
        <x:v>2026-07</x:v>
      </x:c>
      <x:c r="C1893" t="n">
        <x:v>46212</x:v>
      </x:c>
      <x:c r="D1893" t="str">
        <x:v>USR-00743</x:v>
      </x:c>
      <x:c r="E1893" t="str">
        <x:v>SUS-001056</x:v>
      </x:c>
      <x:c r="F1893" t="str">
        <x:v>Plus mensual</x:v>
      </x:c>
      <x:c r="G1893" t="str">
        <x:v>Mensual</x:v>
      </x:c>
      <x:c r="H1893" t="n">
        <x:v>2</x:v>
      </x:c>
      <x:c r="I1893" t="str">
        <x:v>Aprobado</x:v>
      </x:c>
      <x:c r="J1893" t="n">
        <x:v>29900</x:v>
      </x:c>
      <x:c r="K1893" t="str">
        <x:v>Tarjeta crédito</x:v>
      </x:c>
      <x:c r="L1893" t="str">
        <x:v>Sin error</x:v>
      </x:c>
    </x:row>
    <x:row r="1894">
      <x:c r="A1894" t="str">
        <x:v>TXN-0001893</x:v>
      </x:c>
      <x:c r="B1894" t="str">
        <x:v>2026-07</x:v>
      </x:c>
      <x:c r="C1894" t="n">
        <x:v>46213</x:v>
      </x:c>
      <x:c r="D1894" t="str">
        <x:v>USR-00745</x:v>
      </x:c>
      <x:c r="E1894" t="str">
        <x:v>SUS-001459</x:v>
      </x:c>
      <x:c r="F1894" t="str">
        <x:v>Plus anual</x:v>
      </x:c>
      <x:c r="G1894" t="str">
        <x:v>Anual</x:v>
      </x:c>
      <x:c r="H1894" t="n">
        <x:v>1</x:v>
      </x:c>
      <x:c r="I1894" t="str">
        <x:v>Aprobado</x:v>
      </x:c>
      <x:c r="J1894" t="n">
        <x:v>299000</x:v>
      </x:c>
      <x:c r="K1894" t="str">
        <x:v>Tarjeta crédito</x:v>
      </x:c>
      <x:c r="L1894" t="str">
        <x:v>Sin error</x:v>
      </x:c>
    </x:row>
    <x:row r="1895">
      <x:c r="A1895" t="str">
        <x:v>TXN-0001894</x:v>
      </x:c>
      <x:c r="B1895" t="str">
        <x:v>2026-07</x:v>
      </x:c>
      <x:c r="C1895" t="n">
        <x:v>46213</x:v>
      </x:c>
      <x:c r="D1895" t="str">
        <x:v>USR-00751</x:v>
      </x:c>
      <x:c r="E1895" t="str">
        <x:v>SUS-001064</x:v>
      </x:c>
      <x:c r="F1895" t="str">
        <x:v>Plus mensual</x:v>
      </x:c>
      <x:c r="G1895" t="str">
        <x:v>Mensual</x:v>
      </x:c>
      <x:c r="H1895" t="n">
        <x:v>1</x:v>
      </x:c>
      <x:c r="I1895" t="str">
        <x:v>Aprobado</x:v>
      </x:c>
      <x:c r="J1895" t="n">
        <x:v>29900</x:v>
      </x:c>
      <x:c r="K1895" t="str">
        <x:v>Tarjeta crédito</x:v>
      </x:c>
      <x:c r="L1895" t="str">
        <x:v>Sin error</x:v>
      </x:c>
    </x:row>
    <x:row r="1896">
      <x:c r="A1896" t="str">
        <x:v>TXN-0001895</x:v>
      </x:c>
      <x:c r="B1896" t="str">
        <x:v>2026-07</x:v>
      </x:c>
      <x:c r="C1896" t="n">
        <x:v>46211</x:v>
      </x:c>
      <x:c r="D1896" t="str">
        <x:v>USR-00757</x:v>
      </x:c>
      <x:c r="E1896" t="str">
        <x:v>SUS-001460</x:v>
      </x:c>
      <x:c r="F1896" t="str">
        <x:v>Plus mensual</x:v>
      </x:c>
      <x:c r="G1896" t="str">
        <x:v>Mensual</x:v>
      </x:c>
      <x:c r="H1896" t="n">
        <x:v>1</x:v>
      </x:c>
      <x:c r="I1896" t="str">
        <x:v>Aprobado</x:v>
      </x:c>
      <x:c r="J1896" t="n">
        <x:v>29900</x:v>
      </x:c>
      <x:c r="K1896" t="str">
        <x:v>Tarjeta débito</x:v>
      </x:c>
      <x:c r="L1896" t="str">
        <x:v>Sin error</x:v>
      </x:c>
    </x:row>
    <x:row r="1897">
      <x:c r="A1897" t="str">
        <x:v>TXN-0001896</x:v>
      </x:c>
      <x:c r="B1897" t="str">
        <x:v>2026-07</x:v>
      </x:c>
      <x:c r="C1897" t="n">
        <x:v>46213</x:v>
      </x:c>
      <x:c r="D1897" t="str">
        <x:v>USR-00760</x:v>
      </x:c>
      <x:c r="E1897" t="str">
        <x:v>SUS-001297</x:v>
      </x:c>
      <x:c r="F1897" t="str">
        <x:v>Plus mensual</x:v>
      </x:c>
      <x:c r="G1897" t="str">
        <x:v>Mensual</x:v>
      </x:c>
      <x:c r="H1897" t="n">
        <x:v>1</x:v>
      </x:c>
      <x:c r="I1897" t="str">
        <x:v>Aprobado</x:v>
      </x:c>
      <x:c r="J1897" t="n">
        <x:v>29900</x:v>
      </x:c>
      <x:c r="K1897" t="str">
        <x:v>PSE</x:v>
      </x:c>
      <x:c r="L1897" t="str">
        <x:v>Sin error</x:v>
      </x:c>
    </x:row>
    <x:row r="1898">
      <x:c r="A1898" t="str">
        <x:v>TXN-0001897</x:v>
      </x:c>
      <x:c r="B1898" t="str">
        <x:v>2026-07</x:v>
      </x:c>
      <x:c r="C1898" t="n">
        <x:v>46214</x:v>
      </x:c>
      <x:c r="D1898" t="str">
        <x:v>USR-00767</x:v>
      </x:c>
      <x:c r="E1898" t="str">
        <x:v>SUS-001080</x:v>
      </x:c>
      <x:c r="F1898" t="str">
        <x:v>Plus mensual</x:v>
      </x:c>
      <x:c r="G1898" t="str">
        <x:v>Mensual</x:v>
      </x:c>
      <x:c r="H1898" t="n">
        <x:v>1</x:v>
      </x:c>
      <x:c r="I1898" t="str">
        <x:v>Aprobado</x:v>
      </x:c>
      <x:c r="J1898" t="n">
        <x:v>29900</x:v>
      </x:c>
      <x:c r="K1898" t="str">
        <x:v>Tarjeta débito</x:v>
      </x:c>
      <x:c r="L1898" t="str">
        <x:v>Sin error</x:v>
      </x:c>
    </x:row>
    <x:row r="1899">
      <x:c r="A1899" t="str">
        <x:v>TXN-0001898</x:v>
      </x:c>
      <x:c r="B1899" t="str">
        <x:v>2026-07</x:v>
      </x:c>
      <x:c r="C1899" t="n">
        <x:v>46208</x:v>
      </x:c>
      <x:c r="D1899" t="str">
        <x:v>USR-00768</x:v>
      </x:c>
      <x:c r="E1899" t="str">
        <x:v>SUS-001081</x:v>
      </x:c>
      <x:c r="F1899" t="str">
        <x:v>Plus mensual</x:v>
      </x:c>
      <x:c r="G1899" t="str">
        <x:v>Mensual</x:v>
      </x:c>
      <x:c r="H1899" t="n">
        <x:v>1</x:v>
      </x:c>
      <x:c r="I1899" t="str">
        <x:v>Aprobado</x:v>
      </x:c>
      <x:c r="J1899" t="n">
        <x:v>29900</x:v>
      </x:c>
      <x:c r="K1899" t="str">
        <x:v>Tarjeta débito</x:v>
      </x:c>
      <x:c r="L1899" t="str">
        <x:v>Sin error</x:v>
      </x:c>
    </x:row>
    <x:row r="1900">
      <x:c r="A1900" t="str">
        <x:v>TXN-0001899</x:v>
      </x:c>
      <x:c r="B1900" t="str">
        <x:v>2026-07</x:v>
      </x:c>
      <x:c r="C1900" t="n">
        <x:v>46209</x:v>
      </x:c>
      <x:c r="D1900" t="str">
        <x:v>USR-00775</x:v>
      </x:c>
      <x:c r="E1900" t="str">
        <x:v>SUS-001088</x:v>
      </x:c>
      <x:c r="F1900" t="str">
        <x:v>Plus mensual</x:v>
      </x:c>
      <x:c r="G1900" t="str">
        <x:v>Mensual</x:v>
      </x:c>
      <x:c r="H1900" t="n">
        <x:v>1</x:v>
      </x:c>
      <x:c r="I1900" t="str">
        <x:v>Aprobado</x:v>
      </x:c>
      <x:c r="J1900" t="n">
        <x:v>29900</x:v>
      </x:c>
      <x:c r="K1900" t="str">
        <x:v>Tarjeta crédito</x:v>
      </x:c>
      <x:c r="L1900" t="str">
        <x:v>Sin error</x:v>
      </x:c>
    </x:row>
    <x:row r="1901">
      <x:c r="A1901" t="str">
        <x:v>TXN-0001900</x:v>
      </x:c>
      <x:c r="B1901" t="str">
        <x:v>2026-07</x:v>
      </x:c>
      <x:c r="C1901" t="n">
        <x:v>46208</x:v>
      </x:c>
      <x:c r="D1901" t="str">
        <x:v>USR-00776</x:v>
      </x:c>
      <x:c r="E1901" t="str">
        <x:v>SUS-001461</x:v>
      </x:c>
      <x:c r="F1901" t="str">
        <x:v>Plus mensual</x:v>
      </x:c>
      <x:c r="G1901" t="str">
        <x:v>Mensual</x:v>
      </x:c>
      <x:c r="H1901" t="n">
        <x:v>1</x:v>
      </x:c>
      <x:c r="I1901" t="str">
        <x:v>Aprobado</x:v>
      </x:c>
      <x:c r="J1901" t="n">
        <x:v>29900</x:v>
      </x:c>
      <x:c r="K1901" t="str">
        <x:v>Tarjeta débito</x:v>
      </x:c>
      <x:c r="L1901" t="str">
        <x:v>Sin error</x:v>
      </x:c>
    </x:row>
    <x:row r="1902">
      <x:c r="A1902" t="str">
        <x:v>TXN-0001901</x:v>
      </x:c>
      <x:c r="B1902" t="str">
        <x:v>2026-07</x:v>
      </x:c>
      <x:c r="C1902" t="n">
        <x:v>46209</x:v>
      </x:c>
      <x:c r="D1902" t="str">
        <x:v>USR-00777</x:v>
      </x:c>
      <x:c r="E1902" t="str">
        <x:v>SUS-001462</x:v>
      </x:c>
      <x:c r="F1902" t="str">
        <x:v>Plus mensual</x:v>
      </x:c>
      <x:c r="G1902" t="str">
        <x:v>Mensual</x:v>
      </x:c>
      <x:c r="H1902" t="n">
        <x:v>1</x:v>
      </x:c>
      <x:c r="I1902" t="str">
        <x:v>Aprobado</x:v>
      </x:c>
      <x:c r="J1902" t="n">
        <x:v>29900</x:v>
      </x:c>
      <x:c r="K1902" t="str">
        <x:v>Tarjeta débito</x:v>
      </x:c>
      <x:c r="L1902" t="str">
        <x:v>Sin error</x:v>
      </x:c>
    </x:row>
    <x:row r="1903">
      <x:c r="A1903" t="str">
        <x:v>TXN-0001902</x:v>
      </x:c>
      <x:c r="B1903" t="str">
        <x:v>2026-07</x:v>
      </x:c>
      <x:c r="C1903" t="n">
        <x:v>46210</x:v>
      </x:c>
      <x:c r="D1903" t="str">
        <x:v>USR-00783</x:v>
      </x:c>
      <x:c r="E1903" t="str">
        <x:v>SUS-001096</x:v>
      </x:c>
      <x:c r="F1903" t="str">
        <x:v>Plus mensual</x:v>
      </x:c>
      <x:c r="G1903" t="str">
        <x:v>Mensual</x:v>
      </x:c>
      <x:c r="H1903" t="n">
        <x:v>1</x:v>
      </x:c>
      <x:c r="I1903" t="str">
        <x:v>Aprobado</x:v>
      </x:c>
      <x:c r="J1903" t="n">
        <x:v>29900</x:v>
      </x:c>
      <x:c r="K1903" t="str">
        <x:v>PSE</x:v>
      </x:c>
      <x:c r="L1903" t="str">
        <x:v>Sin error</x:v>
      </x:c>
    </x:row>
    <x:row r="1904">
      <x:c r="A1904" t="str">
        <x:v>TXN-0001903</x:v>
      </x:c>
      <x:c r="B1904" t="str">
        <x:v>2026-07</x:v>
      </x:c>
      <x:c r="C1904" t="n">
        <x:v>46214</x:v>
      </x:c>
      <x:c r="D1904" t="str">
        <x:v>USR-00785</x:v>
      </x:c>
      <x:c r="E1904" t="str">
        <x:v>SUS-001098</x:v>
      </x:c>
      <x:c r="F1904" t="str">
        <x:v>Plus mensual</x:v>
      </x:c>
      <x:c r="G1904" t="str">
        <x:v>Mensual</x:v>
      </x:c>
      <x:c r="H1904" t="n">
        <x:v>1</x:v>
      </x:c>
      <x:c r="I1904" t="str">
        <x:v>Rechazado</x:v>
      </x:c>
      <x:c r="J1904" t="n">
        <x:v>29900</x:v>
      </x:c>
      <x:c r="K1904" t="str">
        <x:v>Tarjeta débito</x:v>
      </x:c>
      <x:c r="L1904" t="str">
        <x:v>Fondos insuficientes</x:v>
      </x:c>
    </x:row>
    <x:row r="1905">
      <x:c r="A1905" t="str">
        <x:v>TXN-0001904</x:v>
      </x:c>
      <x:c r="B1905" t="str">
        <x:v>2026-07</x:v>
      </x:c>
      <x:c r="C1905" t="n">
        <x:v>46215</x:v>
      </x:c>
      <x:c r="D1905" t="str">
        <x:v>USR-00785</x:v>
      </x:c>
      <x:c r="E1905" t="str">
        <x:v>SUS-001098</x:v>
      </x:c>
      <x:c r="F1905" t="str">
        <x:v>Plus mensual</x:v>
      </x:c>
      <x:c r="G1905" t="str">
        <x:v>Mensual</x:v>
      </x:c>
      <x:c r="H1905" t="n">
        <x:v>2</x:v>
      </x:c>
      <x:c r="I1905" t="str">
        <x:v>Aprobado</x:v>
      </x:c>
      <x:c r="J1905" t="n">
        <x:v>29900</x:v>
      </x:c>
      <x:c r="K1905" t="str">
        <x:v>PSE</x:v>
      </x:c>
      <x:c r="L1905" t="str">
        <x:v>Sin error</x:v>
      </x:c>
    </x:row>
    <x:row r="1906">
      <x:c r="A1906" t="str">
        <x:v>TXN-0001905</x:v>
      </x:c>
      <x:c r="B1906" t="str">
        <x:v>2026-07</x:v>
      </x:c>
      <x:c r="C1906" t="n">
        <x:v>46215</x:v>
      </x:c>
      <x:c r="D1906" t="str">
        <x:v>USR-00786</x:v>
      </x:c>
      <x:c r="E1906" t="str">
        <x:v>SUS-001463</x:v>
      </x:c>
      <x:c r="F1906" t="str">
        <x:v>Plus anual</x:v>
      </x:c>
      <x:c r="G1906" t="str">
        <x:v>Anual</x:v>
      </x:c>
      <x:c r="H1906" t="n">
        <x:v>1</x:v>
      </x:c>
      <x:c r="I1906" t="str">
        <x:v>Aprobado</x:v>
      </x:c>
      <x:c r="J1906" t="n">
        <x:v>299000</x:v>
      </x:c>
      <x:c r="K1906" t="str">
        <x:v>Tarjeta crédito</x:v>
      </x:c>
      <x:c r="L1906" t="str">
        <x:v>Sin error</x:v>
      </x:c>
    </x:row>
    <x:row r="1907">
      <x:c r="A1907" t="str">
        <x:v>TXN-0001906</x:v>
      </x:c>
      <x:c r="B1907" t="str">
        <x:v>2026-07</x:v>
      </x:c>
      <x:c r="C1907" t="n">
        <x:v>46214</x:v>
      </x:c>
      <x:c r="D1907" t="str">
        <x:v>USR-00787</x:v>
      </x:c>
      <x:c r="E1907" t="str">
        <x:v>SUS-001155</x:v>
      </x:c>
      <x:c r="F1907" t="str">
        <x:v>Plus mensual</x:v>
      </x:c>
      <x:c r="G1907" t="str">
        <x:v>Mensual</x:v>
      </x:c>
      <x:c r="H1907" t="n">
        <x:v>1</x:v>
      </x:c>
      <x:c r="I1907" t="str">
        <x:v>Aprobado</x:v>
      </x:c>
      <x:c r="J1907" t="n">
        <x:v>29900</x:v>
      </x:c>
      <x:c r="K1907" t="str">
        <x:v>Tarjeta crédito</x:v>
      </x:c>
      <x:c r="L1907" t="str">
        <x:v>Sin error</x:v>
      </x:c>
    </x:row>
    <x:row r="1908">
      <x:c r="A1908" t="str">
        <x:v>TXN-0001907</x:v>
      </x:c>
      <x:c r="B1908" t="str">
        <x:v>2026-07</x:v>
      </x:c>
      <x:c r="C1908" t="n">
        <x:v>46214</x:v>
      </x:c>
      <x:c r="D1908" t="str">
        <x:v>USR-00790</x:v>
      </x:c>
      <x:c r="E1908" t="str">
        <x:v>SUS-001158</x:v>
      </x:c>
      <x:c r="F1908" t="str">
        <x:v>Plus mensual</x:v>
      </x:c>
      <x:c r="G1908" t="str">
        <x:v>Mensual</x:v>
      </x:c>
      <x:c r="H1908" t="n">
        <x:v>1</x:v>
      </x:c>
      <x:c r="I1908" t="str">
        <x:v>Aprobado</x:v>
      </x:c>
      <x:c r="J1908" t="n">
        <x:v>29900</x:v>
      </x:c>
      <x:c r="K1908" t="str">
        <x:v>Tarjeta débito</x:v>
      </x:c>
      <x:c r="L1908" t="str">
        <x:v>Sin error</x:v>
      </x:c>
    </x:row>
    <x:row r="1909">
      <x:c r="A1909" t="str">
        <x:v>TXN-0001908</x:v>
      </x:c>
      <x:c r="B1909" t="str">
        <x:v>2026-07</x:v>
      </x:c>
      <x:c r="C1909" t="n">
        <x:v>46213</x:v>
      </x:c>
      <x:c r="D1909" t="str">
        <x:v>USR-00798</x:v>
      </x:c>
      <x:c r="E1909" t="str">
        <x:v>SUS-001166</x:v>
      </x:c>
      <x:c r="F1909" t="str">
        <x:v>Plus mensual</x:v>
      </x:c>
      <x:c r="G1909" t="str">
        <x:v>Mensual</x:v>
      </x:c>
      <x:c r="H1909" t="n">
        <x:v>1</x:v>
      </x:c>
      <x:c r="I1909" t="str">
        <x:v>Rechazado</x:v>
      </x:c>
      <x:c r="J1909" t="n">
        <x:v>29900</x:v>
      </x:c>
      <x:c r="K1909" t="str">
        <x:v>Tarjeta crédito</x:v>
      </x:c>
      <x:c r="L1909" t="str">
        <x:v>Declinado por entidad</x:v>
      </x:c>
    </x:row>
    <x:row r="1910">
      <x:c r="A1910" t="str">
        <x:v>TXN-0001909</x:v>
      </x:c>
      <x:c r="B1910" t="str">
        <x:v>2026-07</x:v>
      </x:c>
      <x:c r="C1910" t="n">
        <x:v>46213</x:v>
      </x:c>
      <x:c r="D1910" t="str">
        <x:v>USR-00798</x:v>
      </x:c>
      <x:c r="E1910" t="str">
        <x:v>SUS-001166</x:v>
      </x:c>
      <x:c r="F1910" t="str">
        <x:v>Plus mensual</x:v>
      </x:c>
      <x:c r="G1910" t="str">
        <x:v>Mensual</x:v>
      </x:c>
      <x:c r="H1910" t="n">
        <x:v>2</x:v>
      </x:c>
      <x:c r="I1910" t="str">
        <x:v>Aprobado</x:v>
      </x:c>
      <x:c r="J1910" t="n">
        <x:v>29900</x:v>
      </x:c>
      <x:c r="K1910" t="str">
        <x:v>Tarjeta crédito</x:v>
      </x:c>
      <x:c r="L1910" t="str">
        <x:v>Sin error</x:v>
      </x:c>
    </x:row>
    <x:row r="1911">
      <x:c r="A1911" t="str">
        <x:v>TXN-0001910</x:v>
      </x:c>
      <x:c r="B1911" t="str">
        <x:v>2026-07</x:v>
      </x:c>
      <x:c r="C1911" t="n">
        <x:v>46214</x:v>
      </x:c>
      <x:c r="D1911" t="str">
        <x:v>USR-00813</x:v>
      </x:c>
      <x:c r="E1911" t="str">
        <x:v>SUS-001181</x:v>
      </x:c>
      <x:c r="F1911" t="str">
        <x:v>Plus mensual</x:v>
      </x:c>
      <x:c r="G1911" t="str">
        <x:v>Mensual</x:v>
      </x:c>
      <x:c r="H1911" t="n">
        <x:v>1</x:v>
      </x:c>
      <x:c r="I1911" t="str">
        <x:v>Aprobado</x:v>
      </x:c>
      <x:c r="J1911" t="n">
        <x:v>29900</x:v>
      </x:c>
      <x:c r="K1911" t="str">
        <x:v>Tarjeta débito</x:v>
      </x:c>
      <x:c r="L1911" t="str">
        <x:v>Sin error</x:v>
      </x:c>
    </x:row>
    <x:row r="1912">
      <x:c r="A1912" t="str">
        <x:v>TXN-0001911</x:v>
      </x:c>
      <x:c r="B1912" t="str">
        <x:v>2026-07</x:v>
      </x:c>
      <x:c r="C1912" t="n">
        <x:v>46210</x:v>
      </x:c>
      <x:c r="D1912" t="str">
        <x:v>USR-00816</x:v>
      </x:c>
      <x:c r="E1912" t="str">
        <x:v>SUS-001464</x:v>
      </x:c>
      <x:c r="F1912" t="str">
        <x:v>Plus mensual</x:v>
      </x:c>
      <x:c r="G1912" t="str">
        <x:v>Mensual</x:v>
      </x:c>
      <x:c r="H1912" t="n">
        <x:v>1</x:v>
      </x:c>
      <x:c r="I1912" t="str">
        <x:v>Aprobado</x:v>
      </x:c>
      <x:c r="J1912" t="n">
        <x:v>29900</x:v>
      </x:c>
      <x:c r="K1912" t="str">
        <x:v>Tarjeta débito</x:v>
      </x:c>
      <x:c r="L1912" t="str">
        <x:v>Sin error</x:v>
      </x:c>
    </x:row>
    <x:row r="1913">
      <x:c r="A1913" t="str">
        <x:v>TXN-0001912</x:v>
      </x:c>
      <x:c r="B1913" t="str">
        <x:v>2026-07</x:v>
      </x:c>
      <x:c r="C1913" t="n">
        <x:v>46208</x:v>
      </x:c>
      <x:c r="D1913" t="str">
        <x:v>USR-00824</x:v>
      </x:c>
      <x:c r="E1913" t="str">
        <x:v>SUS-001192</x:v>
      </x:c>
      <x:c r="F1913" t="str">
        <x:v>Plus mensual</x:v>
      </x:c>
      <x:c r="G1913" t="str">
        <x:v>Mensual</x:v>
      </x:c>
      <x:c r="H1913" t="n">
        <x:v>1</x:v>
      </x:c>
      <x:c r="I1913" t="str">
        <x:v>Aprobado</x:v>
      </x:c>
      <x:c r="J1913" t="n">
        <x:v>29900</x:v>
      </x:c>
      <x:c r="K1913" t="str">
        <x:v>Tarjeta crédito</x:v>
      </x:c>
      <x:c r="L1913" t="str">
        <x:v>Sin error</x:v>
      </x:c>
    </x:row>
    <x:row r="1914">
      <x:c r="A1914" t="str">
        <x:v>TXN-0001913</x:v>
      </x:c>
      <x:c r="B1914" t="str">
        <x:v>2026-07</x:v>
      </x:c>
      <x:c r="C1914" t="n">
        <x:v>46208</x:v>
      </x:c>
      <x:c r="D1914" t="str">
        <x:v>USR-00832</x:v>
      </x:c>
      <x:c r="E1914" t="str">
        <x:v>SUS-001200</x:v>
      </x:c>
      <x:c r="F1914" t="str">
        <x:v>Plus mensual</x:v>
      </x:c>
      <x:c r="G1914" t="str">
        <x:v>Mensual</x:v>
      </x:c>
      <x:c r="H1914" t="n">
        <x:v>1</x:v>
      </x:c>
      <x:c r="I1914" t="str">
        <x:v>Aprobado</x:v>
      </x:c>
      <x:c r="J1914" t="n">
        <x:v>29900</x:v>
      </x:c>
      <x:c r="K1914" t="str">
        <x:v>Tarjeta crédito</x:v>
      </x:c>
      <x:c r="L1914" t="str">
        <x:v>Sin error</x:v>
      </x:c>
    </x:row>
    <x:row r="1915">
      <x:c r="A1915" t="str">
        <x:v>TXN-0001914</x:v>
      </x:c>
      <x:c r="B1915" t="str">
        <x:v>2026-07</x:v>
      </x:c>
      <x:c r="C1915" t="n">
        <x:v>46210</x:v>
      </x:c>
      <x:c r="D1915" t="str">
        <x:v>USR-00833</x:v>
      </x:c>
      <x:c r="E1915" t="str">
        <x:v>SUS-001201</x:v>
      </x:c>
      <x:c r="F1915" t="str">
        <x:v>Plus mensual</x:v>
      </x:c>
      <x:c r="G1915" t="str">
        <x:v>Mensual</x:v>
      </x:c>
      <x:c r="H1915" t="n">
        <x:v>1</x:v>
      </x:c>
      <x:c r="I1915" t="str">
        <x:v>Aprobado</x:v>
      </x:c>
      <x:c r="J1915" t="n">
        <x:v>29900</x:v>
      </x:c>
      <x:c r="K1915" t="str">
        <x:v>Tarjeta crédito</x:v>
      </x:c>
      <x:c r="L1915" t="str">
        <x:v>Sin error</x:v>
      </x:c>
    </x:row>
    <x:row r="1916">
      <x:c r="A1916" t="str">
        <x:v>TXN-0001915</x:v>
      </x:c>
      <x:c r="B1916" t="str">
        <x:v>2026-07</x:v>
      </x:c>
      <x:c r="C1916" t="n">
        <x:v>46209</x:v>
      </x:c>
      <x:c r="D1916" t="str">
        <x:v>USR-00836</x:v>
      </x:c>
      <x:c r="E1916" t="str">
        <x:v>SUS-001302</x:v>
      </x:c>
      <x:c r="F1916" t="str">
        <x:v>Plus mensual</x:v>
      </x:c>
      <x:c r="G1916" t="str">
        <x:v>Mensual</x:v>
      </x:c>
      <x:c r="H1916" t="n">
        <x:v>1</x:v>
      </x:c>
      <x:c r="I1916" t="str">
        <x:v>Aprobado</x:v>
      </x:c>
      <x:c r="J1916" t="n">
        <x:v>29900</x:v>
      </x:c>
      <x:c r="K1916" t="str">
        <x:v>Tarjeta crédito</x:v>
      </x:c>
      <x:c r="L1916" t="str">
        <x:v>Sin error</x:v>
      </x:c>
    </x:row>
    <x:row r="1917">
      <x:c r="A1917" t="str">
        <x:v>TXN-0001916</x:v>
      </x:c>
      <x:c r="B1917" t="str">
        <x:v>2026-07</x:v>
      </x:c>
      <x:c r="C1917" t="n">
        <x:v>46208</x:v>
      </x:c>
      <x:c r="D1917" t="str">
        <x:v>USR-00846</x:v>
      </x:c>
      <x:c r="E1917" t="str">
        <x:v>SUS-001214</x:v>
      </x:c>
      <x:c r="F1917" t="str">
        <x:v>Plus mensual</x:v>
      </x:c>
      <x:c r="G1917" t="str">
        <x:v>Mensual</x:v>
      </x:c>
      <x:c r="H1917" t="n">
        <x:v>1</x:v>
      </x:c>
      <x:c r="I1917" t="str">
        <x:v>Aprobado</x:v>
      </x:c>
      <x:c r="J1917" t="n">
        <x:v>29900</x:v>
      </x:c>
      <x:c r="K1917" t="str">
        <x:v>PSE</x:v>
      </x:c>
      <x:c r="L1917" t="str">
        <x:v>Sin error</x:v>
      </x:c>
    </x:row>
    <x:row r="1918">
      <x:c r="A1918" t="str">
        <x:v>TXN-0001917</x:v>
      </x:c>
      <x:c r="B1918" t="str">
        <x:v>2026-07</x:v>
      </x:c>
      <x:c r="C1918" t="n">
        <x:v>46212</x:v>
      </x:c>
      <x:c r="D1918" t="str">
        <x:v>USR-00850</x:v>
      </x:c>
      <x:c r="E1918" t="str">
        <x:v>SUS-001218</x:v>
      </x:c>
      <x:c r="F1918" t="str">
        <x:v>Plus mensual</x:v>
      </x:c>
      <x:c r="G1918" t="str">
        <x:v>Mensual</x:v>
      </x:c>
      <x:c r="H1918" t="n">
        <x:v>1</x:v>
      </x:c>
      <x:c r="I1918" t="str">
        <x:v>Aprobado</x:v>
      </x:c>
      <x:c r="J1918" t="n">
        <x:v>29900</x:v>
      </x:c>
      <x:c r="K1918" t="str">
        <x:v>Tarjeta débito</x:v>
      </x:c>
      <x:c r="L1918" t="str">
        <x:v>Sin error</x:v>
      </x:c>
    </x:row>
    <x:row r="1919">
      <x:c r="A1919" t="str">
        <x:v>TXN-0001918</x:v>
      </x:c>
      <x:c r="B1919" t="str">
        <x:v>2026-07</x:v>
      </x:c>
      <x:c r="C1919" t="n">
        <x:v>46208</x:v>
      </x:c>
      <x:c r="D1919" t="str">
        <x:v>USR-00852</x:v>
      </x:c>
      <x:c r="E1919" t="str">
        <x:v>SUS-001465</x:v>
      </x:c>
      <x:c r="F1919" t="str">
        <x:v>Plus anual</x:v>
      </x:c>
      <x:c r="G1919" t="str">
        <x:v>Anual</x:v>
      </x:c>
      <x:c r="H1919" t="n">
        <x:v>1</x:v>
      </x:c>
      <x:c r="I1919" t="str">
        <x:v>Aprobado</x:v>
      </x:c>
      <x:c r="J1919" t="n">
        <x:v>299000</x:v>
      </x:c>
      <x:c r="K1919" t="str">
        <x:v>Tarjeta crédito</x:v>
      </x:c>
      <x:c r="L1919" t="str">
        <x:v>Sin error</x:v>
      </x:c>
    </x:row>
    <x:row r="1920">
      <x:c r="A1920" t="str">
        <x:v>TXN-0001919</x:v>
      </x:c>
      <x:c r="B1920" t="str">
        <x:v>2026-07</x:v>
      </x:c>
      <x:c r="C1920" t="n">
        <x:v>46208</x:v>
      </x:c>
      <x:c r="D1920" t="str">
        <x:v>USR-00858</x:v>
      </x:c>
      <x:c r="E1920" t="str">
        <x:v>SUS-001226</x:v>
      </x:c>
      <x:c r="F1920" t="str">
        <x:v>Plus mensual</x:v>
      </x:c>
      <x:c r="G1920" t="str">
        <x:v>Mensual</x:v>
      </x:c>
      <x:c r="H1920" t="n">
        <x:v>1</x:v>
      </x:c>
      <x:c r="I1920" t="str">
        <x:v>Aprobado</x:v>
      </x:c>
      <x:c r="J1920" t="n">
        <x:v>29900</x:v>
      </x:c>
      <x:c r="K1920" t="str">
        <x:v>Tarjeta débito</x:v>
      </x:c>
      <x:c r="L1920" t="str">
        <x:v>Sin error</x:v>
      </x:c>
    </x:row>
    <x:row r="1921">
      <x:c r="A1921" t="str">
        <x:v>TXN-0001920</x:v>
      </x:c>
      <x:c r="B1921" t="str">
        <x:v>2026-07</x:v>
      </x:c>
      <x:c r="C1921" t="n">
        <x:v>46215</x:v>
      </x:c>
      <x:c r="D1921" t="str">
        <x:v>USR-00859</x:v>
      </x:c>
      <x:c r="E1921" t="str">
        <x:v>SUS-001227</x:v>
      </x:c>
      <x:c r="F1921" t="str">
        <x:v>Plus mensual</x:v>
      </x:c>
      <x:c r="G1921" t="str">
        <x:v>Mensual</x:v>
      </x:c>
      <x:c r="H1921" t="n">
        <x:v>1</x:v>
      </x:c>
      <x:c r="I1921" t="str">
        <x:v>Aprobado</x:v>
      </x:c>
      <x:c r="J1921" t="n">
        <x:v>29900</x:v>
      </x:c>
      <x:c r="K1921" t="str">
        <x:v>PSE</x:v>
      </x:c>
      <x:c r="L1921" t="str">
        <x:v>Sin error</x:v>
      </x:c>
    </x:row>
    <x:row r="1922">
      <x:c r="A1922" t="str">
        <x:v>TXN-0001921</x:v>
      </x:c>
      <x:c r="B1922" t="str">
        <x:v>2026-07</x:v>
      </x:c>
      <x:c r="C1922" t="n">
        <x:v>46210</x:v>
      </x:c>
      <x:c r="D1922" t="str">
        <x:v>USR-00860</x:v>
      </x:c>
      <x:c r="E1922" t="str">
        <x:v>SUS-001228</x:v>
      </x:c>
      <x:c r="F1922" t="str">
        <x:v>Plus mensual</x:v>
      </x:c>
      <x:c r="G1922" t="str">
        <x:v>Mensual</x:v>
      </x:c>
      <x:c r="H1922" t="n">
        <x:v>1</x:v>
      </x:c>
      <x:c r="I1922" t="str">
        <x:v>Aprobado</x:v>
      </x:c>
      <x:c r="J1922" t="n">
        <x:v>29900</x:v>
      </x:c>
      <x:c r="K1922" t="str">
        <x:v>Tarjeta crédito</x:v>
      </x:c>
      <x:c r="L1922" t="str">
        <x:v>Sin error</x:v>
      </x:c>
    </x:row>
    <x:row r="1923">
      <x:c r="A1923" t="str">
        <x:v>TXN-0001922</x:v>
      </x:c>
      <x:c r="B1923" t="str">
        <x:v>2026-07</x:v>
      </x:c>
      <x:c r="C1923" t="n">
        <x:v>46214</x:v>
      </x:c>
      <x:c r="D1923" t="str">
        <x:v>USR-00861</x:v>
      </x:c>
      <x:c r="E1923" t="str">
        <x:v>SUS-001229</x:v>
      </x:c>
      <x:c r="F1923" t="str">
        <x:v>Plus mensual</x:v>
      </x:c>
      <x:c r="G1923" t="str">
        <x:v>Mensual</x:v>
      </x:c>
      <x:c r="H1923" t="n">
        <x:v>1</x:v>
      </x:c>
      <x:c r="I1923" t="str">
        <x:v>Aprobado</x:v>
      </x:c>
      <x:c r="J1923" t="n">
        <x:v>29900</x:v>
      </x:c>
      <x:c r="K1923" t="str">
        <x:v>Tarjeta débito</x:v>
      </x:c>
      <x:c r="L1923" t="str">
        <x:v>Sin error</x:v>
      </x:c>
    </x:row>
    <x:row r="1924">
      <x:c r="A1924" t="str">
        <x:v>TXN-0001923</x:v>
      </x:c>
      <x:c r="B1924" t="str">
        <x:v>2026-07</x:v>
      </x:c>
      <x:c r="C1924" t="n">
        <x:v>46208</x:v>
      </x:c>
      <x:c r="D1924" t="str">
        <x:v>USR-00862</x:v>
      </x:c>
      <x:c r="E1924" t="str">
        <x:v>SUS-001230</x:v>
      </x:c>
      <x:c r="F1924" t="str">
        <x:v>Plus mensual</x:v>
      </x:c>
      <x:c r="G1924" t="str">
        <x:v>Mensual</x:v>
      </x:c>
      <x:c r="H1924" t="n">
        <x:v>1</x:v>
      </x:c>
      <x:c r="I1924" t="str">
        <x:v>Aprobado</x:v>
      </x:c>
      <x:c r="J1924" t="n">
        <x:v>29900</x:v>
      </x:c>
      <x:c r="K1924" t="str">
        <x:v>PSE</x:v>
      </x:c>
      <x:c r="L1924" t="str">
        <x:v>Sin error</x:v>
      </x:c>
    </x:row>
    <x:row r="1925">
      <x:c r="A1925" t="str">
        <x:v>TXN-0001924</x:v>
      </x:c>
      <x:c r="B1925" t="str">
        <x:v>2026-07</x:v>
      </x:c>
      <x:c r="C1925" t="n">
        <x:v>46210</x:v>
      </x:c>
      <x:c r="D1925" t="str">
        <x:v>USR-00871</x:v>
      </x:c>
      <x:c r="E1925" t="str">
        <x:v>SUS-001239</x:v>
      </x:c>
      <x:c r="F1925" t="str">
        <x:v>Plus mensual</x:v>
      </x:c>
      <x:c r="G1925" t="str">
        <x:v>Mensual</x:v>
      </x:c>
      <x:c r="H1925" t="n">
        <x:v>1</x:v>
      </x:c>
      <x:c r="I1925" t="str">
        <x:v>Aprobado</x:v>
      </x:c>
      <x:c r="J1925" t="n">
        <x:v>29900</x:v>
      </x:c>
      <x:c r="K1925" t="str">
        <x:v>PSE</x:v>
      </x:c>
      <x:c r="L1925" t="str">
        <x:v>Sin error</x:v>
      </x:c>
    </x:row>
    <x:row r="1926">
      <x:c r="A1926" t="str">
        <x:v>TXN-0001925</x:v>
      </x:c>
      <x:c r="B1926" t="str">
        <x:v>2026-07</x:v>
      </x:c>
      <x:c r="C1926" t="n">
        <x:v>46210</x:v>
      </x:c>
      <x:c r="D1926" t="str">
        <x:v>USR-00875</x:v>
      </x:c>
      <x:c r="E1926" t="str">
        <x:v>SUS-001243</x:v>
      </x:c>
      <x:c r="F1926" t="str">
        <x:v>Plus mensual</x:v>
      </x:c>
      <x:c r="G1926" t="str">
        <x:v>Mensual</x:v>
      </x:c>
      <x:c r="H1926" t="n">
        <x:v>1</x:v>
      </x:c>
      <x:c r="I1926" t="str">
        <x:v>Aprobado</x:v>
      </x:c>
      <x:c r="J1926" t="n">
        <x:v>29900</x:v>
      </x:c>
      <x:c r="K1926" t="str">
        <x:v>Tarjeta crédito</x:v>
      </x:c>
      <x:c r="L1926" t="str">
        <x:v>Sin error</x:v>
      </x:c>
    </x:row>
    <x:row r="1927">
      <x:c r="A1927" t="str">
        <x:v>TXN-0001926</x:v>
      </x:c>
      <x:c r="B1927" t="str">
        <x:v>2026-07</x:v>
      </x:c>
      <x:c r="C1927" t="n">
        <x:v>46210</x:v>
      </x:c>
      <x:c r="D1927" t="str">
        <x:v>USR-00876</x:v>
      </x:c>
      <x:c r="E1927" t="str">
        <x:v>SUS-001466</x:v>
      </x:c>
      <x:c r="F1927" t="str">
        <x:v>Plus mensual</x:v>
      </x:c>
      <x:c r="G1927" t="str">
        <x:v>Mensual</x:v>
      </x:c>
      <x:c r="H1927" t="n">
        <x:v>1</x:v>
      </x:c>
      <x:c r="I1927" t="str">
        <x:v>Aprobado</x:v>
      </x:c>
      <x:c r="J1927" t="n">
        <x:v>29900</x:v>
      </x:c>
      <x:c r="K1927" t="str">
        <x:v>Tarjeta débito</x:v>
      </x:c>
      <x:c r="L1927" t="str">
        <x:v>Sin error</x:v>
      </x:c>
    </x:row>
    <x:row r="1928">
      <x:c r="A1928" t="str">
        <x:v>TXN-0001927</x:v>
      </x:c>
      <x:c r="B1928" t="str">
        <x:v>2026-07</x:v>
      </x:c>
      <x:c r="C1928" t="n">
        <x:v>46213</x:v>
      </x:c>
      <x:c r="D1928" t="str">
        <x:v>USR-00885</x:v>
      </x:c>
      <x:c r="E1928" t="str">
        <x:v>SUS-001253</x:v>
      </x:c>
      <x:c r="F1928" t="str">
        <x:v>Plus mensual</x:v>
      </x:c>
      <x:c r="G1928" t="str">
        <x:v>Mensual</x:v>
      </x:c>
      <x:c r="H1928" t="n">
        <x:v>1</x:v>
      </x:c>
      <x:c r="I1928" t="str">
        <x:v>Aprobado</x:v>
      </x:c>
      <x:c r="J1928" t="n">
        <x:v>29900</x:v>
      </x:c>
      <x:c r="K1928" t="str">
        <x:v>Tarjeta débito</x:v>
      </x:c>
      <x:c r="L1928" t="str">
        <x:v>Sin error</x:v>
      </x:c>
    </x:row>
    <x:row r="1929">
      <x:c r="A1929" t="str">
        <x:v>TXN-0001928</x:v>
      </x:c>
      <x:c r="B1929" t="str">
        <x:v>2026-07</x:v>
      </x:c>
      <x:c r="C1929" t="n">
        <x:v>46215</x:v>
      </x:c>
      <x:c r="D1929" t="str">
        <x:v>USR-00886</x:v>
      </x:c>
      <x:c r="E1929" t="str">
        <x:v>SUS-001468</x:v>
      </x:c>
      <x:c r="F1929" t="str">
        <x:v>Plus mensual</x:v>
      </x:c>
      <x:c r="G1929" t="str">
        <x:v>Mensual</x:v>
      </x:c>
      <x:c r="H1929" t="n">
        <x:v>1</x:v>
      </x:c>
      <x:c r="I1929" t="str">
        <x:v>Aprobado</x:v>
      </x:c>
      <x:c r="J1929" t="n">
        <x:v>29900</x:v>
      </x:c>
      <x:c r="K1929" t="str">
        <x:v>PSE</x:v>
      </x:c>
      <x:c r="L1929" t="str">
        <x:v>Sin error</x:v>
      </x:c>
    </x:row>
    <x:row r="1930">
      <x:c r="A1930" t="str">
        <x:v>TXN-0001929</x:v>
      </x:c>
      <x:c r="B1930" t="str">
        <x:v>2026-07</x:v>
      </x:c>
      <x:c r="C1930" t="n">
        <x:v>46212</x:v>
      </x:c>
      <x:c r="D1930" t="str">
        <x:v>USR-00895</x:v>
      </x:c>
      <x:c r="E1930" t="str">
        <x:v>SUS-001309</x:v>
      </x:c>
      <x:c r="F1930" t="str">
        <x:v>Plus mensual</x:v>
      </x:c>
      <x:c r="G1930" t="str">
        <x:v>Mensual</x:v>
      </x:c>
      <x:c r="H1930" t="n">
        <x:v>1</x:v>
      </x:c>
      <x:c r="I1930" t="str">
        <x:v>Aprobado</x:v>
      </x:c>
      <x:c r="J1930" t="n">
        <x:v>29900</x:v>
      </x:c>
      <x:c r="K1930" t="str">
        <x:v>PSE</x:v>
      </x:c>
      <x:c r="L1930" t="str">
        <x:v>Sin error</x:v>
      </x:c>
    </x:row>
    <x:row r="1931">
      <x:c r="A1931" t="str">
        <x:v>TXN-0001930</x:v>
      </x:c>
      <x:c r="B1931" t="str">
        <x:v>2026-07</x:v>
      </x:c>
      <x:c r="C1931" t="n">
        <x:v>46210</x:v>
      </x:c>
      <x:c r="D1931" t="str">
        <x:v>USR-00898</x:v>
      </x:c>
      <x:c r="E1931" t="str">
        <x:v>SUS-001312</x:v>
      </x:c>
      <x:c r="F1931" t="str">
        <x:v>Plus mensual</x:v>
      </x:c>
      <x:c r="G1931" t="str">
        <x:v>Mensual</x:v>
      </x:c>
      <x:c r="H1931" t="n">
        <x:v>1</x:v>
      </x:c>
      <x:c r="I1931" t="str">
        <x:v>Aprobado</x:v>
      </x:c>
      <x:c r="J1931" t="n">
        <x:v>29900</x:v>
      </x:c>
      <x:c r="K1931" t="str">
        <x:v>Tarjeta débito</x:v>
      </x:c>
      <x:c r="L1931" t="str">
        <x:v>Sin error</x:v>
      </x:c>
    </x:row>
    <x:row r="1932">
      <x:c r="A1932" t="str">
        <x:v>TXN-0001931</x:v>
      </x:c>
      <x:c r="B1932" t="str">
        <x:v>2026-07</x:v>
      </x:c>
      <x:c r="C1932" t="n">
        <x:v>46210</x:v>
      </x:c>
      <x:c r="D1932" t="str">
        <x:v>USR-00904</x:v>
      </x:c>
      <x:c r="E1932" t="str">
        <x:v>SUS-001469</x:v>
      </x:c>
      <x:c r="F1932" t="str">
        <x:v>Plus mensual</x:v>
      </x:c>
      <x:c r="G1932" t="str">
        <x:v>Mensual</x:v>
      </x:c>
      <x:c r="H1932" t="n">
        <x:v>1</x:v>
      </x:c>
      <x:c r="I1932" t="str">
        <x:v>Aprobado</x:v>
      </x:c>
      <x:c r="J1932" t="n">
        <x:v>29900</x:v>
      </x:c>
      <x:c r="K1932" t="str">
        <x:v>Tarjeta débito</x:v>
      </x:c>
      <x:c r="L1932" t="str">
        <x:v>Sin error</x:v>
      </x:c>
    </x:row>
    <x:row r="1933">
      <x:c r="A1933" t="str">
        <x:v>TXN-0001932</x:v>
      </x:c>
      <x:c r="B1933" t="str">
        <x:v>2026-07</x:v>
      </x:c>
      <x:c r="C1933" t="n">
        <x:v>46214</x:v>
      </x:c>
      <x:c r="D1933" t="str">
        <x:v>USR-00907</x:v>
      </x:c>
      <x:c r="E1933" t="str">
        <x:v>SUS-001321</x:v>
      </x:c>
      <x:c r="F1933" t="str">
        <x:v>Plus mensual</x:v>
      </x:c>
      <x:c r="G1933" t="str">
        <x:v>Mensual</x:v>
      </x:c>
      <x:c r="H1933" t="n">
        <x:v>1</x:v>
      </x:c>
      <x:c r="I1933" t="str">
        <x:v>Aprobado</x:v>
      </x:c>
      <x:c r="J1933" t="n">
        <x:v>29900</x:v>
      </x:c>
      <x:c r="K1933" t="str">
        <x:v>PSE</x:v>
      </x:c>
      <x:c r="L1933" t="str">
        <x:v>Sin error</x:v>
      </x:c>
    </x:row>
    <x:row r="1934">
      <x:c r="A1934" t="str">
        <x:v>TXN-0001933</x:v>
      </x:c>
      <x:c r="B1934" t="str">
        <x:v>2026-07</x:v>
      </x:c>
      <x:c r="C1934" t="n">
        <x:v>46211</x:v>
      </x:c>
      <x:c r="D1934" t="str">
        <x:v>USR-00908</x:v>
      </x:c>
      <x:c r="E1934" t="str">
        <x:v>SUS-001322</x:v>
      </x:c>
      <x:c r="F1934" t="str">
        <x:v>Plus mensual</x:v>
      </x:c>
      <x:c r="G1934" t="str">
        <x:v>Mensual</x:v>
      </x:c>
      <x:c r="H1934" t="n">
        <x:v>1</x:v>
      </x:c>
      <x:c r="I1934" t="str">
        <x:v>Aprobado</x:v>
      </x:c>
      <x:c r="J1934" t="n">
        <x:v>29900</x:v>
      </x:c>
      <x:c r="K1934" t="str">
        <x:v>Tarjeta débito</x:v>
      </x:c>
      <x:c r="L1934" t="str">
        <x:v>Sin error</x:v>
      </x:c>
    </x:row>
    <x:row r="1935">
      <x:c r="A1935" t="str">
        <x:v>TXN-0001934</x:v>
      </x:c>
      <x:c r="B1935" t="str">
        <x:v>2026-07</x:v>
      </x:c>
      <x:c r="C1935" t="n">
        <x:v>46211</x:v>
      </x:c>
      <x:c r="D1935" t="str">
        <x:v>USR-00909</x:v>
      </x:c>
      <x:c r="E1935" t="str">
        <x:v>SUS-001323</x:v>
      </x:c>
      <x:c r="F1935" t="str">
        <x:v>Plus mensual</x:v>
      </x:c>
      <x:c r="G1935" t="str">
        <x:v>Mensual</x:v>
      </x:c>
      <x:c r="H1935" t="n">
        <x:v>1</x:v>
      </x:c>
      <x:c r="I1935" t="str">
        <x:v>Aprobado</x:v>
      </x:c>
      <x:c r="J1935" t="n">
        <x:v>29900</x:v>
      </x:c>
      <x:c r="K1935" t="str">
        <x:v>Tarjeta débito</x:v>
      </x:c>
      <x:c r="L1935" t="str">
        <x:v>Sin error</x:v>
      </x:c>
    </x:row>
    <x:row r="1936">
      <x:c r="A1936" t="str">
        <x:v>TXN-0001935</x:v>
      </x:c>
      <x:c r="B1936" t="str">
        <x:v>2026-07</x:v>
      </x:c>
      <x:c r="C1936" t="n">
        <x:v>46212</x:v>
      </x:c>
      <x:c r="D1936" t="str">
        <x:v>USR-00911</x:v>
      </x:c>
      <x:c r="E1936" t="str">
        <x:v>SUS-001325</x:v>
      </x:c>
      <x:c r="F1936" t="str">
        <x:v>Plus mensual</x:v>
      </x:c>
      <x:c r="G1936" t="str">
        <x:v>Mensual</x:v>
      </x:c>
      <x:c r="H1936" t="n">
        <x:v>1</x:v>
      </x:c>
      <x:c r="I1936" t="str">
        <x:v>Aprobado</x:v>
      </x:c>
      <x:c r="J1936" t="n">
        <x:v>29900</x:v>
      </x:c>
      <x:c r="K1936" t="str">
        <x:v>Tarjeta débito</x:v>
      </x:c>
      <x:c r="L1936" t="str">
        <x:v>Sin error</x:v>
      </x:c>
    </x:row>
    <x:row r="1937">
      <x:c r="A1937" t="str">
        <x:v>TXN-0001936</x:v>
      </x:c>
      <x:c r="B1937" t="str">
        <x:v>2026-07</x:v>
      </x:c>
      <x:c r="C1937" t="n">
        <x:v>46208</x:v>
      </x:c>
      <x:c r="D1937" t="str">
        <x:v>USR-00912</x:v>
      </x:c>
      <x:c r="E1937" t="str">
        <x:v>SUS-001470</x:v>
      </x:c>
      <x:c r="F1937" t="str">
        <x:v>Plus anual</x:v>
      </x:c>
      <x:c r="G1937" t="str">
        <x:v>Anual</x:v>
      </x:c>
      <x:c r="H1937" t="n">
        <x:v>1</x:v>
      </x:c>
      <x:c r="I1937" t="str">
        <x:v>Aprobado</x:v>
      </x:c>
      <x:c r="J1937" t="n">
        <x:v>299000</x:v>
      </x:c>
      <x:c r="K1937" t="str">
        <x:v>PSE</x:v>
      </x:c>
      <x:c r="L1937" t="str">
        <x:v>Sin error</x:v>
      </x:c>
    </x:row>
    <x:row r="1938">
      <x:c r="A1938" t="str">
        <x:v>TXN-0001937</x:v>
      </x:c>
      <x:c r="B1938" t="str">
        <x:v>2026-07</x:v>
      </x:c>
      <x:c r="C1938" t="n">
        <x:v>46212</x:v>
      </x:c>
      <x:c r="D1938" t="str">
        <x:v>USR-00926</x:v>
      </x:c>
      <x:c r="E1938" t="str">
        <x:v>SUS-001471</x:v>
      </x:c>
      <x:c r="F1938" t="str">
        <x:v>Plus mensual</x:v>
      </x:c>
      <x:c r="G1938" t="str">
        <x:v>Mensual</x:v>
      </x:c>
      <x:c r="H1938" t="n">
        <x:v>1</x:v>
      </x:c>
      <x:c r="I1938" t="str">
        <x:v>Aprobado</x:v>
      </x:c>
      <x:c r="J1938" t="n">
        <x:v>29900</x:v>
      </x:c>
      <x:c r="K1938" t="str">
        <x:v>Tarjeta débito</x:v>
      </x:c>
      <x:c r="L1938" t="str">
        <x:v>Sin error</x:v>
      </x:c>
    </x:row>
    <x:row r="1939">
      <x:c r="A1939" t="str">
        <x:v>TXN-0001938</x:v>
      </x:c>
      <x:c r="B1939" t="str">
        <x:v>2026-07</x:v>
      </x:c>
      <x:c r="C1939" t="n">
        <x:v>46212</x:v>
      </x:c>
      <x:c r="D1939" t="str">
        <x:v>USR-00928</x:v>
      </x:c>
      <x:c r="E1939" t="str">
        <x:v>SUS-001342</x:v>
      </x:c>
      <x:c r="F1939" t="str">
        <x:v>Plus mensual</x:v>
      </x:c>
      <x:c r="G1939" t="str">
        <x:v>Mensual</x:v>
      </x:c>
      <x:c r="H1939" t="n">
        <x:v>1</x:v>
      </x:c>
      <x:c r="I1939" t="str">
        <x:v>Aprobado</x:v>
      </x:c>
      <x:c r="J1939" t="n">
        <x:v>29900</x:v>
      </x:c>
      <x:c r="K1939" t="str">
        <x:v>Tarjeta débito</x:v>
      </x:c>
      <x:c r="L1939" t="str">
        <x:v>Sin error</x:v>
      </x:c>
    </x:row>
    <x:row r="1940">
      <x:c r="A1940" t="str">
        <x:v>TXN-0001939</x:v>
      </x:c>
      <x:c r="B1940" t="str">
        <x:v>2026-07</x:v>
      </x:c>
      <x:c r="C1940" t="n">
        <x:v>46209</x:v>
      </x:c>
      <x:c r="D1940" t="str">
        <x:v>USR-00929</x:v>
      </x:c>
      <x:c r="E1940" t="str">
        <x:v>SUS-001472</x:v>
      </x:c>
      <x:c r="F1940" t="str">
        <x:v>Plus mensual</x:v>
      </x:c>
      <x:c r="G1940" t="str">
        <x:v>Mensual</x:v>
      </x:c>
      <x:c r="H1940" t="n">
        <x:v>1</x:v>
      </x:c>
      <x:c r="I1940" t="str">
        <x:v>Aprobado</x:v>
      </x:c>
      <x:c r="J1940" t="n">
        <x:v>29900</x:v>
      </x:c>
      <x:c r="K1940" t="str">
        <x:v>PSE</x:v>
      </x:c>
      <x:c r="L1940" t="str">
        <x:v>Sin error</x:v>
      </x:c>
    </x:row>
    <x:row r="1941">
      <x:c r="A1941" t="str">
        <x:v>TXN-0001940</x:v>
      </x:c>
      <x:c r="B1941" t="str">
        <x:v>2026-07</x:v>
      </x:c>
      <x:c r="C1941" t="n">
        <x:v>46208</x:v>
      </x:c>
      <x:c r="D1941" t="str">
        <x:v>USR-00937</x:v>
      </x:c>
      <x:c r="E1941" t="str">
        <x:v>SUS-001473</x:v>
      </x:c>
      <x:c r="F1941" t="str">
        <x:v>Plus anual</x:v>
      </x:c>
      <x:c r="G1941" t="str">
        <x:v>Anual</x:v>
      </x:c>
      <x:c r="H1941" t="n">
        <x:v>1</x:v>
      </x:c>
      <x:c r="I1941" t="str">
        <x:v>Aprobado</x:v>
      </x:c>
      <x:c r="J1941" t="n">
        <x:v>299000</x:v>
      </x:c>
      <x:c r="K1941" t="str">
        <x:v>PSE</x:v>
      </x:c>
      <x:c r="L1941" t="str">
        <x:v>Sin error</x:v>
      </x:c>
    </x:row>
    <x:row r="1942">
      <x:c r="A1942" t="str">
        <x:v>TXN-0001941</x:v>
      </x:c>
      <x:c r="B1942" t="str">
        <x:v>2026-07</x:v>
      </x:c>
      <x:c r="C1942" t="n">
        <x:v>46210</x:v>
      </x:c>
      <x:c r="D1942" t="str">
        <x:v>USR-00938</x:v>
      </x:c>
      <x:c r="E1942" t="str">
        <x:v>SUS-001474</x:v>
      </x:c>
      <x:c r="F1942" t="str">
        <x:v>Plus mensual</x:v>
      </x:c>
      <x:c r="G1942" t="str">
        <x:v>Mensual</x:v>
      </x:c>
      <x:c r="H1942" t="n">
        <x:v>1</x:v>
      </x:c>
      <x:c r="I1942" t="str">
        <x:v>Aprobado</x:v>
      </x:c>
      <x:c r="J1942" t="n">
        <x:v>29900</x:v>
      </x:c>
      <x:c r="K1942" t="str">
        <x:v>PSE</x:v>
      </x:c>
      <x:c r="L1942" t="str">
        <x:v>Sin error</x:v>
      </x:c>
    </x:row>
    <x:row r="1943">
      <x:c r="A1943" t="str">
        <x:v>TXN-0001942</x:v>
      </x:c>
      <x:c r="B1943" t="str">
        <x:v>2026-07</x:v>
      </x:c>
      <x:c r="C1943" t="n">
        <x:v>46214</x:v>
      </x:c>
      <x:c r="D1943" t="str">
        <x:v>USR-00943</x:v>
      </x:c>
      <x:c r="E1943" t="str">
        <x:v>SUS-001357</x:v>
      </x:c>
      <x:c r="F1943" t="str">
        <x:v>Plus mensual</x:v>
      </x:c>
      <x:c r="G1943" t="str">
        <x:v>Mensual</x:v>
      </x:c>
      <x:c r="H1943" t="n">
        <x:v>1</x:v>
      </x:c>
      <x:c r="I1943" t="str">
        <x:v>Aprobado</x:v>
      </x:c>
      <x:c r="J1943" t="n">
        <x:v>29900</x:v>
      </x:c>
      <x:c r="K1943" t="str">
        <x:v>Tarjeta débito</x:v>
      </x:c>
      <x:c r="L1943" t="str">
        <x:v>Sin error</x:v>
      </x:c>
    </x:row>
    <x:row r="1944">
      <x:c r="A1944" t="str">
        <x:v>TXN-0001943</x:v>
      </x:c>
      <x:c r="B1944" t="str">
        <x:v>2026-07</x:v>
      </x:c>
      <x:c r="C1944" t="n">
        <x:v>46208</x:v>
      </x:c>
      <x:c r="D1944" t="str">
        <x:v>USR-00948</x:v>
      </x:c>
      <x:c r="E1944" t="str">
        <x:v>SUS-001362</x:v>
      </x:c>
      <x:c r="F1944" t="str">
        <x:v>Plus mensual</x:v>
      </x:c>
      <x:c r="G1944" t="str">
        <x:v>Mensual</x:v>
      </x:c>
      <x:c r="H1944" t="n">
        <x:v>1</x:v>
      </x:c>
      <x:c r="I1944" t="str">
        <x:v>Aprobado</x:v>
      </x:c>
      <x:c r="J1944" t="n">
        <x:v>29900</x:v>
      </x:c>
      <x:c r="K1944" t="str">
        <x:v>Tarjeta débito</x:v>
      </x:c>
      <x:c r="L1944" t="str">
        <x:v>Sin error</x:v>
      </x:c>
    </x:row>
    <x:row r="1945">
      <x:c r="A1945" t="str">
        <x:v>TXN-0001944</x:v>
      </x:c>
      <x:c r="B1945" t="str">
        <x:v>2026-07</x:v>
      </x:c>
      <x:c r="C1945" t="n">
        <x:v>46208</x:v>
      </x:c>
      <x:c r="D1945" t="str">
        <x:v>USR-00955</x:v>
      </x:c>
      <x:c r="E1945" t="str">
        <x:v>SUS-001369</x:v>
      </x:c>
      <x:c r="F1945" t="str">
        <x:v>Plus mensual</x:v>
      </x:c>
      <x:c r="G1945" t="str">
        <x:v>Mensual</x:v>
      </x:c>
      <x:c r="H1945" t="n">
        <x:v>1</x:v>
      </x:c>
      <x:c r="I1945" t="str">
        <x:v>Aprobado</x:v>
      </x:c>
      <x:c r="J1945" t="n">
        <x:v>29900</x:v>
      </x:c>
      <x:c r="K1945" t="str">
        <x:v>PSE</x:v>
      </x:c>
      <x:c r="L1945" t="str">
        <x:v>Sin error</x:v>
      </x:c>
    </x:row>
    <x:row r="1946">
      <x:c r="A1946" t="str">
        <x:v>TXN-0001945</x:v>
      </x:c>
      <x:c r="B1946" t="str">
        <x:v>2026-07</x:v>
      </x:c>
      <x:c r="C1946" t="n">
        <x:v>46208</x:v>
      </x:c>
      <x:c r="D1946" t="str">
        <x:v>USR-00966</x:v>
      </x:c>
      <x:c r="E1946" t="str">
        <x:v>SUS-001380</x:v>
      </x:c>
      <x:c r="F1946" t="str">
        <x:v>Plus mensual</x:v>
      </x:c>
      <x:c r="G1946" t="str">
        <x:v>Mensual</x:v>
      </x:c>
      <x:c r="H1946" t="n">
        <x:v>1</x:v>
      </x:c>
      <x:c r="I1946" t="str">
        <x:v>Aprobado</x:v>
      </x:c>
      <x:c r="J1946" t="n">
        <x:v>29900</x:v>
      </x:c>
      <x:c r="K1946" t="str">
        <x:v>Tarjeta crédito</x:v>
      </x:c>
      <x:c r="L1946" t="str">
        <x:v>Sin error</x:v>
      </x:c>
    </x:row>
    <x:row r="1947">
      <x:c r="A1947" t="str">
        <x:v>TXN-0001946</x:v>
      </x:c>
      <x:c r="B1947" t="str">
        <x:v>2026-07</x:v>
      </x:c>
      <x:c r="C1947" t="n">
        <x:v>46214</x:v>
      </x:c>
      <x:c r="D1947" t="str">
        <x:v>USR-00968</x:v>
      </x:c>
      <x:c r="E1947" t="str">
        <x:v>SUS-001382</x:v>
      </x:c>
      <x:c r="F1947" t="str">
        <x:v>Plus mensual</x:v>
      </x:c>
      <x:c r="G1947" t="str">
        <x:v>Mensual</x:v>
      </x:c>
      <x:c r="H1947" t="n">
        <x:v>1</x:v>
      </x:c>
      <x:c r="I1947" t="str">
        <x:v>Aprobado</x:v>
      </x:c>
      <x:c r="J1947" t="n">
        <x:v>29900</x:v>
      </x:c>
      <x:c r="K1947" t="str">
        <x:v>PSE</x:v>
      </x:c>
      <x:c r="L1947" t="str">
        <x:v>Sin error</x:v>
      </x:c>
    </x:row>
    <x:row r="1948">
      <x:c r="A1948" t="str">
        <x:v>TXN-0001947</x:v>
      </x:c>
      <x:c r="B1948" t="str">
        <x:v>2026-07</x:v>
      </x:c>
      <x:c r="C1948" t="n">
        <x:v>46214</x:v>
      </x:c>
      <x:c r="D1948" t="str">
        <x:v>USR-00975</x:v>
      </x:c>
      <x:c r="E1948" t="str">
        <x:v>SUS-001389</x:v>
      </x:c>
      <x:c r="F1948" t="str">
        <x:v>Plus mensual</x:v>
      </x:c>
      <x:c r="G1948" t="str">
        <x:v>Mensual</x:v>
      </x:c>
      <x:c r="H1948" t="n">
        <x:v>1</x:v>
      </x:c>
      <x:c r="I1948" t="str">
        <x:v>Aprobado</x:v>
      </x:c>
      <x:c r="J1948" t="n">
        <x:v>29900</x:v>
      </x:c>
      <x:c r="K1948" t="str">
        <x:v>Tarjeta débito</x:v>
      </x:c>
      <x:c r="L1948" t="str">
        <x:v>Sin error</x:v>
      </x:c>
    </x:row>
    <x:row r="1949">
      <x:c r="A1949" t="str">
        <x:v>TXN-0001948</x:v>
      </x:c>
      <x:c r="B1949" t="str">
        <x:v>2026-07</x:v>
      </x:c>
      <x:c r="C1949" t="n">
        <x:v>46214</x:v>
      </x:c>
      <x:c r="D1949" t="str">
        <x:v>USR-00976</x:v>
      </x:c>
      <x:c r="E1949" t="str">
        <x:v>SUS-001390</x:v>
      </x:c>
      <x:c r="F1949" t="str">
        <x:v>Plus mensual</x:v>
      </x:c>
      <x:c r="G1949" t="str">
        <x:v>Mensual</x:v>
      </x:c>
      <x:c r="H1949" t="n">
        <x:v>1</x:v>
      </x:c>
      <x:c r="I1949" t="str">
        <x:v>Aprobado</x:v>
      </x:c>
      <x:c r="J1949" t="n">
        <x:v>29900</x:v>
      </x:c>
      <x:c r="K1949" t="str">
        <x:v>PSE</x:v>
      </x:c>
      <x:c r="L1949" t="str">
        <x:v>Sin error</x:v>
      </x:c>
    </x:row>
    <x:row r="1950">
      <x:c r="A1950" t="str">
        <x:v>TXN-0001949</x:v>
      </x:c>
      <x:c r="B1950" t="str">
        <x:v>2026-07</x:v>
      </x:c>
      <x:c r="C1950" t="n">
        <x:v>46210</x:v>
      </x:c>
      <x:c r="D1950" t="str">
        <x:v>USR-00981</x:v>
      </x:c>
      <x:c r="E1950" t="str">
        <x:v>SUS-001475</x:v>
      </x:c>
      <x:c r="F1950" t="str">
        <x:v>Plus mensual</x:v>
      </x:c>
      <x:c r="G1950" t="str">
        <x:v>Mensual</x:v>
      </x:c>
      <x:c r="H1950" t="n">
        <x:v>1</x:v>
      </x:c>
      <x:c r="I1950" t="str">
        <x:v>Aprobado</x:v>
      </x:c>
      <x:c r="J1950" t="n">
        <x:v>29900</x:v>
      </x:c>
      <x:c r="K1950" t="str">
        <x:v>PSE</x:v>
      </x:c>
      <x:c r="L1950" t="str">
        <x:v>Sin error</x:v>
      </x:c>
    </x:row>
    <x:row r="1951">
      <x:c r="A1951" t="str">
        <x:v>TXN-0001950</x:v>
      </x:c>
      <x:c r="B1951" t="str">
        <x:v>2026-07</x:v>
      </x:c>
      <x:c r="C1951" t="n">
        <x:v>46209</x:v>
      </x:c>
      <x:c r="D1951" t="str">
        <x:v>USR-00986</x:v>
      </x:c>
      <x:c r="E1951" t="str">
        <x:v>SUS-001480</x:v>
      </x:c>
      <x:c r="F1951" t="str">
        <x:v>Plus anual</x:v>
      </x:c>
      <x:c r="G1951" t="str">
        <x:v>Anual</x:v>
      </x:c>
      <x:c r="H1951" t="n">
        <x:v>1</x:v>
      </x:c>
      <x:c r="I1951" t="str">
        <x:v>Aprobado</x:v>
      </x:c>
      <x:c r="J1951" t="n">
        <x:v>299000</x:v>
      </x:c>
      <x:c r="K1951" t="str">
        <x:v>Tarjeta débito</x:v>
      </x:c>
      <x:c r="L1951" t="str">
        <x:v>Sin error</x:v>
      </x:c>
    </x:row>
    <x:row r="1952">
      <x:c r="A1952" t="str">
        <x:v>TXN-0001951</x:v>
      </x:c>
      <x:c r="B1952" t="str">
        <x:v>2026-07</x:v>
      </x:c>
      <x:c r="C1952" t="n">
        <x:v>46215</x:v>
      </x:c>
      <x:c r="D1952" t="str">
        <x:v>USR-01000</x:v>
      </x:c>
      <x:c r="E1952" t="str">
        <x:v>SUS-001494</x:v>
      </x:c>
      <x:c r="F1952" t="str">
        <x:v>Plus anual</x:v>
      </x:c>
      <x:c r="G1952" t="str">
        <x:v>Anual</x:v>
      </x:c>
      <x:c r="H1952" t="n">
        <x:v>1</x:v>
      </x:c>
      <x:c r="I1952" t="str">
        <x:v>Aprobado</x:v>
      </x:c>
      <x:c r="J1952" t="n">
        <x:v>299000</x:v>
      </x:c>
      <x:c r="K1952" t="str">
        <x:v>PSE</x:v>
      </x:c>
      <x:c r="L1952" t="str">
        <x:v>Sin error</x:v>
      </x:c>
    </x:row>
    <x:row r="1953">
      <x:c r="A1953" t="str">
        <x:v>TXN-0001952</x:v>
      </x:c>
      <x:c r="B1953" t="str">
        <x:v>2026-07</x:v>
      </x:c>
      <x:c r="C1953" t="n">
        <x:v>46208</x:v>
      </x:c>
      <x:c r="D1953" t="str">
        <x:v>USR-01001</x:v>
      </x:c>
      <x:c r="E1953" t="str">
        <x:v>SUS-001495</x:v>
      </x:c>
      <x:c r="F1953" t="str">
        <x:v>Plus anual</x:v>
      </x:c>
      <x:c r="G1953" t="str">
        <x:v>Anual</x:v>
      </x:c>
      <x:c r="H1953" t="n">
        <x:v>1</x:v>
      </x:c>
      <x:c r="I1953" t="str">
        <x:v>Aprobado</x:v>
      </x:c>
      <x:c r="J1953" t="n">
        <x:v>299000</x:v>
      </x:c>
      <x:c r="K1953" t="str">
        <x:v>Tarjeta débito</x:v>
      </x:c>
      <x:c r="L1953" t="str">
        <x:v>Sin error</x:v>
      </x:c>
    </x:row>
    <x:row r="1954">
      <x:c r="A1954" t="str">
        <x:v>TXN-0001953</x:v>
      </x:c>
      <x:c r="B1954" t="str">
        <x:v>2026-07</x:v>
      </x:c>
      <x:c r="C1954" t="n">
        <x:v>46211</x:v>
      </x:c>
      <x:c r="D1954" t="str">
        <x:v>USR-01005</x:v>
      </x:c>
      <x:c r="E1954" t="str">
        <x:v>SUS-001499</x:v>
      </x:c>
      <x:c r="F1954" t="str">
        <x:v>Plus anual</x:v>
      </x:c>
      <x:c r="G1954" t="str">
        <x:v>Anual</x:v>
      </x:c>
      <x:c r="H1954" t="n">
        <x:v>1</x:v>
      </x:c>
      <x:c r="I1954" t="str">
        <x:v>Aprobado</x:v>
      </x:c>
      <x:c r="J1954" t="n">
        <x:v>299000</x:v>
      </x:c>
      <x:c r="K1954" t="str">
        <x:v>PSE</x:v>
      </x:c>
      <x:c r="L1954" t="str">
        <x:v>Sin error</x:v>
      </x:c>
    </x:row>
    <x:row r="1955">
      <x:c r="A1955" t="str">
        <x:v>TXN-0001954</x:v>
      </x:c>
      <x:c r="B1955" t="str">
        <x:v>2026-07</x:v>
      </x:c>
      <x:c r="C1955" t="n">
        <x:v>46209</x:v>
      </x:c>
      <x:c r="D1955" t="str">
        <x:v>USR-01019</x:v>
      </x:c>
      <x:c r="E1955" t="str">
        <x:v>SUS-001513</x:v>
      </x:c>
      <x:c r="F1955" t="str">
        <x:v>Plus mensual</x:v>
      </x:c>
      <x:c r="G1955" t="str">
        <x:v>Mensual</x:v>
      </x:c>
      <x:c r="H1955" t="n">
        <x:v>1</x:v>
      </x:c>
      <x:c r="I1955" t="str">
        <x:v>Aprobado</x:v>
      </x:c>
      <x:c r="J1955" t="n">
        <x:v>29900</x:v>
      </x:c>
      <x:c r="K1955" t="str">
        <x:v>Tarjeta débito</x:v>
      </x:c>
      <x:c r="L1955" t="str">
        <x:v>Sin error</x:v>
      </x:c>
    </x:row>
    <x:row r="1956">
      <x:c r="A1956" t="str">
        <x:v>TXN-0001955</x:v>
      </x:c>
      <x:c r="B1956" t="str">
        <x:v>2026-07</x:v>
      </x:c>
      <x:c r="C1956" t="n">
        <x:v>46215</x:v>
      </x:c>
      <x:c r="D1956" t="str">
        <x:v>USR-01021</x:v>
      </x:c>
      <x:c r="E1956" t="str">
        <x:v>SUS-001515</x:v>
      </x:c>
      <x:c r="F1956" t="str">
        <x:v>Plus anual</x:v>
      </x:c>
      <x:c r="G1956" t="str">
        <x:v>Anual</x:v>
      </x:c>
      <x:c r="H1956" t="n">
        <x:v>1</x:v>
      </x:c>
      <x:c r="I1956" t="str">
        <x:v>Aprobado</x:v>
      </x:c>
      <x:c r="J1956" t="n">
        <x:v>299000</x:v>
      </x:c>
      <x:c r="K1956" t="str">
        <x:v>Tarjeta crédito</x:v>
      </x:c>
      <x:c r="L1956" t="str">
        <x:v>Sin error</x:v>
      </x:c>
    </x:row>
    <x:row r="1957">
      <x:c r="A1957" t="str">
        <x:v>TXN-0001956</x:v>
      </x:c>
      <x:c r="B1957" t="str">
        <x:v>2026-07</x:v>
      </x:c>
      <x:c r="C1957" t="n">
        <x:v>46213</x:v>
      </x:c>
      <x:c r="D1957" t="str">
        <x:v>USR-01036</x:v>
      </x:c>
      <x:c r="E1957" t="str">
        <x:v>SUS-001530</x:v>
      </x:c>
      <x:c r="F1957" t="str">
        <x:v>Plus anual</x:v>
      </x:c>
      <x:c r="G1957" t="str">
        <x:v>Anual</x:v>
      </x:c>
      <x:c r="H1957" t="n">
        <x:v>1</x:v>
      </x:c>
      <x:c r="I1957" t="str">
        <x:v>Aprobado</x:v>
      </x:c>
      <x:c r="J1957" t="n">
        <x:v>299000</x:v>
      </x:c>
      <x:c r="K1957" t="str">
        <x:v>Tarjeta débito</x:v>
      </x:c>
      <x:c r="L1957" t="str">
        <x:v>Sin error</x:v>
      </x:c>
    </x:row>
    <x:row r="1958">
      <x:c r="A1958" t="str">
        <x:v>TXN-0001957</x:v>
      </x:c>
      <x:c r="B1958" t="str">
        <x:v>2026-07</x:v>
      </x:c>
      <x:c r="C1958" t="n">
        <x:v>46210</x:v>
      </x:c>
      <x:c r="D1958" t="str">
        <x:v>USR-01038</x:v>
      </x:c>
      <x:c r="E1958" t="str">
        <x:v>SUS-001532</x:v>
      </x:c>
      <x:c r="F1958" t="str">
        <x:v>Plus mensual</x:v>
      </x:c>
      <x:c r="G1958" t="str">
        <x:v>Mensual</x:v>
      </x:c>
      <x:c r="H1958" t="n">
        <x:v>1</x:v>
      </x:c>
      <x:c r="I1958" t="str">
        <x:v>Aprobado</x:v>
      </x:c>
      <x:c r="J1958" t="n">
        <x:v>29900</x:v>
      </x:c>
      <x:c r="K1958" t="str">
        <x:v>Tarjeta débito</x:v>
      </x:c>
      <x:c r="L1958" t="str">
        <x:v>Sin error</x:v>
      </x:c>
    </x:row>
    <x:row r="1959">
      <x:c r="A1959" t="str">
        <x:v>TXN-0001958</x:v>
      </x:c>
      <x:c r="B1959" t="str">
        <x:v>2026-07</x:v>
      </x:c>
      <x:c r="C1959" t="n">
        <x:v>46214</x:v>
      </x:c>
      <x:c r="D1959" t="str">
        <x:v>USR-01047</x:v>
      </x:c>
      <x:c r="E1959" t="str">
        <x:v>SUS-001541</x:v>
      </x:c>
      <x:c r="F1959" t="str">
        <x:v>Plus mensual</x:v>
      </x:c>
      <x:c r="G1959" t="str">
        <x:v>Mensual</x:v>
      </x:c>
      <x:c r="H1959" t="n">
        <x:v>1</x:v>
      </x:c>
      <x:c r="I1959" t="str">
        <x:v>Aprobado</x:v>
      </x:c>
      <x:c r="J1959" t="n">
        <x:v>29900</x:v>
      </x:c>
      <x:c r="K1959" t="str">
        <x:v>Tarjeta crédito</x:v>
      </x:c>
      <x:c r="L1959" t="str">
        <x:v>Sin error</x:v>
      </x:c>
    </x:row>
    <x:row r="1960">
      <x:c r="A1960" t="str">
        <x:v>TXN-0001959</x:v>
      </x:c>
      <x:c r="B1960" t="str">
        <x:v>2026-08</x:v>
      </x:c>
      <x:c r="C1960" t="n">
        <x:v>46244</x:v>
      </x:c>
      <x:c r="D1960" t="str">
        <x:v>USR-00006</x:v>
      </x:c>
      <x:c r="E1960" t="str">
        <x:v>SUS-001395</x:v>
      </x:c>
      <x:c r="F1960" t="str">
        <x:v>Plus mensual</x:v>
      </x:c>
      <x:c r="G1960" t="str">
        <x:v>Mensual</x:v>
      </x:c>
      <x:c r="H1960" t="n">
        <x:v>1</x:v>
      </x:c>
      <x:c r="I1960" t="str">
        <x:v>Aprobado</x:v>
      </x:c>
      <x:c r="J1960" t="n">
        <x:v>29900</x:v>
      </x:c>
      <x:c r="K1960" t="str">
        <x:v>Tarjeta débito</x:v>
      </x:c>
      <x:c r="L1960" t="str">
        <x:v>Sin error</x:v>
      </x:c>
    </x:row>
    <x:row r="1961">
      <x:c r="A1961" t="str">
        <x:v>TXN-0001960</x:v>
      </x:c>
      <x:c r="B1961" t="str">
        <x:v>2026-08</x:v>
      </x:c>
      <x:c r="C1961" t="n">
        <x:v>46241</x:v>
      </x:c>
      <x:c r="D1961" t="str">
        <x:v>USR-00007</x:v>
      </x:c>
      <x:c r="E1961" t="str">
        <x:v>SUS-001260</x:v>
      </x:c>
      <x:c r="F1961" t="str">
        <x:v>Plus mensual</x:v>
      </x:c>
      <x:c r="G1961" t="str">
        <x:v>Mensual</x:v>
      </x:c>
      <x:c r="H1961" t="n">
        <x:v>1</x:v>
      </x:c>
      <x:c r="I1961" t="str">
        <x:v>Aprobado</x:v>
      </x:c>
      <x:c r="J1961" t="n">
        <x:v>29900</x:v>
      </x:c>
      <x:c r="K1961" t="str">
        <x:v>Tarjeta débito</x:v>
      </x:c>
      <x:c r="L1961" t="str">
        <x:v>Sin error</x:v>
      </x:c>
    </x:row>
    <x:row r="1962">
      <x:c r="A1962" t="str">
        <x:v>TXN-0001961</x:v>
      </x:c>
      <x:c r="B1962" t="str">
        <x:v>2026-08</x:v>
      </x:c>
      <x:c r="C1962" t="n">
        <x:v>46246</x:v>
      </x:c>
      <x:c r="D1962" t="str">
        <x:v>USR-00009</x:v>
      </x:c>
      <x:c r="E1962" t="str">
        <x:v>SUS-001396</x:v>
      </x:c>
      <x:c r="F1962" t="str">
        <x:v>Plus mensual</x:v>
      </x:c>
      <x:c r="G1962" t="str">
        <x:v>Mensual</x:v>
      </x:c>
      <x:c r="H1962" t="n">
        <x:v>1</x:v>
      </x:c>
      <x:c r="I1962" t="str">
        <x:v>Aprobado</x:v>
      </x:c>
      <x:c r="J1962" t="n">
        <x:v>29900</x:v>
      </x:c>
      <x:c r="K1962" t="str">
        <x:v>Tarjeta crédito</x:v>
      </x:c>
      <x:c r="L1962" t="str">
        <x:v>Sin error</x:v>
      </x:c>
    </x:row>
    <x:row r="1963">
      <x:c r="A1963" t="str">
        <x:v>TXN-0001962</x:v>
      </x:c>
      <x:c r="B1963" t="str">
        <x:v>2026-08</x:v>
      </x:c>
      <x:c r="C1963" t="n">
        <x:v>46240</x:v>
      </x:c>
      <x:c r="D1963" t="str">
        <x:v>USR-00011</x:v>
      </x:c>
      <x:c r="E1963" t="str">
        <x:v>SUS-000961</x:v>
      </x:c>
      <x:c r="F1963" t="str">
        <x:v>Plus mensual</x:v>
      </x:c>
      <x:c r="G1963" t="str">
        <x:v>Mensual</x:v>
      </x:c>
      <x:c r="H1963" t="n">
        <x:v>1</x:v>
      </x:c>
      <x:c r="I1963" t="str">
        <x:v>Aprobado</x:v>
      </x:c>
      <x:c r="J1963" t="n">
        <x:v>29900</x:v>
      </x:c>
      <x:c r="K1963" t="str">
        <x:v>PSE</x:v>
      </x:c>
      <x:c r="L1963" t="str">
        <x:v>Sin error</x:v>
      </x:c>
    </x:row>
    <x:row r="1964">
      <x:c r="A1964" t="str">
        <x:v>TXN-0001963</x:v>
      </x:c>
      <x:c r="B1964" t="str">
        <x:v>2026-08</x:v>
      </x:c>
      <x:c r="C1964" t="n">
        <x:v>46239</x:v>
      </x:c>
      <x:c r="D1964" t="str">
        <x:v>USR-00012</x:v>
      </x:c>
      <x:c r="E1964" t="str">
        <x:v>SUS-000837</x:v>
      </x:c>
      <x:c r="F1964" t="str">
        <x:v>Plus mensual</x:v>
      </x:c>
      <x:c r="G1964" t="str">
        <x:v>Mensual</x:v>
      </x:c>
      <x:c r="H1964" t="n">
        <x:v>1</x:v>
      </x:c>
      <x:c r="I1964" t="str">
        <x:v>Rechazado</x:v>
      </x:c>
      <x:c r="J1964" t="n">
        <x:v>29900</x:v>
      </x:c>
      <x:c r="K1964" t="str">
        <x:v>PSE</x:v>
      </x:c>
      <x:c r="L1964" t="str">
        <x:v>Declinado por entidad</x:v>
      </x:c>
    </x:row>
    <x:row r="1965">
      <x:c r="A1965" t="str">
        <x:v>TXN-0001964</x:v>
      </x:c>
      <x:c r="B1965" t="str">
        <x:v>2026-08</x:v>
      </x:c>
      <x:c r="C1965" t="n">
        <x:v>46246</x:v>
      </x:c>
      <x:c r="D1965" t="str">
        <x:v>USR-00012</x:v>
      </x:c>
      <x:c r="E1965" t="str">
        <x:v>SUS-000837</x:v>
      </x:c>
      <x:c r="F1965" t="str">
        <x:v>Plus mensual</x:v>
      </x:c>
      <x:c r="G1965" t="str">
        <x:v>Mensual</x:v>
      </x:c>
      <x:c r="H1965" t="n">
        <x:v>2</x:v>
      </x:c>
      <x:c r="I1965" t="str">
        <x:v>Aprobado</x:v>
      </x:c>
      <x:c r="J1965" t="n">
        <x:v>29900</x:v>
      </x:c>
      <x:c r="K1965" t="str">
        <x:v>PSE</x:v>
      </x:c>
      <x:c r="L1965" t="str">
        <x:v>Sin error</x:v>
      </x:c>
    </x:row>
    <x:row r="1966">
      <x:c r="A1966" t="str">
        <x:v>TXN-0001965</x:v>
      </x:c>
      <x:c r="B1966" t="str">
        <x:v>2026-08</x:v>
      </x:c>
      <x:c r="C1966" t="n">
        <x:v>46243</x:v>
      </x:c>
      <x:c r="D1966" t="str">
        <x:v>USR-00015</x:v>
      </x:c>
      <x:c r="E1966" t="str">
        <x:v>SUS-001100</x:v>
      </x:c>
      <x:c r="F1966" t="str">
        <x:v>Plus mensual</x:v>
      </x:c>
      <x:c r="G1966" t="str">
        <x:v>Mensual</x:v>
      </x:c>
      <x:c r="H1966" t="n">
        <x:v>1</x:v>
      </x:c>
      <x:c r="I1966" t="str">
        <x:v>Aprobado</x:v>
      </x:c>
      <x:c r="J1966" t="n">
        <x:v>29900</x:v>
      </x:c>
      <x:c r="K1966" t="str">
        <x:v>PSE</x:v>
      </x:c>
      <x:c r="L1966" t="str">
        <x:v>Sin error</x:v>
      </x:c>
    </x:row>
    <x:row r="1967">
      <x:c r="A1967" t="str">
        <x:v>TXN-0001966</x:v>
      </x:c>
      <x:c r="B1967" t="str">
        <x:v>2026-08</x:v>
      </x:c>
      <x:c r="C1967" t="n">
        <x:v>46243</x:v>
      </x:c>
      <x:c r="D1967" t="str">
        <x:v>USR-00018</x:v>
      </x:c>
      <x:c r="E1967" t="str">
        <x:v>SUS-000157</x:v>
      </x:c>
      <x:c r="F1967" t="str">
        <x:v>Plus mensual</x:v>
      </x:c>
      <x:c r="G1967" t="str">
        <x:v>Mensual</x:v>
      </x:c>
      <x:c r="H1967" t="n">
        <x:v>1</x:v>
      </x:c>
      <x:c r="I1967" t="str">
        <x:v>Aprobado</x:v>
      </x:c>
      <x:c r="J1967" t="n">
        <x:v>29900</x:v>
      </x:c>
      <x:c r="K1967" t="str">
        <x:v>PSE</x:v>
      </x:c>
      <x:c r="L1967" t="str">
        <x:v>Sin error</x:v>
      </x:c>
    </x:row>
    <x:row r="1968">
      <x:c r="A1968" t="str">
        <x:v>TXN-0001967</x:v>
      </x:c>
      <x:c r="B1968" t="str">
        <x:v>2026-08</x:v>
      </x:c>
      <x:c r="C1968" t="n">
        <x:v>46242</x:v>
      </x:c>
      <x:c r="D1968" t="str">
        <x:v>USR-00019</x:v>
      </x:c>
      <x:c r="E1968" t="str">
        <x:v>SUS-000158</x:v>
      </x:c>
      <x:c r="F1968" t="str">
        <x:v>Plus mensual</x:v>
      </x:c>
      <x:c r="G1968" t="str">
        <x:v>Mensual</x:v>
      </x:c>
      <x:c r="H1968" t="n">
        <x:v>1</x:v>
      </x:c>
      <x:c r="I1968" t="str">
        <x:v>Aprobado</x:v>
      </x:c>
      <x:c r="J1968" t="n">
        <x:v>29900</x:v>
      </x:c>
      <x:c r="K1968" t="str">
        <x:v>Tarjeta crédito</x:v>
      </x:c>
      <x:c r="L1968" t="str">
        <x:v>Sin error</x:v>
      </x:c>
    </x:row>
    <x:row r="1969">
      <x:c r="A1969" t="str">
        <x:v>TXN-0001968</x:v>
      </x:c>
      <x:c r="B1969" t="str">
        <x:v>2026-08</x:v>
      </x:c>
      <x:c r="C1969" t="n">
        <x:v>46242</x:v>
      </x:c>
      <x:c r="D1969" t="str">
        <x:v>USR-00029</x:v>
      </x:c>
      <x:c r="E1969" t="str">
        <x:v>SUS-001397</x:v>
      </x:c>
      <x:c r="F1969" t="str">
        <x:v>Plus mensual</x:v>
      </x:c>
      <x:c r="G1969" t="str">
        <x:v>Mensual</x:v>
      </x:c>
      <x:c r="H1969" t="n">
        <x:v>1</x:v>
      </x:c>
      <x:c r="I1969" t="str">
        <x:v>Aprobado</x:v>
      </x:c>
      <x:c r="J1969" t="n">
        <x:v>29900</x:v>
      </x:c>
      <x:c r="K1969" t="str">
        <x:v>Tarjeta crédito</x:v>
      </x:c>
      <x:c r="L1969" t="str">
        <x:v>Sin error</x:v>
      </x:c>
    </x:row>
    <x:row r="1970">
      <x:c r="A1970" t="str">
        <x:v>TXN-0001969</x:v>
      </x:c>
      <x:c r="B1970" t="str">
        <x:v>2026-08</x:v>
      </x:c>
      <x:c r="C1970" t="n">
        <x:v>46246</x:v>
      </x:c>
      <x:c r="D1970" t="str">
        <x:v>USR-00032</x:v>
      </x:c>
      <x:c r="E1970" t="str">
        <x:v>SUS-001398</x:v>
      </x:c>
      <x:c r="F1970" t="str">
        <x:v>Plus mensual</x:v>
      </x:c>
      <x:c r="G1970" t="str">
        <x:v>Mensual</x:v>
      </x:c>
      <x:c r="H1970" t="n">
        <x:v>1</x:v>
      </x:c>
      <x:c r="I1970" t="str">
        <x:v>Aprobado</x:v>
      </x:c>
      <x:c r="J1970" t="n">
        <x:v>29900</x:v>
      </x:c>
      <x:c r="K1970" t="str">
        <x:v>PSE</x:v>
      </x:c>
      <x:c r="L1970" t="str">
        <x:v>Sin error</x:v>
      </x:c>
    </x:row>
    <x:row r="1971">
      <x:c r="A1971" t="str">
        <x:v>TXN-0001970</x:v>
      </x:c>
      <x:c r="B1971" t="str">
        <x:v>2026-08</x:v>
      </x:c>
      <x:c r="C1971" t="n">
        <x:v>46245</x:v>
      </x:c>
      <x:c r="D1971" t="str">
        <x:v>USR-00034</x:v>
      </x:c>
      <x:c r="E1971" t="str">
        <x:v>SUS-000734</x:v>
      </x:c>
      <x:c r="F1971" t="str">
        <x:v>Plus mensual</x:v>
      </x:c>
      <x:c r="G1971" t="str">
        <x:v>Mensual</x:v>
      </x:c>
      <x:c r="H1971" t="n">
        <x:v>1</x:v>
      </x:c>
      <x:c r="I1971" t="str">
        <x:v>Aprobado</x:v>
      </x:c>
      <x:c r="J1971" t="n">
        <x:v>29900</x:v>
      </x:c>
      <x:c r="K1971" t="str">
        <x:v>Tarjeta débito</x:v>
      </x:c>
      <x:c r="L1971" t="str">
        <x:v>Sin error</x:v>
      </x:c>
    </x:row>
    <x:row r="1972">
      <x:c r="A1972" t="str">
        <x:v>TXN-0001971</x:v>
      </x:c>
      <x:c r="B1972" t="str">
        <x:v>2026-08</x:v>
      </x:c>
      <x:c r="C1972" t="n">
        <x:v>46239</x:v>
      </x:c>
      <x:c r="D1972" t="str">
        <x:v>USR-00035</x:v>
      </x:c>
      <x:c r="E1972" t="str">
        <x:v>SUS-000964</x:v>
      </x:c>
      <x:c r="F1972" t="str">
        <x:v>Plus mensual</x:v>
      </x:c>
      <x:c r="G1972" t="str">
        <x:v>Mensual</x:v>
      </x:c>
      <x:c r="H1972" t="n">
        <x:v>1</x:v>
      </x:c>
      <x:c r="I1972" t="str">
        <x:v>Aprobado</x:v>
      </x:c>
      <x:c r="J1972" t="n">
        <x:v>29900</x:v>
      </x:c>
      <x:c r="K1972" t="str">
        <x:v>PSE</x:v>
      </x:c>
      <x:c r="L1972" t="str">
        <x:v>Sin error</x:v>
      </x:c>
    </x:row>
    <x:row r="1973">
      <x:c r="A1973" t="str">
        <x:v>TXN-0001972</x:v>
      </x:c>
      <x:c r="B1973" t="str">
        <x:v>2026-08</x:v>
      </x:c>
      <x:c r="C1973" t="n">
        <x:v>46245</x:v>
      </x:c>
      <x:c r="D1973" t="str">
        <x:v>USR-00037</x:v>
      </x:c>
      <x:c r="E1973" t="str">
        <x:v>SUS-000457</x:v>
      </x:c>
      <x:c r="F1973" t="str">
        <x:v>Plus mensual</x:v>
      </x:c>
      <x:c r="G1973" t="str">
        <x:v>Mensual</x:v>
      </x:c>
      <x:c r="H1973" t="n">
        <x:v>1</x:v>
      </x:c>
      <x:c r="I1973" t="str">
        <x:v>Aprobado</x:v>
      </x:c>
      <x:c r="J1973" t="n">
        <x:v>29900</x:v>
      </x:c>
      <x:c r="K1973" t="str">
        <x:v>Tarjeta débito</x:v>
      </x:c>
      <x:c r="L1973" t="str">
        <x:v>Sin error</x:v>
      </x:c>
    </x:row>
    <x:row r="1974">
      <x:c r="A1974" t="str">
        <x:v>TXN-0001973</x:v>
      </x:c>
      <x:c r="B1974" t="str">
        <x:v>2026-08</x:v>
      </x:c>
      <x:c r="C1974" t="n">
        <x:v>46240</x:v>
      </x:c>
      <x:c r="D1974" t="str">
        <x:v>USR-00043</x:v>
      </x:c>
      <x:c r="E1974" t="str">
        <x:v>SUS-001555</x:v>
      </x:c>
      <x:c r="F1974" t="str">
        <x:v>Plus mensual</x:v>
      </x:c>
      <x:c r="G1974" t="str">
        <x:v>Mensual</x:v>
      </x:c>
      <x:c r="H1974" t="n">
        <x:v>1</x:v>
      </x:c>
      <x:c r="I1974" t="str">
        <x:v>Aprobado</x:v>
      </x:c>
      <x:c r="J1974" t="n">
        <x:v>29900</x:v>
      </x:c>
      <x:c r="K1974" t="str">
        <x:v>Tarjeta crédito</x:v>
      </x:c>
      <x:c r="L1974" t="str">
        <x:v>Sin error</x:v>
      </x:c>
    </x:row>
    <x:row r="1975">
      <x:c r="A1975" t="str">
        <x:v>TXN-0001974</x:v>
      </x:c>
      <x:c r="B1975" t="str">
        <x:v>2026-08</x:v>
      </x:c>
      <x:c r="C1975" t="n">
        <x:v>46246</x:v>
      </x:c>
      <x:c r="D1975" t="str">
        <x:v>USR-00055</x:v>
      </x:c>
      <x:c r="E1975" t="str">
        <x:v>SUS-001102</x:v>
      </x:c>
      <x:c r="F1975" t="str">
        <x:v>Plus mensual</x:v>
      </x:c>
      <x:c r="G1975" t="str">
        <x:v>Mensual</x:v>
      </x:c>
      <x:c r="H1975" t="n">
        <x:v>1</x:v>
      </x:c>
      <x:c r="I1975" t="str">
        <x:v>Aprobado</x:v>
      </x:c>
      <x:c r="J1975" t="n">
        <x:v>29900</x:v>
      </x:c>
      <x:c r="K1975" t="str">
        <x:v>Tarjeta crédito</x:v>
      </x:c>
      <x:c r="L1975" t="str">
        <x:v>Sin error</x:v>
      </x:c>
    </x:row>
    <x:row r="1976">
      <x:c r="A1976" t="str">
        <x:v>TXN-0001975</x:v>
      </x:c>
      <x:c r="B1976" t="str">
        <x:v>2026-08</x:v>
      </x:c>
      <x:c r="C1976" t="n">
        <x:v>46245</x:v>
      </x:c>
      <x:c r="D1976" t="str">
        <x:v>USR-00063</x:v>
      </x:c>
      <x:c r="E1976" t="str">
        <x:v>SUS-000268</x:v>
      </x:c>
      <x:c r="F1976" t="str">
        <x:v>Plus anual</x:v>
      </x:c>
      <x:c r="G1976" t="str">
        <x:v>Anual</x:v>
      </x:c>
      <x:c r="H1976" t="n">
        <x:v>1</x:v>
      </x:c>
      <x:c r="I1976" t="str">
        <x:v>Aprobado</x:v>
      </x:c>
      <x:c r="J1976" t="n">
        <x:v>299000</x:v>
      </x:c>
      <x:c r="K1976" t="str">
        <x:v>Tarjeta débito</x:v>
      </x:c>
      <x:c r="L1976" t="str">
        <x:v>Sin error</x:v>
      </x:c>
    </x:row>
    <x:row r="1977">
      <x:c r="A1977" t="str">
        <x:v>TXN-0001976</x:v>
      </x:c>
      <x:c r="B1977" t="str">
        <x:v>2026-08</x:v>
      </x:c>
      <x:c r="C1977" t="n">
        <x:v>46243</x:v>
      </x:c>
      <x:c r="D1977" t="str">
        <x:v>USR-00064</x:v>
      </x:c>
      <x:c r="E1977" t="str">
        <x:v>SUS-000333</x:v>
      </x:c>
      <x:c r="F1977" t="str">
        <x:v>Plus mensual</x:v>
      </x:c>
      <x:c r="G1977" t="str">
        <x:v>Mensual</x:v>
      </x:c>
      <x:c r="H1977" t="n">
        <x:v>1</x:v>
      </x:c>
      <x:c r="I1977" t="str">
        <x:v>Aprobado</x:v>
      </x:c>
      <x:c r="J1977" t="n">
        <x:v>29900</x:v>
      </x:c>
      <x:c r="K1977" t="str">
        <x:v>Tarjeta débito</x:v>
      </x:c>
      <x:c r="L1977" t="str">
        <x:v>Sin error</x:v>
      </x:c>
    </x:row>
    <x:row r="1978">
      <x:c r="A1978" t="str">
        <x:v>TXN-0001977</x:v>
      </x:c>
      <x:c r="B1978" t="str">
        <x:v>2026-08</x:v>
      </x:c>
      <x:c r="C1978" t="n">
        <x:v>46245</x:v>
      </x:c>
      <x:c r="D1978" t="str">
        <x:v>USR-00067</x:v>
      </x:c>
      <x:c r="E1978" t="str">
        <x:v>SUS-001104</x:v>
      </x:c>
      <x:c r="F1978" t="str">
        <x:v>Plus mensual</x:v>
      </x:c>
      <x:c r="G1978" t="str">
        <x:v>Mensual</x:v>
      </x:c>
      <x:c r="H1978" t="n">
        <x:v>1</x:v>
      </x:c>
      <x:c r="I1978" t="str">
        <x:v>Aprobado</x:v>
      </x:c>
      <x:c r="J1978" t="n">
        <x:v>29900</x:v>
      </x:c>
      <x:c r="K1978" t="str">
        <x:v>Tarjeta crédito</x:v>
      </x:c>
      <x:c r="L1978" t="str">
        <x:v>Sin error</x:v>
      </x:c>
    </x:row>
    <x:row r="1979">
      <x:c r="A1979" t="str">
        <x:v>TXN-0001978</x:v>
      </x:c>
      <x:c r="B1979" t="str">
        <x:v>2026-08</x:v>
      </x:c>
      <x:c r="C1979" t="n">
        <x:v>46244</x:v>
      </x:c>
      <x:c r="D1979" t="str">
        <x:v>USR-00070</x:v>
      </x:c>
      <x:c r="E1979" t="str">
        <x:v>SUS-001399</x:v>
      </x:c>
      <x:c r="F1979" t="str">
        <x:v>Plus mensual</x:v>
      </x:c>
      <x:c r="G1979" t="str">
        <x:v>Mensual</x:v>
      </x:c>
      <x:c r="H1979" t="n">
        <x:v>1</x:v>
      </x:c>
      <x:c r="I1979" t="str">
        <x:v>Aprobado</x:v>
      </x:c>
      <x:c r="J1979" t="n">
        <x:v>29900</x:v>
      </x:c>
      <x:c r="K1979" t="str">
        <x:v>Tarjeta crédito</x:v>
      </x:c>
      <x:c r="L1979" t="str">
        <x:v>Sin error</x:v>
      </x:c>
    </x:row>
    <x:row r="1980">
      <x:c r="A1980" t="str">
        <x:v>TXN-0001979</x:v>
      </x:c>
      <x:c r="B1980" t="str">
        <x:v>2026-08</x:v>
      </x:c>
      <x:c r="C1980" t="n">
        <x:v>46241</x:v>
      </x:c>
      <x:c r="D1980" t="str">
        <x:v>USR-00071</x:v>
      </x:c>
      <x:c r="E1980" t="str">
        <x:v>SUS-001261</x:v>
      </x:c>
      <x:c r="F1980" t="str">
        <x:v>Plus mensual</x:v>
      </x:c>
      <x:c r="G1980" t="str">
        <x:v>Mensual</x:v>
      </x:c>
      <x:c r="H1980" t="n">
        <x:v>1</x:v>
      </x:c>
      <x:c r="I1980" t="str">
        <x:v>Aprobado</x:v>
      </x:c>
      <x:c r="J1980" t="n">
        <x:v>29900</x:v>
      </x:c>
      <x:c r="K1980" t="str">
        <x:v>PSE</x:v>
      </x:c>
      <x:c r="L1980" t="str">
        <x:v>Sin error</x:v>
      </x:c>
    </x:row>
    <x:row r="1981">
      <x:c r="A1981" t="str">
        <x:v>TXN-0001980</x:v>
      </x:c>
      <x:c r="B1981" t="str">
        <x:v>2026-08</x:v>
      </x:c>
      <x:c r="C1981" t="n">
        <x:v>46241</x:v>
      </x:c>
      <x:c r="D1981" t="str">
        <x:v>USR-00073</x:v>
      </x:c>
      <x:c r="E1981" t="str">
        <x:v>SUS-001262</x:v>
      </x:c>
      <x:c r="F1981" t="str">
        <x:v>Plus mensual</x:v>
      </x:c>
      <x:c r="G1981" t="str">
        <x:v>Mensual</x:v>
      </x:c>
      <x:c r="H1981" t="n">
        <x:v>1</x:v>
      </x:c>
      <x:c r="I1981" t="str">
        <x:v>Aprobado</x:v>
      </x:c>
      <x:c r="J1981" t="n">
        <x:v>29900</x:v>
      </x:c>
      <x:c r="K1981" t="str">
        <x:v>PSE</x:v>
      </x:c>
      <x:c r="L1981" t="str">
        <x:v>Sin error</x:v>
      </x:c>
    </x:row>
    <x:row r="1982">
      <x:c r="A1982" t="str">
        <x:v>TXN-0001981</x:v>
      </x:c>
      <x:c r="B1982" t="str">
        <x:v>2026-08</x:v>
      </x:c>
      <x:c r="C1982" t="n">
        <x:v>46239</x:v>
      </x:c>
      <x:c r="D1982" t="str">
        <x:v>USR-00074</x:v>
      </x:c>
      <x:c r="E1982" t="str">
        <x:v>SUS-000270</x:v>
      </x:c>
      <x:c r="F1982" t="str">
        <x:v>Plus anual</x:v>
      </x:c>
      <x:c r="G1982" t="str">
        <x:v>Anual</x:v>
      </x:c>
      <x:c r="H1982" t="n">
        <x:v>1</x:v>
      </x:c>
      <x:c r="I1982" t="str">
        <x:v>Rechazado</x:v>
      </x:c>
      <x:c r="J1982" t="n">
        <x:v>299000</x:v>
      </x:c>
      <x:c r="K1982" t="str">
        <x:v>Tarjeta débito</x:v>
      </x:c>
      <x:c r="L1982" t="str">
        <x:v>Declinado por entidad</x:v>
      </x:c>
    </x:row>
    <x:row r="1983">
      <x:c r="A1983" t="str">
        <x:v>TXN-0001982</x:v>
      </x:c>
      <x:c r="B1983" t="str">
        <x:v>2026-08</x:v>
      </x:c>
      <x:c r="C1983" t="n">
        <x:v>46239</x:v>
      </x:c>
      <x:c r="D1983" t="str">
        <x:v>USR-00074</x:v>
      </x:c>
      <x:c r="E1983" t="str">
        <x:v>SUS-000270</x:v>
      </x:c>
      <x:c r="F1983" t="str">
        <x:v>Plus anual</x:v>
      </x:c>
      <x:c r="G1983" t="str">
        <x:v>Anual</x:v>
      </x:c>
      <x:c r="H1983" t="n">
        <x:v>2</x:v>
      </x:c>
      <x:c r="I1983" t="str">
        <x:v>Aprobado</x:v>
      </x:c>
      <x:c r="J1983" t="n">
        <x:v>299000</x:v>
      </x:c>
      <x:c r="K1983" t="str">
        <x:v>PSE</x:v>
      </x:c>
      <x:c r="L1983" t="str">
        <x:v>Sin error</x:v>
      </x:c>
    </x:row>
    <x:row r="1984">
      <x:c r="A1984" t="str">
        <x:v>TXN-0001983</x:v>
      </x:c>
      <x:c r="B1984" t="str">
        <x:v>2026-08</x:v>
      </x:c>
      <x:c r="C1984" t="n">
        <x:v>46242</x:v>
      </x:c>
      <x:c r="D1984" t="str">
        <x:v>USR-00076</x:v>
      </x:c>
      <x:c r="E1984" t="str">
        <x:v>SUS-000966</x:v>
      </x:c>
      <x:c r="F1984" t="str">
        <x:v>Plus mensual</x:v>
      </x:c>
      <x:c r="G1984" t="str">
        <x:v>Mensual</x:v>
      </x:c>
      <x:c r="H1984" t="n">
        <x:v>1</x:v>
      </x:c>
      <x:c r="I1984" t="str">
        <x:v>Aprobado</x:v>
      </x:c>
      <x:c r="J1984" t="n">
        <x:v>29900</x:v>
      </x:c>
      <x:c r="K1984" t="str">
        <x:v>Tarjeta crédito</x:v>
      </x:c>
      <x:c r="L1984" t="str">
        <x:v>Sin error</x:v>
      </x:c>
    </x:row>
    <x:row r="1985">
      <x:c r="A1985" t="str">
        <x:v>TXN-0001984</x:v>
      </x:c>
      <x:c r="B1985" t="str">
        <x:v>2026-08</x:v>
      </x:c>
      <x:c r="C1985" t="n">
        <x:v>46241</x:v>
      </x:c>
      <x:c r="D1985" t="str">
        <x:v>USR-00078</x:v>
      </x:c>
      <x:c r="E1985" t="str">
        <x:v>SUS-000083</x:v>
      </x:c>
      <x:c r="F1985" t="str">
        <x:v>Plus mensual</x:v>
      </x:c>
      <x:c r="G1985" t="str">
        <x:v>Mensual</x:v>
      </x:c>
      <x:c r="H1985" t="n">
        <x:v>1</x:v>
      </x:c>
      <x:c r="I1985" t="str">
        <x:v>Aprobado</x:v>
      </x:c>
      <x:c r="J1985" t="n">
        <x:v>29900</x:v>
      </x:c>
      <x:c r="K1985" t="str">
        <x:v>PSE</x:v>
      </x:c>
      <x:c r="L1985" t="str">
        <x:v>Sin error</x:v>
      </x:c>
    </x:row>
    <x:row r="1986">
      <x:c r="A1986" t="str">
        <x:v>TXN-0001985</x:v>
      </x:c>
      <x:c r="B1986" t="str">
        <x:v>2026-08</x:v>
      </x:c>
      <x:c r="C1986" t="n">
        <x:v>46246</x:v>
      </x:c>
      <x:c r="D1986" t="str">
        <x:v>USR-00079</x:v>
      </x:c>
      <x:c r="E1986" t="str">
        <x:v>SUS-000336</x:v>
      </x:c>
      <x:c r="F1986" t="str">
        <x:v>Plus mensual</x:v>
      </x:c>
      <x:c r="G1986" t="str">
        <x:v>Mensual</x:v>
      </x:c>
      <x:c r="H1986" t="n">
        <x:v>1</x:v>
      </x:c>
      <x:c r="I1986" t="str">
        <x:v>Aprobado</x:v>
      </x:c>
      <x:c r="J1986" t="n">
        <x:v>29900</x:v>
      </x:c>
      <x:c r="K1986" t="str">
        <x:v>Tarjeta crédito</x:v>
      </x:c>
      <x:c r="L1986" t="str">
        <x:v>Sin error</x:v>
      </x:c>
    </x:row>
    <x:row r="1987">
      <x:c r="A1987" t="str">
        <x:v>TXN-0001986</x:v>
      </x:c>
      <x:c r="B1987" t="str">
        <x:v>2026-08</x:v>
      </x:c>
      <x:c r="C1987" t="n">
        <x:v>46239</x:v>
      </x:c>
      <x:c r="D1987" t="str">
        <x:v>USR-00087</x:v>
      </x:c>
      <x:c r="E1987" t="str">
        <x:v>SUS-001400</x:v>
      </x:c>
      <x:c r="F1987" t="str">
        <x:v>Plus mensual</x:v>
      </x:c>
      <x:c r="G1987" t="str">
        <x:v>Mensual</x:v>
      </x:c>
      <x:c r="H1987" t="n">
        <x:v>1</x:v>
      </x:c>
      <x:c r="I1987" t="str">
        <x:v>Aprobado</x:v>
      </x:c>
      <x:c r="J1987" t="n">
        <x:v>29900</x:v>
      </x:c>
      <x:c r="K1987" t="str">
        <x:v>Tarjeta débito</x:v>
      </x:c>
      <x:c r="L1987" t="str">
        <x:v>Sin error</x:v>
      </x:c>
    </x:row>
    <x:row r="1988">
      <x:c r="A1988" t="str">
        <x:v>TXN-0001987</x:v>
      </x:c>
      <x:c r="B1988" t="str">
        <x:v>2026-08</x:v>
      </x:c>
      <x:c r="C1988" t="n">
        <x:v>46240</x:v>
      </x:c>
      <x:c r="D1988" t="str">
        <x:v>USR-00091</x:v>
      </x:c>
      <x:c r="E1988" t="str">
        <x:v>SUS-000736</x:v>
      </x:c>
      <x:c r="F1988" t="str">
        <x:v>Plus mensual</x:v>
      </x:c>
      <x:c r="G1988" t="str">
        <x:v>Mensual</x:v>
      </x:c>
      <x:c r="H1988" t="n">
        <x:v>1</x:v>
      </x:c>
      <x:c r="I1988" t="str">
        <x:v>Aprobado</x:v>
      </x:c>
      <x:c r="J1988" t="n">
        <x:v>29900</x:v>
      </x:c>
      <x:c r="K1988" t="str">
        <x:v>Tarjeta débito</x:v>
      </x:c>
      <x:c r="L1988" t="str">
        <x:v>Sin error</x:v>
      </x:c>
    </x:row>
    <x:row r="1989">
      <x:c r="A1989" t="str">
        <x:v>TXN-0001988</x:v>
      </x:c>
      <x:c r="B1989" t="str">
        <x:v>2026-08</x:v>
      </x:c>
      <x:c r="C1989" t="n">
        <x:v>46243</x:v>
      </x:c>
      <x:c r="D1989" t="str">
        <x:v>USR-00096</x:v>
      </x:c>
      <x:c r="E1989" t="str">
        <x:v>SUS-000273</x:v>
      </x:c>
      <x:c r="F1989" t="str">
        <x:v>Plus mensual</x:v>
      </x:c>
      <x:c r="G1989" t="str">
        <x:v>Mensual</x:v>
      </x:c>
      <x:c r="H1989" t="n">
        <x:v>1</x:v>
      </x:c>
      <x:c r="I1989" t="str">
        <x:v>Aprobado</x:v>
      </x:c>
      <x:c r="J1989" t="n">
        <x:v>29900</x:v>
      </x:c>
      <x:c r="K1989" t="str">
        <x:v>PSE</x:v>
      </x:c>
      <x:c r="L1989" t="str">
        <x:v>Sin error</x:v>
      </x:c>
    </x:row>
    <x:row r="1990">
      <x:c r="A1990" t="str">
        <x:v>TXN-0001989</x:v>
      </x:c>
      <x:c r="B1990" t="str">
        <x:v>2026-08</x:v>
      </x:c>
      <x:c r="C1990" t="n">
        <x:v>46245</x:v>
      </x:c>
      <x:c r="D1990" t="str">
        <x:v>USR-00097</x:v>
      </x:c>
      <x:c r="E1990" t="str">
        <x:v>SUS-001556</x:v>
      </x:c>
      <x:c r="F1990" t="str">
        <x:v>Plus anual</x:v>
      </x:c>
      <x:c r="G1990" t="str">
        <x:v>Anual</x:v>
      </x:c>
      <x:c r="H1990" t="n">
        <x:v>1</x:v>
      </x:c>
      <x:c r="I1990" t="str">
        <x:v>Aprobado</x:v>
      </x:c>
      <x:c r="J1990" t="n">
        <x:v>299000</x:v>
      </x:c>
      <x:c r="K1990" t="str">
        <x:v>Tarjeta débito</x:v>
      </x:c>
      <x:c r="L1990" t="str">
        <x:v>Sin error</x:v>
      </x:c>
    </x:row>
    <x:row r="1991">
      <x:c r="A1991" t="str">
        <x:v>TXN-0001990</x:v>
      </x:c>
      <x:c r="B1991" t="str">
        <x:v>2026-08</x:v>
      </x:c>
      <x:c r="C1991" t="n">
        <x:v>46241</x:v>
      </x:c>
      <x:c r="D1991" t="str">
        <x:v>USR-00098</x:v>
      </x:c>
      <x:c r="E1991" t="str">
        <x:v>SUS-001401</x:v>
      </x:c>
      <x:c r="F1991" t="str">
        <x:v>Plus mensual</x:v>
      </x:c>
      <x:c r="G1991" t="str">
        <x:v>Mensual</x:v>
      </x:c>
      <x:c r="H1991" t="n">
        <x:v>1</x:v>
      </x:c>
      <x:c r="I1991" t="str">
        <x:v>Aprobado</x:v>
      </x:c>
      <x:c r="J1991" t="n">
        <x:v>29900</x:v>
      </x:c>
      <x:c r="K1991" t="str">
        <x:v>Tarjeta débito</x:v>
      </x:c>
      <x:c r="L1991" t="str">
        <x:v>Sin error</x:v>
      </x:c>
    </x:row>
    <x:row r="1992">
      <x:c r="A1992" t="str">
        <x:v>TXN-0001991</x:v>
      </x:c>
      <x:c r="B1992" t="str">
        <x:v>2026-08</x:v>
      </x:c>
      <x:c r="C1992" t="n">
        <x:v>46246</x:v>
      </x:c>
      <x:c r="D1992" t="str">
        <x:v>USR-00099</x:v>
      </x:c>
      <x:c r="E1992" t="str">
        <x:v>SUS-000337</x:v>
      </x:c>
      <x:c r="F1992" t="str">
        <x:v>Plus mensual</x:v>
      </x:c>
      <x:c r="G1992" t="str">
        <x:v>Mensual</x:v>
      </x:c>
      <x:c r="H1992" t="n">
        <x:v>1</x:v>
      </x:c>
      <x:c r="I1992" t="str">
        <x:v>Rechazado</x:v>
      </x:c>
      <x:c r="J1992" t="n">
        <x:v>29900</x:v>
      </x:c>
      <x:c r="K1992" t="str">
        <x:v>PSE</x:v>
      </x:c>
      <x:c r="L1992" t="str">
        <x:v>Error temporal</x:v>
      </x:c>
    </x:row>
    <x:row r="1993">
      <x:c r="A1993" t="str">
        <x:v>TXN-0001992</x:v>
      </x:c>
      <x:c r="B1993" t="str">
        <x:v>2026-08</x:v>
      </x:c>
      <x:c r="C1993" t="n">
        <x:v>46243</x:v>
      </x:c>
      <x:c r="D1993" t="str">
        <x:v>USR-00099</x:v>
      </x:c>
      <x:c r="E1993" t="str">
        <x:v>SUS-000337</x:v>
      </x:c>
      <x:c r="F1993" t="str">
        <x:v>Plus mensual</x:v>
      </x:c>
      <x:c r="G1993" t="str">
        <x:v>Mensual</x:v>
      </x:c>
      <x:c r="H1993" t="n">
        <x:v>2</x:v>
      </x:c>
      <x:c r="I1993" t="str">
        <x:v>Aprobado</x:v>
      </x:c>
      <x:c r="J1993" t="n">
        <x:v>29900</x:v>
      </x:c>
      <x:c r="K1993" t="str">
        <x:v>Tarjeta crédito</x:v>
      </x:c>
      <x:c r="L1993" t="str">
        <x:v>Sin error</x:v>
      </x:c>
    </x:row>
    <x:row r="1994">
      <x:c r="A1994" t="str">
        <x:v>TXN-0001993</x:v>
      </x:c>
      <x:c r="B1994" t="str">
        <x:v>2026-08</x:v>
      </x:c>
      <x:c r="C1994" t="n">
        <x:v>46242</x:v>
      </x:c>
      <x:c r="D1994" t="str">
        <x:v>USR-00102</x:v>
      </x:c>
      <x:c r="E1994" t="str">
        <x:v>SUS-000842</x:v>
      </x:c>
      <x:c r="F1994" t="str">
        <x:v>Plus mensual</x:v>
      </x:c>
      <x:c r="G1994" t="str">
        <x:v>Mensual</x:v>
      </x:c>
      <x:c r="H1994" t="n">
        <x:v>1</x:v>
      </x:c>
      <x:c r="I1994" t="str">
        <x:v>Aprobado</x:v>
      </x:c>
      <x:c r="J1994" t="n">
        <x:v>29900</x:v>
      </x:c>
      <x:c r="K1994" t="str">
        <x:v>PSE</x:v>
      </x:c>
      <x:c r="L1994" t="str">
        <x:v>Sin error</x:v>
      </x:c>
    </x:row>
    <x:row r="1995">
      <x:c r="A1995" t="str">
        <x:v>TXN-0001994</x:v>
      </x:c>
      <x:c r="B1995" t="str">
        <x:v>2026-08</x:v>
      </x:c>
      <x:c r="C1995" t="n">
        <x:v>46243</x:v>
      </x:c>
      <x:c r="D1995" t="str">
        <x:v>USR-00104</x:v>
      </x:c>
      <x:c r="E1995" t="str">
        <x:v>SUS-001402</x:v>
      </x:c>
      <x:c r="F1995" t="str">
        <x:v>Plus mensual</x:v>
      </x:c>
      <x:c r="G1995" t="str">
        <x:v>Mensual</x:v>
      </x:c>
      <x:c r="H1995" t="n">
        <x:v>1</x:v>
      </x:c>
      <x:c r="I1995" t="str">
        <x:v>Aprobado</x:v>
      </x:c>
      <x:c r="J1995" t="n">
        <x:v>29900</x:v>
      </x:c>
      <x:c r="K1995" t="str">
        <x:v>Tarjeta crédito</x:v>
      </x:c>
      <x:c r="L1995" t="str">
        <x:v>Sin error</x:v>
      </x:c>
    </x:row>
    <x:row r="1996">
      <x:c r="A1996" t="str">
        <x:v>TXN-0001995</x:v>
      </x:c>
      <x:c r="B1996" t="str">
        <x:v>2026-08</x:v>
      </x:c>
      <x:c r="C1996" t="n">
        <x:v>46240</x:v>
      </x:c>
      <x:c r="D1996" t="str">
        <x:v>USR-00106</x:v>
      </x:c>
      <x:c r="E1996" t="str">
        <x:v>SUS-001557</x:v>
      </x:c>
      <x:c r="F1996" t="str">
        <x:v>Plus anual</x:v>
      </x:c>
      <x:c r="G1996" t="str">
        <x:v>Anual</x:v>
      </x:c>
      <x:c r="H1996" t="n">
        <x:v>1</x:v>
      </x:c>
      <x:c r="I1996" t="str">
        <x:v>Aprobado</x:v>
      </x:c>
      <x:c r="J1996" t="n">
        <x:v>299000</x:v>
      </x:c>
      <x:c r="K1996" t="str">
        <x:v>PSE</x:v>
      </x:c>
      <x:c r="L1996" t="str">
        <x:v>Sin error</x:v>
      </x:c>
    </x:row>
    <x:row r="1997">
      <x:c r="A1997" t="str">
        <x:v>TXN-0001996</x:v>
      </x:c>
      <x:c r="B1997" t="str">
        <x:v>2026-08</x:v>
      </x:c>
      <x:c r="C1997" t="n">
        <x:v>46245</x:v>
      </x:c>
      <x:c r="D1997" t="str">
        <x:v>USR-00118</x:v>
      </x:c>
      <x:c r="E1997" t="str">
        <x:v>SUS-001404</x:v>
      </x:c>
      <x:c r="F1997" t="str">
        <x:v>Plus mensual</x:v>
      </x:c>
      <x:c r="G1997" t="str">
        <x:v>Mensual</x:v>
      </x:c>
      <x:c r="H1997" t="n">
        <x:v>1</x:v>
      </x:c>
      <x:c r="I1997" t="str">
        <x:v>Aprobado</x:v>
      </x:c>
      <x:c r="J1997" t="n">
        <x:v>29900</x:v>
      </x:c>
      <x:c r="K1997" t="str">
        <x:v>Tarjeta débito</x:v>
      </x:c>
      <x:c r="L1997" t="str">
        <x:v>Sin error</x:v>
      </x:c>
    </x:row>
    <x:row r="1998">
      <x:c r="A1998" t="str">
        <x:v>TXN-0001997</x:v>
      </x:c>
      <x:c r="B1998" t="str">
        <x:v>2026-08</x:v>
      </x:c>
      <x:c r="C1998" t="n">
        <x:v>46243</x:v>
      </x:c>
      <x:c r="D1998" t="str">
        <x:v>USR-00122</x:v>
      </x:c>
      <x:c r="E1998" t="str">
        <x:v>SUS-000843</x:v>
      </x:c>
      <x:c r="F1998" t="str">
        <x:v>Plus mensual</x:v>
      </x:c>
      <x:c r="G1998" t="str">
        <x:v>Mensual</x:v>
      </x:c>
      <x:c r="H1998" t="n">
        <x:v>1</x:v>
      </x:c>
      <x:c r="I1998" t="str">
        <x:v>Aprobado</x:v>
      </x:c>
      <x:c r="J1998" t="n">
        <x:v>29900</x:v>
      </x:c>
      <x:c r="K1998" t="str">
        <x:v>Tarjeta débito</x:v>
      </x:c>
      <x:c r="L1998" t="str">
        <x:v>Sin error</x:v>
      </x:c>
    </x:row>
    <x:row r="1999">
      <x:c r="A1999" t="str">
        <x:v>TXN-0001998</x:v>
      </x:c>
      <x:c r="B1999" t="str">
        <x:v>2026-08</x:v>
      </x:c>
      <x:c r="C1999" t="n">
        <x:v>46242</x:v>
      </x:c>
      <x:c r="D1999" t="str">
        <x:v>USR-00136</x:v>
      </x:c>
      <x:c r="E1999" t="str">
        <x:v>SUS-001263</x:v>
      </x:c>
      <x:c r="F1999" t="str">
        <x:v>Plus mensual</x:v>
      </x:c>
      <x:c r="G1999" t="str">
        <x:v>Mensual</x:v>
      </x:c>
      <x:c r="H1999" t="n">
        <x:v>1</x:v>
      </x:c>
      <x:c r="I1999" t="str">
        <x:v>Aprobado</x:v>
      </x:c>
      <x:c r="J1999" t="n">
        <x:v>29900</x:v>
      </x:c>
      <x:c r="K1999" t="str">
        <x:v>PSE</x:v>
      </x:c>
      <x:c r="L1999" t="str">
        <x:v>Sin error</x:v>
      </x:c>
    </x:row>
    <x:row r="2000">
      <x:c r="A2000" t="str">
        <x:v>TXN-0001999</x:v>
      </x:c>
      <x:c r="B2000" t="str">
        <x:v>2026-08</x:v>
      </x:c>
      <x:c r="C2000" t="n">
        <x:v>46245</x:v>
      </x:c>
      <x:c r="D2000" t="str">
        <x:v>USR-00137</x:v>
      </x:c>
      <x:c r="E2000" t="str">
        <x:v>SUS-000275</x:v>
      </x:c>
      <x:c r="F2000" t="str">
        <x:v>Plus anual</x:v>
      </x:c>
      <x:c r="G2000" t="str">
        <x:v>Anual</x:v>
      </x:c>
      <x:c r="H2000" t="n">
        <x:v>1</x:v>
      </x:c>
      <x:c r="I2000" t="str">
        <x:v>Aprobado</x:v>
      </x:c>
      <x:c r="J2000" t="n">
        <x:v>299000</x:v>
      </x:c>
      <x:c r="K2000" t="str">
        <x:v>PSE</x:v>
      </x:c>
      <x:c r="L2000" t="str">
        <x:v>Sin error</x:v>
      </x:c>
    </x:row>
    <x:row r="2001">
      <x:c r="A2001" t="str">
        <x:v>TXN-0002000</x:v>
      </x:c>
      <x:c r="B2001" t="str">
        <x:v>2026-08</x:v>
      </x:c>
      <x:c r="C2001" t="n">
        <x:v>46244</x:v>
      </x:c>
      <x:c r="D2001" t="str">
        <x:v>USR-00139</x:v>
      </x:c>
      <x:c r="E2001" t="str">
        <x:v>SUS-001406</x:v>
      </x:c>
      <x:c r="F2001" t="str">
        <x:v>Plus mensual</x:v>
      </x:c>
      <x:c r="G2001" t="str">
        <x:v>Mensual</x:v>
      </x:c>
      <x:c r="H2001" t="n">
        <x:v>1</x:v>
      </x:c>
      <x:c r="I2001" t="str">
        <x:v>Aprobado</x:v>
      </x:c>
      <x:c r="J2001" t="n">
        <x:v>29900</x:v>
      </x:c>
      <x:c r="K2001" t="str">
        <x:v>Tarjeta crédito</x:v>
      </x:c>
      <x:c r="L2001" t="str">
        <x:v>Sin error</x:v>
      </x:c>
    </x:row>
    <x:row r="2002">
      <x:c r="A2002" t="str">
        <x:v>TXN-0002001</x:v>
      </x:c>
      <x:c r="B2002" t="str">
        <x:v>2026-08</x:v>
      </x:c>
      <x:c r="C2002" t="n">
        <x:v>46246</x:v>
      </x:c>
      <x:c r="D2002" t="str">
        <x:v>USR-00142</x:v>
      </x:c>
      <x:c r="E2002" t="str">
        <x:v>SUS-001407</x:v>
      </x:c>
      <x:c r="F2002" t="str">
        <x:v>Plus mensual</x:v>
      </x:c>
      <x:c r="G2002" t="str">
        <x:v>Mensual</x:v>
      </x:c>
      <x:c r="H2002" t="n">
        <x:v>1</x:v>
      </x:c>
      <x:c r="I2002" t="str">
        <x:v>Aprobado</x:v>
      </x:c>
      <x:c r="J2002" t="n">
        <x:v>29900</x:v>
      </x:c>
      <x:c r="K2002" t="str">
        <x:v>Tarjeta débito</x:v>
      </x:c>
      <x:c r="L2002" t="str">
        <x:v>Sin error</x:v>
      </x:c>
    </x:row>
    <x:row r="2003">
      <x:c r="A2003" t="str">
        <x:v>TXN-0002002</x:v>
      </x:c>
      <x:c r="B2003" t="str">
        <x:v>2026-08</x:v>
      </x:c>
      <x:c r="C2003" t="n">
        <x:v>46245</x:v>
      </x:c>
      <x:c r="D2003" t="str">
        <x:v>USR-00143</x:v>
      </x:c>
      <x:c r="E2003" t="str">
        <x:v>SUS-001559</x:v>
      </x:c>
      <x:c r="F2003" t="str">
        <x:v>Plus anual</x:v>
      </x:c>
      <x:c r="G2003" t="str">
        <x:v>Anual</x:v>
      </x:c>
      <x:c r="H2003" t="n">
        <x:v>1</x:v>
      </x:c>
      <x:c r="I2003" t="str">
        <x:v>Aprobado</x:v>
      </x:c>
      <x:c r="J2003" t="n">
        <x:v>299000</x:v>
      </x:c>
      <x:c r="K2003" t="str">
        <x:v>PSE</x:v>
      </x:c>
      <x:c r="L2003" t="str">
        <x:v>Sin error</x:v>
      </x:c>
    </x:row>
    <x:row r="2004">
      <x:c r="A2004" t="str">
        <x:v>TXN-0002003</x:v>
      </x:c>
      <x:c r="B2004" t="str">
        <x:v>2026-08</x:v>
      </x:c>
      <x:c r="C2004" t="n">
        <x:v>46245</x:v>
      </x:c>
      <x:c r="D2004" t="str">
        <x:v>USR-00145</x:v>
      </x:c>
      <x:c r="E2004" t="str">
        <x:v>SUS-000168</x:v>
      </x:c>
      <x:c r="F2004" t="str">
        <x:v>Plus mensual</x:v>
      </x:c>
      <x:c r="G2004" t="str">
        <x:v>Mensual</x:v>
      </x:c>
      <x:c r="H2004" t="n">
        <x:v>1</x:v>
      </x:c>
      <x:c r="I2004" t="str">
        <x:v>Aprobado</x:v>
      </x:c>
      <x:c r="J2004" t="n">
        <x:v>29900</x:v>
      </x:c>
      <x:c r="K2004" t="str">
        <x:v>PSE</x:v>
      </x:c>
      <x:c r="L2004" t="str">
        <x:v>Sin error</x:v>
      </x:c>
    </x:row>
    <x:row r="2005">
      <x:c r="A2005" t="str">
        <x:v>TXN-0002004</x:v>
      </x:c>
      <x:c r="B2005" t="str">
        <x:v>2026-08</x:v>
      </x:c>
      <x:c r="C2005" t="n">
        <x:v>46244</x:v>
      </x:c>
      <x:c r="D2005" t="str">
        <x:v>USR-00151</x:v>
      </x:c>
      <x:c r="E2005" t="str">
        <x:v>SUS-001264</x:v>
      </x:c>
      <x:c r="F2005" t="str">
        <x:v>Plus mensual</x:v>
      </x:c>
      <x:c r="G2005" t="str">
        <x:v>Mensual</x:v>
      </x:c>
      <x:c r="H2005" t="n">
        <x:v>1</x:v>
      </x:c>
      <x:c r="I2005" t="str">
        <x:v>Aprobado</x:v>
      </x:c>
      <x:c r="J2005" t="n">
        <x:v>29900</x:v>
      </x:c>
      <x:c r="K2005" t="str">
        <x:v>PSE</x:v>
      </x:c>
      <x:c r="L2005" t="str">
        <x:v>Sin error</x:v>
      </x:c>
    </x:row>
    <x:row r="2006">
      <x:c r="A2006" t="str">
        <x:v>TXN-0002005</x:v>
      </x:c>
      <x:c r="B2006" t="str">
        <x:v>2026-08</x:v>
      </x:c>
      <x:c r="C2006" t="n">
        <x:v>46239</x:v>
      </x:c>
      <x:c r="D2006" t="str">
        <x:v>USR-00154</x:v>
      </x:c>
      <x:c r="E2006" t="str">
        <x:v>SUS-001560</x:v>
      </x:c>
      <x:c r="F2006" t="str">
        <x:v>Plus anual</x:v>
      </x:c>
      <x:c r="G2006" t="str">
        <x:v>Anual</x:v>
      </x:c>
      <x:c r="H2006" t="n">
        <x:v>1</x:v>
      </x:c>
      <x:c r="I2006" t="str">
        <x:v>Aprobado</x:v>
      </x:c>
      <x:c r="J2006" t="n">
        <x:v>299000</x:v>
      </x:c>
      <x:c r="K2006" t="str">
        <x:v>Tarjeta crédito</x:v>
      </x:c>
      <x:c r="L2006" t="str">
        <x:v>Sin error</x:v>
      </x:c>
    </x:row>
    <x:row r="2007">
      <x:c r="A2007" t="str">
        <x:v>TXN-0002006</x:v>
      </x:c>
      <x:c r="B2007" t="str">
        <x:v>2026-08</x:v>
      </x:c>
      <x:c r="C2007" t="n">
        <x:v>46241</x:v>
      </x:c>
      <x:c r="D2007" t="str">
        <x:v>USR-00160</x:v>
      </x:c>
      <x:c r="E2007" t="str">
        <x:v>SUS-000279</x:v>
      </x:c>
      <x:c r="F2007" t="str">
        <x:v>Plus anual</x:v>
      </x:c>
      <x:c r="G2007" t="str">
        <x:v>Anual</x:v>
      </x:c>
      <x:c r="H2007" t="n">
        <x:v>1</x:v>
      </x:c>
      <x:c r="I2007" t="str">
        <x:v>Aprobado</x:v>
      </x:c>
      <x:c r="J2007" t="n">
        <x:v>299000</x:v>
      </x:c>
      <x:c r="K2007" t="str">
        <x:v>PSE</x:v>
      </x:c>
      <x:c r="L2007" t="str">
        <x:v>Sin error</x:v>
      </x:c>
    </x:row>
    <x:row r="2008">
      <x:c r="A2008" t="str">
        <x:v>TXN-0002007</x:v>
      </x:c>
      <x:c r="B2008" t="str">
        <x:v>2026-08</x:v>
      </x:c>
      <x:c r="C2008" t="n">
        <x:v>46245</x:v>
      </x:c>
      <x:c r="D2008" t="str">
        <x:v>USR-00161</x:v>
      </x:c>
      <x:c r="E2008" t="str">
        <x:v>SUS-001561</x:v>
      </x:c>
      <x:c r="F2008" t="str">
        <x:v>Plus mensual</x:v>
      </x:c>
      <x:c r="G2008" t="str">
        <x:v>Mensual</x:v>
      </x:c>
      <x:c r="H2008" t="n">
        <x:v>1</x:v>
      </x:c>
      <x:c r="I2008" t="str">
        <x:v>Aprobado</x:v>
      </x:c>
      <x:c r="J2008" t="n">
        <x:v>29900</x:v>
      </x:c>
      <x:c r="K2008" t="str">
        <x:v>Tarjeta débito</x:v>
      </x:c>
      <x:c r="L2008" t="str">
        <x:v>Sin error</x:v>
      </x:c>
    </x:row>
    <x:row r="2009">
      <x:c r="A2009" t="str">
        <x:v>TXN-0002008</x:v>
      </x:c>
      <x:c r="B2009" t="str">
        <x:v>2026-08</x:v>
      </x:c>
      <x:c r="C2009" t="n">
        <x:v>46245</x:v>
      </x:c>
      <x:c r="D2009" t="str">
        <x:v>USR-00162</x:v>
      </x:c>
      <x:c r="E2009" t="str">
        <x:v>SUS-000225</x:v>
      </x:c>
      <x:c r="F2009" t="str">
        <x:v>Plus mensual</x:v>
      </x:c>
      <x:c r="G2009" t="str">
        <x:v>Mensual</x:v>
      </x:c>
      <x:c r="H2009" t="n">
        <x:v>1</x:v>
      </x:c>
      <x:c r="I2009" t="str">
        <x:v>Aprobado</x:v>
      </x:c>
      <x:c r="J2009" t="n">
        <x:v>29900</x:v>
      </x:c>
      <x:c r="K2009" t="str">
        <x:v>PSE</x:v>
      </x:c>
      <x:c r="L2009" t="str">
        <x:v>Sin error</x:v>
      </x:c>
    </x:row>
    <x:row r="2010">
      <x:c r="A2010" t="str">
        <x:v>TXN-0002009</x:v>
      </x:c>
      <x:c r="B2010" t="str">
        <x:v>2026-08</x:v>
      </x:c>
      <x:c r="C2010" t="n">
        <x:v>46246</x:v>
      </x:c>
      <x:c r="D2010" t="str">
        <x:v>USR-00164</x:v>
      </x:c>
      <x:c r="E2010" t="str">
        <x:v>SUS-000534</x:v>
      </x:c>
      <x:c r="F2010" t="str">
        <x:v>Plus mensual</x:v>
      </x:c>
      <x:c r="G2010" t="str">
        <x:v>Mensual</x:v>
      </x:c>
      <x:c r="H2010" t="n">
        <x:v>1</x:v>
      </x:c>
      <x:c r="I2010" t="str">
        <x:v>Aprobado</x:v>
      </x:c>
      <x:c r="J2010" t="n">
        <x:v>29900</x:v>
      </x:c>
      <x:c r="K2010" t="str">
        <x:v>Tarjeta débito</x:v>
      </x:c>
      <x:c r="L2010" t="str">
        <x:v>Sin error</x:v>
      </x:c>
    </x:row>
    <x:row r="2011">
      <x:c r="A2011" t="str">
        <x:v>TXN-0002010</x:v>
      </x:c>
      <x:c r="B2011" t="str">
        <x:v>2026-08</x:v>
      </x:c>
      <x:c r="C2011" t="n">
        <x:v>46244</x:v>
      </x:c>
      <x:c r="D2011" t="str">
        <x:v>USR-00167</x:v>
      </x:c>
      <x:c r="E2011" t="str">
        <x:v>SUS-000226</x:v>
      </x:c>
      <x:c r="F2011" t="str">
        <x:v>Plus mensual</x:v>
      </x:c>
      <x:c r="G2011" t="str">
        <x:v>Mensual</x:v>
      </x:c>
      <x:c r="H2011" t="n">
        <x:v>1</x:v>
      </x:c>
      <x:c r="I2011" t="str">
        <x:v>Aprobado</x:v>
      </x:c>
      <x:c r="J2011" t="n">
        <x:v>29900</x:v>
      </x:c>
      <x:c r="K2011" t="str">
        <x:v>Tarjeta débito</x:v>
      </x:c>
      <x:c r="L2011" t="str">
        <x:v>Sin error</x:v>
      </x:c>
    </x:row>
    <x:row r="2012">
      <x:c r="A2012" t="str">
        <x:v>TXN-0002011</x:v>
      </x:c>
      <x:c r="B2012" t="str">
        <x:v>2026-08</x:v>
      </x:c>
      <x:c r="C2012" t="n">
        <x:v>46243</x:v>
      </x:c>
      <x:c r="D2012" t="str">
        <x:v>USR-00174</x:v>
      </x:c>
      <x:c r="E2012" t="str">
        <x:v>SUS-001265</x:v>
      </x:c>
      <x:c r="F2012" t="str">
        <x:v>Plus mensual</x:v>
      </x:c>
      <x:c r="G2012" t="str">
        <x:v>Mensual</x:v>
      </x:c>
      <x:c r="H2012" t="n">
        <x:v>1</x:v>
      </x:c>
      <x:c r="I2012" t="str">
        <x:v>Rechazado</x:v>
      </x:c>
      <x:c r="J2012" t="n">
        <x:v>29900</x:v>
      </x:c>
      <x:c r="K2012" t="str">
        <x:v>PSE</x:v>
      </x:c>
      <x:c r="L2012" t="str">
        <x:v>Fondos insuficientes</x:v>
      </x:c>
    </x:row>
    <x:row r="2013">
      <x:c r="A2013" t="str">
        <x:v>TXN-0002012</x:v>
      </x:c>
      <x:c r="B2013" t="str">
        <x:v>2026-08</x:v>
      </x:c>
      <x:c r="C2013" t="n">
        <x:v>46244</x:v>
      </x:c>
      <x:c r="D2013" t="str">
        <x:v>USR-00174</x:v>
      </x:c>
      <x:c r="E2013" t="str">
        <x:v>SUS-001265</x:v>
      </x:c>
      <x:c r="F2013" t="str">
        <x:v>Plus mensual</x:v>
      </x:c>
      <x:c r="G2013" t="str">
        <x:v>Mensual</x:v>
      </x:c>
      <x:c r="H2013" t="n">
        <x:v>2</x:v>
      </x:c>
      <x:c r="I2013" t="str">
        <x:v>Aprobado</x:v>
      </x:c>
      <x:c r="J2013" t="n">
        <x:v>29900</x:v>
      </x:c>
      <x:c r="K2013" t="str">
        <x:v>PSE</x:v>
      </x:c>
      <x:c r="L2013" t="str">
        <x:v>Sin error</x:v>
      </x:c>
    </x:row>
    <x:row r="2014">
      <x:c r="A2014" t="str">
        <x:v>TXN-0002013</x:v>
      </x:c>
      <x:c r="B2014" t="str">
        <x:v>2026-08</x:v>
      </x:c>
      <x:c r="C2014" t="n">
        <x:v>46241</x:v>
      </x:c>
      <x:c r="D2014" t="str">
        <x:v>USR-00184</x:v>
      </x:c>
      <x:c r="E2014" t="str">
        <x:v>SUS-000281</x:v>
      </x:c>
      <x:c r="F2014" t="str">
        <x:v>Plus mensual</x:v>
      </x:c>
      <x:c r="G2014" t="str">
        <x:v>Mensual</x:v>
      </x:c>
      <x:c r="H2014" t="n">
        <x:v>1</x:v>
      </x:c>
      <x:c r="I2014" t="str">
        <x:v>Aprobado</x:v>
      </x:c>
      <x:c r="J2014" t="n">
        <x:v>29900</x:v>
      </x:c>
      <x:c r="K2014" t="str">
        <x:v>Tarjeta débito</x:v>
      </x:c>
      <x:c r="L2014" t="str">
        <x:v>Sin error</x:v>
      </x:c>
    </x:row>
    <x:row r="2015">
      <x:c r="A2015" t="str">
        <x:v>TXN-0002014</x:v>
      </x:c>
      <x:c r="B2015" t="str">
        <x:v>2026-08</x:v>
      </x:c>
      <x:c r="C2015" t="n">
        <x:v>46241</x:v>
      </x:c>
      <x:c r="D2015" t="str">
        <x:v>USR-00188</x:v>
      </x:c>
      <x:c r="E2015" t="str">
        <x:v>SUS-000229</x:v>
      </x:c>
      <x:c r="F2015" t="str">
        <x:v>Plus mensual</x:v>
      </x:c>
      <x:c r="G2015" t="str">
        <x:v>Mensual</x:v>
      </x:c>
      <x:c r="H2015" t="n">
        <x:v>1</x:v>
      </x:c>
      <x:c r="I2015" t="str">
        <x:v>Aprobado</x:v>
      </x:c>
      <x:c r="J2015" t="n">
        <x:v>29900</x:v>
      </x:c>
      <x:c r="K2015" t="str">
        <x:v>PSE</x:v>
      </x:c>
      <x:c r="L2015" t="str">
        <x:v>Sin error</x:v>
      </x:c>
    </x:row>
    <x:row r="2016">
      <x:c r="A2016" t="str">
        <x:v>TXN-0002015</x:v>
      </x:c>
      <x:c r="B2016" t="str">
        <x:v>2026-08</x:v>
      </x:c>
      <x:c r="C2016" t="n">
        <x:v>46243</x:v>
      </x:c>
      <x:c r="D2016" t="str">
        <x:v>USR-00201</x:v>
      </x:c>
      <x:c r="E2016" t="str">
        <x:v>SUS-001562</x:v>
      </x:c>
      <x:c r="F2016" t="str">
        <x:v>Plus anual</x:v>
      </x:c>
      <x:c r="G2016" t="str">
        <x:v>Anual</x:v>
      </x:c>
      <x:c r="H2016" t="n">
        <x:v>1</x:v>
      </x:c>
      <x:c r="I2016" t="str">
        <x:v>Aprobado</x:v>
      </x:c>
      <x:c r="J2016" t="n">
        <x:v>299000</x:v>
      </x:c>
      <x:c r="K2016" t="str">
        <x:v>Tarjeta crédito</x:v>
      </x:c>
      <x:c r="L2016" t="str">
        <x:v>Sin error</x:v>
      </x:c>
    </x:row>
    <x:row r="2017">
      <x:c r="A2017" t="str">
        <x:v>TXN-0002016</x:v>
      </x:c>
      <x:c r="B2017" t="str">
        <x:v>2026-08</x:v>
      </x:c>
      <x:c r="C2017" t="n">
        <x:v>46243</x:v>
      </x:c>
      <x:c r="D2017" t="str">
        <x:v>USR-00203</x:v>
      </x:c>
      <x:c r="E2017" t="str">
        <x:v>SUS-001412</x:v>
      </x:c>
      <x:c r="F2017" t="str">
        <x:v>Plus mensual</x:v>
      </x:c>
      <x:c r="G2017" t="str">
        <x:v>Mensual</x:v>
      </x:c>
      <x:c r="H2017" t="n">
        <x:v>1</x:v>
      </x:c>
      <x:c r="I2017" t="str">
        <x:v>Aprobado</x:v>
      </x:c>
      <x:c r="J2017" t="n">
        <x:v>29900</x:v>
      </x:c>
      <x:c r="K2017" t="str">
        <x:v>PSE</x:v>
      </x:c>
      <x:c r="L2017" t="str">
        <x:v>Sin error</x:v>
      </x:c>
    </x:row>
    <x:row r="2018">
      <x:c r="A2018" t="str">
        <x:v>TXN-0002017</x:v>
      </x:c>
      <x:c r="B2018" t="str">
        <x:v>2026-08</x:v>
      </x:c>
      <x:c r="C2018" t="n">
        <x:v>46244</x:v>
      </x:c>
      <x:c r="D2018" t="str">
        <x:v>USR-00206</x:v>
      </x:c>
      <x:c r="E2018" t="str">
        <x:v>SUS-000623</x:v>
      </x:c>
      <x:c r="F2018" t="str">
        <x:v>Plus mensual</x:v>
      </x:c>
      <x:c r="G2018" t="str">
        <x:v>Mensual</x:v>
      </x:c>
      <x:c r="H2018" t="n">
        <x:v>1</x:v>
      </x:c>
      <x:c r="I2018" t="str">
        <x:v>Aprobado</x:v>
      </x:c>
      <x:c r="J2018" t="n">
        <x:v>29900</x:v>
      </x:c>
      <x:c r="K2018" t="str">
        <x:v>Tarjeta débito</x:v>
      </x:c>
      <x:c r="L2018" t="str">
        <x:v>Sin error</x:v>
      </x:c>
    </x:row>
    <x:row r="2019">
      <x:c r="A2019" t="str">
        <x:v>TXN-0002018</x:v>
      </x:c>
      <x:c r="B2019" t="str">
        <x:v>2026-08</x:v>
      </x:c>
      <x:c r="C2019" t="n">
        <x:v>46239</x:v>
      </x:c>
      <x:c r="D2019" t="str">
        <x:v>USR-00216</x:v>
      </x:c>
      <x:c r="E2019" t="str">
        <x:v>SUS-001563</x:v>
      </x:c>
      <x:c r="F2019" t="str">
        <x:v>Plus mensual</x:v>
      </x:c>
      <x:c r="G2019" t="str">
        <x:v>Mensual</x:v>
      </x:c>
      <x:c r="H2019" t="n">
        <x:v>1</x:v>
      </x:c>
      <x:c r="I2019" t="str">
        <x:v>Aprobado</x:v>
      </x:c>
      <x:c r="J2019" t="n">
        <x:v>29900</x:v>
      </x:c>
      <x:c r="K2019" t="str">
        <x:v>PSE</x:v>
      </x:c>
      <x:c r="L2019" t="str">
        <x:v>Sin error</x:v>
      </x:c>
    </x:row>
    <x:row r="2020">
      <x:c r="A2020" t="str">
        <x:v>TXN-0002019</x:v>
      </x:c>
      <x:c r="B2020" t="str">
        <x:v>2026-08</x:v>
      </x:c>
      <x:c r="C2020" t="n">
        <x:v>46245</x:v>
      </x:c>
      <x:c r="D2020" t="str">
        <x:v>USR-00223</x:v>
      </x:c>
      <x:c r="E2020" t="str">
        <x:v>SUS-000286</x:v>
      </x:c>
      <x:c r="F2020" t="str">
        <x:v>Plus anual</x:v>
      </x:c>
      <x:c r="G2020" t="str">
        <x:v>Anual</x:v>
      </x:c>
      <x:c r="H2020" t="n">
        <x:v>1</x:v>
      </x:c>
      <x:c r="I2020" t="str">
        <x:v>Aprobado</x:v>
      </x:c>
      <x:c r="J2020" t="n">
        <x:v>299000</x:v>
      </x:c>
      <x:c r="K2020" t="str">
        <x:v>Tarjeta débito</x:v>
      </x:c>
      <x:c r="L2020" t="str">
        <x:v>Sin error</x:v>
      </x:c>
    </x:row>
    <x:row r="2021">
      <x:c r="A2021" t="str">
        <x:v>TXN-0002020</x:v>
      </x:c>
      <x:c r="B2021" t="str">
        <x:v>2026-08</x:v>
      </x:c>
      <x:c r="C2021" t="n">
        <x:v>46245</x:v>
      </x:c>
      <x:c r="D2021" t="str">
        <x:v>USR-00225</x:v>
      </x:c>
      <x:c r="E2021" t="str">
        <x:v>SUS-001113</x:v>
      </x:c>
      <x:c r="F2021" t="str">
        <x:v>Plus mensual</x:v>
      </x:c>
      <x:c r="G2021" t="str">
        <x:v>Mensual</x:v>
      </x:c>
      <x:c r="H2021" t="n">
        <x:v>1</x:v>
      </x:c>
      <x:c r="I2021" t="str">
        <x:v>Aprobado</x:v>
      </x:c>
      <x:c r="J2021" t="n">
        <x:v>29900</x:v>
      </x:c>
      <x:c r="K2021" t="str">
        <x:v>PSE</x:v>
      </x:c>
      <x:c r="L2021" t="str">
        <x:v>Sin error</x:v>
      </x:c>
    </x:row>
    <x:row r="2022">
      <x:c r="A2022" t="str">
        <x:v>TXN-0002021</x:v>
      </x:c>
      <x:c r="B2022" t="str">
        <x:v>2026-08</x:v>
      </x:c>
      <x:c r="C2022" t="n">
        <x:v>46241</x:v>
      </x:c>
      <x:c r="D2022" t="str">
        <x:v>USR-00234</x:v>
      </x:c>
      <x:c r="E2022" t="str">
        <x:v>SUS-001564</x:v>
      </x:c>
      <x:c r="F2022" t="str">
        <x:v>Plus mensual</x:v>
      </x:c>
      <x:c r="G2022" t="str">
        <x:v>Mensual</x:v>
      </x:c>
      <x:c r="H2022" t="n">
        <x:v>1</x:v>
      </x:c>
      <x:c r="I2022" t="str">
        <x:v>Aprobado</x:v>
      </x:c>
      <x:c r="J2022" t="n">
        <x:v>29900</x:v>
      </x:c>
      <x:c r="K2022" t="str">
        <x:v>Tarjeta débito</x:v>
      </x:c>
      <x:c r="L2022" t="str">
        <x:v>Sin error</x:v>
      </x:c>
    </x:row>
    <x:row r="2023">
      <x:c r="A2023" t="str">
        <x:v>TXN-0002022</x:v>
      </x:c>
      <x:c r="B2023" t="str">
        <x:v>2026-08</x:v>
      </x:c>
      <x:c r="C2023" t="n">
        <x:v>46245</x:v>
      </x:c>
      <x:c r="D2023" t="str">
        <x:v>USR-00237</x:v>
      </x:c>
      <x:c r="E2023" t="str">
        <x:v>SUS-001114</x:v>
      </x:c>
      <x:c r="F2023" t="str">
        <x:v>Plus mensual</x:v>
      </x:c>
      <x:c r="G2023" t="str">
        <x:v>Mensual</x:v>
      </x:c>
      <x:c r="H2023" t="n">
        <x:v>1</x:v>
      </x:c>
      <x:c r="I2023" t="str">
        <x:v>Aprobado</x:v>
      </x:c>
      <x:c r="J2023" t="n">
        <x:v>29900</x:v>
      </x:c>
      <x:c r="K2023" t="str">
        <x:v>Tarjeta débito</x:v>
      </x:c>
      <x:c r="L2023" t="str">
        <x:v>Sin error</x:v>
      </x:c>
    </x:row>
    <x:row r="2024">
      <x:c r="A2024" t="str">
        <x:v>TXN-0002023</x:v>
      </x:c>
      <x:c r="B2024" t="str">
        <x:v>2026-08</x:v>
      </x:c>
      <x:c r="C2024" t="n">
        <x:v>46240</x:v>
      </x:c>
      <x:c r="D2024" t="str">
        <x:v>USR-00238</x:v>
      </x:c>
      <x:c r="E2024" t="str">
        <x:v>SUS-001565</x:v>
      </x:c>
      <x:c r="F2024" t="str">
        <x:v>Plus anual</x:v>
      </x:c>
      <x:c r="G2024" t="str">
        <x:v>Anual</x:v>
      </x:c>
      <x:c r="H2024" t="n">
        <x:v>1</x:v>
      </x:c>
      <x:c r="I2024" t="str">
        <x:v>Aprobado</x:v>
      </x:c>
      <x:c r="J2024" t="n">
        <x:v>299000</x:v>
      </x:c>
      <x:c r="K2024" t="str">
        <x:v>Tarjeta débito</x:v>
      </x:c>
      <x:c r="L2024" t="str">
        <x:v>Sin error</x:v>
      </x:c>
    </x:row>
    <x:row r="2025">
      <x:c r="A2025" t="str">
        <x:v>TXN-0002024</x:v>
      </x:c>
      <x:c r="B2025" t="str">
        <x:v>2026-08</x:v>
      </x:c>
      <x:c r="C2025" t="n">
        <x:v>46246</x:v>
      </x:c>
      <x:c r="D2025" t="str">
        <x:v>USR-00249</x:v>
      </x:c>
      <x:c r="E2025" t="str">
        <x:v>SUS-000310</x:v>
      </x:c>
      <x:c r="F2025" t="str">
        <x:v>Plus mensual</x:v>
      </x:c>
      <x:c r="G2025" t="str">
        <x:v>Mensual</x:v>
      </x:c>
      <x:c r="H2025" t="n">
        <x:v>1</x:v>
      </x:c>
      <x:c r="I2025" t="str">
        <x:v>Aprobado</x:v>
      </x:c>
      <x:c r="J2025" t="n">
        <x:v>29900</x:v>
      </x:c>
      <x:c r="K2025" t="str">
        <x:v>Tarjeta crédito</x:v>
      </x:c>
      <x:c r="L2025" t="str">
        <x:v>Sin error</x:v>
      </x:c>
    </x:row>
    <x:row r="2026">
      <x:c r="A2026" t="str">
        <x:v>TXN-0002025</x:v>
      </x:c>
      <x:c r="B2026" t="str">
        <x:v>2026-08</x:v>
      </x:c>
      <x:c r="C2026" t="n">
        <x:v>46245</x:v>
      </x:c>
      <x:c r="D2026" t="str">
        <x:v>USR-00250</x:v>
      </x:c>
      <x:c r="E2026" t="str">
        <x:v>SUS-000539</x:v>
      </x:c>
      <x:c r="F2026" t="str">
        <x:v>Plus mensual</x:v>
      </x:c>
      <x:c r="G2026" t="str">
        <x:v>Mensual</x:v>
      </x:c>
      <x:c r="H2026" t="n">
        <x:v>1</x:v>
      </x:c>
      <x:c r="I2026" t="str">
        <x:v>Aprobado</x:v>
      </x:c>
      <x:c r="J2026" t="n">
        <x:v>29900</x:v>
      </x:c>
      <x:c r="K2026" t="str">
        <x:v>Tarjeta débito</x:v>
      </x:c>
      <x:c r="L2026" t="str">
        <x:v>Sin error</x:v>
      </x:c>
    </x:row>
    <x:row r="2027">
      <x:c r="A2027" t="str">
        <x:v>TXN-0002026</x:v>
      </x:c>
      <x:c r="B2027" t="str">
        <x:v>2026-08</x:v>
      </x:c>
      <x:c r="C2027" t="n">
        <x:v>46245</x:v>
      </x:c>
      <x:c r="D2027" t="str">
        <x:v>USR-00252</x:v>
      </x:c>
      <x:c r="E2027" t="str">
        <x:v>SUS-000848</x:v>
      </x:c>
      <x:c r="F2027" t="str">
        <x:v>Plus mensual</x:v>
      </x:c>
      <x:c r="G2027" t="str">
        <x:v>Mensual</x:v>
      </x:c>
      <x:c r="H2027" t="n">
        <x:v>1</x:v>
      </x:c>
      <x:c r="I2027" t="str">
        <x:v>Rechazado</x:v>
      </x:c>
      <x:c r="J2027" t="n">
        <x:v>29900</x:v>
      </x:c>
      <x:c r="K2027" t="str">
        <x:v>Tarjeta débito</x:v>
      </x:c>
      <x:c r="L2027" t="str">
        <x:v>Fondos insuficientes</x:v>
      </x:c>
    </x:row>
    <x:row r="2028">
      <x:c r="A2028" t="str">
        <x:v>TXN-0002027</x:v>
      </x:c>
      <x:c r="B2028" t="str">
        <x:v>2026-08</x:v>
      </x:c>
      <x:c r="C2028" t="n">
        <x:v>46246</x:v>
      </x:c>
      <x:c r="D2028" t="str">
        <x:v>USR-00252</x:v>
      </x:c>
      <x:c r="E2028" t="str">
        <x:v>SUS-000848</x:v>
      </x:c>
      <x:c r="F2028" t="str">
        <x:v>Plus mensual</x:v>
      </x:c>
      <x:c r="G2028" t="str">
        <x:v>Mensual</x:v>
      </x:c>
      <x:c r="H2028" t="n">
        <x:v>2</x:v>
      </x:c>
      <x:c r="I2028" t="str">
        <x:v>Aprobado</x:v>
      </x:c>
      <x:c r="J2028" t="n">
        <x:v>29900</x:v>
      </x:c>
      <x:c r="K2028" t="str">
        <x:v>Tarjeta crédito</x:v>
      </x:c>
      <x:c r="L2028" t="str">
        <x:v>Sin error</x:v>
      </x:c>
    </x:row>
    <x:row r="2029">
      <x:c r="A2029" t="str">
        <x:v>TXN-0002028</x:v>
      </x:c>
      <x:c r="B2029" t="str">
        <x:v>2026-08</x:v>
      </x:c>
      <x:c r="C2029" t="n">
        <x:v>46240</x:v>
      </x:c>
      <x:c r="D2029" t="str">
        <x:v>USR-00263</x:v>
      </x:c>
      <x:c r="E2029" t="str">
        <x:v>SUS-001419</x:v>
      </x:c>
      <x:c r="F2029" t="str">
        <x:v>Plus mensual</x:v>
      </x:c>
      <x:c r="G2029" t="str">
        <x:v>Mensual</x:v>
      </x:c>
      <x:c r="H2029" t="n">
        <x:v>1</x:v>
      </x:c>
      <x:c r="I2029" t="str">
        <x:v>Aprobado</x:v>
      </x:c>
      <x:c r="J2029" t="n">
        <x:v>29900</x:v>
      </x:c>
      <x:c r="K2029" t="str">
        <x:v>Tarjeta crédito</x:v>
      </x:c>
      <x:c r="L2029" t="str">
        <x:v>Sin error</x:v>
      </x:c>
    </x:row>
    <x:row r="2030">
      <x:c r="A2030" t="str">
        <x:v>TXN-0002029</x:v>
      </x:c>
      <x:c r="B2030" t="str">
        <x:v>2026-08</x:v>
      </x:c>
      <x:c r="C2030" t="n">
        <x:v>46241</x:v>
      </x:c>
      <x:c r="D2030" t="str">
        <x:v>USR-00268</x:v>
      </x:c>
      <x:c r="E2030" t="str">
        <x:v>SUS-000629</x:v>
      </x:c>
      <x:c r="F2030" t="str">
        <x:v>Plus mensual</x:v>
      </x:c>
      <x:c r="G2030" t="str">
        <x:v>Mensual</x:v>
      </x:c>
      <x:c r="H2030" t="n">
        <x:v>1</x:v>
      </x:c>
      <x:c r="I2030" t="str">
        <x:v>Aprobado</x:v>
      </x:c>
      <x:c r="J2030" t="n">
        <x:v>29900</x:v>
      </x:c>
      <x:c r="K2030" t="str">
        <x:v>Tarjeta crédito</x:v>
      </x:c>
      <x:c r="L2030" t="str">
        <x:v>Sin error</x:v>
      </x:c>
    </x:row>
    <x:row r="2031">
      <x:c r="A2031" t="str">
        <x:v>TXN-0002030</x:v>
      </x:c>
      <x:c r="B2031" t="str">
        <x:v>2026-08</x:v>
      </x:c>
      <x:c r="C2031" t="n">
        <x:v>46239</x:v>
      </x:c>
      <x:c r="D2031" t="str">
        <x:v>USR-00269</x:v>
      </x:c>
      <x:c r="E2031" t="str">
        <x:v>SUS-001566</x:v>
      </x:c>
      <x:c r="F2031" t="str">
        <x:v>Plus anual</x:v>
      </x:c>
      <x:c r="G2031" t="str">
        <x:v>Anual</x:v>
      </x:c>
      <x:c r="H2031" t="n">
        <x:v>1</x:v>
      </x:c>
      <x:c r="I2031" t="str">
        <x:v>Aprobado</x:v>
      </x:c>
      <x:c r="J2031" t="n">
        <x:v>299000</x:v>
      </x:c>
      <x:c r="K2031" t="str">
        <x:v>PSE</x:v>
      </x:c>
      <x:c r="L2031" t="str">
        <x:v>Sin error</x:v>
      </x:c>
    </x:row>
    <x:row r="2032">
      <x:c r="A2032" t="str">
        <x:v>TXN-0002031</x:v>
      </x:c>
      <x:c r="B2032" t="str">
        <x:v>2026-08</x:v>
      </x:c>
      <x:c r="C2032" t="n">
        <x:v>46242</x:v>
      </x:c>
      <x:c r="D2032" t="str">
        <x:v>USR-00273</x:v>
      </x:c>
      <x:c r="E2032" t="str">
        <x:v>SUS-000850</x:v>
      </x:c>
      <x:c r="F2032" t="str">
        <x:v>Plus mensual</x:v>
      </x:c>
      <x:c r="G2032" t="str">
        <x:v>Mensual</x:v>
      </x:c>
      <x:c r="H2032" t="n">
        <x:v>1</x:v>
      </x:c>
      <x:c r="I2032" t="str">
        <x:v>Aprobado</x:v>
      </x:c>
      <x:c r="J2032" t="n">
        <x:v>29900</x:v>
      </x:c>
      <x:c r="K2032" t="str">
        <x:v>Tarjeta débito</x:v>
      </x:c>
      <x:c r="L2032" t="str">
        <x:v>Sin error</x:v>
      </x:c>
    </x:row>
    <x:row r="2033">
      <x:c r="A2033" t="str">
        <x:v>TXN-0002032</x:v>
      </x:c>
      <x:c r="B2033" t="str">
        <x:v>2026-08</x:v>
      </x:c>
      <x:c r="C2033" t="n">
        <x:v>46242</x:v>
      </x:c>
      <x:c r="D2033" t="str">
        <x:v>USR-00286</x:v>
      </x:c>
      <x:c r="E2033" t="str">
        <x:v>SUS-001567</x:v>
      </x:c>
      <x:c r="F2033" t="str">
        <x:v>Plus anual</x:v>
      </x:c>
      <x:c r="G2033" t="str">
        <x:v>Anual</x:v>
      </x:c>
      <x:c r="H2033" t="n">
        <x:v>1</x:v>
      </x:c>
      <x:c r="I2033" t="str">
        <x:v>Aprobado</x:v>
      </x:c>
      <x:c r="J2033" t="n">
        <x:v>299000</x:v>
      </x:c>
      <x:c r="K2033" t="str">
        <x:v>Tarjeta débito</x:v>
      </x:c>
      <x:c r="L2033" t="str">
        <x:v>Sin error</x:v>
      </x:c>
    </x:row>
    <x:row r="2034">
      <x:c r="A2034" t="str">
        <x:v>TXN-0002033</x:v>
      </x:c>
      <x:c r="B2034" t="str">
        <x:v>2026-08</x:v>
      </x:c>
      <x:c r="C2034" t="n">
        <x:v>46242</x:v>
      </x:c>
      <x:c r="D2034" t="str">
        <x:v>USR-00290</x:v>
      </x:c>
      <x:c r="E2034" t="str">
        <x:v>SUS-001117</x:v>
      </x:c>
      <x:c r="F2034" t="str">
        <x:v>Plus mensual</x:v>
      </x:c>
      <x:c r="G2034" t="str">
        <x:v>Mensual</x:v>
      </x:c>
      <x:c r="H2034" t="n">
        <x:v>1</x:v>
      </x:c>
      <x:c r="I2034" t="str">
        <x:v>Aprobado</x:v>
      </x:c>
      <x:c r="J2034" t="n">
        <x:v>29900</x:v>
      </x:c>
      <x:c r="K2034" t="str">
        <x:v>Tarjeta débito</x:v>
      </x:c>
      <x:c r="L2034" t="str">
        <x:v>Sin error</x:v>
      </x:c>
    </x:row>
    <x:row r="2035">
      <x:c r="A2035" t="str">
        <x:v>TXN-0002034</x:v>
      </x:c>
      <x:c r="B2035" t="str">
        <x:v>2026-08</x:v>
      </x:c>
      <x:c r="C2035" t="n">
        <x:v>46245</x:v>
      </x:c>
      <x:c r="D2035" t="str">
        <x:v>USR-00295</x:v>
      </x:c>
      <x:c r="E2035" t="str">
        <x:v>SUS-001569</x:v>
      </x:c>
      <x:c r="F2035" t="str">
        <x:v>Plus mensual</x:v>
      </x:c>
      <x:c r="G2035" t="str">
        <x:v>Mensual</x:v>
      </x:c>
      <x:c r="H2035" t="n">
        <x:v>1</x:v>
      </x:c>
      <x:c r="I2035" t="str">
        <x:v>Aprobado</x:v>
      </x:c>
      <x:c r="J2035" t="n">
        <x:v>29900</x:v>
      </x:c>
      <x:c r="K2035" t="str">
        <x:v>PSE</x:v>
      </x:c>
      <x:c r="L2035" t="str">
        <x:v>Sin error</x:v>
      </x:c>
    </x:row>
    <x:row r="2036">
      <x:c r="A2036" t="str">
        <x:v>TXN-0002035</x:v>
      </x:c>
      <x:c r="B2036" t="str">
        <x:v>2026-08</x:v>
      </x:c>
      <x:c r="C2036" t="n">
        <x:v>46242</x:v>
      </x:c>
      <x:c r="D2036" t="str">
        <x:v>USR-00296</x:v>
      </x:c>
      <x:c r="E2036" t="str">
        <x:v>SUS-001570</x:v>
      </x:c>
      <x:c r="F2036" t="str">
        <x:v>Plus anual</x:v>
      </x:c>
      <x:c r="G2036" t="str">
        <x:v>Anual</x:v>
      </x:c>
      <x:c r="H2036" t="n">
        <x:v>1</x:v>
      </x:c>
      <x:c r="I2036" t="str">
        <x:v>Aprobado</x:v>
      </x:c>
      <x:c r="J2036" t="n">
        <x:v>299000</x:v>
      </x:c>
      <x:c r="K2036" t="str">
        <x:v>PSE</x:v>
      </x:c>
      <x:c r="L2036" t="str">
        <x:v>Sin error</x:v>
      </x:c>
    </x:row>
    <x:row r="2037">
      <x:c r="A2037" t="str">
        <x:v>TXN-0002036</x:v>
      </x:c>
      <x:c r="B2037" t="str">
        <x:v>2026-08</x:v>
      </x:c>
      <x:c r="C2037" t="n">
        <x:v>46241</x:v>
      </x:c>
      <x:c r="D2037" t="str">
        <x:v>USR-00298</x:v>
      </x:c>
      <x:c r="E2037" t="str">
        <x:v>SUS-001571</x:v>
      </x:c>
      <x:c r="F2037" t="str">
        <x:v>Plus mensual</x:v>
      </x:c>
      <x:c r="G2037" t="str">
        <x:v>Mensual</x:v>
      </x:c>
      <x:c r="H2037" t="n">
        <x:v>1</x:v>
      </x:c>
      <x:c r="I2037" t="str">
        <x:v>Aprobado</x:v>
      </x:c>
      <x:c r="J2037" t="n">
        <x:v>29900</x:v>
      </x:c>
      <x:c r="K2037" t="str">
        <x:v>Tarjeta crédito</x:v>
      </x:c>
      <x:c r="L2037" t="str">
        <x:v>Sin error</x:v>
      </x:c>
    </x:row>
    <x:row r="2038">
      <x:c r="A2038" t="str">
        <x:v>TXN-0002037</x:v>
      </x:c>
      <x:c r="B2038" t="str">
        <x:v>2026-08</x:v>
      </x:c>
      <x:c r="C2038" t="n">
        <x:v>46241</x:v>
      </x:c>
      <x:c r="D2038" t="str">
        <x:v>USR-00301</x:v>
      </x:c>
      <x:c r="E2038" t="str">
        <x:v>SUS-001572</x:v>
      </x:c>
      <x:c r="F2038" t="str">
        <x:v>Plus mensual</x:v>
      </x:c>
      <x:c r="G2038" t="str">
        <x:v>Mensual</x:v>
      </x:c>
      <x:c r="H2038" t="n">
        <x:v>1</x:v>
      </x:c>
      <x:c r="I2038" t="str">
        <x:v>Aprobado</x:v>
      </x:c>
      <x:c r="J2038" t="n">
        <x:v>29900</x:v>
      </x:c>
      <x:c r="K2038" t="str">
        <x:v>PSE</x:v>
      </x:c>
      <x:c r="L2038" t="str">
        <x:v>Sin error</x:v>
      </x:c>
    </x:row>
    <x:row r="2039">
      <x:c r="A2039" t="str">
        <x:v>TXN-0002038</x:v>
      </x:c>
      <x:c r="B2039" t="str">
        <x:v>2026-08</x:v>
      </x:c>
      <x:c r="C2039" t="n">
        <x:v>46240</x:v>
      </x:c>
      <x:c r="D2039" t="str">
        <x:v>USR-00306</x:v>
      </x:c>
      <x:c r="E2039" t="str">
        <x:v>SUS-000853</x:v>
      </x:c>
      <x:c r="F2039" t="str">
        <x:v>Plus mensual</x:v>
      </x:c>
      <x:c r="G2039" t="str">
        <x:v>Mensual</x:v>
      </x:c>
      <x:c r="H2039" t="n">
        <x:v>1</x:v>
      </x:c>
      <x:c r="I2039" t="str">
        <x:v>Aprobado</x:v>
      </x:c>
      <x:c r="J2039" t="n">
        <x:v>29900</x:v>
      </x:c>
      <x:c r="K2039" t="str">
        <x:v>Tarjeta crédito</x:v>
      </x:c>
      <x:c r="L2039" t="str">
        <x:v>Sin error</x:v>
      </x:c>
    </x:row>
    <x:row r="2040">
      <x:c r="A2040" t="str">
        <x:v>TXN-0002039</x:v>
      </x:c>
      <x:c r="B2040" t="str">
        <x:v>2026-08</x:v>
      </x:c>
      <x:c r="C2040" t="n">
        <x:v>46239</x:v>
      </x:c>
      <x:c r="D2040" t="str">
        <x:v>USR-00311</x:v>
      </x:c>
      <x:c r="E2040" t="str">
        <x:v>SUS-000977</x:v>
      </x:c>
      <x:c r="F2040" t="str">
        <x:v>Plus mensual</x:v>
      </x:c>
      <x:c r="G2040" t="str">
        <x:v>Mensual</x:v>
      </x:c>
      <x:c r="H2040" t="n">
        <x:v>1</x:v>
      </x:c>
      <x:c r="I2040" t="str">
        <x:v>Aprobado</x:v>
      </x:c>
      <x:c r="J2040" t="n">
        <x:v>29900</x:v>
      </x:c>
      <x:c r="K2040" t="str">
        <x:v>PSE</x:v>
      </x:c>
      <x:c r="L2040" t="str">
        <x:v>Sin error</x:v>
      </x:c>
    </x:row>
    <x:row r="2041">
      <x:c r="A2041" t="str">
        <x:v>TXN-0002040</x:v>
      </x:c>
      <x:c r="B2041" t="str">
        <x:v>2026-08</x:v>
      </x:c>
      <x:c r="C2041" t="n">
        <x:v>46239</x:v>
      </x:c>
      <x:c r="D2041" t="str">
        <x:v>USR-00312</x:v>
      </x:c>
      <x:c r="E2041" t="str">
        <x:v>SUS-000634</x:v>
      </x:c>
      <x:c r="F2041" t="str">
        <x:v>Plus mensual</x:v>
      </x:c>
      <x:c r="G2041" t="str">
        <x:v>Mensual</x:v>
      </x:c>
      <x:c r="H2041" t="n">
        <x:v>1</x:v>
      </x:c>
      <x:c r="I2041" t="str">
        <x:v>Aprobado</x:v>
      </x:c>
      <x:c r="J2041" t="n">
        <x:v>29900</x:v>
      </x:c>
      <x:c r="K2041" t="str">
        <x:v>Tarjeta débito</x:v>
      </x:c>
      <x:c r="L2041" t="str">
        <x:v>Sin error</x:v>
      </x:c>
    </x:row>
    <x:row r="2042">
      <x:c r="A2042" t="str">
        <x:v>TXN-0002041</x:v>
      </x:c>
      <x:c r="B2042" t="str">
        <x:v>2026-08</x:v>
      </x:c>
      <x:c r="C2042" t="n">
        <x:v>46243</x:v>
      </x:c>
      <x:c r="D2042" t="str">
        <x:v>USR-00313</x:v>
      </x:c>
      <x:c r="E2042" t="str">
        <x:v>SUS-000635</x:v>
      </x:c>
      <x:c r="F2042" t="str">
        <x:v>Plus mensual</x:v>
      </x:c>
      <x:c r="G2042" t="str">
        <x:v>Mensual</x:v>
      </x:c>
      <x:c r="H2042" t="n">
        <x:v>1</x:v>
      </x:c>
      <x:c r="I2042" t="str">
        <x:v>Aprobado</x:v>
      </x:c>
      <x:c r="J2042" t="n">
        <x:v>29900</x:v>
      </x:c>
      <x:c r="K2042" t="str">
        <x:v>Tarjeta débito</x:v>
      </x:c>
      <x:c r="L2042" t="str">
        <x:v>Sin error</x:v>
      </x:c>
    </x:row>
    <x:row r="2043">
      <x:c r="A2043" t="str">
        <x:v>TXN-0002042</x:v>
      </x:c>
      <x:c r="B2043" t="str">
        <x:v>2026-08</x:v>
      </x:c>
      <x:c r="C2043" t="n">
        <x:v>46241</x:v>
      </x:c>
      <x:c r="D2043" t="str">
        <x:v>USR-00317</x:v>
      </x:c>
      <x:c r="E2043" t="str">
        <x:v>SUS-000546</x:v>
      </x:c>
      <x:c r="F2043" t="str">
        <x:v>Plus mensual</x:v>
      </x:c>
      <x:c r="G2043" t="str">
        <x:v>Mensual</x:v>
      </x:c>
      <x:c r="H2043" t="n">
        <x:v>1</x:v>
      </x:c>
      <x:c r="I2043" t="str">
        <x:v>Aprobado</x:v>
      </x:c>
      <x:c r="J2043" t="n">
        <x:v>29900</x:v>
      </x:c>
      <x:c r="K2043" t="str">
        <x:v>Tarjeta crédito</x:v>
      </x:c>
      <x:c r="L2043" t="str">
        <x:v>Sin error</x:v>
      </x:c>
    </x:row>
    <x:row r="2044">
      <x:c r="A2044" t="str">
        <x:v>TXN-0002043</x:v>
      </x:c>
      <x:c r="B2044" t="str">
        <x:v>2026-08</x:v>
      </x:c>
      <x:c r="C2044" t="n">
        <x:v>46239</x:v>
      </x:c>
      <x:c r="D2044" t="str">
        <x:v>USR-00320</x:v>
      </x:c>
      <x:c r="E2044" t="str">
        <x:v>SUS-000419</x:v>
      </x:c>
      <x:c r="F2044" t="str">
        <x:v>Plus mensual</x:v>
      </x:c>
      <x:c r="G2044" t="str">
        <x:v>Mensual</x:v>
      </x:c>
      <x:c r="H2044" t="n">
        <x:v>1</x:v>
      </x:c>
      <x:c r="I2044" t="str">
        <x:v>Aprobado</x:v>
      </x:c>
      <x:c r="J2044" t="n">
        <x:v>29900</x:v>
      </x:c>
      <x:c r="K2044" t="str">
        <x:v>Tarjeta crédito</x:v>
      </x:c>
      <x:c r="L2044" t="str">
        <x:v>Sin error</x:v>
      </x:c>
    </x:row>
    <x:row r="2045">
      <x:c r="A2045" t="str">
        <x:v>TXN-0002044</x:v>
      </x:c>
      <x:c r="B2045" t="str">
        <x:v>2026-08</x:v>
      </x:c>
      <x:c r="C2045" t="n">
        <x:v>46241</x:v>
      </x:c>
      <x:c r="D2045" t="str">
        <x:v>USR-00323</x:v>
      </x:c>
      <x:c r="E2045" t="str">
        <x:v>SUS-001574</x:v>
      </x:c>
      <x:c r="F2045" t="str">
        <x:v>Plus anual</x:v>
      </x:c>
      <x:c r="G2045" t="str">
        <x:v>Anual</x:v>
      </x:c>
      <x:c r="H2045" t="n">
        <x:v>1</x:v>
      </x:c>
      <x:c r="I2045" t="str">
        <x:v>Aprobado</x:v>
      </x:c>
      <x:c r="J2045" t="n">
        <x:v>299000</x:v>
      </x:c>
      <x:c r="K2045" t="str">
        <x:v>Tarjeta débito</x:v>
      </x:c>
      <x:c r="L2045" t="str">
        <x:v>Sin error</x:v>
      </x:c>
    </x:row>
    <x:row r="2046">
      <x:c r="A2046" t="str">
        <x:v>TXN-0002045</x:v>
      </x:c>
      <x:c r="B2046" t="str">
        <x:v>2026-08</x:v>
      </x:c>
      <x:c r="C2046" t="n">
        <x:v>46239</x:v>
      </x:c>
      <x:c r="D2046" t="str">
        <x:v>USR-00333</x:v>
      </x:c>
      <x:c r="E2046" t="str">
        <x:v>SUS-001422</x:v>
      </x:c>
      <x:c r="F2046" t="str">
        <x:v>Plus mensual</x:v>
      </x:c>
      <x:c r="G2046" t="str">
        <x:v>Mensual</x:v>
      </x:c>
      <x:c r="H2046" t="n">
        <x:v>1</x:v>
      </x:c>
      <x:c r="I2046" t="str">
        <x:v>Aprobado</x:v>
      </x:c>
      <x:c r="J2046" t="n">
        <x:v>29900</x:v>
      </x:c>
      <x:c r="K2046" t="str">
        <x:v>Tarjeta débito</x:v>
      </x:c>
      <x:c r="L2046" t="str">
        <x:v>Sin error</x:v>
      </x:c>
    </x:row>
    <x:row r="2047">
      <x:c r="A2047" t="str">
        <x:v>TXN-0002046</x:v>
      </x:c>
      <x:c r="B2047" t="str">
        <x:v>2026-08</x:v>
      </x:c>
      <x:c r="C2047" t="n">
        <x:v>46240</x:v>
      </x:c>
      <x:c r="D2047" t="str">
        <x:v>USR-00336</x:v>
      </x:c>
      <x:c r="E2047" t="str">
        <x:v>SUS-000435</x:v>
      </x:c>
      <x:c r="F2047" t="str">
        <x:v>Plus mensual</x:v>
      </x:c>
      <x:c r="G2047" t="str">
        <x:v>Mensual</x:v>
      </x:c>
      <x:c r="H2047" t="n">
        <x:v>1</x:v>
      </x:c>
      <x:c r="I2047" t="str">
        <x:v>Aprobado</x:v>
      </x:c>
      <x:c r="J2047" t="n">
        <x:v>29900</x:v>
      </x:c>
      <x:c r="K2047" t="str">
        <x:v>PSE</x:v>
      </x:c>
      <x:c r="L2047" t="str">
        <x:v>Sin error</x:v>
      </x:c>
    </x:row>
    <x:row r="2048">
      <x:c r="A2048" t="str">
        <x:v>TXN-0002047</x:v>
      </x:c>
      <x:c r="B2048" t="str">
        <x:v>2026-08</x:v>
      </x:c>
      <x:c r="C2048" t="n">
        <x:v>46241</x:v>
      </x:c>
      <x:c r="D2048" t="str">
        <x:v>USR-00338</x:v>
      </x:c>
      <x:c r="E2048" t="str">
        <x:v>SUS-000856</x:v>
      </x:c>
      <x:c r="F2048" t="str">
        <x:v>Plus mensual</x:v>
      </x:c>
      <x:c r="G2048" t="str">
        <x:v>Mensual</x:v>
      </x:c>
      <x:c r="H2048" t="n">
        <x:v>1</x:v>
      </x:c>
      <x:c r="I2048" t="str">
        <x:v>Aprobado</x:v>
      </x:c>
      <x:c r="J2048" t="n">
        <x:v>29900</x:v>
      </x:c>
      <x:c r="K2048" t="str">
        <x:v>Tarjeta débito</x:v>
      </x:c>
      <x:c r="L2048" t="str">
        <x:v>Sin error</x:v>
      </x:c>
    </x:row>
    <x:row r="2049">
      <x:c r="A2049" t="str">
        <x:v>TXN-0002048</x:v>
      </x:c>
      <x:c r="B2049" t="str">
        <x:v>2026-08</x:v>
      </x:c>
      <x:c r="C2049" t="n">
        <x:v>46246</x:v>
      </x:c>
      <x:c r="D2049" t="str">
        <x:v>USR-00341</x:v>
      </x:c>
      <x:c r="E2049" t="str">
        <x:v>SUS-000980</x:v>
      </x:c>
      <x:c r="F2049" t="str">
        <x:v>Plus mensual</x:v>
      </x:c>
      <x:c r="G2049" t="str">
        <x:v>Mensual</x:v>
      </x:c>
      <x:c r="H2049" t="n">
        <x:v>1</x:v>
      </x:c>
      <x:c r="I2049" t="str">
        <x:v>Aprobado</x:v>
      </x:c>
      <x:c r="J2049" t="n">
        <x:v>29900</x:v>
      </x:c>
      <x:c r="K2049" t="str">
        <x:v>PSE</x:v>
      </x:c>
      <x:c r="L2049" t="str">
        <x:v>Sin error</x:v>
      </x:c>
    </x:row>
    <x:row r="2050">
      <x:c r="A2050" t="str">
        <x:v>TXN-0002049</x:v>
      </x:c>
      <x:c r="B2050" t="str">
        <x:v>2026-08</x:v>
      </x:c>
      <x:c r="C2050" t="n">
        <x:v>46241</x:v>
      </x:c>
      <x:c r="D2050" t="str">
        <x:v>USR-00343</x:v>
      </x:c>
      <x:c r="E2050" t="str">
        <x:v>SUS-001576</x:v>
      </x:c>
      <x:c r="F2050" t="str">
        <x:v>Plus anual</x:v>
      </x:c>
      <x:c r="G2050" t="str">
        <x:v>Anual</x:v>
      </x:c>
      <x:c r="H2050" t="n">
        <x:v>1</x:v>
      </x:c>
      <x:c r="I2050" t="str">
        <x:v>Aprobado</x:v>
      </x:c>
      <x:c r="J2050" t="n">
        <x:v>299000</x:v>
      </x:c>
      <x:c r="K2050" t="str">
        <x:v>Tarjeta crédito</x:v>
      </x:c>
      <x:c r="L2050" t="str">
        <x:v>Sin error</x:v>
      </x:c>
    </x:row>
    <x:row r="2051">
      <x:c r="A2051" t="str">
        <x:v>TXN-0002050</x:v>
      </x:c>
      <x:c r="B2051" t="str">
        <x:v>2026-08</x:v>
      </x:c>
      <x:c r="C2051" t="n">
        <x:v>46239</x:v>
      </x:c>
      <x:c r="D2051" t="str">
        <x:v>USR-00353</x:v>
      </x:c>
      <x:c r="E2051" t="str">
        <x:v>SUS-000857</x:v>
      </x:c>
      <x:c r="F2051" t="str">
        <x:v>Plus mensual</x:v>
      </x:c>
      <x:c r="G2051" t="str">
        <x:v>Mensual</x:v>
      </x:c>
      <x:c r="H2051" t="n">
        <x:v>1</x:v>
      </x:c>
      <x:c r="I2051" t="str">
        <x:v>Aprobado</x:v>
      </x:c>
      <x:c r="J2051" t="n">
        <x:v>29900</x:v>
      </x:c>
      <x:c r="K2051" t="str">
        <x:v>Tarjeta débito</x:v>
      </x:c>
      <x:c r="L2051" t="str">
        <x:v>Sin error</x:v>
      </x:c>
    </x:row>
    <x:row r="2052">
      <x:c r="A2052" t="str">
        <x:v>TXN-0002051</x:v>
      </x:c>
      <x:c r="B2052" t="str">
        <x:v>2026-08</x:v>
      </x:c>
      <x:c r="C2052" t="n">
        <x:v>46240</x:v>
      </x:c>
      <x:c r="D2052" t="str">
        <x:v>USR-00360</x:v>
      </x:c>
      <x:c r="E2052" t="str">
        <x:v>SUS-000638</x:v>
      </x:c>
      <x:c r="F2052" t="str">
        <x:v>Plus mensual</x:v>
      </x:c>
      <x:c r="G2052" t="str">
        <x:v>Mensual</x:v>
      </x:c>
      <x:c r="H2052" t="n">
        <x:v>1</x:v>
      </x:c>
      <x:c r="I2052" t="str">
        <x:v>Aprobado</x:v>
      </x:c>
      <x:c r="J2052" t="n">
        <x:v>29900</x:v>
      </x:c>
      <x:c r="K2052" t="str">
        <x:v>PSE</x:v>
      </x:c>
      <x:c r="L2052" t="str">
        <x:v>Sin error</x:v>
      </x:c>
    </x:row>
    <x:row r="2053">
      <x:c r="A2053" t="str">
        <x:v>TXN-0002052</x:v>
      </x:c>
      <x:c r="B2053" t="str">
        <x:v>2026-08</x:v>
      </x:c>
      <x:c r="C2053" t="n">
        <x:v>46240</x:v>
      </x:c>
      <x:c r="D2053" t="str">
        <x:v>USR-00372</x:v>
      </x:c>
      <x:c r="E2053" t="str">
        <x:v>SUS-000983</x:v>
      </x:c>
      <x:c r="F2053" t="str">
        <x:v>Plus mensual</x:v>
      </x:c>
      <x:c r="G2053" t="str">
        <x:v>Mensual</x:v>
      </x:c>
      <x:c r="H2053" t="n">
        <x:v>1</x:v>
      </x:c>
      <x:c r="I2053" t="str">
        <x:v>Aprobado</x:v>
      </x:c>
      <x:c r="J2053" t="n">
        <x:v>29900</x:v>
      </x:c>
      <x:c r="K2053" t="str">
        <x:v>PSE</x:v>
      </x:c>
      <x:c r="L2053" t="str">
        <x:v>Sin error</x:v>
      </x:c>
    </x:row>
    <x:row r="2054">
      <x:c r="A2054" t="str">
        <x:v>TXN-0002053</x:v>
      </x:c>
      <x:c r="B2054" t="str">
        <x:v>2026-08</x:v>
      </x:c>
      <x:c r="C2054" t="n">
        <x:v>46244</x:v>
      </x:c>
      <x:c r="D2054" t="str">
        <x:v>USR-00377</x:v>
      </x:c>
      <x:c r="E2054" t="str">
        <x:v>SUS-000492</x:v>
      </x:c>
      <x:c r="F2054" t="str">
        <x:v>Plus mensual</x:v>
      </x:c>
      <x:c r="G2054" t="str">
        <x:v>Mensual</x:v>
      </x:c>
      <x:c r="H2054" t="n">
        <x:v>1</x:v>
      </x:c>
      <x:c r="I2054" t="str">
        <x:v>Aprobado</x:v>
      </x:c>
      <x:c r="J2054" t="n">
        <x:v>29900</x:v>
      </x:c>
      <x:c r="K2054" t="str">
        <x:v>Tarjeta débito</x:v>
      </x:c>
      <x:c r="L2054" t="str">
        <x:v>Sin error</x:v>
      </x:c>
    </x:row>
    <x:row r="2055">
      <x:c r="A2055" t="str">
        <x:v>TXN-0002054</x:v>
      </x:c>
      <x:c r="B2055" t="str">
        <x:v>2026-08</x:v>
      </x:c>
      <x:c r="C2055" t="n">
        <x:v>46241</x:v>
      </x:c>
      <x:c r="D2055" t="str">
        <x:v>USR-00378</x:v>
      </x:c>
      <x:c r="E2055" t="str">
        <x:v>SUS-001427</x:v>
      </x:c>
      <x:c r="F2055" t="str">
        <x:v>Plus mensual</x:v>
      </x:c>
      <x:c r="G2055" t="str">
        <x:v>Mensual</x:v>
      </x:c>
      <x:c r="H2055" t="n">
        <x:v>1</x:v>
      </x:c>
      <x:c r="I2055" t="str">
        <x:v>Aprobado</x:v>
      </x:c>
      <x:c r="J2055" t="n">
        <x:v>29900</x:v>
      </x:c>
      <x:c r="K2055" t="str">
        <x:v>Tarjeta crédito</x:v>
      </x:c>
      <x:c r="L2055" t="str">
        <x:v>Sin error</x:v>
      </x:c>
    </x:row>
    <x:row r="2056">
      <x:c r="A2056" t="str">
        <x:v>TXN-0002055</x:v>
      </x:c>
      <x:c r="B2056" t="str">
        <x:v>2026-08</x:v>
      </x:c>
      <x:c r="C2056" t="n">
        <x:v>46241</x:v>
      </x:c>
      <x:c r="D2056" t="str">
        <x:v>USR-00379</x:v>
      </x:c>
      <x:c r="E2056" t="str">
        <x:v>SUS-001428</x:v>
      </x:c>
      <x:c r="F2056" t="str">
        <x:v>Plus mensual</x:v>
      </x:c>
      <x:c r="G2056" t="str">
        <x:v>Mensual</x:v>
      </x:c>
      <x:c r="H2056" t="n">
        <x:v>1</x:v>
      </x:c>
      <x:c r="I2056" t="str">
        <x:v>Aprobado</x:v>
      </x:c>
      <x:c r="J2056" t="n">
        <x:v>29900</x:v>
      </x:c>
      <x:c r="K2056" t="str">
        <x:v>Tarjeta débito</x:v>
      </x:c>
      <x:c r="L2056" t="str">
        <x:v>Sin error</x:v>
      </x:c>
    </x:row>
    <x:row r="2057">
      <x:c r="A2057" t="str">
        <x:v>TXN-0002056</x:v>
      </x:c>
      <x:c r="B2057" t="str">
        <x:v>2026-08</x:v>
      </x:c>
      <x:c r="C2057" t="n">
        <x:v>46240</x:v>
      </x:c>
      <x:c r="D2057" t="str">
        <x:v>USR-00380</x:v>
      </x:c>
      <x:c r="E2057" t="str">
        <x:v>SUS-000495</x:v>
      </x:c>
      <x:c r="F2057" t="str">
        <x:v>Plus mensual</x:v>
      </x:c>
      <x:c r="G2057" t="str">
        <x:v>Mensual</x:v>
      </x:c>
      <x:c r="H2057" t="n">
        <x:v>1</x:v>
      </x:c>
      <x:c r="I2057" t="str">
        <x:v>Aprobado</x:v>
      </x:c>
      <x:c r="J2057" t="n">
        <x:v>29900</x:v>
      </x:c>
      <x:c r="K2057" t="str">
        <x:v>Tarjeta débito</x:v>
      </x:c>
      <x:c r="L2057" t="str">
        <x:v>Sin error</x:v>
      </x:c>
    </x:row>
    <x:row r="2058">
      <x:c r="A2058" t="str">
        <x:v>TXN-0002057</x:v>
      </x:c>
      <x:c r="B2058" t="str">
        <x:v>2026-08</x:v>
      </x:c>
      <x:c r="C2058" t="n">
        <x:v>46246</x:v>
      </x:c>
      <x:c r="D2058" t="str">
        <x:v>USR-00384</x:v>
      </x:c>
      <x:c r="E2058" t="str">
        <x:v>SUS-000984</x:v>
      </x:c>
      <x:c r="F2058" t="str">
        <x:v>Plus mensual</x:v>
      </x:c>
      <x:c r="G2058" t="str">
        <x:v>Mensual</x:v>
      </x:c>
      <x:c r="H2058" t="n">
        <x:v>1</x:v>
      </x:c>
      <x:c r="I2058" t="str">
        <x:v>Aprobado</x:v>
      </x:c>
      <x:c r="J2058" t="n">
        <x:v>29900</x:v>
      </x:c>
      <x:c r="K2058" t="str">
        <x:v>Tarjeta débito</x:v>
      </x:c>
      <x:c r="L2058" t="str">
        <x:v>Sin error</x:v>
      </x:c>
    </x:row>
    <x:row r="2059">
      <x:c r="A2059" t="str">
        <x:v>TXN-0002058</x:v>
      </x:c>
      <x:c r="B2059" t="str">
        <x:v>2026-08</x:v>
      </x:c>
      <x:c r="C2059" t="n">
        <x:v>46244</x:v>
      </x:c>
      <x:c r="D2059" t="str">
        <x:v>USR-00387</x:v>
      </x:c>
      <x:c r="E2059" t="str">
        <x:v>SUS-001125</x:v>
      </x:c>
      <x:c r="F2059" t="str">
        <x:v>Plus mensual</x:v>
      </x:c>
      <x:c r="G2059" t="str">
        <x:v>Mensual</x:v>
      </x:c>
      <x:c r="H2059" t="n">
        <x:v>1</x:v>
      </x:c>
      <x:c r="I2059" t="str">
        <x:v>Aprobado</x:v>
      </x:c>
      <x:c r="J2059" t="n">
        <x:v>29900</x:v>
      </x:c>
      <x:c r="K2059" t="str">
        <x:v>Tarjeta crédito</x:v>
      </x:c>
      <x:c r="L2059" t="str">
        <x:v>Sin error</x:v>
      </x:c>
    </x:row>
    <x:row r="2060">
      <x:c r="A2060" t="str">
        <x:v>TXN-0002059</x:v>
      </x:c>
      <x:c r="B2060" t="str">
        <x:v>2026-08</x:v>
      </x:c>
      <x:c r="C2060" t="n">
        <x:v>46240</x:v>
      </x:c>
      <x:c r="D2060" t="str">
        <x:v>USR-00389</x:v>
      </x:c>
      <x:c r="E2060" t="str">
        <x:v>SUS-000641</x:v>
      </x:c>
      <x:c r="F2060" t="str">
        <x:v>Plus mensual</x:v>
      </x:c>
      <x:c r="G2060" t="str">
        <x:v>Mensual</x:v>
      </x:c>
      <x:c r="H2060" t="n">
        <x:v>1</x:v>
      </x:c>
      <x:c r="I2060" t="str">
        <x:v>Aprobado</x:v>
      </x:c>
      <x:c r="J2060" t="n">
        <x:v>29900</x:v>
      </x:c>
      <x:c r="K2060" t="str">
        <x:v>Tarjeta débito</x:v>
      </x:c>
      <x:c r="L2060" t="str">
        <x:v>Sin error</x:v>
      </x:c>
    </x:row>
    <x:row r="2061">
      <x:c r="A2061" t="str">
        <x:v>TXN-0002060</x:v>
      </x:c>
      <x:c r="B2061" t="str">
        <x:v>2026-08</x:v>
      </x:c>
      <x:c r="C2061" t="n">
        <x:v>46243</x:v>
      </x:c>
      <x:c r="D2061" t="str">
        <x:v>USR-00391</x:v>
      </x:c>
      <x:c r="E2061" t="str">
        <x:v>SUS-000506</x:v>
      </x:c>
      <x:c r="F2061" t="str">
        <x:v>Plus mensual</x:v>
      </x:c>
      <x:c r="G2061" t="str">
        <x:v>Mensual</x:v>
      </x:c>
      <x:c r="H2061" t="n">
        <x:v>1</x:v>
      </x:c>
      <x:c r="I2061" t="str">
        <x:v>Aprobado</x:v>
      </x:c>
      <x:c r="J2061" t="n">
        <x:v>29900</x:v>
      </x:c>
      <x:c r="K2061" t="str">
        <x:v>Tarjeta débito</x:v>
      </x:c>
      <x:c r="L2061" t="str">
        <x:v>Sin error</x:v>
      </x:c>
    </x:row>
    <x:row r="2062">
      <x:c r="A2062" t="str">
        <x:v>TXN-0002061</x:v>
      </x:c>
      <x:c r="B2062" t="str">
        <x:v>2026-08</x:v>
      </x:c>
      <x:c r="C2062" t="n">
        <x:v>46244</x:v>
      </x:c>
      <x:c r="D2062" t="str">
        <x:v>USR-00395</x:v>
      </x:c>
      <x:c r="E2062" t="str">
        <x:v>SUS-000642</x:v>
      </x:c>
      <x:c r="F2062" t="str">
        <x:v>Plus mensual</x:v>
      </x:c>
      <x:c r="G2062" t="str">
        <x:v>Mensual</x:v>
      </x:c>
      <x:c r="H2062" t="n">
        <x:v>1</x:v>
      </x:c>
      <x:c r="I2062" t="str">
        <x:v>Aprobado</x:v>
      </x:c>
      <x:c r="J2062" t="n">
        <x:v>29900</x:v>
      </x:c>
      <x:c r="K2062" t="str">
        <x:v>Tarjeta débito</x:v>
      </x:c>
      <x:c r="L2062" t="str">
        <x:v>Sin error</x:v>
      </x:c>
    </x:row>
    <x:row r="2063">
      <x:c r="A2063" t="str">
        <x:v>TXN-0002062</x:v>
      </x:c>
      <x:c r="B2063" t="str">
        <x:v>2026-08</x:v>
      </x:c>
      <x:c r="C2063" t="n">
        <x:v>46245</x:v>
      </x:c>
      <x:c r="D2063" t="str">
        <x:v>USR-00396</x:v>
      </x:c>
      <x:c r="E2063" t="str">
        <x:v>SUS-000511</x:v>
      </x:c>
      <x:c r="F2063" t="str">
        <x:v>Plus mensual</x:v>
      </x:c>
      <x:c r="G2063" t="str">
        <x:v>Mensual</x:v>
      </x:c>
      <x:c r="H2063" t="n">
        <x:v>1</x:v>
      </x:c>
      <x:c r="I2063" t="str">
        <x:v>Aprobado</x:v>
      </x:c>
      <x:c r="J2063" t="n">
        <x:v>29900</x:v>
      </x:c>
      <x:c r="K2063" t="str">
        <x:v>Tarjeta crédito</x:v>
      </x:c>
      <x:c r="L2063" t="str">
        <x:v>Sin error</x:v>
      </x:c>
    </x:row>
    <x:row r="2064">
      <x:c r="A2064" t="str">
        <x:v>TXN-0002063</x:v>
      </x:c>
      <x:c r="B2064" t="str">
        <x:v>2026-08</x:v>
      </x:c>
      <x:c r="C2064" t="n">
        <x:v>46241</x:v>
      </x:c>
      <x:c r="D2064" t="str">
        <x:v>USR-00403</x:v>
      </x:c>
      <x:c r="E2064" t="str">
        <x:v>SUS-000987</x:v>
      </x:c>
      <x:c r="F2064" t="str">
        <x:v>Plus mensual</x:v>
      </x:c>
      <x:c r="G2064" t="str">
        <x:v>Mensual</x:v>
      </x:c>
      <x:c r="H2064" t="n">
        <x:v>1</x:v>
      </x:c>
      <x:c r="I2064" t="str">
        <x:v>Aprobado</x:v>
      </x:c>
      <x:c r="J2064" t="n">
        <x:v>29900</x:v>
      </x:c>
      <x:c r="K2064" t="str">
        <x:v>PSE</x:v>
      </x:c>
      <x:c r="L2064" t="str">
        <x:v>Sin error</x:v>
      </x:c>
    </x:row>
    <x:row r="2065">
      <x:c r="A2065" t="str">
        <x:v>TXN-0002064</x:v>
      </x:c>
      <x:c r="B2065" t="str">
        <x:v>2026-08</x:v>
      </x:c>
      <x:c r="C2065" t="n">
        <x:v>46243</x:v>
      </x:c>
      <x:c r="D2065" t="str">
        <x:v>USR-00404</x:v>
      </x:c>
      <x:c r="E2065" t="str">
        <x:v>SUS-000861</x:v>
      </x:c>
      <x:c r="F2065" t="str">
        <x:v>Plus mensual</x:v>
      </x:c>
      <x:c r="G2065" t="str">
        <x:v>Mensual</x:v>
      </x:c>
      <x:c r="H2065" t="n">
        <x:v>1</x:v>
      </x:c>
      <x:c r="I2065" t="str">
        <x:v>Aprobado</x:v>
      </x:c>
      <x:c r="J2065" t="n">
        <x:v>29900</x:v>
      </x:c>
      <x:c r="K2065" t="str">
        <x:v>Tarjeta débito</x:v>
      </x:c>
      <x:c r="L2065" t="str">
        <x:v>Sin error</x:v>
      </x:c>
    </x:row>
    <x:row r="2066">
      <x:c r="A2066" t="str">
        <x:v>TXN-0002065</x:v>
      </x:c>
      <x:c r="B2066" t="str">
        <x:v>2026-08</x:v>
      </x:c>
      <x:c r="C2066" t="n">
        <x:v>46243</x:v>
      </x:c>
      <x:c r="D2066" t="str">
        <x:v>USR-00409</x:v>
      </x:c>
      <x:c r="E2066" t="str">
        <x:v>SUS-000988</x:v>
      </x:c>
      <x:c r="F2066" t="str">
        <x:v>Plus mensual</x:v>
      </x:c>
      <x:c r="G2066" t="str">
        <x:v>Mensual</x:v>
      </x:c>
      <x:c r="H2066" t="n">
        <x:v>1</x:v>
      </x:c>
      <x:c r="I2066" t="str">
        <x:v>Aprobado</x:v>
      </x:c>
      <x:c r="J2066" t="n">
        <x:v>29900</x:v>
      </x:c>
      <x:c r="K2066" t="str">
        <x:v>Tarjeta débito</x:v>
      </x:c>
      <x:c r="L2066" t="str">
        <x:v>Sin error</x:v>
      </x:c>
    </x:row>
    <x:row r="2067">
      <x:c r="A2067" t="str">
        <x:v>TXN-0002066</x:v>
      </x:c>
      <x:c r="B2067" t="str">
        <x:v>2026-08</x:v>
      </x:c>
      <x:c r="C2067" t="n">
        <x:v>46243</x:v>
      </x:c>
      <x:c r="D2067" t="str">
        <x:v>USR-00413</x:v>
      </x:c>
      <x:c r="E2067" t="str">
        <x:v>SUS-000862</x:v>
      </x:c>
      <x:c r="F2067" t="str">
        <x:v>Plus mensual</x:v>
      </x:c>
      <x:c r="G2067" t="str">
        <x:v>Mensual</x:v>
      </x:c>
      <x:c r="H2067" t="n">
        <x:v>1</x:v>
      </x:c>
      <x:c r="I2067" t="str">
        <x:v>Aprobado</x:v>
      </x:c>
      <x:c r="J2067" t="n">
        <x:v>29900</x:v>
      </x:c>
      <x:c r="K2067" t="str">
        <x:v>Tarjeta crédito</x:v>
      </x:c>
      <x:c r="L2067" t="str">
        <x:v>Sin error</x:v>
      </x:c>
    </x:row>
    <x:row r="2068">
      <x:c r="A2068" t="str">
        <x:v>TXN-0002067</x:v>
      </x:c>
      <x:c r="B2068" t="str">
        <x:v>2026-08</x:v>
      </x:c>
      <x:c r="C2068" t="n">
        <x:v>46242</x:v>
      </x:c>
      <x:c r="D2068" t="str">
        <x:v>USR-00414</x:v>
      </x:c>
      <x:c r="E2068" t="str">
        <x:v>SUS-000556</x:v>
      </x:c>
      <x:c r="F2068" t="str">
        <x:v>Plus mensual</x:v>
      </x:c>
      <x:c r="G2068" t="str">
        <x:v>Mensual</x:v>
      </x:c>
      <x:c r="H2068" t="n">
        <x:v>1</x:v>
      </x:c>
      <x:c r="I2068" t="str">
        <x:v>Aprobado</x:v>
      </x:c>
      <x:c r="J2068" t="n">
        <x:v>29900</x:v>
      </x:c>
      <x:c r="K2068" t="str">
        <x:v>PSE</x:v>
      </x:c>
      <x:c r="L2068" t="str">
        <x:v>Sin error</x:v>
      </x:c>
    </x:row>
    <x:row r="2069">
      <x:c r="A2069" t="str">
        <x:v>TXN-0002068</x:v>
      </x:c>
      <x:c r="B2069" t="str">
        <x:v>2026-08</x:v>
      </x:c>
      <x:c r="C2069" t="n">
        <x:v>46242</x:v>
      </x:c>
      <x:c r="D2069" t="str">
        <x:v>USR-00416</x:v>
      </x:c>
      <x:c r="E2069" t="str">
        <x:v>SUS-000863</x:v>
      </x:c>
      <x:c r="F2069" t="str">
        <x:v>Plus mensual</x:v>
      </x:c>
      <x:c r="G2069" t="str">
        <x:v>Mensual</x:v>
      </x:c>
      <x:c r="H2069" t="n">
        <x:v>1</x:v>
      </x:c>
      <x:c r="I2069" t="str">
        <x:v>Aprobado</x:v>
      </x:c>
      <x:c r="J2069" t="n">
        <x:v>29900</x:v>
      </x:c>
      <x:c r="K2069" t="str">
        <x:v>Tarjeta débito</x:v>
      </x:c>
      <x:c r="L2069" t="str">
        <x:v>Sin error</x:v>
      </x:c>
    </x:row>
    <x:row r="2070">
      <x:c r="A2070" t="str">
        <x:v>TXN-0002069</x:v>
      </x:c>
      <x:c r="B2070" t="str">
        <x:v>2026-08</x:v>
      </x:c>
      <x:c r="C2070" t="n">
        <x:v>46239</x:v>
      </x:c>
      <x:c r="D2070" t="str">
        <x:v>USR-00419</x:v>
      </x:c>
      <x:c r="E2070" t="str">
        <x:v>SIN_SUSCRIPCION</x:v>
      </x:c>
      <x:c r="F2070" t="str">
        <x:v>Plus mensual</x:v>
      </x:c>
      <x:c r="G2070" t="str">
        <x:v>Mensual</x:v>
      </x:c>
      <x:c r="H2070" t="n">
        <x:v>1</x:v>
      </x:c>
      <x:c r="I2070" t="str">
        <x:v>Rechazado</x:v>
      </x:c>
      <x:c r="J2070" t="n">
        <x:v>29900</x:v>
      </x:c>
      <x:c r="K2070" t="str">
        <x:v>PSE</x:v>
      </x:c>
      <x:c r="L2070" t="str">
        <x:v>Error temporal</x:v>
      </x:c>
    </x:row>
    <x:row r="2071">
      <x:c r="A2071" t="str">
        <x:v>TXN-0002070</x:v>
      </x:c>
      <x:c r="B2071" t="str">
        <x:v>2026-08</x:v>
      </x:c>
      <x:c r="C2071" t="n">
        <x:v>46244</x:v>
      </x:c>
      <x:c r="D2071" t="str">
        <x:v>USR-00419</x:v>
      </x:c>
      <x:c r="E2071" t="str">
        <x:v>SIN_SUSCRIPCION</x:v>
      </x:c>
      <x:c r="F2071" t="str">
        <x:v>Plus mensual</x:v>
      </x:c>
      <x:c r="G2071" t="str">
        <x:v>Mensual</x:v>
      </x:c>
      <x:c r="H2071" t="n">
        <x:v>2</x:v>
      </x:c>
      <x:c r="I2071" t="str">
        <x:v>Rechazado</x:v>
      </x:c>
      <x:c r="J2071" t="n">
        <x:v>29900</x:v>
      </x:c>
      <x:c r="K2071" t="str">
        <x:v>Tarjeta crédito</x:v>
      </x:c>
      <x:c r="L2071" t="str">
        <x:v>Error temporal</x:v>
      </x:c>
    </x:row>
    <x:row r="2072">
      <x:c r="A2072" t="str">
        <x:v>TXN-0002071</x:v>
      </x:c>
      <x:c r="B2072" t="str">
        <x:v>2026-08</x:v>
      </x:c>
      <x:c r="C2072" t="n">
        <x:v>46244</x:v>
      </x:c>
      <x:c r="D2072" t="str">
        <x:v>USR-00421</x:v>
      </x:c>
      <x:c r="E2072" t="str">
        <x:v>SUS-000864</x:v>
      </x:c>
      <x:c r="F2072" t="str">
        <x:v>Plus mensual</x:v>
      </x:c>
      <x:c r="G2072" t="str">
        <x:v>Mensual</x:v>
      </x:c>
      <x:c r="H2072" t="n">
        <x:v>1</x:v>
      </x:c>
      <x:c r="I2072" t="str">
        <x:v>Aprobado</x:v>
      </x:c>
      <x:c r="J2072" t="n">
        <x:v>29900</x:v>
      </x:c>
      <x:c r="K2072" t="str">
        <x:v>Tarjeta crédito</x:v>
      </x:c>
      <x:c r="L2072" t="str">
        <x:v>Sin error</x:v>
      </x:c>
    </x:row>
    <x:row r="2073">
      <x:c r="A2073" t="str">
        <x:v>TXN-0002072</x:v>
      </x:c>
      <x:c r="B2073" t="str">
        <x:v>2026-08</x:v>
      </x:c>
      <x:c r="C2073" t="n">
        <x:v>46241</x:v>
      </x:c>
      <x:c r="D2073" t="str">
        <x:v>USR-00422</x:v>
      </x:c>
      <x:c r="E2073" t="str">
        <x:v>SUS-001578</x:v>
      </x:c>
      <x:c r="F2073" t="str">
        <x:v>Plus mensual</x:v>
      </x:c>
      <x:c r="G2073" t="str">
        <x:v>Mensual</x:v>
      </x:c>
      <x:c r="H2073" t="n">
        <x:v>1</x:v>
      </x:c>
      <x:c r="I2073" t="str">
        <x:v>Aprobado</x:v>
      </x:c>
      <x:c r="J2073" t="n">
        <x:v>29900</x:v>
      </x:c>
      <x:c r="K2073" t="str">
        <x:v>PSE</x:v>
      </x:c>
      <x:c r="L2073" t="str">
        <x:v>Sin error</x:v>
      </x:c>
    </x:row>
    <x:row r="2074">
      <x:c r="A2074" t="str">
        <x:v>TXN-0002073</x:v>
      </x:c>
      <x:c r="B2074" t="str">
        <x:v>2026-08</x:v>
      </x:c>
      <x:c r="C2074" t="n">
        <x:v>46240</x:v>
      </x:c>
      <x:c r="D2074" t="str">
        <x:v>USR-00423</x:v>
      </x:c>
      <x:c r="E2074" t="str">
        <x:v>SUS-000565</x:v>
      </x:c>
      <x:c r="F2074" t="str">
        <x:v>Plus mensual</x:v>
      </x:c>
      <x:c r="G2074" t="str">
        <x:v>Mensual</x:v>
      </x:c>
      <x:c r="H2074" t="n">
        <x:v>1</x:v>
      </x:c>
      <x:c r="I2074" t="str">
        <x:v>Aprobado</x:v>
      </x:c>
      <x:c r="J2074" t="n">
        <x:v>29900</x:v>
      </x:c>
      <x:c r="K2074" t="str">
        <x:v>Tarjeta crédito</x:v>
      </x:c>
      <x:c r="L2074" t="str">
        <x:v>Sin error</x:v>
      </x:c>
    </x:row>
    <x:row r="2075">
      <x:c r="A2075" t="str">
        <x:v>TXN-0002074</x:v>
      </x:c>
      <x:c r="B2075" t="str">
        <x:v>2026-08</x:v>
      </x:c>
      <x:c r="C2075" t="n">
        <x:v>46240</x:v>
      </x:c>
      <x:c r="D2075" t="str">
        <x:v>USR-00435</x:v>
      </x:c>
      <x:c r="E2075" t="str">
        <x:v>SUS-000577</x:v>
      </x:c>
      <x:c r="F2075" t="str">
        <x:v>Plus mensual</x:v>
      </x:c>
      <x:c r="G2075" t="str">
        <x:v>Mensual</x:v>
      </x:c>
      <x:c r="H2075" t="n">
        <x:v>1</x:v>
      </x:c>
      <x:c r="I2075" t="str">
        <x:v>Aprobado</x:v>
      </x:c>
      <x:c r="J2075" t="n">
        <x:v>29900</x:v>
      </x:c>
      <x:c r="K2075" t="str">
        <x:v>PSE</x:v>
      </x:c>
      <x:c r="L2075" t="str">
        <x:v>Sin error</x:v>
      </x:c>
    </x:row>
    <x:row r="2076">
      <x:c r="A2076" t="str">
        <x:v>TXN-0002075</x:v>
      </x:c>
      <x:c r="B2076" t="str">
        <x:v>2026-08</x:v>
      </x:c>
      <x:c r="C2076" t="n">
        <x:v>46246</x:v>
      </x:c>
      <x:c r="D2076" t="str">
        <x:v>USR-00438</x:v>
      </x:c>
      <x:c r="E2076" t="str">
        <x:v>SUS-001275</x:v>
      </x:c>
      <x:c r="F2076" t="str">
        <x:v>Plus mensual</x:v>
      </x:c>
      <x:c r="G2076" t="str">
        <x:v>Mensual</x:v>
      </x:c>
      <x:c r="H2076" t="n">
        <x:v>1</x:v>
      </x:c>
      <x:c r="I2076" t="str">
        <x:v>Aprobado</x:v>
      </x:c>
      <x:c r="J2076" t="n">
        <x:v>29900</x:v>
      </x:c>
      <x:c r="K2076" t="str">
        <x:v>PSE</x:v>
      </x:c>
      <x:c r="L2076" t="str">
        <x:v>Sin error</x:v>
      </x:c>
    </x:row>
    <x:row r="2077">
      <x:c r="A2077" t="str">
        <x:v>TXN-0002076</x:v>
      </x:c>
      <x:c r="B2077" t="str">
        <x:v>2026-08</x:v>
      </x:c>
      <x:c r="C2077" t="n">
        <x:v>46241</x:v>
      </x:c>
      <x:c r="D2077" t="str">
        <x:v>USR-00440</x:v>
      </x:c>
      <x:c r="E2077" t="str">
        <x:v>SUS-001128</x:v>
      </x:c>
      <x:c r="F2077" t="str">
        <x:v>Plus mensual</x:v>
      </x:c>
      <x:c r="G2077" t="str">
        <x:v>Mensual</x:v>
      </x:c>
      <x:c r="H2077" t="n">
        <x:v>1</x:v>
      </x:c>
      <x:c r="I2077" t="str">
        <x:v>Aprobado</x:v>
      </x:c>
      <x:c r="J2077" t="n">
        <x:v>29900</x:v>
      </x:c>
      <x:c r="K2077" t="str">
        <x:v>Tarjeta débito</x:v>
      </x:c>
      <x:c r="L2077" t="str">
        <x:v>Sin error</x:v>
      </x:c>
    </x:row>
    <x:row r="2078">
      <x:c r="A2078" t="str">
        <x:v>TXN-0002077</x:v>
      </x:c>
      <x:c r="B2078" t="str">
        <x:v>2026-08</x:v>
      </x:c>
      <x:c r="C2078" t="n">
        <x:v>46239</x:v>
      </x:c>
      <x:c r="D2078" t="str">
        <x:v>USR-00444</x:v>
      </x:c>
      <x:c r="E2078" t="str">
        <x:v>SUS-001579</x:v>
      </x:c>
      <x:c r="F2078" t="str">
        <x:v>Plus mensual</x:v>
      </x:c>
      <x:c r="G2078" t="str">
        <x:v>Mensual</x:v>
      </x:c>
      <x:c r="H2078" t="n">
        <x:v>1</x:v>
      </x:c>
      <x:c r="I2078" t="str">
        <x:v>Aprobado</x:v>
      </x:c>
      <x:c r="J2078" t="n">
        <x:v>29900</x:v>
      </x:c>
      <x:c r="K2078" t="str">
        <x:v>Tarjeta crédito</x:v>
      </x:c>
      <x:c r="L2078" t="str">
        <x:v>Sin error</x:v>
      </x:c>
    </x:row>
    <x:row r="2079">
      <x:c r="A2079" t="str">
        <x:v>TXN-0002078</x:v>
      </x:c>
      <x:c r="B2079" t="str">
        <x:v>2026-08</x:v>
      </x:c>
      <x:c r="C2079" t="n">
        <x:v>46242</x:v>
      </x:c>
      <x:c r="D2079" t="str">
        <x:v>USR-00446</x:v>
      </x:c>
      <x:c r="E2079" t="str">
        <x:v>SUS-000588</x:v>
      </x:c>
      <x:c r="F2079" t="str">
        <x:v>Plus mensual</x:v>
      </x:c>
      <x:c r="G2079" t="str">
        <x:v>Mensual</x:v>
      </x:c>
      <x:c r="H2079" t="n">
        <x:v>1</x:v>
      </x:c>
      <x:c r="I2079" t="str">
        <x:v>Aprobado</x:v>
      </x:c>
      <x:c r="J2079" t="n">
        <x:v>29900</x:v>
      </x:c>
      <x:c r="K2079" t="str">
        <x:v>Tarjeta crédito</x:v>
      </x:c>
      <x:c r="L2079" t="str">
        <x:v>Sin error</x:v>
      </x:c>
    </x:row>
    <x:row r="2080">
      <x:c r="A2080" t="str">
        <x:v>TXN-0002079</x:v>
      </x:c>
      <x:c r="B2080" t="str">
        <x:v>2026-08</x:v>
      </x:c>
      <x:c r="C2080" t="n">
        <x:v>46246</x:v>
      </x:c>
      <x:c r="D2080" t="str">
        <x:v>USR-00450</x:v>
      </x:c>
      <x:c r="E2080" t="str">
        <x:v>SUS-000867</x:v>
      </x:c>
      <x:c r="F2080" t="str">
        <x:v>Plus mensual</x:v>
      </x:c>
      <x:c r="G2080" t="str">
        <x:v>Mensual</x:v>
      </x:c>
      <x:c r="H2080" t="n">
        <x:v>1</x:v>
      </x:c>
      <x:c r="I2080" t="str">
        <x:v>Aprobado</x:v>
      </x:c>
      <x:c r="J2080" t="n">
        <x:v>29900</x:v>
      </x:c>
      <x:c r="K2080" t="str">
        <x:v>Tarjeta débito</x:v>
      </x:c>
      <x:c r="L2080" t="str">
        <x:v>Sin error</x:v>
      </x:c>
    </x:row>
    <x:row r="2081">
      <x:c r="A2081" t="str">
        <x:v>TXN-0002080</x:v>
      </x:c>
      <x:c r="B2081" t="str">
        <x:v>2026-08</x:v>
      </x:c>
      <x:c r="C2081" t="n">
        <x:v>46240</x:v>
      </x:c>
      <x:c r="D2081" t="str">
        <x:v>USR-00452</x:v>
      </x:c>
      <x:c r="E2081" t="str">
        <x:v>SUS-000868</x:v>
      </x:c>
      <x:c r="F2081" t="str">
        <x:v>Plus mensual</x:v>
      </x:c>
      <x:c r="G2081" t="str">
        <x:v>Mensual</x:v>
      </x:c>
      <x:c r="H2081" t="n">
        <x:v>1</x:v>
      </x:c>
      <x:c r="I2081" t="str">
        <x:v>Aprobado</x:v>
      </x:c>
      <x:c r="J2081" t="n">
        <x:v>29900</x:v>
      </x:c>
      <x:c r="K2081" t="str">
        <x:v>PSE</x:v>
      </x:c>
      <x:c r="L2081" t="str">
        <x:v>Sin error</x:v>
      </x:c>
    </x:row>
    <x:row r="2082">
      <x:c r="A2082" t="str">
        <x:v>TXN-0002081</x:v>
      </x:c>
      <x:c r="B2082" t="str">
        <x:v>2026-08</x:v>
      </x:c>
      <x:c r="C2082" t="n">
        <x:v>46242</x:v>
      </x:c>
      <x:c r="D2082" t="str">
        <x:v>USR-00455</x:v>
      </x:c>
      <x:c r="E2082" t="str">
        <x:v>SUS-001429</x:v>
      </x:c>
      <x:c r="F2082" t="str">
        <x:v>Plus mensual</x:v>
      </x:c>
      <x:c r="G2082" t="str">
        <x:v>Mensual</x:v>
      </x:c>
      <x:c r="H2082" t="n">
        <x:v>1</x:v>
      </x:c>
      <x:c r="I2082" t="str">
        <x:v>Aprobado</x:v>
      </x:c>
      <x:c r="J2082" t="n">
        <x:v>29900</x:v>
      </x:c>
      <x:c r="K2082" t="str">
        <x:v>Tarjeta crédito</x:v>
      </x:c>
      <x:c r="L2082" t="str">
        <x:v>Sin error</x:v>
      </x:c>
    </x:row>
    <x:row r="2083">
      <x:c r="A2083" t="str">
        <x:v>TXN-0002082</x:v>
      </x:c>
      <x:c r="B2083" t="str">
        <x:v>2026-08</x:v>
      </x:c>
      <x:c r="C2083" t="n">
        <x:v>46244</x:v>
      </x:c>
      <x:c r="D2083" t="str">
        <x:v>USR-00456</x:v>
      </x:c>
      <x:c r="E2083" t="str">
        <x:v>SUS-000598</x:v>
      </x:c>
      <x:c r="F2083" t="str">
        <x:v>Plus mensual</x:v>
      </x:c>
      <x:c r="G2083" t="str">
        <x:v>Mensual</x:v>
      </x:c>
      <x:c r="H2083" t="n">
        <x:v>1</x:v>
      </x:c>
      <x:c r="I2083" t="str">
        <x:v>Aprobado</x:v>
      </x:c>
      <x:c r="J2083" t="n">
        <x:v>29900</x:v>
      </x:c>
      <x:c r="K2083" t="str">
        <x:v>Tarjeta débito</x:v>
      </x:c>
      <x:c r="L2083" t="str">
        <x:v>Sin error</x:v>
      </x:c>
    </x:row>
    <x:row r="2084">
      <x:c r="A2084" t="str">
        <x:v>TXN-0002083</x:v>
      </x:c>
      <x:c r="B2084" t="str">
        <x:v>2026-08</x:v>
      </x:c>
      <x:c r="C2084" t="n">
        <x:v>46241</x:v>
      </x:c>
      <x:c r="D2084" t="str">
        <x:v>USR-00457</x:v>
      </x:c>
      <x:c r="E2084" t="str">
        <x:v>SUS-001430</x:v>
      </x:c>
      <x:c r="F2084" t="str">
        <x:v>Plus mensual</x:v>
      </x:c>
      <x:c r="G2084" t="str">
        <x:v>Mensual</x:v>
      </x:c>
      <x:c r="H2084" t="n">
        <x:v>1</x:v>
      </x:c>
      <x:c r="I2084" t="str">
        <x:v>Aprobado</x:v>
      </x:c>
      <x:c r="J2084" t="n">
        <x:v>29900</x:v>
      </x:c>
      <x:c r="K2084" t="str">
        <x:v>Tarjeta crédito</x:v>
      </x:c>
      <x:c r="L2084" t="str">
        <x:v>Sin error</x:v>
      </x:c>
    </x:row>
    <x:row r="2085">
      <x:c r="A2085" t="str">
        <x:v>TXN-0002084</x:v>
      </x:c>
      <x:c r="B2085" t="str">
        <x:v>2026-08</x:v>
      </x:c>
      <x:c r="C2085" t="n">
        <x:v>46239</x:v>
      </x:c>
      <x:c r="D2085" t="str">
        <x:v>USR-00458</x:v>
      </x:c>
      <x:c r="E2085" t="str">
        <x:v>SUS-000600</x:v>
      </x:c>
      <x:c r="F2085" t="str">
        <x:v>Plus mensual</x:v>
      </x:c>
      <x:c r="G2085" t="str">
        <x:v>Mensual</x:v>
      </x:c>
      <x:c r="H2085" t="n">
        <x:v>1</x:v>
      </x:c>
      <x:c r="I2085" t="str">
        <x:v>Aprobado</x:v>
      </x:c>
      <x:c r="J2085" t="n">
        <x:v>29900</x:v>
      </x:c>
      <x:c r="K2085" t="str">
        <x:v>Tarjeta crédito</x:v>
      </x:c>
      <x:c r="L2085" t="str">
        <x:v>Sin error</x:v>
      </x:c>
    </x:row>
    <x:row r="2086">
      <x:c r="A2086" t="str">
        <x:v>TXN-0002085</x:v>
      </x:c>
      <x:c r="B2086" t="str">
        <x:v>2026-08</x:v>
      </x:c>
      <x:c r="C2086" t="n">
        <x:v>46242</x:v>
      </x:c>
      <x:c r="D2086" t="str">
        <x:v>USR-00459</x:v>
      </x:c>
      <x:c r="E2086" t="str">
        <x:v>SUS-001580</x:v>
      </x:c>
      <x:c r="F2086" t="str">
        <x:v>Plus mensual</x:v>
      </x:c>
      <x:c r="G2086" t="str">
        <x:v>Mensual</x:v>
      </x:c>
      <x:c r="H2086" t="n">
        <x:v>1</x:v>
      </x:c>
      <x:c r="I2086" t="str">
        <x:v>Aprobado</x:v>
      </x:c>
      <x:c r="J2086" t="n">
        <x:v>29900</x:v>
      </x:c>
      <x:c r="K2086" t="str">
        <x:v>Tarjeta crédito</x:v>
      </x:c>
      <x:c r="L2086" t="str">
        <x:v>Sin error</x:v>
      </x:c>
    </x:row>
    <x:row r="2087">
      <x:c r="A2087" t="str">
        <x:v>TXN-0002086</x:v>
      </x:c>
      <x:c r="B2087" t="str">
        <x:v>2026-08</x:v>
      </x:c>
      <x:c r="C2087" t="n">
        <x:v>46241</x:v>
      </x:c>
      <x:c r="D2087" t="str">
        <x:v>USR-00461</x:v>
      </x:c>
      <x:c r="E2087" t="str">
        <x:v>SUS-001581</x:v>
      </x:c>
      <x:c r="F2087" t="str">
        <x:v>Plus mensual</x:v>
      </x:c>
      <x:c r="G2087" t="str">
        <x:v>Mensual</x:v>
      </x:c>
      <x:c r="H2087" t="n">
        <x:v>1</x:v>
      </x:c>
      <x:c r="I2087" t="str">
        <x:v>Aprobado</x:v>
      </x:c>
      <x:c r="J2087" t="n">
        <x:v>29900</x:v>
      </x:c>
      <x:c r="K2087" t="str">
        <x:v>Tarjeta crédito</x:v>
      </x:c>
      <x:c r="L2087" t="str">
        <x:v>Sin error</x:v>
      </x:c>
    </x:row>
    <x:row r="2088">
      <x:c r="A2088" t="str">
        <x:v>TXN-0002087</x:v>
      </x:c>
      <x:c r="B2088" t="str">
        <x:v>2026-08</x:v>
      </x:c>
      <x:c r="C2088" t="n">
        <x:v>46241</x:v>
      </x:c>
      <x:c r="D2088" t="str">
        <x:v>USR-00465</x:v>
      </x:c>
      <x:c r="E2088" t="str">
        <x:v>SUS-000607</x:v>
      </x:c>
      <x:c r="F2088" t="str">
        <x:v>Plus mensual</x:v>
      </x:c>
      <x:c r="G2088" t="str">
        <x:v>Mensual</x:v>
      </x:c>
      <x:c r="H2088" t="n">
        <x:v>1</x:v>
      </x:c>
      <x:c r="I2088" t="str">
        <x:v>Aprobado</x:v>
      </x:c>
      <x:c r="J2088" t="n">
        <x:v>29900</x:v>
      </x:c>
      <x:c r="K2088" t="str">
        <x:v>PSE</x:v>
      </x:c>
      <x:c r="L2088" t="str">
        <x:v>Sin error</x:v>
      </x:c>
    </x:row>
    <x:row r="2089">
      <x:c r="A2089" t="str">
        <x:v>TXN-0002088</x:v>
      </x:c>
      <x:c r="B2089" t="str">
        <x:v>2026-08</x:v>
      </x:c>
      <x:c r="C2089" t="n">
        <x:v>46243</x:v>
      </x:c>
      <x:c r="D2089" t="str">
        <x:v>USR-00467</x:v>
      </x:c>
      <x:c r="E2089" t="str">
        <x:v>SUS-000763</x:v>
      </x:c>
      <x:c r="F2089" t="str">
        <x:v>Plus mensual</x:v>
      </x:c>
      <x:c r="G2089" t="str">
        <x:v>Mensual</x:v>
      </x:c>
      <x:c r="H2089" t="n">
        <x:v>1</x:v>
      </x:c>
      <x:c r="I2089" t="str">
        <x:v>Aprobado</x:v>
      </x:c>
      <x:c r="J2089" t="n">
        <x:v>29900</x:v>
      </x:c>
      <x:c r="K2089" t="str">
        <x:v>PSE</x:v>
      </x:c>
      <x:c r="L2089" t="str">
        <x:v>Sin error</x:v>
      </x:c>
    </x:row>
    <x:row r="2090">
      <x:c r="A2090" t="str">
        <x:v>TXN-0002089</x:v>
      </x:c>
      <x:c r="B2090" t="str">
        <x:v>2026-08</x:v>
      </x:c>
      <x:c r="C2090" t="n">
        <x:v>46242</x:v>
      </x:c>
      <x:c r="D2090" t="str">
        <x:v>USR-00469</x:v>
      </x:c>
      <x:c r="E2090" t="str">
        <x:v>SUS-000648</x:v>
      </x:c>
      <x:c r="F2090" t="str">
        <x:v>Plus mensual</x:v>
      </x:c>
      <x:c r="G2090" t="str">
        <x:v>Mensual</x:v>
      </x:c>
      <x:c r="H2090" t="n">
        <x:v>1</x:v>
      </x:c>
      <x:c r="I2090" t="str">
        <x:v>Aprobado</x:v>
      </x:c>
      <x:c r="J2090" t="n">
        <x:v>29900</x:v>
      </x:c>
      <x:c r="K2090" t="str">
        <x:v>PSE</x:v>
      </x:c>
      <x:c r="L2090" t="str">
        <x:v>Sin error</x:v>
      </x:c>
    </x:row>
    <x:row r="2091">
      <x:c r="A2091" t="str">
        <x:v>TXN-0002090</x:v>
      </x:c>
      <x:c r="B2091" t="str">
        <x:v>2026-08</x:v>
      </x:c>
      <x:c r="C2091" t="n">
        <x:v>46244</x:v>
      </x:c>
      <x:c r="D2091" t="str">
        <x:v>USR-00477</x:v>
      </x:c>
      <x:c r="E2091" t="str">
        <x:v>SUS-001278</x:v>
      </x:c>
      <x:c r="F2091" t="str">
        <x:v>Plus mensual</x:v>
      </x:c>
      <x:c r="G2091" t="str">
        <x:v>Mensual</x:v>
      </x:c>
      <x:c r="H2091" t="n">
        <x:v>1</x:v>
      </x:c>
      <x:c r="I2091" t="str">
        <x:v>Aprobado</x:v>
      </x:c>
      <x:c r="J2091" t="n">
        <x:v>29900</x:v>
      </x:c>
      <x:c r="K2091" t="str">
        <x:v>Tarjeta débito</x:v>
      </x:c>
      <x:c r="L2091" t="str">
        <x:v>Sin error</x:v>
      </x:c>
    </x:row>
    <x:row r="2092">
      <x:c r="A2092" t="str">
        <x:v>TXN-0002091</x:v>
      </x:c>
      <x:c r="B2092" t="str">
        <x:v>2026-08</x:v>
      </x:c>
      <x:c r="C2092" t="n">
        <x:v>46246</x:v>
      </x:c>
      <x:c r="D2092" t="str">
        <x:v>USR-00481</x:v>
      </x:c>
      <x:c r="E2092" t="str">
        <x:v>SUS-001130</x:v>
      </x:c>
      <x:c r="F2092" t="str">
        <x:v>Plus mensual</x:v>
      </x:c>
      <x:c r="G2092" t="str">
        <x:v>Mensual</x:v>
      </x:c>
      <x:c r="H2092" t="n">
        <x:v>1</x:v>
      </x:c>
      <x:c r="I2092" t="str">
        <x:v>Aprobado</x:v>
      </x:c>
      <x:c r="J2092" t="n">
        <x:v>29900</x:v>
      </x:c>
      <x:c r="K2092" t="str">
        <x:v>PSE</x:v>
      </x:c>
      <x:c r="L2092" t="str">
        <x:v>Sin error</x:v>
      </x:c>
    </x:row>
    <x:row r="2093">
      <x:c r="A2093" t="str">
        <x:v>TXN-0002092</x:v>
      </x:c>
      <x:c r="B2093" t="str">
        <x:v>2026-08</x:v>
      </x:c>
      <x:c r="C2093" t="n">
        <x:v>46242</x:v>
      </x:c>
      <x:c r="D2093" t="str">
        <x:v>USR-00484</x:v>
      </x:c>
      <x:c r="E2093" t="str">
        <x:v>SUS-000662</x:v>
      </x:c>
      <x:c r="F2093" t="str">
        <x:v>Plus mensual</x:v>
      </x:c>
      <x:c r="G2093" t="str">
        <x:v>Mensual</x:v>
      </x:c>
      <x:c r="H2093" t="n">
        <x:v>1</x:v>
      </x:c>
      <x:c r="I2093" t="str">
        <x:v>Aprobado</x:v>
      </x:c>
      <x:c r="J2093" t="n">
        <x:v>29900</x:v>
      </x:c>
      <x:c r="K2093" t="str">
        <x:v>PSE</x:v>
      </x:c>
      <x:c r="L2093" t="str">
        <x:v>Sin error</x:v>
      </x:c>
    </x:row>
    <x:row r="2094">
      <x:c r="A2094" t="str">
        <x:v>TXN-0002093</x:v>
      </x:c>
      <x:c r="B2094" t="str">
        <x:v>2026-08</x:v>
      </x:c>
      <x:c r="C2094" t="n">
        <x:v>46239</x:v>
      </x:c>
      <x:c r="D2094" t="str">
        <x:v>USR-00486</x:v>
      </x:c>
      <x:c r="E2094" t="str">
        <x:v>SUS-001432</x:v>
      </x:c>
      <x:c r="F2094" t="str">
        <x:v>Plus mensual</x:v>
      </x:c>
      <x:c r="G2094" t="str">
        <x:v>Mensual</x:v>
      </x:c>
      <x:c r="H2094" t="n">
        <x:v>1</x:v>
      </x:c>
      <x:c r="I2094" t="str">
        <x:v>Aprobado</x:v>
      </x:c>
      <x:c r="J2094" t="n">
        <x:v>29900</x:v>
      </x:c>
      <x:c r="K2094" t="str">
        <x:v>Tarjeta crédito</x:v>
      </x:c>
      <x:c r="L2094" t="str">
        <x:v>Sin error</x:v>
      </x:c>
    </x:row>
    <x:row r="2095">
      <x:c r="A2095" t="str">
        <x:v>TXN-0002094</x:v>
      </x:c>
      <x:c r="B2095" t="str">
        <x:v>2026-08</x:v>
      </x:c>
      <x:c r="C2095" t="n">
        <x:v>46244</x:v>
      </x:c>
      <x:c r="D2095" t="str">
        <x:v>USR-00489</x:v>
      </x:c>
      <x:c r="E2095" t="str">
        <x:v>SUS-000766</x:v>
      </x:c>
      <x:c r="F2095" t="str">
        <x:v>Plus mensual</x:v>
      </x:c>
      <x:c r="G2095" t="str">
        <x:v>Mensual</x:v>
      </x:c>
      <x:c r="H2095" t="n">
        <x:v>1</x:v>
      </x:c>
      <x:c r="I2095" t="str">
        <x:v>Aprobado</x:v>
      </x:c>
      <x:c r="J2095" t="n">
        <x:v>29900</x:v>
      </x:c>
      <x:c r="K2095" t="str">
        <x:v>PSE</x:v>
      </x:c>
      <x:c r="L2095" t="str">
        <x:v>Sin error</x:v>
      </x:c>
    </x:row>
    <x:row r="2096">
      <x:c r="A2096" t="str">
        <x:v>TXN-0002095</x:v>
      </x:c>
      <x:c r="B2096" t="str">
        <x:v>2026-08</x:v>
      </x:c>
      <x:c r="C2096" t="n">
        <x:v>46241</x:v>
      </x:c>
      <x:c r="D2096" t="str">
        <x:v>USR-00490</x:v>
      </x:c>
      <x:c r="E2096" t="str">
        <x:v>SUS-000992</x:v>
      </x:c>
      <x:c r="F2096" t="str">
        <x:v>Plus mensual</x:v>
      </x:c>
      <x:c r="G2096" t="str">
        <x:v>Mensual</x:v>
      </x:c>
      <x:c r="H2096" t="n">
        <x:v>1</x:v>
      </x:c>
      <x:c r="I2096" t="str">
        <x:v>Aprobado</x:v>
      </x:c>
      <x:c r="J2096" t="n">
        <x:v>29900</x:v>
      </x:c>
      <x:c r="K2096" t="str">
        <x:v>PSE</x:v>
      </x:c>
      <x:c r="L2096" t="str">
        <x:v>Sin error</x:v>
      </x:c>
    </x:row>
    <x:row r="2097">
      <x:c r="A2097" t="str">
        <x:v>TXN-0002096</x:v>
      </x:c>
      <x:c r="B2097" t="str">
        <x:v>2026-08</x:v>
      </x:c>
      <x:c r="C2097" t="n">
        <x:v>46242</x:v>
      </x:c>
      <x:c r="D2097" t="str">
        <x:v>USR-00492</x:v>
      </x:c>
      <x:c r="E2097" t="str">
        <x:v>SUS-001279</x:v>
      </x:c>
      <x:c r="F2097" t="str">
        <x:v>Plus mensual</x:v>
      </x:c>
      <x:c r="G2097" t="str">
        <x:v>Mensual</x:v>
      </x:c>
      <x:c r="H2097" t="n">
        <x:v>1</x:v>
      </x:c>
      <x:c r="I2097" t="str">
        <x:v>Aprobado</x:v>
      </x:c>
      <x:c r="J2097" t="n">
        <x:v>29900</x:v>
      </x:c>
      <x:c r="K2097" t="str">
        <x:v>PSE</x:v>
      </x:c>
      <x:c r="L2097" t="str">
        <x:v>Sin error</x:v>
      </x:c>
    </x:row>
    <x:row r="2098">
      <x:c r="A2098" t="str">
        <x:v>TXN-0002097</x:v>
      </x:c>
      <x:c r="B2098" t="str">
        <x:v>2026-08</x:v>
      </x:c>
      <x:c r="C2098" t="n">
        <x:v>46245</x:v>
      </x:c>
      <x:c r="D2098" t="str">
        <x:v>USR-00498</x:v>
      </x:c>
      <x:c r="E2098" t="str">
        <x:v>SUS-001582</x:v>
      </x:c>
      <x:c r="F2098" t="str">
        <x:v>Plus mensual</x:v>
      </x:c>
      <x:c r="G2098" t="str">
        <x:v>Mensual</x:v>
      </x:c>
      <x:c r="H2098" t="n">
        <x:v>1</x:v>
      </x:c>
      <x:c r="I2098" t="str">
        <x:v>Aprobado</x:v>
      </x:c>
      <x:c r="J2098" t="n">
        <x:v>29900</x:v>
      </x:c>
      <x:c r="K2098" t="str">
        <x:v>PSE</x:v>
      </x:c>
      <x:c r="L2098" t="str">
        <x:v>Sin error</x:v>
      </x:c>
    </x:row>
    <x:row r="2099">
      <x:c r="A2099" t="str">
        <x:v>TXN-0002098</x:v>
      </x:c>
      <x:c r="B2099" t="str">
        <x:v>2026-08</x:v>
      </x:c>
      <x:c r="C2099" t="n">
        <x:v>46240</x:v>
      </x:c>
      <x:c r="D2099" t="str">
        <x:v>USR-00500</x:v>
      </x:c>
      <x:c r="E2099" t="str">
        <x:v>SUS-001434</x:v>
      </x:c>
      <x:c r="F2099" t="str">
        <x:v>Plus mensual</x:v>
      </x:c>
      <x:c r="G2099" t="str">
        <x:v>Mensual</x:v>
      </x:c>
      <x:c r="H2099" t="n">
        <x:v>1</x:v>
      </x:c>
      <x:c r="I2099" t="str">
        <x:v>Aprobado</x:v>
      </x:c>
      <x:c r="J2099" t="n">
        <x:v>29900</x:v>
      </x:c>
      <x:c r="K2099" t="str">
        <x:v>Tarjeta crédito</x:v>
      </x:c>
      <x:c r="L2099" t="str">
        <x:v>Sin error</x:v>
      </x:c>
    </x:row>
    <x:row r="2100">
      <x:c r="A2100" t="str">
        <x:v>TXN-0002099</x:v>
      </x:c>
      <x:c r="B2100" t="str">
        <x:v>2026-08</x:v>
      </x:c>
      <x:c r="C2100" t="n">
        <x:v>46244</x:v>
      </x:c>
      <x:c r="D2100" t="str">
        <x:v>USR-00503</x:v>
      </x:c>
      <x:c r="E2100" t="str">
        <x:v>SUS-001583</x:v>
      </x:c>
      <x:c r="F2100" t="str">
        <x:v>Plus anual</x:v>
      </x:c>
      <x:c r="G2100" t="str">
        <x:v>Anual</x:v>
      </x:c>
      <x:c r="H2100" t="n">
        <x:v>1</x:v>
      </x:c>
      <x:c r="I2100" t="str">
        <x:v>Aprobado</x:v>
      </x:c>
      <x:c r="J2100" t="n">
        <x:v>299000</x:v>
      </x:c>
      <x:c r="K2100" t="str">
        <x:v>Tarjeta débito</x:v>
      </x:c>
      <x:c r="L2100" t="str">
        <x:v>Sin error</x:v>
      </x:c>
    </x:row>
    <x:row r="2101">
      <x:c r="A2101" t="str">
        <x:v>TXN-0002100</x:v>
      </x:c>
      <x:c r="B2101" t="str">
        <x:v>2026-08</x:v>
      </x:c>
      <x:c r="C2101" t="n">
        <x:v>46246</x:v>
      </x:c>
      <x:c r="D2101" t="str">
        <x:v>USR-00504</x:v>
      </x:c>
      <x:c r="E2101" t="str">
        <x:v>SUS-001133</x:v>
      </x:c>
      <x:c r="F2101" t="str">
        <x:v>Plus mensual</x:v>
      </x:c>
      <x:c r="G2101" t="str">
        <x:v>Mensual</x:v>
      </x:c>
      <x:c r="H2101" t="n">
        <x:v>1</x:v>
      </x:c>
      <x:c r="I2101" t="str">
        <x:v>Aprobado</x:v>
      </x:c>
      <x:c r="J2101" t="n">
        <x:v>29900</x:v>
      </x:c>
      <x:c r="K2101" t="str">
        <x:v>PSE</x:v>
      </x:c>
      <x:c r="L2101" t="str">
        <x:v>Sin error</x:v>
      </x:c>
    </x:row>
    <x:row r="2102">
      <x:c r="A2102" t="str">
        <x:v>TXN-0002101</x:v>
      </x:c>
      <x:c r="B2102" t="str">
        <x:v>2026-08</x:v>
      </x:c>
      <x:c r="C2102" t="n">
        <x:v>46246</x:v>
      </x:c>
      <x:c r="D2102" t="str">
        <x:v>USR-00514</x:v>
      </x:c>
      <x:c r="E2102" t="str">
        <x:v>SUS-001435</x:v>
      </x:c>
      <x:c r="F2102" t="str">
        <x:v>Plus mensual</x:v>
      </x:c>
      <x:c r="G2102" t="str">
        <x:v>Mensual</x:v>
      </x:c>
      <x:c r="H2102" t="n">
        <x:v>1</x:v>
      </x:c>
      <x:c r="I2102" t="str">
        <x:v>Aprobado</x:v>
      </x:c>
      <x:c r="J2102" t="n">
        <x:v>29900</x:v>
      </x:c>
      <x:c r="K2102" t="str">
        <x:v>Tarjeta débito</x:v>
      </x:c>
      <x:c r="L2102" t="str">
        <x:v>Sin error</x:v>
      </x:c>
    </x:row>
    <x:row r="2103">
      <x:c r="A2103" t="str">
        <x:v>TXN-0002102</x:v>
      </x:c>
      <x:c r="B2103" t="str">
        <x:v>2026-08</x:v>
      </x:c>
      <x:c r="C2103" t="n">
        <x:v>46241</x:v>
      </x:c>
      <x:c r="D2103" t="str">
        <x:v>USR-00515</x:v>
      </x:c>
      <x:c r="E2103" t="str">
        <x:v>SUS-001280</x:v>
      </x:c>
      <x:c r="F2103" t="str">
        <x:v>Plus mensual</x:v>
      </x:c>
      <x:c r="G2103" t="str">
        <x:v>Mensual</x:v>
      </x:c>
      <x:c r="H2103" t="n">
        <x:v>1</x:v>
      </x:c>
      <x:c r="I2103" t="str">
        <x:v>Aprobado</x:v>
      </x:c>
      <x:c r="J2103" t="n">
        <x:v>29900</x:v>
      </x:c>
      <x:c r="K2103" t="str">
        <x:v>Tarjeta débito</x:v>
      </x:c>
      <x:c r="L2103" t="str">
        <x:v>Sin error</x:v>
      </x:c>
    </x:row>
    <x:row r="2104">
      <x:c r="A2104" t="str">
        <x:v>TXN-0002103</x:v>
      </x:c>
      <x:c r="B2104" t="str">
        <x:v>2026-08</x:v>
      </x:c>
      <x:c r="C2104" t="n">
        <x:v>46243</x:v>
      </x:c>
      <x:c r="D2104" t="str">
        <x:v>USR-00516</x:v>
      </x:c>
      <x:c r="E2104" t="str">
        <x:v>SUS-001584</x:v>
      </x:c>
      <x:c r="F2104" t="str">
        <x:v>Plus mensual</x:v>
      </x:c>
      <x:c r="G2104" t="str">
        <x:v>Mensual</x:v>
      </x:c>
      <x:c r="H2104" t="n">
        <x:v>1</x:v>
      </x:c>
      <x:c r="I2104" t="str">
        <x:v>Aprobado</x:v>
      </x:c>
      <x:c r="J2104" t="n">
        <x:v>29900</x:v>
      </x:c>
      <x:c r="K2104" t="str">
        <x:v>PSE</x:v>
      </x:c>
      <x:c r="L2104" t="str">
        <x:v>Sin error</x:v>
      </x:c>
    </x:row>
    <x:row r="2105">
      <x:c r="A2105" t="str">
        <x:v>TXN-0002104</x:v>
      </x:c>
      <x:c r="B2105" t="str">
        <x:v>2026-08</x:v>
      </x:c>
      <x:c r="C2105" t="n">
        <x:v>46241</x:v>
      </x:c>
      <x:c r="D2105" t="str">
        <x:v>USR-00517</x:v>
      </x:c>
      <x:c r="E2105" t="str">
        <x:v>SUS-000767</x:v>
      </x:c>
      <x:c r="F2105" t="str">
        <x:v>Plus mensual</x:v>
      </x:c>
      <x:c r="G2105" t="str">
        <x:v>Mensual</x:v>
      </x:c>
      <x:c r="H2105" t="n">
        <x:v>1</x:v>
      </x:c>
      <x:c r="I2105" t="str">
        <x:v>Aprobado</x:v>
      </x:c>
      <x:c r="J2105" t="n">
        <x:v>29900</x:v>
      </x:c>
      <x:c r="K2105" t="str">
        <x:v>Tarjeta débito</x:v>
      </x:c>
      <x:c r="L2105" t="str">
        <x:v>Sin error</x:v>
      </x:c>
    </x:row>
    <x:row r="2106">
      <x:c r="A2106" t="str">
        <x:v>TXN-0002105</x:v>
      </x:c>
      <x:c r="B2106" t="str">
        <x:v>2026-08</x:v>
      </x:c>
      <x:c r="C2106" t="n">
        <x:v>46244</x:v>
      </x:c>
      <x:c r="D2106" t="str">
        <x:v>USR-00518</x:v>
      </x:c>
      <x:c r="E2106" t="str">
        <x:v>SUS-000696</x:v>
      </x:c>
      <x:c r="F2106" t="str">
        <x:v>Plus mensual</x:v>
      </x:c>
      <x:c r="G2106" t="str">
        <x:v>Mensual</x:v>
      </x:c>
      <x:c r="H2106" t="n">
        <x:v>1</x:v>
      </x:c>
      <x:c r="I2106" t="str">
        <x:v>Rechazado</x:v>
      </x:c>
      <x:c r="J2106" t="n">
        <x:v>29900</x:v>
      </x:c>
      <x:c r="K2106" t="str">
        <x:v>Tarjeta crédito</x:v>
      </x:c>
      <x:c r="L2106" t="str">
        <x:v>Fondos insuficientes</x:v>
      </x:c>
    </x:row>
    <x:row r="2107">
      <x:c r="A2107" t="str">
        <x:v>TXN-0002106</x:v>
      </x:c>
      <x:c r="B2107" t="str">
        <x:v>2026-08</x:v>
      </x:c>
      <x:c r="C2107" t="n">
        <x:v>46242</x:v>
      </x:c>
      <x:c r="D2107" t="str">
        <x:v>USR-00518</x:v>
      </x:c>
      <x:c r="E2107" t="str">
        <x:v>SUS-000696</x:v>
      </x:c>
      <x:c r="F2107" t="str">
        <x:v>Plus mensual</x:v>
      </x:c>
      <x:c r="G2107" t="str">
        <x:v>Mensual</x:v>
      </x:c>
      <x:c r="H2107" t="n">
        <x:v>2</x:v>
      </x:c>
      <x:c r="I2107" t="str">
        <x:v>Aprobado</x:v>
      </x:c>
      <x:c r="J2107" t="n">
        <x:v>29900</x:v>
      </x:c>
      <x:c r="K2107" t="str">
        <x:v>Tarjeta crédito</x:v>
      </x:c>
      <x:c r="L2107" t="str">
        <x:v>Sin error</x:v>
      </x:c>
    </x:row>
    <x:row r="2108">
      <x:c r="A2108" t="str">
        <x:v>TXN-0002107</x:v>
      </x:c>
      <x:c r="B2108" t="str">
        <x:v>2026-08</x:v>
      </x:c>
      <x:c r="C2108" t="n">
        <x:v>46241</x:v>
      </x:c>
      <x:c r="D2108" t="str">
        <x:v>USR-00520</x:v>
      </x:c>
      <x:c r="E2108" t="str">
        <x:v>SUS-001281</x:v>
      </x:c>
      <x:c r="F2108" t="str">
        <x:v>Plus mensual</x:v>
      </x:c>
      <x:c r="G2108" t="str">
        <x:v>Mensual</x:v>
      </x:c>
      <x:c r="H2108" t="n">
        <x:v>1</x:v>
      </x:c>
      <x:c r="I2108" t="str">
        <x:v>Aprobado</x:v>
      </x:c>
      <x:c r="J2108" t="n">
        <x:v>29900</x:v>
      </x:c>
      <x:c r="K2108" t="str">
        <x:v>Tarjeta débito</x:v>
      </x:c>
      <x:c r="L2108" t="str">
        <x:v>Sin error</x:v>
      </x:c>
    </x:row>
    <x:row r="2109">
      <x:c r="A2109" t="str">
        <x:v>TXN-0002108</x:v>
      </x:c>
      <x:c r="B2109" t="str">
        <x:v>2026-08</x:v>
      </x:c>
      <x:c r="C2109" t="n">
        <x:v>46243</x:v>
      </x:c>
      <x:c r="D2109" t="str">
        <x:v>USR-00524</x:v>
      </x:c>
      <x:c r="E2109" t="str">
        <x:v>SUS-000876</x:v>
      </x:c>
      <x:c r="F2109" t="str">
        <x:v>Plus mensual</x:v>
      </x:c>
      <x:c r="G2109" t="str">
        <x:v>Mensual</x:v>
      </x:c>
      <x:c r="H2109" t="n">
        <x:v>1</x:v>
      </x:c>
      <x:c r="I2109" t="str">
        <x:v>Aprobado</x:v>
      </x:c>
      <x:c r="J2109" t="n">
        <x:v>29900</x:v>
      </x:c>
      <x:c r="K2109" t="str">
        <x:v>PSE</x:v>
      </x:c>
      <x:c r="L2109" t="str">
        <x:v>Sin error</x:v>
      </x:c>
    </x:row>
    <x:row r="2110">
      <x:c r="A2110" t="str">
        <x:v>TXN-0002109</x:v>
      </x:c>
      <x:c r="B2110" t="str">
        <x:v>2026-08</x:v>
      </x:c>
      <x:c r="C2110" t="n">
        <x:v>46243</x:v>
      </x:c>
      <x:c r="D2110" t="str">
        <x:v>USR-00527</x:v>
      </x:c>
      <x:c r="E2110" t="str">
        <x:v>SUS-000705</x:v>
      </x:c>
      <x:c r="F2110" t="str">
        <x:v>Plus mensual</x:v>
      </x:c>
      <x:c r="G2110" t="str">
        <x:v>Mensual</x:v>
      </x:c>
      <x:c r="H2110" t="n">
        <x:v>1</x:v>
      </x:c>
      <x:c r="I2110" t="str">
        <x:v>Aprobado</x:v>
      </x:c>
      <x:c r="J2110" t="n">
        <x:v>29900</x:v>
      </x:c>
      <x:c r="K2110" t="str">
        <x:v>Tarjeta crédito</x:v>
      </x:c>
      <x:c r="L2110" t="str">
        <x:v>Sin error</x:v>
      </x:c>
    </x:row>
    <x:row r="2111">
      <x:c r="A2111" t="str">
        <x:v>TXN-0002110</x:v>
      </x:c>
      <x:c r="B2111" t="str">
        <x:v>2026-08</x:v>
      </x:c>
      <x:c r="C2111" t="n">
        <x:v>46239</x:v>
      </x:c>
      <x:c r="D2111" t="str">
        <x:v>USR-00528</x:v>
      </x:c>
      <x:c r="E2111" t="str">
        <x:v>SUS-001585</x:v>
      </x:c>
      <x:c r="F2111" t="str">
        <x:v>Plus anual</x:v>
      </x:c>
      <x:c r="G2111" t="str">
        <x:v>Anual</x:v>
      </x:c>
      <x:c r="H2111" t="n">
        <x:v>1</x:v>
      </x:c>
      <x:c r="I2111" t="str">
        <x:v>Aprobado</x:v>
      </x:c>
      <x:c r="J2111" t="n">
        <x:v>299000</x:v>
      </x:c>
      <x:c r="K2111" t="str">
        <x:v>PSE</x:v>
      </x:c>
      <x:c r="L2111" t="str">
        <x:v>Sin error</x:v>
      </x:c>
    </x:row>
    <x:row r="2112">
      <x:c r="A2112" t="str">
        <x:v>TXN-0002111</x:v>
      </x:c>
      <x:c r="B2112" t="str">
        <x:v>2026-08</x:v>
      </x:c>
      <x:c r="C2112" t="n">
        <x:v>46244</x:v>
      </x:c>
      <x:c r="D2112" t="str">
        <x:v>USR-00529</x:v>
      </x:c>
      <x:c r="E2112" t="str">
        <x:v>SUS-001436</x:v>
      </x:c>
      <x:c r="F2112" t="str">
        <x:v>Plus mensual</x:v>
      </x:c>
      <x:c r="G2112" t="str">
        <x:v>Mensual</x:v>
      </x:c>
      <x:c r="H2112" t="n">
        <x:v>1</x:v>
      </x:c>
      <x:c r="I2112" t="str">
        <x:v>Aprobado</x:v>
      </x:c>
      <x:c r="J2112" t="n">
        <x:v>29900</x:v>
      </x:c>
      <x:c r="K2112" t="str">
        <x:v>Tarjeta débito</x:v>
      </x:c>
      <x:c r="L2112" t="str">
        <x:v>Sin error</x:v>
      </x:c>
    </x:row>
    <x:row r="2113">
      <x:c r="A2113" t="str">
        <x:v>TXN-0002112</x:v>
      </x:c>
      <x:c r="B2113" t="str">
        <x:v>2026-08</x:v>
      </x:c>
      <x:c r="C2113" t="n">
        <x:v>46245</x:v>
      </x:c>
      <x:c r="D2113" t="str">
        <x:v>USR-00532</x:v>
      </x:c>
      <x:c r="E2113" t="str">
        <x:v>SUS-001136</x:v>
      </x:c>
      <x:c r="F2113" t="str">
        <x:v>Plus mensual</x:v>
      </x:c>
      <x:c r="G2113" t="str">
        <x:v>Mensual</x:v>
      </x:c>
      <x:c r="H2113" t="n">
        <x:v>1</x:v>
      </x:c>
      <x:c r="I2113" t="str">
        <x:v>Aprobado</x:v>
      </x:c>
      <x:c r="J2113" t="n">
        <x:v>29900</x:v>
      </x:c>
      <x:c r="K2113" t="str">
        <x:v>Tarjeta crédito</x:v>
      </x:c>
      <x:c r="L2113" t="str">
        <x:v>Sin error</x:v>
      </x:c>
    </x:row>
    <x:row r="2114">
      <x:c r="A2114" t="str">
        <x:v>TXN-0002113</x:v>
      </x:c>
      <x:c r="B2114" t="str">
        <x:v>2026-08</x:v>
      </x:c>
      <x:c r="C2114" t="n">
        <x:v>46243</x:v>
      </x:c>
      <x:c r="D2114" t="str">
        <x:v>USR-00534</x:v>
      </x:c>
      <x:c r="E2114" t="str">
        <x:v>SUS-000712</x:v>
      </x:c>
      <x:c r="F2114" t="str">
        <x:v>Plus mensual</x:v>
      </x:c>
      <x:c r="G2114" t="str">
        <x:v>Mensual</x:v>
      </x:c>
      <x:c r="H2114" t="n">
        <x:v>1</x:v>
      </x:c>
      <x:c r="I2114" t="str">
        <x:v>Aprobado</x:v>
      </x:c>
      <x:c r="J2114" t="n">
        <x:v>29900</x:v>
      </x:c>
      <x:c r="K2114" t="str">
        <x:v>PSE</x:v>
      </x:c>
      <x:c r="L2114" t="str">
        <x:v>Sin error</x:v>
      </x:c>
    </x:row>
    <x:row r="2115">
      <x:c r="A2115" t="str">
        <x:v>TXN-0002114</x:v>
      </x:c>
      <x:c r="B2115" t="str">
        <x:v>2026-08</x:v>
      </x:c>
      <x:c r="C2115" t="n">
        <x:v>46239</x:v>
      </x:c>
      <x:c r="D2115" t="str">
        <x:v>USR-00535</x:v>
      </x:c>
      <x:c r="E2115" t="str">
        <x:v>SUS-000996</x:v>
      </x:c>
      <x:c r="F2115" t="str">
        <x:v>Plus mensual</x:v>
      </x:c>
      <x:c r="G2115" t="str">
        <x:v>Mensual</x:v>
      </x:c>
      <x:c r="H2115" t="n">
        <x:v>1</x:v>
      </x:c>
      <x:c r="I2115" t="str">
        <x:v>Aprobado</x:v>
      </x:c>
      <x:c r="J2115" t="n">
        <x:v>29900</x:v>
      </x:c>
      <x:c r="K2115" t="str">
        <x:v>Tarjeta débito</x:v>
      </x:c>
      <x:c r="L2115" t="str">
        <x:v>Sin error</x:v>
      </x:c>
    </x:row>
    <x:row r="2116">
      <x:c r="A2116" t="str">
        <x:v>TXN-0002115</x:v>
      </x:c>
      <x:c r="B2116" t="str">
        <x:v>2026-08</x:v>
      </x:c>
      <x:c r="C2116" t="n">
        <x:v>46246</x:v>
      </x:c>
      <x:c r="D2116" t="str">
        <x:v>USR-00539</x:v>
      </x:c>
      <x:c r="E2116" t="str">
        <x:v>SUS-001137</x:v>
      </x:c>
      <x:c r="F2116" t="str">
        <x:v>Plus mensual</x:v>
      </x:c>
      <x:c r="G2116" t="str">
        <x:v>Mensual</x:v>
      </x:c>
      <x:c r="H2116" t="n">
        <x:v>1</x:v>
      </x:c>
      <x:c r="I2116" t="str">
        <x:v>Aprobado</x:v>
      </x:c>
      <x:c r="J2116" t="n">
        <x:v>29900</x:v>
      </x:c>
      <x:c r="K2116" t="str">
        <x:v>PSE</x:v>
      </x:c>
      <x:c r="L2116" t="str">
        <x:v>Sin error</x:v>
      </x:c>
    </x:row>
    <x:row r="2117">
      <x:c r="A2117" t="str">
        <x:v>TXN-0002116</x:v>
      </x:c>
      <x:c r="B2117" t="str">
        <x:v>2026-08</x:v>
      </x:c>
      <x:c r="C2117" t="n">
        <x:v>46239</x:v>
      </x:c>
      <x:c r="D2117" t="str">
        <x:v>USR-00543</x:v>
      </x:c>
      <x:c r="E2117" t="str">
        <x:v>SUS-001282</x:v>
      </x:c>
      <x:c r="F2117" t="str">
        <x:v>Plus mensual</x:v>
      </x:c>
      <x:c r="G2117" t="str">
        <x:v>Mensual</x:v>
      </x:c>
      <x:c r="H2117" t="n">
        <x:v>1</x:v>
      </x:c>
      <x:c r="I2117" t="str">
        <x:v>Aprobado</x:v>
      </x:c>
      <x:c r="J2117" t="n">
        <x:v>29900</x:v>
      </x:c>
      <x:c r="K2117" t="str">
        <x:v>Tarjeta crédito</x:v>
      </x:c>
      <x:c r="L2117" t="str">
        <x:v>Sin error</x:v>
      </x:c>
    </x:row>
    <x:row r="2118">
      <x:c r="A2118" t="str">
        <x:v>TXN-0002117</x:v>
      </x:c>
      <x:c r="B2118" t="str">
        <x:v>2026-08</x:v>
      </x:c>
      <x:c r="C2118" t="n">
        <x:v>46246</x:v>
      </x:c>
      <x:c r="D2118" t="str">
        <x:v>USR-00560</x:v>
      </x:c>
      <x:c r="E2118" t="str">
        <x:v>SUS-000879</x:v>
      </x:c>
      <x:c r="F2118" t="str">
        <x:v>Plus mensual</x:v>
      </x:c>
      <x:c r="G2118" t="str">
        <x:v>Mensual</x:v>
      </x:c>
      <x:c r="H2118" t="n">
        <x:v>1</x:v>
      </x:c>
      <x:c r="I2118" t="str">
        <x:v>Aprobado</x:v>
      </x:c>
      <x:c r="J2118" t="n">
        <x:v>29900</x:v>
      </x:c>
      <x:c r="K2118" t="str">
        <x:v>PSE</x:v>
      </x:c>
      <x:c r="L2118" t="str">
        <x:v>Sin error</x:v>
      </x:c>
    </x:row>
    <x:row r="2119">
      <x:c r="A2119" t="str">
        <x:v>TXN-0002118</x:v>
      </x:c>
      <x:c r="B2119" t="str">
        <x:v>2026-08</x:v>
      </x:c>
      <x:c r="C2119" t="n">
        <x:v>46240</x:v>
      </x:c>
      <x:c r="D2119" t="str">
        <x:v>USR-00561</x:v>
      </x:c>
      <x:c r="E2119" t="str">
        <x:v>SUS-000880</x:v>
      </x:c>
      <x:c r="F2119" t="str">
        <x:v>Plus mensual</x:v>
      </x:c>
      <x:c r="G2119" t="str">
        <x:v>Mensual</x:v>
      </x:c>
      <x:c r="H2119" t="n">
        <x:v>1</x:v>
      </x:c>
      <x:c r="I2119" t="str">
        <x:v>Aprobado</x:v>
      </x:c>
      <x:c r="J2119" t="n">
        <x:v>29900</x:v>
      </x:c>
      <x:c r="K2119" t="str">
        <x:v>Tarjeta crédito</x:v>
      </x:c>
      <x:c r="L2119" t="str">
        <x:v>Sin error</x:v>
      </x:c>
    </x:row>
    <x:row r="2120">
      <x:c r="A2120" t="str">
        <x:v>TXN-0002119</x:v>
      </x:c>
      <x:c r="B2120" t="str">
        <x:v>2026-08</x:v>
      </x:c>
      <x:c r="C2120" t="n">
        <x:v>46240</x:v>
      </x:c>
      <x:c r="D2120" t="str">
        <x:v>USR-00563</x:v>
      </x:c>
      <x:c r="E2120" t="str">
        <x:v>SUS-000777</x:v>
      </x:c>
      <x:c r="F2120" t="str">
        <x:v>Plus mensual</x:v>
      </x:c>
      <x:c r="G2120" t="str">
        <x:v>Mensual</x:v>
      </x:c>
      <x:c r="H2120" t="n">
        <x:v>1</x:v>
      </x:c>
      <x:c r="I2120" t="str">
        <x:v>Aprobado</x:v>
      </x:c>
      <x:c r="J2120" t="n">
        <x:v>29900</x:v>
      </x:c>
      <x:c r="K2120" t="str">
        <x:v>Tarjeta crédito</x:v>
      </x:c>
      <x:c r="L2120" t="str">
        <x:v>Sin error</x:v>
      </x:c>
    </x:row>
    <x:row r="2121">
      <x:c r="A2121" t="str">
        <x:v>TXN-0002120</x:v>
      </x:c>
      <x:c r="B2121" t="str">
        <x:v>2026-08</x:v>
      </x:c>
      <x:c r="C2121" t="n">
        <x:v>46242</x:v>
      </x:c>
      <x:c r="D2121" t="str">
        <x:v>USR-00565</x:v>
      </x:c>
      <x:c r="E2121" t="str">
        <x:v>SUS-001138</x:v>
      </x:c>
      <x:c r="F2121" t="str">
        <x:v>Plus mensual</x:v>
      </x:c>
      <x:c r="G2121" t="str">
        <x:v>Mensual</x:v>
      </x:c>
      <x:c r="H2121" t="n">
        <x:v>1</x:v>
      </x:c>
      <x:c r="I2121" t="str">
        <x:v>Aprobado</x:v>
      </x:c>
      <x:c r="J2121" t="n">
        <x:v>29900</x:v>
      </x:c>
      <x:c r="K2121" t="str">
        <x:v>Tarjeta débito</x:v>
      </x:c>
      <x:c r="L2121" t="str">
        <x:v>Sin error</x:v>
      </x:c>
    </x:row>
    <x:row r="2122">
      <x:c r="A2122" t="str">
        <x:v>TXN-0002121</x:v>
      </x:c>
      <x:c r="B2122" t="str">
        <x:v>2026-08</x:v>
      </x:c>
      <x:c r="C2122" t="n">
        <x:v>46241</x:v>
      </x:c>
      <x:c r="D2122" t="str">
        <x:v>USR-00567</x:v>
      </x:c>
      <x:c r="E2122" t="str">
        <x:v>SUS-000999</x:v>
      </x:c>
      <x:c r="F2122" t="str">
        <x:v>Plus mensual</x:v>
      </x:c>
      <x:c r="G2122" t="str">
        <x:v>Mensual</x:v>
      </x:c>
      <x:c r="H2122" t="n">
        <x:v>1</x:v>
      </x:c>
      <x:c r="I2122" t="str">
        <x:v>Aprobado</x:v>
      </x:c>
      <x:c r="J2122" t="n">
        <x:v>29900</x:v>
      </x:c>
      <x:c r="K2122" t="str">
        <x:v>PSE</x:v>
      </x:c>
      <x:c r="L2122" t="str">
        <x:v>Sin error</x:v>
      </x:c>
    </x:row>
    <x:row r="2123">
      <x:c r="A2123" t="str">
        <x:v>TXN-0002122</x:v>
      </x:c>
      <x:c r="B2123" t="str">
        <x:v>2026-08</x:v>
      </x:c>
      <x:c r="C2123" t="n">
        <x:v>46244</x:v>
      </x:c>
      <x:c r="D2123" t="str">
        <x:v>USR-00571</x:v>
      </x:c>
      <x:c r="E2123" t="str">
        <x:v>SUS-001285</x:v>
      </x:c>
      <x:c r="F2123" t="str">
        <x:v>Plus mensual</x:v>
      </x:c>
      <x:c r="G2123" t="str">
        <x:v>Mensual</x:v>
      </x:c>
      <x:c r="H2123" t="n">
        <x:v>1</x:v>
      </x:c>
      <x:c r="I2123" t="str">
        <x:v>Aprobado</x:v>
      </x:c>
      <x:c r="J2123" t="n">
        <x:v>29900</x:v>
      </x:c>
      <x:c r="K2123" t="str">
        <x:v>Tarjeta débito</x:v>
      </x:c>
      <x:c r="L2123" t="str">
        <x:v>Sin error</x:v>
      </x:c>
    </x:row>
    <x:row r="2124">
      <x:c r="A2124" t="str">
        <x:v>TXN-0002123</x:v>
      </x:c>
      <x:c r="B2124" t="str">
        <x:v>2026-08</x:v>
      </x:c>
      <x:c r="C2124" t="n">
        <x:v>46241</x:v>
      </x:c>
      <x:c r="D2124" t="str">
        <x:v>USR-00576</x:v>
      </x:c>
      <x:c r="E2124" t="str">
        <x:v>SUS-001586</x:v>
      </x:c>
      <x:c r="F2124" t="str">
        <x:v>Plus mensual</x:v>
      </x:c>
      <x:c r="G2124" t="str">
        <x:v>Mensual</x:v>
      </x:c>
      <x:c r="H2124" t="n">
        <x:v>1</x:v>
      </x:c>
      <x:c r="I2124" t="str">
        <x:v>Aprobado</x:v>
      </x:c>
      <x:c r="J2124" t="n">
        <x:v>29900</x:v>
      </x:c>
      <x:c r="K2124" t="str">
        <x:v>PSE</x:v>
      </x:c>
      <x:c r="L2124" t="str">
        <x:v>Sin error</x:v>
      </x:c>
    </x:row>
    <x:row r="2125">
      <x:c r="A2125" t="str">
        <x:v>TXN-0002124</x:v>
      </x:c>
      <x:c r="B2125" t="str">
        <x:v>2026-08</x:v>
      </x:c>
      <x:c r="C2125" t="n">
        <x:v>46240</x:v>
      </x:c>
      <x:c r="D2125" t="str">
        <x:v>USR-00587</x:v>
      </x:c>
      <x:c r="E2125" t="str">
        <x:v>SUS-000801</x:v>
      </x:c>
      <x:c r="F2125" t="str">
        <x:v>Plus mensual</x:v>
      </x:c>
      <x:c r="G2125" t="str">
        <x:v>Mensual</x:v>
      </x:c>
      <x:c r="H2125" t="n">
        <x:v>1</x:v>
      </x:c>
      <x:c r="I2125" t="str">
        <x:v>Aprobado</x:v>
      </x:c>
      <x:c r="J2125" t="n">
        <x:v>29900</x:v>
      </x:c>
      <x:c r="K2125" t="str">
        <x:v>PSE</x:v>
      </x:c>
      <x:c r="L2125" t="str">
        <x:v>Sin error</x:v>
      </x:c>
    </x:row>
    <x:row r="2126">
      <x:c r="A2126" t="str">
        <x:v>TXN-0002125</x:v>
      </x:c>
      <x:c r="B2126" t="str">
        <x:v>2026-08</x:v>
      </x:c>
      <x:c r="C2126" t="n">
        <x:v>46245</x:v>
      </x:c>
      <x:c r="D2126" t="str">
        <x:v>USR-00589</x:v>
      </x:c>
      <x:c r="E2126" t="str">
        <x:v>SUS-001442</x:v>
      </x:c>
      <x:c r="F2126" t="str">
        <x:v>Plus mensual</x:v>
      </x:c>
      <x:c r="G2126" t="str">
        <x:v>Mensual</x:v>
      </x:c>
      <x:c r="H2126" t="n">
        <x:v>1</x:v>
      </x:c>
      <x:c r="I2126" t="str">
        <x:v>Aprobado</x:v>
      </x:c>
      <x:c r="J2126" t="n">
        <x:v>29900</x:v>
      </x:c>
      <x:c r="K2126" t="str">
        <x:v>Tarjeta crédito</x:v>
      </x:c>
      <x:c r="L2126" t="str">
        <x:v>Sin error</x:v>
      </x:c>
    </x:row>
    <x:row r="2127">
      <x:c r="A2127" t="str">
        <x:v>TXN-0002126</x:v>
      </x:c>
      <x:c r="B2127" t="str">
        <x:v>2026-08</x:v>
      </x:c>
      <x:c r="C2127" t="n">
        <x:v>46241</x:v>
      </x:c>
      <x:c r="D2127" t="str">
        <x:v>USR-00592</x:v>
      </x:c>
      <x:c r="E2127" t="str">
        <x:v>SUS-001001</x:v>
      </x:c>
      <x:c r="F2127" t="str">
        <x:v>Plus mensual</x:v>
      </x:c>
      <x:c r="G2127" t="str">
        <x:v>Mensual</x:v>
      </x:c>
      <x:c r="H2127" t="n">
        <x:v>1</x:v>
      </x:c>
      <x:c r="I2127" t="str">
        <x:v>Aprobado</x:v>
      </x:c>
      <x:c r="J2127" t="n">
        <x:v>29900</x:v>
      </x:c>
      <x:c r="K2127" t="str">
        <x:v>PSE</x:v>
      </x:c>
      <x:c r="L2127" t="str">
        <x:v>Sin error</x:v>
      </x:c>
    </x:row>
    <x:row r="2128">
      <x:c r="A2128" t="str">
        <x:v>TXN-0002127</x:v>
      </x:c>
      <x:c r="B2128" t="str">
        <x:v>2026-08</x:v>
      </x:c>
      <x:c r="C2128" t="n">
        <x:v>46240</x:v>
      </x:c>
      <x:c r="D2128" t="str">
        <x:v>USR-00593</x:v>
      </x:c>
      <x:c r="E2128" t="str">
        <x:v>SIN_SUSCRIPCION</x:v>
      </x:c>
      <x:c r="F2128" t="str">
        <x:v>Plus mensual</x:v>
      </x:c>
      <x:c r="G2128" t="str">
        <x:v>Mensual</x:v>
      </x:c>
      <x:c r="H2128" t="n">
        <x:v>1</x:v>
      </x:c>
      <x:c r="I2128" t="str">
        <x:v>Rechazado</x:v>
      </x:c>
      <x:c r="J2128" t="n">
        <x:v>29900</x:v>
      </x:c>
      <x:c r="K2128" t="str">
        <x:v>Tarjeta crédito</x:v>
      </x:c>
      <x:c r="L2128" t="str">
        <x:v>Declinado por entidad</x:v>
      </x:c>
    </x:row>
    <x:row r="2129">
      <x:c r="A2129" t="str">
        <x:v>TXN-0002128</x:v>
      </x:c>
      <x:c r="B2129" t="str">
        <x:v>2026-08</x:v>
      </x:c>
      <x:c r="C2129" t="n">
        <x:v>46243</x:v>
      </x:c>
      <x:c r="D2129" t="str">
        <x:v>USR-00593</x:v>
      </x:c>
      <x:c r="E2129" t="str">
        <x:v>SIN_SUSCRIPCION</x:v>
      </x:c>
      <x:c r="F2129" t="str">
        <x:v>Plus mensual</x:v>
      </x:c>
      <x:c r="G2129" t="str">
        <x:v>Mensual</x:v>
      </x:c>
      <x:c r="H2129" t="n">
        <x:v>2</x:v>
      </x:c>
      <x:c r="I2129" t="str">
        <x:v>Rechazado</x:v>
      </x:c>
      <x:c r="J2129" t="n">
        <x:v>29900</x:v>
      </x:c>
      <x:c r="K2129" t="str">
        <x:v>Tarjeta crédito</x:v>
      </x:c>
      <x:c r="L2129" t="str">
        <x:v>Declinado por entidad</x:v>
      </x:c>
    </x:row>
    <x:row r="2130">
      <x:c r="A2130" t="str">
        <x:v>TXN-0002129</x:v>
      </x:c>
      <x:c r="B2130" t="str">
        <x:v>2026-08</x:v>
      </x:c>
      <x:c r="C2130" t="n">
        <x:v>46246</x:v>
      </x:c>
      <x:c r="D2130" t="str">
        <x:v>USR-00594</x:v>
      </x:c>
      <x:c r="E2130" t="str">
        <x:v>SUS-001443</x:v>
      </x:c>
      <x:c r="F2130" t="str">
        <x:v>Plus mensual</x:v>
      </x:c>
      <x:c r="G2130" t="str">
        <x:v>Mensual</x:v>
      </x:c>
      <x:c r="H2130" t="n">
        <x:v>1</x:v>
      </x:c>
      <x:c r="I2130" t="str">
        <x:v>Aprobado</x:v>
      </x:c>
      <x:c r="J2130" t="n">
        <x:v>29900</x:v>
      </x:c>
      <x:c r="K2130" t="str">
        <x:v>Tarjeta débito</x:v>
      </x:c>
      <x:c r="L2130" t="str">
        <x:v>Sin error</x:v>
      </x:c>
    </x:row>
    <x:row r="2131">
      <x:c r="A2131" t="str">
        <x:v>TXN-0002130</x:v>
      </x:c>
      <x:c r="B2131" t="str">
        <x:v>2026-08</x:v>
      </x:c>
      <x:c r="C2131" t="n">
        <x:v>46240</x:v>
      </x:c>
      <x:c r="D2131" t="str">
        <x:v>USR-00601</x:v>
      </x:c>
      <x:c r="E2131" t="str">
        <x:v>SUS-001445</x:v>
      </x:c>
      <x:c r="F2131" t="str">
        <x:v>Plus mensual</x:v>
      </x:c>
      <x:c r="G2131" t="str">
        <x:v>Mensual</x:v>
      </x:c>
      <x:c r="H2131" t="n">
        <x:v>1</x:v>
      </x:c>
      <x:c r="I2131" t="str">
        <x:v>Aprobado</x:v>
      </x:c>
      <x:c r="J2131" t="n">
        <x:v>29900</x:v>
      </x:c>
      <x:c r="K2131" t="str">
        <x:v>Tarjeta crédito</x:v>
      </x:c>
      <x:c r="L2131" t="str">
        <x:v>Sin error</x:v>
      </x:c>
    </x:row>
    <x:row r="2132">
      <x:c r="A2132" t="str">
        <x:v>TXN-0002131</x:v>
      </x:c>
      <x:c r="B2132" t="str">
        <x:v>2026-08</x:v>
      </x:c>
      <x:c r="C2132" t="n">
        <x:v>46239</x:v>
      </x:c>
      <x:c r="D2132" t="str">
        <x:v>USR-00602</x:v>
      </x:c>
      <x:c r="E2132" t="str">
        <x:v>SUS-000816</x:v>
      </x:c>
      <x:c r="F2132" t="str">
        <x:v>Plus mensual</x:v>
      </x:c>
      <x:c r="G2132" t="str">
        <x:v>Mensual</x:v>
      </x:c>
      <x:c r="H2132" t="n">
        <x:v>1</x:v>
      </x:c>
      <x:c r="I2132" t="str">
        <x:v>Aprobado</x:v>
      </x:c>
      <x:c r="J2132" t="n">
        <x:v>29900</x:v>
      </x:c>
      <x:c r="K2132" t="str">
        <x:v>PSE</x:v>
      </x:c>
      <x:c r="L2132" t="str">
        <x:v>Sin error</x:v>
      </x:c>
    </x:row>
    <x:row r="2133">
      <x:c r="A2133" t="str">
        <x:v>TXN-0002132</x:v>
      </x:c>
      <x:c r="B2133" t="str">
        <x:v>2026-08</x:v>
      </x:c>
      <x:c r="C2133" t="n">
        <x:v>46242</x:v>
      </x:c>
      <x:c r="D2133" t="str">
        <x:v>USR-00603</x:v>
      </x:c>
      <x:c r="E2133" t="str">
        <x:v>SUS-001286</x:v>
      </x:c>
      <x:c r="F2133" t="str">
        <x:v>Plus mensual</x:v>
      </x:c>
      <x:c r="G2133" t="str">
        <x:v>Mensual</x:v>
      </x:c>
      <x:c r="H2133" t="n">
        <x:v>1</x:v>
      </x:c>
      <x:c r="I2133" t="str">
        <x:v>Aprobado</x:v>
      </x:c>
      <x:c r="J2133" t="n">
        <x:v>29900</x:v>
      </x:c>
      <x:c r="K2133" t="str">
        <x:v>Tarjeta crédito</x:v>
      </x:c>
      <x:c r="L2133" t="str">
        <x:v>Sin error</x:v>
      </x:c>
    </x:row>
    <x:row r="2134">
      <x:c r="A2134" t="str">
        <x:v>TXN-0002133</x:v>
      </x:c>
      <x:c r="B2134" t="str">
        <x:v>2026-08</x:v>
      </x:c>
      <x:c r="C2134" t="n">
        <x:v>46245</x:v>
      </x:c>
      <x:c r="D2134" t="str">
        <x:v>USR-00614</x:v>
      </x:c>
      <x:c r="E2134" t="str">
        <x:v>SUS-000885</x:v>
      </x:c>
      <x:c r="F2134" t="str">
        <x:v>Plus mensual</x:v>
      </x:c>
      <x:c r="G2134" t="str">
        <x:v>Mensual</x:v>
      </x:c>
      <x:c r="H2134" t="n">
        <x:v>1</x:v>
      </x:c>
      <x:c r="I2134" t="str">
        <x:v>Aprobado</x:v>
      </x:c>
      <x:c r="J2134" t="n">
        <x:v>29900</x:v>
      </x:c>
      <x:c r="K2134" t="str">
        <x:v>PSE</x:v>
      </x:c>
      <x:c r="L2134" t="str">
        <x:v>Sin error</x:v>
      </x:c>
    </x:row>
    <x:row r="2135">
      <x:c r="A2135" t="str">
        <x:v>TXN-0002134</x:v>
      </x:c>
      <x:c r="B2135" t="str">
        <x:v>2026-08</x:v>
      </x:c>
      <x:c r="C2135" t="n">
        <x:v>46244</x:v>
      </x:c>
      <x:c r="D2135" t="str">
        <x:v>USR-00624</x:v>
      </x:c>
      <x:c r="E2135" t="str">
        <x:v>SUS-001447</x:v>
      </x:c>
      <x:c r="F2135" t="str">
        <x:v>Plus mensual</x:v>
      </x:c>
      <x:c r="G2135" t="str">
        <x:v>Mensual</x:v>
      </x:c>
      <x:c r="H2135" t="n">
        <x:v>1</x:v>
      </x:c>
      <x:c r="I2135" t="str">
        <x:v>Aprobado</x:v>
      </x:c>
      <x:c r="J2135" t="n">
        <x:v>29900</x:v>
      </x:c>
      <x:c r="K2135" t="str">
        <x:v>Tarjeta débito</x:v>
      </x:c>
      <x:c r="L2135" t="str">
        <x:v>Sin error</x:v>
      </x:c>
    </x:row>
    <x:row r="2136">
      <x:c r="A2136" t="str">
        <x:v>TXN-0002135</x:v>
      </x:c>
      <x:c r="B2136" t="str">
        <x:v>2026-08</x:v>
      </x:c>
      <x:c r="C2136" t="n">
        <x:v>46244</x:v>
      </x:c>
      <x:c r="D2136" t="str">
        <x:v>USR-00625</x:v>
      </x:c>
      <x:c r="E2136" t="str">
        <x:v>SUS-000888</x:v>
      </x:c>
      <x:c r="F2136" t="str">
        <x:v>Plus mensual</x:v>
      </x:c>
      <x:c r="G2136" t="str">
        <x:v>Mensual</x:v>
      </x:c>
      <x:c r="H2136" t="n">
        <x:v>1</x:v>
      </x:c>
      <x:c r="I2136" t="str">
        <x:v>Aprobado</x:v>
      </x:c>
      <x:c r="J2136" t="n">
        <x:v>29900</x:v>
      </x:c>
      <x:c r="K2136" t="str">
        <x:v>Tarjeta crédito</x:v>
      </x:c>
      <x:c r="L2136" t="str">
        <x:v>Sin error</x:v>
      </x:c>
    </x:row>
    <x:row r="2137">
      <x:c r="A2137" t="str">
        <x:v>TXN-0002136</x:v>
      </x:c>
      <x:c r="B2137" t="str">
        <x:v>2026-08</x:v>
      </x:c>
      <x:c r="C2137" t="n">
        <x:v>46245</x:v>
      </x:c>
      <x:c r="D2137" t="str">
        <x:v>USR-00626</x:v>
      </x:c>
      <x:c r="E2137" t="str">
        <x:v>SUS-000889</x:v>
      </x:c>
      <x:c r="F2137" t="str">
        <x:v>Plus mensual</x:v>
      </x:c>
      <x:c r="G2137" t="str">
        <x:v>Mensual</x:v>
      </x:c>
      <x:c r="H2137" t="n">
        <x:v>1</x:v>
      </x:c>
      <x:c r="I2137" t="str">
        <x:v>Aprobado</x:v>
      </x:c>
      <x:c r="J2137" t="n">
        <x:v>29900</x:v>
      </x:c>
      <x:c r="K2137" t="str">
        <x:v>Tarjeta crédito</x:v>
      </x:c>
      <x:c r="L2137" t="str">
        <x:v>Sin error</x:v>
      </x:c>
    </x:row>
    <x:row r="2138">
      <x:c r="A2138" t="str">
        <x:v>TXN-0002137</x:v>
      </x:c>
      <x:c r="B2138" t="str">
        <x:v>2026-08</x:v>
      </x:c>
      <x:c r="C2138" t="n">
        <x:v>46245</x:v>
      </x:c>
      <x:c r="D2138" t="str">
        <x:v>USR-00636</x:v>
      </x:c>
      <x:c r="E2138" t="str">
        <x:v>SUS-001587</x:v>
      </x:c>
      <x:c r="F2138" t="str">
        <x:v>Plus anual</x:v>
      </x:c>
      <x:c r="G2138" t="str">
        <x:v>Anual</x:v>
      </x:c>
      <x:c r="H2138" t="n">
        <x:v>1</x:v>
      </x:c>
      <x:c r="I2138" t="str">
        <x:v>Aprobado</x:v>
      </x:c>
      <x:c r="J2138" t="n">
        <x:v>299000</x:v>
      </x:c>
      <x:c r="K2138" t="str">
        <x:v>PSE</x:v>
      </x:c>
      <x:c r="L2138" t="str">
        <x:v>Sin error</x:v>
      </x:c>
    </x:row>
    <x:row r="2139">
      <x:c r="A2139" t="str">
        <x:v>TXN-0002138</x:v>
      </x:c>
      <x:c r="B2139" t="str">
        <x:v>2026-08</x:v>
      </x:c>
      <x:c r="C2139" t="n">
        <x:v>46241</x:v>
      </x:c>
      <x:c r="D2139" t="str">
        <x:v>USR-00637</x:v>
      </x:c>
      <x:c r="E2139" t="str">
        <x:v>SUS-001588</x:v>
      </x:c>
      <x:c r="F2139" t="str">
        <x:v>Plus anual</x:v>
      </x:c>
      <x:c r="G2139" t="str">
        <x:v>Anual</x:v>
      </x:c>
      <x:c r="H2139" t="n">
        <x:v>1</x:v>
      </x:c>
      <x:c r="I2139" t="str">
        <x:v>Aprobado</x:v>
      </x:c>
      <x:c r="J2139" t="n">
        <x:v>299000</x:v>
      </x:c>
      <x:c r="K2139" t="str">
        <x:v>Tarjeta débito</x:v>
      </x:c>
      <x:c r="L2139" t="str">
        <x:v>Sin error</x:v>
      </x:c>
    </x:row>
    <x:row r="2140">
      <x:c r="A2140" t="str">
        <x:v>TXN-0002139</x:v>
      </x:c>
      <x:c r="B2140" t="str">
        <x:v>2026-08</x:v>
      </x:c>
      <x:c r="C2140" t="n">
        <x:v>46243</x:v>
      </x:c>
      <x:c r="D2140" t="str">
        <x:v>USR-00639</x:v>
      </x:c>
      <x:c r="E2140" t="str">
        <x:v>SUS-001589</x:v>
      </x:c>
      <x:c r="F2140" t="str">
        <x:v>Plus mensual</x:v>
      </x:c>
      <x:c r="G2140" t="str">
        <x:v>Mensual</x:v>
      </x:c>
      <x:c r="H2140" t="n">
        <x:v>1</x:v>
      </x:c>
      <x:c r="I2140" t="str">
        <x:v>Aprobado</x:v>
      </x:c>
      <x:c r="J2140" t="n">
        <x:v>29900</x:v>
      </x:c>
      <x:c r="K2140" t="str">
        <x:v>PSE</x:v>
      </x:c>
      <x:c r="L2140" t="str">
        <x:v>Sin error</x:v>
      </x:c>
    </x:row>
    <x:row r="2141">
      <x:c r="A2141" t="str">
        <x:v>TXN-0002140</x:v>
      </x:c>
      <x:c r="B2141" t="str">
        <x:v>2026-08</x:v>
      </x:c>
      <x:c r="C2141" t="n">
        <x:v>46241</x:v>
      </x:c>
      <x:c r="D2141" t="str">
        <x:v>USR-00644</x:v>
      </x:c>
      <x:c r="E2141" t="str">
        <x:v>SUS-000907</x:v>
      </x:c>
      <x:c r="F2141" t="str">
        <x:v>Plus mensual</x:v>
      </x:c>
      <x:c r="G2141" t="str">
        <x:v>Mensual</x:v>
      </x:c>
      <x:c r="H2141" t="n">
        <x:v>1</x:v>
      </x:c>
      <x:c r="I2141" t="str">
        <x:v>Aprobado</x:v>
      </x:c>
      <x:c r="J2141" t="n">
        <x:v>29900</x:v>
      </x:c>
      <x:c r="K2141" t="str">
        <x:v>PSE</x:v>
      </x:c>
      <x:c r="L2141" t="str">
        <x:v>Sin error</x:v>
      </x:c>
    </x:row>
    <x:row r="2142">
      <x:c r="A2142" t="str">
        <x:v>TXN-0002141</x:v>
      </x:c>
      <x:c r="B2142" t="str">
        <x:v>2026-08</x:v>
      </x:c>
      <x:c r="C2142" t="n">
        <x:v>46239</x:v>
      </x:c>
      <x:c r="D2142" t="str">
        <x:v>USR-00648</x:v>
      </x:c>
      <x:c r="E2142" t="str">
        <x:v>SUS-000911</x:v>
      </x:c>
      <x:c r="F2142" t="str">
        <x:v>Plus mensual</x:v>
      </x:c>
      <x:c r="G2142" t="str">
        <x:v>Mensual</x:v>
      </x:c>
      <x:c r="H2142" t="n">
        <x:v>1</x:v>
      </x:c>
      <x:c r="I2142" t="str">
        <x:v>Aprobado</x:v>
      </x:c>
      <x:c r="J2142" t="n">
        <x:v>29900</x:v>
      </x:c>
      <x:c r="K2142" t="str">
        <x:v>PSE</x:v>
      </x:c>
      <x:c r="L2142" t="str">
        <x:v>Sin error</x:v>
      </x:c>
    </x:row>
    <x:row r="2143">
      <x:c r="A2143" t="str">
        <x:v>TXN-0002142</x:v>
      </x:c>
      <x:c r="B2143" t="str">
        <x:v>2026-08</x:v>
      </x:c>
      <x:c r="C2143" t="n">
        <x:v>46244</x:v>
      </x:c>
      <x:c r="D2143" t="str">
        <x:v>USR-00651</x:v>
      </x:c>
      <x:c r="E2143" t="str">
        <x:v>SUS-001590</x:v>
      </x:c>
      <x:c r="F2143" t="str">
        <x:v>Plus anual</x:v>
      </x:c>
      <x:c r="G2143" t="str">
        <x:v>Anual</x:v>
      </x:c>
      <x:c r="H2143" t="n">
        <x:v>1</x:v>
      </x:c>
      <x:c r="I2143" t="str">
        <x:v>Aprobado</x:v>
      </x:c>
      <x:c r="J2143" t="n">
        <x:v>299000</x:v>
      </x:c>
      <x:c r="K2143" t="str">
        <x:v>Tarjeta crédito</x:v>
      </x:c>
      <x:c r="L2143" t="str">
        <x:v>Sin error</x:v>
      </x:c>
    </x:row>
    <x:row r="2144">
      <x:c r="A2144" t="str">
        <x:v>TXN-0002143</x:v>
      </x:c>
      <x:c r="B2144" t="str">
        <x:v>2026-08</x:v>
      </x:c>
      <x:c r="C2144" t="n">
        <x:v>46239</x:v>
      </x:c>
      <x:c r="D2144" t="str">
        <x:v>USR-00653</x:v>
      </x:c>
      <x:c r="E2144" t="str">
        <x:v>SUS-001291</x:v>
      </x:c>
      <x:c r="F2144" t="str">
        <x:v>Plus mensual</x:v>
      </x:c>
      <x:c r="G2144" t="str">
        <x:v>Mensual</x:v>
      </x:c>
      <x:c r="H2144" t="n">
        <x:v>1</x:v>
      </x:c>
      <x:c r="I2144" t="str">
        <x:v>Aprobado</x:v>
      </x:c>
      <x:c r="J2144" t="n">
        <x:v>29900</x:v>
      </x:c>
      <x:c r="K2144" t="str">
        <x:v>Tarjeta crédito</x:v>
      </x:c>
      <x:c r="L2144" t="str">
        <x:v>Sin error</x:v>
      </x:c>
    </x:row>
    <x:row r="2145">
      <x:c r="A2145" t="str">
        <x:v>TXN-0002144</x:v>
      </x:c>
      <x:c r="B2145" t="str">
        <x:v>2026-08</x:v>
      </x:c>
      <x:c r="C2145" t="n">
        <x:v>46244</x:v>
      </x:c>
      <x:c r="D2145" t="str">
        <x:v>USR-00654</x:v>
      </x:c>
      <x:c r="E2145" t="str">
        <x:v>SUS-000917</x:v>
      </x:c>
      <x:c r="F2145" t="str">
        <x:v>Plus mensual</x:v>
      </x:c>
      <x:c r="G2145" t="str">
        <x:v>Mensual</x:v>
      </x:c>
      <x:c r="H2145" t="n">
        <x:v>1</x:v>
      </x:c>
      <x:c r="I2145" t="str">
        <x:v>Aprobado</x:v>
      </x:c>
      <x:c r="J2145" t="n">
        <x:v>29900</x:v>
      </x:c>
      <x:c r="K2145" t="str">
        <x:v>Tarjeta crédito</x:v>
      </x:c>
      <x:c r="L2145" t="str">
        <x:v>Sin error</x:v>
      </x:c>
    </x:row>
    <x:row r="2146">
      <x:c r="A2146" t="str">
        <x:v>TXN-0002145</x:v>
      </x:c>
      <x:c r="B2146" t="str">
        <x:v>2026-08</x:v>
      </x:c>
      <x:c r="C2146" t="n">
        <x:v>46240</x:v>
      </x:c>
      <x:c r="D2146" t="str">
        <x:v>USR-00662</x:v>
      </x:c>
      <x:c r="E2146" t="str">
        <x:v>SUS-001293</x:v>
      </x:c>
      <x:c r="F2146" t="str">
        <x:v>Plus mensual</x:v>
      </x:c>
      <x:c r="G2146" t="str">
        <x:v>Mensual</x:v>
      </x:c>
      <x:c r="H2146" t="n">
        <x:v>1</x:v>
      </x:c>
      <x:c r="I2146" t="str">
        <x:v>Aprobado</x:v>
      </x:c>
      <x:c r="J2146" t="n">
        <x:v>29900</x:v>
      </x:c>
      <x:c r="K2146" t="str">
        <x:v>Tarjeta crédito</x:v>
      </x:c>
      <x:c r="L2146" t="str">
        <x:v>Sin error</x:v>
      </x:c>
    </x:row>
    <x:row r="2147">
      <x:c r="A2147" t="str">
        <x:v>TXN-0002146</x:v>
      </x:c>
      <x:c r="B2147" t="str">
        <x:v>2026-08</x:v>
      </x:c>
      <x:c r="C2147" t="n">
        <x:v>46241</x:v>
      </x:c>
      <x:c r="D2147" t="str">
        <x:v>USR-00666</x:v>
      </x:c>
      <x:c r="E2147" t="str">
        <x:v>SUS-001009</x:v>
      </x:c>
      <x:c r="F2147" t="str">
        <x:v>Plus mensual</x:v>
      </x:c>
      <x:c r="G2147" t="str">
        <x:v>Mensual</x:v>
      </x:c>
      <x:c r="H2147" t="n">
        <x:v>1</x:v>
      </x:c>
      <x:c r="I2147" t="str">
        <x:v>Aprobado</x:v>
      </x:c>
      <x:c r="J2147" t="n">
        <x:v>29900</x:v>
      </x:c>
      <x:c r="K2147" t="str">
        <x:v>Tarjeta crédito</x:v>
      </x:c>
      <x:c r="L2147" t="str">
        <x:v>Sin error</x:v>
      </x:c>
    </x:row>
    <x:row r="2148">
      <x:c r="A2148" t="str">
        <x:v>TXN-0002147</x:v>
      </x:c>
      <x:c r="B2148" t="str">
        <x:v>2026-08</x:v>
      </x:c>
      <x:c r="C2148" t="n">
        <x:v>46243</x:v>
      </x:c>
      <x:c r="D2148" t="str">
        <x:v>USR-00669</x:v>
      </x:c>
      <x:c r="E2148" t="str">
        <x:v>SUS-000932</x:v>
      </x:c>
      <x:c r="F2148" t="str">
        <x:v>Plus mensual</x:v>
      </x:c>
      <x:c r="G2148" t="str">
        <x:v>Mensual</x:v>
      </x:c>
      <x:c r="H2148" t="n">
        <x:v>1</x:v>
      </x:c>
      <x:c r="I2148" t="str">
        <x:v>Aprobado</x:v>
      </x:c>
      <x:c r="J2148" t="n">
        <x:v>29900</x:v>
      </x:c>
      <x:c r="K2148" t="str">
        <x:v>PSE</x:v>
      </x:c>
      <x:c r="L2148" t="str">
        <x:v>Sin error</x:v>
      </x:c>
    </x:row>
    <x:row r="2149">
      <x:c r="A2149" t="str">
        <x:v>TXN-0002148</x:v>
      </x:c>
      <x:c r="B2149" t="str">
        <x:v>2026-08</x:v>
      </x:c>
      <x:c r="C2149" t="n">
        <x:v>46241</x:v>
      </x:c>
      <x:c r="D2149" t="str">
        <x:v>USR-00678</x:v>
      </x:c>
      <x:c r="E2149" t="str">
        <x:v>SUS-000941</x:v>
      </x:c>
      <x:c r="F2149" t="str">
        <x:v>Plus mensual</x:v>
      </x:c>
      <x:c r="G2149" t="str">
        <x:v>Mensual</x:v>
      </x:c>
      <x:c r="H2149" t="n">
        <x:v>1</x:v>
      </x:c>
      <x:c r="I2149" t="str">
        <x:v>Aprobado</x:v>
      </x:c>
      <x:c r="J2149" t="n">
        <x:v>29900</x:v>
      </x:c>
      <x:c r="K2149" t="str">
        <x:v>Tarjeta crédito</x:v>
      </x:c>
      <x:c r="L2149" t="str">
        <x:v>Sin error</x:v>
      </x:c>
    </x:row>
    <x:row r="2150">
      <x:c r="A2150" t="str">
        <x:v>TXN-0002149</x:v>
      </x:c>
      <x:c r="B2150" t="str">
        <x:v>2026-08</x:v>
      </x:c>
      <x:c r="C2150" t="n">
        <x:v>46244</x:v>
      </x:c>
      <x:c r="D2150" t="str">
        <x:v>USR-00680</x:v>
      </x:c>
      <x:c r="E2150" t="str">
        <x:v>SUS-001451</x:v>
      </x:c>
      <x:c r="F2150" t="str">
        <x:v>Plus mensual</x:v>
      </x:c>
      <x:c r="G2150" t="str">
        <x:v>Mensual</x:v>
      </x:c>
      <x:c r="H2150" t="n">
        <x:v>1</x:v>
      </x:c>
      <x:c r="I2150" t="str">
        <x:v>Aprobado</x:v>
      </x:c>
      <x:c r="J2150" t="n">
        <x:v>29900</x:v>
      </x:c>
      <x:c r="K2150" t="str">
        <x:v>Tarjeta crédito</x:v>
      </x:c>
      <x:c r="L2150" t="str">
        <x:v>Sin error</x:v>
      </x:c>
    </x:row>
    <x:row r="2151">
      <x:c r="A2151" t="str">
        <x:v>TXN-0002150</x:v>
      </x:c>
      <x:c r="B2151" t="str">
        <x:v>2026-08</x:v>
      </x:c>
      <x:c r="C2151" t="n">
        <x:v>46246</x:v>
      </x:c>
      <x:c r="D2151" t="str">
        <x:v>USR-00687</x:v>
      </x:c>
      <x:c r="E2151" t="str">
        <x:v>SUS-001294</x:v>
      </x:c>
      <x:c r="F2151" t="str">
        <x:v>Plus mensual</x:v>
      </x:c>
      <x:c r="G2151" t="str">
        <x:v>Mensual</x:v>
      </x:c>
      <x:c r="H2151" t="n">
        <x:v>1</x:v>
      </x:c>
      <x:c r="I2151" t="str">
        <x:v>Aprobado</x:v>
      </x:c>
      <x:c r="J2151" t="n">
        <x:v>29900</x:v>
      </x:c>
      <x:c r="K2151" t="str">
        <x:v>Tarjeta débito</x:v>
      </x:c>
      <x:c r="L2151" t="str">
        <x:v>Sin error</x:v>
      </x:c>
    </x:row>
    <x:row r="2152">
      <x:c r="A2152" t="str">
        <x:v>TXN-0002151</x:v>
      </x:c>
      <x:c r="B2152" t="str">
        <x:v>2026-08</x:v>
      </x:c>
      <x:c r="C2152" t="n">
        <x:v>46241</x:v>
      </x:c>
      <x:c r="D2152" t="str">
        <x:v>USR-00689</x:v>
      </x:c>
      <x:c r="E2152" t="str">
        <x:v>SUS-001452</x:v>
      </x:c>
      <x:c r="F2152" t="str">
        <x:v>Plus mensual</x:v>
      </x:c>
      <x:c r="G2152" t="str">
        <x:v>Mensual</x:v>
      </x:c>
      <x:c r="H2152" t="n">
        <x:v>1</x:v>
      </x:c>
      <x:c r="I2152" t="str">
        <x:v>Aprobado</x:v>
      </x:c>
      <x:c r="J2152" t="n">
        <x:v>29900</x:v>
      </x:c>
      <x:c r="K2152" t="str">
        <x:v>Tarjeta crédito</x:v>
      </x:c>
      <x:c r="L2152" t="str">
        <x:v>Sin error</x:v>
      </x:c>
    </x:row>
    <x:row r="2153">
      <x:c r="A2153" t="str">
        <x:v>TXN-0002152</x:v>
      </x:c>
      <x:c r="B2153" t="str">
        <x:v>2026-08</x:v>
      </x:c>
      <x:c r="C2153" t="n">
        <x:v>46245</x:v>
      </x:c>
      <x:c r="D2153" t="str">
        <x:v>USR-00694</x:v>
      </x:c>
      <x:c r="E2153" t="str">
        <x:v>SUS-001453</x:v>
      </x:c>
      <x:c r="F2153" t="str">
        <x:v>Plus mensual</x:v>
      </x:c>
      <x:c r="G2153" t="str">
        <x:v>Mensual</x:v>
      </x:c>
      <x:c r="H2153" t="n">
        <x:v>1</x:v>
      </x:c>
      <x:c r="I2153" t="str">
        <x:v>Rechazado</x:v>
      </x:c>
      <x:c r="J2153" t="n">
        <x:v>29900</x:v>
      </x:c>
      <x:c r="K2153" t="str">
        <x:v>PSE</x:v>
      </x:c>
      <x:c r="L2153" t="str">
        <x:v>Fondos insuficientes</x:v>
      </x:c>
    </x:row>
    <x:row r="2154">
      <x:c r="A2154" t="str">
        <x:v>TXN-0002153</x:v>
      </x:c>
      <x:c r="B2154" t="str">
        <x:v>2026-08</x:v>
      </x:c>
      <x:c r="C2154" t="n">
        <x:v>46242</x:v>
      </x:c>
      <x:c r="D2154" t="str">
        <x:v>USR-00694</x:v>
      </x:c>
      <x:c r="E2154" t="str">
        <x:v>SUS-001453</x:v>
      </x:c>
      <x:c r="F2154" t="str">
        <x:v>Plus mensual</x:v>
      </x:c>
      <x:c r="G2154" t="str">
        <x:v>Mensual</x:v>
      </x:c>
      <x:c r="H2154" t="n">
        <x:v>2</x:v>
      </x:c>
      <x:c r="I2154" t="str">
        <x:v>Aprobado</x:v>
      </x:c>
      <x:c r="J2154" t="n">
        <x:v>29900</x:v>
      </x:c>
      <x:c r="K2154" t="str">
        <x:v>Tarjeta débito</x:v>
      </x:c>
      <x:c r="L2154" t="str">
        <x:v>Sin error</x:v>
      </x:c>
    </x:row>
    <x:row r="2155">
      <x:c r="A2155" t="str">
        <x:v>TXN-0002154</x:v>
      </x:c>
      <x:c r="B2155" t="str">
        <x:v>2026-08</x:v>
      </x:c>
      <x:c r="C2155" t="n">
        <x:v>46243</x:v>
      </x:c>
      <x:c r="D2155" t="str">
        <x:v>USR-00712</x:v>
      </x:c>
      <x:c r="E2155" t="str">
        <x:v>SUS-001147</x:v>
      </x:c>
      <x:c r="F2155" t="str">
        <x:v>Plus mensual</x:v>
      </x:c>
      <x:c r="G2155" t="str">
        <x:v>Mensual</x:v>
      </x:c>
      <x:c r="H2155" t="n">
        <x:v>1</x:v>
      </x:c>
      <x:c r="I2155" t="str">
        <x:v>Aprobado</x:v>
      </x:c>
      <x:c r="J2155" t="n">
        <x:v>29900</x:v>
      </x:c>
      <x:c r="K2155" t="str">
        <x:v>Tarjeta débito</x:v>
      </x:c>
      <x:c r="L2155" t="str">
        <x:v>Sin error</x:v>
      </x:c>
    </x:row>
    <x:row r="2156">
      <x:c r="A2156" t="str">
        <x:v>TXN-0002155</x:v>
      </x:c>
      <x:c r="B2156" t="str">
        <x:v>2026-08</x:v>
      </x:c>
      <x:c r="C2156" t="n">
        <x:v>46243</x:v>
      </x:c>
      <x:c r="D2156" t="str">
        <x:v>USR-00715</x:v>
      </x:c>
      <x:c r="E2156" t="str">
        <x:v>SUS-001028</x:v>
      </x:c>
      <x:c r="F2156" t="str">
        <x:v>Plus mensual</x:v>
      </x:c>
      <x:c r="G2156" t="str">
        <x:v>Mensual</x:v>
      </x:c>
      <x:c r="H2156" t="n">
        <x:v>1</x:v>
      </x:c>
      <x:c r="I2156" t="str">
        <x:v>Aprobado</x:v>
      </x:c>
      <x:c r="J2156" t="n">
        <x:v>29900</x:v>
      </x:c>
      <x:c r="K2156" t="str">
        <x:v>Tarjeta débito</x:v>
      </x:c>
      <x:c r="L2156" t="str">
        <x:v>Sin error</x:v>
      </x:c>
    </x:row>
    <x:row r="2157">
      <x:c r="A2157" t="str">
        <x:v>TXN-0002156</x:v>
      </x:c>
      <x:c r="B2157" t="str">
        <x:v>2026-08</x:v>
      </x:c>
      <x:c r="C2157" t="n">
        <x:v>46244</x:v>
      </x:c>
      <x:c r="D2157" t="str">
        <x:v>USR-00719</x:v>
      </x:c>
      <x:c r="E2157" t="str">
        <x:v>SUS-001591</x:v>
      </x:c>
      <x:c r="F2157" t="str">
        <x:v>Plus mensual</x:v>
      </x:c>
      <x:c r="G2157" t="str">
        <x:v>Mensual</x:v>
      </x:c>
      <x:c r="H2157" t="n">
        <x:v>1</x:v>
      </x:c>
      <x:c r="I2157" t="str">
        <x:v>Aprobado</x:v>
      </x:c>
      <x:c r="J2157" t="n">
        <x:v>29900</x:v>
      </x:c>
      <x:c r="K2157" t="str">
        <x:v>PSE</x:v>
      </x:c>
      <x:c r="L2157" t="str">
        <x:v>Sin error</x:v>
      </x:c>
    </x:row>
    <x:row r="2158">
      <x:c r="A2158" t="str">
        <x:v>TXN-0002157</x:v>
      </x:c>
      <x:c r="B2158" t="str">
        <x:v>2026-08</x:v>
      </x:c>
      <x:c r="C2158" t="n">
        <x:v>46246</x:v>
      </x:c>
      <x:c r="D2158" t="str">
        <x:v>USR-00720</x:v>
      </x:c>
      <x:c r="E2158" t="str">
        <x:v>SUS-001033</x:v>
      </x:c>
      <x:c r="F2158" t="str">
        <x:v>Plus mensual</x:v>
      </x:c>
      <x:c r="G2158" t="str">
        <x:v>Mensual</x:v>
      </x:c>
      <x:c r="H2158" t="n">
        <x:v>1</x:v>
      </x:c>
      <x:c r="I2158" t="str">
        <x:v>Aprobado</x:v>
      </x:c>
      <x:c r="J2158" t="n">
        <x:v>29900</x:v>
      </x:c>
      <x:c r="K2158" t="str">
        <x:v>Tarjeta crédito</x:v>
      </x:c>
      <x:c r="L2158" t="str">
        <x:v>Sin error</x:v>
      </x:c>
    </x:row>
    <x:row r="2159">
      <x:c r="A2159" t="str">
        <x:v>TXN-0002158</x:v>
      </x:c>
      <x:c r="B2159" t="str">
        <x:v>2026-08</x:v>
      </x:c>
      <x:c r="C2159" t="n">
        <x:v>46241</x:v>
      </x:c>
      <x:c r="D2159" t="str">
        <x:v>USR-00722</x:v>
      </x:c>
      <x:c r="E2159" t="str">
        <x:v>SUS-001295</x:v>
      </x:c>
      <x:c r="F2159" t="str">
        <x:v>Plus mensual</x:v>
      </x:c>
      <x:c r="G2159" t="str">
        <x:v>Mensual</x:v>
      </x:c>
      <x:c r="H2159" t="n">
        <x:v>1</x:v>
      </x:c>
      <x:c r="I2159" t="str">
        <x:v>Aprobado</x:v>
      </x:c>
      <x:c r="J2159" t="n">
        <x:v>29900</x:v>
      </x:c>
      <x:c r="K2159" t="str">
        <x:v>Tarjeta débito</x:v>
      </x:c>
      <x:c r="L2159" t="str">
        <x:v>Sin error</x:v>
      </x:c>
    </x:row>
    <x:row r="2160">
      <x:c r="A2160" t="str">
        <x:v>TXN-0002159</x:v>
      </x:c>
      <x:c r="B2160" t="str">
        <x:v>2026-08</x:v>
      </x:c>
      <x:c r="C2160" t="n">
        <x:v>46242</x:v>
      </x:c>
      <x:c r="D2160" t="str">
        <x:v>USR-00725</x:v>
      </x:c>
      <x:c r="E2160" t="str">
        <x:v>SUS-001038</x:v>
      </x:c>
      <x:c r="F2160" t="str">
        <x:v>Plus mensual</x:v>
      </x:c>
      <x:c r="G2160" t="str">
        <x:v>Mensual</x:v>
      </x:c>
      <x:c r="H2160" t="n">
        <x:v>1</x:v>
      </x:c>
      <x:c r="I2160" t="str">
        <x:v>Aprobado</x:v>
      </x:c>
      <x:c r="J2160" t="n">
        <x:v>29900</x:v>
      </x:c>
      <x:c r="K2160" t="str">
        <x:v>Tarjeta crédito</x:v>
      </x:c>
      <x:c r="L2160" t="str">
        <x:v>Sin error</x:v>
      </x:c>
    </x:row>
    <x:row r="2161">
      <x:c r="A2161" t="str">
        <x:v>TXN-0002160</x:v>
      </x:c>
      <x:c r="B2161" t="str">
        <x:v>2026-08</x:v>
      </x:c>
      <x:c r="C2161" t="n">
        <x:v>46246</x:v>
      </x:c>
      <x:c r="D2161" t="str">
        <x:v>USR-00732</x:v>
      </x:c>
      <x:c r="E2161" t="str">
        <x:v>SUS-001457</x:v>
      </x:c>
      <x:c r="F2161" t="str">
        <x:v>Plus mensual</x:v>
      </x:c>
      <x:c r="G2161" t="str">
        <x:v>Mensual</x:v>
      </x:c>
      <x:c r="H2161" t="n">
        <x:v>1</x:v>
      </x:c>
      <x:c r="I2161" t="str">
        <x:v>Aprobado</x:v>
      </x:c>
      <x:c r="J2161" t="n">
        <x:v>29900</x:v>
      </x:c>
      <x:c r="K2161" t="str">
        <x:v>Tarjeta débito</x:v>
      </x:c>
      <x:c r="L2161" t="str">
        <x:v>Sin error</x:v>
      </x:c>
    </x:row>
    <x:row r="2162">
      <x:c r="A2162" t="str">
        <x:v>TXN-0002161</x:v>
      </x:c>
      <x:c r="B2162" t="str">
        <x:v>2026-08</x:v>
      </x:c>
      <x:c r="C2162" t="n">
        <x:v>46243</x:v>
      </x:c>
      <x:c r="D2162" t="str">
        <x:v>USR-00733</x:v>
      </x:c>
      <x:c r="E2162" t="str">
        <x:v>SUS-001046</x:v>
      </x:c>
      <x:c r="F2162" t="str">
        <x:v>Plus mensual</x:v>
      </x:c>
      <x:c r="G2162" t="str">
        <x:v>Mensual</x:v>
      </x:c>
      <x:c r="H2162" t="n">
        <x:v>1</x:v>
      </x:c>
      <x:c r="I2162" t="str">
        <x:v>Aprobado</x:v>
      </x:c>
      <x:c r="J2162" t="n">
        <x:v>29900</x:v>
      </x:c>
      <x:c r="K2162" t="str">
        <x:v>Tarjeta crédito</x:v>
      </x:c>
      <x:c r="L2162" t="str">
        <x:v>Sin error</x:v>
      </x:c>
    </x:row>
    <x:row r="2163">
      <x:c r="A2163" t="str">
        <x:v>TXN-0002162</x:v>
      </x:c>
      <x:c r="B2163" t="str">
        <x:v>2026-08</x:v>
      </x:c>
      <x:c r="C2163" t="n">
        <x:v>46242</x:v>
      </x:c>
      <x:c r="D2163" t="str">
        <x:v>USR-00735</x:v>
      </x:c>
      <x:c r="E2163" t="str">
        <x:v>SUS-001296</x:v>
      </x:c>
      <x:c r="F2163" t="str">
        <x:v>Plus mensual</x:v>
      </x:c>
      <x:c r="G2163" t="str">
        <x:v>Mensual</x:v>
      </x:c>
      <x:c r="H2163" t="n">
        <x:v>1</x:v>
      </x:c>
      <x:c r="I2163" t="str">
        <x:v>Aprobado</x:v>
      </x:c>
      <x:c r="J2163" t="n">
        <x:v>29900</x:v>
      </x:c>
      <x:c r="K2163" t="str">
        <x:v>Tarjeta crédito</x:v>
      </x:c>
      <x:c r="L2163" t="str">
        <x:v>Sin error</x:v>
      </x:c>
    </x:row>
    <x:row r="2164">
      <x:c r="A2164" t="str">
        <x:v>TXN-0002163</x:v>
      </x:c>
      <x:c r="B2164" t="str">
        <x:v>2026-08</x:v>
      </x:c>
      <x:c r="C2164" t="n">
        <x:v>46246</x:v>
      </x:c>
      <x:c r="D2164" t="str">
        <x:v>USR-00736</x:v>
      </x:c>
      <x:c r="E2164" t="str">
        <x:v>SUS-001049</x:v>
      </x:c>
      <x:c r="F2164" t="str">
        <x:v>Plus mensual</x:v>
      </x:c>
      <x:c r="G2164" t="str">
        <x:v>Mensual</x:v>
      </x:c>
      <x:c r="H2164" t="n">
        <x:v>1</x:v>
      </x:c>
      <x:c r="I2164" t="str">
        <x:v>Aprobado</x:v>
      </x:c>
      <x:c r="J2164" t="n">
        <x:v>29900</x:v>
      </x:c>
      <x:c r="K2164" t="str">
        <x:v>PSE</x:v>
      </x:c>
      <x:c r="L2164" t="str">
        <x:v>Sin error</x:v>
      </x:c>
    </x:row>
    <x:row r="2165">
      <x:c r="A2165" t="str">
        <x:v>TXN-0002164</x:v>
      </x:c>
      <x:c r="B2165" t="str">
        <x:v>2026-08</x:v>
      </x:c>
      <x:c r="C2165" t="n">
        <x:v>46239</x:v>
      </x:c>
      <x:c r="D2165" t="str">
        <x:v>USR-00743</x:v>
      </x:c>
      <x:c r="E2165" t="str">
        <x:v>SUS-001056</x:v>
      </x:c>
      <x:c r="F2165" t="str">
        <x:v>Plus mensual</x:v>
      </x:c>
      <x:c r="G2165" t="str">
        <x:v>Mensual</x:v>
      </x:c>
      <x:c r="H2165" t="n">
        <x:v>1</x:v>
      </x:c>
      <x:c r="I2165" t="str">
        <x:v>Aprobado</x:v>
      </x:c>
      <x:c r="J2165" t="n">
        <x:v>29900</x:v>
      </x:c>
      <x:c r="K2165" t="str">
        <x:v>Tarjeta crédito</x:v>
      </x:c>
      <x:c r="L2165" t="str">
        <x:v>Sin error</x:v>
      </x:c>
    </x:row>
    <x:row r="2166">
      <x:c r="A2166" t="str">
        <x:v>TXN-0002165</x:v>
      </x:c>
      <x:c r="B2166" t="str">
        <x:v>2026-08</x:v>
      </x:c>
      <x:c r="C2166" t="n">
        <x:v>46241</x:v>
      </x:c>
      <x:c r="D2166" t="str">
        <x:v>USR-00751</x:v>
      </x:c>
      <x:c r="E2166" t="str">
        <x:v>SIN_SUSCRIPCION</x:v>
      </x:c>
      <x:c r="F2166" t="str">
        <x:v>Plus mensual</x:v>
      </x:c>
      <x:c r="G2166" t="str">
        <x:v>Mensual</x:v>
      </x:c>
      <x:c r="H2166" t="n">
        <x:v>1</x:v>
      </x:c>
      <x:c r="I2166" t="str">
        <x:v>Rechazado</x:v>
      </x:c>
      <x:c r="J2166" t="n">
        <x:v>29900</x:v>
      </x:c>
      <x:c r="K2166" t="str">
        <x:v>Tarjeta crédito</x:v>
      </x:c>
      <x:c r="L2166" t="str">
        <x:v>Declinado por entidad</x:v>
      </x:c>
    </x:row>
    <x:row r="2167">
      <x:c r="A2167" t="str">
        <x:v>TXN-0002166</x:v>
      </x:c>
      <x:c r="B2167" t="str">
        <x:v>2026-08</x:v>
      </x:c>
      <x:c r="C2167" t="n">
        <x:v>46243</x:v>
      </x:c>
      <x:c r="D2167" t="str">
        <x:v>USR-00751</x:v>
      </x:c>
      <x:c r="E2167" t="str">
        <x:v>SIN_SUSCRIPCION</x:v>
      </x:c>
      <x:c r="F2167" t="str">
        <x:v>Plus mensual</x:v>
      </x:c>
      <x:c r="G2167" t="str">
        <x:v>Mensual</x:v>
      </x:c>
      <x:c r="H2167" t="n">
        <x:v>2</x:v>
      </x:c>
      <x:c r="I2167" t="str">
        <x:v>Rechazado</x:v>
      </x:c>
      <x:c r="J2167" t="n">
        <x:v>29900</x:v>
      </x:c>
      <x:c r="K2167" t="str">
        <x:v>Tarjeta crédito</x:v>
      </x:c>
      <x:c r="L2167" t="str">
        <x:v>Fondos insuficientes</x:v>
      </x:c>
    </x:row>
    <x:row r="2168">
      <x:c r="A2168" t="str">
        <x:v>TXN-0002167</x:v>
      </x:c>
      <x:c r="B2168" t="str">
        <x:v>2026-08</x:v>
      </x:c>
      <x:c r="C2168" t="n">
        <x:v>46245</x:v>
      </x:c>
      <x:c r="D2168" t="str">
        <x:v>USR-00755</x:v>
      </x:c>
      <x:c r="E2168" t="str">
        <x:v>SUS-001594</x:v>
      </x:c>
      <x:c r="F2168" t="str">
        <x:v>Plus mensual</x:v>
      </x:c>
      <x:c r="G2168" t="str">
        <x:v>Mensual</x:v>
      </x:c>
      <x:c r="H2168" t="n">
        <x:v>1</x:v>
      </x:c>
      <x:c r="I2168" t="str">
        <x:v>Aprobado</x:v>
      </x:c>
      <x:c r="J2168" t="n">
        <x:v>29900</x:v>
      </x:c>
      <x:c r="K2168" t="str">
        <x:v>Tarjeta crédito</x:v>
      </x:c>
      <x:c r="L2168" t="str">
        <x:v>Sin error</x:v>
      </x:c>
    </x:row>
    <x:row r="2169">
      <x:c r="A2169" t="str">
        <x:v>TXN-0002168</x:v>
      </x:c>
      <x:c r="B2169" t="str">
        <x:v>2026-08</x:v>
      </x:c>
      <x:c r="C2169" t="n">
        <x:v>46242</x:v>
      </x:c>
      <x:c r="D2169" t="str">
        <x:v>USR-00757</x:v>
      </x:c>
      <x:c r="E2169" t="str">
        <x:v>SUS-001460</x:v>
      </x:c>
      <x:c r="F2169" t="str">
        <x:v>Plus mensual</x:v>
      </x:c>
      <x:c r="G2169" t="str">
        <x:v>Mensual</x:v>
      </x:c>
      <x:c r="H2169" t="n">
        <x:v>1</x:v>
      </x:c>
      <x:c r="I2169" t="str">
        <x:v>Aprobado</x:v>
      </x:c>
      <x:c r="J2169" t="n">
        <x:v>29900</x:v>
      </x:c>
      <x:c r="K2169" t="str">
        <x:v>Tarjeta débito</x:v>
      </x:c>
      <x:c r="L2169" t="str">
        <x:v>Sin error</x:v>
      </x:c>
    </x:row>
    <x:row r="2170">
      <x:c r="A2170" t="str">
        <x:v>TXN-0002169</x:v>
      </x:c>
      <x:c r="B2170" t="str">
        <x:v>2026-08</x:v>
      </x:c>
      <x:c r="C2170" t="n">
        <x:v>46243</x:v>
      </x:c>
      <x:c r="D2170" t="str">
        <x:v>USR-00760</x:v>
      </x:c>
      <x:c r="E2170" t="str">
        <x:v>SUS-001595</x:v>
      </x:c>
      <x:c r="F2170" t="str">
        <x:v>Plus anual</x:v>
      </x:c>
      <x:c r="G2170" t="str">
        <x:v>Anual</x:v>
      </x:c>
      <x:c r="H2170" t="n">
        <x:v>1</x:v>
      </x:c>
      <x:c r="I2170" t="str">
        <x:v>Aprobado</x:v>
      </x:c>
      <x:c r="J2170" t="n">
        <x:v>299000</x:v>
      </x:c>
      <x:c r="K2170" t="str">
        <x:v>Tarjeta crédito</x:v>
      </x:c>
      <x:c r="L2170" t="str">
        <x:v>Sin error</x:v>
      </x:c>
    </x:row>
    <x:row r="2171">
      <x:c r="A2171" t="str">
        <x:v>TXN-0002170</x:v>
      </x:c>
      <x:c r="B2171" t="str">
        <x:v>2026-08</x:v>
      </x:c>
      <x:c r="C2171" t="n">
        <x:v>46244</x:v>
      </x:c>
      <x:c r="D2171" t="str">
        <x:v>USR-00767</x:v>
      </x:c>
      <x:c r="E2171" t="str">
        <x:v>SUS-001080</x:v>
      </x:c>
      <x:c r="F2171" t="str">
        <x:v>Plus mensual</x:v>
      </x:c>
      <x:c r="G2171" t="str">
        <x:v>Mensual</x:v>
      </x:c>
      <x:c r="H2171" t="n">
        <x:v>1</x:v>
      </x:c>
      <x:c r="I2171" t="str">
        <x:v>Aprobado</x:v>
      </x:c>
      <x:c r="J2171" t="n">
        <x:v>29900</x:v>
      </x:c>
      <x:c r="K2171" t="str">
        <x:v>PSE</x:v>
      </x:c>
      <x:c r="L2171" t="str">
        <x:v>Sin error</x:v>
      </x:c>
    </x:row>
    <x:row r="2172">
      <x:c r="A2172" t="str">
        <x:v>TXN-0002171</x:v>
      </x:c>
      <x:c r="B2172" t="str">
        <x:v>2026-08</x:v>
      </x:c>
      <x:c r="C2172" t="n">
        <x:v>46246</x:v>
      </x:c>
      <x:c r="D2172" t="str">
        <x:v>USR-00768</x:v>
      </x:c>
      <x:c r="E2172" t="str">
        <x:v>SUS-001081</x:v>
      </x:c>
      <x:c r="F2172" t="str">
        <x:v>Plus mensual</x:v>
      </x:c>
      <x:c r="G2172" t="str">
        <x:v>Mensual</x:v>
      </x:c>
      <x:c r="H2172" t="n">
        <x:v>1</x:v>
      </x:c>
      <x:c r="I2172" t="str">
        <x:v>Aprobado</x:v>
      </x:c>
      <x:c r="J2172" t="n">
        <x:v>29900</x:v>
      </x:c>
      <x:c r="K2172" t="str">
        <x:v>Tarjeta débito</x:v>
      </x:c>
      <x:c r="L2172" t="str">
        <x:v>Sin error</x:v>
      </x:c>
    </x:row>
    <x:row r="2173">
      <x:c r="A2173" t="str">
        <x:v>TXN-0002172</x:v>
      </x:c>
      <x:c r="B2173" t="str">
        <x:v>2026-08</x:v>
      </x:c>
      <x:c r="C2173" t="n">
        <x:v>46243</x:v>
      </x:c>
      <x:c r="D2173" t="str">
        <x:v>USR-00769</x:v>
      </x:c>
      <x:c r="E2173" t="str">
        <x:v>SUS-001596</x:v>
      </x:c>
      <x:c r="F2173" t="str">
        <x:v>Plus anual</x:v>
      </x:c>
      <x:c r="G2173" t="str">
        <x:v>Anual</x:v>
      </x:c>
      <x:c r="H2173" t="n">
        <x:v>1</x:v>
      </x:c>
      <x:c r="I2173" t="str">
        <x:v>Aprobado</x:v>
      </x:c>
      <x:c r="J2173" t="n">
        <x:v>299000</x:v>
      </x:c>
      <x:c r="K2173" t="str">
        <x:v>Tarjeta débito</x:v>
      </x:c>
      <x:c r="L2173" t="str">
        <x:v>Sin error</x:v>
      </x:c>
    </x:row>
    <x:row r="2174">
      <x:c r="A2174" t="str">
        <x:v>TXN-0002173</x:v>
      </x:c>
      <x:c r="B2174" t="str">
        <x:v>2026-08</x:v>
      </x:c>
      <x:c r="C2174" t="n">
        <x:v>46242</x:v>
      </x:c>
      <x:c r="D2174" t="str">
        <x:v>USR-00775</x:v>
      </x:c>
      <x:c r="E2174" t="str">
        <x:v>SUS-001088</x:v>
      </x:c>
      <x:c r="F2174" t="str">
        <x:v>Plus mensual</x:v>
      </x:c>
      <x:c r="G2174" t="str">
        <x:v>Mensual</x:v>
      </x:c>
      <x:c r="H2174" t="n">
        <x:v>1</x:v>
      </x:c>
      <x:c r="I2174" t="str">
        <x:v>Aprobado</x:v>
      </x:c>
      <x:c r="J2174" t="n">
        <x:v>29900</x:v>
      </x:c>
      <x:c r="K2174" t="str">
        <x:v>PSE</x:v>
      </x:c>
      <x:c r="L2174" t="str">
        <x:v>Sin error</x:v>
      </x:c>
    </x:row>
    <x:row r="2175">
      <x:c r="A2175" t="str">
        <x:v>TXN-0002174</x:v>
      </x:c>
      <x:c r="B2175" t="str">
        <x:v>2026-08</x:v>
      </x:c>
      <x:c r="C2175" t="n">
        <x:v>46243</x:v>
      </x:c>
      <x:c r="D2175" t="str">
        <x:v>USR-00776</x:v>
      </x:c>
      <x:c r="E2175" t="str">
        <x:v>SUS-001461</x:v>
      </x:c>
      <x:c r="F2175" t="str">
        <x:v>Plus mensual</x:v>
      </x:c>
      <x:c r="G2175" t="str">
        <x:v>Mensual</x:v>
      </x:c>
      <x:c r="H2175" t="n">
        <x:v>1</x:v>
      </x:c>
      <x:c r="I2175" t="str">
        <x:v>Aprobado</x:v>
      </x:c>
      <x:c r="J2175" t="n">
        <x:v>29900</x:v>
      </x:c>
      <x:c r="K2175" t="str">
        <x:v>Tarjeta crédito</x:v>
      </x:c>
      <x:c r="L2175" t="str">
        <x:v>Sin error</x:v>
      </x:c>
    </x:row>
    <x:row r="2176">
      <x:c r="A2176" t="str">
        <x:v>TXN-0002175</x:v>
      </x:c>
      <x:c r="B2176" t="str">
        <x:v>2026-08</x:v>
      </x:c>
      <x:c r="C2176" t="n">
        <x:v>46240</x:v>
      </x:c>
      <x:c r="D2176" t="str">
        <x:v>USR-00777</x:v>
      </x:c>
      <x:c r="E2176" t="str">
        <x:v>SUS-001462</x:v>
      </x:c>
      <x:c r="F2176" t="str">
        <x:v>Plus mensual</x:v>
      </x:c>
      <x:c r="G2176" t="str">
        <x:v>Mensual</x:v>
      </x:c>
      <x:c r="H2176" t="n">
        <x:v>1</x:v>
      </x:c>
      <x:c r="I2176" t="str">
        <x:v>Aprobado</x:v>
      </x:c>
      <x:c r="J2176" t="n">
        <x:v>29900</x:v>
      </x:c>
      <x:c r="K2176" t="str">
        <x:v>Tarjeta crédito</x:v>
      </x:c>
      <x:c r="L2176" t="str">
        <x:v>Sin error</x:v>
      </x:c>
    </x:row>
    <x:row r="2177">
      <x:c r="A2177" t="str">
        <x:v>TXN-0002176</x:v>
      </x:c>
      <x:c r="B2177" t="str">
        <x:v>2026-08</x:v>
      </x:c>
      <x:c r="C2177" t="n">
        <x:v>46240</x:v>
      </x:c>
      <x:c r="D2177" t="str">
        <x:v>USR-00783</x:v>
      </x:c>
      <x:c r="E2177" t="str">
        <x:v>SUS-001096</x:v>
      </x:c>
      <x:c r="F2177" t="str">
        <x:v>Plus mensual</x:v>
      </x:c>
      <x:c r="G2177" t="str">
        <x:v>Mensual</x:v>
      </x:c>
      <x:c r="H2177" t="n">
        <x:v>1</x:v>
      </x:c>
      <x:c r="I2177" t="str">
        <x:v>Aprobado</x:v>
      </x:c>
      <x:c r="J2177" t="n">
        <x:v>29900</x:v>
      </x:c>
      <x:c r="K2177" t="str">
        <x:v>PSE</x:v>
      </x:c>
      <x:c r="L2177" t="str">
        <x:v>Sin error</x:v>
      </x:c>
    </x:row>
    <x:row r="2178">
      <x:c r="A2178" t="str">
        <x:v>TXN-0002177</x:v>
      </x:c>
      <x:c r="B2178" t="str">
        <x:v>2026-08</x:v>
      </x:c>
      <x:c r="C2178" t="n">
        <x:v>46241</x:v>
      </x:c>
      <x:c r="D2178" t="str">
        <x:v>USR-00785</x:v>
      </x:c>
      <x:c r="E2178" t="str">
        <x:v>SUS-001597</x:v>
      </x:c>
      <x:c r="F2178" t="str">
        <x:v>Plus anual</x:v>
      </x:c>
      <x:c r="G2178" t="str">
        <x:v>Anual</x:v>
      </x:c>
      <x:c r="H2178" t="n">
        <x:v>1</x:v>
      </x:c>
      <x:c r="I2178" t="str">
        <x:v>Aprobado</x:v>
      </x:c>
      <x:c r="J2178" t="n">
        <x:v>299000</x:v>
      </x:c>
      <x:c r="K2178" t="str">
        <x:v>Tarjeta débito</x:v>
      </x:c>
      <x:c r="L2178" t="str">
        <x:v>Sin error</x:v>
      </x:c>
    </x:row>
    <x:row r="2179">
      <x:c r="A2179" t="str">
        <x:v>TXN-0002178</x:v>
      </x:c>
      <x:c r="B2179" t="str">
        <x:v>2026-08</x:v>
      </x:c>
      <x:c r="C2179" t="n">
        <x:v>46240</x:v>
      </x:c>
      <x:c r="D2179" t="str">
        <x:v>USR-00787</x:v>
      </x:c>
      <x:c r="E2179" t="str">
        <x:v>SUS-001155</x:v>
      </x:c>
      <x:c r="F2179" t="str">
        <x:v>Plus mensual</x:v>
      </x:c>
      <x:c r="G2179" t="str">
        <x:v>Mensual</x:v>
      </x:c>
      <x:c r="H2179" t="n">
        <x:v>1</x:v>
      </x:c>
      <x:c r="I2179" t="str">
        <x:v>Aprobado</x:v>
      </x:c>
      <x:c r="J2179" t="n">
        <x:v>29900</x:v>
      </x:c>
      <x:c r="K2179" t="str">
        <x:v>Tarjeta débito</x:v>
      </x:c>
      <x:c r="L2179" t="str">
        <x:v>Sin error</x:v>
      </x:c>
    </x:row>
    <x:row r="2180">
      <x:c r="A2180" t="str">
        <x:v>TXN-0002179</x:v>
      </x:c>
      <x:c r="B2180" t="str">
        <x:v>2026-08</x:v>
      </x:c>
      <x:c r="C2180" t="n">
        <x:v>46246</x:v>
      </x:c>
      <x:c r="D2180" t="str">
        <x:v>USR-00790</x:v>
      </x:c>
      <x:c r="E2180" t="str">
        <x:v>SUS-001158</x:v>
      </x:c>
      <x:c r="F2180" t="str">
        <x:v>Plus mensual</x:v>
      </x:c>
      <x:c r="G2180" t="str">
        <x:v>Mensual</x:v>
      </x:c>
      <x:c r="H2180" t="n">
        <x:v>1</x:v>
      </x:c>
      <x:c r="I2180" t="str">
        <x:v>Aprobado</x:v>
      </x:c>
      <x:c r="J2180" t="n">
        <x:v>29900</x:v>
      </x:c>
      <x:c r="K2180" t="str">
        <x:v>PSE</x:v>
      </x:c>
      <x:c r="L2180" t="str">
        <x:v>Sin error</x:v>
      </x:c>
    </x:row>
    <x:row r="2181">
      <x:c r="A2181" t="str">
        <x:v>TXN-0002180</x:v>
      </x:c>
      <x:c r="B2181" t="str">
        <x:v>2026-08</x:v>
      </x:c>
      <x:c r="C2181" t="n">
        <x:v>46242</x:v>
      </x:c>
      <x:c r="D2181" t="str">
        <x:v>USR-00798</x:v>
      </x:c>
      <x:c r="E2181" t="str">
        <x:v>SUS-001166</x:v>
      </x:c>
      <x:c r="F2181" t="str">
        <x:v>Plus mensual</x:v>
      </x:c>
      <x:c r="G2181" t="str">
        <x:v>Mensual</x:v>
      </x:c>
      <x:c r="H2181" t="n">
        <x:v>1</x:v>
      </x:c>
      <x:c r="I2181" t="str">
        <x:v>Aprobado</x:v>
      </x:c>
      <x:c r="J2181" t="n">
        <x:v>29900</x:v>
      </x:c>
      <x:c r="K2181" t="str">
        <x:v>Tarjeta crédito</x:v>
      </x:c>
      <x:c r="L2181" t="str">
        <x:v>Sin error</x:v>
      </x:c>
    </x:row>
    <x:row r="2182">
      <x:c r="A2182" t="str">
        <x:v>TXN-0002181</x:v>
      </x:c>
      <x:c r="B2182" t="str">
        <x:v>2026-08</x:v>
      </x:c>
      <x:c r="C2182" t="n">
        <x:v>46243</x:v>
      </x:c>
      <x:c r="D2182" t="str">
        <x:v>USR-00813</x:v>
      </x:c>
      <x:c r="E2182" t="str">
        <x:v>SUS-001181</x:v>
      </x:c>
      <x:c r="F2182" t="str">
        <x:v>Plus mensual</x:v>
      </x:c>
      <x:c r="G2182" t="str">
        <x:v>Mensual</x:v>
      </x:c>
      <x:c r="H2182" t="n">
        <x:v>1</x:v>
      </x:c>
      <x:c r="I2182" t="str">
        <x:v>Aprobado</x:v>
      </x:c>
      <x:c r="J2182" t="n">
        <x:v>29900</x:v>
      </x:c>
      <x:c r="K2182" t="str">
        <x:v>PSE</x:v>
      </x:c>
      <x:c r="L2182" t="str">
        <x:v>Sin error</x:v>
      </x:c>
    </x:row>
    <x:row r="2183">
      <x:c r="A2183" t="str">
        <x:v>TXN-0002182</x:v>
      </x:c>
      <x:c r="B2183" t="str">
        <x:v>2026-08</x:v>
      </x:c>
      <x:c r="C2183" t="n">
        <x:v>46245</x:v>
      </x:c>
      <x:c r="D2183" t="str">
        <x:v>USR-00816</x:v>
      </x:c>
      <x:c r="E2183" t="str">
        <x:v>SUS-001464</x:v>
      </x:c>
      <x:c r="F2183" t="str">
        <x:v>Plus mensual</x:v>
      </x:c>
      <x:c r="G2183" t="str">
        <x:v>Mensual</x:v>
      </x:c>
      <x:c r="H2183" t="n">
        <x:v>1</x:v>
      </x:c>
      <x:c r="I2183" t="str">
        <x:v>Aprobado</x:v>
      </x:c>
      <x:c r="J2183" t="n">
        <x:v>29900</x:v>
      </x:c>
      <x:c r="K2183" t="str">
        <x:v>Tarjeta crédito</x:v>
      </x:c>
      <x:c r="L2183" t="str">
        <x:v>Sin error</x:v>
      </x:c>
    </x:row>
    <x:row r="2184">
      <x:c r="A2184" t="str">
        <x:v>TXN-0002183</x:v>
      </x:c>
      <x:c r="B2184" t="str">
        <x:v>2026-08</x:v>
      </x:c>
      <x:c r="C2184" t="n">
        <x:v>46240</x:v>
      </x:c>
      <x:c r="D2184" t="str">
        <x:v>USR-00817</x:v>
      </x:c>
      <x:c r="E2184" t="str">
        <x:v>SUS-001598</x:v>
      </x:c>
      <x:c r="F2184" t="str">
        <x:v>Plus anual</x:v>
      </x:c>
      <x:c r="G2184" t="str">
        <x:v>Anual</x:v>
      </x:c>
      <x:c r="H2184" t="n">
        <x:v>1</x:v>
      </x:c>
      <x:c r="I2184" t="str">
        <x:v>Aprobado</x:v>
      </x:c>
      <x:c r="J2184" t="n">
        <x:v>299000</x:v>
      </x:c>
      <x:c r="K2184" t="str">
        <x:v>Tarjeta crédito</x:v>
      </x:c>
      <x:c r="L2184" t="str">
        <x:v>Sin error</x:v>
      </x:c>
    </x:row>
    <x:row r="2185">
      <x:c r="A2185" t="str">
        <x:v>TXN-0002184</x:v>
      </x:c>
      <x:c r="B2185" t="str">
        <x:v>2026-08</x:v>
      </x:c>
      <x:c r="C2185" t="n">
        <x:v>46239</x:v>
      </x:c>
      <x:c r="D2185" t="str">
        <x:v>USR-00824</x:v>
      </x:c>
      <x:c r="E2185" t="str">
        <x:v>SUS-001192</x:v>
      </x:c>
      <x:c r="F2185" t="str">
        <x:v>Plus mensual</x:v>
      </x:c>
      <x:c r="G2185" t="str">
        <x:v>Mensual</x:v>
      </x:c>
      <x:c r="H2185" t="n">
        <x:v>1</x:v>
      </x:c>
      <x:c r="I2185" t="str">
        <x:v>Aprobado</x:v>
      </x:c>
      <x:c r="J2185" t="n">
        <x:v>29900</x:v>
      </x:c>
      <x:c r="K2185" t="str">
        <x:v>PSE</x:v>
      </x:c>
      <x:c r="L2185" t="str">
        <x:v>Sin error</x:v>
      </x:c>
    </x:row>
    <x:row r="2186">
      <x:c r="A2186" t="str">
        <x:v>TXN-0002185</x:v>
      </x:c>
      <x:c r="B2186" t="str">
        <x:v>2026-08</x:v>
      </x:c>
      <x:c r="C2186" t="n">
        <x:v>46246</x:v>
      </x:c>
      <x:c r="D2186" t="str">
        <x:v>USR-00832</x:v>
      </x:c>
      <x:c r="E2186" t="str">
        <x:v>SUS-001200</x:v>
      </x:c>
      <x:c r="F2186" t="str">
        <x:v>Plus mensual</x:v>
      </x:c>
      <x:c r="G2186" t="str">
        <x:v>Mensual</x:v>
      </x:c>
      <x:c r="H2186" t="n">
        <x:v>1</x:v>
      </x:c>
      <x:c r="I2186" t="str">
        <x:v>Aprobado</x:v>
      </x:c>
      <x:c r="J2186" t="n">
        <x:v>29900</x:v>
      </x:c>
      <x:c r="K2186" t="str">
        <x:v>Tarjeta crédito</x:v>
      </x:c>
      <x:c r="L2186" t="str">
        <x:v>Sin error</x:v>
      </x:c>
    </x:row>
    <x:row r="2187">
      <x:c r="A2187" t="str">
        <x:v>TXN-0002186</x:v>
      </x:c>
      <x:c r="B2187" t="str">
        <x:v>2026-08</x:v>
      </x:c>
      <x:c r="C2187" t="n">
        <x:v>46239</x:v>
      </x:c>
      <x:c r="D2187" t="str">
        <x:v>USR-00833</x:v>
      </x:c>
      <x:c r="E2187" t="str">
        <x:v>SUS-001201</x:v>
      </x:c>
      <x:c r="F2187" t="str">
        <x:v>Plus mensual</x:v>
      </x:c>
      <x:c r="G2187" t="str">
        <x:v>Mensual</x:v>
      </x:c>
      <x:c r="H2187" t="n">
        <x:v>1</x:v>
      </x:c>
      <x:c r="I2187" t="str">
        <x:v>Aprobado</x:v>
      </x:c>
      <x:c r="J2187" t="n">
        <x:v>29900</x:v>
      </x:c>
      <x:c r="K2187" t="str">
        <x:v>PSE</x:v>
      </x:c>
      <x:c r="L2187" t="str">
        <x:v>Sin error</x:v>
      </x:c>
    </x:row>
    <x:row r="2188">
      <x:c r="A2188" t="str">
        <x:v>TXN-0002187</x:v>
      </x:c>
      <x:c r="B2188" t="str">
        <x:v>2026-08</x:v>
      </x:c>
      <x:c r="C2188" t="n">
        <x:v>46239</x:v>
      </x:c>
      <x:c r="D2188" t="str">
        <x:v>USR-00836</x:v>
      </x:c>
      <x:c r="E2188" t="str">
        <x:v>SUS-001302</x:v>
      </x:c>
      <x:c r="F2188" t="str">
        <x:v>Plus mensual</x:v>
      </x:c>
      <x:c r="G2188" t="str">
        <x:v>Mensual</x:v>
      </x:c>
      <x:c r="H2188" t="n">
        <x:v>1</x:v>
      </x:c>
      <x:c r="I2188" t="str">
        <x:v>Aprobado</x:v>
      </x:c>
      <x:c r="J2188" t="n">
        <x:v>29900</x:v>
      </x:c>
      <x:c r="K2188" t="str">
        <x:v>PSE</x:v>
      </x:c>
      <x:c r="L2188" t="str">
        <x:v>Sin error</x:v>
      </x:c>
    </x:row>
    <x:row r="2189">
      <x:c r="A2189" t="str">
        <x:v>TXN-0002188</x:v>
      </x:c>
      <x:c r="B2189" t="str">
        <x:v>2026-08</x:v>
      </x:c>
      <x:c r="C2189" t="n">
        <x:v>46242</x:v>
      </x:c>
      <x:c r="D2189" t="str">
        <x:v>USR-00846</x:v>
      </x:c>
      <x:c r="E2189" t="str">
        <x:v>SUS-001214</x:v>
      </x:c>
      <x:c r="F2189" t="str">
        <x:v>Plus mensual</x:v>
      </x:c>
      <x:c r="G2189" t="str">
        <x:v>Mensual</x:v>
      </x:c>
      <x:c r="H2189" t="n">
        <x:v>1</x:v>
      </x:c>
      <x:c r="I2189" t="str">
        <x:v>Aprobado</x:v>
      </x:c>
      <x:c r="J2189" t="n">
        <x:v>29900</x:v>
      </x:c>
      <x:c r="K2189" t="str">
        <x:v>Tarjeta débito</x:v>
      </x:c>
      <x:c r="L2189" t="str">
        <x:v>Sin error</x:v>
      </x:c>
    </x:row>
    <x:row r="2190">
      <x:c r="A2190" t="str">
        <x:v>TXN-0002189</x:v>
      </x:c>
      <x:c r="B2190" t="str">
        <x:v>2026-08</x:v>
      </x:c>
      <x:c r="C2190" t="n">
        <x:v>46245</x:v>
      </x:c>
      <x:c r="D2190" t="str">
        <x:v>USR-00848</x:v>
      </x:c>
      <x:c r="E2190" t="str">
        <x:v>SUS-001599</x:v>
      </x:c>
      <x:c r="F2190" t="str">
        <x:v>Plus anual</x:v>
      </x:c>
      <x:c r="G2190" t="str">
        <x:v>Anual</x:v>
      </x:c>
      <x:c r="H2190" t="n">
        <x:v>1</x:v>
      </x:c>
      <x:c r="I2190" t="str">
        <x:v>Aprobado</x:v>
      </x:c>
      <x:c r="J2190" t="n">
        <x:v>299000</x:v>
      </x:c>
      <x:c r="K2190" t="str">
        <x:v>PSE</x:v>
      </x:c>
      <x:c r="L2190" t="str">
        <x:v>Sin error</x:v>
      </x:c>
    </x:row>
    <x:row r="2191">
      <x:c r="A2191" t="str">
        <x:v>TXN-0002190</x:v>
      </x:c>
      <x:c r="B2191" t="str">
        <x:v>2026-08</x:v>
      </x:c>
      <x:c r="C2191" t="n">
        <x:v>46244</x:v>
      </x:c>
      <x:c r="D2191" t="str">
        <x:v>USR-00849</x:v>
      </x:c>
      <x:c r="E2191" t="str">
        <x:v>SUS-001600</x:v>
      </x:c>
      <x:c r="F2191" t="str">
        <x:v>Plus mensual</x:v>
      </x:c>
      <x:c r="G2191" t="str">
        <x:v>Mensual</x:v>
      </x:c>
      <x:c r="H2191" t="n">
        <x:v>1</x:v>
      </x:c>
      <x:c r="I2191" t="str">
        <x:v>Aprobado</x:v>
      </x:c>
      <x:c r="J2191" t="n">
        <x:v>29900</x:v>
      </x:c>
      <x:c r="K2191" t="str">
        <x:v>Tarjeta crédito</x:v>
      </x:c>
      <x:c r="L2191" t="str">
        <x:v>Sin error</x:v>
      </x:c>
    </x:row>
    <x:row r="2192">
      <x:c r="A2192" t="str">
        <x:v>TXN-0002191</x:v>
      </x:c>
      <x:c r="B2192" t="str">
        <x:v>2026-08</x:v>
      </x:c>
      <x:c r="C2192" t="n">
        <x:v>46239</x:v>
      </x:c>
      <x:c r="D2192" t="str">
        <x:v>USR-00850</x:v>
      </x:c>
      <x:c r="E2192" t="str">
        <x:v>SUS-001218</x:v>
      </x:c>
      <x:c r="F2192" t="str">
        <x:v>Plus mensual</x:v>
      </x:c>
      <x:c r="G2192" t="str">
        <x:v>Mensual</x:v>
      </x:c>
      <x:c r="H2192" t="n">
        <x:v>1</x:v>
      </x:c>
      <x:c r="I2192" t="str">
        <x:v>Aprobado</x:v>
      </x:c>
      <x:c r="J2192" t="n">
        <x:v>29900</x:v>
      </x:c>
      <x:c r="K2192" t="str">
        <x:v>PSE</x:v>
      </x:c>
      <x:c r="L2192" t="str">
        <x:v>Sin error</x:v>
      </x:c>
    </x:row>
    <x:row r="2193">
      <x:c r="A2193" t="str">
        <x:v>TXN-0002192</x:v>
      </x:c>
      <x:c r="B2193" t="str">
        <x:v>2026-08</x:v>
      </x:c>
      <x:c r="C2193" t="n">
        <x:v>46246</x:v>
      </x:c>
      <x:c r="D2193" t="str">
        <x:v>USR-00858</x:v>
      </x:c>
      <x:c r="E2193" t="str">
        <x:v>SUS-001226</x:v>
      </x:c>
      <x:c r="F2193" t="str">
        <x:v>Plus mensual</x:v>
      </x:c>
      <x:c r="G2193" t="str">
        <x:v>Mensual</x:v>
      </x:c>
      <x:c r="H2193" t="n">
        <x:v>1</x:v>
      </x:c>
      <x:c r="I2193" t="str">
        <x:v>Aprobado</x:v>
      </x:c>
      <x:c r="J2193" t="n">
        <x:v>29900</x:v>
      </x:c>
      <x:c r="K2193" t="str">
        <x:v>Tarjeta crédito</x:v>
      </x:c>
      <x:c r="L2193" t="str">
        <x:v>Sin error</x:v>
      </x:c>
    </x:row>
    <x:row r="2194">
      <x:c r="A2194" t="str">
        <x:v>TXN-0002193</x:v>
      </x:c>
      <x:c r="B2194" t="str">
        <x:v>2026-08</x:v>
      </x:c>
      <x:c r="C2194" t="n">
        <x:v>46246</x:v>
      </x:c>
      <x:c r="D2194" t="str">
        <x:v>USR-00859</x:v>
      </x:c>
      <x:c r="E2194" t="str">
        <x:v>SUS-001227</x:v>
      </x:c>
      <x:c r="F2194" t="str">
        <x:v>Plus mensual</x:v>
      </x:c>
      <x:c r="G2194" t="str">
        <x:v>Mensual</x:v>
      </x:c>
      <x:c r="H2194" t="n">
        <x:v>1</x:v>
      </x:c>
      <x:c r="I2194" t="str">
        <x:v>Aprobado</x:v>
      </x:c>
      <x:c r="J2194" t="n">
        <x:v>29900</x:v>
      </x:c>
      <x:c r="K2194" t="str">
        <x:v>Tarjeta débito</x:v>
      </x:c>
      <x:c r="L2194" t="str">
        <x:v>Sin error</x:v>
      </x:c>
    </x:row>
    <x:row r="2195">
      <x:c r="A2195" t="str">
        <x:v>TXN-0002194</x:v>
      </x:c>
      <x:c r="B2195" t="str">
        <x:v>2026-08</x:v>
      </x:c>
      <x:c r="C2195" t="n">
        <x:v>46245</x:v>
      </x:c>
      <x:c r="D2195" t="str">
        <x:v>USR-00860</x:v>
      </x:c>
      <x:c r="E2195" t="str">
        <x:v>SUS-001228</x:v>
      </x:c>
      <x:c r="F2195" t="str">
        <x:v>Plus mensual</x:v>
      </x:c>
      <x:c r="G2195" t="str">
        <x:v>Mensual</x:v>
      </x:c>
      <x:c r="H2195" t="n">
        <x:v>1</x:v>
      </x:c>
      <x:c r="I2195" t="str">
        <x:v>Aprobado</x:v>
      </x:c>
      <x:c r="J2195" t="n">
        <x:v>29900</x:v>
      </x:c>
      <x:c r="K2195" t="str">
        <x:v>Tarjeta crédito</x:v>
      </x:c>
      <x:c r="L2195" t="str">
        <x:v>Sin error</x:v>
      </x:c>
    </x:row>
    <x:row r="2196">
      <x:c r="A2196" t="str">
        <x:v>TXN-0002195</x:v>
      </x:c>
      <x:c r="B2196" t="str">
        <x:v>2026-08</x:v>
      </x:c>
      <x:c r="C2196" t="n">
        <x:v>46241</x:v>
      </x:c>
      <x:c r="D2196" t="str">
        <x:v>USR-00861</x:v>
      </x:c>
      <x:c r="E2196" t="str">
        <x:v>SUS-001229</x:v>
      </x:c>
      <x:c r="F2196" t="str">
        <x:v>Plus mensual</x:v>
      </x:c>
      <x:c r="G2196" t="str">
        <x:v>Mensual</x:v>
      </x:c>
      <x:c r="H2196" t="n">
        <x:v>1</x:v>
      </x:c>
      <x:c r="I2196" t="str">
        <x:v>Aprobado</x:v>
      </x:c>
      <x:c r="J2196" t="n">
        <x:v>29900</x:v>
      </x:c>
      <x:c r="K2196" t="str">
        <x:v>Tarjeta débito</x:v>
      </x:c>
      <x:c r="L2196" t="str">
        <x:v>Sin error</x:v>
      </x:c>
    </x:row>
    <x:row r="2197">
      <x:c r="A2197" t="str">
        <x:v>TXN-0002196</x:v>
      </x:c>
      <x:c r="B2197" t="str">
        <x:v>2026-08</x:v>
      </x:c>
      <x:c r="C2197" t="n">
        <x:v>46241</x:v>
      </x:c>
      <x:c r="D2197" t="str">
        <x:v>USR-00862</x:v>
      </x:c>
      <x:c r="E2197" t="str">
        <x:v>SUS-001230</x:v>
      </x:c>
      <x:c r="F2197" t="str">
        <x:v>Plus mensual</x:v>
      </x:c>
      <x:c r="G2197" t="str">
        <x:v>Mensual</x:v>
      </x:c>
      <x:c r="H2197" t="n">
        <x:v>1</x:v>
      </x:c>
      <x:c r="I2197" t="str">
        <x:v>Aprobado</x:v>
      </x:c>
      <x:c r="J2197" t="n">
        <x:v>29900</x:v>
      </x:c>
      <x:c r="K2197" t="str">
        <x:v>PSE</x:v>
      </x:c>
      <x:c r="L2197" t="str">
        <x:v>Sin error</x:v>
      </x:c>
    </x:row>
    <x:row r="2198">
      <x:c r="A2198" t="str">
        <x:v>TXN-0002197</x:v>
      </x:c>
      <x:c r="B2198" t="str">
        <x:v>2026-08</x:v>
      </x:c>
      <x:c r="C2198" t="n">
        <x:v>46241</x:v>
      </x:c>
      <x:c r="D2198" t="str">
        <x:v>USR-00866</x:v>
      </x:c>
      <x:c r="E2198" t="str">
        <x:v>SUS-001601</x:v>
      </x:c>
      <x:c r="F2198" t="str">
        <x:v>Plus mensual</x:v>
      </x:c>
      <x:c r="G2198" t="str">
        <x:v>Mensual</x:v>
      </x:c>
      <x:c r="H2198" t="n">
        <x:v>1</x:v>
      </x:c>
      <x:c r="I2198" t="str">
        <x:v>Aprobado</x:v>
      </x:c>
      <x:c r="J2198" t="n">
        <x:v>29900</x:v>
      </x:c>
      <x:c r="K2198" t="str">
        <x:v>PSE</x:v>
      </x:c>
      <x:c r="L2198" t="str">
        <x:v>Sin error</x:v>
      </x:c>
    </x:row>
    <x:row r="2199">
      <x:c r="A2199" t="str">
        <x:v>TXN-0002198</x:v>
      </x:c>
      <x:c r="B2199" t="str">
        <x:v>2026-08</x:v>
      </x:c>
      <x:c r="C2199" t="n">
        <x:v>46243</x:v>
      </x:c>
      <x:c r="D2199" t="str">
        <x:v>USR-00871</x:v>
      </x:c>
      <x:c r="E2199" t="str">
        <x:v>SUS-001239</x:v>
      </x:c>
      <x:c r="F2199" t="str">
        <x:v>Plus mensual</x:v>
      </x:c>
      <x:c r="G2199" t="str">
        <x:v>Mensual</x:v>
      </x:c>
      <x:c r="H2199" t="n">
        <x:v>1</x:v>
      </x:c>
      <x:c r="I2199" t="str">
        <x:v>Aprobado</x:v>
      </x:c>
      <x:c r="J2199" t="n">
        <x:v>29900</x:v>
      </x:c>
      <x:c r="K2199" t="str">
        <x:v>Tarjeta crédito</x:v>
      </x:c>
      <x:c r="L2199" t="str">
        <x:v>Sin error</x:v>
      </x:c>
    </x:row>
    <x:row r="2200">
      <x:c r="A2200" t="str">
        <x:v>TXN-0002199</x:v>
      </x:c>
      <x:c r="B2200" t="str">
        <x:v>2026-08</x:v>
      </x:c>
      <x:c r="C2200" t="n">
        <x:v>46244</x:v>
      </x:c>
      <x:c r="D2200" t="str">
        <x:v>USR-00875</x:v>
      </x:c>
      <x:c r="E2200" t="str">
        <x:v>SUS-001243</x:v>
      </x:c>
      <x:c r="F2200" t="str">
        <x:v>Plus mensual</x:v>
      </x:c>
      <x:c r="G2200" t="str">
        <x:v>Mensual</x:v>
      </x:c>
      <x:c r="H2200" t="n">
        <x:v>1</x:v>
      </x:c>
      <x:c r="I2200" t="str">
        <x:v>Aprobado</x:v>
      </x:c>
      <x:c r="J2200" t="n">
        <x:v>29900</x:v>
      </x:c>
      <x:c r="K2200" t="str">
        <x:v>PSE</x:v>
      </x:c>
      <x:c r="L2200" t="str">
        <x:v>Sin error</x:v>
      </x:c>
    </x:row>
    <x:row r="2201">
      <x:c r="A2201" t="str">
        <x:v>TXN-0002200</x:v>
      </x:c>
      <x:c r="B2201" t="str">
        <x:v>2026-08</x:v>
      </x:c>
      <x:c r="C2201" t="n">
        <x:v>46240</x:v>
      </x:c>
      <x:c r="D2201" t="str">
        <x:v>USR-00876</x:v>
      </x:c>
      <x:c r="E2201" t="str">
        <x:v>SUS-001466</x:v>
      </x:c>
      <x:c r="F2201" t="str">
        <x:v>Plus mensual</x:v>
      </x:c>
      <x:c r="G2201" t="str">
        <x:v>Mensual</x:v>
      </x:c>
      <x:c r="H2201" t="n">
        <x:v>1</x:v>
      </x:c>
      <x:c r="I2201" t="str">
        <x:v>Aprobado</x:v>
      </x:c>
      <x:c r="J2201" t="n">
        <x:v>29900</x:v>
      </x:c>
      <x:c r="K2201" t="str">
        <x:v>Tarjeta crédito</x:v>
      </x:c>
      <x:c r="L2201" t="str">
        <x:v>Sin error</x:v>
      </x:c>
    </x:row>
    <x:row r="2202">
      <x:c r="A2202" t="str">
        <x:v>TXN-0002201</x:v>
      </x:c>
      <x:c r="B2202" t="str">
        <x:v>2026-08</x:v>
      </x:c>
      <x:c r="C2202" t="n">
        <x:v>46239</x:v>
      </x:c>
      <x:c r="D2202" t="str">
        <x:v>USR-00885</x:v>
      </x:c>
      <x:c r="E2202" t="str">
        <x:v>SUS-001253</x:v>
      </x:c>
      <x:c r="F2202" t="str">
        <x:v>Plus mensual</x:v>
      </x:c>
      <x:c r="G2202" t="str">
        <x:v>Mensual</x:v>
      </x:c>
      <x:c r="H2202" t="n">
        <x:v>1</x:v>
      </x:c>
      <x:c r="I2202" t="str">
        <x:v>Aprobado</x:v>
      </x:c>
      <x:c r="J2202" t="n">
        <x:v>29900</x:v>
      </x:c>
      <x:c r="K2202" t="str">
        <x:v>Tarjeta crédito</x:v>
      </x:c>
      <x:c r="L2202" t="str">
        <x:v>Sin error</x:v>
      </x:c>
    </x:row>
    <x:row r="2203">
      <x:c r="A2203" t="str">
        <x:v>TXN-0002202</x:v>
      </x:c>
      <x:c r="B2203" t="str">
        <x:v>2026-08</x:v>
      </x:c>
      <x:c r="C2203" t="n">
        <x:v>46240</x:v>
      </x:c>
      <x:c r="D2203" t="str">
        <x:v>USR-00886</x:v>
      </x:c>
      <x:c r="E2203" t="str">
        <x:v>SUS-001468</x:v>
      </x:c>
      <x:c r="F2203" t="str">
        <x:v>Plus mensual</x:v>
      </x:c>
      <x:c r="G2203" t="str">
        <x:v>Mensual</x:v>
      </x:c>
      <x:c r="H2203" t="n">
        <x:v>1</x:v>
      </x:c>
      <x:c r="I2203" t="str">
        <x:v>Aprobado</x:v>
      </x:c>
      <x:c r="J2203" t="n">
        <x:v>29900</x:v>
      </x:c>
      <x:c r="K2203" t="str">
        <x:v>PSE</x:v>
      </x:c>
      <x:c r="L2203" t="str">
        <x:v>Sin error</x:v>
      </x:c>
    </x:row>
    <x:row r="2204">
      <x:c r="A2204" t="str">
        <x:v>TXN-0002203</x:v>
      </x:c>
      <x:c r="B2204" t="str">
        <x:v>2026-08</x:v>
      </x:c>
      <x:c r="C2204" t="n">
        <x:v>46239</x:v>
      </x:c>
      <x:c r="D2204" t="str">
        <x:v>USR-00895</x:v>
      </x:c>
      <x:c r="E2204" t="str">
        <x:v>SUS-001309</x:v>
      </x:c>
      <x:c r="F2204" t="str">
        <x:v>Plus mensual</x:v>
      </x:c>
      <x:c r="G2204" t="str">
        <x:v>Mensual</x:v>
      </x:c>
      <x:c r="H2204" t="n">
        <x:v>1</x:v>
      </x:c>
      <x:c r="I2204" t="str">
        <x:v>Aprobado</x:v>
      </x:c>
      <x:c r="J2204" t="n">
        <x:v>29900</x:v>
      </x:c>
      <x:c r="K2204" t="str">
        <x:v>Tarjeta crédito</x:v>
      </x:c>
      <x:c r="L2204" t="str">
        <x:v>Sin error</x:v>
      </x:c>
    </x:row>
    <x:row r="2205">
      <x:c r="A2205" t="str">
        <x:v>TXN-0002204</x:v>
      </x:c>
      <x:c r="B2205" t="str">
        <x:v>2026-08</x:v>
      </x:c>
      <x:c r="C2205" t="n">
        <x:v>46246</x:v>
      </x:c>
      <x:c r="D2205" t="str">
        <x:v>USR-00904</x:v>
      </x:c>
      <x:c r="E2205" t="str">
        <x:v>SUS-001469</x:v>
      </x:c>
      <x:c r="F2205" t="str">
        <x:v>Plus mensual</x:v>
      </x:c>
      <x:c r="G2205" t="str">
        <x:v>Mensual</x:v>
      </x:c>
      <x:c r="H2205" t="n">
        <x:v>1</x:v>
      </x:c>
      <x:c r="I2205" t="str">
        <x:v>Aprobado</x:v>
      </x:c>
      <x:c r="J2205" t="n">
        <x:v>29900</x:v>
      </x:c>
      <x:c r="K2205" t="str">
        <x:v>PSE</x:v>
      </x:c>
      <x:c r="L2205" t="str">
        <x:v>Sin error</x:v>
      </x:c>
    </x:row>
    <x:row r="2206">
      <x:c r="A2206" t="str">
        <x:v>TXN-0002205</x:v>
      </x:c>
      <x:c r="B2206" t="str">
        <x:v>2026-08</x:v>
      </x:c>
      <x:c r="C2206" t="n">
        <x:v>46239</x:v>
      </x:c>
      <x:c r="D2206" t="str">
        <x:v>USR-00907</x:v>
      </x:c>
      <x:c r="E2206" t="str">
        <x:v>SUS-001321</x:v>
      </x:c>
      <x:c r="F2206" t="str">
        <x:v>Plus mensual</x:v>
      </x:c>
      <x:c r="G2206" t="str">
        <x:v>Mensual</x:v>
      </x:c>
      <x:c r="H2206" t="n">
        <x:v>1</x:v>
      </x:c>
      <x:c r="I2206" t="str">
        <x:v>Aprobado</x:v>
      </x:c>
      <x:c r="J2206" t="n">
        <x:v>29900</x:v>
      </x:c>
      <x:c r="K2206" t="str">
        <x:v>Tarjeta crédito</x:v>
      </x:c>
      <x:c r="L2206" t="str">
        <x:v>Sin error</x:v>
      </x:c>
    </x:row>
    <x:row r="2207">
      <x:c r="A2207" t="str">
        <x:v>TXN-0002206</x:v>
      </x:c>
      <x:c r="B2207" t="str">
        <x:v>2026-08</x:v>
      </x:c>
      <x:c r="C2207" t="n">
        <x:v>46243</x:v>
      </x:c>
      <x:c r="D2207" t="str">
        <x:v>USR-00908</x:v>
      </x:c>
      <x:c r="E2207" t="str">
        <x:v>SUS-001322</x:v>
      </x:c>
      <x:c r="F2207" t="str">
        <x:v>Plus mensual</x:v>
      </x:c>
      <x:c r="G2207" t="str">
        <x:v>Mensual</x:v>
      </x:c>
      <x:c r="H2207" t="n">
        <x:v>1</x:v>
      </x:c>
      <x:c r="I2207" t="str">
        <x:v>Aprobado</x:v>
      </x:c>
      <x:c r="J2207" t="n">
        <x:v>29900</x:v>
      </x:c>
      <x:c r="K2207" t="str">
        <x:v>Tarjeta débito</x:v>
      </x:c>
      <x:c r="L2207" t="str">
        <x:v>Sin error</x:v>
      </x:c>
    </x:row>
    <x:row r="2208">
      <x:c r="A2208" t="str">
        <x:v>TXN-0002207</x:v>
      </x:c>
      <x:c r="B2208" t="str">
        <x:v>2026-08</x:v>
      </x:c>
      <x:c r="C2208" t="n">
        <x:v>46243</x:v>
      </x:c>
      <x:c r="D2208" t="str">
        <x:v>USR-00911</x:v>
      </x:c>
      <x:c r="E2208" t="str">
        <x:v>SUS-001325</x:v>
      </x:c>
      <x:c r="F2208" t="str">
        <x:v>Plus mensual</x:v>
      </x:c>
      <x:c r="G2208" t="str">
        <x:v>Mensual</x:v>
      </x:c>
      <x:c r="H2208" t="n">
        <x:v>1</x:v>
      </x:c>
      <x:c r="I2208" t="str">
        <x:v>Aprobado</x:v>
      </x:c>
      <x:c r="J2208" t="n">
        <x:v>29900</x:v>
      </x:c>
      <x:c r="K2208" t="str">
        <x:v>Tarjeta crédito</x:v>
      </x:c>
      <x:c r="L2208" t="str">
        <x:v>Sin error</x:v>
      </x:c>
    </x:row>
    <x:row r="2209">
      <x:c r="A2209" t="str">
        <x:v>TXN-0002208</x:v>
      </x:c>
      <x:c r="B2209" t="str">
        <x:v>2026-08</x:v>
      </x:c>
      <x:c r="C2209" t="n">
        <x:v>46243</x:v>
      </x:c>
      <x:c r="D2209" t="str">
        <x:v>USR-00926</x:v>
      </x:c>
      <x:c r="E2209" t="str">
        <x:v>SIN_SUSCRIPCION</x:v>
      </x:c>
      <x:c r="F2209" t="str">
        <x:v>Plus mensual</x:v>
      </x:c>
      <x:c r="G2209" t="str">
        <x:v>Mensual</x:v>
      </x:c>
      <x:c r="H2209" t="n">
        <x:v>1</x:v>
      </x:c>
      <x:c r="I2209" t="str">
        <x:v>Rechazado</x:v>
      </x:c>
      <x:c r="J2209" t="n">
        <x:v>29900</x:v>
      </x:c>
      <x:c r="K2209" t="str">
        <x:v>PSE</x:v>
      </x:c>
      <x:c r="L2209" t="str">
        <x:v>Error temporal</x:v>
      </x:c>
    </x:row>
    <x:row r="2210">
      <x:c r="A2210" t="str">
        <x:v>TXN-0002209</x:v>
      </x:c>
      <x:c r="B2210" t="str">
        <x:v>2026-08</x:v>
      </x:c>
      <x:c r="C2210" t="n">
        <x:v>46239</x:v>
      </x:c>
      <x:c r="D2210" t="str">
        <x:v>USR-00926</x:v>
      </x:c>
      <x:c r="E2210" t="str">
        <x:v>SIN_SUSCRIPCION</x:v>
      </x:c>
      <x:c r="F2210" t="str">
        <x:v>Plus mensual</x:v>
      </x:c>
      <x:c r="G2210" t="str">
        <x:v>Mensual</x:v>
      </x:c>
      <x:c r="H2210" t="n">
        <x:v>2</x:v>
      </x:c>
      <x:c r="I2210" t="str">
        <x:v>Rechazado</x:v>
      </x:c>
      <x:c r="J2210" t="n">
        <x:v>29900</x:v>
      </x:c>
      <x:c r="K2210" t="str">
        <x:v>Tarjeta débito</x:v>
      </x:c>
      <x:c r="L2210" t="str">
        <x:v>Declinado por entidad</x:v>
      </x:c>
    </x:row>
    <x:row r="2211">
      <x:c r="A2211" t="str">
        <x:v>TXN-0002210</x:v>
      </x:c>
      <x:c r="B2211" t="str">
        <x:v>2026-08</x:v>
      </x:c>
      <x:c r="C2211" t="n">
        <x:v>46241</x:v>
      </x:c>
      <x:c r="D2211" t="str">
        <x:v>USR-00928</x:v>
      </x:c>
      <x:c r="E2211" t="str">
        <x:v>SUS-001342</x:v>
      </x:c>
      <x:c r="F2211" t="str">
        <x:v>Plus mensual</x:v>
      </x:c>
      <x:c r="G2211" t="str">
        <x:v>Mensual</x:v>
      </x:c>
      <x:c r="H2211" t="n">
        <x:v>1</x:v>
      </x:c>
      <x:c r="I2211" t="str">
        <x:v>Rechazado</x:v>
      </x:c>
      <x:c r="J2211" t="n">
        <x:v>29900</x:v>
      </x:c>
      <x:c r="K2211" t="str">
        <x:v>PSE</x:v>
      </x:c>
      <x:c r="L2211" t="str">
        <x:v>Fondos insuficientes</x:v>
      </x:c>
    </x:row>
    <x:row r="2212">
      <x:c r="A2212" t="str">
        <x:v>TXN-0002211</x:v>
      </x:c>
      <x:c r="B2212" t="str">
        <x:v>2026-08</x:v>
      </x:c>
      <x:c r="C2212" t="n">
        <x:v>46245</x:v>
      </x:c>
      <x:c r="D2212" t="str">
        <x:v>USR-00928</x:v>
      </x:c>
      <x:c r="E2212" t="str">
        <x:v>SUS-001342</x:v>
      </x:c>
      <x:c r="F2212" t="str">
        <x:v>Plus mensual</x:v>
      </x:c>
      <x:c r="G2212" t="str">
        <x:v>Mensual</x:v>
      </x:c>
      <x:c r="H2212" t="n">
        <x:v>2</x:v>
      </x:c>
      <x:c r="I2212" t="str">
        <x:v>Aprobado</x:v>
      </x:c>
      <x:c r="J2212" t="n">
        <x:v>29900</x:v>
      </x:c>
      <x:c r="K2212" t="str">
        <x:v>PSE</x:v>
      </x:c>
      <x:c r="L2212" t="str">
        <x:v>Sin error</x:v>
      </x:c>
    </x:row>
    <x:row r="2213">
      <x:c r="A2213" t="str">
        <x:v>TXN-0002212</x:v>
      </x:c>
      <x:c r="B2213" t="str">
        <x:v>2026-08</x:v>
      </x:c>
      <x:c r="C2213" t="n">
        <x:v>46239</x:v>
      </x:c>
      <x:c r="D2213" t="str">
        <x:v>USR-00929</x:v>
      </x:c>
      <x:c r="E2213" t="str">
        <x:v>SUS-001472</x:v>
      </x:c>
      <x:c r="F2213" t="str">
        <x:v>Plus mensual</x:v>
      </x:c>
      <x:c r="G2213" t="str">
        <x:v>Mensual</x:v>
      </x:c>
      <x:c r="H2213" t="n">
        <x:v>1</x:v>
      </x:c>
      <x:c r="I2213" t="str">
        <x:v>Aprobado</x:v>
      </x:c>
      <x:c r="J2213" t="n">
        <x:v>29900</x:v>
      </x:c>
      <x:c r="K2213" t="str">
        <x:v>PSE</x:v>
      </x:c>
      <x:c r="L2213" t="str">
        <x:v>Sin error</x:v>
      </x:c>
    </x:row>
    <x:row r="2214">
      <x:c r="A2214" t="str">
        <x:v>TXN-0002213</x:v>
      </x:c>
      <x:c r="B2214" t="str">
        <x:v>2026-08</x:v>
      </x:c>
      <x:c r="C2214" t="n">
        <x:v>46244</x:v>
      </x:c>
      <x:c r="D2214" t="str">
        <x:v>USR-00938</x:v>
      </x:c>
      <x:c r="E2214" t="str">
        <x:v>SUS-001474</x:v>
      </x:c>
      <x:c r="F2214" t="str">
        <x:v>Plus mensual</x:v>
      </x:c>
      <x:c r="G2214" t="str">
        <x:v>Mensual</x:v>
      </x:c>
      <x:c r="H2214" t="n">
        <x:v>1</x:v>
      </x:c>
      <x:c r="I2214" t="str">
        <x:v>Aprobado</x:v>
      </x:c>
      <x:c r="J2214" t="n">
        <x:v>29900</x:v>
      </x:c>
      <x:c r="K2214" t="str">
        <x:v>Tarjeta crédito</x:v>
      </x:c>
      <x:c r="L2214" t="str">
        <x:v>Sin error</x:v>
      </x:c>
    </x:row>
    <x:row r="2215">
      <x:c r="A2215" t="str">
        <x:v>TXN-0002214</x:v>
      </x:c>
      <x:c r="B2215" t="str">
        <x:v>2026-08</x:v>
      </x:c>
      <x:c r="C2215" t="n">
        <x:v>46242</x:v>
      </x:c>
      <x:c r="D2215" t="str">
        <x:v>USR-00943</x:v>
      </x:c>
      <x:c r="E2215" t="str">
        <x:v>SUS-001357</x:v>
      </x:c>
      <x:c r="F2215" t="str">
        <x:v>Plus mensual</x:v>
      </x:c>
      <x:c r="G2215" t="str">
        <x:v>Mensual</x:v>
      </x:c>
      <x:c r="H2215" t="n">
        <x:v>1</x:v>
      </x:c>
      <x:c r="I2215" t="str">
        <x:v>Aprobado</x:v>
      </x:c>
      <x:c r="J2215" t="n">
        <x:v>29900</x:v>
      </x:c>
      <x:c r="K2215" t="str">
        <x:v>Tarjeta crédito</x:v>
      </x:c>
      <x:c r="L2215" t="str">
        <x:v>Sin error</x:v>
      </x:c>
    </x:row>
    <x:row r="2216">
      <x:c r="A2216" t="str">
        <x:v>TXN-0002215</x:v>
      </x:c>
      <x:c r="B2216" t="str">
        <x:v>2026-08</x:v>
      </x:c>
      <x:c r="C2216" t="n">
        <x:v>46242</x:v>
      </x:c>
      <x:c r="D2216" t="str">
        <x:v>USR-00948</x:v>
      </x:c>
      <x:c r="E2216" t="str">
        <x:v>SUS-001362</x:v>
      </x:c>
      <x:c r="F2216" t="str">
        <x:v>Plus mensual</x:v>
      </x:c>
      <x:c r="G2216" t="str">
        <x:v>Mensual</x:v>
      </x:c>
      <x:c r="H2216" t="n">
        <x:v>1</x:v>
      </x:c>
      <x:c r="I2216" t="str">
        <x:v>Aprobado</x:v>
      </x:c>
      <x:c r="J2216" t="n">
        <x:v>29900</x:v>
      </x:c>
      <x:c r="K2216" t="str">
        <x:v>Tarjeta débito</x:v>
      </x:c>
      <x:c r="L2216" t="str">
        <x:v>Sin error</x:v>
      </x:c>
    </x:row>
    <x:row r="2217">
      <x:c r="A2217" t="str">
        <x:v>TXN-0002216</x:v>
      </x:c>
      <x:c r="B2217" t="str">
        <x:v>2026-08</x:v>
      </x:c>
      <x:c r="C2217" t="n">
        <x:v>46246</x:v>
      </x:c>
      <x:c r="D2217" t="str">
        <x:v>USR-00951</x:v>
      </x:c>
      <x:c r="E2217" t="str">
        <x:v>SUS-001604</x:v>
      </x:c>
      <x:c r="F2217" t="str">
        <x:v>Plus mensual</x:v>
      </x:c>
      <x:c r="G2217" t="str">
        <x:v>Mensual</x:v>
      </x:c>
      <x:c r="H2217" t="n">
        <x:v>1</x:v>
      </x:c>
      <x:c r="I2217" t="str">
        <x:v>Aprobado</x:v>
      </x:c>
      <x:c r="J2217" t="n">
        <x:v>29900</x:v>
      </x:c>
      <x:c r="K2217" t="str">
        <x:v>Tarjeta débito</x:v>
      </x:c>
      <x:c r="L2217" t="str">
        <x:v>Sin error</x:v>
      </x:c>
    </x:row>
    <x:row r="2218">
      <x:c r="A2218" t="str">
        <x:v>TXN-0002217</x:v>
      </x:c>
      <x:c r="B2218" t="str">
        <x:v>2026-08</x:v>
      </x:c>
      <x:c r="C2218" t="n">
        <x:v>46240</x:v>
      </x:c>
      <x:c r="D2218" t="str">
        <x:v>USR-00955</x:v>
      </x:c>
      <x:c r="E2218" t="str">
        <x:v>SUS-001369</x:v>
      </x:c>
      <x:c r="F2218" t="str">
        <x:v>Plus mensual</x:v>
      </x:c>
      <x:c r="G2218" t="str">
        <x:v>Mensual</x:v>
      </x:c>
      <x:c r="H2218" t="n">
        <x:v>1</x:v>
      </x:c>
      <x:c r="I2218" t="str">
        <x:v>Aprobado</x:v>
      </x:c>
      <x:c r="J2218" t="n">
        <x:v>29900</x:v>
      </x:c>
      <x:c r="K2218" t="str">
        <x:v>PSE</x:v>
      </x:c>
      <x:c r="L2218" t="str">
        <x:v>Sin error</x:v>
      </x:c>
    </x:row>
    <x:row r="2219">
      <x:c r="A2219" t="str">
        <x:v>TXN-0002218</x:v>
      </x:c>
      <x:c r="B2219" t="str">
        <x:v>2026-08</x:v>
      </x:c>
      <x:c r="C2219" t="n">
        <x:v>46243</x:v>
      </x:c>
      <x:c r="D2219" t="str">
        <x:v>USR-00966</x:v>
      </x:c>
      <x:c r="E2219" t="str">
        <x:v>SUS-001380</x:v>
      </x:c>
      <x:c r="F2219" t="str">
        <x:v>Plus mensual</x:v>
      </x:c>
      <x:c r="G2219" t="str">
        <x:v>Mensual</x:v>
      </x:c>
      <x:c r="H2219" t="n">
        <x:v>1</x:v>
      </x:c>
      <x:c r="I2219" t="str">
        <x:v>Aprobado</x:v>
      </x:c>
      <x:c r="J2219" t="n">
        <x:v>29900</x:v>
      </x:c>
      <x:c r="K2219" t="str">
        <x:v>Tarjeta crédito</x:v>
      </x:c>
      <x:c r="L2219" t="str">
        <x:v>Sin error</x:v>
      </x:c>
    </x:row>
    <x:row r="2220">
      <x:c r="A2220" t="str">
        <x:v>TXN-0002219</x:v>
      </x:c>
      <x:c r="B2220" t="str">
        <x:v>2026-08</x:v>
      </x:c>
      <x:c r="C2220" t="n">
        <x:v>46241</x:v>
      </x:c>
      <x:c r="D2220" t="str">
        <x:v>USR-00968</x:v>
      </x:c>
      <x:c r="E2220" t="str">
        <x:v>SUS-001382</x:v>
      </x:c>
      <x:c r="F2220" t="str">
        <x:v>Plus mensual</x:v>
      </x:c>
      <x:c r="G2220" t="str">
        <x:v>Mensual</x:v>
      </x:c>
      <x:c r="H2220" t="n">
        <x:v>1</x:v>
      </x:c>
      <x:c r="I2220" t="str">
        <x:v>Aprobado</x:v>
      </x:c>
      <x:c r="J2220" t="n">
        <x:v>29900</x:v>
      </x:c>
      <x:c r="K2220" t="str">
        <x:v>Tarjeta débito</x:v>
      </x:c>
      <x:c r="L2220" t="str">
        <x:v>Sin error</x:v>
      </x:c>
    </x:row>
    <x:row r="2221">
      <x:c r="A2221" t="str">
        <x:v>TXN-0002220</x:v>
      </x:c>
      <x:c r="B2221" t="str">
        <x:v>2026-08</x:v>
      </x:c>
      <x:c r="C2221" t="n">
        <x:v>46242</x:v>
      </x:c>
      <x:c r="D2221" t="str">
        <x:v>USR-00973</x:v>
      </x:c>
      <x:c r="E2221" t="str">
        <x:v>SUS-001605</x:v>
      </x:c>
      <x:c r="F2221" t="str">
        <x:v>Plus mensual</x:v>
      </x:c>
      <x:c r="G2221" t="str">
        <x:v>Mensual</x:v>
      </x:c>
      <x:c r="H2221" t="n">
        <x:v>1</x:v>
      </x:c>
      <x:c r="I2221" t="str">
        <x:v>Aprobado</x:v>
      </x:c>
      <x:c r="J2221" t="n">
        <x:v>29900</x:v>
      </x:c>
      <x:c r="K2221" t="str">
        <x:v>PSE</x:v>
      </x:c>
      <x:c r="L2221" t="str">
        <x:v>Sin error</x:v>
      </x:c>
    </x:row>
    <x:row r="2222">
      <x:c r="A2222" t="str">
        <x:v>TXN-0002221</x:v>
      </x:c>
      <x:c r="B2222" t="str">
        <x:v>2026-08</x:v>
      </x:c>
      <x:c r="C2222" t="n">
        <x:v>46241</x:v>
      </x:c>
      <x:c r="D2222" t="str">
        <x:v>USR-00975</x:v>
      </x:c>
      <x:c r="E2222" t="str">
        <x:v>SUS-001389</x:v>
      </x:c>
      <x:c r="F2222" t="str">
        <x:v>Plus mensual</x:v>
      </x:c>
      <x:c r="G2222" t="str">
        <x:v>Mensual</x:v>
      </x:c>
      <x:c r="H2222" t="n">
        <x:v>1</x:v>
      </x:c>
      <x:c r="I2222" t="str">
        <x:v>Aprobado</x:v>
      </x:c>
      <x:c r="J2222" t="n">
        <x:v>29900</x:v>
      </x:c>
      <x:c r="K2222" t="str">
        <x:v>PSE</x:v>
      </x:c>
      <x:c r="L2222" t="str">
        <x:v>Sin error</x:v>
      </x:c>
    </x:row>
    <x:row r="2223">
      <x:c r="A2223" t="str">
        <x:v>TXN-0002222</x:v>
      </x:c>
      <x:c r="B2223" t="str">
        <x:v>2026-08</x:v>
      </x:c>
      <x:c r="C2223" t="n">
        <x:v>46246</x:v>
      </x:c>
      <x:c r="D2223" t="str">
        <x:v>USR-00976</x:v>
      </x:c>
      <x:c r="E2223" t="str">
        <x:v>SUS-001390</x:v>
      </x:c>
      <x:c r="F2223" t="str">
        <x:v>Plus mensual</x:v>
      </x:c>
      <x:c r="G2223" t="str">
        <x:v>Mensual</x:v>
      </x:c>
      <x:c r="H2223" t="n">
        <x:v>1</x:v>
      </x:c>
      <x:c r="I2223" t="str">
        <x:v>Aprobado</x:v>
      </x:c>
      <x:c r="J2223" t="n">
        <x:v>29900</x:v>
      </x:c>
      <x:c r="K2223" t="str">
        <x:v>PSE</x:v>
      </x:c>
      <x:c r="L2223" t="str">
        <x:v>Sin error</x:v>
      </x:c>
    </x:row>
    <x:row r="2224">
      <x:c r="A2224" t="str">
        <x:v>TXN-0002223</x:v>
      </x:c>
      <x:c r="B2224" t="str">
        <x:v>2026-08</x:v>
      </x:c>
      <x:c r="C2224" t="n">
        <x:v>46243</x:v>
      </x:c>
      <x:c r="D2224" t="str">
        <x:v>USR-00981</x:v>
      </x:c>
      <x:c r="E2224" t="str">
        <x:v>SUS-001475</x:v>
      </x:c>
      <x:c r="F2224" t="str">
        <x:v>Plus mensual</x:v>
      </x:c>
      <x:c r="G2224" t="str">
        <x:v>Mensual</x:v>
      </x:c>
      <x:c r="H2224" t="n">
        <x:v>1</x:v>
      </x:c>
      <x:c r="I2224" t="str">
        <x:v>Aprobado</x:v>
      </x:c>
      <x:c r="J2224" t="n">
        <x:v>29900</x:v>
      </x:c>
      <x:c r="K2224" t="str">
        <x:v>Tarjeta crédito</x:v>
      </x:c>
      <x:c r="L2224" t="str">
        <x:v>Sin error</x:v>
      </x:c>
    </x:row>
    <x:row r="2225">
      <x:c r="A2225" t="str">
        <x:v>TXN-0002224</x:v>
      </x:c>
      <x:c r="B2225" t="str">
        <x:v>2026-08</x:v>
      </x:c>
      <x:c r="C2225" t="n">
        <x:v>46242</x:v>
      </x:c>
      <x:c r="D2225" t="str">
        <x:v>USR-01019</x:v>
      </x:c>
      <x:c r="E2225" t="str">
        <x:v>SUS-001513</x:v>
      </x:c>
      <x:c r="F2225" t="str">
        <x:v>Plus mensual</x:v>
      </x:c>
      <x:c r="G2225" t="str">
        <x:v>Mensual</x:v>
      </x:c>
      <x:c r="H2225" t="n">
        <x:v>1</x:v>
      </x:c>
      <x:c r="I2225" t="str">
        <x:v>Aprobado</x:v>
      </x:c>
      <x:c r="J2225" t="n">
        <x:v>29900</x:v>
      </x:c>
      <x:c r="K2225" t="str">
        <x:v>PSE</x:v>
      </x:c>
      <x:c r="L2225" t="str">
        <x:v>Sin error</x:v>
      </x:c>
    </x:row>
    <x:row r="2226">
      <x:c r="A2226" t="str">
        <x:v>TXN-0002225</x:v>
      </x:c>
      <x:c r="B2226" t="str">
        <x:v>2026-08</x:v>
      </x:c>
      <x:c r="C2226" t="n">
        <x:v>46245</x:v>
      </x:c>
      <x:c r="D2226" t="str">
        <x:v>USR-01024</x:v>
      </x:c>
      <x:c r="E2226" t="str">
        <x:v>SUS-001606</x:v>
      </x:c>
      <x:c r="F2226" t="str">
        <x:v>Plus mensual</x:v>
      </x:c>
      <x:c r="G2226" t="str">
        <x:v>Mensual</x:v>
      </x:c>
      <x:c r="H2226" t="n">
        <x:v>1</x:v>
      </x:c>
      <x:c r="I2226" t="str">
        <x:v>Aprobado</x:v>
      </x:c>
      <x:c r="J2226" t="n">
        <x:v>29900</x:v>
      </x:c>
      <x:c r="K2226" t="str">
        <x:v>PSE</x:v>
      </x:c>
      <x:c r="L2226" t="str">
        <x:v>Sin error</x:v>
      </x:c>
    </x:row>
    <x:row r="2227">
      <x:c r="A2227" t="str">
        <x:v>TXN-0002226</x:v>
      </x:c>
      <x:c r="B2227" t="str">
        <x:v>2026-08</x:v>
      </x:c>
      <x:c r="C2227" t="n">
        <x:v>46241</x:v>
      </x:c>
      <x:c r="D2227" t="str">
        <x:v>USR-01038</x:v>
      </x:c>
      <x:c r="E2227" t="str">
        <x:v>SUS-001532</x:v>
      </x:c>
      <x:c r="F2227" t="str">
        <x:v>Plus mensual</x:v>
      </x:c>
      <x:c r="G2227" t="str">
        <x:v>Mensual</x:v>
      </x:c>
      <x:c r="H2227" t="n">
        <x:v>1</x:v>
      </x:c>
      <x:c r="I2227" t="str">
        <x:v>Aprobado</x:v>
      </x:c>
      <x:c r="J2227" t="n">
        <x:v>29900</x:v>
      </x:c>
      <x:c r="K2227" t="str">
        <x:v>Tarjeta débito</x:v>
      </x:c>
      <x:c r="L2227" t="str">
        <x:v>Sin error</x:v>
      </x:c>
    </x:row>
    <x:row r="2228">
      <x:c r="A2228" t="str">
        <x:v>TXN-0002227</x:v>
      </x:c>
      <x:c r="B2228" t="str">
        <x:v>2026-08</x:v>
      </x:c>
      <x:c r="C2228" t="n">
        <x:v>46241</x:v>
      </x:c>
      <x:c r="D2228" t="str">
        <x:v>USR-01041</x:v>
      </x:c>
      <x:c r="E2228" t="str">
        <x:v>SUS-001607</x:v>
      </x:c>
      <x:c r="F2228" t="str">
        <x:v>Plus mensual</x:v>
      </x:c>
      <x:c r="G2228" t="str">
        <x:v>Mensual</x:v>
      </x:c>
      <x:c r="H2228" t="n">
        <x:v>1</x:v>
      </x:c>
      <x:c r="I2228" t="str">
        <x:v>Aprobado</x:v>
      </x:c>
      <x:c r="J2228" t="n">
        <x:v>29900</x:v>
      </x:c>
      <x:c r="K2228" t="str">
        <x:v>PSE</x:v>
      </x:c>
      <x:c r="L2228" t="str">
        <x:v>Sin error</x:v>
      </x:c>
    </x:row>
    <x:row r="2229">
      <x:c r="A2229" t="str">
        <x:v>TXN-0002228</x:v>
      </x:c>
      <x:c r="B2229" t="str">
        <x:v>2026-08</x:v>
      </x:c>
      <x:c r="C2229" t="n">
        <x:v>46246</x:v>
      </x:c>
      <x:c r="D2229" t="str">
        <x:v>USR-01047</x:v>
      </x:c>
      <x:c r="E2229" t="str">
        <x:v>SUS-001541</x:v>
      </x:c>
      <x:c r="F2229" t="str">
        <x:v>Plus mensual</x:v>
      </x:c>
      <x:c r="G2229" t="str">
        <x:v>Mensual</x:v>
      </x:c>
      <x:c r="H2229" t="n">
        <x:v>1</x:v>
      </x:c>
      <x:c r="I2229" t="str">
        <x:v>Aprobado</x:v>
      </x:c>
      <x:c r="J2229" t="n">
        <x:v>29900</x:v>
      </x:c>
      <x:c r="K2229" t="str">
        <x:v>PSE</x:v>
      </x:c>
      <x:c r="L2229" t="str">
        <x:v>Sin error</x:v>
      </x:c>
    </x:row>
    <x:row r="2230">
      <x:c r="A2230" t="str">
        <x:v>TXN-0002229</x:v>
      </x:c>
      <x:c r="B2230" t="str">
        <x:v>2026-08</x:v>
      </x:c>
      <x:c r="C2230" t="n">
        <x:v>46242</x:v>
      </x:c>
      <x:c r="D2230" t="str">
        <x:v>USR-01061</x:v>
      </x:c>
      <x:c r="E2230" t="str">
        <x:v>SUS-001608</x:v>
      </x:c>
      <x:c r="F2230" t="str">
        <x:v>Plus anual</x:v>
      </x:c>
      <x:c r="G2230" t="str">
        <x:v>Anual</x:v>
      </x:c>
      <x:c r="H2230" t="n">
        <x:v>1</x:v>
      </x:c>
      <x:c r="I2230" t="str">
        <x:v>Aprobado</x:v>
      </x:c>
      <x:c r="J2230" t="n">
        <x:v>299000</x:v>
      </x:c>
      <x:c r="K2230" t="str">
        <x:v>Tarjeta débito</x:v>
      </x:c>
      <x:c r="L2230" t="str">
        <x:v>Sin error</x:v>
      </x:c>
    </x:row>
    <x:row r="2231">
      <x:c r="A2231" t="str">
        <x:v>TXN-0002230</x:v>
      </x:c>
      <x:c r="B2231" t="str">
        <x:v>2026-08</x:v>
      </x:c>
      <x:c r="C2231" t="n">
        <x:v>46243</x:v>
      </x:c>
      <x:c r="D2231" t="str">
        <x:v>USR-01065</x:v>
      </x:c>
      <x:c r="E2231" t="str">
        <x:v>SUS-001612</x:v>
      </x:c>
      <x:c r="F2231" t="str">
        <x:v>Plus anual</x:v>
      </x:c>
      <x:c r="G2231" t="str">
        <x:v>Anual</x:v>
      </x:c>
      <x:c r="H2231" t="n">
        <x:v>1</x:v>
      </x:c>
      <x:c r="I2231" t="str">
        <x:v>Aprobado</x:v>
      </x:c>
      <x:c r="J2231" t="n">
        <x:v>299000</x:v>
      </x:c>
      <x:c r="K2231" t="str">
        <x:v>PSE</x:v>
      </x:c>
      <x:c r="L2231" t="str">
        <x:v>Sin error</x:v>
      </x:c>
    </x:row>
    <x:row r="2232">
      <x:c r="A2232" t="str">
        <x:v>TXN-0002231</x:v>
      </x:c>
      <x:c r="B2232" t="str">
        <x:v>2026-08</x:v>
      </x:c>
      <x:c r="C2232" t="n">
        <x:v>46239</x:v>
      </x:c>
      <x:c r="D2232" t="str">
        <x:v>USR-01066</x:v>
      </x:c>
      <x:c r="E2232" t="str">
        <x:v>SUS-001613</x:v>
      </x:c>
      <x:c r="F2232" t="str">
        <x:v>Plus mensual</x:v>
      </x:c>
      <x:c r="G2232" t="str">
        <x:v>Mensual</x:v>
      </x:c>
      <x:c r="H2232" t="n">
        <x:v>1</x:v>
      </x:c>
      <x:c r="I2232" t="str">
        <x:v>Aprobado</x:v>
      </x:c>
      <x:c r="J2232" t="n">
        <x:v>29900</x:v>
      </x:c>
      <x:c r="K2232" t="str">
        <x:v>PSE</x:v>
      </x:c>
      <x:c r="L2232" t="str">
        <x:v>Sin error</x:v>
      </x:c>
    </x:row>
    <x:row r="2233">
      <x:c r="A2233" t="str">
        <x:v>TXN-0002232</x:v>
      </x:c>
      <x:c r="B2233" t="str">
        <x:v>2026-08</x:v>
      </x:c>
      <x:c r="C2233" t="n">
        <x:v>46244</x:v>
      </x:c>
      <x:c r="D2233" t="str">
        <x:v>USR-01069</x:v>
      </x:c>
      <x:c r="E2233" t="str">
        <x:v>SUS-001616</x:v>
      </x:c>
      <x:c r="F2233" t="str">
        <x:v>Plus mensual</x:v>
      </x:c>
      <x:c r="G2233" t="str">
        <x:v>Mensual</x:v>
      </x:c>
      <x:c r="H2233" t="n">
        <x:v>1</x:v>
      </x:c>
      <x:c r="I2233" t="str">
        <x:v>Aprobado</x:v>
      </x:c>
      <x:c r="J2233" t="n">
        <x:v>29900</x:v>
      </x:c>
      <x:c r="K2233" t="str">
        <x:v>Tarjeta crédito</x:v>
      </x:c>
      <x:c r="L2233" t="str">
        <x:v>Sin error</x:v>
      </x:c>
    </x:row>
    <x:row r="2234">
      <x:c r="A2234" t="str">
        <x:v>TXN-0002233</x:v>
      </x:c>
      <x:c r="B2234" t="str">
        <x:v>2026-08</x:v>
      </x:c>
      <x:c r="C2234" t="n">
        <x:v>46239</x:v>
      </x:c>
      <x:c r="D2234" t="str">
        <x:v>USR-01072</x:v>
      </x:c>
      <x:c r="E2234" t="str">
        <x:v>SUS-001619</x:v>
      </x:c>
      <x:c r="F2234" t="str">
        <x:v>Plus mensual</x:v>
      </x:c>
      <x:c r="G2234" t="str">
        <x:v>Mensual</x:v>
      </x:c>
      <x:c r="H2234" t="n">
        <x:v>1</x:v>
      </x:c>
      <x:c r="I2234" t="str">
        <x:v>Aprobado</x:v>
      </x:c>
      <x:c r="J2234" t="n">
        <x:v>29900</x:v>
      </x:c>
      <x:c r="K2234" t="str">
        <x:v>PSE</x:v>
      </x:c>
      <x:c r="L2234" t="str">
        <x:v>Sin error</x:v>
      </x:c>
    </x:row>
    <x:row r="2235">
      <x:c r="A2235" t="str">
        <x:v>TXN-0002234</x:v>
      </x:c>
      <x:c r="B2235" t="str">
        <x:v>2026-08</x:v>
      </x:c>
      <x:c r="C2235" t="n">
        <x:v>46243</x:v>
      </x:c>
      <x:c r="D2235" t="str">
        <x:v>USR-01077</x:v>
      </x:c>
      <x:c r="E2235" t="str">
        <x:v>SUS-001624</x:v>
      </x:c>
      <x:c r="F2235" t="str">
        <x:v>Plus mensual</x:v>
      </x:c>
      <x:c r="G2235" t="str">
        <x:v>Mensual</x:v>
      </x:c>
      <x:c r="H2235" t="n">
        <x:v>1</x:v>
      </x:c>
      <x:c r="I2235" t="str">
        <x:v>Aprobado</x:v>
      </x:c>
      <x:c r="J2235" t="n">
        <x:v>29900</x:v>
      </x:c>
      <x:c r="K2235" t="str">
        <x:v>Tarjeta débito</x:v>
      </x:c>
      <x:c r="L2235" t="str">
        <x:v>Sin error</x:v>
      </x:c>
    </x:row>
    <x:row r="2236">
      <x:c r="A2236" t="str">
        <x:v>TXN-0002235</x:v>
      </x:c>
      <x:c r="B2236" t="str">
        <x:v>2026-08</x:v>
      </x:c>
      <x:c r="C2236" t="n">
        <x:v>46242</x:v>
      </x:c>
      <x:c r="D2236" t="str">
        <x:v>USR-01082</x:v>
      </x:c>
      <x:c r="E2236" t="str">
        <x:v>SUS-001629</x:v>
      </x:c>
      <x:c r="F2236" t="str">
        <x:v>Plus mensual</x:v>
      </x:c>
      <x:c r="G2236" t="str">
        <x:v>Mensual</x:v>
      </x:c>
      <x:c r="H2236" t="n">
        <x:v>1</x:v>
      </x:c>
      <x:c r="I2236" t="str">
        <x:v>Aprobado</x:v>
      </x:c>
      <x:c r="J2236" t="n">
        <x:v>29900</x:v>
      </x:c>
      <x:c r="K2236" t="str">
        <x:v>Tarjeta crédito</x:v>
      </x:c>
      <x:c r="L2236" t="str">
        <x:v>Sin error</x:v>
      </x:c>
    </x:row>
    <x:row r="2237">
      <x:c r="A2237" t="str">
        <x:v>TXN-0002236</x:v>
      </x:c>
      <x:c r="B2237" t="str">
        <x:v>2026-08</x:v>
      </x:c>
      <x:c r="C2237" t="n">
        <x:v>46243</x:v>
      </x:c>
      <x:c r="D2237" t="str">
        <x:v>USR-01085</x:v>
      </x:c>
      <x:c r="E2237" t="str">
        <x:v>SUS-001632</x:v>
      </x:c>
      <x:c r="F2237" t="str">
        <x:v>Plus anual</x:v>
      </x:c>
      <x:c r="G2237" t="str">
        <x:v>Anual</x:v>
      </x:c>
      <x:c r="H2237" t="n">
        <x:v>1</x:v>
      </x:c>
      <x:c r="I2237" t="str">
        <x:v>Aprobado</x:v>
      </x:c>
      <x:c r="J2237" t="n">
        <x:v>299000</x:v>
      </x:c>
      <x:c r="K2237" t="str">
        <x:v>PSE</x:v>
      </x:c>
      <x:c r="L2237" t="str">
        <x:v>Sin error</x:v>
      </x:c>
    </x:row>
    <x:row r="2238">
      <x:c r="A2238" t="str">
        <x:v>TXN-0002237</x:v>
      </x:c>
      <x:c r="B2238" t="str">
        <x:v>2026-08</x:v>
      </x:c>
      <x:c r="C2238" t="n">
        <x:v>46245</x:v>
      </x:c>
      <x:c r="D2238" t="str">
        <x:v>USR-01086</x:v>
      </x:c>
      <x:c r="E2238" t="str">
        <x:v>SUS-001633</x:v>
      </x:c>
      <x:c r="F2238" t="str">
        <x:v>Plus anual</x:v>
      </x:c>
      <x:c r="G2238" t="str">
        <x:v>Anual</x:v>
      </x:c>
      <x:c r="H2238" t="n">
        <x:v>1</x:v>
      </x:c>
      <x:c r="I2238" t="str">
        <x:v>Aprobado</x:v>
      </x:c>
      <x:c r="J2238" t="n">
        <x:v>299000</x:v>
      </x:c>
      <x:c r="K2238" t="str">
        <x:v>Tarjeta crédito</x:v>
      </x:c>
      <x:c r="L2238" t="str">
        <x:v>Sin error</x:v>
      </x:c>
    </x:row>
    <x:row r="2239">
      <x:c r="A2239" t="str">
        <x:v>TXN-0002238</x:v>
      </x:c>
      <x:c r="B2239" t="str">
        <x:v>2026-08</x:v>
      </x:c>
      <x:c r="C2239" t="n">
        <x:v>46242</x:v>
      </x:c>
      <x:c r="D2239" t="str">
        <x:v>USR-01093</x:v>
      </x:c>
      <x:c r="E2239" t="str">
        <x:v>SUS-001640</x:v>
      </x:c>
      <x:c r="F2239" t="str">
        <x:v>Plus mensual</x:v>
      </x:c>
      <x:c r="G2239" t="str">
        <x:v>Mensual</x:v>
      </x:c>
      <x:c r="H2239" t="n">
        <x:v>1</x:v>
      </x:c>
      <x:c r="I2239" t="str">
        <x:v>Aprobado</x:v>
      </x:c>
      <x:c r="J2239" t="n">
        <x:v>29900</x:v>
      </x:c>
      <x:c r="K2239" t="str">
        <x:v>Tarjeta crédito</x:v>
      </x:c>
      <x:c r="L2239" t="str">
        <x:v>Sin error</x:v>
      </x:c>
    </x:row>
    <x:row r="2240">
      <x:c r="A2240" t="str">
        <x:v>TXN-0002239</x:v>
      </x:c>
      <x:c r="B2240" t="str">
        <x:v>2026-08</x:v>
      </x:c>
      <x:c r="C2240" t="n">
        <x:v>46245</x:v>
      </x:c>
      <x:c r="D2240" t="str">
        <x:v>USR-01104</x:v>
      </x:c>
      <x:c r="E2240" t="str">
        <x:v>SUS-001651</x:v>
      </x:c>
      <x:c r="F2240" t="str">
        <x:v>Plus anual</x:v>
      </x:c>
      <x:c r="G2240" t="str">
        <x:v>Anual</x:v>
      </x:c>
      <x:c r="H2240" t="n">
        <x:v>1</x:v>
      </x:c>
      <x:c r="I2240" t="str">
        <x:v>Aprobado</x:v>
      </x:c>
      <x:c r="J2240" t="n">
        <x:v>299000</x:v>
      </x:c>
      <x:c r="K2240" t="str">
        <x:v>Tarjeta débito</x:v>
      </x:c>
      <x:c r="L2240" t="str">
        <x:v>Sin error</x:v>
      </x:c>
    </x:row>
    <x:row r="2241">
      <x:c r="A2241" t="str">
        <x:v>TXN-0002240</x:v>
      </x:c>
      <x:c r="B2241" t="str">
        <x:v>2026-08</x:v>
      </x:c>
      <x:c r="C2241" t="n">
        <x:v>46240</x:v>
      </x:c>
      <x:c r="D2241" t="str">
        <x:v>USR-01105</x:v>
      </x:c>
      <x:c r="E2241" t="str">
        <x:v>SUS-001652</x:v>
      </x:c>
      <x:c r="F2241" t="str">
        <x:v>Plus mensual</x:v>
      </x:c>
      <x:c r="G2241" t="str">
        <x:v>Mensual</x:v>
      </x:c>
      <x:c r="H2241" t="n">
        <x:v>1</x:v>
      </x:c>
      <x:c r="I2241" t="str">
        <x:v>Aprobado</x:v>
      </x:c>
      <x:c r="J2241" t="n">
        <x:v>29900</x:v>
      </x:c>
      <x:c r="K2241" t="str">
        <x:v>PSE</x:v>
      </x:c>
      <x:c r="L2241" t="str">
        <x:v>Sin error</x:v>
      </x:c>
    </x:row>
    <x:row r="2242">
      <x:c r="A2242" t="str">
        <x:v>TXN-0002241</x:v>
      </x:c>
      <x:c r="B2242" t="str">
        <x:v>2026-08</x:v>
      </x:c>
      <x:c r="C2242" t="n">
        <x:v>46240</x:v>
      </x:c>
      <x:c r="D2242" t="str">
        <x:v>USR-01106</x:v>
      </x:c>
      <x:c r="E2242" t="str">
        <x:v>SUS-001653</x:v>
      </x:c>
      <x:c r="F2242" t="str">
        <x:v>Plus mensual</x:v>
      </x:c>
      <x:c r="G2242" t="str">
        <x:v>Mensual</x:v>
      </x:c>
      <x:c r="H2242" t="n">
        <x:v>1</x:v>
      </x:c>
      <x:c r="I2242" t="str">
        <x:v>Aprobado</x:v>
      </x:c>
      <x:c r="J2242" t="n">
        <x:v>29900</x:v>
      </x:c>
      <x:c r="K2242" t="str">
        <x:v>PSE</x:v>
      </x:c>
      <x:c r="L2242" t="str">
        <x:v>Sin error</x:v>
      </x:c>
    </x:row>
    <x:row r="2243">
      <x:c r="A2243" t="str">
        <x:v>TXN-0002242</x:v>
      </x:c>
      <x:c r="B2243" t="str">
        <x:v>2026-08</x:v>
      </x:c>
      <x:c r="C2243" t="n">
        <x:v>46243</x:v>
      </x:c>
      <x:c r="D2243" t="str">
        <x:v>USR-01115</x:v>
      </x:c>
      <x:c r="E2243" t="str">
        <x:v>SUS-001662</x:v>
      </x:c>
      <x:c r="F2243" t="str">
        <x:v>Plus mensual</x:v>
      </x:c>
      <x:c r="G2243" t="str">
        <x:v>Mensual</x:v>
      </x:c>
      <x:c r="H2243" t="n">
        <x:v>1</x:v>
      </x:c>
      <x:c r="I2243" t="str">
        <x:v>Aprobado</x:v>
      </x:c>
      <x:c r="J2243" t="n">
        <x:v>29900</x:v>
      </x:c>
      <x:c r="K2243" t="str">
        <x:v>Tarjeta débito</x:v>
      </x:c>
      <x:c r="L2243" t="str">
        <x:v>Sin error</x:v>
      </x:c>
    </x:row>
    <x:row r="2244">
      <x:c r="A2244" t="str">
        <x:v>TXN-0002243</x:v>
      </x:c>
      <x:c r="B2244" t="str">
        <x:v>2026-08</x:v>
      </x:c>
      <x:c r="C2244" t="n">
        <x:v>46244</x:v>
      </x:c>
      <x:c r="D2244" t="str">
        <x:v>USR-01117</x:v>
      </x:c>
      <x:c r="E2244" t="str">
        <x:v>SUS-001664</x:v>
      </x:c>
      <x:c r="F2244" t="str">
        <x:v>Plus mensual</x:v>
      </x:c>
      <x:c r="G2244" t="str">
        <x:v>Mensual</x:v>
      </x:c>
      <x:c r="H2244" t="n">
        <x:v>1</x:v>
      </x:c>
      <x:c r="I2244" t="str">
        <x:v>Aprobado</x:v>
      </x:c>
      <x:c r="J2244" t="n">
        <x:v>29900</x:v>
      </x:c>
      <x:c r="K2244" t="str">
        <x:v>Tarjeta débito</x:v>
      </x:c>
      <x:c r="L2244" t="str">
        <x:v>Sin error</x:v>
      </x:c>
    </x:row>
    <x:row r="2245">
      <x:c r="A2245" t="str">
        <x:v>TXN-0002244</x:v>
      </x:c>
      <x:c r="B2245" t="str">
        <x:v>2026-08</x:v>
      </x:c>
      <x:c r="C2245" t="n">
        <x:v>46244</x:v>
      </x:c>
      <x:c r="D2245" t="str">
        <x:v>USR-01121</x:v>
      </x:c>
      <x:c r="E2245" t="str">
        <x:v>SUS-001668</x:v>
      </x:c>
      <x:c r="F2245" t="str">
        <x:v>Plus mensual</x:v>
      </x:c>
      <x:c r="G2245" t="str">
        <x:v>Mensual</x:v>
      </x:c>
      <x:c r="H2245" t="n">
        <x:v>1</x:v>
      </x:c>
      <x:c r="I2245" t="str">
        <x:v>Aprobado</x:v>
      </x:c>
      <x:c r="J2245" t="n">
        <x:v>29900</x:v>
      </x:c>
      <x:c r="K2245" t="str">
        <x:v>Tarjeta crédito</x:v>
      </x:c>
      <x:c r="L2245" t="str">
        <x:v>Sin error</x:v>
      </x:c>
    </x:row>
    <x:row r="2246">
      <x:c r="A2246" t="str">
        <x:v>TXN-0002245</x:v>
      </x:c>
      <x:c r="B2246" t="str">
        <x:v>2026-08</x:v>
      </x:c>
      <x:c r="C2246" t="n">
        <x:v>46244</x:v>
      </x:c>
      <x:c r="D2246" t="str">
        <x:v>USR-01126</x:v>
      </x:c>
      <x:c r="E2246" t="str">
        <x:v>SUS-001673</x:v>
      </x:c>
      <x:c r="F2246" t="str">
        <x:v>Plus mensual</x:v>
      </x:c>
      <x:c r="G2246" t="str">
        <x:v>Mensual</x:v>
      </x:c>
      <x:c r="H2246" t="n">
        <x:v>1</x:v>
      </x:c>
      <x:c r="I2246" t="str">
        <x:v>Aprobado</x:v>
      </x:c>
      <x:c r="J2246" t="n">
        <x:v>29900</x:v>
      </x:c>
      <x:c r="K2246" t="str">
        <x:v>Tarjeta crédito</x:v>
      </x:c>
      <x:c r="L2246" t="str">
        <x:v>Sin error</x:v>
      </x:c>
    </x:row>
    <x:row r="2247">
      <x:c r="A2247" t="str">
        <x:v>TXN-0002246</x:v>
      </x:c>
      <x:c r="B2247" t="str">
        <x:v>2026-08</x:v>
      </x:c>
      <x:c r="C2247" t="n">
        <x:v>46241</x:v>
      </x:c>
      <x:c r="D2247" t="str">
        <x:v>USR-01139</x:v>
      </x:c>
      <x:c r="E2247" t="str">
        <x:v>SUS-001686</x:v>
      </x:c>
      <x:c r="F2247" t="str">
        <x:v>Plus anual</x:v>
      </x:c>
      <x:c r="G2247" t="str">
        <x:v>Anual</x:v>
      </x:c>
      <x:c r="H2247" t="n">
        <x:v>1</x:v>
      </x:c>
      <x:c r="I2247" t="str">
        <x:v>Aprobado</x:v>
      </x:c>
      <x:c r="J2247" t="n">
        <x:v>299000</x:v>
      </x:c>
      <x:c r="K2247" t="str">
        <x:v>Tarjeta crédito</x:v>
      </x:c>
      <x:c r="L2247" t="str">
        <x:v>Sin error</x:v>
      </x:c>
    </x:row>
    <x:row r="2248">
      <x:c r="A2248" t="str">
        <x:v>TXN-0002247</x:v>
      </x:c>
      <x:c r="B2248" t="str">
        <x:v>2026-08</x:v>
      </x:c>
      <x:c r="C2248" t="n">
        <x:v>46242</x:v>
      </x:c>
      <x:c r="D2248" t="str">
        <x:v>USR-01143</x:v>
      </x:c>
      <x:c r="E2248" t="str">
        <x:v>SUS-001690</x:v>
      </x:c>
      <x:c r="F2248" t="str">
        <x:v>Plus mensual</x:v>
      </x:c>
      <x:c r="G2248" t="str">
        <x:v>Mensual</x:v>
      </x:c>
      <x:c r="H2248" t="n">
        <x:v>1</x:v>
      </x:c>
      <x:c r="I2248" t="str">
        <x:v>Aprobado</x:v>
      </x:c>
      <x:c r="J2248" t="n">
        <x:v>29900</x:v>
      </x:c>
      <x:c r="K2248" t="str">
        <x:v>Tarjeta crédito</x:v>
      </x:c>
      <x:c r="L2248" t="str">
        <x:v>Sin error</x:v>
      </x:c>
    </x:row>
    <x:row r="2249">
      <x:c r="A2249" t="str">
        <x:v>TXN-0002248</x:v>
      </x:c>
      <x:c r="B2249" t="str">
        <x:v>2026-08</x:v>
      </x:c>
      <x:c r="C2249" t="n">
        <x:v>46242</x:v>
      </x:c>
      <x:c r="D2249" t="str">
        <x:v>USR-01144</x:v>
      </x:c>
      <x:c r="E2249" t="str">
        <x:v>SUS-001691</x:v>
      </x:c>
      <x:c r="F2249" t="str">
        <x:v>Plus mensual</x:v>
      </x:c>
      <x:c r="G2249" t="str">
        <x:v>Mensual</x:v>
      </x:c>
      <x:c r="H2249" t="n">
        <x:v>1</x:v>
      </x:c>
      <x:c r="I2249" t="str">
        <x:v>Aprobado</x:v>
      </x:c>
      <x:c r="J2249" t="n">
        <x:v>29900</x:v>
      </x:c>
      <x:c r="K2249" t="str">
        <x:v>Tarjeta crédito</x:v>
      </x:c>
      <x:c r="L2249" t="str">
        <x:v>Sin error</x:v>
      </x:c>
    </x:row>
    <x:row r="2250">
      <x:c r="A2250" t="str">
        <x:v>TXN-0002249</x:v>
      </x:c>
      <x:c r="B2250" t="str">
        <x:v>2026-09</x:v>
      </x:c>
      <x:c r="C2250" t="n">
        <x:v>46275</x:v>
      </x:c>
      <x:c r="D2250" t="str">
        <x:v>USR-00003</x:v>
      </x:c>
      <x:c r="E2250" t="str">
        <x:v>SUS-000326</x:v>
      </x:c>
      <x:c r="F2250" t="str">
        <x:v>Plus anual</x:v>
      </x:c>
      <x:c r="G2250" t="str">
        <x:v>Anual</x:v>
      </x:c>
      <x:c r="H2250" t="n">
        <x:v>1</x:v>
      </x:c>
      <x:c r="I2250" t="str">
        <x:v>Aprobado</x:v>
      </x:c>
      <x:c r="J2250" t="n">
        <x:v>299000</x:v>
      </x:c>
      <x:c r="K2250" t="str">
        <x:v>Tarjeta crédito</x:v>
      </x:c>
      <x:c r="L2250" t="str">
        <x:v>Sin error</x:v>
      </x:c>
    </x:row>
    <x:row r="2251">
      <x:c r="A2251" t="str">
        <x:v>TXN-0002250</x:v>
      </x:c>
      <x:c r="B2251" t="str">
        <x:v>2026-09</x:v>
      </x:c>
      <x:c r="C2251" t="n">
        <x:v>46276</x:v>
      </x:c>
      <x:c r="D2251" t="str">
        <x:v>USR-00006</x:v>
      </x:c>
      <x:c r="E2251" t="str">
        <x:v>SUS-001395</x:v>
      </x:c>
      <x:c r="F2251" t="str">
        <x:v>Plus mensual</x:v>
      </x:c>
      <x:c r="G2251" t="str">
        <x:v>Mensual</x:v>
      </x:c>
      <x:c r="H2251" t="n">
        <x:v>1</x:v>
      </x:c>
      <x:c r="I2251" t="str">
        <x:v>Aprobado</x:v>
      </x:c>
      <x:c r="J2251" t="n">
        <x:v>29900</x:v>
      </x:c>
      <x:c r="K2251" t="str">
        <x:v>Tarjeta crédito</x:v>
      </x:c>
      <x:c r="L2251" t="str">
        <x:v>Sin error</x:v>
      </x:c>
    </x:row>
    <x:row r="2252">
      <x:c r="A2252" t="str">
        <x:v>TXN-0002251</x:v>
      </x:c>
      <x:c r="B2252" t="str">
        <x:v>2026-09</x:v>
      </x:c>
      <x:c r="C2252" t="n">
        <x:v>46277</x:v>
      </x:c>
      <x:c r="D2252" t="str">
        <x:v>USR-00007</x:v>
      </x:c>
      <x:c r="E2252" t="str">
        <x:v>SUS-001260</x:v>
      </x:c>
      <x:c r="F2252" t="str">
        <x:v>Plus mensual</x:v>
      </x:c>
      <x:c r="G2252" t="str">
        <x:v>Mensual</x:v>
      </x:c>
      <x:c r="H2252" t="n">
        <x:v>1</x:v>
      </x:c>
      <x:c r="I2252" t="str">
        <x:v>Aprobado</x:v>
      </x:c>
      <x:c r="J2252" t="n">
        <x:v>29900</x:v>
      </x:c>
      <x:c r="K2252" t="str">
        <x:v>Tarjeta débito</x:v>
      </x:c>
      <x:c r="L2252" t="str">
        <x:v>Sin error</x:v>
      </x:c>
    </x:row>
    <x:row r="2253">
      <x:c r="A2253" t="str">
        <x:v>TXN-0002252</x:v>
      </x:c>
      <x:c r="B2253" t="str">
        <x:v>2026-09</x:v>
      </x:c>
      <x:c r="C2253" t="n">
        <x:v>46272</x:v>
      </x:c>
      <x:c r="D2253" t="str">
        <x:v>USR-00009</x:v>
      </x:c>
      <x:c r="E2253" t="str">
        <x:v>SUS-001396</x:v>
      </x:c>
      <x:c r="F2253" t="str">
        <x:v>Plus mensual</x:v>
      </x:c>
      <x:c r="G2253" t="str">
        <x:v>Mensual</x:v>
      </x:c>
      <x:c r="H2253" t="n">
        <x:v>1</x:v>
      </x:c>
      <x:c r="I2253" t="str">
        <x:v>Aprobado</x:v>
      </x:c>
      <x:c r="J2253" t="n">
        <x:v>29900</x:v>
      </x:c>
      <x:c r="K2253" t="str">
        <x:v>Tarjeta crédito</x:v>
      </x:c>
      <x:c r="L2253" t="str">
        <x:v>Sin error</x:v>
      </x:c>
    </x:row>
    <x:row r="2254">
      <x:c r="A2254" t="str">
        <x:v>TXN-0002253</x:v>
      </x:c>
      <x:c r="B2254" t="str">
        <x:v>2026-09</x:v>
      </x:c>
      <x:c r="C2254" t="n">
        <x:v>46277</x:v>
      </x:c>
      <x:c r="D2254" t="str">
        <x:v>USR-00011</x:v>
      </x:c>
      <x:c r="E2254" t="str">
        <x:v>SUS-000961</x:v>
      </x:c>
      <x:c r="F2254" t="str">
        <x:v>Plus mensual</x:v>
      </x:c>
      <x:c r="G2254" t="str">
        <x:v>Mensual</x:v>
      </x:c>
      <x:c r="H2254" t="n">
        <x:v>1</x:v>
      </x:c>
      <x:c r="I2254" t="str">
        <x:v>Aprobado</x:v>
      </x:c>
      <x:c r="J2254" t="n">
        <x:v>29900</x:v>
      </x:c>
      <x:c r="K2254" t="str">
        <x:v>PSE</x:v>
      </x:c>
      <x:c r="L2254" t="str">
        <x:v>Sin error</x:v>
      </x:c>
    </x:row>
    <x:row r="2255">
      <x:c r="A2255" t="str">
        <x:v>TXN-0002254</x:v>
      </x:c>
      <x:c r="B2255" t="str">
        <x:v>2026-09</x:v>
      </x:c>
      <x:c r="C2255" t="n">
        <x:v>46276</x:v>
      </x:c>
      <x:c r="D2255" t="str">
        <x:v>USR-00015</x:v>
      </x:c>
      <x:c r="E2255" t="str">
        <x:v>SUS-001100</x:v>
      </x:c>
      <x:c r="F2255" t="str">
        <x:v>Plus mensual</x:v>
      </x:c>
      <x:c r="G2255" t="str">
        <x:v>Mensual</x:v>
      </x:c>
      <x:c r="H2255" t="n">
        <x:v>1</x:v>
      </x:c>
      <x:c r="I2255" t="str">
        <x:v>Aprobado</x:v>
      </x:c>
      <x:c r="J2255" t="n">
        <x:v>29900</x:v>
      </x:c>
      <x:c r="K2255" t="str">
        <x:v>Tarjeta débito</x:v>
      </x:c>
      <x:c r="L2255" t="str">
        <x:v>Sin error</x:v>
      </x:c>
    </x:row>
    <x:row r="2256">
      <x:c r="A2256" t="str">
        <x:v>TXN-0002255</x:v>
      </x:c>
      <x:c r="B2256" t="str">
        <x:v>2026-09</x:v>
      </x:c>
      <x:c r="C2256" t="n">
        <x:v>46273</x:v>
      </x:c>
      <x:c r="D2256" t="str">
        <x:v>USR-00018</x:v>
      </x:c>
      <x:c r="E2256" t="str">
        <x:v>SUS-000157</x:v>
      </x:c>
      <x:c r="F2256" t="str">
        <x:v>Plus mensual</x:v>
      </x:c>
      <x:c r="G2256" t="str">
        <x:v>Mensual</x:v>
      </x:c>
      <x:c r="H2256" t="n">
        <x:v>1</x:v>
      </x:c>
      <x:c r="I2256" t="str">
        <x:v>Aprobado</x:v>
      </x:c>
      <x:c r="J2256" t="n">
        <x:v>29900</x:v>
      </x:c>
      <x:c r="K2256" t="str">
        <x:v>PSE</x:v>
      </x:c>
      <x:c r="L2256" t="str">
        <x:v>Sin error</x:v>
      </x:c>
    </x:row>
    <x:row r="2257">
      <x:c r="A2257" t="str">
        <x:v>TXN-0002256</x:v>
      </x:c>
      <x:c r="B2257" t="str">
        <x:v>2026-09</x:v>
      </x:c>
      <x:c r="C2257" t="n">
        <x:v>46270</x:v>
      </x:c>
      <x:c r="D2257" t="str">
        <x:v>USR-00019</x:v>
      </x:c>
      <x:c r="E2257" t="str">
        <x:v>SUS-000158</x:v>
      </x:c>
      <x:c r="F2257" t="str">
        <x:v>Plus mensual</x:v>
      </x:c>
      <x:c r="G2257" t="str">
        <x:v>Mensual</x:v>
      </x:c>
      <x:c r="H2257" t="n">
        <x:v>1</x:v>
      </x:c>
      <x:c r="I2257" t="str">
        <x:v>Aprobado</x:v>
      </x:c>
      <x:c r="J2257" t="n">
        <x:v>29900</x:v>
      </x:c>
      <x:c r="K2257" t="str">
        <x:v>Tarjeta débito</x:v>
      </x:c>
      <x:c r="L2257" t="str">
        <x:v>Sin error</x:v>
      </x:c>
    </x:row>
    <x:row r="2258">
      <x:c r="A2258" t="str">
        <x:v>TXN-0002257</x:v>
      </x:c>
      <x:c r="B2258" t="str">
        <x:v>2026-09</x:v>
      </x:c>
      <x:c r="C2258" t="n">
        <x:v>46274</x:v>
      </x:c>
      <x:c r="D2258" t="str">
        <x:v>USR-00021</x:v>
      </x:c>
      <x:c r="E2258" t="str">
        <x:v>SUS-000328</x:v>
      </x:c>
      <x:c r="F2258" t="str">
        <x:v>Plus anual</x:v>
      </x:c>
      <x:c r="G2258" t="str">
        <x:v>Anual</x:v>
      </x:c>
      <x:c r="H2258" t="n">
        <x:v>1</x:v>
      </x:c>
      <x:c r="I2258" t="str">
        <x:v>Aprobado</x:v>
      </x:c>
      <x:c r="J2258" t="n">
        <x:v>299000</x:v>
      </x:c>
      <x:c r="K2258" t="str">
        <x:v>Tarjeta crédito</x:v>
      </x:c>
      <x:c r="L2258" t="str">
        <x:v>Sin error</x:v>
      </x:c>
    </x:row>
    <x:row r="2259">
      <x:c r="A2259" t="str">
        <x:v>TXN-0002258</x:v>
      </x:c>
      <x:c r="B2259" t="str">
        <x:v>2026-09</x:v>
      </x:c>
      <x:c r="C2259" t="n">
        <x:v>46275</x:v>
      </x:c>
      <x:c r="D2259" t="str">
        <x:v>USR-00022</x:v>
      </x:c>
      <x:c r="E2259" t="str">
        <x:v>SUS-001700</x:v>
      </x:c>
      <x:c r="F2259" t="str">
        <x:v>Plus anual</x:v>
      </x:c>
      <x:c r="G2259" t="str">
        <x:v>Anual</x:v>
      </x:c>
      <x:c r="H2259" t="n">
        <x:v>1</x:v>
      </x:c>
      <x:c r="I2259" t="str">
        <x:v>Aprobado</x:v>
      </x:c>
      <x:c r="J2259" t="n">
        <x:v>299000</x:v>
      </x:c>
      <x:c r="K2259" t="str">
        <x:v>Tarjeta crédito</x:v>
      </x:c>
      <x:c r="L2259" t="str">
        <x:v>Sin error</x:v>
      </x:c>
    </x:row>
    <x:row r="2260">
      <x:c r="A2260" t="str">
        <x:v>TXN-0002259</x:v>
      </x:c>
      <x:c r="B2260" t="str">
        <x:v>2026-09</x:v>
      </x:c>
      <x:c r="C2260" t="n">
        <x:v>46275</x:v>
      </x:c>
      <x:c r="D2260" t="str">
        <x:v>USR-00029</x:v>
      </x:c>
      <x:c r="E2260" t="str">
        <x:v>SUS-001397</x:v>
      </x:c>
      <x:c r="F2260" t="str">
        <x:v>Plus mensual</x:v>
      </x:c>
      <x:c r="G2260" t="str">
        <x:v>Mensual</x:v>
      </x:c>
      <x:c r="H2260" t="n">
        <x:v>1</x:v>
      </x:c>
      <x:c r="I2260" t="str">
        <x:v>Aprobado</x:v>
      </x:c>
      <x:c r="J2260" t="n">
        <x:v>29900</x:v>
      </x:c>
      <x:c r="K2260" t="str">
        <x:v>PSE</x:v>
      </x:c>
      <x:c r="L2260" t="str">
        <x:v>Sin error</x:v>
      </x:c>
    </x:row>
    <x:row r="2261">
      <x:c r="A2261" t="str">
        <x:v>TXN-0002260</x:v>
      </x:c>
      <x:c r="B2261" t="str">
        <x:v>2026-09</x:v>
      </x:c>
      <x:c r="C2261" t="n">
        <x:v>46270</x:v>
      </x:c>
      <x:c r="D2261" t="str">
        <x:v>USR-00032</x:v>
      </x:c>
      <x:c r="E2261" t="str">
        <x:v>SUS-001398</x:v>
      </x:c>
      <x:c r="F2261" t="str">
        <x:v>Plus mensual</x:v>
      </x:c>
      <x:c r="G2261" t="str">
        <x:v>Mensual</x:v>
      </x:c>
      <x:c r="H2261" t="n">
        <x:v>1</x:v>
      </x:c>
      <x:c r="I2261" t="str">
        <x:v>Aprobado</x:v>
      </x:c>
      <x:c r="J2261" t="n">
        <x:v>29900</x:v>
      </x:c>
      <x:c r="K2261" t="str">
        <x:v>PSE</x:v>
      </x:c>
      <x:c r="L2261" t="str">
        <x:v>Sin error</x:v>
      </x:c>
    </x:row>
    <x:row r="2262">
      <x:c r="A2262" t="str">
        <x:v>TXN-0002261</x:v>
      </x:c>
      <x:c r="B2262" t="str">
        <x:v>2026-09</x:v>
      </x:c>
      <x:c r="C2262" t="n">
        <x:v>46276</x:v>
      </x:c>
      <x:c r="D2262" t="str">
        <x:v>USR-00034</x:v>
      </x:c>
      <x:c r="E2262" t="str">
        <x:v>SUS-000734</x:v>
      </x:c>
      <x:c r="F2262" t="str">
        <x:v>Plus mensual</x:v>
      </x:c>
      <x:c r="G2262" t="str">
        <x:v>Mensual</x:v>
      </x:c>
      <x:c r="H2262" t="n">
        <x:v>1</x:v>
      </x:c>
      <x:c r="I2262" t="str">
        <x:v>Aprobado</x:v>
      </x:c>
      <x:c r="J2262" t="n">
        <x:v>29900</x:v>
      </x:c>
      <x:c r="K2262" t="str">
        <x:v>Tarjeta débito</x:v>
      </x:c>
      <x:c r="L2262" t="str">
        <x:v>Sin error</x:v>
      </x:c>
    </x:row>
    <x:row r="2263">
      <x:c r="A2263" t="str">
        <x:v>TXN-0002262</x:v>
      </x:c>
      <x:c r="B2263" t="str">
        <x:v>2026-09</x:v>
      </x:c>
      <x:c r="C2263" t="n">
        <x:v>46271</x:v>
      </x:c>
      <x:c r="D2263" t="str">
        <x:v>USR-00035</x:v>
      </x:c>
      <x:c r="E2263" t="str">
        <x:v>SUS-000964</x:v>
      </x:c>
      <x:c r="F2263" t="str">
        <x:v>Plus mensual</x:v>
      </x:c>
      <x:c r="G2263" t="str">
        <x:v>Mensual</x:v>
      </x:c>
      <x:c r="H2263" t="n">
        <x:v>1</x:v>
      </x:c>
      <x:c r="I2263" t="str">
        <x:v>Aprobado</x:v>
      </x:c>
      <x:c r="J2263" t="n">
        <x:v>29900</x:v>
      </x:c>
      <x:c r="K2263" t="str">
        <x:v>PSE</x:v>
      </x:c>
      <x:c r="L2263" t="str">
        <x:v>Sin error</x:v>
      </x:c>
    </x:row>
    <x:row r="2264">
      <x:c r="A2264" t="str">
        <x:v>TXN-0002263</x:v>
      </x:c>
      <x:c r="B2264" t="str">
        <x:v>2026-09</x:v>
      </x:c>
      <x:c r="C2264" t="n">
        <x:v>46274</x:v>
      </x:c>
      <x:c r="D2264" t="str">
        <x:v>USR-00037</x:v>
      </x:c>
      <x:c r="E2264" t="str">
        <x:v>SUS-000457</x:v>
      </x:c>
      <x:c r="F2264" t="str">
        <x:v>Plus mensual</x:v>
      </x:c>
      <x:c r="G2264" t="str">
        <x:v>Mensual</x:v>
      </x:c>
      <x:c r="H2264" t="n">
        <x:v>1</x:v>
      </x:c>
      <x:c r="I2264" t="str">
        <x:v>Aprobado</x:v>
      </x:c>
      <x:c r="J2264" t="n">
        <x:v>29900</x:v>
      </x:c>
      <x:c r="K2264" t="str">
        <x:v>Tarjeta débito</x:v>
      </x:c>
      <x:c r="L2264" t="str">
        <x:v>Sin error</x:v>
      </x:c>
    </x:row>
    <x:row r="2265">
      <x:c r="A2265" t="str">
        <x:v>TXN-0002264</x:v>
      </x:c>
      <x:c r="B2265" t="str">
        <x:v>2026-09</x:v>
      </x:c>
      <x:c r="C2265" t="n">
        <x:v>46276</x:v>
      </x:c>
      <x:c r="D2265" t="str">
        <x:v>USR-00043</x:v>
      </x:c>
      <x:c r="E2265" t="str">
        <x:v>SUS-001555</x:v>
      </x:c>
      <x:c r="F2265" t="str">
        <x:v>Plus mensual</x:v>
      </x:c>
      <x:c r="G2265" t="str">
        <x:v>Mensual</x:v>
      </x:c>
      <x:c r="H2265" t="n">
        <x:v>1</x:v>
      </x:c>
      <x:c r="I2265" t="str">
        <x:v>Aprobado</x:v>
      </x:c>
      <x:c r="J2265" t="n">
        <x:v>29900</x:v>
      </x:c>
      <x:c r="K2265" t="str">
        <x:v>PSE</x:v>
      </x:c>
      <x:c r="L2265" t="str">
        <x:v>Sin error</x:v>
      </x:c>
    </x:row>
    <x:row r="2266">
      <x:c r="A2266" t="str">
        <x:v>TXN-0002265</x:v>
      </x:c>
      <x:c r="B2266" t="str">
        <x:v>2026-09</x:v>
      </x:c>
      <x:c r="C2266" t="n">
        <x:v>46276</x:v>
      </x:c>
      <x:c r="D2266" t="str">
        <x:v>USR-00055</x:v>
      </x:c>
      <x:c r="E2266" t="str">
        <x:v>SUS-001102</x:v>
      </x:c>
      <x:c r="F2266" t="str">
        <x:v>Plus mensual</x:v>
      </x:c>
      <x:c r="G2266" t="str">
        <x:v>Mensual</x:v>
      </x:c>
      <x:c r="H2266" t="n">
        <x:v>1</x:v>
      </x:c>
      <x:c r="I2266" t="str">
        <x:v>Aprobado</x:v>
      </x:c>
      <x:c r="J2266" t="n">
        <x:v>29900</x:v>
      </x:c>
      <x:c r="K2266" t="str">
        <x:v>Tarjeta débito</x:v>
      </x:c>
      <x:c r="L2266" t="str">
        <x:v>Sin error</x:v>
      </x:c>
    </x:row>
    <x:row r="2267">
      <x:c r="A2267" t="str">
        <x:v>TXN-0002266</x:v>
      </x:c>
      <x:c r="B2267" t="str">
        <x:v>2026-09</x:v>
      </x:c>
      <x:c r="C2267" t="n">
        <x:v>46275</x:v>
      </x:c>
      <x:c r="D2267" t="str">
        <x:v>USR-00062</x:v>
      </x:c>
      <x:c r="E2267" t="str">
        <x:v>SUS-001701</x:v>
      </x:c>
      <x:c r="F2267" t="str">
        <x:v>Plus mensual</x:v>
      </x:c>
      <x:c r="G2267" t="str">
        <x:v>Mensual</x:v>
      </x:c>
      <x:c r="H2267" t="n">
        <x:v>1</x:v>
      </x:c>
      <x:c r="I2267" t="str">
        <x:v>Aprobado</x:v>
      </x:c>
      <x:c r="J2267" t="n">
        <x:v>29900</x:v>
      </x:c>
      <x:c r="K2267" t="str">
        <x:v>PSE</x:v>
      </x:c>
      <x:c r="L2267" t="str">
        <x:v>Sin error</x:v>
      </x:c>
    </x:row>
    <x:row r="2268">
      <x:c r="A2268" t="str">
        <x:v>TXN-0002267</x:v>
      </x:c>
      <x:c r="B2268" t="str">
        <x:v>2026-09</x:v>
      </x:c>
      <x:c r="C2268" t="n">
        <x:v>46274</x:v>
      </x:c>
      <x:c r="D2268" t="str">
        <x:v>USR-00064</x:v>
      </x:c>
      <x:c r="E2268" t="str">
        <x:v>SUS-000333</x:v>
      </x:c>
      <x:c r="F2268" t="str">
        <x:v>Plus mensual</x:v>
      </x:c>
      <x:c r="G2268" t="str">
        <x:v>Mensual</x:v>
      </x:c>
      <x:c r="H2268" t="n">
        <x:v>1</x:v>
      </x:c>
      <x:c r="I2268" t="str">
        <x:v>Aprobado</x:v>
      </x:c>
      <x:c r="J2268" t="n">
        <x:v>29900</x:v>
      </x:c>
      <x:c r="K2268" t="str">
        <x:v>Tarjeta crédito</x:v>
      </x:c>
      <x:c r="L2268" t="str">
        <x:v>Sin error</x:v>
      </x:c>
    </x:row>
    <x:row r="2269">
      <x:c r="A2269" t="str">
        <x:v>TXN-0002268</x:v>
      </x:c>
      <x:c r="B2269" t="str">
        <x:v>2026-09</x:v>
      </x:c>
      <x:c r="C2269" t="n">
        <x:v>46275</x:v>
      </x:c>
      <x:c r="D2269" t="str">
        <x:v>USR-00070</x:v>
      </x:c>
      <x:c r="E2269" t="str">
        <x:v>SUS-001399</x:v>
      </x:c>
      <x:c r="F2269" t="str">
        <x:v>Plus mensual</x:v>
      </x:c>
      <x:c r="G2269" t="str">
        <x:v>Mensual</x:v>
      </x:c>
      <x:c r="H2269" t="n">
        <x:v>1</x:v>
      </x:c>
      <x:c r="I2269" t="str">
        <x:v>Aprobado</x:v>
      </x:c>
      <x:c r="J2269" t="n">
        <x:v>29900</x:v>
      </x:c>
      <x:c r="K2269" t="str">
        <x:v>PSE</x:v>
      </x:c>
      <x:c r="L2269" t="str">
        <x:v>Sin error</x:v>
      </x:c>
    </x:row>
    <x:row r="2270">
      <x:c r="A2270" t="str">
        <x:v>TXN-0002269</x:v>
      </x:c>
      <x:c r="B2270" t="str">
        <x:v>2026-09</x:v>
      </x:c>
      <x:c r="C2270" t="n">
        <x:v>46277</x:v>
      </x:c>
      <x:c r="D2270" t="str">
        <x:v>USR-00071</x:v>
      </x:c>
      <x:c r="E2270" t="str">
        <x:v>SUS-001261</x:v>
      </x:c>
      <x:c r="F2270" t="str">
        <x:v>Plus mensual</x:v>
      </x:c>
      <x:c r="G2270" t="str">
        <x:v>Mensual</x:v>
      </x:c>
      <x:c r="H2270" t="n">
        <x:v>1</x:v>
      </x:c>
      <x:c r="I2270" t="str">
        <x:v>Aprobado</x:v>
      </x:c>
      <x:c r="J2270" t="n">
        <x:v>29900</x:v>
      </x:c>
      <x:c r="K2270" t="str">
        <x:v>Tarjeta crédito</x:v>
      </x:c>
      <x:c r="L2270" t="str">
        <x:v>Sin error</x:v>
      </x:c>
    </x:row>
    <x:row r="2271">
      <x:c r="A2271" t="str">
        <x:v>TXN-0002270</x:v>
      </x:c>
      <x:c r="B2271" t="str">
        <x:v>2026-09</x:v>
      </x:c>
      <x:c r="C2271" t="n">
        <x:v>46277</x:v>
      </x:c>
      <x:c r="D2271" t="str">
        <x:v>USR-00073</x:v>
      </x:c>
      <x:c r="E2271" t="str">
        <x:v>SUS-001262</x:v>
      </x:c>
      <x:c r="F2271" t="str">
        <x:v>Plus mensual</x:v>
      </x:c>
      <x:c r="G2271" t="str">
        <x:v>Mensual</x:v>
      </x:c>
      <x:c r="H2271" t="n">
        <x:v>1</x:v>
      </x:c>
      <x:c r="I2271" t="str">
        <x:v>Aprobado</x:v>
      </x:c>
      <x:c r="J2271" t="n">
        <x:v>29900</x:v>
      </x:c>
      <x:c r="K2271" t="str">
        <x:v>Tarjeta débito</x:v>
      </x:c>
      <x:c r="L2271" t="str">
        <x:v>Sin error</x:v>
      </x:c>
    </x:row>
    <x:row r="2272">
      <x:c r="A2272" t="str">
        <x:v>TXN-0002271</x:v>
      </x:c>
      <x:c r="B2272" t="str">
        <x:v>2026-09</x:v>
      </x:c>
      <x:c r="C2272" t="n">
        <x:v>46273</x:v>
      </x:c>
      <x:c r="D2272" t="str">
        <x:v>USR-00075</x:v>
      </x:c>
      <x:c r="E2272" t="str">
        <x:v>SUS-001703</x:v>
      </x:c>
      <x:c r="F2272" t="str">
        <x:v>Plus mensual</x:v>
      </x:c>
      <x:c r="G2272" t="str">
        <x:v>Mensual</x:v>
      </x:c>
      <x:c r="H2272" t="n">
        <x:v>1</x:v>
      </x:c>
      <x:c r="I2272" t="str">
        <x:v>Aprobado</x:v>
      </x:c>
      <x:c r="J2272" t="n">
        <x:v>29900</x:v>
      </x:c>
      <x:c r="K2272" t="str">
        <x:v>Tarjeta débito</x:v>
      </x:c>
      <x:c r="L2272" t="str">
        <x:v>Sin error</x:v>
      </x:c>
    </x:row>
    <x:row r="2273">
      <x:c r="A2273" t="str">
        <x:v>TXN-0002272</x:v>
      </x:c>
      <x:c r="B2273" t="str">
        <x:v>2026-09</x:v>
      </x:c>
      <x:c r="C2273" t="n">
        <x:v>46270</x:v>
      </x:c>
      <x:c r="D2273" t="str">
        <x:v>USR-00078</x:v>
      </x:c>
      <x:c r="E2273" t="str">
        <x:v>SUS-000083</x:v>
      </x:c>
      <x:c r="F2273" t="str">
        <x:v>Plus mensual</x:v>
      </x:c>
      <x:c r="G2273" t="str">
        <x:v>Mensual</x:v>
      </x:c>
      <x:c r="H2273" t="n">
        <x:v>1</x:v>
      </x:c>
      <x:c r="I2273" t="str">
        <x:v>Aprobado</x:v>
      </x:c>
      <x:c r="J2273" t="n">
        <x:v>29900</x:v>
      </x:c>
      <x:c r="K2273" t="str">
        <x:v>Tarjeta crédito</x:v>
      </x:c>
      <x:c r="L2273" t="str">
        <x:v>Sin error</x:v>
      </x:c>
    </x:row>
    <x:row r="2274">
      <x:c r="A2274" t="str">
        <x:v>TXN-0002273</x:v>
      </x:c>
      <x:c r="B2274" t="str">
        <x:v>2026-09</x:v>
      </x:c>
      <x:c r="C2274" t="n">
        <x:v>46275</x:v>
      </x:c>
      <x:c r="D2274" t="str">
        <x:v>USR-00079</x:v>
      </x:c>
      <x:c r="E2274" t="str">
        <x:v>SUS-000336</x:v>
      </x:c>
      <x:c r="F2274" t="str">
        <x:v>Plus mensual</x:v>
      </x:c>
      <x:c r="G2274" t="str">
        <x:v>Mensual</x:v>
      </x:c>
      <x:c r="H2274" t="n">
        <x:v>1</x:v>
      </x:c>
      <x:c r="I2274" t="str">
        <x:v>Aprobado</x:v>
      </x:c>
      <x:c r="J2274" t="n">
        <x:v>29900</x:v>
      </x:c>
      <x:c r="K2274" t="str">
        <x:v>PSE</x:v>
      </x:c>
      <x:c r="L2274" t="str">
        <x:v>Sin error</x:v>
      </x:c>
    </x:row>
    <x:row r="2275">
      <x:c r="A2275" t="str">
        <x:v>TXN-0002274</x:v>
      </x:c>
      <x:c r="B2275" t="str">
        <x:v>2026-09</x:v>
      </x:c>
      <x:c r="C2275" t="n">
        <x:v>46270</x:v>
      </x:c>
      <x:c r="D2275" t="str">
        <x:v>USR-00087</x:v>
      </x:c>
      <x:c r="E2275" t="str">
        <x:v>SUS-001400</x:v>
      </x:c>
      <x:c r="F2275" t="str">
        <x:v>Plus mensual</x:v>
      </x:c>
      <x:c r="G2275" t="str">
        <x:v>Mensual</x:v>
      </x:c>
      <x:c r="H2275" t="n">
        <x:v>1</x:v>
      </x:c>
      <x:c r="I2275" t="str">
        <x:v>Aprobado</x:v>
      </x:c>
      <x:c r="J2275" t="n">
        <x:v>29900</x:v>
      </x:c>
      <x:c r="K2275" t="str">
        <x:v>Tarjeta débito</x:v>
      </x:c>
      <x:c r="L2275" t="str">
        <x:v>Sin error</x:v>
      </x:c>
    </x:row>
    <x:row r="2276">
      <x:c r="A2276" t="str">
        <x:v>TXN-0002275</x:v>
      </x:c>
      <x:c r="B2276" t="str">
        <x:v>2026-09</x:v>
      </x:c>
      <x:c r="C2276" t="n">
        <x:v>46271</x:v>
      </x:c>
      <x:c r="D2276" t="str">
        <x:v>USR-00091</x:v>
      </x:c>
      <x:c r="E2276" t="str">
        <x:v>SUS-000736</x:v>
      </x:c>
      <x:c r="F2276" t="str">
        <x:v>Plus mensual</x:v>
      </x:c>
      <x:c r="G2276" t="str">
        <x:v>Mensual</x:v>
      </x:c>
      <x:c r="H2276" t="n">
        <x:v>1</x:v>
      </x:c>
      <x:c r="I2276" t="str">
        <x:v>Aprobado</x:v>
      </x:c>
      <x:c r="J2276" t="n">
        <x:v>29900</x:v>
      </x:c>
      <x:c r="K2276" t="str">
        <x:v>PSE</x:v>
      </x:c>
      <x:c r="L2276" t="str">
        <x:v>Sin error</x:v>
      </x:c>
    </x:row>
    <x:row r="2277">
      <x:c r="A2277" t="str">
        <x:v>TXN-0002276</x:v>
      </x:c>
      <x:c r="B2277" t="str">
        <x:v>2026-09</x:v>
      </x:c>
      <x:c r="C2277" t="n">
        <x:v>46274</x:v>
      </x:c>
      <x:c r="D2277" t="str">
        <x:v>USR-00096</x:v>
      </x:c>
      <x:c r="E2277" t="str">
        <x:v>SUS-000273</x:v>
      </x:c>
      <x:c r="F2277" t="str">
        <x:v>Plus mensual</x:v>
      </x:c>
      <x:c r="G2277" t="str">
        <x:v>Mensual</x:v>
      </x:c>
      <x:c r="H2277" t="n">
        <x:v>1</x:v>
      </x:c>
      <x:c r="I2277" t="str">
        <x:v>Aprobado</x:v>
      </x:c>
      <x:c r="J2277" t="n">
        <x:v>29900</x:v>
      </x:c>
      <x:c r="K2277" t="str">
        <x:v>Tarjeta crédito</x:v>
      </x:c>
      <x:c r="L2277" t="str">
        <x:v>Sin error</x:v>
      </x:c>
    </x:row>
    <x:row r="2278">
      <x:c r="A2278" t="str">
        <x:v>TXN-0002277</x:v>
      </x:c>
      <x:c r="B2278" t="str">
        <x:v>2026-09</x:v>
      </x:c>
      <x:c r="C2278" t="n">
        <x:v>46276</x:v>
      </x:c>
      <x:c r="D2278" t="str">
        <x:v>USR-00098</x:v>
      </x:c>
      <x:c r="E2278" t="str">
        <x:v>SUS-001401</x:v>
      </x:c>
      <x:c r="F2278" t="str">
        <x:v>Plus mensual</x:v>
      </x:c>
      <x:c r="G2278" t="str">
        <x:v>Mensual</x:v>
      </x:c>
      <x:c r="H2278" t="n">
        <x:v>1</x:v>
      </x:c>
      <x:c r="I2278" t="str">
        <x:v>Aprobado</x:v>
      </x:c>
      <x:c r="J2278" t="n">
        <x:v>29900</x:v>
      </x:c>
      <x:c r="K2278" t="str">
        <x:v>Tarjeta débito</x:v>
      </x:c>
      <x:c r="L2278" t="str">
        <x:v>Sin error</x:v>
      </x:c>
    </x:row>
    <x:row r="2279">
      <x:c r="A2279" t="str">
        <x:v>TXN-0002278</x:v>
      </x:c>
      <x:c r="B2279" t="str">
        <x:v>2026-09</x:v>
      </x:c>
      <x:c r="C2279" t="n">
        <x:v>46271</x:v>
      </x:c>
      <x:c r="D2279" t="str">
        <x:v>USR-00099</x:v>
      </x:c>
      <x:c r="E2279" t="str">
        <x:v>SUS-000337</x:v>
      </x:c>
      <x:c r="F2279" t="str">
        <x:v>Plus mensual</x:v>
      </x:c>
      <x:c r="G2279" t="str">
        <x:v>Mensual</x:v>
      </x:c>
      <x:c r="H2279" t="n">
        <x:v>1</x:v>
      </x:c>
      <x:c r="I2279" t="str">
        <x:v>Aprobado</x:v>
      </x:c>
      <x:c r="J2279" t="n">
        <x:v>29900</x:v>
      </x:c>
      <x:c r="K2279" t="str">
        <x:v>Tarjeta débito</x:v>
      </x:c>
      <x:c r="L2279" t="str">
        <x:v>Sin error</x:v>
      </x:c>
    </x:row>
    <x:row r="2280">
      <x:c r="A2280" t="str">
        <x:v>TXN-0002279</x:v>
      </x:c>
      <x:c r="B2280" t="str">
        <x:v>2026-09</x:v>
      </x:c>
      <x:c r="C2280" t="n">
        <x:v>46277</x:v>
      </x:c>
      <x:c r="D2280" t="str">
        <x:v>USR-00102</x:v>
      </x:c>
      <x:c r="E2280" t="str">
        <x:v>SUS-000842</x:v>
      </x:c>
      <x:c r="F2280" t="str">
        <x:v>Plus mensual</x:v>
      </x:c>
      <x:c r="G2280" t="str">
        <x:v>Mensual</x:v>
      </x:c>
      <x:c r="H2280" t="n">
        <x:v>1</x:v>
      </x:c>
      <x:c r="I2280" t="str">
        <x:v>Aprobado</x:v>
      </x:c>
      <x:c r="J2280" t="n">
        <x:v>29900</x:v>
      </x:c>
      <x:c r="K2280" t="str">
        <x:v>Tarjeta crédito</x:v>
      </x:c>
      <x:c r="L2280" t="str">
        <x:v>Sin error</x:v>
      </x:c>
    </x:row>
    <x:row r="2281">
      <x:c r="A2281" t="str">
        <x:v>TXN-0002280</x:v>
      </x:c>
      <x:c r="B2281" t="str">
        <x:v>2026-09</x:v>
      </x:c>
      <x:c r="C2281" t="n">
        <x:v>46273</x:v>
      </x:c>
      <x:c r="D2281" t="str">
        <x:v>USR-00104</x:v>
      </x:c>
      <x:c r="E2281" t="str">
        <x:v>SUS-001402</x:v>
      </x:c>
      <x:c r="F2281" t="str">
        <x:v>Plus mensual</x:v>
      </x:c>
      <x:c r="G2281" t="str">
        <x:v>Mensual</x:v>
      </x:c>
      <x:c r="H2281" t="n">
        <x:v>1</x:v>
      </x:c>
      <x:c r="I2281" t="str">
        <x:v>Aprobado</x:v>
      </x:c>
      <x:c r="J2281" t="n">
        <x:v>29900</x:v>
      </x:c>
      <x:c r="K2281" t="str">
        <x:v>Tarjeta crédito</x:v>
      </x:c>
      <x:c r="L2281" t="str">
        <x:v>Sin error</x:v>
      </x:c>
    </x:row>
    <x:row r="2282">
      <x:c r="A2282" t="str">
        <x:v>TXN-0002281</x:v>
      </x:c>
      <x:c r="B2282" t="str">
        <x:v>2026-09</x:v>
      </x:c>
      <x:c r="C2282" t="n">
        <x:v>46270</x:v>
      </x:c>
      <x:c r="D2282" t="str">
        <x:v>USR-00107</x:v>
      </x:c>
      <x:c r="E2282" t="str">
        <x:v>SUS-000338</x:v>
      </x:c>
      <x:c r="F2282" t="str">
        <x:v>Plus anual</x:v>
      </x:c>
      <x:c r="G2282" t="str">
        <x:v>Anual</x:v>
      </x:c>
      <x:c r="H2282" t="n">
        <x:v>1</x:v>
      </x:c>
      <x:c r="I2282" t="str">
        <x:v>Rechazado</x:v>
      </x:c>
      <x:c r="J2282" t="n">
        <x:v>299000</x:v>
      </x:c>
      <x:c r="K2282" t="str">
        <x:v>Tarjeta crédito</x:v>
      </x:c>
      <x:c r="L2282" t="str">
        <x:v>Declinado por entidad</x:v>
      </x:c>
    </x:row>
    <x:row r="2283">
      <x:c r="A2283" t="str">
        <x:v>TXN-0002282</x:v>
      </x:c>
      <x:c r="B2283" t="str">
        <x:v>2026-09</x:v>
      </x:c>
      <x:c r="C2283" t="n">
        <x:v>46276</x:v>
      </x:c>
      <x:c r="D2283" t="str">
        <x:v>USR-00107</x:v>
      </x:c>
      <x:c r="E2283" t="str">
        <x:v>SUS-000338</x:v>
      </x:c>
      <x:c r="F2283" t="str">
        <x:v>Plus anual</x:v>
      </x:c>
      <x:c r="G2283" t="str">
        <x:v>Anual</x:v>
      </x:c>
      <x:c r="H2283" t="n">
        <x:v>2</x:v>
      </x:c>
      <x:c r="I2283" t="str">
        <x:v>Aprobado</x:v>
      </x:c>
      <x:c r="J2283" t="n">
        <x:v>299000</x:v>
      </x:c>
      <x:c r="K2283" t="str">
        <x:v>Tarjeta débito</x:v>
      </x:c>
      <x:c r="L2283" t="str">
        <x:v>Sin error</x:v>
      </x:c>
    </x:row>
    <x:row r="2284">
      <x:c r="A2284" t="str">
        <x:v>TXN-0002283</x:v>
      </x:c>
      <x:c r="B2284" t="str">
        <x:v>2026-09</x:v>
      </x:c>
      <x:c r="C2284" t="n">
        <x:v>46274</x:v>
      </x:c>
      <x:c r="D2284" t="str">
        <x:v>USR-00112</x:v>
      </x:c>
      <x:c r="E2284" t="str">
        <x:v>SUS-000339</x:v>
      </x:c>
      <x:c r="F2284" t="str">
        <x:v>Plus anual</x:v>
      </x:c>
      <x:c r="G2284" t="str">
        <x:v>Anual</x:v>
      </x:c>
      <x:c r="H2284" t="n">
        <x:v>1</x:v>
      </x:c>
      <x:c r="I2284" t="str">
        <x:v>Aprobado</x:v>
      </x:c>
      <x:c r="J2284" t="n">
        <x:v>299000</x:v>
      </x:c>
      <x:c r="K2284" t="str">
        <x:v>Tarjeta débito</x:v>
      </x:c>
      <x:c r="L2284" t="str">
        <x:v>Sin error</x:v>
      </x:c>
    </x:row>
    <x:row r="2285">
      <x:c r="A2285" t="str">
        <x:v>TXN-0002284</x:v>
      </x:c>
      <x:c r="B2285" t="str">
        <x:v>2026-09</x:v>
      </x:c>
      <x:c r="C2285" t="n">
        <x:v>46270</x:v>
      </x:c>
      <x:c r="D2285" t="str">
        <x:v>USR-00118</x:v>
      </x:c>
      <x:c r="E2285" t="str">
        <x:v>SUS-001404</x:v>
      </x:c>
      <x:c r="F2285" t="str">
        <x:v>Plus mensual</x:v>
      </x:c>
      <x:c r="G2285" t="str">
        <x:v>Mensual</x:v>
      </x:c>
      <x:c r="H2285" t="n">
        <x:v>1</x:v>
      </x:c>
      <x:c r="I2285" t="str">
        <x:v>Aprobado</x:v>
      </x:c>
      <x:c r="J2285" t="n">
        <x:v>29900</x:v>
      </x:c>
      <x:c r="K2285" t="str">
        <x:v>Tarjeta crédito</x:v>
      </x:c>
      <x:c r="L2285" t="str">
        <x:v>Sin error</x:v>
      </x:c>
    </x:row>
    <x:row r="2286">
      <x:c r="A2286" t="str">
        <x:v>TXN-0002285</x:v>
      </x:c>
      <x:c r="B2286" t="str">
        <x:v>2026-09</x:v>
      </x:c>
      <x:c r="C2286" t="n">
        <x:v>46271</x:v>
      </x:c>
      <x:c r="D2286" t="str">
        <x:v>USR-00122</x:v>
      </x:c>
      <x:c r="E2286" t="str">
        <x:v>SUS-000843</x:v>
      </x:c>
      <x:c r="F2286" t="str">
        <x:v>Plus mensual</x:v>
      </x:c>
      <x:c r="G2286" t="str">
        <x:v>Mensual</x:v>
      </x:c>
      <x:c r="H2286" t="n">
        <x:v>1</x:v>
      </x:c>
      <x:c r="I2286" t="str">
        <x:v>Aprobado</x:v>
      </x:c>
      <x:c r="J2286" t="n">
        <x:v>29900</x:v>
      </x:c>
      <x:c r="K2286" t="str">
        <x:v>PSE</x:v>
      </x:c>
      <x:c r="L2286" t="str">
        <x:v>Sin error</x:v>
      </x:c>
    </x:row>
    <x:row r="2287">
      <x:c r="A2287" t="str">
        <x:v>TXN-0002286</x:v>
      </x:c>
      <x:c r="B2287" t="str">
        <x:v>2026-09</x:v>
      </x:c>
      <x:c r="C2287" t="n">
        <x:v>46276</x:v>
      </x:c>
      <x:c r="D2287" t="str">
        <x:v>USR-00136</x:v>
      </x:c>
      <x:c r="E2287" t="str">
        <x:v>SUS-001263</x:v>
      </x:c>
      <x:c r="F2287" t="str">
        <x:v>Plus mensual</x:v>
      </x:c>
      <x:c r="G2287" t="str">
        <x:v>Mensual</x:v>
      </x:c>
      <x:c r="H2287" t="n">
        <x:v>1</x:v>
      </x:c>
      <x:c r="I2287" t="str">
        <x:v>Aprobado</x:v>
      </x:c>
      <x:c r="J2287" t="n">
        <x:v>29900</x:v>
      </x:c>
      <x:c r="K2287" t="str">
        <x:v>PSE</x:v>
      </x:c>
      <x:c r="L2287" t="str">
        <x:v>Sin error</x:v>
      </x:c>
    </x:row>
    <x:row r="2288">
      <x:c r="A2288" t="str">
        <x:v>TXN-0002287</x:v>
      </x:c>
      <x:c r="B2288" t="str">
        <x:v>2026-09</x:v>
      </x:c>
      <x:c r="C2288" t="n">
        <x:v>46275</x:v>
      </x:c>
      <x:c r="D2288" t="str">
        <x:v>USR-00139</x:v>
      </x:c>
      <x:c r="E2288" t="str">
        <x:v>SUS-001406</x:v>
      </x:c>
      <x:c r="F2288" t="str">
        <x:v>Plus mensual</x:v>
      </x:c>
      <x:c r="G2288" t="str">
        <x:v>Mensual</x:v>
      </x:c>
      <x:c r="H2288" t="n">
        <x:v>1</x:v>
      </x:c>
      <x:c r="I2288" t="str">
        <x:v>Aprobado</x:v>
      </x:c>
      <x:c r="J2288" t="n">
        <x:v>29900</x:v>
      </x:c>
      <x:c r="K2288" t="str">
        <x:v>Tarjeta débito</x:v>
      </x:c>
      <x:c r="L2288" t="str">
        <x:v>Sin error</x:v>
      </x:c>
    </x:row>
    <x:row r="2289">
      <x:c r="A2289" t="str">
        <x:v>TXN-0002288</x:v>
      </x:c>
      <x:c r="B2289" t="str">
        <x:v>2026-09</x:v>
      </x:c>
      <x:c r="C2289" t="n">
        <x:v>46273</x:v>
      </x:c>
      <x:c r="D2289" t="str">
        <x:v>USR-00142</x:v>
      </x:c>
      <x:c r="E2289" t="str">
        <x:v>SUS-001407</x:v>
      </x:c>
      <x:c r="F2289" t="str">
        <x:v>Plus mensual</x:v>
      </x:c>
      <x:c r="G2289" t="str">
        <x:v>Mensual</x:v>
      </x:c>
      <x:c r="H2289" t="n">
        <x:v>1</x:v>
      </x:c>
      <x:c r="I2289" t="str">
        <x:v>Aprobado</x:v>
      </x:c>
      <x:c r="J2289" t="n">
        <x:v>29900</x:v>
      </x:c>
      <x:c r="K2289" t="str">
        <x:v>Tarjeta crédito</x:v>
      </x:c>
      <x:c r="L2289" t="str">
        <x:v>Sin error</x:v>
      </x:c>
    </x:row>
    <x:row r="2290">
      <x:c r="A2290" t="str">
        <x:v>TXN-0002289</x:v>
      </x:c>
      <x:c r="B2290" t="str">
        <x:v>2026-09</x:v>
      </x:c>
      <x:c r="C2290" t="n">
        <x:v>46276</x:v>
      </x:c>
      <x:c r="D2290" t="str">
        <x:v>USR-00145</x:v>
      </x:c>
      <x:c r="E2290" t="str">
        <x:v>SUS-000168</x:v>
      </x:c>
      <x:c r="F2290" t="str">
        <x:v>Plus mensual</x:v>
      </x:c>
      <x:c r="G2290" t="str">
        <x:v>Mensual</x:v>
      </x:c>
      <x:c r="H2290" t="n">
        <x:v>1</x:v>
      </x:c>
      <x:c r="I2290" t="str">
        <x:v>Aprobado</x:v>
      </x:c>
      <x:c r="J2290" t="n">
        <x:v>29900</x:v>
      </x:c>
      <x:c r="K2290" t="str">
        <x:v>Tarjeta débito</x:v>
      </x:c>
      <x:c r="L2290" t="str">
        <x:v>Sin error</x:v>
      </x:c>
    </x:row>
    <x:row r="2291">
      <x:c r="A2291" t="str">
        <x:v>TXN-0002290</x:v>
      </x:c>
      <x:c r="B2291" t="str">
        <x:v>2026-09</x:v>
      </x:c>
      <x:c r="C2291" t="n">
        <x:v>46276</x:v>
      </x:c>
      <x:c r="D2291" t="str">
        <x:v>USR-00151</x:v>
      </x:c>
      <x:c r="E2291" t="str">
        <x:v>SUS-001264</x:v>
      </x:c>
      <x:c r="F2291" t="str">
        <x:v>Plus mensual</x:v>
      </x:c>
      <x:c r="G2291" t="str">
        <x:v>Mensual</x:v>
      </x:c>
      <x:c r="H2291" t="n">
        <x:v>1</x:v>
      </x:c>
      <x:c r="I2291" t="str">
        <x:v>Aprobado</x:v>
      </x:c>
      <x:c r="J2291" t="n">
        <x:v>29900</x:v>
      </x:c>
      <x:c r="K2291" t="str">
        <x:v>Tarjeta crédito</x:v>
      </x:c>
      <x:c r="L2291" t="str">
        <x:v>Sin error</x:v>
      </x:c>
    </x:row>
    <x:row r="2292">
      <x:c r="A2292" t="str">
        <x:v>TXN-0002291</x:v>
      </x:c>
      <x:c r="B2292" t="str">
        <x:v>2026-09</x:v>
      </x:c>
      <x:c r="C2292" t="n">
        <x:v>46274</x:v>
      </x:c>
      <x:c r="D2292" t="str">
        <x:v>USR-00157</x:v>
      </x:c>
      <x:c r="E2292" t="str">
        <x:v>SUS-000342</x:v>
      </x:c>
      <x:c r="F2292" t="str">
        <x:v>Plus anual</x:v>
      </x:c>
      <x:c r="G2292" t="str">
        <x:v>Anual</x:v>
      </x:c>
      <x:c r="H2292" t="n">
        <x:v>1</x:v>
      </x:c>
      <x:c r="I2292" t="str">
        <x:v>Aprobado</x:v>
      </x:c>
      <x:c r="J2292" t="n">
        <x:v>299000</x:v>
      </x:c>
      <x:c r="K2292" t="str">
        <x:v>Tarjeta crédito</x:v>
      </x:c>
      <x:c r="L2292" t="str">
        <x:v>Sin error</x:v>
      </x:c>
    </x:row>
    <x:row r="2293">
      <x:c r="A2293" t="str">
        <x:v>TXN-0002292</x:v>
      </x:c>
      <x:c r="B2293" t="str">
        <x:v>2026-09</x:v>
      </x:c>
      <x:c r="C2293" t="n">
        <x:v>46273</x:v>
      </x:c>
      <x:c r="D2293" t="str">
        <x:v>USR-00159</x:v>
      </x:c>
      <x:c r="E2293" t="str">
        <x:v>SUS-000343</x:v>
      </x:c>
      <x:c r="F2293" t="str">
        <x:v>Plus anual</x:v>
      </x:c>
      <x:c r="G2293" t="str">
        <x:v>Anual</x:v>
      </x:c>
      <x:c r="H2293" t="n">
        <x:v>1</x:v>
      </x:c>
      <x:c r="I2293" t="str">
        <x:v>Aprobado</x:v>
      </x:c>
      <x:c r="J2293" t="n">
        <x:v>299000</x:v>
      </x:c>
      <x:c r="K2293" t="str">
        <x:v>Tarjeta débito</x:v>
      </x:c>
      <x:c r="L2293" t="str">
        <x:v>Sin error</x:v>
      </x:c>
    </x:row>
    <x:row r="2294">
      <x:c r="A2294" t="str">
        <x:v>TXN-0002293</x:v>
      </x:c>
      <x:c r="B2294" t="str">
        <x:v>2026-09</x:v>
      </x:c>
      <x:c r="C2294" t="n">
        <x:v>46271</x:v>
      </x:c>
      <x:c r="D2294" t="str">
        <x:v>USR-00161</x:v>
      </x:c>
      <x:c r="E2294" t="str">
        <x:v>SUS-001561</x:v>
      </x:c>
      <x:c r="F2294" t="str">
        <x:v>Plus mensual</x:v>
      </x:c>
      <x:c r="G2294" t="str">
        <x:v>Mensual</x:v>
      </x:c>
      <x:c r="H2294" t="n">
        <x:v>1</x:v>
      </x:c>
      <x:c r="I2294" t="str">
        <x:v>Aprobado</x:v>
      </x:c>
      <x:c r="J2294" t="n">
        <x:v>29900</x:v>
      </x:c>
      <x:c r="K2294" t="str">
        <x:v>Tarjeta débito</x:v>
      </x:c>
      <x:c r="L2294" t="str">
        <x:v>Sin error</x:v>
      </x:c>
    </x:row>
    <x:row r="2295">
      <x:c r="A2295" t="str">
        <x:v>TXN-0002294</x:v>
      </x:c>
      <x:c r="B2295" t="str">
        <x:v>2026-09</x:v>
      </x:c>
      <x:c r="C2295" t="n">
        <x:v>46275</x:v>
      </x:c>
      <x:c r="D2295" t="str">
        <x:v>USR-00162</x:v>
      </x:c>
      <x:c r="E2295" t="str">
        <x:v>SUS-000225</x:v>
      </x:c>
      <x:c r="F2295" t="str">
        <x:v>Plus mensual</x:v>
      </x:c>
      <x:c r="G2295" t="str">
        <x:v>Mensual</x:v>
      </x:c>
      <x:c r="H2295" t="n">
        <x:v>1</x:v>
      </x:c>
      <x:c r="I2295" t="str">
        <x:v>Aprobado</x:v>
      </x:c>
      <x:c r="J2295" t="n">
        <x:v>29900</x:v>
      </x:c>
      <x:c r="K2295" t="str">
        <x:v>Tarjeta débito</x:v>
      </x:c>
      <x:c r="L2295" t="str">
        <x:v>Sin error</x:v>
      </x:c>
    </x:row>
    <x:row r="2296">
      <x:c r="A2296" t="str">
        <x:v>TXN-0002295</x:v>
      </x:c>
      <x:c r="B2296" t="str">
        <x:v>2026-09</x:v>
      </x:c>
      <x:c r="C2296" t="n">
        <x:v>46276</x:v>
      </x:c>
      <x:c r="D2296" t="str">
        <x:v>USR-00164</x:v>
      </x:c>
      <x:c r="E2296" t="str">
        <x:v>SUS-000534</x:v>
      </x:c>
      <x:c r="F2296" t="str">
        <x:v>Plus mensual</x:v>
      </x:c>
      <x:c r="G2296" t="str">
        <x:v>Mensual</x:v>
      </x:c>
      <x:c r="H2296" t="n">
        <x:v>1</x:v>
      </x:c>
      <x:c r="I2296" t="str">
        <x:v>Aprobado</x:v>
      </x:c>
      <x:c r="J2296" t="n">
        <x:v>29900</x:v>
      </x:c>
      <x:c r="K2296" t="str">
        <x:v>PSE</x:v>
      </x:c>
      <x:c r="L2296" t="str">
        <x:v>Sin error</x:v>
      </x:c>
    </x:row>
    <x:row r="2297">
      <x:c r="A2297" t="str">
        <x:v>TXN-0002296</x:v>
      </x:c>
      <x:c r="B2297" t="str">
        <x:v>2026-09</x:v>
      </x:c>
      <x:c r="C2297" t="n">
        <x:v>46270</x:v>
      </x:c>
      <x:c r="D2297" t="str">
        <x:v>USR-00167</x:v>
      </x:c>
      <x:c r="E2297" t="str">
        <x:v>SUS-000226</x:v>
      </x:c>
      <x:c r="F2297" t="str">
        <x:v>Plus mensual</x:v>
      </x:c>
      <x:c r="G2297" t="str">
        <x:v>Mensual</x:v>
      </x:c>
      <x:c r="H2297" t="n">
        <x:v>1</x:v>
      </x:c>
      <x:c r="I2297" t="str">
        <x:v>Aprobado</x:v>
      </x:c>
      <x:c r="J2297" t="n">
        <x:v>29900</x:v>
      </x:c>
      <x:c r="K2297" t="str">
        <x:v>PSE</x:v>
      </x:c>
      <x:c r="L2297" t="str">
        <x:v>Sin error</x:v>
      </x:c>
    </x:row>
    <x:row r="2298">
      <x:c r="A2298" t="str">
        <x:v>TXN-0002297</x:v>
      </x:c>
      <x:c r="B2298" t="str">
        <x:v>2026-09</x:v>
      </x:c>
      <x:c r="C2298" t="n">
        <x:v>46274</x:v>
      </x:c>
      <x:c r="D2298" t="str">
        <x:v>USR-00174</x:v>
      </x:c>
      <x:c r="E2298" t="str">
        <x:v>SUS-001265</x:v>
      </x:c>
      <x:c r="F2298" t="str">
        <x:v>Plus mensual</x:v>
      </x:c>
      <x:c r="G2298" t="str">
        <x:v>Mensual</x:v>
      </x:c>
      <x:c r="H2298" t="n">
        <x:v>1</x:v>
      </x:c>
      <x:c r="I2298" t="str">
        <x:v>Aprobado</x:v>
      </x:c>
      <x:c r="J2298" t="n">
        <x:v>29900</x:v>
      </x:c>
      <x:c r="K2298" t="str">
        <x:v>PSE</x:v>
      </x:c>
      <x:c r="L2298" t="str">
        <x:v>Sin error</x:v>
      </x:c>
    </x:row>
    <x:row r="2299">
      <x:c r="A2299" t="str">
        <x:v>TXN-0002298</x:v>
      </x:c>
      <x:c r="B2299" t="str">
        <x:v>2026-09</x:v>
      </x:c>
      <x:c r="C2299" t="n">
        <x:v>46275</x:v>
      </x:c>
      <x:c r="D2299" t="str">
        <x:v>USR-00177</x:v>
      </x:c>
      <x:c r="E2299" t="str">
        <x:v>SUS-001704</x:v>
      </x:c>
      <x:c r="F2299" t="str">
        <x:v>Plus mensual</x:v>
      </x:c>
      <x:c r="G2299" t="str">
        <x:v>Mensual</x:v>
      </x:c>
      <x:c r="H2299" t="n">
        <x:v>1</x:v>
      </x:c>
      <x:c r="I2299" t="str">
        <x:v>Aprobado</x:v>
      </x:c>
      <x:c r="J2299" t="n">
        <x:v>29900</x:v>
      </x:c>
      <x:c r="K2299" t="str">
        <x:v>PSE</x:v>
      </x:c>
      <x:c r="L2299" t="str">
        <x:v>Sin error</x:v>
      </x:c>
    </x:row>
    <x:row r="2300">
      <x:c r="A2300" t="str">
        <x:v>TXN-0002299</x:v>
      </x:c>
      <x:c r="B2300" t="str">
        <x:v>2026-09</x:v>
      </x:c>
      <x:c r="C2300" t="n">
        <x:v>46274</x:v>
      </x:c>
      <x:c r="D2300" t="str">
        <x:v>USR-00184</x:v>
      </x:c>
      <x:c r="E2300" t="str">
        <x:v>SUS-000281</x:v>
      </x:c>
      <x:c r="F2300" t="str">
        <x:v>Plus mensual</x:v>
      </x:c>
      <x:c r="G2300" t="str">
        <x:v>Mensual</x:v>
      </x:c>
      <x:c r="H2300" t="n">
        <x:v>1</x:v>
      </x:c>
      <x:c r="I2300" t="str">
        <x:v>Aprobado</x:v>
      </x:c>
      <x:c r="J2300" t="n">
        <x:v>29900</x:v>
      </x:c>
      <x:c r="K2300" t="str">
        <x:v>Tarjeta débito</x:v>
      </x:c>
      <x:c r="L2300" t="str">
        <x:v>Sin error</x:v>
      </x:c>
    </x:row>
    <x:row r="2301">
      <x:c r="A2301" t="str">
        <x:v>TXN-0002300</x:v>
      </x:c>
      <x:c r="B2301" t="str">
        <x:v>2026-09</x:v>
      </x:c>
      <x:c r="C2301" t="n">
        <x:v>46272</x:v>
      </x:c>
      <x:c r="D2301" t="str">
        <x:v>USR-00188</x:v>
      </x:c>
      <x:c r="E2301" t="str">
        <x:v>SUS-000229</x:v>
      </x:c>
      <x:c r="F2301" t="str">
        <x:v>Plus mensual</x:v>
      </x:c>
      <x:c r="G2301" t="str">
        <x:v>Mensual</x:v>
      </x:c>
      <x:c r="H2301" t="n">
        <x:v>1</x:v>
      </x:c>
      <x:c r="I2301" t="str">
        <x:v>Aprobado</x:v>
      </x:c>
      <x:c r="J2301" t="n">
        <x:v>29900</x:v>
      </x:c>
      <x:c r="K2301" t="str">
        <x:v>Tarjeta débito</x:v>
      </x:c>
      <x:c r="L2301" t="str">
        <x:v>Sin error</x:v>
      </x:c>
    </x:row>
    <x:row r="2302">
      <x:c r="A2302" t="str">
        <x:v>TXN-0002301</x:v>
      </x:c>
      <x:c r="B2302" t="str">
        <x:v>2026-09</x:v>
      </x:c>
      <x:c r="C2302" t="n">
        <x:v>46274</x:v>
      </x:c>
      <x:c r="D2302" t="str">
        <x:v>USR-00203</x:v>
      </x:c>
      <x:c r="E2302" t="str">
        <x:v>SUS-001412</x:v>
      </x:c>
      <x:c r="F2302" t="str">
        <x:v>Plus mensual</x:v>
      </x:c>
      <x:c r="G2302" t="str">
        <x:v>Mensual</x:v>
      </x:c>
      <x:c r="H2302" t="n">
        <x:v>1</x:v>
      </x:c>
      <x:c r="I2302" t="str">
        <x:v>Aprobado</x:v>
      </x:c>
      <x:c r="J2302" t="n">
        <x:v>29900</x:v>
      </x:c>
      <x:c r="K2302" t="str">
        <x:v>Tarjeta débito</x:v>
      </x:c>
      <x:c r="L2302" t="str">
        <x:v>Sin error</x:v>
      </x:c>
    </x:row>
    <x:row r="2303">
      <x:c r="A2303" t="str">
        <x:v>TXN-0002302</x:v>
      </x:c>
      <x:c r="B2303" t="str">
        <x:v>2026-09</x:v>
      </x:c>
      <x:c r="C2303" t="n">
        <x:v>46274</x:v>
      </x:c>
      <x:c r="D2303" t="str">
        <x:v>USR-00206</x:v>
      </x:c>
      <x:c r="E2303" t="str">
        <x:v>SUS-000623</x:v>
      </x:c>
      <x:c r="F2303" t="str">
        <x:v>Plus mensual</x:v>
      </x:c>
      <x:c r="G2303" t="str">
        <x:v>Mensual</x:v>
      </x:c>
      <x:c r="H2303" t="n">
        <x:v>1</x:v>
      </x:c>
      <x:c r="I2303" t="str">
        <x:v>Aprobado</x:v>
      </x:c>
      <x:c r="J2303" t="n">
        <x:v>29900</x:v>
      </x:c>
      <x:c r="K2303" t="str">
        <x:v>Tarjeta crédito</x:v>
      </x:c>
      <x:c r="L2303" t="str">
        <x:v>Sin error</x:v>
      </x:c>
    </x:row>
    <x:row r="2304">
      <x:c r="A2304" t="str">
        <x:v>TXN-0002303</x:v>
      </x:c>
      <x:c r="B2304" t="str">
        <x:v>2026-09</x:v>
      </x:c>
      <x:c r="C2304" t="n">
        <x:v>46273</x:v>
      </x:c>
      <x:c r="D2304" t="str">
        <x:v>USR-00216</x:v>
      </x:c>
      <x:c r="E2304" t="str">
        <x:v>SUS-001563</x:v>
      </x:c>
      <x:c r="F2304" t="str">
        <x:v>Plus mensual</x:v>
      </x:c>
      <x:c r="G2304" t="str">
        <x:v>Mensual</x:v>
      </x:c>
      <x:c r="H2304" t="n">
        <x:v>1</x:v>
      </x:c>
      <x:c r="I2304" t="str">
        <x:v>Aprobado</x:v>
      </x:c>
      <x:c r="J2304" t="n">
        <x:v>29900</x:v>
      </x:c>
      <x:c r="K2304" t="str">
        <x:v>Tarjeta crédito</x:v>
      </x:c>
      <x:c r="L2304" t="str">
        <x:v>Sin error</x:v>
      </x:c>
    </x:row>
    <x:row r="2305">
      <x:c r="A2305" t="str">
        <x:v>TXN-0002304</x:v>
      </x:c>
      <x:c r="B2305" t="str">
        <x:v>2026-09</x:v>
      </x:c>
      <x:c r="C2305" t="n">
        <x:v>46271</x:v>
      </x:c>
      <x:c r="D2305" t="str">
        <x:v>USR-00225</x:v>
      </x:c>
      <x:c r="E2305" t="str">
        <x:v>SIN_SUSCRIPCION</x:v>
      </x:c>
      <x:c r="F2305" t="str">
        <x:v>Plus mensual</x:v>
      </x:c>
      <x:c r="G2305" t="str">
        <x:v>Mensual</x:v>
      </x:c>
      <x:c r="H2305" t="n">
        <x:v>1</x:v>
      </x:c>
      <x:c r="I2305" t="str">
        <x:v>Rechazado</x:v>
      </x:c>
      <x:c r="J2305" t="n">
        <x:v>29900</x:v>
      </x:c>
      <x:c r="K2305" t="str">
        <x:v>Tarjeta crédito</x:v>
      </x:c>
      <x:c r="L2305" t="str">
        <x:v>Declinado por entidad</x:v>
      </x:c>
    </x:row>
    <x:row r="2306">
      <x:c r="A2306" t="str">
        <x:v>TXN-0002305</x:v>
      </x:c>
      <x:c r="B2306" t="str">
        <x:v>2026-09</x:v>
      </x:c>
      <x:c r="C2306" t="n">
        <x:v>46275</x:v>
      </x:c>
      <x:c r="D2306" t="str">
        <x:v>USR-00225</x:v>
      </x:c>
      <x:c r="E2306" t="str">
        <x:v>SIN_SUSCRIPCION</x:v>
      </x:c>
      <x:c r="F2306" t="str">
        <x:v>Plus mensual</x:v>
      </x:c>
      <x:c r="G2306" t="str">
        <x:v>Mensual</x:v>
      </x:c>
      <x:c r="H2306" t="n">
        <x:v>2</x:v>
      </x:c>
      <x:c r="I2306" t="str">
        <x:v>Rechazado</x:v>
      </x:c>
      <x:c r="J2306" t="n">
        <x:v>29900</x:v>
      </x:c>
      <x:c r="K2306" t="str">
        <x:v>Tarjeta crédito</x:v>
      </x:c>
      <x:c r="L2306" t="str">
        <x:v>Declinado por entidad</x:v>
      </x:c>
    </x:row>
    <x:row r="2307">
      <x:c r="A2307" t="str">
        <x:v>TXN-0002306</x:v>
      </x:c>
      <x:c r="B2307" t="str">
        <x:v>2026-09</x:v>
      </x:c>
      <x:c r="C2307" t="n">
        <x:v>46273</x:v>
      </x:c>
      <x:c r="D2307" t="str">
        <x:v>USR-00230</x:v>
      </x:c>
      <x:c r="E2307" t="str">
        <x:v>SUS-001706</x:v>
      </x:c>
      <x:c r="F2307" t="str">
        <x:v>Plus anual</x:v>
      </x:c>
      <x:c r="G2307" t="str">
        <x:v>Anual</x:v>
      </x:c>
      <x:c r="H2307" t="n">
        <x:v>1</x:v>
      </x:c>
      <x:c r="I2307" t="str">
        <x:v>Aprobado</x:v>
      </x:c>
      <x:c r="J2307" t="n">
        <x:v>299000</x:v>
      </x:c>
      <x:c r="K2307" t="str">
        <x:v>PSE</x:v>
      </x:c>
      <x:c r="L2307" t="str">
        <x:v>Sin error</x:v>
      </x:c>
    </x:row>
    <x:row r="2308">
      <x:c r="A2308" t="str">
        <x:v>TXN-0002307</x:v>
      </x:c>
      <x:c r="B2308" t="str">
        <x:v>2026-09</x:v>
      </x:c>
      <x:c r="C2308" t="n">
        <x:v>46274</x:v>
      </x:c>
      <x:c r="D2308" t="str">
        <x:v>USR-00234</x:v>
      </x:c>
      <x:c r="E2308" t="str">
        <x:v>SUS-001564</x:v>
      </x:c>
      <x:c r="F2308" t="str">
        <x:v>Plus mensual</x:v>
      </x:c>
      <x:c r="G2308" t="str">
        <x:v>Mensual</x:v>
      </x:c>
      <x:c r="H2308" t="n">
        <x:v>1</x:v>
      </x:c>
      <x:c r="I2308" t="str">
        <x:v>Aprobado</x:v>
      </x:c>
      <x:c r="J2308" t="n">
        <x:v>29900</x:v>
      </x:c>
      <x:c r="K2308" t="str">
        <x:v>PSE</x:v>
      </x:c>
      <x:c r="L2308" t="str">
        <x:v>Sin error</x:v>
      </x:c>
    </x:row>
    <x:row r="2309">
      <x:c r="A2309" t="str">
        <x:v>TXN-0002308</x:v>
      </x:c>
      <x:c r="B2309" t="str">
        <x:v>2026-09</x:v>
      </x:c>
      <x:c r="C2309" t="n">
        <x:v>46277</x:v>
      </x:c>
      <x:c r="D2309" t="str">
        <x:v>USR-00237</x:v>
      </x:c>
      <x:c r="E2309" t="str">
        <x:v>SUS-001114</x:v>
      </x:c>
      <x:c r="F2309" t="str">
        <x:v>Plus mensual</x:v>
      </x:c>
      <x:c r="G2309" t="str">
        <x:v>Mensual</x:v>
      </x:c>
      <x:c r="H2309" t="n">
        <x:v>1</x:v>
      </x:c>
      <x:c r="I2309" t="str">
        <x:v>Aprobado</x:v>
      </x:c>
      <x:c r="J2309" t="n">
        <x:v>29900</x:v>
      </x:c>
      <x:c r="K2309" t="str">
        <x:v>Tarjeta crédito</x:v>
      </x:c>
      <x:c r="L2309" t="str">
        <x:v>Sin error</x:v>
      </x:c>
    </x:row>
    <x:row r="2310">
      <x:c r="A2310" t="str">
        <x:v>TXN-0002309</x:v>
      </x:c>
      <x:c r="B2310" t="str">
        <x:v>2026-09</x:v>
      </x:c>
      <x:c r="C2310" t="n">
        <x:v>46272</x:v>
      </x:c>
      <x:c r="D2310" t="str">
        <x:v>USR-00249</x:v>
      </x:c>
      <x:c r="E2310" t="str">
        <x:v>SUS-000310</x:v>
      </x:c>
      <x:c r="F2310" t="str">
        <x:v>Plus mensual</x:v>
      </x:c>
      <x:c r="G2310" t="str">
        <x:v>Mensual</x:v>
      </x:c>
      <x:c r="H2310" t="n">
        <x:v>1</x:v>
      </x:c>
      <x:c r="I2310" t="str">
        <x:v>Aprobado</x:v>
      </x:c>
      <x:c r="J2310" t="n">
        <x:v>29900</x:v>
      </x:c>
      <x:c r="K2310" t="str">
        <x:v>PSE</x:v>
      </x:c>
      <x:c r="L2310" t="str">
        <x:v>Sin error</x:v>
      </x:c>
    </x:row>
    <x:row r="2311">
      <x:c r="A2311" t="str">
        <x:v>TXN-0002310</x:v>
      </x:c>
      <x:c r="B2311" t="str">
        <x:v>2026-09</x:v>
      </x:c>
      <x:c r="C2311" t="n">
        <x:v>46271</x:v>
      </x:c>
      <x:c r="D2311" t="str">
        <x:v>USR-00250</x:v>
      </x:c>
      <x:c r="E2311" t="str">
        <x:v>SUS-000539</x:v>
      </x:c>
      <x:c r="F2311" t="str">
        <x:v>Plus mensual</x:v>
      </x:c>
      <x:c r="G2311" t="str">
        <x:v>Mensual</x:v>
      </x:c>
      <x:c r="H2311" t="n">
        <x:v>1</x:v>
      </x:c>
      <x:c r="I2311" t="str">
        <x:v>Aprobado</x:v>
      </x:c>
      <x:c r="J2311" t="n">
        <x:v>29900</x:v>
      </x:c>
      <x:c r="K2311" t="str">
        <x:v>PSE</x:v>
      </x:c>
      <x:c r="L2311" t="str">
        <x:v>Sin error</x:v>
      </x:c>
    </x:row>
    <x:row r="2312">
      <x:c r="A2312" t="str">
        <x:v>TXN-0002311</x:v>
      </x:c>
      <x:c r="B2312" t="str">
        <x:v>2026-09</x:v>
      </x:c>
      <x:c r="C2312" t="n">
        <x:v>46275</x:v>
      </x:c>
      <x:c r="D2312" t="str">
        <x:v>USR-00252</x:v>
      </x:c>
      <x:c r="E2312" t="str">
        <x:v>SUS-001707</x:v>
      </x:c>
      <x:c r="F2312" t="str">
        <x:v>Plus anual</x:v>
      </x:c>
      <x:c r="G2312" t="str">
        <x:v>Anual</x:v>
      </x:c>
      <x:c r="H2312" t="n">
        <x:v>1</x:v>
      </x:c>
      <x:c r="I2312" t="str">
        <x:v>Aprobado</x:v>
      </x:c>
      <x:c r="J2312" t="n">
        <x:v>299000</x:v>
      </x:c>
      <x:c r="K2312" t="str">
        <x:v>Tarjeta débito</x:v>
      </x:c>
      <x:c r="L2312" t="str">
        <x:v>Sin error</x:v>
      </x:c>
    </x:row>
    <x:row r="2313">
      <x:c r="A2313" t="str">
        <x:v>TXN-0002312</x:v>
      </x:c>
      <x:c r="B2313" t="str">
        <x:v>2026-09</x:v>
      </x:c>
      <x:c r="C2313" t="n">
        <x:v>46273</x:v>
      </x:c>
      <x:c r="D2313" t="str">
        <x:v>USR-00256</x:v>
      </x:c>
      <x:c r="E2313" t="str">
        <x:v>SUS-001708</x:v>
      </x:c>
      <x:c r="F2313" t="str">
        <x:v>Plus mensual</x:v>
      </x:c>
      <x:c r="G2313" t="str">
        <x:v>Mensual</x:v>
      </x:c>
      <x:c r="H2313" t="n">
        <x:v>1</x:v>
      </x:c>
      <x:c r="I2313" t="str">
        <x:v>Aprobado</x:v>
      </x:c>
      <x:c r="J2313" t="n">
        <x:v>29900</x:v>
      </x:c>
      <x:c r="K2313" t="str">
        <x:v>Tarjeta crédito</x:v>
      </x:c>
      <x:c r="L2313" t="str">
        <x:v>Sin error</x:v>
      </x:c>
    </x:row>
    <x:row r="2314">
      <x:c r="A2314" t="str">
        <x:v>TXN-0002313</x:v>
      </x:c>
      <x:c r="B2314" t="str">
        <x:v>2026-09</x:v>
      </x:c>
      <x:c r="C2314" t="n">
        <x:v>46273</x:v>
      </x:c>
      <x:c r="D2314" t="str">
        <x:v>USR-00263</x:v>
      </x:c>
      <x:c r="E2314" t="str">
        <x:v>SUS-001419</x:v>
      </x:c>
      <x:c r="F2314" t="str">
        <x:v>Plus mensual</x:v>
      </x:c>
      <x:c r="G2314" t="str">
        <x:v>Mensual</x:v>
      </x:c>
      <x:c r="H2314" t="n">
        <x:v>1</x:v>
      </x:c>
      <x:c r="I2314" t="str">
        <x:v>Aprobado</x:v>
      </x:c>
      <x:c r="J2314" t="n">
        <x:v>29900</x:v>
      </x:c>
      <x:c r="K2314" t="str">
        <x:v>Tarjeta débito</x:v>
      </x:c>
      <x:c r="L2314" t="str">
        <x:v>Sin error</x:v>
      </x:c>
    </x:row>
    <x:row r="2315">
      <x:c r="A2315" t="str">
        <x:v>TXN-0002314</x:v>
      </x:c>
      <x:c r="B2315" t="str">
        <x:v>2026-09</x:v>
      </x:c>
      <x:c r="C2315" t="n">
        <x:v>46277</x:v>
      </x:c>
      <x:c r="D2315" t="str">
        <x:v>USR-00268</x:v>
      </x:c>
      <x:c r="E2315" t="str">
        <x:v>SUS-000629</x:v>
      </x:c>
      <x:c r="F2315" t="str">
        <x:v>Plus mensual</x:v>
      </x:c>
      <x:c r="G2315" t="str">
        <x:v>Mensual</x:v>
      </x:c>
      <x:c r="H2315" t="n">
        <x:v>1</x:v>
      </x:c>
      <x:c r="I2315" t="str">
        <x:v>Aprobado</x:v>
      </x:c>
      <x:c r="J2315" t="n">
        <x:v>29900</x:v>
      </x:c>
      <x:c r="K2315" t="str">
        <x:v>Tarjeta débito</x:v>
      </x:c>
      <x:c r="L2315" t="str">
        <x:v>Sin error</x:v>
      </x:c>
    </x:row>
    <x:row r="2316">
      <x:c r="A2316" t="str">
        <x:v>TXN-0002315</x:v>
      </x:c>
      <x:c r="B2316" t="str">
        <x:v>2026-09</x:v>
      </x:c>
      <x:c r="C2316" t="n">
        <x:v>46270</x:v>
      </x:c>
      <x:c r="D2316" t="str">
        <x:v>USR-00272</x:v>
      </x:c>
      <x:c r="E2316" t="str">
        <x:v>SUS-001709</x:v>
      </x:c>
      <x:c r="F2316" t="str">
        <x:v>Plus mensual</x:v>
      </x:c>
      <x:c r="G2316" t="str">
        <x:v>Mensual</x:v>
      </x:c>
      <x:c r="H2316" t="n">
        <x:v>1</x:v>
      </x:c>
      <x:c r="I2316" t="str">
        <x:v>Aprobado</x:v>
      </x:c>
      <x:c r="J2316" t="n">
        <x:v>29900</x:v>
      </x:c>
      <x:c r="K2316" t="str">
        <x:v>Tarjeta débito</x:v>
      </x:c>
      <x:c r="L2316" t="str">
        <x:v>Sin error</x:v>
      </x:c>
    </x:row>
    <x:row r="2317">
      <x:c r="A2317" t="str">
        <x:v>TXN-0002316</x:v>
      </x:c>
      <x:c r="B2317" t="str">
        <x:v>2026-09</x:v>
      </x:c>
      <x:c r="C2317" t="n">
        <x:v>46276</x:v>
      </x:c>
      <x:c r="D2317" t="str">
        <x:v>USR-00273</x:v>
      </x:c>
      <x:c r="E2317" t="str">
        <x:v>SUS-000850</x:v>
      </x:c>
      <x:c r="F2317" t="str">
        <x:v>Plus mensual</x:v>
      </x:c>
      <x:c r="G2317" t="str">
        <x:v>Mensual</x:v>
      </x:c>
      <x:c r="H2317" t="n">
        <x:v>1</x:v>
      </x:c>
      <x:c r="I2317" t="str">
        <x:v>Aprobado</x:v>
      </x:c>
      <x:c r="J2317" t="n">
        <x:v>29900</x:v>
      </x:c>
      <x:c r="K2317" t="str">
        <x:v>PSE</x:v>
      </x:c>
      <x:c r="L2317" t="str">
        <x:v>Sin error</x:v>
      </x:c>
    </x:row>
    <x:row r="2318">
      <x:c r="A2318" t="str">
        <x:v>TXN-0002317</x:v>
      </x:c>
      <x:c r="B2318" t="str">
        <x:v>2026-09</x:v>
      </x:c>
      <x:c r="C2318" t="n">
        <x:v>46275</x:v>
      </x:c>
      <x:c r="D2318" t="str">
        <x:v>USR-00274</x:v>
      </x:c>
      <x:c r="E2318" t="str">
        <x:v>SUS-000356</x:v>
      </x:c>
      <x:c r="F2318" t="str">
        <x:v>Plus anual</x:v>
      </x:c>
      <x:c r="G2318" t="str">
        <x:v>Anual</x:v>
      </x:c>
      <x:c r="H2318" t="n">
        <x:v>1</x:v>
      </x:c>
      <x:c r="I2318" t="str">
        <x:v>Aprobado</x:v>
      </x:c>
      <x:c r="J2318" t="n">
        <x:v>299000</x:v>
      </x:c>
      <x:c r="K2318" t="str">
        <x:v>Tarjeta crédito</x:v>
      </x:c>
      <x:c r="L2318" t="str">
        <x:v>Sin error</x:v>
      </x:c>
    </x:row>
    <x:row r="2319">
      <x:c r="A2319" t="str">
        <x:v>TXN-0002318</x:v>
      </x:c>
      <x:c r="B2319" t="str">
        <x:v>2026-09</x:v>
      </x:c>
      <x:c r="C2319" t="n">
        <x:v>46274</x:v>
      </x:c>
      <x:c r="D2319" t="str">
        <x:v>USR-00283</x:v>
      </x:c>
      <x:c r="E2319" t="str">
        <x:v>SIN_SUSCRIPCION</x:v>
      </x:c>
      <x:c r="F2319" t="str">
        <x:v>Plus mensual</x:v>
      </x:c>
      <x:c r="G2319" t="str">
        <x:v>Mensual</x:v>
      </x:c>
      <x:c r="H2319" t="n">
        <x:v>1</x:v>
      </x:c>
      <x:c r="I2319" t="str">
        <x:v>Rechazado</x:v>
      </x:c>
      <x:c r="J2319" t="n">
        <x:v>29900</x:v>
      </x:c>
      <x:c r="K2319" t="str">
        <x:v>Tarjeta débito</x:v>
      </x:c>
      <x:c r="L2319" t="str">
        <x:v>Fondos insuficientes</x:v>
      </x:c>
    </x:row>
    <x:row r="2320">
      <x:c r="A2320" t="str">
        <x:v>TXN-0002319</x:v>
      </x:c>
      <x:c r="B2320" t="str">
        <x:v>2026-09</x:v>
      </x:c>
      <x:c r="C2320" t="n">
        <x:v>46275</x:v>
      </x:c>
      <x:c r="D2320" t="str">
        <x:v>USR-00283</x:v>
      </x:c>
      <x:c r="E2320" t="str">
        <x:v>SIN_SUSCRIPCION</x:v>
      </x:c>
      <x:c r="F2320" t="str">
        <x:v>Plus mensual</x:v>
      </x:c>
      <x:c r="G2320" t="str">
        <x:v>Mensual</x:v>
      </x:c>
      <x:c r="H2320" t="n">
        <x:v>2</x:v>
      </x:c>
      <x:c r="I2320" t="str">
        <x:v>Rechazado</x:v>
      </x:c>
      <x:c r="J2320" t="n">
        <x:v>29900</x:v>
      </x:c>
      <x:c r="K2320" t="str">
        <x:v>Tarjeta crédito</x:v>
      </x:c>
      <x:c r="L2320" t="str">
        <x:v>Fondos insuficientes</x:v>
      </x:c>
    </x:row>
    <x:row r="2321">
      <x:c r="A2321" t="str">
        <x:v>TXN-0002320</x:v>
      </x:c>
      <x:c r="B2321" t="str">
        <x:v>2026-09</x:v>
      </x:c>
      <x:c r="C2321" t="n">
        <x:v>46271</x:v>
      </x:c>
      <x:c r="D2321" t="str">
        <x:v>USR-00290</x:v>
      </x:c>
      <x:c r="E2321" t="str">
        <x:v>SUS-001117</x:v>
      </x:c>
      <x:c r="F2321" t="str">
        <x:v>Plus mensual</x:v>
      </x:c>
      <x:c r="G2321" t="str">
        <x:v>Mensual</x:v>
      </x:c>
      <x:c r="H2321" t="n">
        <x:v>1</x:v>
      </x:c>
      <x:c r="I2321" t="str">
        <x:v>Aprobado</x:v>
      </x:c>
      <x:c r="J2321" t="n">
        <x:v>29900</x:v>
      </x:c>
      <x:c r="K2321" t="str">
        <x:v>PSE</x:v>
      </x:c>
      <x:c r="L2321" t="str">
        <x:v>Sin error</x:v>
      </x:c>
    </x:row>
    <x:row r="2322">
      <x:c r="A2322" t="str">
        <x:v>TXN-0002321</x:v>
      </x:c>
      <x:c r="B2322" t="str">
        <x:v>2026-09</x:v>
      </x:c>
      <x:c r="C2322" t="n">
        <x:v>46274</x:v>
      </x:c>
      <x:c r="D2322" t="str">
        <x:v>USR-00295</x:v>
      </x:c>
      <x:c r="E2322" t="str">
        <x:v>SUS-001569</x:v>
      </x:c>
      <x:c r="F2322" t="str">
        <x:v>Plus mensual</x:v>
      </x:c>
      <x:c r="G2322" t="str">
        <x:v>Mensual</x:v>
      </x:c>
      <x:c r="H2322" t="n">
        <x:v>1</x:v>
      </x:c>
      <x:c r="I2322" t="str">
        <x:v>Aprobado</x:v>
      </x:c>
      <x:c r="J2322" t="n">
        <x:v>29900</x:v>
      </x:c>
      <x:c r="K2322" t="str">
        <x:v>Tarjeta crédito</x:v>
      </x:c>
      <x:c r="L2322" t="str">
        <x:v>Sin error</x:v>
      </x:c>
    </x:row>
    <x:row r="2323">
      <x:c r="A2323" t="str">
        <x:v>TXN-0002322</x:v>
      </x:c>
      <x:c r="B2323" t="str">
        <x:v>2026-09</x:v>
      </x:c>
      <x:c r="C2323" t="n">
        <x:v>46271</x:v>
      </x:c>
      <x:c r="D2323" t="str">
        <x:v>USR-00298</x:v>
      </x:c>
      <x:c r="E2323" t="str">
        <x:v>SIN_SUSCRIPCION</x:v>
      </x:c>
      <x:c r="F2323" t="str">
        <x:v>Plus mensual</x:v>
      </x:c>
      <x:c r="G2323" t="str">
        <x:v>Mensual</x:v>
      </x:c>
      <x:c r="H2323" t="n">
        <x:v>1</x:v>
      </x:c>
      <x:c r="I2323" t="str">
        <x:v>Rechazado</x:v>
      </x:c>
      <x:c r="J2323" t="n">
        <x:v>29900</x:v>
      </x:c>
      <x:c r="K2323" t="str">
        <x:v>Tarjeta débito</x:v>
      </x:c>
      <x:c r="L2323" t="str">
        <x:v>Declinado por entidad</x:v>
      </x:c>
    </x:row>
    <x:row r="2324">
      <x:c r="A2324" t="str">
        <x:v>TXN-0002323</x:v>
      </x:c>
      <x:c r="B2324" t="str">
        <x:v>2026-09</x:v>
      </x:c>
      <x:c r="C2324" t="n">
        <x:v>46272</x:v>
      </x:c>
      <x:c r="D2324" t="str">
        <x:v>USR-00298</x:v>
      </x:c>
      <x:c r="E2324" t="str">
        <x:v>SIN_SUSCRIPCION</x:v>
      </x:c>
      <x:c r="F2324" t="str">
        <x:v>Plus mensual</x:v>
      </x:c>
      <x:c r="G2324" t="str">
        <x:v>Mensual</x:v>
      </x:c>
      <x:c r="H2324" t="n">
        <x:v>2</x:v>
      </x:c>
      <x:c r="I2324" t="str">
        <x:v>Rechazado</x:v>
      </x:c>
      <x:c r="J2324" t="n">
        <x:v>29900</x:v>
      </x:c>
      <x:c r="K2324" t="str">
        <x:v>PSE</x:v>
      </x:c>
      <x:c r="L2324" t="str">
        <x:v>Declinado por entidad</x:v>
      </x:c>
    </x:row>
    <x:row r="2325">
      <x:c r="A2325" t="str">
        <x:v>TXN-0002324</x:v>
      </x:c>
      <x:c r="B2325" t="str">
        <x:v>2026-09</x:v>
      </x:c>
      <x:c r="C2325" t="n">
        <x:v>46270</x:v>
      </x:c>
      <x:c r="D2325" t="str">
        <x:v>USR-00301</x:v>
      </x:c>
      <x:c r="E2325" t="str">
        <x:v>SUS-001572</x:v>
      </x:c>
      <x:c r="F2325" t="str">
        <x:v>Plus mensual</x:v>
      </x:c>
      <x:c r="G2325" t="str">
        <x:v>Mensual</x:v>
      </x:c>
      <x:c r="H2325" t="n">
        <x:v>1</x:v>
      </x:c>
      <x:c r="I2325" t="str">
        <x:v>Aprobado</x:v>
      </x:c>
      <x:c r="J2325" t="n">
        <x:v>29900</x:v>
      </x:c>
      <x:c r="K2325" t="str">
        <x:v>PSE</x:v>
      </x:c>
      <x:c r="L2325" t="str">
        <x:v>Sin error</x:v>
      </x:c>
    </x:row>
    <x:row r="2326">
      <x:c r="A2326" t="str">
        <x:v>TXN-0002325</x:v>
      </x:c>
      <x:c r="B2326" t="str">
        <x:v>2026-09</x:v>
      </x:c>
      <x:c r="C2326" t="n">
        <x:v>46271</x:v>
      </x:c>
      <x:c r="D2326" t="str">
        <x:v>USR-00305</x:v>
      </x:c>
      <x:c r="E2326" t="str">
        <x:v>SUS-001711</x:v>
      </x:c>
      <x:c r="F2326" t="str">
        <x:v>Plus mensual</x:v>
      </x:c>
      <x:c r="G2326" t="str">
        <x:v>Mensual</x:v>
      </x:c>
      <x:c r="H2326" t="n">
        <x:v>1</x:v>
      </x:c>
      <x:c r="I2326" t="str">
        <x:v>Aprobado</x:v>
      </x:c>
      <x:c r="J2326" t="n">
        <x:v>29900</x:v>
      </x:c>
      <x:c r="K2326" t="str">
        <x:v>Tarjeta débito</x:v>
      </x:c>
      <x:c r="L2326" t="str">
        <x:v>Sin error</x:v>
      </x:c>
    </x:row>
    <x:row r="2327">
      <x:c r="A2327" t="str">
        <x:v>TXN-0002326</x:v>
      </x:c>
      <x:c r="B2327" t="str">
        <x:v>2026-09</x:v>
      </x:c>
      <x:c r="C2327" t="n">
        <x:v>46275</x:v>
      </x:c>
      <x:c r="D2327" t="str">
        <x:v>USR-00306</x:v>
      </x:c>
      <x:c r="E2327" t="str">
        <x:v>SUS-000853</x:v>
      </x:c>
      <x:c r="F2327" t="str">
        <x:v>Plus mensual</x:v>
      </x:c>
      <x:c r="G2327" t="str">
        <x:v>Mensual</x:v>
      </x:c>
      <x:c r="H2327" t="n">
        <x:v>1</x:v>
      </x:c>
      <x:c r="I2327" t="str">
        <x:v>Aprobado</x:v>
      </x:c>
      <x:c r="J2327" t="n">
        <x:v>29900</x:v>
      </x:c>
      <x:c r="K2327" t="str">
        <x:v>Tarjeta crédito</x:v>
      </x:c>
      <x:c r="L2327" t="str">
        <x:v>Sin error</x:v>
      </x:c>
    </x:row>
    <x:row r="2328">
      <x:c r="A2328" t="str">
        <x:v>TXN-0002327</x:v>
      </x:c>
      <x:c r="B2328" t="str">
        <x:v>2026-09</x:v>
      </x:c>
      <x:c r="C2328" t="n">
        <x:v>46275</x:v>
      </x:c>
      <x:c r="D2328" t="str">
        <x:v>USR-00311</x:v>
      </x:c>
      <x:c r="E2328" t="str">
        <x:v>SUS-000977</x:v>
      </x:c>
      <x:c r="F2328" t="str">
        <x:v>Plus mensual</x:v>
      </x:c>
      <x:c r="G2328" t="str">
        <x:v>Mensual</x:v>
      </x:c>
      <x:c r="H2328" t="n">
        <x:v>1</x:v>
      </x:c>
      <x:c r="I2328" t="str">
        <x:v>Aprobado</x:v>
      </x:c>
      <x:c r="J2328" t="n">
        <x:v>29900</x:v>
      </x:c>
      <x:c r="K2328" t="str">
        <x:v>Tarjeta débito</x:v>
      </x:c>
      <x:c r="L2328" t="str">
        <x:v>Sin error</x:v>
      </x:c>
    </x:row>
    <x:row r="2329">
      <x:c r="A2329" t="str">
        <x:v>TXN-0002328</x:v>
      </x:c>
      <x:c r="B2329" t="str">
        <x:v>2026-09</x:v>
      </x:c>
      <x:c r="C2329" t="n">
        <x:v>46271</x:v>
      </x:c>
      <x:c r="D2329" t="str">
        <x:v>USR-00312</x:v>
      </x:c>
      <x:c r="E2329" t="str">
        <x:v>SUS-000634</x:v>
      </x:c>
      <x:c r="F2329" t="str">
        <x:v>Plus mensual</x:v>
      </x:c>
      <x:c r="G2329" t="str">
        <x:v>Mensual</x:v>
      </x:c>
      <x:c r="H2329" t="n">
        <x:v>1</x:v>
      </x:c>
      <x:c r="I2329" t="str">
        <x:v>Aprobado</x:v>
      </x:c>
      <x:c r="J2329" t="n">
        <x:v>29900</x:v>
      </x:c>
      <x:c r="K2329" t="str">
        <x:v>Tarjeta crédito</x:v>
      </x:c>
      <x:c r="L2329" t="str">
        <x:v>Sin error</x:v>
      </x:c>
    </x:row>
    <x:row r="2330">
      <x:c r="A2330" t="str">
        <x:v>TXN-0002329</x:v>
      </x:c>
      <x:c r="B2330" t="str">
        <x:v>2026-09</x:v>
      </x:c>
      <x:c r="C2330" t="n">
        <x:v>46273</x:v>
      </x:c>
      <x:c r="D2330" t="str">
        <x:v>USR-00313</x:v>
      </x:c>
      <x:c r="E2330" t="str">
        <x:v>SUS-000635</x:v>
      </x:c>
      <x:c r="F2330" t="str">
        <x:v>Plus mensual</x:v>
      </x:c>
      <x:c r="G2330" t="str">
        <x:v>Mensual</x:v>
      </x:c>
      <x:c r="H2330" t="n">
        <x:v>1</x:v>
      </x:c>
      <x:c r="I2330" t="str">
        <x:v>Aprobado</x:v>
      </x:c>
      <x:c r="J2330" t="n">
        <x:v>29900</x:v>
      </x:c>
      <x:c r="K2330" t="str">
        <x:v>PSE</x:v>
      </x:c>
      <x:c r="L2330" t="str">
        <x:v>Sin error</x:v>
      </x:c>
    </x:row>
    <x:row r="2331">
      <x:c r="A2331" t="str">
        <x:v>TXN-0002330</x:v>
      </x:c>
      <x:c r="B2331" t="str">
        <x:v>2026-09</x:v>
      </x:c>
      <x:c r="C2331" t="n">
        <x:v>46271</x:v>
      </x:c>
      <x:c r="D2331" t="str">
        <x:v>USR-00317</x:v>
      </x:c>
      <x:c r="E2331" t="str">
        <x:v>SUS-000546</x:v>
      </x:c>
      <x:c r="F2331" t="str">
        <x:v>Plus mensual</x:v>
      </x:c>
      <x:c r="G2331" t="str">
        <x:v>Mensual</x:v>
      </x:c>
      <x:c r="H2331" t="n">
        <x:v>1</x:v>
      </x:c>
      <x:c r="I2331" t="str">
        <x:v>Aprobado</x:v>
      </x:c>
      <x:c r="J2331" t="n">
        <x:v>29900</x:v>
      </x:c>
      <x:c r="K2331" t="str">
        <x:v>Tarjeta débito</x:v>
      </x:c>
      <x:c r="L2331" t="str">
        <x:v>Sin error</x:v>
      </x:c>
    </x:row>
    <x:row r="2332">
      <x:c r="A2332" t="str">
        <x:v>TXN-0002331</x:v>
      </x:c>
      <x:c r="B2332" t="str">
        <x:v>2026-09</x:v>
      </x:c>
      <x:c r="C2332" t="n">
        <x:v>46270</x:v>
      </x:c>
      <x:c r="D2332" t="str">
        <x:v>USR-00320</x:v>
      </x:c>
      <x:c r="E2332" t="str">
        <x:v>SUS-000419</x:v>
      </x:c>
      <x:c r="F2332" t="str">
        <x:v>Plus mensual</x:v>
      </x:c>
      <x:c r="G2332" t="str">
        <x:v>Mensual</x:v>
      </x:c>
      <x:c r="H2332" t="n">
        <x:v>1</x:v>
      </x:c>
      <x:c r="I2332" t="str">
        <x:v>Aprobado</x:v>
      </x:c>
      <x:c r="J2332" t="n">
        <x:v>29900</x:v>
      </x:c>
      <x:c r="K2332" t="str">
        <x:v>Tarjeta crédito</x:v>
      </x:c>
      <x:c r="L2332" t="str">
        <x:v>Sin error</x:v>
      </x:c>
    </x:row>
    <x:row r="2333">
      <x:c r="A2333" t="str">
        <x:v>TXN-0002332</x:v>
      </x:c>
      <x:c r="B2333" t="str">
        <x:v>2026-09</x:v>
      </x:c>
      <x:c r="C2333" t="n">
        <x:v>46271</x:v>
      </x:c>
      <x:c r="D2333" t="str">
        <x:v>USR-00336</x:v>
      </x:c>
      <x:c r="E2333" t="str">
        <x:v>SUS-000435</x:v>
      </x:c>
      <x:c r="F2333" t="str">
        <x:v>Plus mensual</x:v>
      </x:c>
      <x:c r="G2333" t="str">
        <x:v>Mensual</x:v>
      </x:c>
      <x:c r="H2333" t="n">
        <x:v>1</x:v>
      </x:c>
      <x:c r="I2333" t="str">
        <x:v>Aprobado</x:v>
      </x:c>
      <x:c r="J2333" t="n">
        <x:v>29900</x:v>
      </x:c>
      <x:c r="K2333" t="str">
        <x:v>Tarjeta débito</x:v>
      </x:c>
      <x:c r="L2333" t="str">
        <x:v>Sin error</x:v>
      </x:c>
    </x:row>
    <x:row r="2334">
      <x:c r="A2334" t="str">
        <x:v>TXN-0002333</x:v>
      </x:c>
      <x:c r="B2334" t="str">
        <x:v>2026-09</x:v>
      </x:c>
      <x:c r="C2334" t="n">
        <x:v>46273</x:v>
      </x:c>
      <x:c r="D2334" t="str">
        <x:v>USR-00338</x:v>
      </x:c>
      <x:c r="E2334" t="str">
        <x:v>SUS-000856</x:v>
      </x:c>
      <x:c r="F2334" t="str">
        <x:v>Plus mensual</x:v>
      </x:c>
      <x:c r="G2334" t="str">
        <x:v>Mensual</x:v>
      </x:c>
      <x:c r="H2334" t="n">
        <x:v>1</x:v>
      </x:c>
      <x:c r="I2334" t="str">
        <x:v>Aprobado</x:v>
      </x:c>
      <x:c r="J2334" t="n">
        <x:v>29900</x:v>
      </x:c>
      <x:c r="K2334" t="str">
        <x:v>Tarjeta crédito</x:v>
      </x:c>
      <x:c r="L2334" t="str">
        <x:v>Sin error</x:v>
      </x:c>
    </x:row>
    <x:row r="2335">
      <x:c r="A2335" t="str">
        <x:v>TXN-0002334</x:v>
      </x:c>
      <x:c r="B2335" t="str">
        <x:v>2026-09</x:v>
      </x:c>
      <x:c r="C2335" t="n">
        <x:v>46273</x:v>
      </x:c>
      <x:c r="D2335" t="str">
        <x:v>USR-00341</x:v>
      </x:c>
      <x:c r="E2335" t="str">
        <x:v>SUS-000980</x:v>
      </x:c>
      <x:c r="F2335" t="str">
        <x:v>Plus mensual</x:v>
      </x:c>
      <x:c r="G2335" t="str">
        <x:v>Mensual</x:v>
      </x:c>
      <x:c r="H2335" t="n">
        <x:v>1</x:v>
      </x:c>
      <x:c r="I2335" t="str">
        <x:v>Aprobado</x:v>
      </x:c>
      <x:c r="J2335" t="n">
        <x:v>29900</x:v>
      </x:c>
      <x:c r="K2335" t="str">
        <x:v>Tarjeta débito</x:v>
      </x:c>
      <x:c r="L2335" t="str">
        <x:v>Sin error</x:v>
      </x:c>
    </x:row>
    <x:row r="2336">
      <x:c r="A2336" t="str">
        <x:v>TXN-0002335</x:v>
      </x:c>
      <x:c r="B2336" t="str">
        <x:v>2026-09</x:v>
      </x:c>
      <x:c r="C2336" t="n">
        <x:v>46272</x:v>
      </x:c>
      <x:c r="D2336" t="str">
        <x:v>USR-00346</x:v>
      </x:c>
      <x:c r="E2336" t="str">
        <x:v>SUS-001713</x:v>
      </x:c>
      <x:c r="F2336" t="str">
        <x:v>Plus mensual</x:v>
      </x:c>
      <x:c r="G2336" t="str">
        <x:v>Mensual</x:v>
      </x:c>
      <x:c r="H2336" t="n">
        <x:v>1</x:v>
      </x:c>
      <x:c r="I2336" t="str">
        <x:v>Aprobado</x:v>
      </x:c>
      <x:c r="J2336" t="n">
        <x:v>29900</x:v>
      </x:c>
      <x:c r="K2336" t="str">
        <x:v>PSE</x:v>
      </x:c>
      <x:c r="L2336" t="str">
        <x:v>Sin error</x:v>
      </x:c>
    </x:row>
    <x:row r="2337">
      <x:c r="A2337" t="str">
        <x:v>TXN-0002336</x:v>
      </x:c>
      <x:c r="B2337" t="str">
        <x:v>2026-09</x:v>
      </x:c>
      <x:c r="C2337" t="n">
        <x:v>46273</x:v>
      </x:c>
      <x:c r="D2337" t="str">
        <x:v>USR-00353</x:v>
      </x:c>
      <x:c r="E2337" t="str">
        <x:v>SUS-000857</x:v>
      </x:c>
      <x:c r="F2337" t="str">
        <x:v>Plus mensual</x:v>
      </x:c>
      <x:c r="G2337" t="str">
        <x:v>Mensual</x:v>
      </x:c>
      <x:c r="H2337" t="n">
        <x:v>1</x:v>
      </x:c>
      <x:c r="I2337" t="str">
        <x:v>Aprobado</x:v>
      </x:c>
      <x:c r="J2337" t="n">
        <x:v>29900</x:v>
      </x:c>
      <x:c r="K2337" t="str">
        <x:v>Tarjeta débito</x:v>
      </x:c>
      <x:c r="L2337" t="str">
        <x:v>Sin error</x:v>
      </x:c>
    </x:row>
    <x:row r="2338">
      <x:c r="A2338" t="str">
        <x:v>TXN-0002337</x:v>
      </x:c>
      <x:c r="B2338" t="str">
        <x:v>2026-09</x:v>
      </x:c>
      <x:c r="C2338" t="n">
        <x:v>46271</x:v>
      </x:c>
      <x:c r="D2338" t="str">
        <x:v>USR-00362</x:v>
      </x:c>
      <x:c r="E2338" t="str">
        <x:v>SUS-001715</x:v>
      </x:c>
      <x:c r="F2338" t="str">
        <x:v>Plus mensual</x:v>
      </x:c>
      <x:c r="G2338" t="str">
        <x:v>Mensual</x:v>
      </x:c>
      <x:c r="H2338" t="n">
        <x:v>1</x:v>
      </x:c>
      <x:c r="I2338" t="str">
        <x:v>Aprobado</x:v>
      </x:c>
      <x:c r="J2338" t="n">
        <x:v>29900</x:v>
      </x:c>
      <x:c r="K2338" t="str">
        <x:v>PSE</x:v>
      </x:c>
      <x:c r="L2338" t="str">
        <x:v>Sin error</x:v>
      </x:c>
    </x:row>
    <x:row r="2339">
      <x:c r="A2339" t="str">
        <x:v>TXN-0002338</x:v>
      </x:c>
      <x:c r="B2339" t="str">
        <x:v>2026-09</x:v>
      </x:c>
      <x:c r="C2339" t="n">
        <x:v>46270</x:v>
      </x:c>
      <x:c r="D2339" t="str">
        <x:v>USR-00372</x:v>
      </x:c>
      <x:c r="E2339" t="str">
        <x:v>SUS-000983</x:v>
      </x:c>
      <x:c r="F2339" t="str">
        <x:v>Plus mensual</x:v>
      </x:c>
      <x:c r="G2339" t="str">
        <x:v>Mensual</x:v>
      </x:c>
      <x:c r="H2339" t="n">
        <x:v>1</x:v>
      </x:c>
      <x:c r="I2339" t="str">
        <x:v>Aprobado</x:v>
      </x:c>
      <x:c r="J2339" t="n">
        <x:v>29900</x:v>
      </x:c>
      <x:c r="K2339" t="str">
        <x:v>Tarjeta crédito</x:v>
      </x:c>
      <x:c r="L2339" t="str">
        <x:v>Sin error</x:v>
      </x:c>
    </x:row>
    <x:row r="2340">
      <x:c r="A2340" t="str">
        <x:v>TXN-0002339</x:v>
      </x:c>
      <x:c r="B2340" t="str">
        <x:v>2026-09</x:v>
      </x:c>
      <x:c r="C2340" t="n">
        <x:v>46276</x:v>
      </x:c>
      <x:c r="D2340" t="str">
        <x:v>USR-00375</x:v>
      </x:c>
      <x:c r="E2340" t="str">
        <x:v>SUS-001716</x:v>
      </x:c>
      <x:c r="F2340" t="str">
        <x:v>Plus mensual</x:v>
      </x:c>
      <x:c r="G2340" t="str">
        <x:v>Mensual</x:v>
      </x:c>
      <x:c r="H2340" t="n">
        <x:v>1</x:v>
      </x:c>
      <x:c r="I2340" t="str">
        <x:v>Aprobado</x:v>
      </x:c>
      <x:c r="J2340" t="n">
        <x:v>29900</x:v>
      </x:c>
      <x:c r="K2340" t="str">
        <x:v>Tarjeta débito</x:v>
      </x:c>
      <x:c r="L2340" t="str">
        <x:v>Sin error</x:v>
      </x:c>
    </x:row>
    <x:row r="2341">
      <x:c r="A2341" t="str">
        <x:v>TXN-0002340</x:v>
      </x:c>
      <x:c r="B2341" t="str">
        <x:v>2026-09</x:v>
      </x:c>
      <x:c r="C2341" t="n">
        <x:v>46274</x:v>
      </x:c>
      <x:c r="D2341" t="str">
        <x:v>USR-00377</x:v>
      </x:c>
      <x:c r="E2341" t="str">
        <x:v>SUS-000492</x:v>
      </x:c>
      <x:c r="F2341" t="str">
        <x:v>Plus mensual</x:v>
      </x:c>
      <x:c r="G2341" t="str">
        <x:v>Mensual</x:v>
      </x:c>
      <x:c r="H2341" t="n">
        <x:v>1</x:v>
      </x:c>
      <x:c r="I2341" t="str">
        <x:v>Aprobado</x:v>
      </x:c>
      <x:c r="J2341" t="n">
        <x:v>29900</x:v>
      </x:c>
      <x:c r="K2341" t="str">
        <x:v>Tarjeta débito</x:v>
      </x:c>
      <x:c r="L2341" t="str">
        <x:v>Sin error</x:v>
      </x:c>
    </x:row>
    <x:row r="2342">
      <x:c r="A2342" t="str">
        <x:v>TXN-0002341</x:v>
      </x:c>
      <x:c r="B2342" t="str">
        <x:v>2026-09</x:v>
      </x:c>
      <x:c r="C2342" t="n">
        <x:v>46276</x:v>
      </x:c>
      <x:c r="D2342" t="str">
        <x:v>USR-00378</x:v>
      </x:c>
      <x:c r="E2342" t="str">
        <x:v>SUS-001427</x:v>
      </x:c>
      <x:c r="F2342" t="str">
        <x:v>Plus mensual</x:v>
      </x:c>
      <x:c r="G2342" t="str">
        <x:v>Mensual</x:v>
      </x:c>
      <x:c r="H2342" t="n">
        <x:v>1</x:v>
      </x:c>
      <x:c r="I2342" t="str">
        <x:v>Aprobado</x:v>
      </x:c>
      <x:c r="J2342" t="n">
        <x:v>29900</x:v>
      </x:c>
      <x:c r="K2342" t="str">
        <x:v>Tarjeta débito</x:v>
      </x:c>
      <x:c r="L2342" t="str">
        <x:v>Sin error</x:v>
      </x:c>
    </x:row>
    <x:row r="2343">
      <x:c r="A2343" t="str">
        <x:v>TXN-0002342</x:v>
      </x:c>
      <x:c r="B2343" t="str">
        <x:v>2026-09</x:v>
      </x:c>
      <x:c r="C2343" t="n">
        <x:v>46275</x:v>
      </x:c>
      <x:c r="D2343" t="str">
        <x:v>USR-00379</x:v>
      </x:c>
      <x:c r="E2343" t="str">
        <x:v>SUS-001428</x:v>
      </x:c>
      <x:c r="F2343" t="str">
        <x:v>Plus mensual</x:v>
      </x:c>
      <x:c r="G2343" t="str">
        <x:v>Mensual</x:v>
      </x:c>
      <x:c r="H2343" t="n">
        <x:v>1</x:v>
      </x:c>
      <x:c r="I2343" t="str">
        <x:v>Aprobado</x:v>
      </x:c>
      <x:c r="J2343" t="n">
        <x:v>29900</x:v>
      </x:c>
      <x:c r="K2343" t="str">
        <x:v>PSE</x:v>
      </x:c>
      <x:c r="L2343" t="str">
        <x:v>Sin error</x:v>
      </x:c>
    </x:row>
    <x:row r="2344">
      <x:c r="A2344" t="str">
        <x:v>TXN-0002343</x:v>
      </x:c>
      <x:c r="B2344" t="str">
        <x:v>2026-09</x:v>
      </x:c>
      <x:c r="C2344" t="n">
        <x:v>46271</x:v>
      </x:c>
      <x:c r="D2344" t="str">
        <x:v>USR-00380</x:v>
      </x:c>
      <x:c r="E2344" t="str">
        <x:v>SUS-000495</x:v>
      </x:c>
      <x:c r="F2344" t="str">
        <x:v>Plus mensual</x:v>
      </x:c>
      <x:c r="G2344" t="str">
        <x:v>Mensual</x:v>
      </x:c>
      <x:c r="H2344" t="n">
        <x:v>1</x:v>
      </x:c>
      <x:c r="I2344" t="str">
        <x:v>Aprobado</x:v>
      </x:c>
      <x:c r="J2344" t="n">
        <x:v>29900</x:v>
      </x:c>
      <x:c r="K2344" t="str">
        <x:v>Tarjeta crédito</x:v>
      </x:c>
      <x:c r="L2344" t="str">
        <x:v>Sin error</x:v>
      </x:c>
    </x:row>
    <x:row r="2345">
      <x:c r="A2345" t="str">
        <x:v>TXN-0002344</x:v>
      </x:c>
      <x:c r="B2345" t="str">
        <x:v>2026-09</x:v>
      </x:c>
      <x:c r="C2345" t="n">
        <x:v>46273</x:v>
      </x:c>
      <x:c r="D2345" t="str">
        <x:v>USR-00384</x:v>
      </x:c>
      <x:c r="E2345" t="str">
        <x:v>SUS-000984</x:v>
      </x:c>
      <x:c r="F2345" t="str">
        <x:v>Plus mensual</x:v>
      </x:c>
      <x:c r="G2345" t="str">
        <x:v>Mensual</x:v>
      </x:c>
      <x:c r="H2345" t="n">
        <x:v>1</x:v>
      </x:c>
      <x:c r="I2345" t="str">
        <x:v>Aprobado</x:v>
      </x:c>
      <x:c r="J2345" t="n">
        <x:v>29900</x:v>
      </x:c>
      <x:c r="K2345" t="str">
        <x:v>PSE</x:v>
      </x:c>
      <x:c r="L2345" t="str">
        <x:v>Sin error</x:v>
      </x:c>
    </x:row>
    <x:row r="2346">
      <x:c r="A2346" t="str">
        <x:v>TXN-0002345</x:v>
      </x:c>
      <x:c r="B2346" t="str">
        <x:v>2026-09</x:v>
      </x:c>
      <x:c r="C2346" t="n">
        <x:v>46277</x:v>
      </x:c>
      <x:c r="D2346" t="str">
        <x:v>USR-00389</x:v>
      </x:c>
      <x:c r="E2346" t="str">
        <x:v>SUS-000641</x:v>
      </x:c>
      <x:c r="F2346" t="str">
        <x:v>Plus mensual</x:v>
      </x:c>
      <x:c r="G2346" t="str">
        <x:v>Mensual</x:v>
      </x:c>
      <x:c r="H2346" t="n">
        <x:v>1</x:v>
      </x:c>
      <x:c r="I2346" t="str">
        <x:v>Aprobado</x:v>
      </x:c>
      <x:c r="J2346" t="n">
        <x:v>29900</x:v>
      </x:c>
      <x:c r="K2346" t="str">
        <x:v>Tarjeta crédito</x:v>
      </x:c>
      <x:c r="L2346" t="str">
        <x:v>Sin error</x:v>
      </x:c>
    </x:row>
    <x:row r="2347">
      <x:c r="A2347" t="str">
        <x:v>TXN-0002346</x:v>
      </x:c>
      <x:c r="B2347" t="str">
        <x:v>2026-09</x:v>
      </x:c>
      <x:c r="C2347" t="n">
        <x:v>46272</x:v>
      </x:c>
      <x:c r="D2347" t="str">
        <x:v>USR-00391</x:v>
      </x:c>
      <x:c r="E2347" t="str">
        <x:v>SUS-000506</x:v>
      </x:c>
      <x:c r="F2347" t="str">
        <x:v>Plus mensual</x:v>
      </x:c>
      <x:c r="G2347" t="str">
        <x:v>Mensual</x:v>
      </x:c>
      <x:c r="H2347" t="n">
        <x:v>1</x:v>
      </x:c>
      <x:c r="I2347" t="str">
        <x:v>Aprobado</x:v>
      </x:c>
      <x:c r="J2347" t="n">
        <x:v>29900</x:v>
      </x:c>
      <x:c r="K2347" t="str">
        <x:v>Tarjeta débito</x:v>
      </x:c>
      <x:c r="L2347" t="str">
        <x:v>Sin error</x:v>
      </x:c>
    </x:row>
    <x:row r="2348">
      <x:c r="A2348" t="str">
        <x:v>TXN-0002347</x:v>
      </x:c>
      <x:c r="B2348" t="str">
        <x:v>2026-09</x:v>
      </x:c>
      <x:c r="C2348" t="n">
        <x:v>46271</x:v>
      </x:c>
      <x:c r="D2348" t="str">
        <x:v>USR-00395</x:v>
      </x:c>
      <x:c r="E2348" t="str">
        <x:v>SUS-000642</x:v>
      </x:c>
      <x:c r="F2348" t="str">
        <x:v>Plus mensual</x:v>
      </x:c>
      <x:c r="G2348" t="str">
        <x:v>Mensual</x:v>
      </x:c>
      <x:c r="H2348" t="n">
        <x:v>1</x:v>
      </x:c>
      <x:c r="I2348" t="str">
        <x:v>Aprobado</x:v>
      </x:c>
      <x:c r="J2348" t="n">
        <x:v>29900</x:v>
      </x:c>
      <x:c r="K2348" t="str">
        <x:v>Tarjeta crédito</x:v>
      </x:c>
      <x:c r="L2348" t="str">
        <x:v>Sin error</x:v>
      </x:c>
    </x:row>
    <x:row r="2349">
      <x:c r="A2349" t="str">
        <x:v>TXN-0002348</x:v>
      </x:c>
      <x:c r="B2349" t="str">
        <x:v>2026-09</x:v>
      </x:c>
      <x:c r="C2349" t="n">
        <x:v>46276</x:v>
      </x:c>
      <x:c r="D2349" t="str">
        <x:v>USR-00396</x:v>
      </x:c>
      <x:c r="E2349" t="str">
        <x:v>SUS-000511</x:v>
      </x:c>
      <x:c r="F2349" t="str">
        <x:v>Plus mensual</x:v>
      </x:c>
      <x:c r="G2349" t="str">
        <x:v>Mensual</x:v>
      </x:c>
      <x:c r="H2349" t="n">
        <x:v>1</x:v>
      </x:c>
      <x:c r="I2349" t="str">
        <x:v>Aprobado</x:v>
      </x:c>
      <x:c r="J2349" t="n">
        <x:v>29900</x:v>
      </x:c>
      <x:c r="K2349" t="str">
        <x:v>Tarjeta crédito</x:v>
      </x:c>
      <x:c r="L2349" t="str">
        <x:v>Sin error</x:v>
      </x:c>
    </x:row>
    <x:row r="2350">
      <x:c r="A2350" t="str">
        <x:v>TXN-0002349</x:v>
      </x:c>
      <x:c r="B2350" t="str">
        <x:v>2026-09</x:v>
      </x:c>
      <x:c r="C2350" t="n">
        <x:v>46276</x:v>
      </x:c>
      <x:c r="D2350" t="str">
        <x:v>USR-00403</x:v>
      </x:c>
      <x:c r="E2350" t="str">
        <x:v>SUS-000987</x:v>
      </x:c>
      <x:c r="F2350" t="str">
        <x:v>Plus mensual</x:v>
      </x:c>
      <x:c r="G2350" t="str">
        <x:v>Mensual</x:v>
      </x:c>
      <x:c r="H2350" t="n">
        <x:v>1</x:v>
      </x:c>
      <x:c r="I2350" t="str">
        <x:v>Aprobado</x:v>
      </x:c>
      <x:c r="J2350" t="n">
        <x:v>29900</x:v>
      </x:c>
      <x:c r="K2350" t="str">
        <x:v>Tarjeta débito</x:v>
      </x:c>
      <x:c r="L2350" t="str">
        <x:v>Sin error</x:v>
      </x:c>
    </x:row>
    <x:row r="2351">
      <x:c r="A2351" t="str">
        <x:v>TXN-0002350</x:v>
      </x:c>
      <x:c r="B2351" t="str">
        <x:v>2026-09</x:v>
      </x:c>
      <x:c r="C2351" t="n">
        <x:v>46275</x:v>
      </x:c>
      <x:c r="D2351" t="str">
        <x:v>USR-00404</x:v>
      </x:c>
      <x:c r="E2351" t="str">
        <x:v>SUS-000861</x:v>
      </x:c>
      <x:c r="F2351" t="str">
        <x:v>Plus mensual</x:v>
      </x:c>
      <x:c r="G2351" t="str">
        <x:v>Mensual</x:v>
      </x:c>
      <x:c r="H2351" t="n">
        <x:v>1</x:v>
      </x:c>
      <x:c r="I2351" t="str">
        <x:v>Aprobado</x:v>
      </x:c>
      <x:c r="J2351" t="n">
        <x:v>29900</x:v>
      </x:c>
      <x:c r="K2351" t="str">
        <x:v>Tarjeta crédito</x:v>
      </x:c>
      <x:c r="L2351" t="str">
        <x:v>Sin error</x:v>
      </x:c>
    </x:row>
    <x:row r="2352">
      <x:c r="A2352" t="str">
        <x:v>TXN-0002351</x:v>
      </x:c>
      <x:c r="B2352" t="str">
        <x:v>2026-09</x:v>
      </x:c>
      <x:c r="C2352" t="n">
        <x:v>46271</x:v>
      </x:c>
      <x:c r="D2352" t="str">
        <x:v>USR-00409</x:v>
      </x:c>
      <x:c r="E2352" t="str">
        <x:v>SUS-000988</x:v>
      </x:c>
      <x:c r="F2352" t="str">
        <x:v>Plus mensual</x:v>
      </x:c>
      <x:c r="G2352" t="str">
        <x:v>Mensual</x:v>
      </x:c>
      <x:c r="H2352" t="n">
        <x:v>1</x:v>
      </x:c>
      <x:c r="I2352" t="str">
        <x:v>Aprobado</x:v>
      </x:c>
      <x:c r="J2352" t="n">
        <x:v>29900</x:v>
      </x:c>
      <x:c r="K2352" t="str">
        <x:v>Tarjeta débito</x:v>
      </x:c>
      <x:c r="L2352" t="str">
        <x:v>Sin error</x:v>
      </x:c>
    </x:row>
    <x:row r="2353">
      <x:c r="A2353" t="str">
        <x:v>TXN-0002352</x:v>
      </x:c>
      <x:c r="B2353" t="str">
        <x:v>2026-09</x:v>
      </x:c>
      <x:c r="C2353" t="n">
        <x:v>46275</x:v>
      </x:c>
      <x:c r="D2353" t="str">
        <x:v>USR-00413</x:v>
      </x:c>
      <x:c r="E2353" t="str">
        <x:v>SUS-000862</x:v>
      </x:c>
      <x:c r="F2353" t="str">
        <x:v>Plus mensual</x:v>
      </x:c>
      <x:c r="G2353" t="str">
        <x:v>Mensual</x:v>
      </x:c>
      <x:c r="H2353" t="n">
        <x:v>1</x:v>
      </x:c>
      <x:c r="I2353" t="str">
        <x:v>Aprobado</x:v>
      </x:c>
      <x:c r="J2353" t="n">
        <x:v>29900</x:v>
      </x:c>
      <x:c r="K2353" t="str">
        <x:v>Tarjeta crédito</x:v>
      </x:c>
      <x:c r="L2353" t="str">
        <x:v>Sin error</x:v>
      </x:c>
    </x:row>
    <x:row r="2354">
      <x:c r="A2354" t="str">
        <x:v>TXN-0002353</x:v>
      </x:c>
      <x:c r="B2354" t="str">
        <x:v>2026-09</x:v>
      </x:c>
      <x:c r="C2354" t="n">
        <x:v>46272</x:v>
      </x:c>
      <x:c r="D2354" t="str">
        <x:v>USR-00414</x:v>
      </x:c>
      <x:c r="E2354" t="str">
        <x:v>SUS-000556</x:v>
      </x:c>
      <x:c r="F2354" t="str">
        <x:v>Plus mensual</x:v>
      </x:c>
      <x:c r="G2354" t="str">
        <x:v>Mensual</x:v>
      </x:c>
      <x:c r="H2354" t="n">
        <x:v>1</x:v>
      </x:c>
      <x:c r="I2354" t="str">
        <x:v>Aprobado</x:v>
      </x:c>
      <x:c r="J2354" t="n">
        <x:v>29900</x:v>
      </x:c>
      <x:c r="K2354" t="str">
        <x:v>Tarjeta crédito</x:v>
      </x:c>
      <x:c r="L2354" t="str">
        <x:v>Sin error</x:v>
      </x:c>
    </x:row>
    <x:row r="2355">
      <x:c r="A2355" t="str">
        <x:v>TXN-0002354</x:v>
      </x:c>
      <x:c r="B2355" t="str">
        <x:v>2026-09</x:v>
      </x:c>
      <x:c r="C2355" t="n">
        <x:v>46271</x:v>
      </x:c>
      <x:c r="D2355" t="str">
        <x:v>USR-00416</x:v>
      </x:c>
      <x:c r="E2355" t="str">
        <x:v>SUS-000863</x:v>
      </x:c>
      <x:c r="F2355" t="str">
        <x:v>Plus mensual</x:v>
      </x:c>
      <x:c r="G2355" t="str">
        <x:v>Mensual</x:v>
      </x:c>
      <x:c r="H2355" t="n">
        <x:v>1</x:v>
      </x:c>
      <x:c r="I2355" t="str">
        <x:v>Rechazado</x:v>
      </x:c>
      <x:c r="J2355" t="n">
        <x:v>29900</x:v>
      </x:c>
      <x:c r="K2355" t="str">
        <x:v>PSE</x:v>
      </x:c>
      <x:c r="L2355" t="str">
        <x:v>Fondos insuficientes</x:v>
      </x:c>
    </x:row>
    <x:row r="2356">
      <x:c r="A2356" t="str">
        <x:v>TXN-0002355</x:v>
      </x:c>
      <x:c r="B2356" t="str">
        <x:v>2026-09</x:v>
      </x:c>
      <x:c r="C2356" t="n">
        <x:v>46277</x:v>
      </x:c>
      <x:c r="D2356" t="str">
        <x:v>USR-00416</x:v>
      </x:c>
      <x:c r="E2356" t="str">
        <x:v>SUS-000863</x:v>
      </x:c>
      <x:c r="F2356" t="str">
        <x:v>Plus mensual</x:v>
      </x:c>
      <x:c r="G2356" t="str">
        <x:v>Mensual</x:v>
      </x:c>
      <x:c r="H2356" t="n">
        <x:v>2</x:v>
      </x:c>
      <x:c r="I2356" t="str">
        <x:v>Aprobado</x:v>
      </x:c>
      <x:c r="J2356" t="n">
        <x:v>29900</x:v>
      </x:c>
      <x:c r="K2356" t="str">
        <x:v>PSE</x:v>
      </x:c>
      <x:c r="L2356" t="str">
        <x:v>Sin error</x:v>
      </x:c>
    </x:row>
    <x:row r="2357">
      <x:c r="A2357" t="str">
        <x:v>TXN-0002356</x:v>
      </x:c>
      <x:c r="B2357" t="str">
        <x:v>2026-09</x:v>
      </x:c>
      <x:c r="C2357" t="n">
        <x:v>46270</x:v>
      </x:c>
      <x:c r="D2357" t="str">
        <x:v>USR-00420</x:v>
      </x:c>
      <x:c r="E2357" t="str">
        <x:v>SUS-001718</x:v>
      </x:c>
      <x:c r="F2357" t="str">
        <x:v>Plus mensual</x:v>
      </x:c>
      <x:c r="G2357" t="str">
        <x:v>Mensual</x:v>
      </x:c>
      <x:c r="H2357" t="n">
        <x:v>1</x:v>
      </x:c>
      <x:c r="I2357" t="str">
        <x:v>Aprobado</x:v>
      </x:c>
      <x:c r="J2357" t="n">
        <x:v>29900</x:v>
      </x:c>
      <x:c r="K2357" t="str">
        <x:v>Tarjeta débito</x:v>
      </x:c>
      <x:c r="L2357" t="str">
        <x:v>Sin error</x:v>
      </x:c>
    </x:row>
    <x:row r="2358">
      <x:c r="A2358" t="str">
        <x:v>TXN-0002357</x:v>
      </x:c>
      <x:c r="B2358" t="str">
        <x:v>2026-09</x:v>
      </x:c>
      <x:c r="C2358" t="n">
        <x:v>46274</x:v>
      </x:c>
      <x:c r="D2358" t="str">
        <x:v>USR-00421</x:v>
      </x:c>
      <x:c r="E2358" t="str">
        <x:v>SUS-000864</x:v>
      </x:c>
      <x:c r="F2358" t="str">
        <x:v>Plus mensual</x:v>
      </x:c>
      <x:c r="G2358" t="str">
        <x:v>Mensual</x:v>
      </x:c>
      <x:c r="H2358" t="n">
        <x:v>1</x:v>
      </x:c>
      <x:c r="I2358" t="str">
        <x:v>Aprobado</x:v>
      </x:c>
      <x:c r="J2358" t="n">
        <x:v>29900</x:v>
      </x:c>
      <x:c r="K2358" t="str">
        <x:v>Tarjeta débito</x:v>
      </x:c>
      <x:c r="L2358" t="str">
        <x:v>Sin error</x:v>
      </x:c>
    </x:row>
    <x:row r="2359">
      <x:c r="A2359" t="str">
        <x:v>TXN-0002358</x:v>
      </x:c>
      <x:c r="B2359" t="str">
        <x:v>2026-09</x:v>
      </x:c>
      <x:c r="C2359" t="n">
        <x:v>46272</x:v>
      </x:c>
      <x:c r="D2359" t="str">
        <x:v>USR-00422</x:v>
      </x:c>
      <x:c r="E2359" t="str">
        <x:v>SUS-001578</x:v>
      </x:c>
      <x:c r="F2359" t="str">
        <x:v>Plus mensual</x:v>
      </x:c>
      <x:c r="G2359" t="str">
        <x:v>Mensual</x:v>
      </x:c>
      <x:c r="H2359" t="n">
        <x:v>1</x:v>
      </x:c>
      <x:c r="I2359" t="str">
        <x:v>Aprobado</x:v>
      </x:c>
      <x:c r="J2359" t="n">
        <x:v>29900</x:v>
      </x:c>
      <x:c r="K2359" t="str">
        <x:v>PSE</x:v>
      </x:c>
      <x:c r="L2359" t="str">
        <x:v>Sin error</x:v>
      </x:c>
    </x:row>
    <x:row r="2360">
      <x:c r="A2360" t="str">
        <x:v>TXN-0002359</x:v>
      </x:c>
      <x:c r="B2360" t="str">
        <x:v>2026-09</x:v>
      </x:c>
      <x:c r="C2360" t="n">
        <x:v>46271</x:v>
      </x:c>
      <x:c r="D2360" t="str">
        <x:v>USR-00423</x:v>
      </x:c>
      <x:c r="E2360" t="str">
        <x:v>SUS-000565</x:v>
      </x:c>
      <x:c r="F2360" t="str">
        <x:v>Plus mensual</x:v>
      </x:c>
      <x:c r="G2360" t="str">
        <x:v>Mensual</x:v>
      </x:c>
      <x:c r="H2360" t="n">
        <x:v>1</x:v>
      </x:c>
      <x:c r="I2360" t="str">
        <x:v>Aprobado</x:v>
      </x:c>
      <x:c r="J2360" t="n">
        <x:v>29900</x:v>
      </x:c>
      <x:c r="K2360" t="str">
        <x:v>Tarjeta crédito</x:v>
      </x:c>
      <x:c r="L2360" t="str">
        <x:v>Sin error</x:v>
      </x:c>
    </x:row>
    <x:row r="2361">
      <x:c r="A2361" t="str">
        <x:v>TXN-0002360</x:v>
      </x:c>
      <x:c r="B2361" t="str">
        <x:v>2026-09</x:v>
      </x:c>
      <x:c r="C2361" t="n">
        <x:v>46276</x:v>
      </x:c>
      <x:c r="D2361" t="str">
        <x:v>USR-00437</x:v>
      </x:c>
      <x:c r="E2361" t="str">
        <x:v>SUS-001719</x:v>
      </x:c>
      <x:c r="F2361" t="str">
        <x:v>Plus mensual</x:v>
      </x:c>
      <x:c r="G2361" t="str">
        <x:v>Mensual</x:v>
      </x:c>
      <x:c r="H2361" t="n">
        <x:v>1</x:v>
      </x:c>
      <x:c r="I2361" t="str">
        <x:v>Aprobado</x:v>
      </x:c>
      <x:c r="J2361" t="n">
        <x:v>29900</x:v>
      </x:c>
      <x:c r="K2361" t="str">
        <x:v>PSE</x:v>
      </x:c>
      <x:c r="L2361" t="str">
        <x:v>Sin error</x:v>
      </x:c>
    </x:row>
    <x:row r="2362">
      <x:c r="A2362" t="str">
        <x:v>TXN-0002361</x:v>
      </x:c>
      <x:c r="B2362" t="str">
        <x:v>2026-09</x:v>
      </x:c>
      <x:c r="C2362" t="n">
        <x:v>46270</x:v>
      </x:c>
      <x:c r="D2362" t="str">
        <x:v>USR-00438</x:v>
      </x:c>
      <x:c r="E2362" t="str">
        <x:v>SUS-001720</x:v>
      </x:c>
      <x:c r="F2362" t="str">
        <x:v>Plus anual</x:v>
      </x:c>
      <x:c r="G2362" t="str">
        <x:v>Anual</x:v>
      </x:c>
      <x:c r="H2362" t="n">
        <x:v>1</x:v>
      </x:c>
      <x:c r="I2362" t="str">
        <x:v>Aprobado</x:v>
      </x:c>
      <x:c r="J2362" t="n">
        <x:v>299000</x:v>
      </x:c>
      <x:c r="K2362" t="str">
        <x:v>Tarjeta débito</x:v>
      </x:c>
      <x:c r="L2362" t="str">
        <x:v>Sin error</x:v>
      </x:c>
    </x:row>
    <x:row r="2363">
      <x:c r="A2363" t="str">
        <x:v>TXN-0002362</x:v>
      </x:c>
      <x:c r="B2363" t="str">
        <x:v>2026-09</x:v>
      </x:c>
      <x:c r="C2363" t="n">
        <x:v>46275</x:v>
      </x:c>
      <x:c r="D2363" t="str">
        <x:v>USR-00440</x:v>
      </x:c>
      <x:c r="E2363" t="str">
        <x:v>SUS-001128</x:v>
      </x:c>
      <x:c r="F2363" t="str">
        <x:v>Plus mensual</x:v>
      </x:c>
      <x:c r="G2363" t="str">
        <x:v>Mensual</x:v>
      </x:c>
      <x:c r="H2363" t="n">
        <x:v>1</x:v>
      </x:c>
      <x:c r="I2363" t="str">
        <x:v>Aprobado</x:v>
      </x:c>
      <x:c r="J2363" t="n">
        <x:v>29900</x:v>
      </x:c>
      <x:c r="K2363" t="str">
        <x:v>Tarjeta débito</x:v>
      </x:c>
      <x:c r="L2363" t="str">
        <x:v>Sin error</x:v>
      </x:c>
    </x:row>
    <x:row r="2364">
      <x:c r="A2364" t="str">
        <x:v>TXN-0002363</x:v>
      </x:c>
      <x:c r="B2364" t="str">
        <x:v>2026-09</x:v>
      </x:c>
      <x:c r="C2364" t="n">
        <x:v>46277</x:v>
      </x:c>
      <x:c r="D2364" t="str">
        <x:v>USR-00444</x:v>
      </x:c>
      <x:c r="E2364" t="str">
        <x:v>SUS-001579</x:v>
      </x:c>
      <x:c r="F2364" t="str">
        <x:v>Plus mensual</x:v>
      </x:c>
      <x:c r="G2364" t="str">
        <x:v>Mensual</x:v>
      </x:c>
      <x:c r="H2364" t="n">
        <x:v>1</x:v>
      </x:c>
      <x:c r="I2364" t="str">
        <x:v>Aprobado</x:v>
      </x:c>
      <x:c r="J2364" t="n">
        <x:v>29900</x:v>
      </x:c>
      <x:c r="K2364" t="str">
        <x:v>PSE</x:v>
      </x:c>
      <x:c r="L2364" t="str">
        <x:v>Sin error</x:v>
      </x:c>
    </x:row>
    <x:row r="2365">
      <x:c r="A2365" t="str">
        <x:v>TXN-0002364</x:v>
      </x:c>
      <x:c r="B2365" t="str">
        <x:v>2026-09</x:v>
      </x:c>
      <x:c r="C2365" t="n">
        <x:v>46271</x:v>
      </x:c>
      <x:c r="D2365" t="str">
        <x:v>USR-00446</x:v>
      </x:c>
      <x:c r="E2365" t="str">
        <x:v>SUS-000588</x:v>
      </x:c>
      <x:c r="F2365" t="str">
        <x:v>Plus mensual</x:v>
      </x:c>
      <x:c r="G2365" t="str">
        <x:v>Mensual</x:v>
      </x:c>
      <x:c r="H2365" t="n">
        <x:v>1</x:v>
      </x:c>
      <x:c r="I2365" t="str">
        <x:v>Aprobado</x:v>
      </x:c>
      <x:c r="J2365" t="n">
        <x:v>29900</x:v>
      </x:c>
      <x:c r="K2365" t="str">
        <x:v>Tarjeta débito</x:v>
      </x:c>
      <x:c r="L2365" t="str">
        <x:v>Sin error</x:v>
      </x:c>
    </x:row>
    <x:row r="2366">
      <x:c r="A2366" t="str">
        <x:v>TXN-0002365</x:v>
      </x:c>
      <x:c r="B2366" t="str">
        <x:v>2026-09</x:v>
      </x:c>
      <x:c r="C2366" t="n">
        <x:v>46271</x:v>
      </x:c>
      <x:c r="D2366" t="str">
        <x:v>USR-00450</x:v>
      </x:c>
      <x:c r="E2366" t="str">
        <x:v>SIN_SUSCRIPCION</x:v>
      </x:c>
      <x:c r="F2366" t="str">
        <x:v>Plus mensual</x:v>
      </x:c>
      <x:c r="G2366" t="str">
        <x:v>Mensual</x:v>
      </x:c>
      <x:c r="H2366" t="n">
        <x:v>1</x:v>
      </x:c>
      <x:c r="I2366" t="str">
        <x:v>Rechazado</x:v>
      </x:c>
      <x:c r="J2366" t="n">
        <x:v>29900</x:v>
      </x:c>
      <x:c r="K2366" t="str">
        <x:v>Tarjeta crédito</x:v>
      </x:c>
      <x:c r="L2366" t="str">
        <x:v>Error temporal</x:v>
      </x:c>
    </x:row>
    <x:row r="2367">
      <x:c r="A2367" t="str">
        <x:v>TXN-0002366</x:v>
      </x:c>
      <x:c r="B2367" t="str">
        <x:v>2026-09</x:v>
      </x:c>
      <x:c r="C2367" t="n">
        <x:v>46274</x:v>
      </x:c>
      <x:c r="D2367" t="str">
        <x:v>USR-00450</x:v>
      </x:c>
      <x:c r="E2367" t="str">
        <x:v>SIN_SUSCRIPCION</x:v>
      </x:c>
      <x:c r="F2367" t="str">
        <x:v>Plus mensual</x:v>
      </x:c>
      <x:c r="G2367" t="str">
        <x:v>Mensual</x:v>
      </x:c>
      <x:c r="H2367" t="n">
        <x:v>2</x:v>
      </x:c>
      <x:c r="I2367" t="str">
        <x:v>Rechazado</x:v>
      </x:c>
      <x:c r="J2367" t="n">
        <x:v>29900</x:v>
      </x:c>
      <x:c r="K2367" t="str">
        <x:v>PSE</x:v>
      </x:c>
      <x:c r="L2367" t="str">
        <x:v>Fondos insuficientes</x:v>
      </x:c>
    </x:row>
    <x:row r="2368">
      <x:c r="A2368" t="str">
        <x:v>TXN-0002367</x:v>
      </x:c>
      <x:c r="B2368" t="str">
        <x:v>2026-09</x:v>
      </x:c>
      <x:c r="C2368" t="n">
        <x:v>46271</x:v>
      </x:c>
      <x:c r="D2368" t="str">
        <x:v>USR-00452</x:v>
      </x:c>
      <x:c r="E2368" t="str">
        <x:v>SUS-001722</x:v>
      </x:c>
      <x:c r="F2368" t="str">
        <x:v>Plus anual</x:v>
      </x:c>
      <x:c r="G2368" t="str">
        <x:v>Anual</x:v>
      </x:c>
      <x:c r="H2368" t="n">
        <x:v>1</x:v>
      </x:c>
      <x:c r="I2368" t="str">
        <x:v>Rechazado</x:v>
      </x:c>
      <x:c r="J2368" t="n">
        <x:v>299000</x:v>
      </x:c>
      <x:c r="K2368" t="str">
        <x:v>PSE</x:v>
      </x:c>
      <x:c r="L2368" t="str">
        <x:v>Error temporal</x:v>
      </x:c>
    </x:row>
    <x:row r="2369">
      <x:c r="A2369" t="str">
        <x:v>TXN-0002368</x:v>
      </x:c>
      <x:c r="B2369" t="str">
        <x:v>2026-09</x:v>
      </x:c>
      <x:c r="C2369" t="n">
        <x:v>46273</x:v>
      </x:c>
      <x:c r="D2369" t="str">
        <x:v>USR-00452</x:v>
      </x:c>
      <x:c r="E2369" t="str">
        <x:v>SUS-001722</x:v>
      </x:c>
      <x:c r="F2369" t="str">
        <x:v>Plus anual</x:v>
      </x:c>
      <x:c r="G2369" t="str">
        <x:v>Anual</x:v>
      </x:c>
      <x:c r="H2369" t="n">
        <x:v>2</x:v>
      </x:c>
      <x:c r="I2369" t="str">
        <x:v>Aprobado</x:v>
      </x:c>
      <x:c r="J2369" t="n">
        <x:v>299000</x:v>
      </x:c>
      <x:c r="K2369" t="str">
        <x:v>Tarjeta débito</x:v>
      </x:c>
      <x:c r="L2369" t="str">
        <x:v>Sin error</x:v>
      </x:c>
    </x:row>
    <x:row r="2370">
      <x:c r="A2370" t="str">
        <x:v>TXN-0002369</x:v>
      </x:c>
      <x:c r="B2370" t="str">
        <x:v>2026-09</x:v>
      </x:c>
      <x:c r="C2370" t="n">
        <x:v>46270</x:v>
      </x:c>
      <x:c r="D2370" t="str">
        <x:v>USR-00455</x:v>
      </x:c>
      <x:c r="E2370" t="str">
        <x:v>SUS-001429</x:v>
      </x:c>
      <x:c r="F2370" t="str">
        <x:v>Plus mensual</x:v>
      </x:c>
      <x:c r="G2370" t="str">
        <x:v>Mensual</x:v>
      </x:c>
      <x:c r="H2370" t="n">
        <x:v>1</x:v>
      </x:c>
      <x:c r="I2370" t="str">
        <x:v>Aprobado</x:v>
      </x:c>
      <x:c r="J2370" t="n">
        <x:v>29900</x:v>
      </x:c>
      <x:c r="K2370" t="str">
        <x:v>PSE</x:v>
      </x:c>
      <x:c r="L2370" t="str">
        <x:v>Sin error</x:v>
      </x:c>
    </x:row>
    <x:row r="2371">
      <x:c r="A2371" t="str">
        <x:v>TXN-0002370</x:v>
      </x:c>
      <x:c r="B2371" t="str">
        <x:v>2026-09</x:v>
      </x:c>
      <x:c r="C2371" t="n">
        <x:v>46274</x:v>
      </x:c>
      <x:c r="D2371" t="str">
        <x:v>USR-00456</x:v>
      </x:c>
      <x:c r="E2371" t="str">
        <x:v>SUS-000598</x:v>
      </x:c>
      <x:c r="F2371" t="str">
        <x:v>Plus mensual</x:v>
      </x:c>
      <x:c r="G2371" t="str">
        <x:v>Mensual</x:v>
      </x:c>
      <x:c r="H2371" t="n">
        <x:v>1</x:v>
      </x:c>
      <x:c r="I2371" t="str">
        <x:v>Aprobado</x:v>
      </x:c>
      <x:c r="J2371" t="n">
        <x:v>29900</x:v>
      </x:c>
      <x:c r="K2371" t="str">
        <x:v>Tarjeta crédito</x:v>
      </x:c>
      <x:c r="L2371" t="str">
        <x:v>Sin error</x:v>
      </x:c>
    </x:row>
    <x:row r="2372">
      <x:c r="A2372" t="str">
        <x:v>TXN-0002371</x:v>
      </x:c>
      <x:c r="B2372" t="str">
        <x:v>2026-09</x:v>
      </x:c>
      <x:c r="C2372" t="n">
        <x:v>46276</x:v>
      </x:c>
      <x:c r="D2372" t="str">
        <x:v>USR-00457</x:v>
      </x:c>
      <x:c r="E2372" t="str">
        <x:v>SUS-001430</x:v>
      </x:c>
      <x:c r="F2372" t="str">
        <x:v>Plus mensual</x:v>
      </x:c>
      <x:c r="G2372" t="str">
        <x:v>Mensual</x:v>
      </x:c>
      <x:c r="H2372" t="n">
        <x:v>1</x:v>
      </x:c>
      <x:c r="I2372" t="str">
        <x:v>Aprobado</x:v>
      </x:c>
      <x:c r="J2372" t="n">
        <x:v>29900</x:v>
      </x:c>
      <x:c r="K2372" t="str">
        <x:v>Tarjeta crédito</x:v>
      </x:c>
      <x:c r="L2372" t="str">
        <x:v>Sin error</x:v>
      </x:c>
    </x:row>
    <x:row r="2373">
      <x:c r="A2373" t="str">
        <x:v>TXN-0002372</x:v>
      </x:c>
      <x:c r="B2373" t="str">
        <x:v>2026-09</x:v>
      </x:c>
      <x:c r="C2373" t="n">
        <x:v>46277</x:v>
      </x:c>
      <x:c r="D2373" t="str">
        <x:v>USR-00458</x:v>
      </x:c>
      <x:c r="E2373" t="str">
        <x:v>SUS-000600</x:v>
      </x:c>
      <x:c r="F2373" t="str">
        <x:v>Plus mensual</x:v>
      </x:c>
      <x:c r="G2373" t="str">
        <x:v>Mensual</x:v>
      </x:c>
      <x:c r="H2373" t="n">
        <x:v>1</x:v>
      </x:c>
      <x:c r="I2373" t="str">
        <x:v>Aprobado</x:v>
      </x:c>
      <x:c r="J2373" t="n">
        <x:v>29900</x:v>
      </x:c>
      <x:c r="K2373" t="str">
        <x:v>Tarjeta crédito</x:v>
      </x:c>
      <x:c r="L2373" t="str">
        <x:v>Sin error</x:v>
      </x:c>
    </x:row>
    <x:row r="2374">
      <x:c r="A2374" t="str">
        <x:v>TXN-0002373</x:v>
      </x:c>
      <x:c r="B2374" t="str">
        <x:v>2026-09</x:v>
      </x:c>
      <x:c r="C2374" t="n">
        <x:v>46277</x:v>
      </x:c>
      <x:c r="D2374" t="str">
        <x:v>USR-00459</x:v>
      </x:c>
      <x:c r="E2374" t="str">
        <x:v>SUS-001580</x:v>
      </x:c>
      <x:c r="F2374" t="str">
        <x:v>Plus mensual</x:v>
      </x:c>
      <x:c r="G2374" t="str">
        <x:v>Mensual</x:v>
      </x:c>
      <x:c r="H2374" t="n">
        <x:v>1</x:v>
      </x:c>
      <x:c r="I2374" t="str">
        <x:v>Aprobado</x:v>
      </x:c>
      <x:c r="J2374" t="n">
        <x:v>29900</x:v>
      </x:c>
      <x:c r="K2374" t="str">
        <x:v>Tarjeta crédito</x:v>
      </x:c>
      <x:c r="L2374" t="str">
        <x:v>Sin error</x:v>
      </x:c>
    </x:row>
    <x:row r="2375">
      <x:c r="A2375" t="str">
        <x:v>TXN-0002374</x:v>
      </x:c>
      <x:c r="B2375" t="str">
        <x:v>2026-09</x:v>
      </x:c>
      <x:c r="C2375" t="n">
        <x:v>46275</x:v>
      </x:c>
      <x:c r="D2375" t="str">
        <x:v>USR-00461</x:v>
      </x:c>
      <x:c r="E2375" t="str">
        <x:v>SUS-001581</x:v>
      </x:c>
      <x:c r="F2375" t="str">
        <x:v>Plus mensual</x:v>
      </x:c>
      <x:c r="G2375" t="str">
        <x:v>Mensual</x:v>
      </x:c>
      <x:c r="H2375" t="n">
        <x:v>1</x:v>
      </x:c>
      <x:c r="I2375" t="str">
        <x:v>Aprobado</x:v>
      </x:c>
      <x:c r="J2375" t="n">
        <x:v>29900</x:v>
      </x:c>
      <x:c r="K2375" t="str">
        <x:v>Tarjeta débito</x:v>
      </x:c>
      <x:c r="L2375" t="str">
        <x:v>Sin error</x:v>
      </x:c>
    </x:row>
    <x:row r="2376">
      <x:c r="A2376" t="str">
        <x:v>TXN-0002375</x:v>
      </x:c>
      <x:c r="B2376" t="str">
        <x:v>2026-09</x:v>
      </x:c>
      <x:c r="C2376" t="n">
        <x:v>46276</x:v>
      </x:c>
      <x:c r="D2376" t="str">
        <x:v>USR-00465</x:v>
      </x:c>
      <x:c r="E2376" t="str">
        <x:v>SUS-000607</x:v>
      </x:c>
      <x:c r="F2376" t="str">
        <x:v>Plus mensual</x:v>
      </x:c>
      <x:c r="G2376" t="str">
        <x:v>Mensual</x:v>
      </x:c>
      <x:c r="H2376" t="n">
        <x:v>1</x:v>
      </x:c>
      <x:c r="I2376" t="str">
        <x:v>Aprobado</x:v>
      </x:c>
      <x:c r="J2376" t="n">
        <x:v>29900</x:v>
      </x:c>
      <x:c r="K2376" t="str">
        <x:v>PSE</x:v>
      </x:c>
      <x:c r="L2376" t="str">
        <x:v>Sin error</x:v>
      </x:c>
    </x:row>
    <x:row r="2377">
      <x:c r="A2377" t="str">
        <x:v>TXN-0002376</x:v>
      </x:c>
      <x:c r="B2377" t="str">
        <x:v>2026-09</x:v>
      </x:c>
      <x:c r="C2377" t="n">
        <x:v>46275</x:v>
      </x:c>
      <x:c r="D2377" t="str">
        <x:v>USR-00467</x:v>
      </x:c>
      <x:c r="E2377" t="str">
        <x:v>SUS-000763</x:v>
      </x:c>
      <x:c r="F2377" t="str">
        <x:v>Plus mensual</x:v>
      </x:c>
      <x:c r="G2377" t="str">
        <x:v>Mensual</x:v>
      </x:c>
      <x:c r="H2377" t="n">
        <x:v>1</x:v>
      </x:c>
      <x:c r="I2377" t="str">
        <x:v>Aprobado</x:v>
      </x:c>
      <x:c r="J2377" t="n">
        <x:v>29900</x:v>
      </x:c>
      <x:c r="K2377" t="str">
        <x:v>Tarjeta débito</x:v>
      </x:c>
      <x:c r="L2377" t="str">
        <x:v>Sin error</x:v>
      </x:c>
    </x:row>
    <x:row r="2378">
      <x:c r="A2378" t="str">
        <x:v>TXN-0002377</x:v>
      </x:c>
      <x:c r="B2378" t="str">
        <x:v>2026-09</x:v>
      </x:c>
      <x:c r="C2378" t="n">
        <x:v>46276</x:v>
      </x:c>
      <x:c r="D2378" t="str">
        <x:v>USR-00469</x:v>
      </x:c>
      <x:c r="E2378" t="str">
        <x:v>SUS-000648</x:v>
      </x:c>
      <x:c r="F2378" t="str">
        <x:v>Plus mensual</x:v>
      </x:c>
      <x:c r="G2378" t="str">
        <x:v>Mensual</x:v>
      </x:c>
      <x:c r="H2378" t="n">
        <x:v>1</x:v>
      </x:c>
      <x:c r="I2378" t="str">
        <x:v>Aprobado</x:v>
      </x:c>
      <x:c r="J2378" t="n">
        <x:v>29900</x:v>
      </x:c>
      <x:c r="K2378" t="str">
        <x:v>Tarjeta crédito</x:v>
      </x:c>
      <x:c r="L2378" t="str">
        <x:v>Sin error</x:v>
      </x:c>
    </x:row>
    <x:row r="2379">
      <x:c r="A2379" t="str">
        <x:v>TXN-0002378</x:v>
      </x:c>
      <x:c r="B2379" t="str">
        <x:v>2026-09</x:v>
      </x:c>
      <x:c r="C2379" t="n">
        <x:v>46270</x:v>
      </x:c>
      <x:c r="D2379" t="str">
        <x:v>USR-00477</x:v>
      </x:c>
      <x:c r="E2379" t="str">
        <x:v>SUS-001278</x:v>
      </x:c>
      <x:c r="F2379" t="str">
        <x:v>Plus mensual</x:v>
      </x:c>
      <x:c r="G2379" t="str">
        <x:v>Mensual</x:v>
      </x:c>
      <x:c r="H2379" t="n">
        <x:v>1</x:v>
      </x:c>
      <x:c r="I2379" t="str">
        <x:v>Rechazado</x:v>
      </x:c>
      <x:c r="J2379" t="n">
        <x:v>29900</x:v>
      </x:c>
      <x:c r="K2379" t="str">
        <x:v>PSE</x:v>
      </x:c>
      <x:c r="L2379" t="str">
        <x:v>Error temporal</x:v>
      </x:c>
    </x:row>
    <x:row r="2380">
      <x:c r="A2380" t="str">
        <x:v>TXN-0002379</x:v>
      </x:c>
      <x:c r="B2380" t="str">
        <x:v>2026-09</x:v>
      </x:c>
      <x:c r="C2380" t="n">
        <x:v>46271</x:v>
      </x:c>
      <x:c r="D2380" t="str">
        <x:v>USR-00477</x:v>
      </x:c>
      <x:c r="E2380" t="str">
        <x:v>SUS-001278</x:v>
      </x:c>
      <x:c r="F2380" t="str">
        <x:v>Plus mensual</x:v>
      </x:c>
      <x:c r="G2380" t="str">
        <x:v>Mensual</x:v>
      </x:c>
      <x:c r="H2380" t="n">
        <x:v>2</x:v>
      </x:c>
      <x:c r="I2380" t="str">
        <x:v>Aprobado</x:v>
      </x:c>
      <x:c r="J2380" t="n">
        <x:v>29900</x:v>
      </x:c>
      <x:c r="K2380" t="str">
        <x:v>Tarjeta débito</x:v>
      </x:c>
      <x:c r="L2380" t="str">
        <x:v>Sin error</x:v>
      </x:c>
    </x:row>
    <x:row r="2381">
      <x:c r="A2381" t="str">
        <x:v>TXN-0002380</x:v>
      </x:c>
      <x:c r="B2381" t="str">
        <x:v>2026-09</x:v>
      </x:c>
      <x:c r="C2381" t="n">
        <x:v>46272</x:v>
      </x:c>
      <x:c r="D2381" t="str">
        <x:v>USR-00484</x:v>
      </x:c>
      <x:c r="E2381" t="str">
        <x:v>SUS-000662</x:v>
      </x:c>
      <x:c r="F2381" t="str">
        <x:v>Plus mensual</x:v>
      </x:c>
      <x:c r="G2381" t="str">
        <x:v>Mensual</x:v>
      </x:c>
      <x:c r="H2381" t="n">
        <x:v>1</x:v>
      </x:c>
      <x:c r="I2381" t="str">
        <x:v>Aprobado</x:v>
      </x:c>
      <x:c r="J2381" t="n">
        <x:v>29900</x:v>
      </x:c>
      <x:c r="K2381" t="str">
        <x:v>Tarjeta crédito</x:v>
      </x:c>
      <x:c r="L2381" t="str">
        <x:v>Sin error</x:v>
      </x:c>
    </x:row>
    <x:row r="2382">
      <x:c r="A2382" t="str">
        <x:v>TXN-0002381</x:v>
      </x:c>
      <x:c r="B2382" t="str">
        <x:v>2026-09</x:v>
      </x:c>
      <x:c r="C2382" t="n">
        <x:v>46274</x:v>
      </x:c>
      <x:c r="D2382" t="str">
        <x:v>USR-00486</x:v>
      </x:c>
      <x:c r="E2382" t="str">
        <x:v>SUS-001432</x:v>
      </x:c>
      <x:c r="F2382" t="str">
        <x:v>Plus mensual</x:v>
      </x:c>
      <x:c r="G2382" t="str">
        <x:v>Mensual</x:v>
      </x:c>
      <x:c r="H2382" t="n">
        <x:v>1</x:v>
      </x:c>
      <x:c r="I2382" t="str">
        <x:v>Aprobado</x:v>
      </x:c>
      <x:c r="J2382" t="n">
        <x:v>29900</x:v>
      </x:c>
      <x:c r="K2382" t="str">
        <x:v>PSE</x:v>
      </x:c>
      <x:c r="L2382" t="str">
        <x:v>Sin error</x:v>
      </x:c>
    </x:row>
    <x:row r="2383">
      <x:c r="A2383" t="str">
        <x:v>TXN-0002382</x:v>
      </x:c>
      <x:c r="B2383" t="str">
        <x:v>2026-09</x:v>
      </x:c>
      <x:c r="C2383" t="n">
        <x:v>46273</x:v>
      </x:c>
      <x:c r="D2383" t="str">
        <x:v>USR-00489</x:v>
      </x:c>
      <x:c r="E2383" t="str">
        <x:v>SIN_SUSCRIPCION</x:v>
      </x:c>
      <x:c r="F2383" t="str">
        <x:v>Plus mensual</x:v>
      </x:c>
      <x:c r="G2383" t="str">
        <x:v>Mensual</x:v>
      </x:c>
      <x:c r="H2383" t="n">
        <x:v>1</x:v>
      </x:c>
      <x:c r="I2383" t="str">
        <x:v>Rechazado</x:v>
      </x:c>
      <x:c r="J2383" t="n">
        <x:v>29900</x:v>
      </x:c>
      <x:c r="K2383" t="str">
        <x:v>Tarjeta débito</x:v>
      </x:c>
      <x:c r="L2383" t="str">
        <x:v>Declinado por entidad</x:v>
      </x:c>
    </x:row>
    <x:row r="2384">
      <x:c r="A2384" t="str">
        <x:v>TXN-0002383</x:v>
      </x:c>
      <x:c r="B2384" t="str">
        <x:v>2026-09</x:v>
      </x:c>
      <x:c r="C2384" t="n">
        <x:v>46271</x:v>
      </x:c>
      <x:c r="D2384" t="str">
        <x:v>USR-00489</x:v>
      </x:c>
      <x:c r="E2384" t="str">
        <x:v>SIN_SUSCRIPCION</x:v>
      </x:c>
      <x:c r="F2384" t="str">
        <x:v>Plus mensual</x:v>
      </x:c>
      <x:c r="G2384" t="str">
        <x:v>Mensual</x:v>
      </x:c>
      <x:c r="H2384" t="n">
        <x:v>2</x:v>
      </x:c>
      <x:c r="I2384" t="str">
        <x:v>Rechazado</x:v>
      </x:c>
      <x:c r="J2384" t="n">
        <x:v>29900</x:v>
      </x:c>
      <x:c r="K2384" t="str">
        <x:v>Tarjeta crédito</x:v>
      </x:c>
      <x:c r="L2384" t="str">
        <x:v>Declinado por entidad</x:v>
      </x:c>
    </x:row>
    <x:row r="2385">
      <x:c r="A2385" t="str">
        <x:v>TXN-0002384</x:v>
      </x:c>
      <x:c r="B2385" t="str">
        <x:v>2026-09</x:v>
      </x:c>
      <x:c r="C2385" t="n">
        <x:v>46272</x:v>
      </x:c>
      <x:c r="D2385" t="str">
        <x:v>USR-00490</x:v>
      </x:c>
      <x:c r="E2385" t="str">
        <x:v>SUS-000992</x:v>
      </x:c>
      <x:c r="F2385" t="str">
        <x:v>Plus mensual</x:v>
      </x:c>
      <x:c r="G2385" t="str">
        <x:v>Mensual</x:v>
      </x:c>
      <x:c r="H2385" t="n">
        <x:v>1</x:v>
      </x:c>
      <x:c r="I2385" t="str">
        <x:v>Aprobado</x:v>
      </x:c>
      <x:c r="J2385" t="n">
        <x:v>29900</x:v>
      </x:c>
      <x:c r="K2385" t="str">
        <x:v>Tarjeta crédito</x:v>
      </x:c>
      <x:c r="L2385" t="str">
        <x:v>Sin error</x:v>
      </x:c>
    </x:row>
    <x:row r="2386">
      <x:c r="A2386" t="str">
        <x:v>TXN-0002385</x:v>
      </x:c>
      <x:c r="B2386" t="str">
        <x:v>2026-09</x:v>
      </x:c>
      <x:c r="C2386" t="n">
        <x:v>46274</x:v>
      </x:c>
      <x:c r="D2386" t="str">
        <x:v>USR-00492</x:v>
      </x:c>
      <x:c r="E2386" t="str">
        <x:v>SUS-001279</x:v>
      </x:c>
      <x:c r="F2386" t="str">
        <x:v>Plus mensual</x:v>
      </x:c>
      <x:c r="G2386" t="str">
        <x:v>Mensual</x:v>
      </x:c>
      <x:c r="H2386" t="n">
        <x:v>1</x:v>
      </x:c>
      <x:c r="I2386" t="str">
        <x:v>Aprobado</x:v>
      </x:c>
      <x:c r="J2386" t="n">
        <x:v>29900</x:v>
      </x:c>
      <x:c r="K2386" t="str">
        <x:v>Tarjeta crédito</x:v>
      </x:c>
      <x:c r="L2386" t="str">
        <x:v>Sin error</x:v>
      </x:c>
    </x:row>
    <x:row r="2387">
      <x:c r="A2387" t="str">
        <x:v>TXN-0002386</x:v>
      </x:c>
      <x:c r="B2387" t="str">
        <x:v>2026-09</x:v>
      </x:c>
      <x:c r="C2387" t="n">
        <x:v>46272</x:v>
      </x:c>
      <x:c r="D2387" t="str">
        <x:v>USR-00498</x:v>
      </x:c>
      <x:c r="E2387" t="str">
        <x:v>SUS-001582</x:v>
      </x:c>
      <x:c r="F2387" t="str">
        <x:v>Plus mensual</x:v>
      </x:c>
      <x:c r="G2387" t="str">
        <x:v>Mensual</x:v>
      </x:c>
      <x:c r="H2387" t="n">
        <x:v>1</x:v>
      </x:c>
      <x:c r="I2387" t="str">
        <x:v>Aprobado</x:v>
      </x:c>
      <x:c r="J2387" t="n">
        <x:v>29900</x:v>
      </x:c>
      <x:c r="K2387" t="str">
        <x:v>Tarjeta débito</x:v>
      </x:c>
      <x:c r="L2387" t="str">
        <x:v>Sin error</x:v>
      </x:c>
    </x:row>
    <x:row r="2388">
      <x:c r="A2388" t="str">
        <x:v>TXN-0002387</x:v>
      </x:c>
      <x:c r="B2388" t="str">
        <x:v>2026-09</x:v>
      </x:c>
      <x:c r="C2388" t="n">
        <x:v>46277</x:v>
      </x:c>
      <x:c r="D2388" t="str">
        <x:v>USR-00500</x:v>
      </x:c>
      <x:c r="E2388" t="str">
        <x:v>SUS-001434</x:v>
      </x:c>
      <x:c r="F2388" t="str">
        <x:v>Plus mensual</x:v>
      </x:c>
      <x:c r="G2388" t="str">
        <x:v>Mensual</x:v>
      </x:c>
      <x:c r="H2388" t="n">
        <x:v>1</x:v>
      </x:c>
      <x:c r="I2388" t="str">
        <x:v>Rechazado</x:v>
      </x:c>
      <x:c r="J2388" t="n">
        <x:v>29900</x:v>
      </x:c>
      <x:c r="K2388" t="str">
        <x:v>Tarjeta crédito</x:v>
      </x:c>
      <x:c r="L2388" t="str">
        <x:v>Error temporal</x:v>
      </x:c>
    </x:row>
    <x:row r="2389">
      <x:c r="A2389" t="str">
        <x:v>TXN-0002388</x:v>
      </x:c>
      <x:c r="B2389" t="str">
        <x:v>2026-09</x:v>
      </x:c>
      <x:c r="C2389" t="n">
        <x:v>46276</x:v>
      </x:c>
      <x:c r="D2389" t="str">
        <x:v>USR-00500</x:v>
      </x:c>
      <x:c r="E2389" t="str">
        <x:v>SUS-001434</x:v>
      </x:c>
      <x:c r="F2389" t="str">
        <x:v>Plus mensual</x:v>
      </x:c>
      <x:c r="G2389" t="str">
        <x:v>Mensual</x:v>
      </x:c>
      <x:c r="H2389" t="n">
        <x:v>2</x:v>
      </x:c>
      <x:c r="I2389" t="str">
        <x:v>Aprobado</x:v>
      </x:c>
      <x:c r="J2389" t="n">
        <x:v>29900</x:v>
      </x:c>
      <x:c r="K2389" t="str">
        <x:v>PSE</x:v>
      </x:c>
      <x:c r="L2389" t="str">
        <x:v>Sin error</x:v>
      </x:c>
    </x:row>
    <x:row r="2390">
      <x:c r="A2390" t="str">
        <x:v>TXN-0002389</x:v>
      </x:c>
      <x:c r="B2390" t="str">
        <x:v>2026-09</x:v>
      </x:c>
      <x:c r="C2390" t="n">
        <x:v>46271</x:v>
      </x:c>
      <x:c r="D2390" t="str">
        <x:v>USR-00504</x:v>
      </x:c>
      <x:c r="E2390" t="str">
        <x:v>SUS-001133</x:v>
      </x:c>
      <x:c r="F2390" t="str">
        <x:v>Plus mensual</x:v>
      </x:c>
      <x:c r="G2390" t="str">
        <x:v>Mensual</x:v>
      </x:c>
      <x:c r="H2390" t="n">
        <x:v>1</x:v>
      </x:c>
      <x:c r="I2390" t="str">
        <x:v>Aprobado</x:v>
      </x:c>
      <x:c r="J2390" t="n">
        <x:v>29900</x:v>
      </x:c>
      <x:c r="K2390" t="str">
        <x:v>PSE</x:v>
      </x:c>
      <x:c r="L2390" t="str">
        <x:v>Sin error</x:v>
      </x:c>
    </x:row>
    <x:row r="2391">
      <x:c r="A2391" t="str">
        <x:v>TXN-0002390</x:v>
      </x:c>
      <x:c r="B2391" t="str">
        <x:v>2026-09</x:v>
      </x:c>
      <x:c r="C2391" t="n">
        <x:v>46272</x:v>
      </x:c>
      <x:c r="D2391" t="str">
        <x:v>USR-00508</x:v>
      </x:c>
      <x:c r="E2391" t="str">
        <x:v>SUS-001724</x:v>
      </x:c>
      <x:c r="F2391" t="str">
        <x:v>Plus mensual</x:v>
      </x:c>
      <x:c r="G2391" t="str">
        <x:v>Mensual</x:v>
      </x:c>
      <x:c r="H2391" t="n">
        <x:v>1</x:v>
      </x:c>
      <x:c r="I2391" t="str">
        <x:v>Aprobado</x:v>
      </x:c>
      <x:c r="J2391" t="n">
        <x:v>29900</x:v>
      </x:c>
      <x:c r="K2391" t="str">
        <x:v>Tarjeta crédito</x:v>
      </x:c>
      <x:c r="L2391" t="str">
        <x:v>Sin error</x:v>
      </x:c>
    </x:row>
    <x:row r="2392">
      <x:c r="A2392" t="str">
        <x:v>TXN-0002391</x:v>
      </x:c>
      <x:c r="B2392" t="str">
        <x:v>2026-09</x:v>
      </x:c>
      <x:c r="C2392" t="n">
        <x:v>46271</x:v>
      </x:c>
      <x:c r="D2392" t="str">
        <x:v>USR-00514</x:v>
      </x:c>
      <x:c r="E2392" t="str">
        <x:v>SUS-001435</x:v>
      </x:c>
      <x:c r="F2392" t="str">
        <x:v>Plus mensual</x:v>
      </x:c>
      <x:c r="G2392" t="str">
        <x:v>Mensual</x:v>
      </x:c>
      <x:c r="H2392" t="n">
        <x:v>1</x:v>
      </x:c>
      <x:c r="I2392" t="str">
        <x:v>Aprobado</x:v>
      </x:c>
      <x:c r="J2392" t="n">
        <x:v>29900</x:v>
      </x:c>
      <x:c r="K2392" t="str">
        <x:v>Tarjeta débito</x:v>
      </x:c>
      <x:c r="L2392" t="str">
        <x:v>Sin error</x:v>
      </x:c>
    </x:row>
    <x:row r="2393">
      <x:c r="A2393" t="str">
        <x:v>TXN-0002392</x:v>
      </x:c>
      <x:c r="B2393" t="str">
        <x:v>2026-09</x:v>
      </x:c>
      <x:c r="C2393" t="n">
        <x:v>46276</x:v>
      </x:c>
      <x:c r="D2393" t="str">
        <x:v>USR-00515</x:v>
      </x:c>
      <x:c r="E2393" t="str">
        <x:v>SUS-001280</x:v>
      </x:c>
      <x:c r="F2393" t="str">
        <x:v>Plus mensual</x:v>
      </x:c>
      <x:c r="G2393" t="str">
        <x:v>Mensual</x:v>
      </x:c>
      <x:c r="H2393" t="n">
        <x:v>1</x:v>
      </x:c>
      <x:c r="I2393" t="str">
        <x:v>Aprobado</x:v>
      </x:c>
      <x:c r="J2393" t="n">
        <x:v>29900</x:v>
      </x:c>
      <x:c r="K2393" t="str">
        <x:v>PSE</x:v>
      </x:c>
      <x:c r="L2393" t="str">
        <x:v>Sin error</x:v>
      </x:c>
    </x:row>
    <x:row r="2394">
      <x:c r="A2394" t="str">
        <x:v>TXN-0002393</x:v>
      </x:c>
      <x:c r="B2394" t="str">
        <x:v>2026-09</x:v>
      </x:c>
      <x:c r="C2394" t="n">
        <x:v>46274</x:v>
      </x:c>
      <x:c r="D2394" t="str">
        <x:v>USR-00516</x:v>
      </x:c>
      <x:c r="E2394" t="str">
        <x:v>SUS-001584</x:v>
      </x:c>
      <x:c r="F2394" t="str">
        <x:v>Plus mensual</x:v>
      </x:c>
      <x:c r="G2394" t="str">
        <x:v>Mensual</x:v>
      </x:c>
      <x:c r="H2394" t="n">
        <x:v>1</x:v>
      </x:c>
      <x:c r="I2394" t="str">
        <x:v>Aprobado</x:v>
      </x:c>
      <x:c r="J2394" t="n">
        <x:v>29900</x:v>
      </x:c>
      <x:c r="K2394" t="str">
        <x:v>Tarjeta débito</x:v>
      </x:c>
      <x:c r="L2394" t="str">
        <x:v>Sin error</x:v>
      </x:c>
    </x:row>
    <x:row r="2395">
      <x:c r="A2395" t="str">
        <x:v>TXN-0002394</x:v>
      </x:c>
      <x:c r="B2395" t="str">
        <x:v>2026-09</x:v>
      </x:c>
      <x:c r="C2395" t="n">
        <x:v>46272</x:v>
      </x:c>
      <x:c r="D2395" t="str">
        <x:v>USR-00517</x:v>
      </x:c>
      <x:c r="E2395" t="str">
        <x:v>SUS-000767</x:v>
      </x:c>
      <x:c r="F2395" t="str">
        <x:v>Plus mensual</x:v>
      </x:c>
      <x:c r="G2395" t="str">
        <x:v>Mensual</x:v>
      </x:c>
      <x:c r="H2395" t="n">
        <x:v>1</x:v>
      </x:c>
      <x:c r="I2395" t="str">
        <x:v>Aprobado</x:v>
      </x:c>
      <x:c r="J2395" t="n">
        <x:v>29900</x:v>
      </x:c>
      <x:c r="K2395" t="str">
        <x:v>Tarjeta crédito</x:v>
      </x:c>
      <x:c r="L2395" t="str">
        <x:v>Sin error</x:v>
      </x:c>
    </x:row>
    <x:row r="2396">
      <x:c r="A2396" t="str">
        <x:v>TXN-0002395</x:v>
      </x:c>
      <x:c r="B2396" t="str">
        <x:v>2026-09</x:v>
      </x:c>
      <x:c r="C2396" t="n">
        <x:v>46277</x:v>
      </x:c>
      <x:c r="D2396" t="str">
        <x:v>USR-00518</x:v>
      </x:c>
      <x:c r="E2396" t="str">
        <x:v>SUS-000696</x:v>
      </x:c>
      <x:c r="F2396" t="str">
        <x:v>Plus mensual</x:v>
      </x:c>
      <x:c r="G2396" t="str">
        <x:v>Mensual</x:v>
      </x:c>
      <x:c r="H2396" t="n">
        <x:v>1</x:v>
      </x:c>
      <x:c r="I2396" t="str">
        <x:v>Aprobado</x:v>
      </x:c>
      <x:c r="J2396" t="n">
        <x:v>29900</x:v>
      </x:c>
      <x:c r="K2396" t="str">
        <x:v>Tarjeta crédito</x:v>
      </x:c>
      <x:c r="L2396" t="str">
        <x:v>Sin error</x:v>
      </x:c>
    </x:row>
    <x:row r="2397">
      <x:c r="A2397" t="str">
        <x:v>TXN-0002396</x:v>
      </x:c>
      <x:c r="B2397" t="str">
        <x:v>2026-09</x:v>
      </x:c>
      <x:c r="C2397" t="n">
        <x:v>46274</x:v>
      </x:c>
      <x:c r="D2397" t="str">
        <x:v>USR-00520</x:v>
      </x:c>
      <x:c r="E2397" t="str">
        <x:v>SUS-001281</x:v>
      </x:c>
      <x:c r="F2397" t="str">
        <x:v>Plus mensual</x:v>
      </x:c>
      <x:c r="G2397" t="str">
        <x:v>Mensual</x:v>
      </x:c>
      <x:c r="H2397" t="n">
        <x:v>1</x:v>
      </x:c>
      <x:c r="I2397" t="str">
        <x:v>Aprobado</x:v>
      </x:c>
      <x:c r="J2397" t="n">
        <x:v>29900</x:v>
      </x:c>
      <x:c r="K2397" t="str">
        <x:v>Tarjeta crédito</x:v>
      </x:c>
      <x:c r="L2397" t="str">
        <x:v>Sin error</x:v>
      </x:c>
    </x:row>
    <x:row r="2398">
      <x:c r="A2398" t="str">
        <x:v>TXN-0002397</x:v>
      </x:c>
      <x:c r="B2398" t="str">
        <x:v>2026-09</x:v>
      </x:c>
      <x:c r="C2398" t="n">
        <x:v>46274</x:v>
      </x:c>
      <x:c r="D2398" t="str">
        <x:v>USR-00524</x:v>
      </x:c>
      <x:c r="E2398" t="str">
        <x:v>SUS-000876</x:v>
      </x:c>
      <x:c r="F2398" t="str">
        <x:v>Plus mensual</x:v>
      </x:c>
      <x:c r="G2398" t="str">
        <x:v>Mensual</x:v>
      </x:c>
      <x:c r="H2398" t="n">
        <x:v>1</x:v>
      </x:c>
      <x:c r="I2398" t="str">
        <x:v>Aprobado</x:v>
      </x:c>
      <x:c r="J2398" t="n">
        <x:v>29900</x:v>
      </x:c>
      <x:c r="K2398" t="str">
        <x:v>PSE</x:v>
      </x:c>
      <x:c r="L2398" t="str">
        <x:v>Sin error</x:v>
      </x:c>
    </x:row>
    <x:row r="2399">
      <x:c r="A2399" t="str">
        <x:v>TXN-0002398</x:v>
      </x:c>
      <x:c r="B2399" t="str">
        <x:v>2026-09</x:v>
      </x:c>
      <x:c r="C2399" t="n">
        <x:v>46271</x:v>
      </x:c>
      <x:c r="D2399" t="str">
        <x:v>USR-00527</x:v>
      </x:c>
      <x:c r="E2399" t="str">
        <x:v>SUS-000705</x:v>
      </x:c>
      <x:c r="F2399" t="str">
        <x:v>Plus mensual</x:v>
      </x:c>
      <x:c r="G2399" t="str">
        <x:v>Mensual</x:v>
      </x:c>
      <x:c r="H2399" t="n">
        <x:v>1</x:v>
      </x:c>
      <x:c r="I2399" t="str">
        <x:v>Aprobado</x:v>
      </x:c>
      <x:c r="J2399" t="n">
        <x:v>29900</x:v>
      </x:c>
      <x:c r="K2399" t="str">
        <x:v>PSE</x:v>
      </x:c>
      <x:c r="L2399" t="str">
        <x:v>Sin error</x:v>
      </x:c>
    </x:row>
    <x:row r="2400">
      <x:c r="A2400" t="str">
        <x:v>TXN-0002399</x:v>
      </x:c>
      <x:c r="B2400" t="str">
        <x:v>2026-09</x:v>
      </x:c>
      <x:c r="C2400" t="n">
        <x:v>46275</x:v>
      </x:c>
      <x:c r="D2400" t="str">
        <x:v>USR-00529</x:v>
      </x:c>
      <x:c r="E2400" t="str">
        <x:v>SUS-001436</x:v>
      </x:c>
      <x:c r="F2400" t="str">
        <x:v>Plus mensual</x:v>
      </x:c>
      <x:c r="G2400" t="str">
        <x:v>Mensual</x:v>
      </x:c>
      <x:c r="H2400" t="n">
        <x:v>1</x:v>
      </x:c>
      <x:c r="I2400" t="str">
        <x:v>Aprobado</x:v>
      </x:c>
      <x:c r="J2400" t="n">
        <x:v>29900</x:v>
      </x:c>
      <x:c r="K2400" t="str">
        <x:v>Tarjeta débito</x:v>
      </x:c>
      <x:c r="L2400" t="str">
        <x:v>Sin error</x:v>
      </x:c>
    </x:row>
    <x:row r="2401">
      <x:c r="A2401" t="str">
        <x:v>TXN-0002400</x:v>
      </x:c>
      <x:c r="B2401" t="str">
        <x:v>2026-09</x:v>
      </x:c>
      <x:c r="C2401" t="n">
        <x:v>46275</x:v>
      </x:c>
      <x:c r="D2401" t="str">
        <x:v>USR-00532</x:v>
      </x:c>
      <x:c r="E2401" t="str">
        <x:v>SUS-001136</x:v>
      </x:c>
      <x:c r="F2401" t="str">
        <x:v>Plus mensual</x:v>
      </x:c>
      <x:c r="G2401" t="str">
        <x:v>Mensual</x:v>
      </x:c>
      <x:c r="H2401" t="n">
        <x:v>1</x:v>
      </x:c>
      <x:c r="I2401" t="str">
        <x:v>Aprobado</x:v>
      </x:c>
      <x:c r="J2401" t="n">
        <x:v>29900</x:v>
      </x:c>
      <x:c r="K2401" t="str">
        <x:v>Tarjeta crédito</x:v>
      </x:c>
      <x:c r="L2401" t="str">
        <x:v>Sin error</x:v>
      </x:c>
    </x:row>
    <x:row r="2402">
      <x:c r="A2402" t="str">
        <x:v>TXN-0002401</x:v>
      </x:c>
      <x:c r="B2402" t="str">
        <x:v>2026-09</x:v>
      </x:c>
      <x:c r="C2402" t="n">
        <x:v>46271</x:v>
      </x:c>
      <x:c r="D2402" t="str">
        <x:v>USR-00534</x:v>
      </x:c>
      <x:c r="E2402" t="str">
        <x:v>SUS-000712</x:v>
      </x:c>
      <x:c r="F2402" t="str">
        <x:v>Plus mensual</x:v>
      </x:c>
      <x:c r="G2402" t="str">
        <x:v>Mensual</x:v>
      </x:c>
      <x:c r="H2402" t="n">
        <x:v>1</x:v>
      </x:c>
      <x:c r="I2402" t="str">
        <x:v>Aprobado</x:v>
      </x:c>
      <x:c r="J2402" t="n">
        <x:v>29900</x:v>
      </x:c>
      <x:c r="K2402" t="str">
        <x:v>Tarjeta débito</x:v>
      </x:c>
      <x:c r="L2402" t="str">
        <x:v>Sin error</x:v>
      </x:c>
    </x:row>
    <x:row r="2403">
      <x:c r="A2403" t="str">
        <x:v>TXN-0002402</x:v>
      </x:c>
      <x:c r="B2403" t="str">
        <x:v>2026-09</x:v>
      </x:c>
      <x:c r="C2403" t="n">
        <x:v>46274</x:v>
      </x:c>
      <x:c r="D2403" t="str">
        <x:v>USR-00535</x:v>
      </x:c>
      <x:c r="E2403" t="str">
        <x:v>SUS-000996</x:v>
      </x:c>
      <x:c r="F2403" t="str">
        <x:v>Plus mensual</x:v>
      </x:c>
      <x:c r="G2403" t="str">
        <x:v>Mensual</x:v>
      </x:c>
      <x:c r="H2403" t="n">
        <x:v>1</x:v>
      </x:c>
      <x:c r="I2403" t="str">
        <x:v>Rechazado</x:v>
      </x:c>
      <x:c r="J2403" t="n">
        <x:v>29900</x:v>
      </x:c>
      <x:c r="K2403" t="str">
        <x:v>Tarjeta crédito</x:v>
      </x:c>
      <x:c r="L2403" t="str">
        <x:v>Declinado por entidad</x:v>
      </x:c>
    </x:row>
    <x:row r="2404">
      <x:c r="A2404" t="str">
        <x:v>TXN-0002403</x:v>
      </x:c>
      <x:c r="B2404" t="str">
        <x:v>2026-09</x:v>
      </x:c>
      <x:c r="C2404" t="n">
        <x:v>46270</x:v>
      </x:c>
      <x:c r="D2404" t="str">
        <x:v>USR-00535</x:v>
      </x:c>
      <x:c r="E2404" t="str">
        <x:v>SUS-000996</x:v>
      </x:c>
      <x:c r="F2404" t="str">
        <x:v>Plus mensual</x:v>
      </x:c>
      <x:c r="G2404" t="str">
        <x:v>Mensual</x:v>
      </x:c>
      <x:c r="H2404" t="n">
        <x:v>2</x:v>
      </x:c>
      <x:c r="I2404" t="str">
        <x:v>Aprobado</x:v>
      </x:c>
      <x:c r="J2404" t="n">
        <x:v>29900</x:v>
      </x:c>
      <x:c r="K2404" t="str">
        <x:v>Tarjeta crédito</x:v>
      </x:c>
      <x:c r="L2404" t="str">
        <x:v>Sin error</x:v>
      </x:c>
    </x:row>
    <x:row r="2405">
      <x:c r="A2405" t="str">
        <x:v>TXN-0002404</x:v>
      </x:c>
      <x:c r="B2405" t="str">
        <x:v>2026-09</x:v>
      </x:c>
      <x:c r="C2405" t="n">
        <x:v>46276</x:v>
      </x:c>
      <x:c r="D2405" t="str">
        <x:v>USR-00539</x:v>
      </x:c>
      <x:c r="E2405" t="str">
        <x:v>SUS-001137</x:v>
      </x:c>
      <x:c r="F2405" t="str">
        <x:v>Plus mensual</x:v>
      </x:c>
      <x:c r="G2405" t="str">
        <x:v>Mensual</x:v>
      </x:c>
      <x:c r="H2405" t="n">
        <x:v>1</x:v>
      </x:c>
      <x:c r="I2405" t="str">
        <x:v>Aprobado</x:v>
      </x:c>
      <x:c r="J2405" t="n">
        <x:v>29900</x:v>
      </x:c>
      <x:c r="K2405" t="str">
        <x:v>Tarjeta débito</x:v>
      </x:c>
      <x:c r="L2405" t="str">
        <x:v>Sin error</x:v>
      </x:c>
    </x:row>
    <x:row r="2406">
      <x:c r="A2406" t="str">
        <x:v>TXN-0002405</x:v>
      </x:c>
      <x:c r="B2406" t="str">
        <x:v>2026-09</x:v>
      </x:c>
      <x:c r="C2406" t="n">
        <x:v>46271</x:v>
      </x:c>
      <x:c r="D2406" t="str">
        <x:v>USR-00543</x:v>
      </x:c>
      <x:c r="E2406" t="str">
        <x:v>SUS-001282</x:v>
      </x:c>
      <x:c r="F2406" t="str">
        <x:v>Plus mensual</x:v>
      </x:c>
      <x:c r="G2406" t="str">
        <x:v>Mensual</x:v>
      </x:c>
      <x:c r="H2406" t="n">
        <x:v>1</x:v>
      </x:c>
      <x:c r="I2406" t="str">
        <x:v>Aprobado</x:v>
      </x:c>
      <x:c r="J2406" t="n">
        <x:v>29900</x:v>
      </x:c>
      <x:c r="K2406" t="str">
        <x:v>Tarjeta crédito</x:v>
      </x:c>
      <x:c r="L2406" t="str">
        <x:v>Sin error</x:v>
      </x:c>
    </x:row>
    <x:row r="2407">
      <x:c r="A2407" t="str">
        <x:v>TXN-0002406</x:v>
      </x:c>
      <x:c r="B2407" t="str">
        <x:v>2026-09</x:v>
      </x:c>
      <x:c r="C2407" t="n">
        <x:v>46272</x:v>
      </x:c>
      <x:c r="D2407" t="str">
        <x:v>USR-00558</x:v>
      </x:c>
      <x:c r="E2407" t="str">
        <x:v>SUS-001725</x:v>
      </x:c>
      <x:c r="F2407" t="str">
        <x:v>Plus anual</x:v>
      </x:c>
      <x:c r="G2407" t="str">
        <x:v>Anual</x:v>
      </x:c>
      <x:c r="H2407" t="n">
        <x:v>1</x:v>
      </x:c>
      <x:c r="I2407" t="str">
        <x:v>Aprobado</x:v>
      </x:c>
      <x:c r="J2407" t="n">
        <x:v>299000</x:v>
      </x:c>
      <x:c r="K2407" t="str">
        <x:v>Tarjeta crédito</x:v>
      </x:c>
      <x:c r="L2407" t="str">
        <x:v>Sin error</x:v>
      </x:c>
    </x:row>
    <x:row r="2408">
      <x:c r="A2408" t="str">
        <x:v>TXN-0002407</x:v>
      </x:c>
      <x:c r="B2408" t="str">
        <x:v>2026-09</x:v>
      </x:c>
      <x:c r="C2408" t="n">
        <x:v>46275</x:v>
      </x:c>
      <x:c r="D2408" t="str">
        <x:v>USR-00560</x:v>
      </x:c>
      <x:c r="E2408" t="str">
        <x:v>SUS-000879</x:v>
      </x:c>
      <x:c r="F2408" t="str">
        <x:v>Plus mensual</x:v>
      </x:c>
      <x:c r="G2408" t="str">
        <x:v>Mensual</x:v>
      </x:c>
      <x:c r="H2408" t="n">
        <x:v>1</x:v>
      </x:c>
      <x:c r="I2408" t="str">
        <x:v>Aprobado</x:v>
      </x:c>
      <x:c r="J2408" t="n">
        <x:v>29900</x:v>
      </x:c>
      <x:c r="K2408" t="str">
        <x:v>PSE</x:v>
      </x:c>
      <x:c r="L2408" t="str">
        <x:v>Sin error</x:v>
      </x:c>
    </x:row>
    <x:row r="2409">
      <x:c r="A2409" t="str">
        <x:v>TXN-0002408</x:v>
      </x:c>
      <x:c r="B2409" t="str">
        <x:v>2026-09</x:v>
      </x:c>
      <x:c r="C2409" t="n">
        <x:v>46271</x:v>
      </x:c>
      <x:c r="D2409" t="str">
        <x:v>USR-00561</x:v>
      </x:c>
      <x:c r="E2409" t="str">
        <x:v>SUS-000880</x:v>
      </x:c>
      <x:c r="F2409" t="str">
        <x:v>Plus mensual</x:v>
      </x:c>
      <x:c r="G2409" t="str">
        <x:v>Mensual</x:v>
      </x:c>
      <x:c r="H2409" t="n">
        <x:v>1</x:v>
      </x:c>
      <x:c r="I2409" t="str">
        <x:v>Aprobado</x:v>
      </x:c>
      <x:c r="J2409" t="n">
        <x:v>29900</x:v>
      </x:c>
      <x:c r="K2409" t="str">
        <x:v>Tarjeta débito</x:v>
      </x:c>
      <x:c r="L2409" t="str">
        <x:v>Sin error</x:v>
      </x:c>
    </x:row>
    <x:row r="2410">
      <x:c r="A2410" t="str">
        <x:v>TXN-0002409</x:v>
      </x:c>
      <x:c r="B2410" t="str">
        <x:v>2026-09</x:v>
      </x:c>
      <x:c r="C2410" t="n">
        <x:v>46271</x:v>
      </x:c>
      <x:c r="D2410" t="str">
        <x:v>USR-00563</x:v>
      </x:c>
      <x:c r="E2410" t="str">
        <x:v>SUS-000777</x:v>
      </x:c>
      <x:c r="F2410" t="str">
        <x:v>Plus mensual</x:v>
      </x:c>
      <x:c r="G2410" t="str">
        <x:v>Mensual</x:v>
      </x:c>
      <x:c r="H2410" t="n">
        <x:v>1</x:v>
      </x:c>
      <x:c r="I2410" t="str">
        <x:v>Aprobado</x:v>
      </x:c>
      <x:c r="J2410" t="n">
        <x:v>29900</x:v>
      </x:c>
      <x:c r="K2410" t="str">
        <x:v>PSE</x:v>
      </x:c>
      <x:c r="L2410" t="str">
        <x:v>Sin error</x:v>
      </x:c>
    </x:row>
    <x:row r="2411">
      <x:c r="A2411" t="str">
        <x:v>TXN-0002410</x:v>
      </x:c>
      <x:c r="B2411" t="str">
        <x:v>2026-09</x:v>
      </x:c>
      <x:c r="C2411" t="n">
        <x:v>46271</x:v>
      </x:c>
      <x:c r="D2411" t="str">
        <x:v>USR-00565</x:v>
      </x:c>
      <x:c r="E2411" t="str">
        <x:v>SUS-001138</x:v>
      </x:c>
      <x:c r="F2411" t="str">
        <x:v>Plus mensual</x:v>
      </x:c>
      <x:c r="G2411" t="str">
        <x:v>Mensual</x:v>
      </x:c>
      <x:c r="H2411" t="n">
        <x:v>1</x:v>
      </x:c>
      <x:c r="I2411" t="str">
        <x:v>Aprobado</x:v>
      </x:c>
      <x:c r="J2411" t="n">
        <x:v>29900</x:v>
      </x:c>
      <x:c r="K2411" t="str">
        <x:v>PSE</x:v>
      </x:c>
      <x:c r="L2411" t="str">
        <x:v>Sin error</x:v>
      </x:c>
    </x:row>
    <x:row r="2412">
      <x:c r="A2412" t="str">
        <x:v>TXN-0002411</x:v>
      </x:c>
      <x:c r="B2412" t="str">
        <x:v>2026-09</x:v>
      </x:c>
      <x:c r="C2412" t="n">
        <x:v>46271</x:v>
      </x:c>
      <x:c r="D2412" t="str">
        <x:v>USR-00567</x:v>
      </x:c>
      <x:c r="E2412" t="str">
        <x:v>SUS-000999</x:v>
      </x:c>
      <x:c r="F2412" t="str">
        <x:v>Plus mensual</x:v>
      </x:c>
      <x:c r="G2412" t="str">
        <x:v>Mensual</x:v>
      </x:c>
      <x:c r="H2412" t="n">
        <x:v>1</x:v>
      </x:c>
      <x:c r="I2412" t="str">
        <x:v>Aprobado</x:v>
      </x:c>
      <x:c r="J2412" t="n">
        <x:v>29900</x:v>
      </x:c>
      <x:c r="K2412" t="str">
        <x:v>Tarjeta débito</x:v>
      </x:c>
      <x:c r="L2412" t="str">
        <x:v>Sin error</x:v>
      </x:c>
    </x:row>
    <x:row r="2413">
      <x:c r="A2413" t="str">
        <x:v>TXN-0002412</x:v>
      </x:c>
      <x:c r="B2413" t="str">
        <x:v>2026-09</x:v>
      </x:c>
      <x:c r="C2413" t="n">
        <x:v>46275</x:v>
      </x:c>
      <x:c r="D2413" t="str">
        <x:v>USR-00571</x:v>
      </x:c>
      <x:c r="E2413" t="str">
        <x:v>SUS-001285</x:v>
      </x:c>
      <x:c r="F2413" t="str">
        <x:v>Plus mensual</x:v>
      </x:c>
      <x:c r="G2413" t="str">
        <x:v>Mensual</x:v>
      </x:c>
      <x:c r="H2413" t="n">
        <x:v>1</x:v>
      </x:c>
      <x:c r="I2413" t="str">
        <x:v>Aprobado</x:v>
      </x:c>
      <x:c r="J2413" t="n">
        <x:v>29900</x:v>
      </x:c>
      <x:c r="K2413" t="str">
        <x:v>PSE</x:v>
      </x:c>
      <x:c r="L2413" t="str">
        <x:v>Sin error</x:v>
      </x:c>
    </x:row>
    <x:row r="2414">
      <x:c r="A2414" t="str">
        <x:v>TXN-0002413</x:v>
      </x:c>
      <x:c r="B2414" t="str">
        <x:v>2026-09</x:v>
      </x:c>
      <x:c r="C2414" t="n">
        <x:v>46270</x:v>
      </x:c>
      <x:c r="D2414" t="str">
        <x:v>USR-00572</x:v>
      </x:c>
      <x:c r="E2414" t="str">
        <x:v>SUS-001726</x:v>
      </x:c>
      <x:c r="F2414" t="str">
        <x:v>Plus mensual</x:v>
      </x:c>
      <x:c r="G2414" t="str">
        <x:v>Mensual</x:v>
      </x:c>
      <x:c r="H2414" t="n">
        <x:v>1</x:v>
      </x:c>
      <x:c r="I2414" t="str">
        <x:v>Aprobado</x:v>
      </x:c>
      <x:c r="J2414" t="n">
        <x:v>29900</x:v>
      </x:c>
      <x:c r="K2414" t="str">
        <x:v>Tarjeta crédito</x:v>
      </x:c>
      <x:c r="L2414" t="str">
        <x:v>Sin error</x:v>
      </x:c>
    </x:row>
    <x:row r="2415">
      <x:c r="A2415" t="str">
        <x:v>TXN-0002414</x:v>
      </x:c>
      <x:c r="B2415" t="str">
        <x:v>2026-09</x:v>
      </x:c>
      <x:c r="C2415" t="n">
        <x:v>46274</x:v>
      </x:c>
      <x:c r="D2415" t="str">
        <x:v>USR-00576</x:v>
      </x:c>
      <x:c r="E2415" t="str">
        <x:v>SIN_SUSCRIPCION</x:v>
      </x:c>
      <x:c r="F2415" t="str">
        <x:v>Plus mensual</x:v>
      </x:c>
      <x:c r="G2415" t="str">
        <x:v>Mensual</x:v>
      </x:c>
      <x:c r="H2415" t="n">
        <x:v>1</x:v>
      </x:c>
      <x:c r="I2415" t="str">
        <x:v>Rechazado</x:v>
      </x:c>
      <x:c r="J2415" t="n">
        <x:v>29900</x:v>
      </x:c>
      <x:c r="K2415" t="str">
        <x:v>Tarjeta crédito</x:v>
      </x:c>
      <x:c r="L2415" t="str">
        <x:v>Error temporal</x:v>
      </x:c>
    </x:row>
    <x:row r="2416">
      <x:c r="A2416" t="str">
        <x:v>TXN-0002415</x:v>
      </x:c>
      <x:c r="B2416" t="str">
        <x:v>2026-09</x:v>
      </x:c>
      <x:c r="C2416" t="n">
        <x:v>46274</x:v>
      </x:c>
      <x:c r="D2416" t="str">
        <x:v>USR-00576</x:v>
      </x:c>
      <x:c r="E2416" t="str">
        <x:v>SIN_SUSCRIPCION</x:v>
      </x:c>
      <x:c r="F2416" t="str">
        <x:v>Plus mensual</x:v>
      </x:c>
      <x:c r="G2416" t="str">
        <x:v>Mensual</x:v>
      </x:c>
      <x:c r="H2416" t="n">
        <x:v>2</x:v>
      </x:c>
      <x:c r="I2416" t="str">
        <x:v>Rechazado</x:v>
      </x:c>
      <x:c r="J2416" t="n">
        <x:v>29900</x:v>
      </x:c>
      <x:c r="K2416" t="str">
        <x:v>PSE</x:v>
      </x:c>
      <x:c r="L2416" t="str">
        <x:v>Declinado por entidad</x:v>
      </x:c>
    </x:row>
    <x:row r="2417">
      <x:c r="A2417" t="str">
        <x:v>TXN-0002416</x:v>
      </x:c>
      <x:c r="B2417" t="str">
        <x:v>2026-09</x:v>
      </x:c>
      <x:c r="C2417" t="n">
        <x:v>46270</x:v>
      </x:c>
      <x:c r="D2417" t="str">
        <x:v>USR-00587</x:v>
      </x:c>
      <x:c r="E2417" t="str">
        <x:v>SUS-000801</x:v>
      </x:c>
      <x:c r="F2417" t="str">
        <x:v>Plus mensual</x:v>
      </x:c>
      <x:c r="G2417" t="str">
        <x:v>Mensual</x:v>
      </x:c>
      <x:c r="H2417" t="n">
        <x:v>1</x:v>
      </x:c>
      <x:c r="I2417" t="str">
        <x:v>Rechazado</x:v>
      </x:c>
      <x:c r="J2417" t="n">
        <x:v>29900</x:v>
      </x:c>
      <x:c r="K2417" t="str">
        <x:v>Tarjeta crédito</x:v>
      </x:c>
      <x:c r="L2417" t="str">
        <x:v>Fondos insuficientes</x:v>
      </x:c>
    </x:row>
    <x:row r="2418">
      <x:c r="A2418" t="str">
        <x:v>TXN-0002417</x:v>
      </x:c>
      <x:c r="B2418" t="str">
        <x:v>2026-09</x:v>
      </x:c>
      <x:c r="C2418" t="n">
        <x:v>46270</x:v>
      </x:c>
      <x:c r="D2418" t="str">
        <x:v>USR-00587</x:v>
      </x:c>
      <x:c r="E2418" t="str">
        <x:v>SUS-000801</x:v>
      </x:c>
      <x:c r="F2418" t="str">
        <x:v>Plus mensual</x:v>
      </x:c>
      <x:c r="G2418" t="str">
        <x:v>Mensual</x:v>
      </x:c>
      <x:c r="H2418" t="n">
        <x:v>2</x:v>
      </x:c>
      <x:c r="I2418" t="str">
        <x:v>Aprobado</x:v>
      </x:c>
      <x:c r="J2418" t="n">
        <x:v>29900</x:v>
      </x:c>
      <x:c r="K2418" t="str">
        <x:v>Tarjeta crédito</x:v>
      </x:c>
      <x:c r="L2418" t="str">
        <x:v>Sin error</x:v>
      </x:c>
    </x:row>
    <x:row r="2419">
      <x:c r="A2419" t="str">
        <x:v>TXN-0002418</x:v>
      </x:c>
      <x:c r="B2419" t="str">
        <x:v>2026-09</x:v>
      </x:c>
      <x:c r="C2419" t="n">
        <x:v>46270</x:v>
      </x:c>
      <x:c r="D2419" t="str">
        <x:v>USR-00589</x:v>
      </x:c>
      <x:c r="E2419" t="str">
        <x:v>SUS-001442</x:v>
      </x:c>
      <x:c r="F2419" t="str">
        <x:v>Plus mensual</x:v>
      </x:c>
      <x:c r="G2419" t="str">
        <x:v>Mensual</x:v>
      </x:c>
      <x:c r="H2419" t="n">
        <x:v>1</x:v>
      </x:c>
      <x:c r="I2419" t="str">
        <x:v>Aprobado</x:v>
      </x:c>
      <x:c r="J2419" t="n">
        <x:v>29900</x:v>
      </x:c>
      <x:c r="K2419" t="str">
        <x:v>Tarjeta débito</x:v>
      </x:c>
      <x:c r="L2419" t="str">
        <x:v>Sin error</x:v>
      </x:c>
    </x:row>
    <x:row r="2420">
      <x:c r="A2420" t="str">
        <x:v>TXN-0002419</x:v>
      </x:c>
      <x:c r="B2420" t="str">
        <x:v>2026-09</x:v>
      </x:c>
      <x:c r="C2420" t="n">
        <x:v>46271</x:v>
      </x:c>
      <x:c r="D2420" t="str">
        <x:v>USR-00592</x:v>
      </x:c>
      <x:c r="E2420" t="str">
        <x:v>SUS-001001</x:v>
      </x:c>
      <x:c r="F2420" t="str">
        <x:v>Plus mensual</x:v>
      </x:c>
      <x:c r="G2420" t="str">
        <x:v>Mensual</x:v>
      </x:c>
      <x:c r="H2420" t="n">
        <x:v>1</x:v>
      </x:c>
      <x:c r="I2420" t="str">
        <x:v>Aprobado</x:v>
      </x:c>
      <x:c r="J2420" t="n">
        <x:v>29900</x:v>
      </x:c>
      <x:c r="K2420" t="str">
        <x:v>PSE</x:v>
      </x:c>
      <x:c r="L2420" t="str">
        <x:v>Sin error</x:v>
      </x:c>
    </x:row>
    <x:row r="2421">
      <x:c r="A2421" t="str">
        <x:v>TXN-0002420</x:v>
      </x:c>
      <x:c r="B2421" t="str">
        <x:v>2026-09</x:v>
      </x:c>
      <x:c r="C2421" t="n">
        <x:v>46277</x:v>
      </x:c>
      <x:c r="D2421" t="str">
        <x:v>USR-00594</x:v>
      </x:c>
      <x:c r="E2421" t="str">
        <x:v>SUS-001443</x:v>
      </x:c>
      <x:c r="F2421" t="str">
        <x:v>Plus mensual</x:v>
      </x:c>
      <x:c r="G2421" t="str">
        <x:v>Mensual</x:v>
      </x:c>
      <x:c r="H2421" t="n">
        <x:v>1</x:v>
      </x:c>
      <x:c r="I2421" t="str">
        <x:v>Aprobado</x:v>
      </x:c>
      <x:c r="J2421" t="n">
        <x:v>29900</x:v>
      </x:c>
      <x:c r="K2421" t="str">
        <x:v>PSE</x:v>
      </x:c>
      <x:c r="L2421" t="str">
        <x:v>Sin error</x:v>
      </x:c>
    </x:row>
    <x:row r="2422">
      <x:c r="A2422" t="str">
        <x:v>TXN-0002421</x:v>
      </x:c>
      <x:c r="B2422" t="str">
        <x:v>2026-09</x:v>
      </x:c>
      <x:c r="C2422" t="n">
        <x:v>46270</x:v>
      </x:c>
      <x:c r="D2422" t="str">
        <x:v>USR-00595</x:v>
      </x:c>
      <x:c r="E2422" t="str">
        <x:v>SUS-001728</x:v>
      </x:c>
      <x:c r="F2422" t="str">
        <x:v>Plus mensual</x:v>
      </x:c>
      <x:c r="G2422" t="str">
        <x:v>Mensual</x:v>
      </x:c>
      <x:c r="H2422" t="n">
        <x:v>1</x:v>
      </x:c>
      <x:c r="I2422" t="str">
        <x:v>Aprobado</x:v>
      </x:c>
      <x:c r="J2422" t="n">
        <x:v>29900</x:v>
      </x:c>
      <x:c r="K2422" t="str">
        <x:v>Tarjeta débito</x:v>
      </x:c>
      <x:c r="L2422" t="str">
        <x:v>Sin error</x:v>
      </x:c>
    </x:row>
    <x:row r="2423">
      <x:c r="A2423" t="str">
        <x:v>TXN-0002422</x:v>
      </x:c>
      <x:c r="B2423" t="str">
        <x:v>2026-09</x:v>
      </x:c>
      <x:c r="C2423" t="n">
        <x:v>46275</x:v>
      </x:c>
      <x:c r="D2423" t="str">
        <x:v>USR-00601</x:v>
      </x:c>
      <x:c r="E2423" t="str">
        <x:v>SUS-001445</x:v>
      </x:c>
      <x:c r="F2423" t="str">
        <x:v>Plus mensual</x:v>
      </x:c>
      <x:c r="G2423" t="str">
        <x:v>Mensual</x:v>
      </x:c>
      <x:c r="H2423" t="n">
        <x:v>1</x:v>
      </x:c>
      <x:c r="I2423" t="str">
        <x:v>Aprobado</x:v>
      </x:c>
      <x:c r="J2423" t="n">
        <x:v>29900</x:v>
      </x:c>
      <x:c r="K2423" t="str">
        <x:v>PSE</x:v>
      </x:c>
      <x:c r="L2423" t="str">
        <x:v>Sin error</x:v>
      </x:c>
    </x:row>
    <x:row r="2424">
      <x:c r="A2424" t="str">
        <x:v>TXN-0002423</x:v>
      </x:c>
      <x:c r="B2424" t="str">
        <x:v>2026-09</x:v>
      </x:c>
      <x:c r="C2424" t="n">
        <x:v>46273</x:v>
      </x:c>
      <x:c r="D2424" t="str">
        <x:v>USR-00602</x:v>
      </x:c>
      <x:c r="E2424" t="str">
        <x:v>SUS-000816</x:v>
      </x:c>
      <x:c r="F2424" t="str">
        <x:v>Plus mensual</x:v>
      </x:c>
      <x:c r="G2424" t="str">
        <x:v>Mensual</x:v>
      </x:c>
      <x:c r="H2424" t="n">
        <x:v>1</x:v>
      </x:c>
      <x:c r="I2424" t="str">
        <x:v>Aprobado</x:v>
      </x:c>
      <x:c r="J2424" t="n">
        <x:v>29900</x:v>
      </x:c>
      <x:c r="K2424" t="str">
        <x:v>Tarjeta débito</x:v>
      </x:c>
      <x:c r="L2424" t="str">
        <x:v>Sin error</x:v>
      </x:c>
    </x:row>
    <x:row r="2425">
      <x:c r="A2425" t="str">
        <x:v>TXN-0002424</x:v>
      </x:c>
      <x:c r="B2425" t="str">
        <x:v>2026-09</x:v>
      </x:c>
      <x:c r="C2425" t="n">
        <x:v>46273</x:v>
      </x:c>
      <x:c r="D2425" t="str">
        <x:v>USR-00603</x:v>
      </x:c>
      <x:c r="E2425" t="str">
        <x:v>SUS-001286</x:v>
      </x:c>
      <x:c r="F2425" t="str">
        <x:v>Plus mensual</x:v>
      </x:c>
      <x:c r="G2425" t="str">
        <x:v>Mensual</x:v>
      </x:c>
      <x:c r="H2425" t="n">
        <x:v>1</x:v>
      </x:c>
      <x:c r="I2425" t="str">
        <x:v>Aprobado</x:v>
      </x:c>
      <x:c r="J2425" t="n">
        <x:v>29900</x:v>
      </x:c>
      <x:c r="K2425" t="str">
        <x:v>PSE</x:v>
      </x:c>
      <x:c r="L2425" t="str">
        <x:v>Sin error</x:v>
      </x:c>
    </x:row>
    <x:row r="2426">
      <x:c r="A2426" t="str">
        <x:v>TXN-0002425</x:v>
      </x:c>
      <x:c r="B2426" t="str">
        <x:v>2026-09</x:v>
      </x:c>
      <x:c r="C2426" t="n">
        <x:v>46271</x:v>
      </x:c>
      <x:c r="D2426" t="str">
        <x:v>USR-00614</x:v>
      </x:c>
      <x:c r="E2426" t="str">
        <x:v>SUS-000885</x:v>
      </x:c>
      <x:c r="F2426" t="str">
        <x:v>Plus mensual</x:v>
      </x:c>
      <x:c r="G2426" t="str">
        <x:v>Mensual</x:v>
      </x:c>
      <x:c r="H2426" t="n">
        <x:v>1</x:v>
      </x:c>
      <x:c r="I2426" t="str">
        <x:v>Aprobado</x:v>
      </x:c>
      <x:c r="J2426" t="n">
        <x:v>29900</x:v>
      </x:c>
      <x:c r="K2426" t="str">
        <x:v>PSE</x:v>
      </x:c>
      <x:c r="L2426" t="str">
        <x:v>Sin error</x:v>
      </x:c>
    </x:row>
    <x:row r="2427">
      <x:c r="A2427" t="str">
        <x:v>TXN-0002426</x:v>
      </x:c>
      <x:c r="B2427" t="str">
        <x:v>2026-09</x:v>
      </x:c>
      <x:c r="C2427" t="n">
        <x:v>46272</x:v>
      </x:c>
      <x:c r="D2427" t="str">
        <x:v>USR-00624</x:v>
      </x:c>
      <x:c r="E2427" t="str">
        <x:v>SUS-001447</x:v>
      </x:c>
      <x:c r="F2427" t="str">
        <x:v>Plus mensual</x:v>
      </x:c>
      <x:c r="G2427" t="str">
        <x:v>Mensual</x:v>
      </x:c>
      <x:c r="H2427" t="n">
        <x:v>1</x:v>
      </x:c>
      <x:c r="I2427" t="str">
        <x:v>Aprobado</x:v>
      </x:c>
      <x:c r="J2427" t="n">
        <x:v>29900</x:v>
      </x:c>
      <x:c r="K2427" t="str">
        <x:v>Tarjeta crédito</x:v>
      </x:c>
      <x:c r="L2427" t="str">
        <x:v>Sin error</x:v>
      </x:c>
    </x:row>
    <x:row r="2428">
      <x:c r="A2428" t="str">
        <x:v>TXN-0002427</x:v>
      </x:c>
      <x:c r="B2428" t="str">
        <x:v>2026-09</x:v>
      </x:c>
      <x:c r="C2428" t="n">
        <x:v>46277</x:v>
      </x:c>
      <x:c r="D2428" t="str">
        <x:v>USR-00625</x:v>
      </x:c>
      <x:c r="E2428" t="str">
        <x:v>SUS-000888</x:v>
      </x:c>
      <x:c r="F2428" t="str">
        <x:v>Plus mensual</x:v>
      </x:c>
      <x:c r="G2428" t="str">
        <x:v>Mensual</x:v>
      </x:c>
      <x:c r="H2428" t="n">
        <x:v>1</x:v>
      </x:c>
      <x:c r="I2428" t="str">
        <x:v>Aprobado</x:v>
      </x:c>
      <x:c r="J2428" t="n">
        <x:v>29900</x:v>
      </x:c>
      <x:c r="K2428" t="str">
        <x:v>Tarjeta débito</x:v>
      </x:c>
      <x:c r="L2428" t="str">
        <x:v>Sin error</x:v>
      </x:c>
    </x:row>
    <x:row r="2429">
      <x:c r="A2429" t="str">
        <x:v>TXN-0002428</x:v>
      </x:c>
      <x:c r="B2429" t="str">
        <x:v>2026-09</x:v>
      </x:c>
      <x:c r="C2429" t="n">
        <x:v>46276</x:v>
      </x:c>
      <x:c r="D2429" t="str">
        <x:v>USR-00626</x:v>
      </x:c>
      <x:c r="E2429" t="str">
        <x:v>SUS-000889</x:v>
      </x:c>
      <x:c r="F2429" t="str">
        <x:v>Plus mensual</x:v>
      </x:c>
      <x:c r="G2429" t="str">
        <x:v>Mensual</x:v>
      </x:c>
      <x:c r="H2429" t="n">
        <x:v>1</x:v>
      </x:c>
      <x:c r="I2429" t="str">
        <x:v>Aprobado</x:v>
      </x:c>
      <x:c r="J2429" t="n">
        <x:v>29900</x:v>
      </x:c>
      <x:c r="K2429" t="str">
        <x:v>Tarjeta crédito</x:v>
      </x:c>
      <x:c r="L2429" t="str">
        <x:v>Sin error</x:v>
      </x:c>
    </x:row>
    <x:row r="2430">
      <x:c r="A2430" t="str">
        <x:v>TXN-0002429</x:v>
      </x:c>
      <x:c r="B2430" t="str">
        <x:v>2026-09</x:v>
      </x:c>
      <x:c r="C2430" t="n">
        <x:v>46275</x:v>
      </x:c>
      <x:c r="D2430" t="str">
        <x:v>USR-00628</x:v>
      </x:c>
      <x:c r="E2430" t="str">
        <x:v>SUS-001729</x:v>
      </x:c>
      <x:c r="F2430" t="str">
        <x:v>Plus anual</x:v>
      </x:c>
      <x:c r="G2430" t="str">
        <x:v>Anual</x:v>
      </x:c>
      <x:c r="H2430" t="n">
        <x:v>1</x:v>
      </x:c>
      <x:c r="I2430" t="str">
        <x:v>Aprobado</x:v>
      </x:c>
      <x:c r="J2430" t="n">
        <x:v>299000</x:v>
      </x:c>
      <x:c r="K2430" t="str">
        <x:v>PSE</x:v>
      </x:c>
      <x:c r="L2430" t="str">
        <x:v>Sin error</x:v>
      </x:c>
    </x:row>
    <x:row r="2431">
      <x:c r="A2431" t="str">
        <x:v>TXN-0002430</x:v>
      </x:c>
      <x:c r="B2431" t="str">
        <x:v>2026-09</x:v>
      </x:c>
      <x:c r="C2431" t="n">
        <x:v>46272</x:v>
      </x:c>
      <x:c r="D2431" t="str">
        <x:v>USR-00630</x:v>
      </x:c>
      <x:c r="E2431" t="str">
        <x:v>SUS-001730</x:v>
      </x:c>
      <x:c r="F2431" t="str">
        <x:v>Plus mensual</x:v>
      </x:c>
      <x:c r="G2431" t="str">
        <x:v>Mensual</x:v>
      </x:c>
      <x:c r="H2431" t="n">
        <x:v>1</x:v>
      </x:c>
      <x:c r="I2431" t="str">
        <x:v>Aprobado</x:v>
      </x:c>
      <x:c r="J2431" t="n">
        <x:v>29900</x:v>
      </x:c>
      <x:c r="K2431" t="str">
        <x:v>PSE</x:v>
      </x:c>
      <x:c r="L2431" t="str">
        <x:v>Sin error</x:v>
      </x:c>
    </x:row>
    <x:row r="2432">
      <x:c r="A2432" t="str">
        <x:v>TXN-0002431</x:v>
      </x:c>
      <x:c r="B2432" t="str">
        <x:v>2026-09</x:v>
      </x:c>
      <x:c r="C2432" t="n">
        <x:v>46276</x:v>
      </x:c>
      <x:c r="D2432" t="str">
        <x:v>USR-00639</x:v>
      </x:c>
      <x:c r="E2432" t="str">
        <x:v>SUS-001589</x:v>
      </x:c>
      <x:c r="F2432" t="str">
        <x:v>Plus mensual</x:v>
      </x:c>
      <x:c r="G2432" t="str">
        <x:v>Mensual</x:v>
      </x:c>
      <x:c r="H2432" t="n">
        <x:v>1</x:v>
      </x:c>
      <x:c r="I2432" t="str">
        <x:v>Aprobado</x:v>
      </x:c>
      <x:c r="J2432" t="n">
        <x:v>29900</x:v>
      </x:c>
      <x:c r="K2432" t="str">
        <x:v>PSE</x:v>
      </x:c>
      <x:c r="L2432" t="str">
        <x:v>Sin error</x:v>
      </x:c>
    </x:row>
    <x:row r="2433">
      <x:c r="A2433" t="str">
        <x:v>TXN-0002432</x:v>
      </x:c>
      <x:c r="B2433" t="str">
        <x:v>2026-09</x:v>
      </x:c>
      <x:c r="C2433" t="n">
        <x:v>46274</x:v>
      </x:c>
      <x:c r="D2433" t="str">
        <x:v>USR-00648</x:v>
      </x:c>
      <x:c r="E2433" t="str">
        <x:v>SUS-000911</x:v>
      </x:c>
      <x:c r="F2433" t="str">
        <x:v>Plus mensual</x:v>
      </x:c>
      <x:c r="G2433" t="str">
        <x:v>Mensual</x:v>
      </x:c>
      <x:c r="H2433" t="n">
        <x:v>1</x:v>
      </x:c>
      <x:c r="I2433" t="str">
        <x:v>Aprobado</x:v>
      </x:c>
      <x:c r="J2433" t="n">
        <x:v>29900</x:v>
      </x:c>
      <x:c r="K2433" t="str">
        <x:v>Tarjeta crédito</x:v>
      </x:c>
      <x:c r="L2433" t="str">
        <x:v>Sin error</x:v>
      </x:c>
    </x:row>
    <x:row r="2434">
      <x:c r="A2434" t="str">
        <x:v>TXN-0002433</x:v>
      </x:c>
      <x:c r="B2434" t="str">
        <x:v>2026-09</x:v>
      </x:c>
      <x:c r="C2434" t="n">
        <x:v>46270</x:v>
      </x:c>
      <x:c r="D2434" t="str">
        <x:v>USR-00653</x:v>
      </x:c>
      <x:c r="E2434" t="str">
        <x:v>SUS-001291</x:v>
      </x:c>
      <x:c r="F2434" t="str">
        <x:v>Plus mensual</x:v>
      </x:c>
      <x:c r="G2434" t="str">
        <x:v>Mensual</x:v>
      </x:c>
      <x:c r="H2434" t="n">
        <x:v>1</x:v>
      </x:c>
      <x:c r="I2434" t="str">
        <x:v>Aprobado</x:v>
      </x:c>
      <x:c r="J2434" t="n">
        <x:v>29900</x:v>
      </x:c>
      <x:c r="K2434" t="str">
        <x:v>PSE</x:v>
      </x:c>
      <x:c r="L2434" t="str">
        <x:v>Sin error</x:v>
      </x:c>
    </x:row>
    <x:row r="2435">
      <x:c r="A2435" t="str">
        <x:v>TXN-0002434</x:v>
      </x:c>
      <x:c r="B2435" t="str">
        <x:v>2026-09</x:v>
      </x:c>
      <x:c r="C2435" t="n">
        <x:v>46277</x:v>
      </x:c>
      <x:c r="D2435" t="str">
        <x:v>USR-00654</x:v>
      </x:c>
      <x:c r="E2435" t="str">
        <x:v>SUS-000917</x:v>
      </x:c>
      <x:c r="F2435" t="str">
        <x:v>Plus mensual</x:v>
      </x:c>
      <x:c r="G2435" t="str">
        <x:v>Mensual</x:v>
      </x:c>
      <x:c r="H2435" t="n">
        <x:v>1</x:v>
      </x:c>
      <x:c r="I2435" t="str">
        <x:v>Aprobado</x:v>
      </x:c>
      <x:c r="J2435" t="n">
        <x:v>29900</x:v>
      </x:c>
      <x:c r="K2435" t="str">
        <x:v>PSE</x:v>
      </x:c>
      <x:c r="L2435" t="str">
        <x:v>Sin error</x:v>
      </x:c>
    </x:row>
    <x:row r="2436">
      <x:c r="A2436" t="str">
        <x:v>TXN-0002435</x:v>
      </x:c>
      <x:c r="B2436" t="str">
        <x:v>2026-09</x:v>
      </x:c>
      <x:c r="C2436" t="n">
        <x:v>46272</x:v>
      </x:c>
      <x:c r="D2436" t="str">
        <x:v>USR-00662</x:v>
      </x:c>
      <x:c r="E2436" t="str">
        <x:v>SUS-001293</x:v>
      </x:c>
      <x:c r="F2436" t="str">
        <x:v>Plus mensual</x:v>
      </x:c>
      <x:c r="G2436" t="str">
        <x:v>Mensual</x:v>
      </x:c>
      <x:c r="H2436" t="n">
        <x:v>1</x:v>
      </x:c>
      <x:c r="I2436" t="str">
        <x:v>Aprobado</x:v>
      </x:c>
      <x:c r="J2436" t="n">
        <x:v>29900</x:v>
      </x:c>
      <x:c r="K2436" t="str">
        <x:v>Tarjeta débito</x:v>
      </x:c>
      <x:c r="L2436" t="str">
        <x:v>Sin error</x:v>
      </x:c>
    </x:row>
    <x:row r="2437">
      <x:c r="A2437" t="str">
        <x:v>TXN-0002436</x:v>
      </x:c>
      <x:c r="B2437" t="str">
        <x:v>2026-09</x:v>
      </x:c>
      <x:c r="C2437" t="n">
        <x:v>46276</x:v>
      </x:c>
      <x:c r="D2437" t="str">
        <x:v>USR-00664</x:v>
      </x:c>
      <x:c r="E2437" t="str">
        <x:v>SUS-001732</x:v>
      </x:c>
      <x:c r="F2437" t="str">
        <x:v>Plus anual</x:v>
      </x:c>
      <x:c r="G2437" t="str">
        <x:v>Anual</x:v>
      </x:c>
      <x:c r="H2437" t="n">
        <x:v>1</x:v>
      </x:c>
      <x:c r="I2437" t="str">
        <x:v>Aprobado</x:v>
      </x:c>
      <x:c r="J2437" t="n">
        <x:v>299000</x:v>
      </x:c>
      <x:c r="K2437" t="str">
        <x:v>Tarjeta crédito</x:v>
      </x:c>
      <x:c r="L2437" t="str">
        <x:v>Sin error</x:v>
      </x:c>
    </x:row>
    <x:row r="2438">
      <x:c r="A2438" t="str">
        <x:v>TXN-0002437</x:v>
      </x:c>
      <x:c r="B2438" t="str">
        <x:v>2026-09</x:v>
      </x:c>
      <x:c r="C2438" t="n">
        <x:v>46271</x:v>
      </x:c>
      <x:c r="D2438" t="str">
        <x:v>USR-00669</x:v>
      </x:c>
      <x:c r="E2438" t="str">
        <x:v>SUS-000932</x:v>
      </x:c>
      <x:c r="F2438" t="str">
        <x:v>Plus mensual</x:v>
      </x:c>
      <x:c r="G2438" t="str">
        <x:v>Mensual</x:v>
      </x:c>
      <x:c r="H2438" t="n">
        <x:v>1</x:v>
      </x:c>
      <x:c r="I2438" t="str">
        <x:v>Aprobado</x:v>
      </x:c>
      <x:c r="J2438" t="n">
        <x:v>29900</x:v>
      </x:c>
      <x:c r="K2438" t="str">
        <x:v>PSE</x:v>
      </x:c>
      <x:c r="L2438" t="str">
        <x:v>Sin error</x:v>
      </x:c>
    </x:row>
    <x:row r="2439">
      <x:c r="A2439" t="str">
        <x:v>TXN-0002438</x:v>
      </x:c>
      <x:c r="B2439" t="str">
        <x:v>2026-09</x:v>
      </x:c>
      <x:c r="C2439" t="n">
        <x:v>46275</x:v>
      </x:c>
      <x:c r="D2439" t="str">
        <x:v>USR-00678</x:v>
      </x:c>
      <x:c r="E2439" t="str">
        <x:v>SUS-000941</x:v>
      </x:c>
      <x:c r="F2439" t="str">
        <x:v>Plus mensual</x:v>
      </x:c>
      <x:c r="G2439" t="str">
        <x:v>Mensual</x:v>
      </x:c>
      <x:c r="H2439" t="n">
        <x:v>1</x:v>
      </x:c>
      <x:c r="I2439" t="str">
        <x:v>Aprobado</x:v>
      </x:c>
      <x:c r="J2439" t="n">
        <x:v>29900</x:v>
      </x:c>
      <x:c r="K2439" t="str">
        <x:v>Tarjeta crédito</x:v>
      </x:c>
      <x:c r="L2439" t="str">
        <x:v>Sin error</x:v>
      </x:c>
    </x:row>
    <x:row r="2440">
      <x:c r="A2440" t="str">
        <x:v>TXN-0002439</x:v>
      </x:c>
      <x:c r="B2440" t="str">
        <x:v>2026-09</x:v>
      </x:c>
      <x:c r="C2440" t="n">
        <x:v>46277</x:v>
      </x:c>
      <x:c r="D2440" t="str">
        <x:v>USR-00680</x:v>
      </x:c>
      <x:c r="E2440" t="str">
        <x:v>SUS-001451</x:v>
      </x:c>
      <x:c r="F2440" t="str">
        <x:v>Plus mensual</x:v>
      </x:c>
      <x:c r="G2440" t="str">
        <x:v>Mensual</x:v>
      </x:c>
      <x:c r="H2440" t="n">
        <x:v>1</x:v>
      </x:c>
      <x:c r="I2440" t="str">
        <x:v>Aprobado</x:v>
      </x:c>
      <x:c r="J2440" t="n">
        <x:v>29900</x:v>
      </x:c>
      <x:c r="K2440" t="str">
        <x:v>Tarjeta crédito</x:v>
      </x:c>
      <x:c r="L2440" t="str">
        <x:v>Sin error</x:v>
      </x:c>
    </x:row>
    <x:row r="2441">
      <x:c r="A2441" t="str">
        <x:v>TXN-0002440</x:v>
      </x:c>
      <x:c r="B2441" t="str">
        <x:v>2026-09</x:v>
      </x:c>
      <x:c r="C2441" t="n">
        <x:v>46274</x:v>
      </x:c>
      <x:c r="D2441" t="str">
        <x:v>USR-00689</x:v>
      </x:c>
      <x:c r="E2441" t="str">
        <x:v>SUS-001452</x:v>
      </x:c>
      <x:c r="F2441" t="str">
        <x:v>Plus mensual</x:v>
      </x:c>
      <x:c r="G2441" t="str">
        <x:v>Mensual</x:v>
      </x:c>
      <x:c r="H2441" t="n">
        <x:v>1</x:v>
      </x:c>
      <x:c r="I2441" t="str">
        <x:v>Aprobado</x:v>
      </x:c>
      <x:c r="J2441" t="n">
        <x:v>29900</x:v>
      </x:c>
      <x:c r="K2441" t="str">
        <x:v>PSE</x:v>
      </x:c>
      <x:c r="L2441" t="str">
        <x:v>Sin error</x:v>
      </x:c>
    </x:row>
    <x:row r="2442">
      <x:c r="A2442" t="str">
        <x:v>TXN-0002441</x:v>
      </x:c>
      <x:c r="B2442" t="str">
        <x:v>2026-09</x:v>
      </x:c>
      <x:c r="C2442" t="n">
        <x:v>46273</x:v>
      </x:c>
      <x:c r="D2442" t="str">
        <x:v>USR-00694</x:v>
      </x:c>
      <x:c r="E2442" t="str">
        <x:v>SIN_SUSCRIPCION</x:v>
      </x:c>
      <x:c r="F2442" t="str">
        <x:v>Plus mensual</x:v>
      </x:c>
      <x:c r="G2442" t="str">
        <x:v>Mensual</x:v>
      </x:c>
      <x:c r="H2442" t="n">
        <x:v>1</x:v>
      </x:c>
      <x:c r="I2442" t="str">
        <x:v>Rechazado</x:v>
      </x:c>
      <x:c r="J2442" t="n">
        <x:v>29900</x:v>
      </x:c>
      <x:c r="K2442" t="str">
        <x:v>PSE</x:v>
      </x:c>
      <x:c r="L2442" t="str">
        <x:v>Error temporal</x:v>
      </x:c>
    </x:row>
    <x:row r="2443">
      <x:c r="A2443" t="str">
        <x:v>TXN-0002442</x:v>
      </x:c>
      <x:c r="B2443" t="str">
        <x:v>2026-09</x:v>
      </x:c>
      <x:c r="C2443" t="n">
        <x:v>46271</x:v>
      </x:c>
      <x:c r="D2443" t="str">
        <x:v>USR-00694</x:v>
      </x:c>
      <x:c r="E2443" t="str">
        <x:v>SIN_SUSCRIPCION</x:v>
      </x:c>
      <x:c r="F2443" t="str">
        <x:v>Plus mensual</x:v>
      </x:c>
      <x:c r="G2443" t="str">
        <x:v>Mensual</x:v>
      </x:c>
      <x:c r="H2443" t="n">
        <x:v>2</x:v>
      </x:c>
      <x:c r="I2443" t="str">
        <x:v>Rechazado</x:v>
      </x:c>
      <x:c r="J2443" t="n">
        <x:v>29900</x:v>
      </x:c>
      <x:c r="K2443" t="str">
        <x:v>PSE</x:v>
      </x:c>
      <x:c r="L2443" t="str">
        <x:v>Error temporal</x:v>
      </x:c>
    </x:row>
    <x:row r="2444">
      <x:c r="A2444" t="str">
        <x:v>TXN-0002443</x:v>
      </x:c>
      <x:c r="B2444" t="str">
        <x:v>2026-09</x:v>
      </x:c>
      <x:c r="C2444" t="n">
        <x:v>46275</x:v>
      </x:c>
      <x:c r="D2444" t="str">
        <x:v>USR-00712</x:v>
      </x:c>
      <x:c r="E2444" t="str">
        <x:v>SUS-001147</x:v>
      </x:c>
      <x:c r="F2444" t="str">
        <x:v>Plus mensual</x:v>
      </x:c>
      <x:c r="G2444" t="str">
        <x:v>Mensual</x:v>
      </x:c>
      <x:c r="H2444" t="n">
        <x:v>1</x:v>
      </x:c>
      <x:c r="I2444" t="str">
        <x:v>Aprobado</x:v>
      </x:c>
      <x:c r="J2444" t="n">
        <x:v>29900</x:v>
      </x:c>
      <x:c r="K2444" t="str">
        <x:v>PSE</x:v>
      </x:c>
      <x:c r="L2444" t="str">
        <x:v>Sin error</x:v>
      </x:c>
    </x:row>
    <x:row r="2445">
      <x:c r="A2445" t="str">
        <x:v>TXN-0002444</x:v>
      </x:c>
      <x:c r="B2445" t="str">
        <x:v>2026-09</x:v>
      </x:c>
      <x:c r="C2445" t="n">
        <x:v>46271</x:v>
      </x:c>
      <x:c r="D2445" t="str">
        <x:v>USR-00715</x:v>
      </x:c>
      <x:c r="E2445" t="str">
        <x:v>SUS-001028</x:v>
      </x:c>
      <x:c r="F2445" t="str">
        <x:v>Plus mensual</x:v>
      </x:c>
      <x:c r="G2445" t="str">
        <x:v>Mensual</x:v>
      </x:c>
      <x:c r="H2445" t="n">
        <x:v>1</x:v>
      </x:c>
      <x:c r="I2445" t="str">
        <x:v>Aprobado</x:v>
      </x:c>
      <x:c r="J2445" t="n">
        <x:v>29900</x:v>
      </x:c>
      <x:c r="K2445" t="str">
        <x:v>Tarjeta crédito</x:v>
      </x:c>
      <x:c r="L2445" t="str">
        <x:v>Sin error</x:v>
      </x:c>
    </x:row>
    <x:row r="2446">
      <x:c r="A2446" t="str">
        <x:v>TXN-0002445</x:v>
      </x:c>
      <x:c r="B2446" t="str">
        <x:v>2026-09</x:v>
      </x:c>
      <x:c r="C2446" t="n">
        <x:v>46276</x:v>
      </x:c>
      <x:c r="D2446" t="str">
        <x:v>USR-00719</x:v>
      </x:c>
      <x:c r="E2446" t="str">
        <x:v>SUS-001591</x:v>
      </x:c>
      <x:c r="F2446" t="str">
        <x:v>Plus mensual</x:v>
      </x:c>
      <x:c r="G2446" t="str">
        <x:v>Mensual</x:v>
      </x:c>
      <x:c r="H2446" t="n">
        <x:v>1</x:v>
      </x:c>
      <x:c r="I2446" t="str">
        <x:v>Aprobado</x:v>
      </x:c>
      <x:c r="J2446" t="n">
        <x:v>29900</x:v>
      </x:c>
      <x:c r="K2446" t="str">
        <x:v>PSE</x:v>
      </x:c>
      <x:c r="L2446" t="str">
        <x:v>Sin error</x:v>
      </x:c>
    </x:row>
    <x:row r="2447">
      <x:c r="A2447" t="str">
        <x:v>TXN-0002446</x:v>
      </x:c>
      <x:c r="B2447" t="str">
        <x:v>2026-09</x:v>
      </x:c>
      <x:c r="C2447" t="n">
        <x:v>46271</x:v>
      </x:c>
      <x:c r="D2447" t="str">
        <x:v>USR-00720</x:v>
      </x:c>
      <x:c r="E2447" t="str">
        <x:v>SUS-001033</x:v>
      </x:c>
      <x:c r="F2447" t="str">
        <x:v>Plus mensual</x:v>
      </x:c>
      <x:c r="G2447" t="str">
        <x:v>Mensual</x:v>
      </x:c>
      <x:c r="H2447" t="n">
        <x:v>1</x:v>
      </x:c>
      <x:c r="I2447" t="str">
        <x:v>Aprobado</x:v>
      </x:c>
      <x:c r="J2447" t="n">
        <x:v>29900</x:v>
      </x:c>
      <x:c r="K2447" t="str">
        <x:v>PSE</x:v>
      </x:c>
      <x:c r="L2447" t="str">
        <x:v>Sin error</x:v>
      </x:c>
    </x:row>
    <x:row r="2448">
      <x:c r="A2448" t="str">
        <x:v>TXN-0002447</x:v>
      </x:c>
      <x:c r="B2448" t="str">
        <x:v>2026-09</x:v>
      </x:c>
      <x:c r="C2448" t="n">
        <x:v>46273</x:v>
      </x:c>
      <x:c r="D2448" t="str">
        <x:v>USR-00721</x:v>
      </x:c>
      <x:c r="E2448" t="str">
        <x:v>SUS-001736</x:v>
      </x:c>
      <x:c r="F2448" t="str">
        <x:v>Plus mensual</x:v>
      </x:c>
      <x:c r="G2448" t="str">
        <x:v>Mensual</x:v>
      </x:c>
      <x:c r="H2448" t="n">
        <x:v>1</x:v>
      </x:c>
      <x:c r="I2448" t="str">
        <x:v>Aprobado</x:v>
      </x:c>
      <x:c r="J2448" t="n">
        <x:v>29900</x:v>
      </x:c>
      <x:c r="K2448" t="str">
        <x:v>Tarjeta crédito</x:v>
      </x:c>
      <x:c r="L2448" t="str">
        <x:v>Sin error</x:v>
      </x:c>
    </x:row>
    <x:row r="2449">
      <x:c r="A2449" t="str">
        <x:v>TXN-0002448</x:v>
      </x:c>
      <x:c r="B2449" t="str">
        <x:v>2026-09</x:v>
      </x:c>
      <x:c r="C2449" t="n">
        <x:v>46272</x:v>
      </x:c>
      <x:c r="D2449" t="str">
        <x:v>USR-00722</x:v>
      </x:c>
      <x:c r="E2449" t="str">
        <x:v>SIN_SUSCRIPCION</x:v>
      </x:c>
      <x:c r="F2449" t="str">
        <x:v>Plus mensual</x:v>
      </x:c>
      <x:c r="G2449" t="str">
        <x:v>Mensual</x:v>
      </x:c>
      <x:c r="H2449" t="n">
        <x:v>1</x:v>
      </x:c>
      <x:c r="I2449" t="str">
        <x:v>Rechazado</x:v>
      </x:c>
      <x:c r="J2449" t="n">
        <x:v>29900</x:v>
      </x:c>
      <x:c r="K2449" t="str">
        <x:v>PSE</x:v>
      </x:c>
      <x:c r="L2449" t="str">
        <x:v>Fondos insuficientes</x:v>
      </x:c>
    </x:row>
    <x:row r="2450">
      <x:c r="A2450" t="str">
        <x:v>TXN-0002449</x:v>
      </x:c>
      <x:c r="B2450" t="str">
        <x:v>2026-09</x:v>
      </x:c>
      <x:c r="C2450" t="n">
        <x:v>46275</x:v>
      </x:c>
      <x:c r="D2450" t="str">
        <x:v>USR-00722</x:v>
      </x:c>
      <x:c r="E2450" t="str">
        <x:v>SIN_SUSCRIPCION</x:v>
      </x:c>
      <x:c r="F2450" t="str">
        <x:v>Plus mensual</x:v>
      </x:c>
      <x:c r="G2450" t="str">
        <x:v>Mensual</x:v>
      </x:c>
      <x:c r="H2450" t="n">
        <x:v>2</x:v>
      </x:c>
      <x:c r="I2450" t="str">
        <x:v>Rechazado</x:v>
      </x:c>
      <x:c r="J2450" t="n">
        <x:v>29900</x:v>
      </x:c>
      <x:c r="K2450" t="str">
        <x:v>PSE</x:v>
      </x:c>
      <x:c r="L2450" t="str">
        <x:v>Error temporal</x:v>
      </x:c>
    </x:row>
    <x:row r="2451">
      <x:c r="A2451" t="str">
        <x:v>TXN-0002450</x:v>
      </x:c>
      <x:c r="B2451" t="str">
        <x:v>2026-09</x:v>
      </x:c>
      <x:c r="C2451" t="n">
        <x:v>46276</x:v>
      </x:c>
      <x:c r="D2451" t="str">
        <x:v>USR-00725</x:v>
      </x:c>
      <x:c r="E2451" t="str">
        <x:v>SUS-001038</x:v>
      </x:c>
      <x:c r="F2451" t="str">
        <x:v>Plus mensual</x:v>
      </x:c>
      <x:c r="G2451" t="str">
        <x:v>Mensual</x:v>
      </x:c>
      <x:c r="H2451" t="n">
        <x:v>1</x:v>
      </x:c>
      <x:c r="I2451" t="str">
        <x:v>Aprobado</x:v>
      </x:c>
      <x:c r="J2451" t="n">
        <x:v>29900</x:v>
      </x:c>
      <x:c r="K2451" t="str">
        <x:v>Tarjeta crédito</x:v>
      </x:c>
      <x:c r="L2451" t="str">
        <x:v>Sin error</x:v>
      </x:c>
    </x:row>
    <x:row r="2452">
      <x:c r="A2452" t="str">
        <x:v>TXN-0002451</x:v>
      </x:c>
      <x:c r="B2452" t="str">
        <x:v>2026-09</x:v>
      </x:c>
      <x:c r="C2452" t="n">
        <x:v>46271</x:v>
      </x:c>
      <x:c r="D2452" t="str">
        <x:v>USR-00732</x:v>
      </x:c>
      <x:c r="E2452" t="str">
        <x:v>SUS-001457</x:v>
      </x:c>
      <x:c r="F2452" t="str">
        <x:v>Plus mensual</x:v>
      </x:c>
      <x:c r="G2452" t="str">
        <x:v>Mensual</x:v>
      </x:c>
      <x:c r="H2452" t="n">
        <x:v>1</x:v>
      </x:c>
      <x:c r="I2452" t="str">
        <x:v>Aprobado</x:v>
      </x:c>
      <x:c r="J2452" t="n">
        <x:v>29900</x:v>
      </x:c>
      <x:c r="K2452" t="str">
        <x:v>PSE</x:v>
      </x:c>
      <x:c r="L2452" t="str">
        <x:v>Sin error</x:v>
      </x:c>
    </x:row>
    <x:row r="2453">
      <x:c r="A2453" t="str">
        <x:v>TXN-0002452</x:v>
      </x:c>
      <x:c r="B2453" t="str">
        <x:v>2026-09</x:v>
      </x:c>
      <x:c r="C2453" t="n">
        <x:v>46276</x:v>
      </x:c>
      <x:c r="D2453" t="str">
        <x:v>USR-00733</x:v>
      </x:c>
      <x:c r="E2453" t="str">
        <x:v>SUS-001046</x:v>
      </x:c>
      <x:c r="F2453" t="str">
        <x:v>Plus mensual</x:v>
      </x:c>
      <x:c r="G2453" t="str">
        <x:v>Mensual</x:v>
      </x:c>
      <x:c r="H2453" t="n">
        <x:v>1</x:v>
      </x:c>
      <x:c r="I2453" t="str">
        <x:v>Aprobado</x:v>
      </x:c>
      <x:c r="J2453" t="n">
        <x:v>29900</x:v>
      </x:c>
      <x:c r="K2453" t="str">
        <x:v>Tarjeta débito</x:v>
      </x:c>
      <x:c r="L2453" t="str">
        <x:v>Sin error</x:v>
      </x:c>
    </x:row>
    <x:row r="2454">
      <x:c r="A2454" t="str">
        <x:v>TXN-0002453</x:v>
      </x:c>
      <x:c r="B2454" t="str">
        <x:v>2026-09</x:v>
      </x:c>
      <x:c r="C2454" t="n">
        <x:v>46271</x:v>
      </x:c>
      <x:c r="D2454" t="str">
        <x:v>USR-00735</x:v>
      </x:c>
      <x:c r="E2454" t="str">
        <x:v>SUS-001296</x:v>
      </x:c>
      <x:c r="F2454" t="str">
        <x:v>Plus mensual</x:v>
      </x:c>
      <x:c r="G2454" t="str">
        <x:v>Mensual</x:v>
      </x:c>
      <x:c r="H2454" t="n">
        <x:v>1</x:v>
      </x:c>
      <x:c r="I2454" t="str">
        <x:v>Aprobado</x:v>
      </x:c>
      <x:c r="J2454" t="n">
        <x:v>29900</x:v>
      </x:c>
      <x:c r="K2454" t="str">
        <x:v>Tarjeta crédito</x:v>
      </x:c>
      <x:c r="L2454" t="str">
        <x:v>Sin error</x:v>
      </x:c>
    </x:row>
    <x:row r="2455">
      <x:c r="A2455" t="str">
        <x:v>TXN-0002454</x:v>
      </x:c>
      <x:c r="B2455" t="str">
        <x:v>2026-09</x:v>
      </x:c>
      <x:c r="C2455" t="n">
        <x:v>46274</x:v>
      </x:c>
      <x:c r="D2455" t="str">
        <x:v>USR-00736</x:v>
      </x:c>
      <x:c r="E2455" t="str">
        <x:v>SUS-001049</x:v>
      </x:c>
      <x:c r="F2455" t="str">
        <x:v>Plus mensual</x:v>
      </x:c>
      <x:c r="G2455" t="str">
        <x:v>Mensual</x:v>
      </x:c>
      <x:c r="H2455" t="n">
        <x:v>1</x:v>
      </x:c>
      <x:c r="I2455" t="str">
        <x:v>Aprobado</x:v>
      </x:c>
      <x:c r="J2455" t="n">
        <x:v>29900</x:v>
      </x:c>
      <x:c r="K2455" t="str">
        <x:v>Tarjeta débito</x:v>
      </x:c>
      <x:c r="L2455" t="str">
        <x:v>Sin error</x:v>
      </x:c>
    </x:row>
    <x:row r="2456">
      <x:c r="A2456" t="str">
        <x:v>TXN-0002455</x:v>
      </x:c>
      <x:c r="B2456" t="str">
        <x:v>2026-09</x:v>
      </x:c>
      <x:c r="C2456" t="n">
        <x:v>46274</x:v>
      </x:c>
      <x:c r="D2456" t="str">
        <x:v>USR-00743</x:v>
      </x:c>
      <x:c r="E2456" t="str">
        <x:v>SUS-001056</x:v>
      </x:c>
      <x:c r="F2456" t="str">
        <x:v>Plus mensual</x:v>
      </x:c>
      <x:c r="G2456" t="str">
        <x:v>Mensual</x:v>
      </x:c>
      <x:c r="H2456" t="n">
        <x:v>1</x:v>
      </x:c>
      <x:c r="I2456" t="str">
        <x:v>Aprobado</x:v>
      </x:c>
      <x:c r="J2456" t="n">
        <x:v>29900</x:v>
      </x:c>
      <x:c r="K2456" t="str">
        <x:v>PSE</x:v>
      </x:c>
      <x:c r="L2456" t="str">
        <x:v>Sin error</x:v>
      </x:c>
    </x:row>
    <x:row r="2457">
      <x:c r="A2457" t="str">
        <x:v>TXN-0002456</x:v>
      </x:c>
      <x:c r="B2457" t="str">
        <x:v>2026-09</x:v>
      </x:c>
      <x:c r="C2457" t="n">
        <x:v>46270</x:v>
      </x:c>
      <x:c r="D2457" t="str">
        <x:v>USR-00754</x:v>
      </x:c>
      <x:c r="E2457" t="str">
        <x:v>SUS-001738</x:v>
      </x:c>
      <x:c r="F2457" t="str">
        <x:v>Plus mensual</x:v>
      </x:c>
      <x:c r="G2457" t="str">
        <x:v>Mensual</x:v>
      </x:c>
      <x:c r="H2457" t="n">
        <x:v>1</x:v>
      </x:c>
      <x:c r="I2457" t="str">
        <x:v>Aprobado</x:v>
      </x:c>
      <x:c r="J2457" t="n">
        <x:v>29900</x:v>
      </x:c>
      <x:c r="K2457" t="str">
        <x:v>Tarjeta crédito</x:v>
      </x:c>
      <x:c r="L2457" t="str">
        <x:v>Sin error</x:v>
      </x:c>
    </x:row>
    <x:row r="2458">
      <x:c r="A2458" t="str">
        <x:v>TXN-0002457</x:v>
      </x:c>
      <x:c r="B2458" t="str">
        <x:v>2026-09</x:v>
      </x:c>
      <x:c r="C2458" t="n">
        <x:v>46277</x:v>
      </x:c>
      <x:c r="D2458" t="str">
        <x:v>USR-00755</x:v>
      </x:c>
      <x:c r="E2458" t="str">
        <x:v>SUS-001594</x:v>
      </x:c>
      <x:c r="F2458" t="str">
        <x:v>Plus mensual</x:v>
      </x:c>
      <x:c r="G2458" t="str">
        <x:v>Mensual</x:v>
      </x:c>
      <x:c r="H2458" t="n">
        <x:v>1</x:v>
      </x:c>
      <x:c r="I2458" t="str">
        <x:v>Aprobado</x:v>
      </x:c>
      <x:c r="J2458" t="n">
        <x:v>29900</x:v>
      </x:c>
      <x:c r="K2458" t="str">
        <x:v>PSE</x:v>
      </x:c>
      <x:c r="L2458" t="str">
        <x:v>Sin error</x:v>
      </x:c>
    </x:row>
    <x:row r="2459">
      <x:c r="A2459" t="str">
        <x:v>TXN-0002458</x:v>
      </x:c>
      <x:c r="B2459" t="str">
        <x:v>2026-09</x:v>
      </x:c>
      <x:c r="C2459" t="n">
        <x:v>46270</x:v>
      </x:c>
      <x:c r="D2459" t="str">
        <x:v>USR-00757</x:v>
      </x:c>
      <x:c r="E2459" t="str">
        <x:v>SUS-001460</x:v>
      </x:c>
      <x:c r="F2459" t="str">
        <x:v>Plus mensual</x:v>
      </x:c>
      <x:c r="G2459" t="str">
        <x:v>Mensual</x:v>
      </x:c>
      <x:c r="H2459" t="n">
        <x:v>1</x:v>
      </x:c>
      <x:c r="I2459" t="str">
        <x:v>Aprobado</x:v>
      </x:c>
      <x:c r="J2459" t="n">
        <x:v>29900</x:v>
      </x:c>
      <x:c r="K2459" t="str">
        <x:v>PSE</x:v>
      </x:c>
      <x:c r="L2459" t="str">
        <x:v>Sin error</x:v>
      </x:c>
    </x:row>
    <x:row r="2460">
      <x:c r="A2460" t="str">
        <x:v>TXN-0002459</x:v>
      </x:c>
      <x:c r="B2460" t="str">
        <x:v>2026-09</x:v>
      </x:c>
      <x:c r="C2460" t="n">
        <x:v>46272</x:v>
      </x:c>
      <x:c r="D2460" t="str">
        <x:v>USR-00767</x:v>
      </x:c>
      <x:c r="E2460" t="str">
        <x:v>SUS-001080</x:v>
      </x:c>
      <x:c r="F2460" t="str">
        <x:v>Plus mensual</x:v>
      </x:c>
      <x:c r="G2460" t="str">
        <x:v>Mensual</x:v>
      </x:c>
      <x:c r="H2460" t="n">
        <x:v>1</x:v>
      </x:c>
      <x:c r="I2460" t="str">
        <x:v>Aprobado</x:v>
      </x:c>
      <x:c r="J2460" t="n">
        <x:v>29900</x:v>
      </x:c>
      <x:c r="K2460" t="str">
        <x:v>PSE</x:v>
      </x:c>
      <x:c r="L2460" t="str">
        <x:v>Sin error</x:v>
      </x:c>
    </x:row>
    <x:row r="2461">
      <x:c r="A2461" t="str">
        <x:v>TXN-0002460</x:v>
      </x:c>
      <x:c r="B2461" t="str">
        <x:v>2026-09</x:v>
      </x:c>
      <x:c r="C2461" t="n">
        <x:v>46273</x:v>
      </x:c>
      <x:c r="D2461" t="str">
        <x:v>USR-00768</x:v>
      </x:c>
      <x:c r="E2461" t="str">
        <x:v>SUS-001081</x:v>
      </x:c>
      <x:c r="F2461" t="str">
        <x:v>Plus mensual</x:v>
      </x:c>
      <x:c r="G2461" t="str">
        <x:v>Mensual</x:v>
      </x:c>
      <x:c r="H2461" t="n">
        <x:v>1</x:v>
      </x:c>
      <x:c r="I2461" t="str">
        <x:v>Aprobado</x:v>
      </x:c>
      <x:c r="J2461" t="n">
        <x:v>29900</x:v>
      </x:c>
      <x:c r="K2461" t="str">
        <x:v>Tarjeta débito</x:v>
      </x:c>
      <x:c r="L2461" t="str">
        <x:v>Sin error</x:v>
      </x:c>
    </x:row>
    <x:row r="2462">
      <x:c r="A2462" t="str">
        <x:v>TXN-0002461</x:v>
      </x:c>
      <x:c r="B2462" t="str">
        <x:v>2026-09</x:v>
      </x:c>
      <x:c r="C2462" t="n">
        <x:v>46271</x:v>
      </x:c>
      <x:c r="D2462" t="str">
        <x:v>USR-00775</x:v>
      </x:c>
      <x:c r="E2462" t="str">
        <x:v>SUS-001088</x:v>
      </x:c>
      <x:c r="F2462" t="str">
        <x:v>Plus mensual</x:v>
      </x:c>
      <x:c r="G2462" t="str">
        <x:v>Mensual</x:v>
      </x:c>
      <x:c r="H2462" t="n">
        <x:v>1</x:v>
      </x:c>
      <x:c r="I2462" t="str">
        <x:v>Aprobado</x:v>
      </x:c>
      <x:c r="J2462" t="n">
        <x:v>29900</x:v>
      </x:c>
      <x:c r="K2462" t="str">
        <x:v>Tarjeta crédito</x:v>
      </x:c>
      <x:c r="L2462" t="str">
        <x:v>Sin error</x:v>
      </x:c>
    </x:row>
    <x:row r="2463">
      <x:c r="A2463" t="str">
        <x:v>TXN-0002462</x:v>
      </x:c>
      <x:c r="B2463" t="str">
        <x:v>2026-09</x:v>
      </x:c>
      <x:c r="C2463" t="n">
        <x:v>46274</x:v>
      </x:c>
      <x:c r="D2463" t="str">
        <x:v>USR-00776</x:v>
      </x:c>
      <x:c r="E2463" t="str">
        <x:v>SUS-001461</x:v>
      </x:c>
      <x:c r="F2463" t="str">
        <x:v>Plus mensual</x:v>
      </x:c>
      <x:c r="G2463" t="str">
        <x:v>Mensual</x:v>
      </x:c>
      <x:c r="H2463" t="n">
        <x:v>1</x:v>
      </x:c>
      <x:c r="I2463" t="str">
        <x:v>Aprobado</x:v>
      </x:c>
      <x:c r="J2463" t="n">
        <x:v>29900</x:v>
      </x:c>
      <x:c r="K2463" t="str">
        <x:v>PSE</x:v>
      </x:c>
      <x:c r="L2463" t="str">
        <x:v>Sin error</x:v>
      </x:c>
    </x:row>
    <x:row r="2464">
      <x:c r="A2464" t="str">
        <x:v>TXN-0002463</x:v>
      </x:c>
      <x:c r="B2464" t="str">
        <x:v>2026-09</x:v>
      </x:c>
      <x:c r="C2464" t="n">
        <x:v>46276</x:v>
      </x:c>
      <x:c r="D2464" t="str">
        <x:v>USR-00777</x:v>
      </x:c>
      <x:c r="E2464" t="str">
        <x:v>SUS-001462</x:v>
      </x:c>
      <x:c r="F2464" t="str">
        <x:v>Plus mensual</x:v>
      </x:c>
      <x:c r="G2464" t="str">
        <x:v>Mensual</x:v>
      </x:c>
      <x:c r="H2464" t="n">
        <x:v>1</x:v>
      </x:c>
      <x:c r="I2464" t="str">
        <x:v>Aprobado</x:v>
      </x:c>
      <x:c r="J2464" t="n">
        <x:v>29900</x:v>
      </x:c>
      <x:c r="K2464" t="str">
        <x:v>Tarjeta débito</x:v>
      </x:c>
      <x:c r="L2464" t="str">
        <x:v>Sin error</x:v>
      </x:c>
    </x:row>
    <x:row r="2465">
      <x:c r="A2465" t="str">
        <x:v>TXN-0002464</x:v>
      </x:c>
      <x:c r="B2465" t="str">
        <x:v>2026-09</x:v>
      </x:c>
      <x:c r="C2465" t="n">
        <x:v>46276</x:v>
      </x:c>
      <x:c r="D2465" t="str">
        <x:v>USR-00783</x:v>
      </x:c>
      <x:c r="E2465" t="str">
        <x:v>SUS-001096</x:v>
      </x:c>
      <x:c r="F2465" t="str">
        <x:v>Plus mensual</x:v>
      </x:c>
      <x:c r="G2465" t="str">
        <x:v>Mensual</x:v>
      </x:c>
      <x:c r="H2465" t="n">
        <x:v>1</x:v>
      </x:c>
      <x:c r="I2465" t="str">
        <x:v>Aprobado</x:v>
      </x:c>
      <x:c r="J2465" t="n">
        <x:v>29900</x:v>
      </x:c>
      <x:c r="K2465" t="str">
        <x:v>Tarjeta débito</x:v>
      </x:c>
      <x:c r="L2465" t="str">
        <x:v>Sin error</x:v>
      </x:c>
    </x:row>
    <x:row r="2466">
      <x:c r="A2466" t="str">
        <x:v>TXN-0002465</x:v>
      </x:c>
      <x:c r="B2466" t="str">
        <x:v>2026-09</x:v>
      </x:c>
      <x:c r="C2466" t="n">
        <x:v>46271</x:v>
      </x:c>
      <x:c r="D2466" t="str">
        <x:v>USR-00787</x:v>
      </x:c>
      <x:c r="E2466" t="str">
        <x:v>SUS-001155</x:v>
      </x:c>
      <x:c r="F2466" t="str">
        <x:v>Plus mensual</x:v>
      </x:c>
      <x:c r="G2466" t="str">
        <x:v>Mensual</x:v>
      </x:c>
      <x:c r="H2466" t="n">
        <x:v>1</x:v>
      </x:c>
      <x:c r="I2466" t="str">
        <x:v>Aprobado</x:v>
      </x:c>
      <x:c r="J2466" t="n">
        <x:v>29900</x:v>
      </x:c>
      <x:c r="K2466" t="str">
        <x:v>Tarjeta crédito</x:v>
      </x:c>
      <x:c r="L2466" t="str">
        <x:v>Sin error</x:v>
      </x:c>
    </x:row>
    <x:row r="2467">
      <x:c r="A2467" t="str">
        <x:v>TXN-0002466</x:v>
      </x:c>
      <x:c r="B2467" t="str">
        <x:v>2026-09</x:v>
      </x:c>
      <x:c r="C2467" t="n">
        <x:v>46273</x:v>
      </x:c>
      <x:c r="D2467" t="str">
        <x:v>USR-00790</x:v>
      </x:c>
      <x:c r="E2467" t="str">
        <x:v>SUS-001158</x:v>
      </x:c>
      <x:c r="F2467" t="str">
        <x:v>Plus mensual</x:v>
      </x:c>
      <x:c r="G2467" t="str">
        <x:v>Mensual</x:v>
      </x:c>
      <x:c r="H2467" t="n">
        <x:v>1</x:v>
      </x:c>
      <x:c r="I2467" t="str">
        <x:v>Aprobado</x:v>
      </x:c>
      <x:c r="J2467" t="n">
        <x:v>29900</x:v>
      </x:c>
      <x:c r="K2467" t="str">
        <x:v>PSE</x:v>
      </x:c>
      <x:c r="L2467" t="str">
        <x:v>Sin error</x:v>
      </x:c>
    </x:row>
    <x:row r="2468">
      <x:c r="A2468" t="str">
        <x:v>TXN-0002467</x:v>
      </x:c>
      <x:c r="B2468" t="str">
        <x:v>2026-09</x:v>
      </x:c>
      <x:c r="C2468" t="n">
        <x:v>46277</x:v>
      </x:c>
      <x:c r="D2468" t="str">
        <x:v>USR-00811</x:v>
      </x:c>
      <x:c r="E2468" t="str">
        <x:v>SUS-001740</x:v>
      </x:c>
      <x:c r="F2468" t="str">
        <x:v>Plus mensual</x:v>
      </x:c>
      <x:c r="G2468" t="str">
        <x:v>Mensual</x:v>
      </x:c>
      <x:c r="H2468" t="n">
        <x:v>1</x:v>
      </x:c>
      <x:c r="I2468" t="str">
        <x:v>Aprobado</x:v>
      </x:c>
      <x:c r="J2468" t="n">
        <x:v>29900</x:v>
      </x:c>
      <x:c r="K2468" t="str">
        <x:v>PSE</x:v>
      </x:c>
      <x:c r="L2468" t="str">
        <x:v>Sin error</x:v>
      </x:c>
    </x:row>
    <x:row r="2469">
      <x:c r="A2469" t="str">
        <x:v>TXN-0002468</x:v>
      </x:c>
      <x:c r="B2469" t="str">
        <x:v>2026-09</x:v>
      </x:c>
      <x:c r="C2469" t="n">
        <x:v>46275</x:v>
      </x:c>
      <x:c r="D2469" t="str">
        <x:v>USR-00813</x:v>
      </x:c>
      <x:c r="E2469" t="str">
        <x:v>SUS-001181</x:v>
      </x:c>
      <x:c r="F2469" t="str">
        <x:v>Plus mensual</x:v>
      </x:c>
      <x:c r="G2469" t="str">
        <x:v>Mensual</x:v>
      </x:c>
      <x:c r="H2469" t="n">
        <x:v>1</x:v>
      </x:c>
      <x:c r="I2469" t="str">
        <x:v>Aprobado</x:v>
      </x:c>
      <x:c r="J2469" t="n">
        <x:v>29900</x:v>
      </x:c>
      <x:c r="K2469" t="str">
        <x:v>Tarjeta débito</x:v>
      </x:c>
      <x:c r="L2469" t="str">
        <x:v>Sin error</x:v>
      </x:c>
    </x:row>
    <x:row r="2470">
      <x:c r="A2470" t="str">
        <x:v>TXN-0002469</x:v>
      </x:c>
      <x:c r="B2470" t="str">
        <x:v>2026-09</x:v>
      </x:c>
      <x:c r="C2470" t="n">
        <x:v>46276</x:v>
      </x:c>
      <x:c r="D2470" t="str">
        <x:v>USR-00816</x:v>
      </x:c>
      <x:c r="E2470" t="str">
        <x:v>SUS-001464</x:v>
      </x:c>
      <x:c r="F2470" t="str">
        <x:v>Plus mensual</x:v>
      </x:c>
      <x:c r="G2470" t="str">
        <x:v>Mensual</x:v>
      </x:c>
      <x:c r="H2470" t="n">
        <x:v>1</x:v>
      </x:c>
      <x:c r="I2470" t="str">
        <x:v>Aprobado</x:v>
      </x:c>
      <x:c r="J2470" t="n">
        <x:v>29900</x:v>
      </x:c>
      <x:c r="K2470" t="str">
        <x:v>Tarjeta débito</x:v>
      </x:c>
      <x:c r="L2470" t="str">
        <x:v>Sin error</x:v>
      </x:c>
    </x:row>
    <x:row r="2471">
      <x:c r="A2471" t="str">
        <x:v>TXN-0002470</x:v>
      </x:c>
      <x:c r="B2471" t="str">
        <x:v>2026-09</x:v>
      </x:c>
      <x:c r="C2471" t="n">
        <x:v>46270</x:v>
      </x:c>
      <x:c r="D2471" t="str">
        <x:v>USR-00824</x:v>
      </x:c>
      <x:c r="E2471" t="str">
        <x:v>SUS-001192</x:v>
      </x:c>
      <x:c r="F2471" t="str">
        <x:v>Plus mensual</x:v>
      </x:c>
      <x:c r="G2471" t="str">
        <x:v>Mensual</x:v>
      </x:c>
      <x:c r="H2471" t="n">
        <x:v>1</x:v>
      </x:c>
      <x:c r="I2471" t="str">
        <x:v>Rechazado</x:v>
      </x:c>
      <x:c r="J2471" t="n">
        <x:v>29900</x:v>
      </x:c>
      <x:c r="K2471" t="str">
        <x:v>Tarjeta crédito</x:v>
      </x:c>
      <x:c r="L2471" t="str">
        <x:v>Declinado por entidad</x:v>
      </x:c>
    </x:row>
    <x:row r="2472">
      <x:c r="A2472" t="str">
        <x:v>TXN-0002471</x:v>
      </x:c>
      <x:c r="B2472" t="str">
        <x:v>2026-09</x:v>
      </x:c>
      <x:c r="C2472" t="n">
        <x:v>46270</x:v>
      </x:c>
      <x:c r="D2472" t="str">
        <x:v>USR-00824</x:v>
      </x:c>
      <x:c r="E2472" t="str">
        <x:v>SUS-001192</x:v>
      </x:c>
      <x:c r="F2472" t="str">
        <x:v>Plus mensual</x:v>
      </x:c>
      <x:c r="G2472" t="str">
        <x:v>Mensual</x:v>
      </x:c>
      <x:c r="H2472" t="n">
        <x:v>2</x:v>
      </x:c>
      <x:c r="I2472" t="str">
        <x:v>Aprobado</x:v>
      </x:c>
      <x:c r="J2472" t="n">
        <x:v>29900</x:v>
      </x:c>
      <x:c r="K2472" t="str">
        <x:v>Tarjeta débito</x:v>
      </x:c>
      <x:c r="L2472" t="str">
        <x:v>Sin error</x:v>
      </x:c>
    </x:row>
    <x:row r="2473">
      <x:c r="A2473" t="str">
        <x:v>TXN-0002472</x:v>
      </x:c>
      <x:c r="B2473" t="str">
        <x:v>2026-09</x:v>
      </x:c>
      <x:c r="C2473" t="n">
        <x:v>46275</x:v>
      </x:c>
      <x:c r="D2473" t="str">
        <x:v>USR-00832</x:v>
      </x:c>
      <x:c r="E2473" t="str">
        <x:v>SUS-001200</x:v>
      </x:c>
      <x:c r="F2473" t="str">
        <x:v>Plus mensual</x:v>
      </x:c>
      <x:c r="G2473" t="str">
        <x:v>Mensual</x:v>
      </x:c>
      <x:c r="H2473" t="n">
        <x:v>1</x:v>
      </x:c>
      <x:c r="I2473" t="str">
        <x:v>Aprobado</x:v>
      </x:c>
      <x:c r="J2473" t="n">
        <x:v>29900</x:v>
      </x:c>
      <x:c r="K2473" t="str">
        <x:v>Tarjeta crédito</x:v>
      </x:c>
      <x:c r="L2473" t="str">
        <x:v>Sin error</x:v>
      </x:c>
    </x:row>
    <x:row r="2474">
      <x:c r="A2474" t="str">
        <x:v>TXN-0002473</x:v>
      </x:c>
      <x:c r="B2474" t="str">
        <x:v>2026-09</x:v>
      </x:c>
      <x:c r="C2474" t="n">
        <x:v>46273</x:v>
      </x:c>
      <x:c r="D2474" t="str">
        <x:v>USR-00833</x:v>
      </x:c>
      <x:c r="E2474" t="str">
        <x:v>SUS-001201</x:v>
      </x:c>
      <x:c r="F2474" t="str">
        <x:v>Plus mensual</x:v>
      </x:c>
      <x:c r="G2474" t="str">
        <x:v>Mensual</x:v>
      </x:c>
      <x:c r="H2474" t="n">
        <x:v>1</x:v>
      </x:c>
      <x:c r="I2474" t="str">
        <x:v>Aprobado</x:v>
      </x:c>
      <x:c r="J2474" t="n">
        <x:v>29900</x:v>
      </x:c>
      <x:c r="K2474" t="str">
        <x:v>PSE</x:v>
      </x:c>
      <x:c r="L2474" t="str">
        <x:v>Sin error</x:v>
      </x:c>
    </x:row>
    <x:row r="2475">
      <x:c r="A2475" t="str">
        <x:v>TXN-0002474</x:v>
      </x:c>
      <x:c r="B2475" t="str">
        <x:v>2026-09</x:v>
      </x:c>
      <x:c r="C2475" t="n">
        <x:v>46276</x:v>
      </x:c>
      <x:c r="D2475" t="str">
        <x:v>USR-00836</x:v>
      </x:c>
      <x:c r="E2475" t="str">
        <x:v>SUS-001302</x:v>
      </x:c>
      <x:c r="F2475" t="str">
        <x:v>Plus mensual</x:v>
      </x:c>
      <x:c r="G2475" t="str">
        <x:v>Mensual</x:v>
      </x:c>
      <x:c r="H2475" t="n">
        <x:v>1</x:v>
      </x:c>
      <x:c r="I2475" t="str">
        <x:v>Aprobado</x:v>
      </x:c>
      <x:c r="J2475" t="n">
        <x:v>29900</x:v>
      </x:c>
      <x:c r="K2475" t="str">
        <x:v>Tarjeta crédito</x:v>
      </x:c>
      <x:c r="L2475" t="str">
        <x:v>Sin error</x:v>
      </x:c>
    </x:row>
    <x:row r="2476">
      <x:c r="A2476" t="str">
        <x:v>TXN-0002475</x:v>
      </x:c>
      <x:c r="B2476" t="str">
        <x:v>2026-09</x:v>
      </x:c>
      <x:c r="C2476" t="n">
        <x:v>46274</x:v>
      </x:c>
      <x:c r="D2476" t="str">
        <x:v>USR-00841</x:v>
      </x:c>
      <x:c r="E2476" t="str">
        <x:v>SUS-001741</x:v>
      </x:c>
      <x:c r="F2476" t="str">
        <x:v>Plus mensual</x:v>
      </x:c>
      <x:c r="G2476" t="str">
        <x:v>Mensual</x:v>
      </x:c>
      <x:c r="H2476" t="n">
        <x:v>1</x:v>
      </x:c>
      <x:c r="I2476" t="str">
        <x:v>Aprobado</x:v>
      </x:c>
      <x:c r="J2476" t="n">
        <x:v>29900</x:v>
      </x:c>
      <x:c r="K2476" t="str">
        <x:v>Tarjeta débito</x:v>
      </x:c>
      <x:c r="L2476" t="str">
        <x:v>Sin error</x:v>
      </x:c>
    </x:row>
    <x:row r="2477">
      <x:c r="A2477" t="str">
        <x:v>TXN-0002476</x:v>
      </x:c>
      <x:c r="B2477" t="str">
        <x:v>2026-09</x:v>
      </x:c>
      <x:c r="C2477" t="n">
        <x:v>46273</x:v>
      </x:c>
      <x:c r="D2477" t="str">
        <x:v>USR-00846</x:v>
      </x:c>
      <x:c r="E2477" t="str">
        <x:v>SUS-001214</x:v>
      </x:c>
      <x:c r="F2477" t="str">
        <x:v>Plus mensual</x:v>
      </x:c>
      <x:c r="G2477" t="str">
        <x:v>Mensual</x:v>
      </x:c>
      <x:c r="H2477" t="n">
        <x:v>1</x:v>
      </x:c>
      <x:c r="I2477" t="str">
        <x:v>Aprobado</x:v>
      </x:c>
      <x:c r="J2477" t="n">
        <x:v>29900</x:v>
      </x:c>
      <x:c r="K2477" t="str">
        <x:v>Tarjeta crédito</x:v>
      </x:c>
      <x:c r="L2477" t="str">
        <x:v>Sin error</x:v>
      </x:c>
    </x:row>
    <x:row r="2478">
      <x:c r="A2478" t="str">
        <x:v>TXN-0002477</x:v>
      </x:c>
      <x:c r="B2478" t="str">
        <x:v>2026-09</x:v>
      </x:c>
      <x:c r="C2478" t="n">
        <x:v>46275</x:v>
      </x:c>
      <x:c r="D2478" t="str">
        <x:v>USR-00849</x:v>
      </x:c>
      <x:c r="E2478" t="str">
        <x:v>SUS-001600</x:v>
      </x:c>
      <x:c r="F2478" t="str">
        <x:v>Plus mensual</x:v>
      </x:c>
      <x:c r="G2478" t="str">
        <x:v>Mensual</x:v>
      </x:c>
      <x:c r="H2478" t="n">
        <x:v>1</x:v>
      </x:c>
      <x:c r="I2478" t="str">
        <x:v>Aprobado</x:v>
      </x:c>
      <x:c r="J2478" t="n">
        <x:v>29900</x:v>
      </x:c>
      <x:c r="K2478" t="str">
        <x:v>Tarjeta débito</x:v>
      </x:c>
      <x:c r="L2478" t="str">
        <x:v>Sin error</x:v>
      </x:c>
    </x:row>
    <x:row r="2479">
      <x:c r="A2479" t="str">
        <x:v>TXN-0002478</x:v>
      </x:c>
      <x:c r="B2479" t="str">
        <x:v>2026-09</x:v>
      </x:c>
      <x:c r="C2479" t="n">
        <x:v>46273</x:v>
      </x:c>
      <x:c r="D2479" t="str">
        <x:v>USR-00850</x:v>
      </x:c>
      <x:c r="E2479" t="str">
        <x:v>SUS-001218</x:v>
      </x:c>
      <x:c r="F2479" t="str">
        <x:v>Plus mensual</x:v>
      </x:c>
      <x:c r="G2479" t="str">
        <x:v>Mensual</x:v>
      </x:c>
      <x:c r="H2479" t="n">
        <x:v>1</x:v>
      </x:c>
      <x:c r="I2479" t="str">
        <x:v>Aprobado</x:v>
      </x:c>
      <x:c r="J2479" t="n">
        <x:v>29900</x:v>
      </x:c>
      <x:c r="K2479" t="str">
        <x:v>Tarjeta crédito</x:v>
      </x:c>
      <x:c r="L2479" t="str">
        <x:v>Sin error</x:v>
      </x:c>
    </x:row>
    <x:row r="2480">
      <x:c r="A2480" t="str">
        <x:v>TXN-0002479</x:v>
      </x:c>
      <x:c r="B2480" t="str">
        <x:v>2026-09</x:v>
      </x:c>
      <x:c r="C2480" t="n">
        <x:v>46272</x:v>
      </x:c>
      <x:c r="D2480" t="str">
        <x:v>USR-00856</x:v>
      </x:c>
      <x:c r="E2480" t="str">
        <x:v>SUS-001742</x:v>
      </x:c>
      <x:c r="F2480" t="str">
        <x:v>Plus mensual</x:v>
      </x:c>
      <x:c r="G2480" t="str">
        <x:v>Mensual</x:v>
      </x:c>
      <x:c r="H2480" t="n">
        <x:v>1</x:v>
      </x:c>
      <x:c r="I2480" t="str">
        <x:v>Aprobado</x:v>
      </x:c>
      <x:c r="J2480" t="n">
        <x:v>29900</x:v>
      </x:c>
      <x:c r="K2480" t="str">
        <x:v>Tarjeta crédito</x:v>
      </x:c>
      <x:c r="L2480" t="str">
        <x:v>Sin error</x:v>
      </x:c>
    </x:row>
    <x:row r="2481">
      <x:c r="A2481" t="str">
        <x:v>TXN-0002480</x:v>
      </x:c>
      <x:c r="B2481" t="str">
        <x:v>2026-09</x:v>
      </x:c>
      <x:c r="C2481" t="n">
        <x:v>46274</x:v>
      </x:c>
      <x:c r="D2481" t="str">
        <x:v>USR-00858</x:v>
      </x:c>
      <x:c r="E2481" t="str">
        <x:v>SUS-001226</x:v>
      </x:c>
      <x:c r="F2481" t="str">
        <x:v>Plus mensual</x:v>
      </x:c>
      <x:c r="G2481" t="str">
        <x:v>Mensual</x:v>
      </x:c>
      <x:c r="H2481" t="n">
        <x:v>1</x:v>
      </x:c>
      <x:c r="I2481" t="str">
        <x:v>Aprobado</x:v>
      </x:c>
      <x:c r="J2481" t="n">
        <x:v>29900</x:v>
      </x:c>
      <x:c r="K2481" t="str">
        <x:v>PSE</x:v>
      </x:c>
      <x:c r="L2481" t="str">
        <x:v>Sin error</x:v>
      </x:c>
    </x:row>
    <x:row r="2482">
      <x:c r="A2482" t="str">
        <x:v>TXN-0002481</x:v>
      </x:c>
      <x:c r="B2482" t="str">
        <x:v>2026-09</x:v>
      </x:c>
      <x:c r="C2482" t="n">
        <x:v>46272</x:v>
      </x:c>
      <x:c r="D2482" t="str">
        <x:v>USR-00859</x:v>
      </x:c>
      <x:c r="E2482" t="str">
        <x:v>SUS-001227</x:v>
      </x:c>
      <x:c r="F2482" t="str">
        <x:v>Plus mensual</x:v>
      </x:c>
      <x:c r="G2482" t="str">
        <x:v>Mensual</x:v>
      </x:c>
      <x:c r="H2482" t="n">
        <x:v>1</x:v>
      </x:c>
      <x:c r="I2482" t="str">
        <x:v>Aprobado</x:v>
      </x:c>
      <x:c r="J2482" t="n">
        <x:v>29900</x:v>
      </x:c>
      <x:c r="K2482" t="str">
        <x:v>Tarjeta crédito</x:v>
      </x:c>
      <x:c r="L2482" t="str">
        <x:v>Sin error</x:v>
      </x:c>
    </x:row>
    <x:row r="2483">
      <x:c r="A2483" t="str">
        <x:v>TXN-0002482</x:v>
      </x:c>
      <x:c r="B2483" t="str">
        <x:v>2026-09</x:v>
      </x:c>
      <x:c r="C2483" t="n">
        <x:v>46275</x:v>
      </x:c>
      <x:c r="D2483" t="str">
        <x:v>USR-00860</x:v>
      </x:c>
      <x:c r="E2483" t="str">
        <x:v>SUS-001228</x:v>
      </x:c>
      <x:c r="F2483" t="str">
        <x:v>Plus mensual</x:v>
      </x:c>
      <x:c r="G2483" t="str">
        <x:v>Mensual</x:v>
      </x:c>
      <x:c r="H2483" t="n">
        <x:v>1</x:v>
      </x:c>
      <x:c r="I2483" t="str">
        <x:v>Aprobado</x:v>
      </x:c>
      <x:c r="J2483" t="n">
        <x:v>29900</x:v>
      </x:c>
      <x:c r="K2483" t="str">
        <x:v>Tarjeta crédito</x:v>
      </x:c>
      <x:c r="L2483" t="str">
        <x:v>Sin error</x:v>
      </x:c>
    </x:row>
    <x:row r="2484">
      <x:c r="A2484" t="str">
        <x:v>TXN-0002483</x:v>
      </x:c>
      <x:c r="B2484" t="str">
        <x:v>2026-09</x:v>
      </x:c>
      <x:c r="C2484" t="n">
        <x:v>46275</x:v>
      </x:c>
      <x:c r="D2484" t="str">
        <x:v>USR-00861</x:v>
      </x:c>
      <x:c r="E2484" t="str">
        <x:v>SUS-001229</x:v>
      </x:c>
      <x:c r="F2484" t="str">
        <x:v>Plus mensual</x:v>
      </x:c>
      <x:c r="G2484" t="str">
        <x:v>Mensual</x:v>
      </x:c>
      <x:c r="H2484" t="n">
        <x:v>1</x:v>
      </x:c>
      <x:c r="I2484" t="str">
        <x:v>Aprobado</x:v>
      </x:c>
      <x:c r="J2484" t="n">
        <x:v>29900</x:v>
      </x:c>
      <x:c r="K2484" t="str">
        <x:v>Tarjeta crédito</x:v>
      </x:c>
      <x:c r="L2484" t="str">
        <x:v>Sin error</x:v>
      </x:c>
    </x:row>
    <x:row r="2485">
      <x:c r="A2485" t="str">
        <x:v>TXN-0002484</x:v>
      </x:c>
      <x:c r="B2485" t="str">
        <x:v>2026-09</x:v>
      </x:c>
      <x:c r="C2485" t="n">
        <x:v>46274</x:v>
      </x:c>
      <x:c r="D2485" t="str">
        <x:v>USR-00862</x:v>
      </x:c>
      <x:c r="E2485" t="str">
        <x:v>SUS-001230</x:v>
      </x:c>
      <x:c r="F2485" t="str">
        <x:v>Plus mensual</x:v>
      </x:c>
      <x:c r="G2485" t="str">
        <x:v>Mensual</x:v>
      </x:c>
      <x:c r="H2485" t="n">
        <x:v>1</x:v>
      </x:c>
      <x:c r="I2485" t="str">
        <x:v>Aprobado</x:v>
      </x:c>
      <x:c r="J2485" t="n">
        <x:v>29900</x:v>
      </x:c>
      <x:c r="K2485" t="str">
        <x:v>Tarjeta débito</x:v>
      </x:c>
      <x:c r="L2485" t="str">
        <x:v>Sin error</x:v>
      </x:c>
    </x:row>
    <x:row r="2486">
      <x:c r="A2486" t="str">
        <x:v>TXN-0002485</x:v>
      </x:c>
      <x:c r="B2486" t="str">
        <x:v>2026-09</x:v>
      </x:c>
      <x:c r="C2486" t="n">
        <x:v>46274</x:v>
      </x:c>
      <x:c r="D2486" t="str">
        <x:v>USR-00866</x:v>
      </x:c>
      <x:c r="E2486" t="str">
        <x:v>SUS-001601</x:v>
      </x:c>
      <x:c r="F2486" t="str">
        <x:v>Plus mensual</x:v>
      </x:c>
      <x:c r="G2486" t="str">
        <x:v>Mensual</x:v>
      </x:c>
      <x:c r="H2486" t="n">
        <x:v>1</x:v>
      </x:c>
      <x:c r="I2486" t="str">
        <x:v>Aprobado</x:v>
      </x:c>
      <x:c r="J2486" t="n">
        <x:v>29900</x:v>
      </x:c>
      <x:c r="K2486" t="str">
        <x:v>Tarjeta crédito</x:v>
      </x:c>
      <x:c r="L2486" t="str">
        <x:v>Sin error</x:v>
      </x:c>
    </x:row>
    <x:row r="2487">
      <x:c r="A2487" t="str">
        <x:v>TXN-0002486</x:v>
      </x:c>
      <x:c r="B2487" t="str">
        <x:v>2026-09</x:v>
      </x:c>
      <x:c r="C2487" t="n">
        <x:v>46270</x:v>
      </x:c>
      <x:c r="D2487" t="str">
        <x:v>USR-00871</x:v>
      </x:c>
      <x:c r="E2487" t="str">
        <x:v>SUS-001239</x:v>
      </x:c>
      <x:c r="F2487" t="str">
        <x:v>Plus mensual</x:v>
      </x:c>
      <x:c r="G2487" t="str">
        <x:v>Mensual</x:v>
      </x:c>
      <x:c r="H2487" t="n">
        <x:v>1</x:v>
      </x:c>
      <x:c r="I2487" t="str">
        <x:v>Aprobado</x:v>
      </x:c>
      <x:c r="J2487" t="n">
        <x:v>29900</x:v>
      </x:c>
      <x:c r="K2487" t="str">
        <x:v>PSE</x:v>
      </x:c>
      <x:c r="L2487" t="str">
        <x:v>Sin error</x:v>
      </x:c>
    </x:row>
    <x:row r="2488">
      <x:c r="A2488" t="str">
        <x:v>TXN-0002487</x:v>
      </x:c>
      <x:c r="B2488" t="str">
        <x:v>2026-09</x:v>
      </x:c>
      <x:c r="C2488" t="n">
        <x:v>46270</x:v>
      </x:c>
      <x:c r="D2488" t="str">
        <x:v>USR-00875</x:v>
      </x:c>
      <x:c r="E2488" t="str">
        <x:v>SUS-001243</x:v>
      </x:c>
      <x:c r="F2488" t="str">
        <x:v>Plus mensual</x:v>
      </x:c>
      <x:c r="G2488" t="str">
        <x:v>Mensual</x:v>
      </x:c>
      <x:c r="H2488" t="n">
        <x:v>1</x:v>
      </x:c>
      <x:c r="I2488" t="str">
        <x:v>Aprobado</x:v>
      </x:c>
      <x:c r="J2488" t="n">
        <x:v>29900</x:v>
      </x:c>
      <x:c r="K2488" t="str">
        <x:v>Tarjeta crédito</x:v>
      </x:c>
      <x:c r="L2488" t="str">
        <x:v>Sin error</x:v>
      </x:c>
    </x:row>
    <x:row r="2489">
      <x:c r="A2489" t="str">
        <x:v>TXN-0002488</x:v>
      </x:c>
      <x:c r="B2489" t="str">
        <x:v>2026-09</x:v>
      </x:c>
      <x:c r="C2489" t="n">
        <x:v>46276</x:v>
      </x:c>
      <x:c r="D2489" t="str">
        <x:v>USR-00876</x:v>
      </x:c>
      <x:c r="E2489" t="str">
        <x:v>SUS-001466</x:v>
      </x:c>
      <x:c r="F2489" t="str">
        <x:v>Plus mensual</x:v>
      </x:c>
      <x:c r="G2489" t="str">
        <x:v>Mensual</x:v>
      </x:c>
      <x:c r="H2489" t="n">
        <x:v>1</x:v>
      </x:c>
      <x:c r="I2489" t="str">
        <x:v>Aprobado</x:v>
      </x:c>
      <x:c r="J2489" t="n">
        <x:v>29900</x:v>
      </x:c>
      <x:c r="K2489" t="str">
        <x:v>Tarjeta crédito</x:v>
      </x:c>
      <x:c r="L2489" t="str">
        <x:v>Sin error</x:v>
      </x:c>
    </x:row>
    <x:row r="2490">
      <x:c r="A2490" t="str">
        <x:v>TXN-0002489</x:v>
      </x:c>
      <x:c r="B2490" t="str">
        <x:v>2026-09</x:v>
      </x:c>
      <x:c r="C2490" t="n">
        <x:v>46277</x:v>
      </x:c>
      <x:c r="D2490" t="str">
        <x:v>USR-00879</x:v>
      </x:c>
      <x:c r="E2490" t="str">
        <x:v>SUS-001743</x:v>
      </x:c>
      <x:c r="F2490" t="str">
        <x:v>Plus mensual</x:v>
      </x:c>
      <x:c r="G2490" t="str">
        <x:v>Mensual</x:v>
      </x:c>
      <x:c r="H2490" t="n">
        <x:v>1</x:v>
      </x:c>
      <x:c r="I2490" t="str">
        <x:v>Aprobado</x:v>
      </x:c>
      <x:c r="J2490" t="n">
        <x:v>29900</x:v>
      </x:c>
      <x:c r="K2490" t="str">
        <x:v>Tarjeta débito</x:v>
      </x:c>
      <x:c r="L2490" t="str">
        <x:v>Sin error</x:v>
      </x:c>
    </x:row>
    <x:row r="2491">
      <x:c r="A2491" t="str">
        <x:v>TXN-0002490</x:v>
      </x:c>
      <x:c r="B2491" t="str">
        <x:v>2026-09</x:v>
      </x:c>
      <x:c r="C2491" t="n">
        <x:v>46277</x:v>
      </x:c>
      <x:c r="D2491" t="str">
        <x:v>USR-00885</x:v>
      </x:c>
      <x:c r="E2491" t="str">
        <x:v>SUS-001253</x:v>
      </x:c>
      <x:c r="F2491" t="str">
        <x:v>Plus mensual</x:v>
      </x:c>
      <x:c r="G2491" t="str">
        <x:v>Mensual</x:v>
      </x:c>
      <x:c r="H2491" t="n">
        <x:v>1</x:v>
      </x:c>
      <x:c r="I2491" t="str">
        <x:v>Aprobado</x:v>
      </x:c>
      <x:c r="J2491" t="n">
        <x:v>29900</x:v>
      </x:c>
      <x:c r="K2491" t="str">
        <x:v>Tarjeta crédito</x:v>
      </x:c>
      <x:c r="L2491" t="str">
        <x:v>Sin error</x:v>
      </x:c>
    </x:row>
    <x:row r="2492">
      <x:c r="A2492" t="str">
        <x:v>TXN-0002491</x:v>
      </x:c>
      <x:c r="B2492" t="str">
        <x:v>2026-09</x:v>
      </x:c>
      <x:c r="C2492" t="n">
        <x:v>46273</x:v>
      </x:c>
      <x:c r="D2492" t="str">
        <x:v>USR-00886</x:v>
      </x:c>
      <x:c r="E2492" t="str">
        <x:v>SUS-001468</x:v>
      </x:c>
      <x:c r="F2492" t="str">
        <x:v>Plus mensual</x:v>
      </x:c>
      <x:c r="G2492" t="str">
        <x:v>Mensual</x:v>
      </x:c>
      <x:c r="H2492" t="n">
        <x:v>1</x:v>
      </x:c>
      <x:c r="I2492" t="str">
        <x:v>Aprobado</x:v>
      </x:c>
      <x:c r="J2492" t="n">
        <x:v>29900</x:v>
      </x:c>
      <x:c r="K2492" t="str">
        <x:v>Tarjeta crédito</x:v>
      </x:c>
      <x:c r="L2492" t="str">
        <x:v>Sin error</x:v>
      </x:c>
    </x:row>
    <x:row r="2493">
      <x:c r="A2493" t="str">
        <x:v>TXN-0002492</x:v>
      </x:c>
      <x:c r="B2493" t="str">
        <x:v>2026-09</x:v>
      </x:c>
      <x:c r="C2493" t="n">
        <x:v>46272</x:v>
      </x:c>
      <x:c r="D2493" t="str">
        <x:v>USR-00895</x:v>
      </x:c>
      <x:c r="E2493" t="str">
        <x:v>SUS-001309</x:v>
      </x:c>
      <x:c r="F2493" t="str">
        <x:v>Plus mensual</x:v>
      </x:c>
      <x:c r="G2493" t="str">
        <x:v>Mensual</x:v>
      </x:c>
      <x:c r="H2493" t="n">
        <x:v>1</x:v>
      </x:c>
      <x:c r="I2493" t="str">
        <x:v>Aprobado</x:v>
      </x:c>
      <x:c r="J2493" t="n">
        <x:v>29900</x:v>
      </x:c>
      <x:c r="K2493" t="str">
        <x:v>Tarjeta débito</x:v>
      </x:c>
      <x:c r="L2493" t="str">
        <x:v>Sin error</x:v>
      </x:c>
    </x:row>
    <x:row r="2494">
      <x:c r="A2494" t="str">
        <x:v>TXN-0002493</x:v>
      </x:c>
      <x:c r="B2494" t="str">
        <x:v>2026-09</x:v>
      </x:c>
      <x:c r="C2494" t="n">
        <x:v>46276</x:v>
      </x:c>
      <x:c r="D2494" t="str">
        <x:v>USR-00899</x:v>
      </x:c>
      <x:c r="E2494" t="str">
        <x:v>SUS-001744</x:v>
      </x:c>
      <x:c r="F2494" t="str">
        <x:v>Plus mensual</x:v>
      </x:c>
      <x:c r="G2494" t="str">
        <x:v>Mensual</x:v>
      </x:c>
      <x:c r="H2494" t="n">
        <x:v>1</x:v>
      </x:c>
      <x:c r="I2494" t="str">
        <x:v>Aprobado</x:v>
      </x:c>
      <x:c r="J2494" t="n">
        <x:v>29900</x:v>
      </x:c>
      <x:c r="K2494" t="str">
        <x:v>Tarjeta crédito</x:v>
      </x:c>
      <x:c r="L2494" t="str">
        <x:v>Sin error</x:v>
      </x:c>
    </x:row>
    <x:row r="2495">
      <x:c r="A2495" t="str">
        <x:v>TXN-0002494</x:v>
      </x:c>
      <x:c r="B2495" t="str">
        <x:v>2026-09</x:v>
      </x:c>
      <x:c r="C2495" t="n">
        <x:v>46274</x:v>
      </x:c>
      <x:c r="D2495" t="str">
        <x:v>USR-00904</x:v>
      </x:c>
      <x:c r="E2495" t="str">
        <x:v>SUS-001469</x:v>
      </x:c>
      <x:c r="F2495" t="str">
        <x:v>Plus mensual</x:v>
      </x:c>
      <x:c r="G2495" t="str">
        <x:v>Mensual</x:v>
      </x:c>
      <x:c r="H2495" t="n">
        <x:v>1</x:v>
      </x:c>
      <x:c r="I2495" t="str">
        <x:v>Aprobado</x:v>
      </x:c>
      <x:c r="J2495" t="n">
        <x:v>29900</x:v>
      </x:c>
      <x:c r="K2495" t="str">
        <x:v>Tarjeta débito</x:v>
      </x:c>
      <x:c r="L2495" t="str">
        <x:v>Sin error</x:v>
      </x:c>
    </x:row>
    <x:row r="2496">
      <x:c r="A2496" t="str">
        <x:v>TXN-0002495</x:v>
      </x:c>
      <x:c r="B2496" t="str">
        <x:v>2026-09</x:v>
      </x:c>
      <x:c r="C2496" t="n">
        <x:v>46271</x:v>
      </x:c>
      <x:c r="D2496" t="str">
        <x:v>USR-00907</x:v>
      </x:c>
      <x:c r="E2496" t="str">
        <x:v>SUS-001321</x:v>
      </x:c>
      <x:c r="F2496" t="str">
        <x:v>Plus mensual</x:v>
      </x:c>
      <x:c r="G2496" t="str">
        <x:v>Mensual</x:v>
      </x:c>
      <x:c r="H2496" t="n">
        <x:v>1</x:v>
      </x:c>
      <x:c r="I2496" t="str">
        <x:v>Aprobado</x:v>
      </x:c>
      <x:c r="J2496" t="n">
        <x:v>29900</x:v>
      </x:c>
      <x:c r="K2496" t="str">
        <x:v>Tarjeta crédito</x:v>
      </x:c>
      <x:c r="L2496" t="str">
        <x:v>Sin error</x:v>
      </x:c>
    </x:row>
    <x:row r="2497">
      <x:c r="A2497" t="str">
        <x:v>TXN-0002496</x:v>
      </x:c>
      <x:c r="B2497" t="str">
        <x:v>2026-09</x:v>
      </x:c>
      <x:c r="C2497" t="n">
        <x:v>46272</x:v>
      </x:c>
      <x:c r="D2497" t="str">
        <x:v>USR-00908</x:v>
      </x:c>
      <x:c r="E2497" t="str">
        <x:v>SUS-001322</x:v>
      </x:c>
      <x:c r="F2497" t="str">
        <x:v>Plus mensual</x:v>
      </x:c>
      <x:c r="G2497" t="str">
        <x:v>Mensual</x:v>
      </x:c>
      <x:c r="H2497" t="n">
        <x:v>1</x:v>
      </x:c>
      <x:c r="I2497" t="str">
        <x:v>Aprobado</x:v>
      </x:c>
      <x:c r="J2497" t="n">
        <x:v>29900</x:v>
      </x:c>
      <x:c r="K2497" t="str">
        <x:v>Tarjeta débito</x:v>
      </x:c>
      <x:c r="L2497" t="str">
        <x:v>Sin error</x:v>
      </x:c>
    </x:row>
    <x:row r="2498">
      <x:c r="A2498" t="str">
        <x:v>TXN-0002497</x:v>
      </x:c>
      <x:c r="B2498" t="str">
        <x:v>2026-09</x:v>
      </x:c>
      <x:c r="C2498" t="n">
        <x:v>46271</x:v>
      </x:c>
      <x:c r="D2498" t="str">
        <x:v>USR-00911</x:v>
      </x:c>
      <x:c r="E2498" t="str">
        <x:v>SUS-001325</x:v>
      </x:c>
      <x:c r="F2498" t="str">
        <x:v>Plus mensual</x:v>
      </x:c>
      <x:c r="G2498" t="str">
        <x:v>Mensual</x:v>
      </x:c>
      <x:c r="H2498" t="n">
        <x:v>1</x:v>
      </x:c>
      <x:c r="I2498" t="str">
        <x:v>Aprobado</x:v>
      </x:c>
      <x:c r="J2498" t="n">
        <x:v>29900</x:v>
      </x:c>
      <x:c r="K2498" t="str">
        <x:v>Tarjeta crédito</x:v>
      </x:c>
      <x:c r="L2498" t="str">
        <x:v>Sin error</x:v>
      </x:c>
    </x:row>
    <x:row r="2499">
      <x:c r="A2499" t="str">
        <x:v>TXN-0002498</x:v>
      </x:c>
      <x:c r="B2499" t="str">
        <x:v>2026-09</x:v>
      </x:c>
      <x:c r="C2499" t="n">
        <x:v>46274</x:v>
      </x:c>
      <x:c r="D2499" t="str">
        <x:v>USR-00914</x:v>
      </x:c>
      <x:c r="E2499" t="str">
        <x:v>SUS-001745</x:v>
      </x:c>
      <x:c r="F2499" t="str">
        <x:v>Plus mensual</x:v>
      </x:c>
      <x:c r="G2499" t="str">
        <x:v>Mensual</x:v>
      </x:c>
      <x:c r="H2499" t="n">
        <x:v>1</x:v>
      </x:c>
      <x:c r="I2499" t="str">
        <x:v>Aprobado</x:v>
      </x:c>
      <x:c r="J2499" t="n">
        <x:v>29900</x:v>
      </x:c>
      <x:c r="K2499" t="str">
        <x:v>PSE</x:v>
      </x:c>
      <x:c r="L2499" t="str">
        <x:v>Sin error</x:v>
      </x:c>
    </x:row>
    <x:row r="2500">
      <x:c r="A2500" t="str">
        <x:v>TXN-0002499</x:v>
      </x:c>
      <x:c r="B2500" t="str">
        <x:v>2026-09</x:v>
      </x:c>
      <x:c r="C2500" t="n">
        <x:v>46275</x:v>
      </x:c>
      <x:c r="D2500" t="str">
        <x:v>USR-00924</x:v>
      </x:c>
      <x:c r="E2500" t="str">
        <x:v>SUS-001746</x:v>
      </x:c>
      <x:c r="F2500" t="str">
        <x:v>Plus mensual</x:v>
      </x:c>
      <x:c r="G2500" t="str">
        <x:v>Mensual</x:v>
      </x:c>
      <x:c r="H2500" t="n">
        <x:v>1</x:v>
      </x:c>
      <x:c r="I2500" t="str">
        <x:v>Aprobado</x:v>
      </x:c>
      <x:c r="J2500" t="n">
        <x:v>29900</x:v>
      </x:c>
      <x:c r="K2500" t="str">
        <x:v>PSE</x:v>
      </x:c>
      <x:c r="L2500" t="str">
        <x:v>Sin error</x:v>
      </x:c>
    </x:row>
    <x:row r="2501">
      <x:c r="A2501" t="str">
        <x:v>TXN-0002500</x:v>
      </x:c>
      <x:c r="B2501" t="str">
        <x:v>2026-09</x:v>
      </x:c>
      <x:c r="C2501" t="n">
        <x:v>46274</x:v>
      </x:c>
      <x:c r="D2501" t="str">
        <x:v>USR-00925</x:v>
      </x:c>
      <x:c r="E2501" t="str">
        <x:v>SUS-001747</x:v>
      </x:c>
      <x:c r="F2501" t="str">
        <x:v>Plus anual</x:v>
      </x:c>
      <x:c r="G2501" t="str">
        <x:v>Anual</x:v>
      </x:c>
      <x:c r="H2501" t="n">
        <x:v>1</x:v>
      </x:c>
      <x:c r="I2501" t="str">
        <x:v>Aprobado</x:v>
      </x:c>
      <x:c r="J2501" t="n">
        <x:v>299000</x:v>
      </x:c>
      <x:c r="K2501" t="str">
        <x:v>PSE</x:v>
      </x:c>
      <x:c r="L2501" t="str">
        <x:v>Sin error</x:v>
      </x:c>
    </x:row>
    <x:row r="2502">
      <x:c r="A2502" t="str">
        <x:v>TXN-0002501</x:v>
      </x:c>
      <x:c r="B2502" t="str">
        <x:v>2026-09</x:v>
      </x:c>
      <x:c r="C2502" t="n">
        <x:v>46277</x:v>
      </x:c>
      <x:c r="D2502" t="str">
        <x:v>USR-00928</x:v>
      </x:c>
      <x:c r="E2502" t="str">
        <x:v>SUS-001342</x:v>
      </x:c>
      <x:c r="F2502" t="str">
        <x:v>Plus mensual</x:v>
      </x:c>
      <x:c r="G2502" t="str">
        <x:v>Mensual</x:v>
      </x:c>
      <x:c r="H2502" t="n">
        <x:v>1</x:v>
      </x:c>
      <x:c r="I2502" t="str">
        <x:v>Rechazado</x:v>
      </x:c>
      <x:c r="J2502" t="n">
        <x:v>29900</x:v>
      </x:c>
      <x:c r="K2502" t="str">
        <x:v>Tarjeta débito</x:v>
      </x:c>
      <x:c r="L2502" t="str">
        <x:v>Fondos insuficientes</x:v>
      </x:c>
    </x:row>
    <x:row r="2503">
      <x:c r="A2503" t="str">
        <x:v>TXN-0002502</x:v>
      </x:c>
      <x:c r="B2503" t="str">
        <x:v>2026-09</x:v>
      </x:c>
      <x:c r="C2503" t="n">
        <x:v>46276</x:v>
      </x:c>
      <x:c r="D2503" t="str">
        <x:v>USR-00928</x:v>
      </x:c>
      <x:c r="E2503" t="str">
        <x:v>SUS-001342</x:v>
      </x:c>
      <x:c r="F2503" t="str">
        <x:v>Plus mensual</x:v>
      </x:c>
      <x:c r="G2503" t="str">
        <x:v>Mensual</x:v>
      </x:c>
      <x:c r="H2503" t="n">
        <x:v>2</x:v>
      </x:c>
      <x:c r="I2503" t="str">
        <x:v>Aprobado</x:v>
      </x:c>
      <x:c r="J2503" t="n">
        <x:v>29900</x:v>
      </x:c>
      <x:c r="K2503" t="str">
        <x:v>PSE</x:v>
      </x:c>
      <x:c r="L2503" t="str">
        <x:v>Sin error</x:v>
      </x:c>
    </x:row>
    <x:row r="2504">
      <x:c r="A2504" t="str">
        <x:v>TXN-0002503</x:v>
      </x:c>
      <x:c r="B2504" t="str">
        <x:v>2026-09</x:v>
      </x:c>
      <x:c r="C2504" t="n">
        <x:v>46271</x:v>
      </x:c>
      <x:c r="D2504" t="str">
        <x:v>USR-00929</x:v>
      </x:c>
      <x:c r="E2504" t="str">
        <x:v>SUS-001472</x:v>
      </x:c>
      <x:c r="F2504" t="str">
        <x:v>Plus mensual</x:v>
      </x:c>
      <x:c r="G2504" t="str">
        <x:v>Mensual</x:v>
      </x:c>
      <x:c r="H2504" t="n">
        <x:v>1</x:v>
      </x:c>
      <x:c r="I2504" t="str">
        <x:v>Aprobado</x:v>
      </x:c>
      <x:c r="J2504" t="n">
        <x:v>29900</x:v>
      </x:c>
      <x:c r="K2504" t="str">
        <x:v>Tarjeta crédito</x:v>
      </x:c>
      <x:c r="L2504" t="str">
        <x:v>Sin error</x:v>
      </x:c>
    </x:row>
    <x:row r="2505">
      <x:c r="A2505" t="str">
        <x:v>TXN-0002504</x:v>
      </x:c>
      <x:c r="B2505" t="str">
        <x:v>2026-09</x:v>
      </x:c>
      <x:c r="C2505" t="n">
        <x:v>46276</x:v>
      </x:c>
      <x:c r="D2505" t="str">
        <x:v>USR-00938</x:v>
      </x:c>
      <x:c r="E2505" t="str">
        <x:v>SUS-001474</x:v>
      </x:c>
      <x:c r="F2505" t="str">
        <x:v>Plus mensual</x:v>
      </x:c>
      <x:c r="G2505" t="str">
        <x:v>Mensual</x:v>
      </x:c>
      <x:c r="H2505" t="n">
        <x:v>1</x:v>
      </x:c>
      <x:c r="I2505" t="str">
        <x:v>Aprobado</x:v>
      </x:c>
      <x:c r="J2505" t="n">
        <x:v>29900</x:v>
      </x:c>
      <x:c r="K2505" t="str">
        <x:v>Tarjeta débito</x:v>
      </x:c>
      <x:c r="L2505" t="str">
        <x:v>Sin error</x:v>
      </x:c>
    </x:row>
    <x:row r="2506">
      <x:c r="A2506" t="str">
        <x:v>TXN-0002505</x:v>
      </x:c>
      <x:c r="B2506" t="str">
        <x:v>2026-09</x:v>
      </x:c>
      <x:c r="C2506" t="n">
        <x:v>46275</x:v>
      </x:c>
      <x:c r="D2506" t="str">
        <x:v>USR-00942</x:v>
      </x:c>
      <x:c r="E2506" t="str">
        <x:v>SUS-001748</x:v>
      </x:c>
      <x:c r="F2506" t="str">
        <x:v>Plus mensual</x:v>
      </x:c>
      <x:c r="G2506" t="str">
        <x:v>Mensual</x:v>
      </x:c>
      <x:c r="H2506" t="n">
        <x:v>1</x:v>
      </x:c>
      <x:c r="I2506" t="str">
        <x:v>Aprobado</x:v>
      </x:c>
      <x:c r="J2506" t="n">
        <x:v>29900</x:v>
      </x:c>
      <x:c r="K2506" t="str">
        <x:v>PSE</x:v>
      </x:c>
      <x:c r="L2506" t="str">
        <x:v>Sin error</x:v>
      </x:c>
    </x:row>
    <x:row r="2507">
      <x:c r="A2507" t="str">
        <x:v>TXN-0002506</x:v>
      </x:c>
      <x:c r="B2507" t="str">
        <x:v>2026-09</x:v>
      </x:c>
      <x:c r="C2507" t="n">
        <x:v>46272</x:v>
      </x:c>
      <x:c r="D2507" t="str">
        <x:v>USR-00943</x:v>
      </x:c>
      <x:c r="E2507" t="str">
        <x:v>SUS-001357</x:v>
      </x:c>
      <x:c r="F2507" t="str">
        <x:v>Plus mensual</x:v>
      </x:c>
      <x:c r="G2507" t="str">
        <x:v>Mensual</x:v>
      </x:c>
      <x:c r="H2507" t="n">
        <x:v>1</x:v>
      </x:c>
      <x:c r="I2507" t="str">
        <x:v>Aprobado</x:v>
      </x:c>
      <x:c r="J2507" t="n">
        <x:v>29900</x:v>
      </x:c>
      <x:c r="K2507" t="str">
        <x:v>Tarjeta crédito</x:v>
      </x:c>
      <x:c r="L2507" t="str">
        <x:v>Sin error</x:v>
      </x:c>
    </x:row>
    <x:row r="2508">
      <x:c r="A2508" t="str">
        <x:v>TXN-0002507</x:v>
      </x:c>
      <x:c r="B2508" t="str">
        <x:v>2026-09</x:v>
      </x:c>
      <x:c r="C2508" t="n">
        <x:v>46272</x:v>
      </x:c>
      <x:c r="D2508" t="str">
        <x:v>USR-00948</x:v>
      </x:c>
      <x:c r="E2508" t="str">
        <x:v>SUS-001362</x:v>
      </x:c>
      <x:c r="F2508" t="str">
        <x:v>Plus mensual</x:v>
      </x:c>
      <x:c r="G2508" t="str">
        <x:v>Mensual</x:v>
      </x:c>
      <x:c r="H2508" t="n">
        <x:v>1</x:v>
      </x:c>
      <x:c r="I2508" t="str">
        <x:v>Aprobado</x:v>
      </x:c>
      <x:c r="J2508" t="n">
        <x:v>29900</x:v>
      </x:c>
      <x:c r="K2508" t="str">
        <x:v>Tarjeta débito</x:v>
      </x:c>
      <x:c r="L2508" t="str">
        <x:v>Sin error</x:v>
      </x:c>
    </x:row>
    <x:row r="2509">
      <x:c r="A2509" t="str">
        <x:v>TXN-0002508</x:v>
      </x:c>
      <x:c r="B2509" t="str">
        <x:v>2026-09</x:v>
      </x:c>
      <x:c r="C2509" t="n">
        <x:v>46273</x:v>
      </x:c>
      <x:c r="D2509" t="str">
        <x:v>USR-00951</x:v>
      </x:c>
      <x:c r="E2509" t="str">
        <x:v>SUS-001604</x:v>
      </x:c>
      <x:c r="F2509" t="str">
        <x:v>Plus mensual</x:v>
      </x:c>
      <x:c r="G2509" t="str">
        <x:v>Mensual</x:v>
      </x:c>
      <x:c r="H2509" t="n">
        <x:v>1</x:v>
      </x:c>
      <x:c r="I2509" t="str">
        <x:v>Aprobado</x:v>
      </x:c>
      <x:c r="J2509" t="n">
        <x:v>29900</x:v>
      </x:c>
      <x:c r="K2509" t="str">
        <x:v>PSE</x:v>
      </x:c>
      <x:c r="L2509" t="str">
        <x:v>Sin error</x:v>
      </x:c>
    </x:row>
    <x:row r="2510">
      <x:c r="A2510" t="str">
        <x:v>TXN-0002509</x:v>
      </x:c>
      <x:c r="B2510" t="str">
        <x:v>2026-09</x:v>
      </x:c>
      <x:c r="C2510" t="n">
        <x:v>46272</x:v>
      </x:c>
      <x:c r="D2510" t="str">
        <x:v>USR-00955</x:v>
      </x:c>
      <x:c r="E2510" t="str">
        <x:v>SUS-001369</x:v>
      </x:c>
      <x:c r="F2510" t="str">
        <x:v>Plus mensual</x:v>
      </x:c>
      <x:c r="G2510" t="str">
        <x:v>Mensual</x:v>
      </x:c>
      <x:c r="H2510" t="n">
        <x:v>1</x:v>
      </x:c>
      <x:c r="I2510" t="str">
        <x:v>Rechazado</x:v>
      </x:c>
      <x:c r="J2510" t="n">
        <x:v>29900</x:v>
      </x:c>
      <x:c r="K2510" t="str">
        <x:v>Tarjeta débito</x:v>
      </x:c>
      <x:c r="L2510" t="str">
        <x:v>Error temporal</x:v>
      </x:c>
    </x:row>
    <x:row r="2511">
      <x:c r="A2511" t="str">
        <x:v>TXN-0002510</x:v>
      </x:c>
      <x:c r="B2511" t="str">
        <x:v>2026-09</x:v>
      </x:c>
      <x:c r="C2511" t="n">
        <x:v>46271</x:v>
      </x:c>
      <x:c r="D2511" t="str">
        <x:v>USR-00955</x:v>
      </x:c>
      <x:c r="E2511" t="str">
        <x:v>SUS-001369</x:v>
      </x:c>
      <x:c r="F2511" t="str">
        <x:v>Plus mensual</x:v>
      </x:c>
      <x:c r="G2511" t="str">
        <x:v>Mensual</x:v>
      </x:c>
      <x:c r="H2511" t="n">
        <x:v>2</x:v>
      </x:c>
      <x:c r="I2511" t="str">
        <x:v>Aprobado</x:v>
      </x:c>
      <x:c r="J2511" t="n">
        <x:v>29900</x:v>
      </x:c>
      <x:c r="K2511" t="str">
        <x:v>Tarjeta crédito</x:v>
      </x:c>
      <x:c r="L2511" t="str">
        <x:v>Sin error</x:v>
      </x:c>
    </x:row>
    <x:row r="2512">
      <x:c r="A2512" t="str">
        <x:v>TXN-0002511</x:v>
      </x:c>
      <x:c r="B2512" t="str">
        <x:v>2026-09</x:v>
      </x:c>
      <x:c r="C2512" t="n">
        <x:v>46272</x:v>
      </x:c>
      <x:c r="D2512" t="str">
        <x:v>USR-00966</x:v>
      </x:c>
      <x:c r="E2512" t="str">
        <x:v>SUS-001380</x:v>
      </x:c>
      <x:c r="F2512" t="str">
        <x:v>Plus mensual</x:v>
      </x:c>
      <x:c r="G2512" t="str">
        <x:v>Mensual</x:v>
      </x:c>
      <x:c r="H2512" t="n">
        <x:v>1</x:v>
      </x:c>
      <x:c r="I2512" t="str">
        <x:v>Aprobado</x:v>
      </x:c>
      <x:c r="J2512" t="n">
        <x:v>29900</x:v>
      </x:c>
      <x:c r="K2512" t="str">
        <x:v>PSE</x:v>
      </x:c>
      <x:c r="L2512" t="str">
        <x:v>Sin error</x:v>
      </x:c>
    </x:row>
    <x:row r="2513">
      <x:c r="A2513" t="str">
        <x:v>TXN-0002512</x:v>
      </x:c>
      <x:c r="B2513" t="str">
        <x:v>2026-09</x:v>
      </x:c>
      <x:c r="C2513" t="n">
        <x:v>46276</x:v>
      </x:c>
      <x:c r="D2513" t="str">
        <x:v>USR-00968</x:v>
      </x:c>
      <x:c r="E2513" t="str">
        <x:v>SUS-001382</x:v>
      </x:c>
      <x:c r="F2513" t="str">
        <x:v>Plus mensual</x:v>
      </x:c>
      <x:c r="G2513" t="str">
        <x:v>Mensual</x:v>
      </x:c>
      <x:c r="H2513" t="n">
        <x:v>1</x:v>
      </x:c>
      <x:c r="I2513" t="str">
        <x:v>Aprobado</x:v>
      </x:c>
      <x:c r="J2513" t="n">
        <x:v>29900</x:v>
      </x:c>
      <x:c r="K2513" t="str">
        <x:v>PSE</x:v>
      </x:c>
      <x:c r="L2513" t="str">
        <x:v>Sin error</x:v>
      </x:c>
    </x:row>
    <x:row r="2514">
      <x:c r="A2514" t="str">
        <x:v>TXN-0002513</x:v>
      </x:c>
      <x:c r="B2514" t="str">
        <x:v>2026-09</x:v>
      </x:c>
      <x:c r="C2514" t="n">
        <x:v>46272</x:v>
      </x:c>
      <x:c r="D2514" t="str">
        <x:v>USR-00973</x:v>
      </x:c>
      <x:c r="E2514" t="str">
        <x:v>SUS-001605</x:v>
      </x:c>
      <x:c r="F2514" t="str">
        <x:v>Plus mensual</x:v>
      </x:c>
      <x:c r="G2514" t="str">
        <x:v>Mensual</x:v>
      </x:c>
      <x:c r="H2514" t="n">
        <x:v>1</x:v>
      </x:c>
      <x:c r="I2514" t="str">
        <x:v>Aprobado</x:v>
      </x:c>
      <x:c r="J2514" t="n">
        <x:v>29900</x:v>
      </x:c>
      <x:c r="K2514" t="str">
        <x:v>PSE</x:v>
      </x:c>
      <x:c r="L2514" t="str">
        <x:v>Sin error</x:v>
      </x:c>
    </x:row>
    <x:row r="2515">
      <x:c r="A2515" t="str">
        <x:v>TXN-0002514</x:v>
      </x:c>
      <x:c r="B2515" t="str">
        <x:v>2026-09</x:v>
      </x:c>
      <x:c r="C2515" t="n">
        <x:v>46273</x:v>
      </x:c>
      <x:c r="D2515" t="str">
        <x:v>USR-00975</x:v>
      </x:c>
      <x:c r="E2515" t="str">
        <x:v>SUS-001389</x:v>
      </x:c>
      <x:c r="F2515" t="str">
        <x:v>Plus mensual</x:v>
      </x:c>
      <x:c r="G2515" t="str">
        <x:v>Mensual</x:v>
      </x:c>
      <x:c r="H2515" t="n">
        <x:v>1</x:v>
      </x:c>
      <x:c r="I2515" t="str">
        <x:v>Aprobado</x:v>
      </x:c>
      <x:c r="J2515" t="n">
        <x:v>29900</x:v>
      </x:c>
      <x:c r="K2515" t="str">
        <x:v>Tarjeta crédito</x:v>
      </x:c>
      <x:c r="L2515" t="str">
        <x:v>Sin error</x:v>
      </x:c>
    </x:row>
    <x:row r="2516">
      <x:c r="A2516" t="str">
        <x:v>TXN-0002515</x:v>
      </x:c>
      <x:c r="B2516" t="str">
        <x:v>2026-09</x:v>
      </x:c>
      <x:c r="C2516" t="n">
        <x:v>46270</x:v>
      </x:c>
      <x:c r="D2516" t="str">
        <x:v>USR-00976</x:v>
      </x:c>
      <x:c r="E2516" t="str">
        <x:v>SUS-001390</x:v>
      </x:c>
      <x:c r="F2516" t="str">
        <x:v>Plus mensual</x:v>
      </x:c>
      <x:c r="G2516" t="str">
        <x:v>Mensual</x:v>
      </x:c>
      <x:c r="H2516" t="n">
        <x:v>1</x:v>
      </x:c>
      <x:c r="I2516" t="str">
        <x:v>Aprobado</x:v>
      </x:c>
      <x:c r="J2516" t="n">
        <x:v>29900</x:v>
      </x:c>
      <x:c r="K2516" t="str">
        <x:v>Tarjeta débito</x:v>
      </x:c>
      <x:c r="L2516" t="str">
        <x:v>Sin error</x:v>
      </x:c>
    </x:row>
    <x:row r="2517">
      <x:c r="A2517" t="str">
        <x:v>TXN-0002516</x:v>
      </x:c>
      <x:c r="B2517" t="str">
        <x:v>2026-09</x:v>
      </x:c>
      <x:c r="C2517" t="n">
        <x:v>46274</x:v>
      </x:c>
      <x:c r="D2517" t="str">
        <x:v>USR-00981</x:v>
      </x:c>
      <x:c r="E2517" t="str">
        <x:v>SUS-001475</x:v>
      </x:c>
      <x:c r="F2517" t="str">
        <x:v>Plus mensual</x:v>
      </x:c>
      <x:c r="G2517" t="str">
        <x:v>Mensual</x:v>
      </x:c>
      <x:c r="H2517" t="n">
        <x:v>1</x:v>
      </x:c>
      <x:c r="I2517" t="str">
        <x:v>Aprobado</x:v>
      </x:c>
      <x:c r="J2517" t="n">
        <x:v>29900</x:v>
      </x:c>
      <x:c r="K2517" t="str">
        <x:v>PSE</x:v>
      </x:c>
      <x:c r="L2517" t="str">
        <x:v>Sin error</x:v>
      </x:c>
    </x:row>
    <x:row r="2518">
      <x:c r="A2518" t="str">
        <x:v>TXN-0002517</x:v>
      </x:c>
      <x:c r="B2518" t="str">
        <x:v>2026-09</x:v>
      </x:c>
      <x:c r="C2518" t="n">
        <x:v>46277</x:v>
      </x:c>
      <x:c r="D2518" t="str">
        <x:v>USR-01017</x:v>
      </x:c>
      <x:c r="E2518" t="str">
        <x:v>SUS-001749</x:v>
      </x:c>
      <x:c r="F2518" t="str">
        <x:v>Plus mensual</x:v>
      </x:c>
      <x:c r="G2518" t="str">
        <x:v>Mensual</x:v>
      </x:c>
      <x:c r="H2518" t="n">
        <x:v>1</x:v>
      </x:c>
      <x:c r="I2518" t="str">
        <x:v>Aprobado</x:v>
      </x:c>
      <x:c r="J2518" t="n">
        <x:v>29900</x:v>
      </x:c>
      <x:c r="K2518" t="str">
        <x:v>Tarjeta crédito</x:v>
      </x:c>
      <x:c r="L2518" t="str">
        <x:v>Sin error</x:v>
      </x:c>
    </x:row>
    <x:row r="2519">
      <x:c r="A2519" t="str">
        <x:v>TXN-0002518</x:v>
      </x:c>
      <x:c r="B2519" t="str">
        <x:v>2026-09</x:v>
      </x:c>
      <x:c r="C2519" t="n">
        <x:v>46274</x:v>
      </x:c>
      <x:c r="D2519" t="str">
        <x:v>USR-01019</x:v>
      </x:c>
      <x:c r="E2519" t="str">
        <x:v>SUS-001513</x:v>
      </x:c>
      <x:c r="F2519" t="str">
        <x:v>Plus mensual</x:v>
      </x:c>
      <x:c r="G2519" t="str">
        <x:v>Mensual</x:v>
      </x:c>
      <x:c r="H2519" t="n">
        <x:v>1</x:v>
      </x:c>
      <x:c r="I2519" t="str">
        <x:v>Aprobado</x:v>
      </x:c>
      <x:c r="J2519" t="n">
        <x:v>29900</x:v>
      </x:c>
      <x:c r="K2519" t="str">
        <x:v>PSE</x:v>
      </x:c>
      <x:c r="L2519" t="str">
        <x:v>Sin error</x:v>
      </x:c>
    </x:row>
    <x:row r="2520">
      <x:c r="A2520" t="str">
        <x:v>TXN-0002519</x:v>
      </x:c>
      <x:c r="B2520" t="str">
        <x:v>2026-09</x:v>
      </x:c>
      <x:c r="C2520" t="n">
        <x:v>46274</x:v>
      </x:c>
      <x:c r="D2520" t="str">
        <x:v>USR-01024</x:v>
      </x:c>
      <x:c r="E2520" t="str">
        <x:v>SUS-001606</x:v>
      </x:c>
      <x:c r="F2520" t="str">
        <x:v>Plus mensual</x:v>
      </x:c>
      <x:c r="G2520" t="str">
        <x:v>Mensual</x:v>
      </x:c>
      <x:c r="H2520" t="n">
        <x:v>1</x:v>
      </x:c>
      <x:c r="I2520" t="str">
        <x:v>Aprobado</x:v>
      </x:c>
      <x:c r="J2520" t="n">
        <x:v>29900</x:v>
      </x:c>
      <x:c r="K2520" t="str">
        <x:v>Tarjeta débito</x:v>
      </x:c>
      <x:c r="L2520" t="str">
        <x:v>Sin error</x:v>
      </x:c>
    </x:row>
    <x:row r="2521">
      <x:c r="A2521" t="str">
        <x:v>TXN-0002520</x:v>
      </x:c>
      <x:c r="B2521" t="str">
        <x:v>2026-09</x:v>
      </x:c>
      <x:c r="C2521" t="n">
        <x:v>46275</x:v>
      </x:c>
      <x:c r="D2521" t="str">
        <x:v>USR-01028</x:v>
      </x:c>
      <x:c r="E2521" t="str">
        <x:v>SUS-001750</x:v>
      </x:c>
      <x:c r="F2521" t="str">
        <x:v>Plus mensual</x:v>
      </x:c>
      <x:c r="G2521" t="str">
        <x:v>Mensual</x:v>
      </x:c>
      <x:c r="H2521" t="n">
        <x:v>1</x:v>
      </x:c>
      <x:c r="I2521" t="str">
        <x:v>Aprobado</x:v>
      </x:c>
      <x:c r="J2521" t="n">
        <x:v>29900</x:v>
      </x:c>
      <x:c r="K2521" t="str">
        <x:v>Tarjeta débito</x:v>
      </x:c>
      <x:c r="L2521" t="str">
        <x:v>Sin error</x:v>
      </x:c>
    </x:row>
    <x:row r="2522">
      <x:c r="A2522" t="str">
        <x:v>TXN-0002521</x:v>
      </x:c>
      <x:c r="B2522" t="str">
        <x:v>2026-09</x:v>
      </x:c>
      <x:c r="C2522" t="n">
        <x:v>46277</x:v>
      </x:c>
      <x:c r="D2522" t="str">
        <x:v>USR-01029</x:v>
      </x:c>
      <x:c r="E2522" t="str">
        <x:v>SUS-001751</x:v>
      </x:c>
      <x:c r="F2522" t="str">
        <x:v>Plus mensual</x:v>
      </x:c>
      <x:c r="G2522" t="str">
        <x:v>Mensual</x:v>
      </x:c>
      <x:c r="H2522" t="n">
        <x:v>1</x:v>
      </x:c>
      <x:c r="I2522" t="str">
        <x:v>Rechazado</x:v>
      </x:c>
      <x:c r="J2522" t="n">
        <x:v>29900</x:v>
      </x:c>
      <x:c r="K2522" t="str">
        <x:v>PSE</x:v>
      </x:c>
      <x:c r="L2522" t="str">
        <x:v>Error temporal</x:v>
      </x:c>
    </x:row>
    <x:row r="2523">
      <x:c r="A2523" t="str">
        <x:v>TXN-0002522</x:v>
      </x:c>
      <x:c r="B2523" t="str">
        <x:v>2026-09</x:v>
      </x:c>
      <x:c r="C2523" t="n">
        <x:v>46271</x:v>
      </x:c>
      <x:c r="D2523" t="str">
        <x:v>USR-01029</x:v>
      </x:c>
      <x:c r="E2523" t="str">
        <x:v>SUS-001751</x:v>
      </x:c>
      <x:c r="F2523" t="str">
        <x:v>Plus mensual</x:v>
      </x:c>
      <x:c r="G2523" t="str">
        <x:v>Mensual</x:v>
      </x:c>
      <x:c r="H2523" t="n">
        <x:v>2</x:v>
      </x:c>
      <x:c r="I2523" t="str">
        <x:v>Aprobado</x:v>
      </x:c>
      <x:c r="J2523" t="n">
        <x:v>29900</x:v>
      </x:c>
      <x:c r="K2523" t="str">
        <x:v>Tarjeta crédito</x:v>
      </x:c>
      <x:c r="L2523" t="str">
        <x:v>Sin error</x:v>
      </x:c>
    </x:row>
    <x:row r="2524">
      <x:c r="A2524" t="str">
        <x:v>TXN-0002523</x:v>
      </x:c>
      <x:c r="B2524" t="str">
        <x:v>2026-09</x:v>
      </x:c>
      <x:c r="C2524" t="n">
        <x:v>46273</x:v>
      </x:c>
      <x:c r="D2524" t="str">
        <x:v>USR-01031</x:v>
      </x:c>
      <x:c r="E2524" t="str">
        <x:v>SUS-001752</x:v>
      </x:c>
      <x:c r="F2524" t="str">
        <x:v>Plus anual</x:v>
      </x:c>
      <x:c r="G2524" t="str">
        <x:v>Anual</x:v>
      </x:c>
      <x:c r="H2524" t="n">
        <x:v>1</x:v>
      </x:c>
      <x:c r="I2524" t="str">
        <x:v>Aprobado</x:v>
      </x:c>
      <x:c r="J2524" t="n">
        <x:v>299000</x:v>
      </x:c>
      <x:c r="K2524" t="str">
        <x:v>Tarjeta crédito</x:v>
      </x:c>
      <x:c r="L2524" t="str">
        <x:v>Sin error</x:v>
      </x:c>
    </x:row>
    <x:row r="2525">
      <x:c r="A2525" t="str">
        <x:v>TXN-0002524</x:v>
      </x:c>
      <x:c r="B2525" t="str">
        <x:v>2026-09</x:v>
      </x:c>
      <x:c r="C2525" t="n">
        <x:v>46273</x:v>
      </x:c>
      <x:c r="D2525" t="str">
        <x:v>USR-01038</x:v>
      </x:c>
      <x:c r="E2525" t="str">
        <x:v>SUS-001532</x:v>
      </x:c>
      <x:c r="F2525" t="str">
        <x:v>Plus mensual</x:v>
      </x:c>
      <x:c r="G2525" t="str">
        <x:v>Mensual</x:v>
      </x:c>
      <x:c r="H2525" t="n">
        <x:v>1</x:v>
      </x:c>
      <x:c r="I2525" t="str">
        <x:v>Aprobado</x:v>
      </x:c>
      <x:c r="J2525" t="n">
        <x:v>29900</x:v>
      </x:c>
      <x:c r="K2525" t="str">
        <x:v>Tarjeta débito</x:v>
      </x:c>
      <x:c r="L2525" t="str">
        <x:v>Sin error</x:v>
      </x:c>
    </x:row>
    <x:row r="2526">
      <x:c r="A2526" t="str">
        <x:v>TXN-0002525</x:v>
      </x:c>
      <x:c r="B2526" t="str">
        <x:v>2026-09</x:v>
      </x:c>
      <x:c r="C2526" t="n">
        <x:v>46272</x:v>
      </x:c>
      <x:c r="D2526" t="str">
        <x:v>USR-01041</x:v>
      </x:c>
      <x:c r="E2526" t="str">
        <x:v>SUS-001607</x:v>
      </x:c>
      <x:c r="F2526" t="str">
        <x:v>Plus mensual</x:v>
      </x:c>
      <x:c r="G2526" t="str">
        <x:v>Mensual</x:v>
      </x:c>
      <x:c r="H2526" t="n">
        <x:v>1</x:v>
      </x:c>
      <x:c r="I2526" t="str">
        <x:v>Rechazado</x:v>
      </x:c>
      <x:c r="J2526" t="n">
        <x:v>29900</x:v>
      </x:c>
      <x:c r="K2526" t="str">
        <x:v>Tarjeta débito</x:v>
      </x:c>
      <x:c r="L2526" t="str">
        <x:v>Fondos insuficientes</x:v>
      </x:c>
    </x:row>
    <x:row r="2527">
      <x:c r="A2527" t="str">
        <x:v>TXN-0002526</x:v>
      </x:c>
      <x:c r="B2527" t="str">
        <x:v>2026-09</x:v>
      </x:c>
      <x:c r="C2527" t="n">
        <x:v>46275</x:v>
      </x:c>
      <x:c r="D2527" t="str">
        <x:v>USR-01041</x:v>
      </x:c>
      <x:c r="E2527" t="str">
        <x:v>SUS-001607</x:v>
      </x:c>
      <x:c r="F2527" t="str">
        <x:v>Plus mensual</x:v>
      </x:c>
      <x:c r="G2527" t="str">
        <x:v>Mensual</x:v>
      </x:c>
      <x:c r="H2527" t="n">
        <x:v>2</x:v>
      </x:c>
      <x:c r="I2527" t="str">
        <x:v>Aprobado</x:v>
      </x:c>
      <x:c r="J2527" t="n">
        <x:v>29900</x:v>
      </x:c>
      <x:c r="K2527" t="str">
        <x:v>Tarjeta débito</x:v>
      </x:c>
      <x:c r="L2527" t="str">
        <x:v>Sin error</x:v>
      </x:c>
    </x:row>
    <x:row r="2528">
      <x:c r="A2528" t="str">
        <x:v>TXN-0002527</x:v>
      </x:c>
      <x:c r="B2528" t="str">
        <x:v>2026-09</x:v>
      </x:c>
      <x:c r="C2528" t="n">
        <x:v>46272</x:v>
      </x:c>
      <x:c r="D2528" t="str">
        <x:v>USR-01046</x:v>
      </x:c>
      <x:c r="E2528" t="str">
        <x:v>SUS-001753</x:v>
      </x:c>
      <x:c r="F2528" t="str">
        <x:v>Plus anual</x:v>
      </x:c>
      <x:c r="G2528" t="str">
        <x:v>Anual</x:v>
      </x:c>
      <x:c r="H2528" t="n">
        <x:v>1</x:v>
      </x:c>
      <x:c r="I2528" t="str">
        <x:v>Aprobado</x:v>
      </x:c>
      <x:c r="J2528" t="n">
        <x:v>299000</x:v>
      </x:c>
      <x:c r="K2528" t="str">
        <x:v>Tarjeta débito</x:v>
      </x:c>
      <x:c r="L2528" t="str">
        <x:v>Sin error</x:v>
      </x:c>
    </x:row>
    <x:row r="2529">
      <x:c r="A2529" t="str">
        <x:v>TXN-0002528</x:v>
      </x:c>
      <x:c r="B2529" t="str">
        <x:v>2026-09</x:v>
      </x:c>
      <x:c r="C2529" t="n">
        <x:v>46270</x:v>
      </x:c>
      <x:c r="D2529" t="str">
        <x:v>USR-01047</x:v>
      </x:c>
      <x:c r="E2529" t="str">
        <x:v>SUS-001541</x:v>
      </x:c>
      <x:c r="F2529" t="str">
        <x:v>Plus mensual</x:v>
      </x:c>
      <x:c r="G2529" t="str">
        <x:v>Mensual</x:v>
      </x:c>
      <x:c r="H2529" t="n">
        <x:v>1</x:v>
      </x:c>
      <x:c r="I2529" t="str">
        <x:v>Aprobado</x:v>
      </x:c>
      <x:c r="J2529" t="n">
        <x:v>29900</x:v>
      </x:c>
      <x:c r="K2529" t="str">
        <x:v>Tarjeta crédito</x:v>
      </x:c>
      <x:c r="L2529" t="str">
        <x:v>Sin error</x:v>
      </x:c>
    </x:row>
    <x:row r="2530">
      <x:c r="A2530" t="str">
        <x:v>TXN-0002529</x:v>
      </x:c>
      <x:c r="B2530" t="str">
        <x:v>2026-09</x:v>
      </x:c>
      <x:c r="C2530" t="n">
        <x:v>46277</x:v>
      </x:c>
      <x:c r="D2530" t="str">
        <x:v>USR-01055</x:v>
      </x:c>
      <x:c r="E2530" t="str">
        <x:v>SUS-001754</x:v>
      </x:c>
      <x:c r="F2530" t="str">
        <x:v>Plus mensual</x:v>
      </x:c>
      <x:c r="G2530" t="str">
        <x:v>Mensual</x:v>
      </x:c>
      <x:c r="H2530" t="n">
        <x:v>1</x:v>
      </x:c>
      <x:c r="I2530" t="str">
        <x:v>Aprobado</x:v>
      </x:c>
      <x:c r="J2530" t="n">
        <x:v>29900</x:v>
      </x:c>
      <x:c r="K2530" t="str">
        <x:v>PSE</x:v>
      </x:c>
      <x:c r="L2530" t="str">
        <x:v>Sin error</x:v>
      </x:c>
    </x:row>
    <x:row r="2531">
      <x:c r="A2531" t="str">
        <x:v>TXN-0002530</x:v>
      </x:c>
      <x:c r="B2531" t="str">
        <x:v>2026-09</x:v>
      </x:c>
      <x:c r="C2531" t="n">
        <x:v>46277</x:v>
      </x:c>
      <x:c r="D2531" t="str">
        <x:v>USR-01066</x:v>
      </x:c>
      <x:c r="E2531" t="str">
        <x:v>SUS-001613</x:v>
      </x:c>
      <x:c r="F2531" t="str">
        <x:v>Plus mensual</x:v>
      </x:c>
      <x:c r="G2531" t="str">
        <x:v>Mensual</x:v>
      </x:c>
      <x:c r="H2531" t="n">
        <x:v>1</x:v>
      </x:c>
      <x:c r="I2531" t="str">
        <x:v>Aprobado</x:v>
      </x:c>
      <x:c r="J2531" t="n">
        <x:v>29900</x:v>
      </x:c>
      <x:c r="K2531" t="str">
        <x:v>Tarjeta crédito</x:v>
      </x:c>
      <x:c r="L2531" t="str">
        <x:v>Sin error</x:v>
      </x:c>
    </x:row>
    <x:row r="2532">
      <x:c r="A2532" t="str">
        <x:v>TXN-0002531</x:v>
      </x:c>
      <x:c r="B2532" t="str">
        <x:v>2026-09</x:v>
      </x:c>
      <x:c r="C2532" t="n">
        <x:v>46276</x:v>
      </x:c>
      <x:c r="D2532" t="str">
        <x:v>USR-01069</x:v>
      </x:c>
      <x:c r="E2532" t="str">
        <x:v>SUS-001616</x:v>
      </x:c>
      <x:c r="F2532" t="str">
        <x:v>Plus mensual</x:v>
      </x:c>
      <x:c r="G2532" t="str">
        <x:v>Mensual</x:v>
      </x:c>
      <x:c r="H2532" t="n">
        <x:v>1</x:v>
      </x:c>
      <x:c r="I2532" t="str">
        <x:v>Aprobado</x:v>
      </x:c>
      <x:c r="J2532" t="n">
        <x:v>29900</x:v>
      </x:c>
      <x:c r="K2532" t="str">
        <x:v>PSE</x:v>
      </x:c>
      <x:c r="L2532" t="str">
        <x:v>Sin error</x:v>
      </x:c>
    </x:row>
    <x:row r="2533">
      <x:c r="A2533" t="str">
        <x:v>TXN-0002532</x:v>
      </x:c>
      <x:c r="B2533" t="str">
        <x:v>2026-09</x:v>
      </x:c>
      <x:c r="C2533" t="n">
        <x:v>46274</x:v>
      </x:c>
      <x:c r="D2533" t="str">
        <x:v>USR-01072</x:v>
      </x:c>
      <x:c r="E2533" t="str">
        <x:v>SUS-001619</x:v>
      </x:c>
      <x:c r="F2533" t="str">
        <x:v>Plus mensual</x:v>
      </x:c>
      <x:c r="G2533" t="str">
        <x:v>Mensual</x:v>
      </x:c>
      <x:c r="H2533" t="n">
        <x:v>1</x:v>
      </x:c>
      <x:c r="I2533" t="str">
        <x:v>Aprobado</x:v>
      </x:c>
      <x:c r="J2533" t="n">
        <x:v>29900</x:v>
      </x:c>
      <x:c r="K2533" t="str">
        <x:v>PSE</x:v>
      </x:c>
      <x:c r="L2533" t="str">
        <x:v>Sin error</x:v>
      </x:c>
    </x:row>
    <x:row r="2534">
      <x:c r="A2534" t="str">
        <x:v>TXN-0002533</x:v>
      </x:c>
      <x:c r="B2534" t="str">
        <x:v>2026-09</x:v>
      </x:c>
      <x:c r="C2534" t="n">
        <x:v>46272</x:v>
      </x:c>
      <x:c r="D2534" t="str">
        <x:v>USR-01077</x:v>
      </x:c>
      <x:c r="E2534" t="str">
        <x:v>SUS-001624</x:v>
      </x:c>
      <x:c r="F2534" t="str">
        <x:v>Plus mensual</x:v>
      </x:c>
      <x:c r="G2534" t="str">
        <x:v>Mensual</x:v>
      </x:c>
      <x:c r="H2534" t="n">
        <x:v>1</x:v>
      </x:c>
      <x:c r="I2534" t="str">
        <x:v>Aprobado</x:v>
      </x:c>
      <x:c r="J2534" t="n">
        <x:v>29900</x:v>
      </x:c>
      <x:c r="K2534" t="str">
        <x:v>PSE</x:v>
      </x:c>
      <x:c r="L2534" t="str">
        <x:v>Sin error</x:v>
      </x:c>
    </x:row>
    <x:row r="2535">
      <x:c r="A2535" t="str">
        <x:v>TXN-0002534</x:v>
      </x:c>
      <x:c r="B2535" t="str">
        <x:v>2026-09</x:v>
      </x:c>
      <x:c r="C2535" t="n">
        <x:v>46271</x:v>
      </x:c>
      <x:c r="D2535" t="str">
        <x:v>USR-01081</x:v>
      </x:c>
      <x:c r="E2535" t="str">
        <x:v>SUS-001755</x:v>
      </x:c>
      <x:c r="F2535" t="str">
        <x:v>Plus mensual</x:v>
      </x:c>
      <x:c r="G2535" t="str">
        <x:v>Mensual</x:v>
      </x:c>
      <x:c r="H2535" t="n">
        <x:v>1</x:v>
      </x:c>
      <x:c r="I2535" t="str">
        <x:v>Aprobado</x:v>
      </x:c>
      <x:c r="J2535" t="n">
        <x:v>29900</x:v>
      </x:c>
      <x:c r="K2535" t="str">
        <x:v>PSE</x:v>
      </x:c>
      <x:c r="L2535" t="str">
        <x:v>Sin error</x:v>
      </x:c>
    </x:row>
    <x:row r="2536">
      <x:c r="A2536" t="str">
        <x:v>TXN-0002535</x:v>
      </x:c>
      <x:c r="B2536" t="str">
        <x:v>2026-09</x:v>
      </x:c>
      <x:c r="C2536" t="n">
        <x:v>46270</x:v>
      </x:c>
      <x:c r="D2536" t="str">
        <x:v>USR-01082</x:v>
      </x:c>
      <x:c r="E2536" t="str">
        <x:v>SUS-001629</x:v>
      </x:c>
      <x:c r="F2536" t="str">
        <x:v>Plus mensual</x:v>
      </x:c>
      <x:c r="G2536" t="str">
        <x:v>Mensual</x:v>
      </x:c>
      <x:c r="H2536" t="n">
        <x:v>1</x:v>
      </x:c>
      <x:c r="I2536" t="str">
        <x:v>Aprobado</x:v>
      </x:c>
      <x:c r="J2536" t="n">
        <x:v>29900</x:v>
      </x:c>
      <x:c r="K2536" t="str">
        <x:v>Tarjeta débito</x:v>
      </x:c>
      <x:c r="L2536" t="str">
        <x:v>Sin error</x:v>
      </x:c>
    </x:row>
    <x:row r="2537">
      <x:c r="A2537" t="str">
        <x:v>TXN-0002536</x:v>
      </x:c>
      <x:c r="B2537" t="str">
        <x:v>2026-09</x:v>
      </x:c>
      <x:c r="C2537" t="n">
        <x:v>46277</x:v>
      </x:c>
      <x:c r="D2537" t="str">
        <x:v>USR-01093</x:v>
      </x:c>
      <x:c r="E2537" t="str">
        <x:v>SUS-001640</x:v>
      </x:c>
      <x:c r="F2537" t="str">
        <x:v>Plus mensual</x:v>
      </x:c>
      <x:c r="G2537" t="str">
        <x:v>Mensual</x:v>
      </x:c>
      <x:c r="H2537" t="n">
        <x:v>1</x:v>
      </x:c>
      <x:c r="I2537" t="str">
        <x:v>Aprobado</x:v>
      </x:c>
      <x:c r="J2537" t="n">
        <x:v>29900</x:v>
      </x:c>
      <x:c r="K2537" t="str">
        <x:v>PSE</x:v>
      </x:c>
      <x:c r="L2537" t="str">
        <x:v>Sin error</x:v>
      </x:c>
    </x:row>
    <x:row r="2538">
      <x:c r="A2538" t="str">
        <x:v>TXN-0002537</x:v>
      </x:c>
      <x:c r="B2538" t="str">
        <x:v>2026-09</x:v>
      </x:c>
      <x:c r="C2538" t="n">
        <x:v>46273</x:v>
      </x:c>
      <x:c r="D2538" t="str">
        <x:v>USR-01105</x:v>
      </x:c>
      <x:c r="E2538" t="str">
        <x:v>SUS-001652</x:v>
      </x:c>
      <x:c r="F2538" t="str">
        <x:v>Plus mensual</x:v>
      </x:c>
      <x:c r="G2538" t="str">
        <x:v>Mensual</x:v>
      </x:c>
      <x:c r="H2538" t="n">
        <x:v>1</x:v>
      </x:c>
      <x:c r="I2538" t="str">
        <x:v>Aprobado</x:v>
      </x:c>
      <x:c r="J2538" t="n">
        <x:v>29900</x:v>
      </x:c>
      <x:c r="K2538" t="str">
        <x:v>Tarjeta débito</x:v>
      </x:c>
      <x:c r="L2538" t="str">
        <x:v>Sin error</x:v>
      </x:c>
    </x:row>
    <x:row r="2539">
      <x:c r="A2539" t="str">
        <x:v>TXN-0002538</x:v>
      </x:c>
      <x:c r="B2539" t="str">
        <x:v>2026-09</x:v>
      </x:c>
      <x:c r="C2539" t="n">
        <x:v>46276</x:v>
      </x:c>
      <x:c r="D2539" t="str">
        <x:v>USR-01106</x:v>
      </x:c>
      <x:c r="E2539" t="str">
        <x:v>SUS-001653</x:v>
      </x:c>
      <x:c r="F2539" t="str">
        <x:v>Plus mensual</x:v>
      </x:c>
      <x:c r="G2539" t="str">
        <x:v>Mensual</x:v>
      </x:c>
      <x:c r="H2539" t="n">
        <x:v>1</x:v>
      </x:c>
      <x:c r="I2539" t="str">
        <x:v>Aprobado</x:v>
      </x:c>
      <x:c r="J2539" t="n">
        <x:v>29900</x:v>
      </x:c>
      <x:c r="K2539" t="str">
        <x:v>Tarjeta débito</x:v>
      </x:c>
      <x:c r="L2539" t="str">
        <x:v>Sin error</x:v>
      </x:c>
    </x:row>
    <x:row r="2540">
      <x:c r="A2540" t="str">
        <x:v>TXN-0002539</x:v>
      </x:c>
      <x:c r="B2540" t="str">
        <x:v>2026-09</x:v>
      </x:c>
      <x:c r="C2540" t="n">
        <x:v>46270</x:v>
      </x:c>
      <x:c r="D2540" t="str">
        <x:v>USR-01115</x:v>
      </x:c>
      <x:c r="E2540" t="str">
        <x:v>SUS-001662</x:v>
      </x:c>
      <x:c r="F2540" t="str">
        <x:v>Plus mensual</x:v>
      </x:c>
      <x:c r="G2540" t="str">
        <x:v>Mensual</x:v>
      </x:c>
      <x:c r="H2540" t="n">
        <x:v>1</x:v>
      </x:c>
      <x:c r="I2540" t="str">
        <x:v>Aprobado</x:v>
      </x:c>
      <x:c r="J2540" t="n">
        <x:v>29900</x:v>
      </x:c>
      <x:c r="K2540" t="str">
        <x:v>Tarjeta débito</x:v>
      </x:c>
      <x:c r="L2540" t="str">
        <x:v>Sin error</x:v>
      </x:c>
    </x:row>
    <x:row r="2541">
      <x:c r="A2541" t="str">
        <x:v>TXN-0002540</x:v>
      </x:c>
      <x:c r="B2541" t="str">
        <x:v>2026-09</x:v>
      </x:c>
      <x:c r="C2541" t="n">
        <x:v>46275</x:v>
      </x:c>
      <x:c r="D2541" t="str">
        <x:v>USR-01117</x:v>
      </x:c>
      <x:c r="E2541" t="str">
        <x:v>SUS-001664</x:v>
      </x:c>
      <x:c r="F2541" t="str">
        <x:v>Plus mensual</x:v>
      </x:c>
      <x:c r="G2541" t="str">
        <x:v>Mensual</x:v>
      </x:c>
      <x:c r="H2541" t="n">
        <x:v>1</x:v>
      </x:c>
      <x:c r="I2541" t="str">
        <x:v>Aprobado</x:v>
      </x:c>
      <x:c r="J2541" t="n">
        <x:v>29900</x:v>
      </x:c>
      <x:c r="K2541" t="str">
        <x:v>Tarjeta débito</x:v>
      </x:c>
      <x:c r="L2541" t="str">
        <x:v>Sin error</x:v>
      </x:c>
    </x:row>
    <x:row r="2542">
      <x:c r="A2542" t="str">
        <x:v>TXN-0002541</x:v>
      </x:c>
      <x:c r="B2542" t="str">
        <x:v>2026-09</x:v>
      </x:c>
      <x:c r="C2542" t="n">
        <x:v>46270</x:v>
      </x:c>
      <x:c r="D2542" t="str">
        <x:v>USR-01121</x:v>
      </x:c>
      <x:c r="E2542" t="str">
        <x:v>SUS-001668</x:v>
      </x:c>
      <x:c r="F2542" t="str">
        <x:v>Plus mensual</x:v>
      </x:c>
      <x:c r="G2542" t="str">
        <x:v>Mensual</x:v>
      </x:c>
      <x:c r="H2542" t="n">
        <x:v>1</x:v>
      </x:c>
      <x:c r="I2542" t="str">
        <x:v>Aprobado</x:v>
      </x:c>
      <x:c r="J2542" t="n">
        <x:v>29900</x:v>
      </x:c>
      <x:c r="K2542" t="str">
        <x:v>Tarjeta crédito</x:v>
      </x:c>
      <x:c r="L2542" t="str">
        <x:v>Sin error</x:v>
      </x:c>
    </x:row>
    <x:row r="2543">
      <x:c r="A2543" t="str">
        <x:v>TXN-0002542</x:v>
      </x:c>
      <x:c r="B2543" t="str">
        <x:v>2026-09</x:v>
      </x:c>
      <x:c r="C2543" t="n">
        <x:v>46274</x:v>
      </x:c>
      <x:c r="D2543" t="str">
        <x:v>USR-01126</x:v>
      </x:c>
      <x:c r="E2543" t="str">
        <x:v>SUS-001673</x:v>
      </x:c>
      <x:c r="F2543" t="str">
        <x:v>Plus mensual</x:v>
      </x:c>
      <x:c r="G2543" t="str">
        <x:v>Mensual</x:v>
      </x:c>
      <x:c r="H2543" t="n">
        <x:v>1</x:v>
      </x:c>
      <x:c r="I2543" t="str">
        <x:v>Aprobado</x:v>
      </x:c>
      <x:c r="J2543" t="n">
        <x:v>29900</x:v>
      </x:c>
      <x:c r="K2543" t="str">
        <x:v>Tarjeta débito</x:v>
      </x:c>
      <x:c r="L2543" t="str">
        <x:v>Sin error</x:v>
      </x:c>
    </x:row>
    <x:row r="2544">
      <x:c r="A2544" t="str">
        <x:v>TXN-0002543</x:v>
      </x:c>
      <x:c r="B2544" t="str">
        <x:v>2026-09</x:v>
      </x:c>
      <x:c r="C2544" t="n">
        <x:v>46272</x:v>
      </x:c>
      <x:c r="D2544" t="str">
        <x:v>USR-01137</x:v>
      </x:c>
      <x:c r="E2544" t="str">
        <x:v>SUS-001756</x:v>
      </x:c>
      <x:c r="F2544" t="str">
        <x:v>Plus mensual</x:v>
      </x:c>
      <x:c r="G2544" t="str">
        <x:v>Mensual</x:v>
      </x:c>
      <x:c r="H2544" t="n">
        <x:v>1</x:v>
      </x:c>
      <x:c r="I2544" t="str">
        <x:v>Aprobado</x:v>
      </x:c>
      <x:c r="J2544" t="n">
        <x:v>29900</x:v>
      </x:c>
      <x:c r="K2544" t="str">
        <x:v>Tarjeta débito</x:v>
      </x:c>
      <x:c r="L2544" t="str">
        <x:v>Sin error</x:v>
      </x:c>
    </x:row>
    <x:row r="2545">
      <x:c r="A2545" t="str">
        <x:v>TXN-0002544</x:v>
      </x:c>
      <x:c r="B2545" t="str">
        <x:v>2026-09</x:v>
      </x:c>
      <x:c r="C2545" t="n">
        <x:v>46277</x:v>
      </x:c>
      <x:c r="D2545" t="str">
        <x:v>USR-01140</x:v>
      </x:c>
      <x:c r="E2545" t="str">
        <x:v>SUS-001757</x:v>
      </x:c>
      <x:c r="F2545" t="str">
        <x:v>Plus mensual</x:v>
      </x:c>
      <x:c r="G2545" t="str">
        <x:v>Mensual</x:v>
      </x:c>
      <x:c r="H2545" t="n">
        <x:v>1</x:v>
      </x:c>
      <x:c r="I2545" t="str">
        <x:v>Aprobado</x:v>
      </x:c>
      <x:c r="J2545" t="n">
        <x:v>29900</x:v>
      </x:c>
      <x:c r="K2545" t="str">
        <x:v>Tarjeta crédito</x:v>
      </x:c>
      <x:c r="L2545" t="str">
        <x:v>Sin error</x:v>
      </x:c>
    </x:row>
    <x:row r="2546">
      <x:c r="A2546" t="str">
        <x:v>TXN-0002545</x:v>
      </x:c>
      <x:c r="B2546" t="str">
        <x:v>2026-09</x:v>
      </x:c>
      <x:c r="C2546" t="n">
        <x:v>46275</x:v>
      </x:c>
      <x:c r="D2546" t="str">
        <x:v>USR-01143</x:v>
      </x:c>
      <x:c r="E2546" t="str">
        <x:v>SUS-001690</x:v>
      </x:c>
      <x:c r="F2546" t="str">
        <x:v>Plus mensual</x:v>
      </x:c>
      <x:c r="G2546" t="str">
        <x:v>Mensual</x:v>
      </x:c>
      <x:c r="H2546" t="n">
        <x:v>1</x:v>
      </x:c>
      <x:c r="I2546" t="str">
        <x:v>Aprobado</x:v>
      </x:c>
      <x:c r="J2546" t="n">
        <x:v>29900</x:v>
      </x:c>
      <x:c r="K2546" t="str">
        <x:v>Tarjeta débito</x:v>
      </x:c>
      <x:c r="L2546" t="str">
        <x:v>Sin error</x:v>
      </x:c>
    </x:row>
    <x:row r="2547">
      <x:c r="A2547" t="str">
        <x:v>TXN-0002546</x:v>
      </x:c>
      <x:c r="B2547" t="str">
        <x:v>2026-09</x:v>
      </x:c>
      <x:c r="C2547" t="n">
        <x:v>46271</x:v>
      </x:c>
      <x:c r="D2547" t="str">
        <x:v>USR-01144</x:v>
      </x:c>
      <x:c r="E2547" t="str">
        <x:v>SUS-001691</x:v>
      </x:c>
      <x:c r="F2547" t="str">
        <x:v>Plus mensual</x:v>
      </x:c>
      <x:c r="G2547" t="str">
        <x:v>Mensual</x:v>
      </x:c>
      <x:c r="H2547" t="n">
        <x:v>1</x:v>
      </x:c>
      <x:c r="I2547" t="str">
        <x:v>Aprobado</x:v>
      </x:c>
      <x:c r="J2547" t="n">
        <x:v>29900</x:v>
      </x:c>
      <x:c r="K2547" t="str">
        <x:v>Tarjeta crédito</x:v>
      </x:c>
      <x:c r="L2547" t="str">
        <x:v>Sin error</x:v>
      </x:c>
    </x:row>
    <x:row r="2548">
      <x:c r="A2548" t="str">
        <x:v>TXN-0002547</x:v>
      </x:c>
      <x:c r="B2548" t="str">
        <x:v>2026-09</x:v>
      </x:c>
      <x:c r="C2548" t="n">
        <x:v>46272</x:v>
      </x:c>
      <x:c r="D2548" t="str">
        <x:v>USR-01154</x:v>
      </x:c>
      <x:c r="E2548" t="str">
        <x:v>SUS-001760</x:v>
      </x:c>
      <x:c r="F2548" t="str">
        <x:v>Plus mensual</x:v>
      </x:c>
      <x:c r="G2548" t="str">
        <x:v>Mensual</x:v>
      </x:c>
      <x:c r="H2548" t="n">
        <x:v>1</x:v>
      </x:c>
      <x:c r="I2548" t="str">
        <x:v>Aprobado</x:v>
      </x:c>
      <x:c r="J2548" t="n">
        <x:v>29900</x:v>
      </x:c>
      <x:c r="K2548" t="str">
        <x:v>Tarjeta débito</x:v>
      </x:c>
      <x:c r="L2548" t="str">
        <x:v>Sin error</x:v>
      </x:c>
    </x:row>
    <x:row r="2549">
      <x:c r="A2549" t="str">
        <x:v>TXN-0002548</x:v>
      </x:c>
      <x:c r="B2549" t="str">
        <x:v>2026-09</x:v>
      </x:c>
      <x:c r="C2549" t="n">
        <x:v>46274</x:v>
      </x:c>
      <x:c r="D2549" t="str">
        <x:v>USR-01157</x:v>
      </x:c>
      <x:c r="E2549" t="str">
        <x:v>SUS-001763</x:v>
      </x:c>
      <x:c r="F2549" t="str">
        <x:v>Plus mensual</x:v>
      </x:c>
      <x:c r="G2549" t="str">
        <x:v>Mensual</x:v>
      </x:c>
      <x:c r="H2549" t="n">
        <x:v>1</x:v>
      </x:c>
      <x:c r="I2549" t="str">
        <x:v>Aprobado</x:v>
      </x:c>
      <x:c r="J2549" t="n">
        <x:v>29900</x:v>
      </x:c>
      <x:c r="K2549" t="str">
        <x:v>Tarjeta débito</x:v>
      </x:c>
      <x:c r="L2549" t="str">
        <x:v>Sin error</x:v>
      </x:c>
    </x:row>
    <x:row r="2550">
      <x:c r="A2550" t="str">
        <x:v>TXN-0002549</x:v>
      </x:c>
      <x:c r="B2550" t="str">
        <x:v>2026-09</x:v>
      </x:c>
      <x:c r="C2550" t="n">
        <x:v>46272</x:v>
      </x:c>
      <x:c r="D2550" t="str">
        <x:v>USR-01159</x:v>
      </x:c>
      <x:c r="E2550" t="str">
        <x:v>SUS-001765</x:v>
      </x:c>
      <x:c r="F2550" t="str">
        <x:v>Plus mensual</x:v>
      </x:c>
      <x:c r="G2550" t="str">
        <x:v>Mensual</x:v>
      </x:c>
      <x:c r="H2550" t="n">
        <x:v>1</x:v>
      </x:c>
      <x:c r="I2550" t="str">
        <x:v>Aprobado</x:v>
      </x:c>
      <x:c r="J2550" t="n">
        <x:v>29900</x:v>
      </x:c>
      <x:c r="K2550" t="str">
        <x:v>Tarjeta crédito</x:v>
      </x:c>
      <x:c r="L2550" t="str">
        <x:v>Sin error</x:v>
      </x:c>
    </x:row>
    <x:row r="2551">
      <x:c r="A2551" t="str">
        <x:v>TXN-0002550</x:v>
      </x:c>
      <x:c r="B2551" t="str">
        <x:v>2026-09</x:v>
      </x:c>
      <x:c r="C2551" t="n">
        <x:v>46270</x:v>
      </x:c>
      <x:c r="D2551" t="str">
        <x:v>USR-01165</x:v>
      </x:c>
      <x:c r="E2551" t="str">
        <x:v>SUS-001771</x:v>
      </x:c>
      <x:c r="F2551" t="str">
        <x:v>Plus mensual</x:v>
      </x:c>
      <x:c r="G2551" t="str">
        <x:v>Mensual</x:v>
      </x:c>
      <x:c r="H2551" t="n">
        <x:v>1</x:v>
      </x:c>
      <x:c r="I2551" t="str">
        <x:v>Aprobado</x:v>
      </x:c>
      <x:c r="J2551" t="n">
        <x:v>29900</x:v>
      </x:c>
      <x:c r="K2551" t="str">
        <x:v>Tarjeta crédito</x:v>
      </x:c>
      <x:c r="L2551" t="str">
        <x:v>Sin error</x:v>
      </x:c>
    </x:row>
    <x:row r="2552">
      <x:c r="A2552" t="str">
        <x:v>TXN-0002551</x:v>
      </x:c>
      <x:c r="B2552" t="str">
        <x:v>2026-09</x:v>
      </x:c>
      <x:c r="C2552" t="n">
        <x:v>46274</x:v>
      </x:c>
      <x:c r="D2552" t="str">
        <x:v>USR-01166</x:v>
      </x:c>
      <x:c r="E2552" t="str">
        <x:v>SUS-001772</x:v>
      </x:c>
      <x:c r="F2552" t="str">
        <x:v>Plus mensual</x:v>
      </x:c>
      <x:c r="G2552" t="str">
        <x:v>Mensual</x:v>
      </x:c>
      <x:c r="H2552" t="n">
        <x:v>1</x:v>
      </x:c>
      <x:c r="I2552" t="str">
        <x:v>Aprobado</x:v>
      </x:c>
      <x:c r="J2552" t="n">
        <x:v>29900</x:v>
      </x:c>
      <x:c r="K2552" t="str">
        <x:v>Tarjeta crédito</x:v>
      </x:c>
      <x:c r="L2552" t="str">
        <x:v>Sin error</x:v>
      </x:c>
    </x:row>
    <x:row r="2553">
      <x:c r="A2553" t="str">
        <x:v>TXN-0002552</x:v>
      </x:c>
      <x:c r="B2553" t="str">
        <x:v>2026-09</x:v>
      </x:c>
      <x:c r="C2553" t="n">
        <x:v>46270</x:v>
      </x:c>
      <x:c r="D2553" t="str">
        <x:v>USR-01175</x:v>
      </x:c>
      <x:c r="E2553" t="str">
        <x:v>SUS-001781</x:v>
      </x:c>
      <x:c r="F2553" t="str">
        <x:v>Plus anual</x:v>
      </x:c>
      <x:c r="G2553" t="str">
        <x:v>Anual</x:v>
      </x:c>
      <x:c r="H2553" t="n">
        <x:v>1</x:v>
      </x:c>
      <x:c r="I2553" t="str">
        <x:v>Aprobado</x:v>
      </x:c>
      <x:c r="J2553" t="n">
        <x:v>299000</x:v>
      </x:c>
      <x:c r="K2553" t="str">
        <x:v>PSE</x:v>
      </x:c>
      <x:c r="L2553" t="str">
        <x:v>Sin error</x:v>
      </x:c>
    </x:row>
    <x:row r="2554">
      <x:c r="A2554" t="str">
        <x:v>TXN-0002553</x:v>
      </x:c>
      <x:c r="B2554" t="str">
        <x:v>2026-09</x:v>
      </x:c>
      <x:c r="C2554" t="n">
        <x:v>46271</x:v>
      </x:c>
      <x:c r="D2554" t="str">
        <x:v>USR-01176</x:v>
      </x:c>
      <x:c r="E2554" t="str">
        <x:v>SUS-001782</x:v>
      </x:c>
      <x:c r="F2554" t="str">
        <x:v>Plus mensual</x:v>
      </x:c>
      <x:c r="G2554" t="str">
        <x:v>Mensual</x:v>
      </x:c>
      <x:c r="H2554" t="n">
        <x:v>1</x:v>
      </x:c>
      <x:c r="I2554" t="str">
        <x:v>Aprobado</x:v>
      </x:c>
      <x:c r="J2554" t="n">
        <x:v>29900</x:v>
      </x:c>
      <x:c r="K2554" t="str">
        <x:v>PSE</x:v>
      </x:c>
      <x:c r="L2554" t="str">
        <x:v>Sin error</x:v>
      </x:c>
    </x:row>
    <x:row r="2555">
      <x:c r="A2555" t="str">
        <x:v>TXN-0002554</x:v>
      </x:c>
      <x:c r="B2555" t="str">
        <x:v>2026-09</x:v>
      </x:c>
      <x:c r="C2555" t="n">
        <x:v>46277</x:v>
      </x:c>
      <x:c r="D2555" t="str">
        <x:v>USR-01180</x:v>
      </x:c>
      <x:c r="E2555" t="str">
        <x:v>SUS-001786</x:v>
      </x:c>
      <x:c r="F2555" t="str">
        <x:v>Plus mensual</x:v>
      </x:c>
      <x:c r="G2555" t="str">
        <x:v>Mensual</x:v>
      </x:c>
      <x:c r="H2555" t="n">
        <x:v>1</x:v>
      </x:c>
      <x:c r="I2555" t="str">
        <x:v>Aprobado</x:v>
      </x:c>
      <x:c r="J2555" t="n">
        <x:v>29900</x:v>
      </x:c>
      <x:c r="K2555" t="str">
        <x:v>Tarjeta débito</x:v>
      </x:c>
      <x:c r="L2555" t="str">
        <x:v>Sin error</x:v>
      </x:c>
    </x:row>
    <x:row r="2556">
      <x:c r="A2556" t="str">
        <x:v>TXN-0002555</x:v>
      </x:c>
      <x:c r="B2556" t="str">
        <x:v>2026-09</x:v>
      </x:c>
      <x:c r="C2556" t="n">
        <x:v>46277</x:v>
      </x:c>
      <x:c r="D2556" t="str">
        <x:v>USR-01187</x:v>
      </x:c>
      <x:c r="E2556" t="str">
        <x:v>SUS-001793</x:v>
      </x:c>
      <x:c r="F2556" t="str">
        <x:v>Plus mensual</x:v>
      </x:c>
      <x:c r="G2556" t="str">
        <x:v>Mensual</x:v>
      </x:c>
      <x:c r="H2556" t="n">
        <x:v>1</x:v>
      </x:c>
      <x:c r="I2556" t="str">
        <x:v>Aprobado</x:v>
      </x:c>
      <x:c r="J2556" t="n">
        <x:v>29900</x:v>
      </x:c>
      <x:c r="K2556" t="str">
        <x:v>Tarjeta crédito</x:v>
      </x:c>
      <x:c r="L2556" t="str">
        <x:v>Sin error</x:v>
      </x:c>
    </x:row>
    <x:row r="2557">
      <x:c r="A2557" t="str">
        <x:v>TXN-0002556</x:v>
      </x:c>
      <x:c r="B2557" t="str">
        <x:v>2026-09</x:v>
      </x:c>
      <x:c r="C2557" t="n">
        <x:v>46275</x:v>
      </x:c>
      <x:c r="D2557" t="str">
        <x:v>USR-01189</x:v>
      </x:c>
      <x:c r="E2557" t="str">
        <x:v>SUS-001795</x:v>
      </x:c>
      <x:c r="F2557" t="str">
        <x:v>Plus anual</x:v>
      </x:c>
      <x:c r="G2557" t="str">
        <x:v>Anual</x:v>
      </x:c>
      <x:c r="H2557" t="n">
        <x:v>1</x:v>
      </x:c>
      <x:c r="I2557" t="str">
        <x:v>Aprobado</x:v>
      </x:c>
      <x:c r="J2557" t="n">
        <x:v>299000</x:v>
      </x:c>
      <x:c r="K2557" t="str">
        <x:v>Tarjeta crédito</x:v>
      </x:c>
      <x:c r="L2557" t="str">
        <x:v>Sin error</x:v>
      </x:c>
    </x:row>
    <x:row r="2558">
      <x:c r="A2558" t="str">
        <x:v>TXN-0002557</x:v>
      </x:c>
      <x:c r="B2558" t="str">
        <x:v>2026-09</x:v>
      </x:c>
      <x:c r="C2558" t="n">
        <x:v>46270</x:v>
      </x:c>
      <x:c r="D2558" t="str">
        <x:v>USR-01195</x:v>
      </x:c>
      <x:c r="E2558" t="str">
        <x:v>SUS-001801</x:v>
      </x:c>
      <x:c r="F2558" t="str">
        <x:v>Plus mensual</x:v>
      </x:c>
      <x:c r="G2558" t="str">
        <x:v>Mensual</x:v>
      </x:c>
      <x:c r="H2558" t="n">
        <x:v>1</x:v>
      </x:c>
      <x:c r="I2558" t="str">
        <x:v>Aprobado</x:v>
      </x:c>
      <x:c r="J2558" t="n">
        <x:v>29900</x:v>
      </x:c>
      <x:c r="K2558" t="str">
        <x:v>Tarjeta crédito</x:v>
      </x:c>
      <x:c r="L2558" t="str">
        <x:v>Sin error</x:v>
      </x:c>
    </x:row>
    <x:row r="2559">
      <x:c r="A2559" t="str">
        <x:v>TXN-0002558</x:v>
      </x:c>
      <x:c r="B2559" t="str">
        <x:v>2026-09</x:v>
      </x:c>
      <x:c r="C2559" t="n">
        <x:v>46273</x:v>
      </x:c>
      <x:c r="D2559" t="str">
        <x:v>USR-01198</x:v>
      </x:c>
      <x:c r="E2559" t="str">
        <x:v>SUS-001804</x:v>
      </x:c>
      <x:c r="F2559" t="str">
        <x:v>Plus anual</x:v>
      </x:c>
      <x:c r="G2559" t="str">
        <x:v>Anual</x:v>
      </x:c>
      <x:c r="H2559" t="n">
        <x:v>1</x:v>
      </x:c>
      <x:c r="I2559" t="str">
        <x:v>Aprobado</x:v>
      </x:c>
      <x:c r="J2559" t="n">
        <x:v>299000</x:v>
      </x:c>
      <x:c r="K2559" t="str">
        <x:v>Tarjeta débito</x:v>
      </x:c>
      <x:c r="L2559" t="str">
        <x:v>Sin error</x:v>
      </x:c>
    </x:row>
    <x:row r="2560">
      <x:c r="A2560" t="str">
        <x:v>TXN-0002559</x:v>
      </x:c>
      <x:c r="B2560" t="str">
        <x:v>2026-09</x:v>
      </x:c>
      <x:c r="C2560" t="n">
        <x:v>46271</x:v>
      </x:c>
      <x:c r="D2560" t="str">
        <x:v>USR-01204</x:v>
      </x:c>
      <x:c r="E2560" t="str">
        <x:v>SUS-001810</x:v>
      </x:c>
      <x:c r="F2560" t="str">
        <x:v>Plus mensual</x:v>
      </x:c>
      <x:c r="G2560" t="str">
        <x:v>Mensual</x:v>
      </x:c>
      <x:c r="H2560" t="n">
        <x:v>1</x:v>
      </x:c>
      <x:c r="I2560" t="str">
        <x:v>Aprobado</x:v>
      </x:c>
      <x:c r="J2560" t="n">
        <x:v>29900</x:v>
      </x:c>
      <x:c r="K2560" t="str">
        <x:v>Tarjeta crédito</x:v>
      </x:c>
      <x:c r="L2560" t="str">
        <x:v>Sin error</x:v>
      </x:c>
    </x:row>
    <x:row r="2561">
      <x:c r="A2561" t="str">
        <x:v>TXN-0002560</x:v>
      </x:c>
      <x:c r="B2561" t="str">
        <x:v>2026-09</x:v>
      </x:c>
      <x:c r="C2561" t="n">
        <x:v>46273</x:v>
      </x:c>
      <x:c r="D2561" t="str">
        <x:v>USR-01215</x:v>
      </x:c>
      <x:c r="E2561" t="str">
        <x:v>SUS-001821</x:v>
      </x:c>
      <x:c r="F2561" t="str">
        <x:v>Plus mensual</x:v>
      </x:c>
      <x:c r="G2561" t="str">
        <x:v>Mensual</x:v>
      </x:c>
      <x:c r="H2561" t="n">
        <x:v>1</x:v>
      </x:c>
      <x:c r="I2561" t="str">
        <x:v>Aprobado</x:v>
      </x:c>
      <x:c r="J2561" t="n">
        <x:v>29900</x:v>
      </x:c>
      <x:c r="K2561" t="str">
        <x:v>PSE</x:v>
      </x:c>
      <x:c r="L2561" t="str">
        <x:v>Sin error</x:v>
      </x:c>
    </x:row>
    <x:row r="2562">
      <x:c r="A2562" t="str">
        <x:v>TXN-0002561</x:v>
      </x:c>
      <x:c r="B2562" t="str">
        <x:v>2026-09</x:v>
      </x:c>
      <x:c r="C2562" t="n">
        <x:v>46277</x:v>
      </x:c>
      <x:c r="D2562" t="str">
        <x:v>USR-01227</x:v>
      </x:c>
      <x:c r="E2562" t="str">
        <x:v>SUS-001833</x:v>
      </x:c>
      <x:c r="F2562" t="str">
        <x:v>Plus anual</x:v>
      </x:c>
      <x:c r="G2562" t="str">
        <x:v>Anual</x:v>
      </x:c>
      <x:c r="H2562" t="n">
        <x:v>1</x:v>
      </x:c>
      <x:c r="I2562" t="str">
        <x:v>Aprobado</x:v>
      </x:c>
      <x:c r="J2562" t="n">
        <x:v>299000</x:v>
      </x:c>
      <x:c r="K2562" t="str">
        <x:v>PSE</x:v>
      </x:c>
      <x:c r="L2562" t="str">
        <x:v>Sin error</x:v>
      </x:c>
    </x:row>
    <x:row r="2563">
      <x:c r="A2563" t="str">
        <x:v>TXN-0002562</x:v>
      </x:c>
      <x:c r="B2563" t="str">
        <x:v>2026-09</x:v>
      </x:c>
      <x:c r="C2563" t="n">
        <x:v>46273</x:v>
      </x:c>
      <x:c r="D2563" t="str">
        <x:v>USR-01230</x:v>
      </x:c>
      <x:c r="E2563" t="str">
        <x:v>SUS-001836</x:v>
      </x:c>
      <x:c r="F2563" t="str">
        <x:v>Plus mensual</x:v>
      </x:c>
      <x:c r="G2563" t="str">
        <x:v>Mensual</x:v>
      </x:c>
      <x:c r="H2563" t="n">
        <x:v>1</x:v>
      </x:c>
      <x:c r="I2563" t="str">
        <x:v>Aprobado</x:v>
      </x:c>
      <x:c r="J2563" t="n">
        <x:v>29900</x:v>
      </x:c>
      <x:c r="K2563" t="str">
        <x:v>Tarjeta crédito</x:v>
      </x:c>
      <x:c r="L2563" t="str">
        <x:v>Sin error</x:v>
      </x:c>
    </x:row>
    <x:row r="2564">
      <x:c r="A2564" t="str">
        <x:v>TXN-0002563</x:v>
      </x:c>
      <x:c r="B2564" t="str">
        <x:v>2026-09</x:v>
      </x:c>
      <x:c r="C2564" t="n">
        <x:v>46271</x:v>
      </x:c>
      <x:c r="D2564" t="str">
        <x:v>USR-01231</x:v>
      </x:c>
      <x:c r="E2564" t="str">
        <x:v>SUS-001837</x:v>
      </x:c>
      <x:c r="F2564" t="str">
        <x:v>Plus mensual</x:v>
      </x:c>
      <x:c r="G2564" t="str">
        <x:v>Mensual</x:v>
      </x:c>
      <x:c r="H2564" t="n">
        <x:v>1</x:v>
      </x:c>
      <x:c r="I2564" t="str">
        <x:v>Aprobado</x:v>
      </x:c>
      <x:c r="J2564" t="n">
        <x:v>29900</x:v>
      </x:c>
      <x:c r="K2564" t="str">
        <x:v>Tarjeta débito</x:v>
      </x:c>
      <x:c r="L2564" t="str">
        <x:v>Sin error</x:v>
      </x:c>
    </x:row>
    <x:row r="2565">
      <x:c r="A2565" t="str">
        <x:v>TXN-0002564</x:v>
      </x:c>
      <x:c r="B2565" t="str">
        <x:v>2026-09</x:v>
      </x:c>
      <x:c r="C2565" t="n">
        <x:v>46277</x:v>
      </x:c>
      <x:c r="D2565" t="str">
        <x:v>USR-01232</x:v>
      </x:c>
      <x:c r="E2565" t="str">
        <x:v>SUS-001838</x:v>
      </x:c>
      <x:c r="F2565" t="str">
        <x:v>Plus mensual</x:v>
      </x:c>
      <x:c r="G2565" t="str">
        <x:v>Mensual</x:v>
      </x:c>
      <x:c r="H2565" t="n">
        <x:v>1</x:v>
      </x:c>
      <x:c r="I2565" t="str">
        <x:v>Aprobado</x:v>
      </x:c>
      <x:c r="J2565" t="n">
        <x:v>29900</x:v>
      </x:c>
      <x:c r="K2565" t="str">
        <x:v>PSE</x:v>
      </x:c>
      <x:c r="L2565" t="str">
        <x:v>Sin error</x:v>
      </x:c>
    </x:row>
    <x:row r="2566">
      <x:c r="A2566" t="str">
        <x:v>TXN-0002565</x:v>
      </x:c>
      <x:c r="B2566" t="str">
        <x:v>2026-09</x:v>
      </x:c>
      <x:c r="C2566" t="n">
        <x:v>46274</x:v>
      </x:c>
      <x:c r="D2566" t="str">
        <x:v>USR-01233</x:v>
      </x:c>
      <x:c r="E2566" t="str">
        <x:v>SUS-001839</x:v>
      </x:c>
      <x:c r="F2566" t="str">
        <x:v>Plus mensual</x:v>
      </x:c>
      <x:c r="G2566" t="str">
        <x:v>Mensual</x:v>
      </x:c>
      <x:c r="H2566" t="n">
        <x:v>1</x:v>
      </x:c>
      <x:c r="I2566" t="str">
        <x:v>Aprobado</x:v>
      </x:c>
      <x:c r="J2566" t="n">
        <x:v>29900</x:v>
      </x:c>
      <x:c r="K2566" t="str">
        <x:v>Tarjeta débito</x:v>
      </x:c>
      <x:c r="L2566" t="str">
        <x:v>Sin error</x:v>
      </x:c>
    </x:row>
    <x:row r="2567">
      <x:c r="A2567" t="str">
        <x:v>TXN-0002566</x:v>
      </x:c>
      <x:c r="B2567" t="str">
        <x:v>2026-09</x:v>
      </x:c>
      <x:c r="C2567" t="n">
        <x:v>46277</x:v>
      </x:c>
      <x:c r="D2567" t="str">
        <x:v>USR-01237</x:v>
      </x:c>
      <x:c r="E2567" t="str">
        <x:v>SUS-001843</x:v>
      </x:c>
      <x:c r="F2567" t="str">
        <x:v>Plus anual</x:v>
      </x:c>
      <x:c r="G2567" t="str">
        <x:v>Anual</x:v>
      </x:c>
      <x:c r="H2567" t="n">
        <x:v>1</x:v>
      </x:c>
      <x:c r="I2567" t="str">
        <x:v>Rechazado</x:v>
      </x:c>
      <x:c r="J2567" t="n">
        <x:v>299000</x:v>
      </x:c>
      <x:c r="K2567" t="str">
        <x:v>Tarjeta crédito</x:v>
      </x:c>
      <x:c r="L2567" t="str">
        <x:v>Error temporal</x:v>
      </x:c>
    </x:row>
    <x:row r="2568">
      <x:c r="A2568" t="str">
        <x:v>TXN-0002567</x:v>
      </x:c>
      <x:c r="B2568" t="str">
        <x:v>2026-09</x:v>
      </x:c>
      <x:c r="C2568" t="n">
        <x:v>46274</x:v>
      </x:c>
      <x:c r="D2568" t="str">
        <x:v>USR-01237</x:v>
      </x:c>
      <x:c r="E2568" t="str">
        <x:v>SUS-001843</x:v>
      </x:c>
      <x:c r="F2568" t="str">
        <x:v>Plus anual</x:v>
      </x:c>
      <x:c r="G2568" t="str">
        <x:v>Anual</x:v>
      </x:c>
      <x:c r="H2568" t="n">
        <x:v>2</x:v>
      </x:c>
      <x:c r="I2568" t="str">
        <x:v>Aprobado</x:v>
      </x:c>
      <x:c r="J2568" t="n">
        <x:v>299000</x:v>
      </x:c>
      <x:c r="K2568" t="str">
        <x:v>Tarjeta crédito</x:v>
      </x:c>
      <x:c r="L2568" t="str">
        <x:v>Sin error</x:v>
      </x:c>
    </x:row>
    <x:row r="2569">
      <x:c r="A2569" t="str">
        <x:v>TXN-0002568</x:v>
      </x:c>
      <x:c r="B2569" t="str">
        <x:v>2026-09</x:v>
      </x:c>
      <x:c r="C2569" t="n">
        <x:v>46276</x:v>
      </x:c>
      <x:c r="D2569" t="str">
        <x:v>USR-01240</x:v>
      </x:c>
      <x:c r="E2569" t="str">
        <x:v>SUS-001846</x:v>
      </x:c>
      <x:c r="F2569" t="str">
        <x:v>Plus anual</x:v>
      </x:c>
      <x:c r="G2569" t="str">
        <x:v>Anual</x:v>
      </x:c>
      <x:c r="H2569" t="n">
        <x:v>1</x:v>
      </x:c>
      <x:c r="I2569" t="str">
        <x:v>Aprobado</x:v>
      </x:c>
      <x:c r="J2569" t="n">
        <x:v>299000</x:v>
      </x:c>
      <x:c r="K2569" t="str">
        <x:v>PSE</x:v>
      </x:c>
      <x:c r="L2569" t="str">
        <x:v>Sin error</x:v>
      </x:c>
    </x:row>
    <x:row r="2570">
      <x:c r="A2570" t="str">
        <x:v>TXN-0002569</x:v>
      </x:c>
      <x:c r="B2570" t="str">
        <x:v>2026-09</x:v>
      </x:c>
      <x:c r="C2570" t="n">
        <x:v>46274</x:v>
      </x:c>
      <x:c r="D2570" t="str">
        <x:v>USR-01249</x:v>
      </x:c>
      <x:c r="E2570" t="str">
        <x:v>SUS-001855</x:v>
      </x:c>
      <x:c r="F2570" t="str">
        <x:v>Plus anual</x:v>
      </x:c>
      <x:c r="G2570" t="str">
        <x:v>Anual</x:v>
      </x:c>
      <x:c r="H2570" t="n">
        <x:v>1</x:v>
      </x:c>
      <x:c r="I2570" t="str">
        <x:v>Aprobado</x:v>
      </x:c>
      <x:c r="J2570" t="n">
        <x:v>299000</x:v>
      </x:c>
      <x:c r="K2570" t="str">
        <x:v>PSE</x:v>
      </x:c>
      <x:c r="L2570" t="str">
        <x:v>Sin error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18" hidden="0" customWidth="1"/>
    <x:col min="4" max="4" width="26" hidden="0" customWidth="1"/>
    <x:col min="5" max="5" width="14" hidden="0" customWidth="1"/>
    <x:col min="6" max="6" width="13" hidden="0" customWidth="1"/>
  </x:cols>
  <x:sheetData>
    <x:row r="1" ht="34" customHeight="1">
      <x:c r="A1" s="36" t="str">
        <x:v>mes</x:v>
      </x:c>
      <x:c r="B1" s="36" t="str">
        <x:v>canal_adquisicion</x:v>
      </x:c>
      <x:c r="C1" s="36" t="str">
        <x:v>usuarios_nuevos</x:v>
      </x:c>
      <x:c r="D1" s="36" t="str">
        <x:v>inversion_marketing_cop</x:v>
      </x:c>
      <x:c r="E1" s="36" t="str">
        <x:v>impresiones</x:v>
      </x:c>
      <x:c r="F1" s="36" t="str">
        <x:v>visitas</x:v>
      </x:c>
    </x:row>
    <x:row r="2">
      <x:c r="A2" t="str">
        <x:v>2025-01</x:v>
      </x:c>
      <x:c r="B2" t="str">
        <x:v>Orgánico</x:v>
      </x:c>
      <x:c r="C2" t="n">
        <x:v>7</x:v>
      </x:c>
      <x:c r="D2" t="n">
        <x:v>29465</x:v>
      </x:c>
      <x:c r="E2" t="n">
        <x:v>3261</x:v>
      </x:c>
      <x:c r="F2" t="n">
        <x:v>79</x:v>
      </x:c>
    </x:row>
    <x:row r="3">
      <x:c r="A3" t="str">
        <x:v>2025-01</x:v>
      </x:c>
      <x:c r="B3" t="str">
        <x:v>Redes sociales</x:v>
      </x:c>
      <x:c r="C3" t="n">
        <x:v>10</x:v>
      </x:c>
      <x:c r="D3" t="n">
        <x:v>197477</x:v>
      </x:c>
      <x:c r="E3" t="n">
        <x:v>2497</x:v>
      </x:c>
      <x:c r="F3" t="n">
        <x:v>79</x:v>
      </x:c>
    </x:row>
    <x:row r="4">
      <x:c r="A4" t="str">
        <x:v>2025-01</x:v>
      </x:c>
      <x:c r="B4" t="str">
        <x:v>Referidos</x:v>
      </x:c>
      <x:c r="C4" t="n">
        <x:v>3</x:v>
      </x:c>
      <x:c r="D4" t="n">
        <x:v>90799</x:v>
      </x:c>
      <x:c r="E4" t="n">
        <x:v>1564</x:v>
      </x:c>
      <x:c r="F4" t="n">
        <x:v>32</x:v>
      </x:c>
    </x:row>
    <x:row r="5">
      <x:c r="A5" t="str">
        <x:v>2025-01</x:v>
      </x:c>
      <x:c r="B5" t="str">
        <x:v>Búsqueda paga</x:v>
      </x:c>
      <x:c r="C5" t="n">
        <x:v>2</x:v>
      </x:c>
      <x:c r="D5" t="n">
        <x:v>209377</x:v>
      </x:c>
      <x:c r="E5" t="n">
        <x:v>943</x:v>
      </x:c>
      <x:c r="F5" t="n">
        <x:v>13</x:v>
      </x:c>
    </x:row>
    <x:row r="6">
      <x:c r="A6" t="str">
        <x:v>2025-01</x:v>
      </x:c>
      <x:c r="B6" t="str">
        <x:v>Alianzas</x:v>
      </x:c>
      <x:c r="C6" t="n">
        <x:v>6</x:v>
      </x:c>
      <x:c r="D6" t="n">
        <x:v>433898</x:v>
      </x:c>
      <x:c r="E6" t="n">
        <x:v>2411</x:v>
      </x:c>
      <x:c r="F6" t="n">
        <x:v>25</x:v>
      </x:c>
    </x:row>
    <x:row r="7">
      <x:c r="A7" t="str">
        <x:v>2025-01</x:v>
      </x:c>
      <x:c r="B7" t="str">
        <x:v>Contenido educativo</x:v>
      </x:c>
      <x:c r="C7" t="n">
        <x:v>3</x:v>
      </x:c>
      <x:c r="D7" t="n">
        <x:v>25893</x:v>
      </x:c>
      <x:c r="E7" t="n">
        <x:v>2517</x:v>
      </x:c>
      <x:c r="F7" t="n">
        <x:v>19</x:v>
      </x:c>
    </x:row>
    <x:row r="8">
      <x:c r="A8" t="str">
        <x:v>2025-02</x:v>
      </x:c>
      <x:c r="B8" t="str">
        <x:v>Orgánico</x:v>
      </x:c>
      <x:c r="C8" t="n">
        <x:v>6</x:v>
      </x:c>
      <x:c r="D8" t="n">
        <x:v>31318</x:v>
      </x:c>
      <x:c r="E8" t="n">
        <x:v>1858</x:v>
      </x:c>
      <x:c r="F8" t="n">
        <x:v>61</x:v>
      </x:c>
    </x:row>
    <x:row r="9">
      <x:c r="A9" t="str">
        <x:v>2025-02</x:v>
      </x:c>
      <x:c r="B9" t="str">
        <x:v>Redes sociales</x:v>
      </x:c>
      <x:c r="C9" t="n">
        <x:v>5</x:v>
      </x:c>
      <x:c r="D9" t="n">
        <x:v>400516</x:v>
      </x:c>
      <x:c r="E9" t="n">
        <x:v>1646</x:v>
      </x:c>
      <x:c r="F9" t="n">
        <x:v>20</x:v>
      </x:c>
    </x:row>
    <x:row r="10">
      <x:c r="A10" t="str">
        <x:v>2025-02</x:v>
      </x:c>
      <x:c r="B10" t="str">
        <x:v>Referidos</x:v>
      </x:c>
      <x:c r="C10" t="n">
        <x:v>5</x:v>
      </x:c>
      <x:c r="D10" t="n">
        <x:v>44151</x:v>
      </x:c>
      <x:c r="E10" t="n">
        <x:v>1985</x:v>
      </x:c>
      <x:c r="F10" t="n">
        <x:v>60</x:v>
      </x:c>
    </x:row>
    <x:row r="11">
      <x:c r="A11" t="str">
        <x:v>2025-02</x:v>
      </x:c>
      <x:c r="B11" t="str">
        <x:v>Búsqueda paga</x:v>
      </x:c>
      <x:c r="C11" t="n">
        <x:v>3</x:v>
      </x:c>
      <x:c r="D11" t="n">
        <x:v>432358</x:v>
      </x:c>
      <x:c r="E11" t="n">
        <x:v>2059</x:v>
      </x:c>
      <x:c r="F11" t="n">
        <x:v>27</x:v>
      </x:c>
    </x:row>
    <x:row r="12">
      <x:c r="A12" t="str">
        <x:v>2025-02</x:v>
      </x:c>
      <x:c r="B12" t="str">
        <x:v>Alianzas</x:v>
      </x:c>
      <x:c r="C12" t="n">
        <x:v>3</x:v>
      </x:c>
      <x:c r="D12" t="n">
        <x:v>282263</x:v>
      </x:c>
      <x:c r="E12" t="n">
        <x:v>1861</x:v>
      </x:c>
      <x:c r="F12" t="n">
        <x:v>32</x:v>
      </x:c>
    </x:row>
    <x:row r="13">
      <x:c r="A13" t="str">
        <x:v>2025-02</x:v>
      </x:c>
      <x:c r="B13" t="str">
        <x:v>Contenido educativo</x:v>
      </x:c>
      <x:c r="C13" t="n">
        <x:v>2</x:v>
      </x:c>
      <x:c r="D13" t="n">
        <x:v>73501</x:v>
      </x:c>
      <x:c r="E13" t="n">
        <x:v>2027</x:v>
      </x:c>
      <x:c r="F13" t="n">
        <x:v>10</x:v>
      </x:c>
    </x:row>
    <x:row r="14">
      <x:c r="A14" t="str">
        <x:v>2025-03</x:v>
      </x:c>
      <x:c r="B14" t="str">
        <x:v>Orgánico</x:v>
      </x:c>
      <x:c r="C14" t="n">
        <x:v>7</x:v>
      </x:c>
      <x:c r="D14" t="n">
        <x:v>79954</x:v>
      </x:c>
      <x:c r="E14" t="n">
        <x:v>3020</x:v>
      </x:c>
      <x:c r="F14" t="n">
        <x:v>50</x:v>
      </x:c>
    </x:row>
    <x:row r="15">
      <x:c r="A15" t="str">
        <x:v>2025-03</x:v>
      </x:c>
      <x:c r="B15" t="str">
        <x:v>Redes sociales</x:v>
      </x:c>
      <x:c r="C15" t="n">
        <x:v>7</x:v>
      </x:c>
      <x:c r="D15" t="n">
        <x:v>231294</x:v>
      </x:c>
      <x:c r="E15" t="n">
        <x:v>4035</x:v>
      </x:c>
      <x:c r="F15" t="n">
        <x:v>76</x:v>
      </x:c>
    </x:row>
    <x:row r="16">
      <x:c r="A16" t="str">
        <x:v>2025-03</x:v>
      </x:c>
      <x:c r="B16" t="str">
        <x:v>Referidos</x:v>
      </x:c>
      <x:c r="C16" t="n">
        <x:v>12</x:v>
      </x:c>
      <x:c r="D16" t="n">
        <x:v>39198</x:v>
      </x:c>
      <x:c r="E16" t="n">
        <x:v>5836</x:v>
      </x:c>
      <x:c r="F16" t="n">
        <x:v>49</x:v>
      </x:c>
    </x:row>
    <x:row r="17">
      <x:c r="A17" t="str">
        <x:v>2025-03</x:v>
      </x:c>
      <x:c r="B17" t="str">
        <x:v>Búsqueda paga</x:v>
      </x:c>
      <x:c r="C17" t="n">
        <x:v>5</x:v>
      </x:c>
      <x:c r="D17" t="n">
        <x:v>289223</x:v>
      </x:c>
      <x:c r="E17" t="n">
        <x:v>1400</x:v>
      </x:c>
      <x:c r="F17" t="n">
        <x:v>26</x:v>
      </x:c>
    </x:row>
    <x:row r="18">
      <x:c r="A18" t="str">
        <x:v>2025-03</x:v>
      </x:c>
      <x:c r="B18" t="str">
        <x:v>Alianzas</x:v>
      </x:c>
      <x:c r="C18" t="n">
        <x:v>4</x:v>
      </x:c>
      <x:c r="D18" t="n">
        <x:v>281840</x:v>
      </x:c>
      <x:c r="E18" t="n">
        <x:v>1528</x:v>
      </x:c>
      <x:c r="F18" t="n">
        <x:v>29</x:v>
      </x:c>
    </x:row>
    <x:row r="19">
      <x:c r="A19" t="str">
        <x:v>2025-03</x:v>
      </x:c>
      <x:c r="B19" t="str">
        <x:v>Contenido educativo</x:v>
      </x:c>
      <x:c r="C19" t="n">
        <x:v>4</x:v>
      </x:c>
      <x:c r="D19" t="n">
        <x:v>71719</x:v>
      </x:c>
      <x:c r="E19" t="n">
        <x:v>2143</x:v>
      </x:c>
      <x:c r="F19" t="n">
        <x:v>22</x:v>
      </x:c>
    </x:row>
    <x:row r="20">
      <x:c r="A20" t="str">
        <x:v>2025-04</x:v>
      </x:c>
      <x:c r="B20" t="str">
        <x:v>Orgánico</x:v>
      </x:c>
      <x:c r="C20" t="n">
        <x:v>8</x:v>
      </x:c>
      <x:c r="D20" t="n">
        <x:v>76295</x:v>
      </x:c>
      <x:c r="E20" t="n">
        <x:v>4067</x:v>
      </x:c>
      <x:c r="F20" t="n">
        <x:v>70</x:v>
      </x:c>
    </x:row>
    <x:row r="21">
      <x:c r="A21" t="str">
        <x:v>2025-04</x:v>
      </x:c>
      <x:c r="B21" t="str">
        <x:v>Redes sociales</x:v>
      </x:c>
      <x:c r="C21" t="n">
        <x:v>7</x:v>
      </x:c>
      <x:c r="D21" t="n">
        <x:v>484434</x:v>
      </x:c>
      <x:c r="E21" t="n">
        <x:v>3371</x:v>
      </x:c>
      <x:c r="F21" t="n">
        <x:v>54</x:v>
      </x:c>
    </x:row>
    <x:row r="22">
      <x:c r="A22" t="str">
        <x:v>2025-04</x:v>
      </x:c>
      <x:c r="B22" t="str">
        <x:v>Referidos</x:v>
      </x:c>
      <x:c r="C22" t="n">
        <x:v>3</x:v>
      </x:c>
      <x:c r="D22" t="n">
        <x:v>70785</x:v>
      </x:c>
      <x:c r="E22" t="n">
        <x:v>1797</x:v>
      </x:c>
      <x:c r="F22" t="n">
        <x:v>28</x:v>
      </x:c>
    </x:row>
    <x:row r="23">
      <x:c r="A23" t="str">
        <x:v>2025-04</x:v>
      </x:c>
      <x:c r="B23" t="str">
        <x:v>Búsqueda paga</x:v>
      </x:c>
      <x:c r="C23" t="n">
        <x:v>2</x:v>
      </x:c>
      <x:c r="D23" t="n">
        <x:v>487701</x:v>
      </x:c>
      <x:c r="E23" t="n">
        <x:v>1562</x:v>
      </x:c>
      <x:c r="F23" t="n">
        <x:v>14</x:v>
      </x:c>
    </x:row>
    <x:row r="24">
      <x:c r="A24" t="str">
        <x:v>2025-04</x:v>
      </x:c>
      <x:c r="B24" t="str">
        <x:v>Alianzas</x:v>
      </x:c>
      <x:c r="C24" t="n">
        <x:v>5</x:v>
      </x:c>
      <x:c r="D24" t="n">
        <x:v>306793</x:v>
      </x:c>
      <x:c r="E24" t="n">
        <x:v>3290</x:v>
      </x:c>
      <x:c r="F24" t="n">
        <x:v>59</x:v>
      </x:c>
    </x:row>
    <x:row r="25">
      <x:c r="A25" t="str">
        <x:v>2025-04</x:v>
      </x:c>
      <x:c r="B25" t="str">
        <x:v>Contenido educativo</x:v>
      </x:c>
      <x:c r="C25" t="n">
        <x:v>2</x:v>
      </x:c>
      <x:c r="D25" t="n">
        <x:v>82610</x:v>
      </x:c>
      <x:c r="E25" t="n">
        <x:v>1383</x:v>
      </x:c>
      <x:c r="F25" t="n">
        <x:v>21</x:v>
      </x:c>
    </x:row>
    <x:row r="26">
      <x:c r="A26" t="str">
        <x:v>2025-05</x:v>
      </x:c>
      <x:c r="B26" t="str">
        <x:v>Orgánico</x:v>
      </x:c>
      <x:c r="C26" t="n">
        <x:v>6</x:v>
      </x:c>
      <x:c r="D26" t="n">
        <x:v>89757</x:v>
      </x:c>
      <x:c r="E26" t="n">
        <x:v>3123</x:v>
      </x:c>
      <x:c r="F26" t="n">
        <x:v>61</x:v>
      </x:c>
    </x:row>
    <x:row r="27">
      <x:c r="A27" t="str">
        <x:v>2025-05</x:v>
      </x:c>
      <x:c r="B27" t="str">
        <x:v>Redes sociales</x:v>
      </x:c>
      <x:c r="C27" t="n">
        <x:v>6</x:v>
      </x:c>
      <x:c r="D27" t="n">
        <x:v>278501</x:v>
      </x:c>
      <x:c r="E27" t="n">
        <x:v>2392</x:v>
      </x:c>
      <x:c r="F27" t="n">
        <x:v>52</x:v>
      </x:c>
    </x:row>
    <x:row r="28">
      <x:c r="A28" t="str">
        <x:v>2025-05</x:v>
      </x:c>
      <x:c r="B28" t="str">
        <x:v>Referidos</x:v>
      </x:c>
      <x:c r="C28" t="n">
        <x:v>5</x:v>
      </x:c>
      <x:c r="D28" t="n">
        <x:v>85084</x:v>
      </x:c>
      <x:c r="E28" t="n">
        <x:v>1857</x:v>
      </x:c>
      <x:c r="F28" t="n">
        <x:v>35</x:v>
      </x:c>
    </x:row>
    <x:row r="29">
      <x:c r="A29" t="str">
        <x:v>2025-05</x:v>
      </x:c>
      <x:c r="B29" t="str">
        <x:v>Búsqueda paga</x:v>
      </x:c>
      <x:c r="C29" t="n">
        <x:v>2</x:v>
      </x:c>
      <x:c r="D29" t="n">
        <x:v>214228</x:v>
      </x:c>
      <x:c r="E29" t="n">
        <x:v>1867</x:v>
      </x:c>
      <x:c r="F29" t="n">
        <x:v>11</x:v>
      </x:c>
    </x:row>
    <x:row r="30">
      <x:c r="A30" t="str">
        <x:v>2025-05</x:v>
      </x:c>
      <x:c r="B30" t="str">
        <x:v>Alianzas</x:v>
      </x:c>
      <x:c r="C30" t="n">
        <x:v>4</x:v>
      </x:c>
      <x:c r="D30" t="n">
        <x:v>428178</x:v>
      </x:c>
      <x:c r="E30" t="n">
        <x:v>2717</x:v>
      </x:c>
      <x:c r="F30" t="n">
        <x:v>35</x:v>
      </x:c>
    </x:row>
    <x:row r="31">
      <x:c r="A31" t="str">
        <x:v>2025-05</x:v>
      </x:c>
      <x:c r="B31" t="str">
        <x:v>Contenido educativo</x:v>
      </x:c>
      <x:c r="C31" t="n">
        <x:v>1</x:v>
      </x:c>
      <x:c r="D31" t="n">
        <x:v>33971</x:v>
      </x:c>
      <x:c r="E31" t="n">
        <x:v>1562</x:v>
      </x:c>
      <x:c r="F31" t="n">
        <x:v>12</x:v>
      </x:c>
    </x:row>
    <x:row r="32">
      <x:c r="A32" t="str">
        <x:v>2025-06</x:v>
      </x:c>
      <x:c r="B32" t="str">
        <x:v>Orgánico</x:v>
      </x:c>
      <x:c r="C32" t="n">
        <x:v>9</x:v>
      </x:c>
      <x:c r="D32" t="n">
        <x:v>93746</x:v>
      </x:c>
      <x:c r="E32" t="n">
        <x:v>3926</x:v>
      </x:c>
      <x:c r="F32" t="n">
        <x:v>74</x:v>
      </x:c>
    </x:row>
    <x:row r="33">
      <x:c r="A33" t="str">
        <x:v>2025-06</x:v>
      </x:c>
      <x:c r="B33" t="str">
        <x:v>Redes sociales</x:v>
      </x:c>
      <x:c r="C33" t="n">
        <x:v>12</x:v>
      </x:c>
      <x:c r="D33" t="n">
        <x:v>436907</x:v>
      </x:c>
      <x:c r="E33" t="n">
        <x:v>4159</x:v>
      </x:c>
      <x:c r="F33" t="n">
        <x:v>123</x:v>
      </x:c>
    </x:row>
    <x:row r="34">
      <x:c r="A34" t="str">
        <x:v>2025-06</x:v>
      </x:c>
      <x:c r="B34" t="str">
        <x:v>Referidos</x:v>
      </x:c>
      <x:c r="C34" t="n">
        <x:v>6</x:v>
      </x:c>
      <x:c r="D34" t="n">
        <x:v>78241</x:v>
      </x:c>
      <x:c r="E34" t="n">
        <x:v>2717</x:v>
      </x:c>
      <x:c r="F34" t="n">
        <x:v>38</x:v>
      </x:c>
    </x:row>
    <x:row r="35">
      <x:c r="A35" t="str">
        <x:v>2025-06</x:v>
      </x:c>
      <x:c r="B35" t="str">
        <x:v>Búsqueda paga</x:v>
      </x:c>
      <x:c r="C35" t="n">
        <x:v>3</x:v>
      </x:c>
      <x:c r="D35" t="n">
        <x:v>424126</x:v>
      </x:c>
      <x:c r="E35" t="n">
        <x:v>1543</x:v>
      </x:c>
      <x:c r="F35" t="n">
        <x:v>29</x:v>
      </x:c>
    </x:row>
    <x:row r="36">
      <x:c r="A36" t="str">
        <x:v>2025-06</x:v>
      </x:c>
      <x:c r="B36" t="str">
        <x:v>Alianzas</x:v>
      </x:c>
      <x:c r="C36" t="n">
        <x:v>3</x:v>
      </x:c>
      <x:c r="D36" t="n">
        <x:v>378139</x:v>
      </x:c>
      <x:c r="E36" t="n">
        <x:v>1771</x:v>
      </x:c>
      <x:c r="F36" t="n">
        <x:v>25</x:v>
      </x:c>
    </x:row>
    <x:row r="37">
      <x:c r="A37" t="str">
        <x:v>2025-06</x:v>
      </x:c>
      <x:c r="B37" t="str">
        <x:v>Contenido educativo</x:v>
      </x:c>
      <x:c r="C37" t="n">
        <x:v>10</x:v>
      </x:c>
      <x:c r="D37" t="n">
        <x:v>95926</x:v>
      </x:c>
      <x:c r="E37" t="n">
        <x:v>3130</x:v>
      </x:c>
      <x:c r="F37" t="n">
        <x:v>58</x:v>
      </x:c>
    </x:row>
    <x:row r="38">
      <x:c r="A38" t="str">
        <x:v>2025-07</x:v>
      </x:c>
      <x:c r="B38" t="str">
        <x:v>Orgánico</x:v>
      </x:c>
      <x:c r="C38" t="n">
        <x:v>10</x:v>
      </x:c>
      <x:c r="D38" t="n">
        <x:v>98528</x:v>
      </x:c>
      <x:c r="E38" t="n">
        <x:v>4551</x:v>
      </x:c>
      <x:c r="F38" t="n">
        <x:v>48</x:v>
      </x:c>
    </x:row>
    <x:row r="39">
      <x:c r="A39" t="str">
        <x:v>2025-07</x:v>
      </x:c>
      <x:c r="B39" t="str">
        <x:v>Redes sociales</x:v>
      </x:c>
      <x:c r="C39" t="n">
        <x:v>9</x:v>
      </x:c>
      <x:c r="D39" t="n">
        <x:v>282762</x:v>
      </x:c>
      <x:c r="E39" t="n">
        <x:v>2582</x:v>
      </x:c>
      <x:c r="F39" t="n">
        <x:v>59</x:v>
      </x:c>
    </x:row>
    <x:row r="40">
      <x:c r="A40" t="str">
        <x:v>2025-07</x:v>
      </x:c>
      <x:c r="B40" t="str">
        <x:v>Referidos</x:v>
      </x:c>
      <x:c r="C40" t="n">
        <x:v>6</x:v>
      </x:c>
      <x:c r="D40" t="n">
        <x:v>95828</x:v>
      </x:c>
      <x:c r="E40" t="n">
        <x:v>2412</x:v>
      </x:c>
      <x:c r="F40" t="n">
        <x:v>71</x:v>
      </x:c>
    </x:row>
    <x:row r="41">
      <x:c r="A41" t="str">
        <x:v>2025-07</x:v>
      </x:c>
      <x:c r="B41" t="str">
        <x:v>Búsqueda paga</x:v>
      </x:c>
      <x:c r="C41" t="n">
        <x:v>5</x:v>
      </x:c>
      <x:c r="D41" t="n">
        <x:v>274202</x:v>
      </x:c>
      <x:c r="E41" t="n">
        <x:v>2892</x:v>
      </x:c>
      <x:c r="F41" t="n">
        <x:v>40</x:v>
      </x:c>
    </x:row>
    <x:row r="42">
      <x:c r="A42" t="str">
        <x:v>2025-07</x:v>
      </x:c>
      <x:c r="B42" t="str">
        <x:v>Alianzas</x:v>
      </x:c>
      <x:c r="C42" t="n">
        <x:v>6</x:v>
      </x:c>
      <x:c r="D42" t="n">
        <x:v>370481</x:v>
      </x:c>
      <x:c r="E42" t="n">
        <x:v>2308</x:v>
      </x:c>
      <x:c r="F42" t="n">
        <x:v>49</x:v>
      </x:c>
    </x:row>
    <x:row r="43">
      <x:c r="A43" t="str">
        <x:v>2025-07</x:v>
      </x:c>
      <x:c r="B43" t="str">
        <x:v>Contenido educativo</x:v>
      </x:c>
      <x:c r="C43" t="n">
        <x:v>1</x:v>
      </x:c>
      <x:c r="D43" t="n">
        <x:v>97867</x:v>
      </x:c>
      <x:c r="E43" t="n">
        <x:v>1106</x:v>
      </x:c>
      <x:c r="F43" t="n">
        <x:v>11</x:v>
      </x:c>
    </x:row>
    <x:row r="44">
      <x:c r="A44" t="str">
        <x:v>2025-08</x:v>
      </x:c>
      <x:c r="B44" t="str">
        <x:v>Orgánico</x:v>
      </x:c>
      <x:c r="C44" t="n">
        <x:v>3</x:v>
      </x:c>
      <x:c r="D44" t="n">
        <x:v>43581</x:v>
      </x:c>
      <x:c r="E44" t="n">
        <x:v>1193</x:v>
      </x:c>
      <x:c r="F44" t="n">
        <x:v>21</x:v>
      </x:c>
    </x:row>
    <x:row r="45">
      <x:c r="A45" t="str">
        <x:v>2025-08</x:v>
      </x:c>
      <x:c r="B45" t="str">
        <x:v>Redes sociales</x:v>
      </x:c>
      <x:c r="C45" t="n">
        <x:v>11</x:v>
      </x:c>
      <x:c r="D45" t="n">
        <x:v>473821</x:v>
      </x:c>
      <x:c r="E45" t="n">
        <x:v>4745</x:v>
      </x:c>
      <x:c r="F45" t="n">
        <x:v>90</x:v>
      </x:c>
    </x:row>
    <x:row r="46">
      <x:c r="A46" t="str">
        <x:v>2025-08</x:v>
      </x:c>
      <x:c r="B46" t="str">
        <x:v>Referidos</x:v>
      </x:c>
      <x:c r="C46" t="n">
        <x:v>6</x:v>
      </x:c>
      <x:c r="D46" t="n">
        <x:v>88150</x:v>
      </x:c>
      <x:c r="E46" t="n">
        <x:v>2708</x:v>
      </x:c>
      <x:c r="F46" t="n">
        <x:v>52</x:v>
      </x:c>
    </x:row>
    <x:row r="47">
      <x:c r="A47" t="str">
        <x:v>2025-08</x:v>
      </x:c>
      <x:c r="B47" t="str">
        <x:v>Búsqueda paga</x:v>
      </x:c>
      <x:c r="C47" t="n">
        <x:v>7</x:v>
      </x:c>
      <x:c r="D47" t="n">
        <x:v>567073</x:v>
      </x:c>
      <x:c r="E47" t="n">
        <x:v>3421</x:v>
      </x:c>
      <x:c r="F47" t="n">
        <x:v>84</x:v>
      </x:c>
    </x:row>
    <x:row r="48">
      <x:c r="A48" t="str">
        <x:v>2025-08</x:v>
      </x:c>
      <x:c r="B48" t="str">
        <x:v>Alianzas</x:v>
      </x:c>
      <x:c r="C48" t="n">
        <x:v>5</x:v>
      </x:c>
      <x:c r="D48" t="n">
        <x:v>551605</x:v>
      </x:c>
      <x:c r="E48" t="n">
        <x:v>2424</x:v>
      </x:c>
      <x:c r="F48" t="n">
        <x:v>24</x:v>
      </x:c>
    </x:row>
    <x:row r="49">
      <x:c r="A49" t="str">
        <x:v>2025-08</x:v>
      </x:c>
      <x:c r="B49" t="str">
        <x:v>Contenido educativo</x:v>
      </x:c>
      <x:c r="C49" t="n">
        <x:v>7</x:v>
      </x:c>
      <x:c r="D49" t="n">
        <x:v>69996</x:v>
      </x:c>
      <x:c r="E49" t="n">
        <x:v>2582</x:v>
      </x:c>
      <x:c r="F49" t="n">
        <x:v>79</x:v>
      </x:c>
    </x:row>
    <x:row r="50">
      <x:c r="A50" t="str">
        <x:v>2025-09</x:v>
      </x:c>
      <x:c r="B50" t="str">
        <x:v>Orgánico</x:v>
      </x:c>
      <x:c r="C50" t="n">
        <x:v>6</x:v>
      </x:c>
      <x:c r="D50" t="n">
        <x:v>66386</x:v>
      </x:c>
      <x:c r="E50" t="n">
        <x:v>3594</x:v>
      </x:c>
      <x:c r="F50" t="n">
        <x:v>38</x:v>
      </x:c>
    </x:row>
    <x:row r="51">
      <x:c r="A51" t="str">
        <x:v>2025-09</x:v>
      </x:c>
      <x:c r="B51" t="str">
        <x:v>Redes sociales</x:v>
      </x:c>
      <x:c r="C51" t="n">
        <x:v>14</x:v>
      </x:c>
      <x:c r="D51" t="n">
        <x:v>327231</x:v>
      </x:c>
      <x:c r="E51" t="n">
        <x:v>6093</x:v>
      </x:c>
      <x:c r="F51" t="n">
        <x:v>164</x:v>
      </x:c>
    </x:row>
    <x:row r="52">
      <x:c r="A52" t="str">
        <x:v>2025-09</x:v>
      </x:c>
      <x:c r="B52" t="str">
        <x:v>Referidos</x:v>
      </x:c>
      <x:c r="C52" t="n">
        <x:v>5</x:v>
      </x:c>
      <x:c r="D52" t="n">
        <x:v>60367</x:v>
      </x:c>
      <x:c r="E52" t="n">
        <x:v>2409</x:v>
      </x:c>
      <x:c r="F52" t="n">
        <x:v>58</x:v>
      </x:c>
    </x:row>
    <x:row r="53">
      <x:c r="A53" t="str">
        <x:v>2025-09</x:v>
      </x:c>
      <x:c r="B53" t="str">
        <x:v>Búsqueda paga</x:v>
      </x:c>
      <x:c r="C53" t="n">
        <x:v>3</x:v>
      </x:c>
      <x:c r="D53" t="n">
        <x:v>448346</x:v>
      </x:c>
      <x:c r="E53" t="n">
        <x:v>2480</x:v>
      </x:c>
      <x:c r="F53" t="n">
        <x:v>34</x:v>
      </x:c>
    </x:row>
    <x:row r="54">
      <x:c r="A54" t="str">
        <x:v>2025-09</x:v>
      </x:c>
      <x:c r="B54" t="str">
        <x:v>Alianzas</x:v>
      </x:c>
      <x:c r="C54" t="n">
        <x:v>5</x:v>
      </x:c>
      <x:c r="D54" t="n">
        <x:v>424434</x:v>
      </x:c>
      <x:c r="E54" t="n">
        <x:v>2383</x:v>
      </x:c>
      <x:c r="F54" t="n">
        <x:v>50</x:v>
      </x:c>
    </x:row>
    <x:row r="55">
      <x:c r="A55" t="str">
        <x:v>2025-09</x:v>
      </x:c>
      <x:c r="B55" t="str">
        <x:v>Contenido educativo</x:v>
      </x:c>
      <x:c r="C55" t="n">
        <x:v>4</x:v>
      </x:c>
      <x:c r="D55" t="n">
        <x:v>46013</x:v>
      </x:c>
      <x:c r="E55" t="n">
        <x:v>1781</x:v>
      </x:c>
      <x:c r="F55" t="n">
        <x:v>47</x:v>
      </x:c>
    </x:row>
    <x:row r="56">
      <x:c r="A56" t="str">
        <x:v>2025-10</x:v>
      </x:c>
      <x:c r="B56" t="str">
        <x:v>Orgánico</x:v>
      </x:c>
      <x:c r="C56" t="n">
        <x:v>7</x:v>
      </x:c>
      <x:c r="D56" t="n">
        <x:v>47241</x:v>
      </x:c>
      <x:c r="E56" t="n">
        <x:v>2262</x:v>
      </x:c>
      <x:c r="F56" t="n">
        <x:v>77</x:v>
      </x:c>
    </x:row>
    <x:row r="57">
      <x:c r="A57" t="str">
        <x:v>2025-10</x:v>
      </x:c>
      <x:c r="B57" t="str">
        <x:v>Redes sociales</x:v>
      </x:c>
      <x:c r="C57" t="n">
        <x:v>13</x:v>
      </x:c>
      <x:c r="D57" t="n">
        <x:v>307941</x:v>
      </x:c>
      <x:c r="E57" t="n">
        <x:v>5176</x:v>
      </x:c>
      <x:c r="F57" t="n">
        <x:v>129</x:v>
      </x:c>
    </x:row>
    <x:row r="58">
      <x:c r="A58" t="str">
        <x:v>2025-10</x:v>
      </x:c>
      <x:c r="B58" t="str">
        <x:v>Referidos</x:v>
      </x:c>
      <x:c r="C58" t="n">
        <x:v>12</x:v>
      </x:c>
      <x:c r="D58" t="n">
        <x:v>31447</x:v>
      </x:c>
      <x:c r="E58" t="n">
        <x:v>3389</x:v>
      </x:c>
      <x:c r="F58" t="n">
        <x:v>88</x:v>
      </x:c>
    </x:row>
    <x:row r="59">
      <x:c r="A59" t="str">
        <x:v>2025-10</x:v>
      </x:c>
      <x:c r="B59" t="str">
        <x:v>Búsqueda paga</x:v>
      </x:c>
      <x:c r="C59" t="n">
        <x:v>6</x:v>
      </x:c>
      <x:c r="D59" t="n">
        <x:v>542821</x:v>
      </x:c>
      <x:c r="E59" t="n">
        <x:v>3022</x:v>
      </x:c>
      <x:c r="F59" t="n">
        <x:v>67</x:v>
      </x:c>
    </x:row>
    <x:row r="60">
      <x:c r="A60" t="str">
        <x:v>2025-10</x:v>
      </x:c>
      <x:c r="B60" t="str">
        <x:v>Alianzas</x:v>
      </x:c>
      <x:c r="C60" t="n">
        <x:v>9</x:v>
      </x:c>
      <x:c r="D60" t="n">
        <x:v>269229</x:v>
      </x:c>
      <x:c r="E60" t="n">
        <x:v>2992</x:v>
      </x:c>
      <x:c r="F60" t="n">
        <x:v>86</x:v>
      </x:c>
    </x:row>
    <x:row r="61">
      <x:c r="A61" t="str">
        <x:v>2025-10</x:v>
      </x:c>
      <x:c r="B61" t="str">
        <x:v>Contenido educativo</x:v>
      </x:c>
      <x:c r="C61" t="n">
        <x:v>8</x:v>
      </x:c>
      <x:c r="D61" t="n">
        <x:v>75626</x:v>
      </x:c>
      <x:c r="E61" t="n">
        <x:v>2652</x:v>
      </x:c>
      <x:c r="F61" t="n">
        <x:v>85</x:v>
      </x:c>
    </x:row>
    <x:row r="62">
      <x:c r="A62" t="str">
        <x:v>2025-11</x:v>
      </x:c>
      <x:c r="B62" t="str">
        <x:v>Orgánico</x:v>
      </x:c>
      <x:c r="C62" t="n">
        <x:v>7</x:v>
      </x:c>
      <x:c r="D62" t="n">
        <x:v>69653</x:v>
      </x:c>
      <x:c r="E62" t="n">
        <x:v>2966</x:v>
      </x:c>
      <x:c r="F62" t="n">
        <x:v>68</x:v>
      </x:c>
    </x:row>
    <x:row r="63">
      <x:c r="A63" t="str">
        <x:v>2025-11</x:v>
      </x:c>
      <x:c r="B63" t="str">
        <x:v>Redes sociales</x:v>
      </x:c>
      <x:c r="C63" t="n">
        <x:v>13</x:v>
      </x:c>
      <x:c r="D63" t="n">
        <x:v>294357</x:v>
      </x:c>
      <x:c r="E63" t="n">
        <x:v>2613</x:v>
      </x:c>
      <x:c r="F63" t="n">
        <x:v>61</x:v>
      </x:c>
    </x:row>
    <x:row r="64">
      <x:c r="A64" t="str">
        <x:v>2025-11</x:v>
      </x:c>
      <x:c r="B64" t="str">
        <x:v>Referidos</x:v>
      </x:c>
      <x:c r="C64" t="n">
        <x:v>10</x:v>
      </x:c>
      <x:c r="D64" t="n">
        <x:v>82238</x:v>
      </x:c>
      <x:c r="E64" t="n">
        <x:v>2776</x:v>
      </x:c>
      <x:c r="F64" t="n">
        <x:v>54</x:v>
      </x:c>
    </x:row>
    <x:row r="65">
      <x:c r="A65" t="str">
        <x:v>2025-11</x:v>
      </x:c>
      <x:c r="B65" t="str">
        <x:v>Búsqueda paga</x:v>
      </x:c>
      <x:c r="C65" t="n">
        <x:v>7</x:v>
      </x:c>
      <x:c r="D65" t="n">
        <x:v>353705</x:v>
      </x:c>
      <x:c r="E65" t="n">
        <x:v>3156</x:v>
      </x:c>
      <x:c r="F65" t="n">
        <x:v>39</x:v>
      </x:c>
    </x:row>
    <x:row r="66">
      <x:c r="A66" t="str">
        <x:v>2025-11</x:v>
      </x:c>
      <x:c r="B66" t="str">
        <x:v>Alianzas</x:v>
      </x:c>
      <x:c r="C66" t="n">
        <x:v>8</x:v>
      </x:c>
      <x:c r="D66" t="n">
        <x:v>576352</x:v>
      </x:c>
      <x:c r="E66" t="n">
        <x:v>3012</x:v>
      </x:c>
      <x:c r="F66" t="n">
        <x:v>95</x:v>
      </x:c>
    </x:row>
    <x:row r="67">
      <x:c r="A67" t="str">
        <x:v>2025-11</x:v>
      </x:c>
      <x:c r="B67" t="str">
        <x:v>Contenido educativo</x:v>
      </x:c>
      <x:c r="C67" t="n">
        <x:v>5</x:v>
      </x:c>
      <x:c r="D67" t="n">
        <x:v>81450</x:v>
      </x:c>
      <x:c r="E67" t="n">
        <x:v>1808</x:v>
      </x:c>
      <x:c r="F67" t="n">
        <x:v>49</x:v>
      </x:c>
    </x:row>
    <x:row r="68">
      <x:c r="A68" t="str">
        <x:v>2025-12</x:v>
      </x:c>
      <x:c r="B68" t="str">
        <x:v>Orgánico</x:v>
      </x:c>
      <x:c r="C68" t="n">
        <x:v>16</x:v>
      </x:c>
      <x:c r="D68" t="n">
        <x:v>47328</x:v>
      </x:c>
      <x:c r="E68" t="n">
        <x:v>5592</x:v>
      </x:c>
      <x:c r="F68" t="n">
        <x:v>116</x:v>
      </x:c>
    </x:row>
    <x:row r="69">
      <x:c r="A69" t="str">
        <x:v>2025-12</x:v>
      </x:c>
      <x:c r="B69" t="str">
        <x:v>Redes sociales</x:v>
      </x:c>
      <x:c r="C69" t="n">
        <x:v>13</x:v>
      </x:c>
      <x:c r="D69" t="n">
        <x:v>641600</x:v>
      </x:c>
      <x:c r="E69" t="n">
        <x:v>3925</x:v>
      </x:c>
      <x:c r="F69" t="n">
        <x:v>87</x:v>
      </x:c>
    </x:row>
    <x:row r="70">
      <x:c r="A70" t="str">
        <x:v>2025-12</x:v>
      </x:c>
      <x:c r="B70" t="str">
        <x:v>Referidos</x:v>
      </x:c>
      <x:c r="C70" t="n">
        <x:v>13</x:v>
      </x:c>
      <x:c r="D70" t="n">
        <x:v>98658</x:v>
      </x:c>
      <x:c r="E70" t="n">
        <x:v>4027</x:v>
      </x:c>
      <x:c r="F70" t="n">
        <x:v>118</x:v>
      </x:c>
    </x:row>
    <x:row r="71">
      <x:c r="A71" t="str">
        <x:v>2025-12</x:v>
      </x:c>
      <x:c r="B71" t="str">
        <x:v>Búsqueda paga</x:v>
      </x:c>
      <x:c r="C71" t="n">
        <x:v>7</x:v>
      </x:c>
      <x:c r="D71" t="n">
        <x:v>555015</x:v>
      </x:c>
      <x:c r="E71" t="n">
        <x:v>2645</x:v>
      </x:c>
      <x:c r="F71" t="n">
        <x:v>40</x:v>
      </x:c>
    </x:row>
    <x:row r="72">
      <x:c r="A72" t="str">
        <x:v>2025-12</x:v>
      </x:c>
      <x:c r="B72" t="str">
        <x:v>Alianzas</x:v>
      </x:c>
      <x:c r="C72" t="n">
        <x:v>8</x:v>
      </x:c>
      <x:c r="D72" t="n">
        <x:v>537914</x:v>
      </x:c>
      <x:c r="E72" t="n">
        <x:v>4020</x:v>
      </x:c>
      <x:c r="F72" t="n">
        <x:v>42</x:v>
      </x:c>
    </x:row>
    <x:row r="73">
      <x:c r="A73" t="str">
        <x:v>2025-12</x:v>
      </x:c>
      <x:c r="B73" t="str">
        <x:v>Contenido educativo</x:v>
      </x:c>
      <x:c r="C73" t="n">
        <x:v>7</x:v>
      </x:c>
      <x:c r="D73" t="n">
        <x:v>106597</x:v>
      </x:c>
      <x:c r="E73" t="n">
        <x:v>2889</x:v>
      </x:c>
      <x:c r="F73" t="n">
        <x:v>67</x:v>
      </x:c>
    </x:row>
    <x:row r="74">
      <x:c r="A74" t="str">
        <x:v>2026-01</x:v>
      </x:c>
      <x:c r="B74" t="str">
        <x:v>Orgánico</x:v>
      </x:c>
      <x:c r="C74" t="n">
        <x:v>14</x:v>
      </x:c>
      <x:c r="D74" t="n">
        <x:v>102660</x:v>
      </x:c>
      <x:c r="E74" t="n">
        <x:v>4945</x:v>
      </x:c>
      <x:c r="F74" t="n">
        <x:v>105</x:v>
      </x:c>
    </x:row>
    <x:row r="75">
      <x:c r="A75" t="str">
        <x:v>2026-01</x:v>
      </x:c>
      <x:c r="B75" t="str">
        <x:v>Redes sociales</x:v>
      </x:c>
      <x:c r="C75" t="n">
        <x:v>21</x:v>
      </x:c>
      <x:c r="D75" t="n">
        <x:v>483927</x:v>
      </x:c>
      <x:c r="E75" t="n">
        <x:v>5830</x:v>
      </x:c>
      <x:c r="F75" t="n">
        <x:v>211</x:v>
      </x:c>
    </x:row>
    <x:row r="76">
      <x:c r="A76" t="str">
        <x:v>2026-01</x:v>
      </x:c>
      <x:c r="B76" t="str">
        <x:v>Referidos</x:v>
      </x:c>
      <x:c r="C76" t="n">
        <x:v>13</x:v>
      </x:c>
      <x:c r="D76" t="n">
        <x:v>97855</x:v>
      </x:c>
      <x:c r="E76" t="n">
        <x:v>4163</x:v>
      </x:c>
      <x:c r="F76" t="n">
        <x:v>63</x:v>
      </x:c>
    </x:row>
    <x:row r="77">
      <x:c r="A77" t="str">
        <x:v>2026-01</x:v>
      </x:c>
      <x:c r="B77" t="str">
        <x:v>Búsqueda paga</x:v>
      </x:c>
      <x:c r="C77" t="n">
        <x:v>15</x:v>
      </x:c>
      <x:c r="D77" t="n">
        <x:v>273690</x:v>
      </x:c>
      <x:c r="E77" t="n">
        <x:v>6975</x:v>
      </x:c>
      <x:c r="F77" t="n">
        <x:v>160</x:v>
      </x:c>
    </x:row>
    <x:row r="78">
      <x:c r="A78" t="str">
        <x:v>2026-01</x:v>
      </x:c>
      <x:c r="B78" t="str">
        <x:v>Alianzas</x:v>
      </x:c>
      <x:c r="C78" t="n">
        <x:v>15</x:v>
      </x:c>
      <x:c r="D78" t="n">
        <x:v>360690</x:v>
      </x:c>
      <x:c r="E78" t="n">
        <x:v>4175</x:v>
      </x:c>
      <x:c r="F78" t="n">
        <x:v>87</x:v>
      </x:c>
    </x:row>
    <x:row r="79">
      <x:c r="A79" t="str">
        <x:v>2026-01</x:v>
      </x:c>
      <x:c r="B79" t="str">
        <x:v>Contenido educativo</x:v>
      </x:c>
      <x:c r="C79" t="n">
        <x:v>7</x:v>
      </x:c>
      <x:c r="D79" t="n">
        <x:v>76030</x:v>
      </x:c>
      <x:c r="E79" t="n">
        <x:v>3678</x:v>
      </x:c>
      <x:c r="F79" t="n">
        <x:v>34</x:v>
      </x:c>
    </x:row>
    <x:row r="80">
      <x:c r="A80" t="str">
        <x:v>2026-02</x:v>
      </x:c>
      <x:c r="B80" t="str">
        <x:v>Orgánico</x:v>
      </x:c>
      <x:c r="C80" t="n">
        <x:v>11</x:v>
      </x:c>
      <x:c r="D80" t="n">
        <x:v>46767</x:v>
      </x:c>
      <x:c r="E80" t="n">
        <x:v>5141</x:v>
      </x:c>
      <x:c r="F80" t="n">
        <x:v>93</x:v>
      </x:c>
    </x:row>
    <x:row r="81">
      <x:c r="A81" t="str">
        <x:v>2026-02</x:v>
      </x:c>
      <x:c r="B81" t="str">
        <x:v>Redes sociales</x:v>
      </x:c>
      <x:c r="C81" t="n">
        <x:v>20</x:v>
      </x:c>
      <x:c r="D81" t="n">
        <x:v>596256</x:v>
      </x:c>
      <x:c r="E81" t="n">
        <x:v>9343</x:v>
      </x:c>
      <x:c r="F81" t="n">
        <x:v>154</x:v>
      </x:c>
    </x:row>
    <x:row r="82">
      <x:c r="A82" t="str">
        <x:v>2026-02</x:v>
      </x:c>
      <x:c r="B82" t="str">
        <x:v>Referidos</x:v>
      </x:c>
      <x:c r="C82" t="n">
        <x:v>8</x:v>
      </x:c>
      <x:c r="D82" t="n">
        <x:v>32590</x:v>
      </x:c>
      <x:c r="E82" t="n">
        <x:v>4062</x:v>
      </x:c>
      <x:c r="F82" t="n">
        <x:v>52</x:v>
      </x:c>
    </x:row>
    <x:row r="83">
      <x:c r="A83" t="str">
        <x:v>2026-02</x:v>
      </x:c>
      <x:c r="B83" t="str">
        <x:v>Búsqueda paga</x:v>
      </x:c>
      <x:c r="C83" t="n">
        <x:v>10</x:v>
      </x:c>
      <x:c r="D83" t="n">
        <x:v>461099</x:v>
      </x:c>
      <x:c r="E83" t="n">
        <x:v>3043</x:v>
      </x:c>
      <x:c r="F83" t="n">
        <x:v>51</x:v>
      </x:c>
    </x:row>
    <x:row r="84">
      <x:c r="A84" t="str">
        <x:v>2026-02</x:v>
      </x:c>
      <x:c r="B84" t="str">
        <x:v>Alianzas</x:v>
      </x:c>
      <x:c r="C84" t="n">
        <x:v>8</x:v>
      </x:c>
      <x:c r="D84" t="n">
        <x:v>533959</x:v>
      </x:c>
      <x:c r="E84" t="n">
        <x:v>3539</x:v>
      </x:c>
      <x:c r="F84" t="n">
        <x:v>44</x:v>
      </x:c>
    </x:row>
    <x:row r="85">
      <x:c r="A85" t="str">
        <x:v>2026-02</x:v>
      </x:c>
      <x:c r="B85" t="str">
        <x:v>Contenido educativo</x:v>
      </x:c>
      <x:c r="C85" t="n">
        <x:v>10</x:v>
      </x:c>
      <x:c r="D85" t="n">
        <x:v>79944</x:v>
      </x:c>
      <x:c r="E85" t="n">
        <x:v>5015</x:v>
      </x:c>
      <x:c r="F85" t="n">
        <x:v>110</x:v>
      </x:c>
    </x:row>
    <x:row r="86">
      <x:c r="A86" t="str">
        <x:v>2026-03</x:v>
      </x:c>
      <x:c r="B86" t="str">
        <x:v>Orgánico</x:v>
      </x:c>
      <x:c r="C86" t="n">
        <x:v>19</x:v>
      </x:c>
      <x:c r="D86" t="n">
        <x:v>45256</x:v>
      </x:c>
      <x:c r="E86" t="n">
        <x:v>4641</x:v>
      </x:c>
      <x:c r="F86" t="n">
        <x:v>212</x:v>
      </x:c>
    </x:row>
    <x:row r="87">
      <x:c r="A87" t="str">
        <x:v>2026-03</x:v>
      </x:c>
      <x:c r="B87" t="str">
        <x:v>Redes sociales</x:v>
      </x:c>
      <x:c r="C87" t="n">
        <x:v>12</x:v>
      </x:c>
      <x:c r="D87" t="n">
        <x:v>650254</x:v>
      </x:c>
      <x:c r="E87" t="n">
        <x:v>5267</x:v>
      </x:c>
      <x:c r="F87" t="n">
        <x:v>113</x:v>
      </x:c>
    </x:row>
    <x:row r="88">
      <x:c r="A88" t="str">
        <x:v>2026-03</x:v>
      </x:c>
      <x:c r="B88" t="str">
        <x:v>Referidos</x:v>
      </x:c>
      <x:c r="C88" t="n">
        <x:v>14</x:v>
      </x:c>
      <x:c r="D88" t="n">
        <x:v>75228</x:v>
      </x:c>
      <x:c r="E88" t="n">
        <x:v>4296</x:v>
      </x:c>
      <x:c r="F88" t="n">
        <x:v>113</x:v>
      </x:c>
    </x:row>
    <x:row r="89">
      <x:c r="A89" t="str">
        <x:v>2026-03</x:v>
      </x:c>
      <x:c r="B89" t="str">
        <x:v>Búsqueda paga</x:v>
      </x:c>
      <x:c r="C89" t="n">
        <x:v>14</x:v>
      </x:c>
      <x:c r="D89" t="n">
        <x:v>386659</x:v>
      </x:c>
      <x:c r="E89" t="n">
        <x:v>4730</x:v>
      </x:c>
      <x:c r="F89" t="n">
        <x:v>82</x:v>
      </x:c>
    </x:row>
    <x:row r="90">
      <x:c r="A90" t="str">
        <x:v>2026-03</x:v>
      </x:c>
      <x:c r="B90" t="str">
        <x:v>Alianzas</x:v>
      </x:c>
      <x:c r="C90" t="n">
        <x:v>9</x:v>
      </x:c>
      <x:c r="D90" t="n">
        <x:v>524062</x:v>
      </x:c>
      <x:c r="E90" t="n">
        <x:v>1965</x:v>
      </x:c>
      <x:c r="F90" t="n">
        <x:v>40</x:v>
      </x:c>
    </x:row>
    <x:row r="91">
      <x:c r="A91" t="str">
        <x:v>2026-03</x:v>
      </x:c>
      <x:c r="B91" t="str">
        <x:v>Contenido educativo</x:v>
      </x:c>
      <x:c r="C91" t="n">
        <x:v>6</x:v>
      </x:c>
      <x:c r="D91" t="n">
        <x:v>75713</x:v>
      </x:c>
      <x:c r="E91" t="n">
        <x:v>3349</x:v>
      </x:c>
      <x:c r="F91" t="n">
        <x:v>67</x:v>
      </x:c>
    </x:row>
    <x:row r="92">
      <x:c r="A92" t="str">
        <x:v>2026-04</x:v>
      </x:c>
      <x:c r="B92" t="str">
        <x:v>Orgánico</x:v>
      </x:c>
      <x:c r="C92" t="n">
        <x:v>18</x:v>
      </x:c>
      <x:c r="D92" t="n">
        <x:v>79841</x:v>
      </x:c>
      <x:c r="E92" t="n">
        <x:v>5219</x:v>
      </x:c>
      <x:c r="F92" t="n">
        <x:v>115</x:v>
      </x:c>
    </x:row>
    <x:row r="93">
      <x:c r="A93" t="str">
        <x:v>2026-04</x:v>
      </x:c>
      <x:c r="B93" t="str">
        <x:v>Redes sociales</x:v>
      </x:c>
      <x:c r="C93" t="n">
        <x:v>31</x:v>
      </x:c>
      <x:c r="D93" t="n">
        <x:v>351095</x:v>
      </x:c>
      <x:c r="E93" t="n">
        <x:v>11650</x:v>
      </x:c>
      <x:c r="F93" t="n">
        <x:v>318</x:v>
      </x:c>
    </x:row>
    <x:row r="94">
      <x:c r="A94" t="str">
        <x:v>2026-04</x:v>
      </x:c>
      <x:c r="B94" t="str">
        <x:v>Referidos</x:v>
      </x:c>
      <x:c r="C94" t="n">
        <x:v>17</x:v>
      </x:c>
      <x:c r="D94" t="n">
        <x:v>92829</x:v>
      </x:c>
      <x:c r="E94" t="n">
        <x:v>3662</x:v>
      </x:c>
      <x:c r="F94" t="n">
        <x:v>71</x:v>
      </x:c>
    </x:row>
    <x:row r="95">
      <x:c r="A95" t="str">
        <x:v>2026-04</x:v>
      </x:c>
      <x:c r="B95" t="str">
        <x:v>Búsqueda paga</x:v>
      </x:c>
      <x:c r="C95" t="n">
        <x:v>14</x:v>
      </x:c>
      <x:c r="D95" t="n">
        <x:v>682124</x:v>
      </x:c>
      <x:c r="E95" t="n">
        <x:v>6517</x:v>
      </x:c>
      <x:c r="F95" t="n">
        <x:v>120</x:v>
      </x:c>
    </x:row>
    <x:row r="96">
      <x:c r="A96" t="str">
        <x:v>2026-04</x:v>
      </x:c>
      <x:c r="B96" t="str">
        <x:v>Alianzas</x:v>
      </x:c>
      <x:c r="C96" t="n">
        <x:v>4</x:v>
      </x:c>
      <x:c r="D96" t="n">
        <x:v>618686</x:v>
      </x:c>
      <x:c r="E96" t="n">
        <x:v>2208</x:v>
      </x:c>
      <x:c r="F96" t="n">
        <x:v>27</x:v>
      </x:c>
    </x:row>
    <x:row r="97">
      <x:c r="A97" t="str">
        <x:v>2026-04</x:v>
      </x:c>
      <x:c r="B97" t="str">
        <x:v>Contenido educativo</x:v>
      </x:c>
      <x:c r="C97" t="n">
        <x:v>5</x:v>
      </x:c>
      <x:c r="D97" t="n">
        <x:v>87021</x:v>
      </x:c>
      <x:c r="E97" t="n">
        <x:v>2479</x:v>
      </x:c>
      <x:c r="F97" t="n">
        <x:v>29</x:v>
      </x:c>
    </x:row>
    <x:row r="98">
      <x:c r="A98" t="str">
        <x:v>2026-05</x:v>
      </x:c>
      <x:c r="B98" t="str">
        <x:v>Orgánico</x:v>
      </x:c>
      <x:c r="C98" t="n">
        <x:v>25</x:v>
      </x:c>
      <x:c r="D98" t="n">
        <x:v>63805</x:v>
      </x:c>
      <x:c r="E98" t="n">
        <x:v>8066</x:v>
      </x:c>
      <x:c r="F98" t="n">
        <x:v>132</x:v>
      </x:c>
    </x:row>
    <x:row r="99">
      <x:c r="A99" t="str">
        <x:v>2026-05</x:v>
      </x:c>
      <x:c r="B99" t="str">
        <x:v>Redes sociales</x:v>
      </x:c>
      <x:c r="C99" t="n">
        <x:v>25</x:v>
      </x:c>
      <x:c r="D99" t="n">
        <x:v>340701</x:v>
      </x:c>
      <x:c r="E99" t="n">
        <x:v>9446</x:v>
      </x:c>
      <x:c r="F99" t="n">
        <x:v>224</x:v>
      </x:c>
    </x:row>
    <x:row r="100">
      <x:c r="A100" t="str">
        <x:v>2026-05</x:v>
      </x:c>
      <x:c r="B100" t="str">
        <x:v>Referidos</x:v>
      </x:c>
      <x:c r="C100" t="n">
        <x:v>18</x:v>
      </x:c>
      <x:c r="D100" t="n">
        <x:v>49775</x:v>
      </x:c>
      <x:c r="E100" t="n">
        <x:v>6973</x:v>
      </x:c>
      <x:c r="F100" t="n">
        <x:v>216</x:v>
      </x:c>
    </x:row>
    <x:row r="101">
      <x:c r="A101" t="str">
        <x:v>2026-05</x:v>
      </x:c>
      <x:c r="B101" t="str">
        <x:v>Búsqueda paga</x:v>
      </x:c>
      <x:c r="C101" t="n">
        <x:v>17</x:v>
      </x:c>
      <x:c r="D101" t="n">
        <x:v>545495</x:v>
      </x:c>
      <x:c r="E101" t="n">
        <x:v>5363</x:v>
      </x:c>
      <x:c r="F101" t="n">
        <x:v>191</x:v>
      </x:c>
    </x:row>
    <x:row r="102">
      <x:c r="A102" t="str">
        <x:v>2026-05</x:v>
      </x:c>
      <x:c r="B102" t="str">
        <x:v>Alianzas</x:v>
      </x:c>
      <x:c r="C102" t="n">
        <x:v>11</x:v>
      </x:c>
      <x:c r="D102" t="n">
        <x:v>635733</x:v>
      </x:c>
      <x:c r="E102" t="n">
        <x:v>2826</x:v>
      </x:c>
      <x:c r="F102" t="n">
        <x:v>111</x:v>
      </x:c>
    </x:row>
    <x:row r="103">
      <x:c r="A103" t="str">
        <x:v>2026-05</x:v>
      </x:c>
      <x:c r="B103" t="str">
        <x:v>Contenido educativo</x:v>
      </x:c>
      <x:c r="C103" t="n">
        <x:v>10</x:v>
      </x:c>
      <x:c r="D103" t="n">
        <x:v>96519</x:v>
      </x:c>
      <x:c r="E103" t="n">
        <x:v>4816</x:v>
      </x:c>
      <x:c r="F103" t="n">
        <x:v>115</x:v>
      </x:c>
    </x:row>
    <x:row r="104">
      <x:c r="A104" t="str">
        <x:v>2026-06</x:v>
      </x:c>
      <x:c r="B104" t="str">
        <x:v>Orgánico</x:v>
      </x:c>
      <x:c r="C104" t="n">
        <x:v>17</x:v>
      </x:c>
      <x:c r="D104" t="n">
        <x:v>88965</x:v>
      </x:c>
      <x:c r="E104" t="n">
        <x:v>7625</x:v>
      </x:c>
      <x:c r="F104" t="n">
        <x:v>203</x:v>
      </x:c>
    </x:row>
    <x:row r="105">
      <x:c r="A105" t="str">
        <x:v>2026-06</x:v>
      </x:c>
      <x:c r="B105" t="str">
        <x:v>Redes sociales</x:v>
      </x:c>
      <x:c r="C105" t="n">
        <x:v>17</x:v>
      </x:c>
      <x:c r="D105" t="n">
        <x:v>312325</x:v>
      </x:c>
      <x:c r="E105" t="n">
        <x:v>5882</x:v>
      </x:c>
      <x:c r="F105" t="n">
        <x:v>134</x:v>
      </x:c>
    </x:row>
    <x:row r="106">
      <x:c r="A106" t="str">
        <x:v>2026-06</x:v>
      </x:c>
      <x:c r="B106" t="str">
        <x:v>Referidos</x:v>
      </x:c>
      <x:c r="C106" t="n">
        <x:v>18</x:v>
      </x:c>
      <x:c r="D106" t="n">
        <x:v>41758</x:v>
      </x:c>
      <x:c r="E106" t="n">
        <x:v>4755</x:v>
      </x:c>
      <x:c r="F106" t="n">
        <x:v>154</x:v>
      </x:c>
    </x:row>
    <x:row r="107">
      <x:c r="A107" t="str">
        <x:v>2026-06</x:v>
      </x:c>
      <x:c r="B107" t="str">
        <x:v>Búsqueda paga</x:v>
      </x:c>
      <x:c r="C107" t="n">
        <x:v>12</x:v>
      </x:c>
      <x:c r="D107" t="n">
        <x:v>425781</x:v>
      </x:c>
      <x:c r="E107" t="n">
        <x:v>5799</x:v>
      </x:c>
      <x:c r="F107" t="n">
        <x:v>85</x:v>
      </x:c>
    </x:row>
    <x:row r="108">
      <x:c r="A108" t="str">
        <x:v>2026-06</x:v>
      </x:c>
      <x:c r="B108" t="str">
        <x:v>Alianzas</x:v>
      </x:c>
      <x:c r="C108" t="n">
        <x:v>11</x:v>
      </x:c>
      <x:c r="D108" t="n">
        <x:v>569569</x:v>
      </x:c>
      <x:c r="E108" t="n">
        <x:v>3896</x:v>
      </x:c>
      <x:c r="F108" t="n">
        <x:v>88</x:v>
      </x:c>
    </x:row>
    <x:row r="109">
      <x:c r="A109" t="str">
        <x:v>2026-06</x:v>
      </x:c>
      <x:c r="B109" t="str">
        <x:v>Contenido educativo</x:v>
      </x:c>
      <x:c r="C109" t="n">
        <x:v>14</x:v>
      </x:c>
      <x:c r="D109" t="n">
        <x:v>52600</x:v>
      </x:c>
      <x:c r="E109" t="n">
        <x:v>6486</x:v>
      </x:c>
      <x:c r="F109" t="n">
        <x:v>76</x:v>
      </x:c>
    </x:row>
    <x:row r="110">
      <x:c r="A110" t="str">
        <x:v>2026-07</x:v>
      </x:c>
      <x:c r="B110" t="str">
        <x:v>Orgánico</x:v>
      </x:c>
      <x:c r="C110" t="n">
        <x:v>18</x:v>
      </x:c>
      <x:c r="D110" t="n">
        <x:v>81053</x:v>
      </x:c>
      <x:c r="E110" t="n">
        <x:v>7069</x:v>
      </x:c>
      <x:c r="F110" t="n">
        <x:v>176</x:v>
      </x:c>
    </x:row>
    <x:row r="111">
      <x:c r="A111" t="str">
        <x:v>2026-07</x:v>
      </x:c>
      <x:c r="B111" t="str">
        <x:v>Redes sociales</x:v>
      </x:c>
      <x:c r="C111" t="n">
        <x:v>19</x:v>
      </x:c>
      <x:c r="D111" t="n">
        <x:v>445820</x:v>
      </x:c>
      <x:c r="E111" t="n">
        <x:v>5508</x:v>
      </x:c>
      <x:c r="F111" t="n">
        <x:v>206</x:v>
      </x:c>
    </x:row>
    <x:row r="112">
      <x:c r="A112" t="str">
        <x:v>2026-07</x:v>
      </x:c>
      <x:c r="B112" t="str">
        <x:v>Referidos</x:v>
      </x:c>
      <x:c r="C112" t="n">
        <x:v>20</x:v>
      </x:c>
      <x:c r="D112" t="n">
        <x:v>50088</x:v>
      </x:c>
      <x:c r="E112" t="n">
        <x:v>9436</x:v>
      </x:c>
      <x:c r="F112" t="n">
        <x:v>193</x:v>
      </x:c>
    </x:row>
    <x:row r="113">
      <x:c r="A113" t="str">
        <x:v>2026-07</x:v>
      </x:c>
      <x:c r="B113" t="str">
        <x:v>Búsqueda paga</x:v>
      </x:c>
      <x:c r="C113" t="n">
        <x:v>7</x:v>
      </x:c>
      <x:c r="D113" t="n">
        <x:v>505718</x:v>
      </x:c>
      <x:c r="E113" t="n">
        <x:v>2999</x:v>
      </x:c>
      <x:c r="F113" t="n">
        <x:v>29</x:v>
      </x:c>
    </x:row>
    <x:row r="114">
      <x:c r="A114" t="str">
        <x:v>2026-07</x:v>
      </x:c>
      <x:c r="B114" t="str">
        <x:v>Alianzas</x:v>
      </x:c>
      <x:c r="C114" t="n">
        <x:v>8</x:v>
      </x:c>
      <x:c r="D114" t="n">
        <x:v>681160</x:v>
      </x:c>
      <x:c r="E114" t="n">
        <x:v>3641</x:v>
      </x:c>
      <x:c r="F114" t="n">
        <x:v>88</x:v>
      </x:c>
    </x:row>
    <x:row r="115">
      <x:c r="A115" t="str">
        <x:v>2026-07</x:v>
      </x:c>
      <x:c r="B115" t="str">
        <x:v>Contenido educativo</x:v>
      </x:c>
      <x:c r="C115" t="n">
        <x:v>8</x:v>
      </x:c>
      <x:c r="D115" t="n">
        <x:v>90734</x:v>
      </x:c>
      <x:c r="E115" t="n">
        <x:v>2711</x:v>
      </x:c>
      <x:c r="F115" t="n">
        <x:v>38</x:v>
      </x:c>
    </x:row>
    <x:row r="116">
      <x:c r="A116" t="str">
        <x:v>2026-08</x:v>
      </x:c>
      <x:c r="B116" t="str">
        <x:v>Orgánico</x:v>
      </x:c>
      <x:c r="C116" t="n">
        <x:v>19</x:v>
      </x:c>
      <x:c r="D116" t="n">
        <x:v>119154</x:v>
      </x:c>
      <x:c r="E116" t="n">
        <x:v>4556</x:v>
      </x:c>
      <x:c r="F116" t="n">
        <x:v>155</x:v>
      </x:c>
    </x:row>
    <x:row r="117">
      <x:c r="A117" t="str">
        <x:v>2026-08</x:v>
      </x:c>
      <x:c r="B117" t="str">
        <x:v>Redes sociales</x:v>
      </x:c>
      <x:c r="C117" t="n">
        <x:v>21</x:v>
      </x:c>
      <x:c r="D117" t="n">
        <x:v>634727</x:v>
      </x:c>
      <x:c r="E117" t="n">
        <x:v>7182</x:v>
      </x:c>
      <x:c r="F117" t="n">
        <x:v>91</x:v>
      </x:c>
    </x:row>
    <x:row r="118">
      <x:c r="A118" t="str">
        <x:v>2026-08</x:v>
      </x:c>
      <x:c r="B118" t="str">
        <x:v>Referidos</x:v>
      </x:c>
      <x:c r="C118" t="n">
        <x:v>13</x:v>
      </x:c>
      <x:c r="D118" t="n">
        <x:v>115704</x:v>
      </x:c>
      <x:c r="E118" t="n">
        <x:v>5244</x:v>
      </x:c>
      <x:c r="F118" t="n">
        <x:v>64</x:v>
      </x:c>
    </x:row>
    <x:row r="119">
      <x:c r="A119" t="str">
        <x:v>2026-08</x:v>
      </x:c>
      <x:c r="B119" t="str">
        <x:v>Búsqueda paga</x:v>
      </x:c>
      <x:c r="C119" t="n">
        <x:v>11</x:v>
      </x:c>
      <x:c r="D119" t="n">
        <x:v>774103</x:v>
      </x:c>
      <x:c r="E119" t="n">
        <x:v>4593</x:v>
      </x:c>
      <x:c r="F119" t="n">
        <x:v>111</x:v>
      </x:c>
    </x:row>
    <x:row r="120">
      <x:c r="A120" t="str">
        <x:v>2026-08</x:v>
      </x:c>
      <x:c r="B120" t="str">
        <x:v>Alianzas</x:v>
      </x:c>
      <x:c r="C120" t="n">
        <x:v>17</x:v>
      </x:c>
      <x:c r="D120" t="n">
        <x:v>383637</x:v>
      </x:c>
      <x:c r="E120" t="n">
        <x:v>8407</x:v>
      </x:c>
      <x:c r="F120" t="n">
        <x:v>98</x:v>
      </x:c>
    </x:row>
    <x:row r="121">
      <x:c r="A121" t="str">
        <x:v>2026-08</x:v>
      </x:c>
      <x:c r="B121" t="str">
        <x:v>Contenido educativo</x:v>
      </x:c>
      <x:c r="C121" t="n">
        <x:v>10</x:v>
      </x:c>
      <x:c r="D121" t="n">
        <x:v>116328</x:v>
      </x:c>
      <x:c r="E121" t="n">
        <x:v>3574</x:v>
      </x:c>
      <x:c r="F121" t="n">
        <x:v>45</x:v>
      </x:c>
    </x:row>
    <x:row r="122">
      <x:c r="A122" t="str">
        <x:v>2026-09</x:v>
      </x:c>
      <x:c r="B122" t="str">
        <x:v>Orgánico</x:v>
      </x:c>
      <x:c r="C122" t="n">
        <x:v>24</x:v>
      </x:c>
      <x:c r="D122" t="n">
        <x:v>49899</x:v>
      </x:c>
      <x:c r="E122" t="n">
        <x:v>6043</x:v>
      </x:c>
      <x:c r="F122" t="n">
        <x:v>269</x:v>
      </x:c>
    </x:row>
    <x:row r="123">
      <x:c r="A123" t="str">
        <x:v>2026-09</x:v>
      </x:c>
      <x:c r="B123" t="str">
        <x:v>Redes sociales</x:v>
      </x:c>
      <x:c r="C123" t="n">
        <x:v>18</x:v>
      </x:c>
      <x:c r="D123" t="n">
        <x:v>375720</x:v>
      </x:c>
      <x:c r="E123" t="n">
        <x:v>6783</x:v>
      </x:c>
      <x:c r="F123" t="n">
        <x:v>98</x:v>
      </x:c>
    </x:row>
    <x:row r="124">
      <x:c r="A124" t="str">
        <x:v>2026-09</x:v>
      </x:c>
      <x:c r="B124" t="str">
        <x:v>Referidos</x:v>
      </x:c>
      <x:c r="C124" t="n">
        <x:v>18</x:v>
      </x:c>
      <x:c r="D124" t="n">
        <x:v>87617</x:v>
      </x:c>
      <x:c r="E124" t="n">
        <x:v>8569</x:v>
      </x:c>
      <x:c r="F124" t="n">
        <x:v>191</x:v>
      </x:c>
    </x:row>
    <x:row r="125">
      <x:c r="A125" t="str">
        <x:v>2026-09</x:v>
      </x:c>
      <x:c r="B125" t="str">
        <x:v>Búsqueda paga</x:v>
      </x:c>
      <x:c r="C125" t="n">
        <x:v>16</x:v>
      </x:c>
      <x:c r="D125" t="n">
        <x:v>771050</x:v>
      </x:c>
      <x:c r="E125" t="n">
        <x:v>6320</x:v>
      </x:c>
      <x:c r="F125" t="n">
        <x:v>84</x:v>
      </x:c>
    </x:row>
    <x:row r="126">
      <x:c r="A126" t="str">
        <x:v>2026-09</x:v>
      </x:c>
      <x:c r="B126" t="str">
        <x:v>Alianzas</x:v>
      </x:c>
      <x:c r="C126" t="n">
        <x:v>6</x:v>
      </x:c>
      <x:c r="D126" t="n">
        <x:v>743431</x:v>
      </x:c>
      <x:c r="E126" t="n">
        <x:v>2546</x:v>
      </x:c>
      <x:c r="F126" t="n">
        <x:v>37</x:v>
      </x:c>
    </x:row>
    <x:row r="127">
      <x:c r="A127" t="str">
        <x:v>2026-09</x:v>
      </x:c>
      <x:c r="B127" t="str">
        <x:v>Contenido educativo</x:v>
      </x:c>
      <x:c r="C127" t="n">
        <x:v>17</x:v>
      </x:c>
      <x:c r="D127" t="n">
        <x:v>43147</x:v>
      </x:c>
      <x:c r="E127" t="n">
        <x:v>5886</x:v>
      </x:c>
      <x:c r="F127" t="n">
        <x:v>148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9" hidden="0" customWidth="1"/>
    <x:col min="4" max="4" width="18" hidden="0" customWidth="1"/>
    <x:col min="5" max="5" width="23" hidden="0" customWidth="1"/>
    <x:col min="6" max="6" width="21" hidden="0" customWidth="1"/>
    <x:col min="7" max="7" width="16" hidden="0" customWidth="1"/>
    <x:col min="8" max="8" width="17" hidden="0" customWidth="1"/>
    <x:col min="9" max="9" width="30" hidden="0" customWidth="1"/>
    <x:col min="10" max="10" width="26" hidden="0" customWidth="1"/>
    <x:col min="11" max="11" width="19" hidden="0" customWidth="1"/>
    <x:col min="12" max="12" width="20" hidden="0" customWidth="1"/>
    <x:col min="13" max="13" width="20" hidden="0" customWidth="1"/>
    <x:col min="14" max="14" width="26" hidden="0" customWidth="1"/>
    <x:col min="15" max="15" width="13" hidden="0" customWidth="1"/>
    <x:col min="16" max="16" width="13" hidden="0" customWidth="1"/>
    <x:col min="17" max="17" width="21" hidden="0" customWidth="1"/>
    <x:col min="18" max="18" width="21" hidden="0" customWidth="1"/>
    <x:col min="19" max="19" width="20" hidden="0" customWidth="1"/>
  </x:cols>
  <x:sheetData>
    <x:row r="1" ht="34" customHeight="1">
      <x:c r="A1" s="36" t="str">
        <x:v>mes</x:v>
      </x:c>
      <x:c r="B1" s="36" t="str">
        <x:v>usuarios_nuevos</x:v>
      </x:c>
      <x:c r="C1" s="36" t="str">
        <x:v>usuarios_activos</x:v>
      </x:c>
      <x:c r="D1" s="36" t="str">
        <x:v>usuarios_gratis</x:v>
      </x:c>
      <x:c r="E1" s="36" t="str">
        <x:v>plus_mensual_activos</x:v>
      </x:c>
      <x:c r="F1" s="36" t="str">
        <x:v>plus_anual_activos</x:v>
      </x:c>
      <x:c r="G1" s="36" t="str">
        <x:v>usuarios_plus</x:v>
      </x:c>
      <x:c r="H1" s="36" t="str">
        <x:v>deudas_activas</x:v>
      </x:c>
      <x:c r="I1" s="36" t="str">
        <x:v>saldo_deudas_administradas_cop</x:v>
      </x:c>
      <x:c r="J1" s="36" t="str">
        <x:v>abonos_a_acreedores_cop</x:v>
      </x:c>
      <x:c r="K1" s="36" t="str">
        <x:v>cobros_aprobados</x:v>
      </x:c>
      <x:c r="L1" s="36" t="str">
        <x:v>cobros_rechazados</x:v>
      </x:c>
      <x:c r="M1" s="36" t="str">
        <x:v>recaudo_ceroa_cop</x:v>
      </x:c>
      <x:c r="N1" s="36" t="str">
        <x:v>inversion_marketing_cop</x:v>
      </x:c>
      <x:c r="O1" s="36" t="str">
        <x:v>altas_plus</x:v>
      </x:c>
      <x:c r="P1" s="36" t="str">
        <x:v>bajas_plus</x:v>
      </x:c>
      <x:c r="Q1" s="36" t="str">
        <x:v>mensajes_estimados</x:v>
      </x:c>
      <x:c r="R1" s="36" t="str">
        <x:v>sesiones_estimadas</x:v>
      </x:c>
      <x:c r="S1" s="36" t="str">
        <x:v>visitas_estimadas</x:v>
      </x:c>
    </x:row>
    <x:row r="2">
      <x:c r="A2" t="str">
        <x:v>2025-01</x:v>
      </x:c>
      <x:c r="B2" t="n">
        <x:v>31</x:v>
      </x:c>
      <x:c r="C2" t="n">
        <x:v>31</x:v>
      </x:c>
      <x:c r="D2" t="n">
        <x:v>27</x:v>
      </x:c>
      <x:c r="E2" t="n">
        <x:v>3</x:v>
      </x:c>
      <x:c r="F2" t="n">
        <x:v>1</x:v>
      </x:c>
      <x:c r="G2" t="n">
        <x:v>4</x:v>
      </x:c>
      <x:c r="H2" t="n">
        <x:v>52</x:v>
      </x:c>
      <x:c r="I2" t="n">
        <x:v>599976509.14</x:v>
      </x:c>
      <x:c r="J2" t="n">
        <x:v>24603300</x:v>
      </x:c>
      <x:c r="K2" t="n">
        <x:v>4</x:v>
      </x:c>
      <x:c r="L2" t="n">
        <x:v>0</x:v>
      </x:c>
      <x:c r="M2" t="n">
        <x:v>388700</x:v>
      </x:c>
      <x:c r="N2" t="n">
        <x:v>986909</x:v>
      </x:c>
      <x:c r="O2" t="n">
        <x:v>4</x:v>
      </x:c>
      <x:c r="P2" t="n">
        <x:v>0</x:v>
      </x:c>
      <x:c r="Q2" t="n">
        <x:v>96</x:v>
      </x:c>
      <x:c r="R2" t="n">
        <x:v>147</x:v>
      </x:c>
      <x:c r="S2" t="n">
        <x:v>247</x:v>
      </x:c>
    </x:row>
    <x:row r="3">
      <x:c r="A3" t="str">
        <x:v>2025-02</x:v>
      </x:c>
      <x:c r="B3" t="n">
        <x:v>24</x:v>
      </x:c>
      <x:c r="C3" t="n">
        <x:v>55</x:v>
      </x:c>
      <x:c r="D3" t="n">
        <x:v>44</x:v>
      </x:c>
      <x:c r="E3" t="n">
        <x:v>6</x:v>
      </x:c>
      <x:c r="F3" t="n">
        <x:v>5</x:v>
      </x:c>
      <x:c r="G3" t="n">
        <x:v>11</x:v>
      </x:c>
      <x:c r="H3" t="n">
        <x:v>101</x:v>
      </x:c>
      <x:c r="I3" t="n">
        <x:v>1088822720.15</x:v>
      </x:c>
      <x:c r="J3" t="n">
        <x:v>42335900</x:v>
      </x:c>
      <x:c r="K3" t="n">
        <x:v>10</x:v>
      </x:c>
      <x:c r="L3" t="n">
        <x:v>0</x:v>
      </x:c>
      <x:c r="M3" t="n">
        <x:v>1375400</x:v>
      </x:c>
      <x:c r="N3" t="n">
        <x:v>1264107</x:v>
      </x:c>
      <x:c r="O3" t="n">
        <x:v>7</x:v>
      </x:c>
      <x:c r="P3" t="n">
        <x:v>0</x:v>
      </x:c>
      <x:c r="Q3" t="n">
        <x:v>140</x:v>
      </x:c>
      <x:c r="R3" t="n">
        <x:v>303</x:v>
      </x:c>
      <x:c r="S3" t="n">
        <x:v>210</x:v>
      </x:c>
    </x:row>
    <x:row r="4">
      <x:c r="A4" t="str">
        <x:v>2025-03</x:v>
      </x:c>
      <x:c r="B4" t="n">
        <x:v>39</x:v>
      </x:c>
      <x:c r="C4" t="n">
        <x:v>93</x:v>
      </x:c>
      <x:c r="D4" t="n">
        <x:v>76</x:v>
      </x:c>
      <x:c r="E4" t="n">
        <x:v>11</x:v>
      </x:c>
      <x:c r="F4" t="n">
        <x:v>6</x:v>
      </x:c>
      <x:c r="G4" t="n">
        <x:v>17</x:v>
      </x:c>
      <x:c r="H4" t="n">
        <x:v>173</x:v>
      </x:c>
      <x:c r="I4" t="n">
        <x:v>2049885058.22</x:v>
      </x:c>
      <x:c r="J4" t="n">
        <x:v>85068200</x:v>
      </x:c>
      <x:c r="K4" t="n">
        <x:v>12</x:v>
      </x:c>
      <x:c r="L4" t="n">
        <x:v>3</x:v>
      </x:c>
      <x:c r="M4" t="n">
        <x:v>627900</x:v>
      </x:c>
      <x:c r="N4" t="n">
        <x:v>993228</x:v>
      </x:c>
      <x:c r="O4" t="n">
        <x:v>8</x:v>
      </x:c>
      <x:c r="P4" t="n">
        <x:v>1</x:v>
      </x:c>
      <x:c r="Q4" t="n">
        <x:v>257</x:v>
      </x:c>
      <x:c r="R4" t="n">
        <x:v>513</x:v>
      </x:c>
      <x:c r="S4" t="n">
        <x:v>252</x:v>
      </x:c>
    </x:row>
    <x:row r="5">
      <x:c r="A5" t="str">
        <x:v>2025-04</x:v>
      </x:c>
      <x:c r="B5" t="n">
        <x:v>27</x:v>
      </x:c>
      <x:c r="C5" t="n">
        <x:v>120</x:v>
      </x:c>
      <x:c r="D5" t="n">
        <x:v>101</x:v>
      </x:c>
      <x:c r="E5" t="n">
        <x:v>13</x:v>
      </x:c>
      <x:c r="F5" t="n">
        <x:v>6</x:v>
      </x:c>
      <x:c r="G5" t="n">
        <x:v>19</x:v>
      </x:c>
      <x:c r="H5" t="n">
        <x:v>224</x:v>
      </x:c>
      <x:c r="I5" t="n">
        <x:v>2610845688.94</x:v>
      </x:c>
      <x:c r="J5" t="n">
        <x:v>98936800</x:v>
      </x:c>
      <x:c r="K5" t="n">
        <x:v>13</x:v>
      </x:c>
      <x:c r="L5" t="n">
        <x:v>2</x:v>
      </x:c>
      <x:c r="M5" t="n">
        <x:v>388700</x:v>
      </x:c>
      <x:c r="N5" t="n">
        <x:v>1508618</x:v>
      </x:c>
      <x:c r="O5" t="n">
        <x:v>4</x:v>
      </x:c>
      <x:c r="P5" t="n">
        <x:v>2</x:v>
      </x:c>
      <x:c r="Q5" t="n">
        <x:v>341</x:v>
      </x:c>
      <x:c r="R5" t="n">
        <x:v>688</x:v>
      </x:c>
      <x:c r="S5" t="n">
        <x:v>246</x:v>
      </x:c>
    </x:row>
    <x:row r="6">
      <x:c r="A6" t="str">
        <x:v>2025-05</x:v>
      </x:c>
      <x:c r="B6" t="n">
        <x:v>24</x:v>
      </x:c>
      <x:c r="C6" t="n">
        <x:v>144</x:v>
      </x:c>
      <x:c r="D6" t="n">
        <x:v>120</x:v>
      </x:c>
      <x:c r="E6" t="n">
        <x:v>17</x:v>
      </x:c>
      <x:c r="F6" t="n">
        <x:v>7</x:v>
      </x:c>
      <x:c r="G6" t="n">
        <x:v>24</x:v>
      </x:c>
      <x:c r="H6" t="n">
        <x:v>271</x:v>
      </x:c>
      <x:c r="I6" t="n">
        <x:v>3005238683.45</x:v>
      </x:c>
      <x:c r="J6" t="n">
        <x:v>123096000</x:v>
      </x:c>
      <x:c r="K6" t="n">
        <x:v>18</x:v>
      </x:c>
      <x:c r="L6" t="n">
        <x:v>1</x:v>
      </x:c>
      <x:c r="M6" t="n">
        <x:v>807300</x:v>
      </x:c>
      <x:c r="N6" t="n">
        <x:v>1129719</x:v>
      </x:c>
      <x:c r="O6" t="n">
        <x:v>5</x:v>
      </x:c>
      <x:c r="P6" t="n">
        <x:v>0</x:v>
      </x:c>
      <x:c r="Q6" t="n">
        <x:v>454</x:v>
      </x:c>
      <x:c r="R6" t="n">
        <x:v>836</x:v>
      </x:c>
      <x:c r="S6" t="n">
        <x:v>206</x:v>
      </x:c>
    </x:row>
    <x:row r="7">
      <x:c r="A7" t="str">
        <x:v>2025-06</x:v>
      </x:c>
      <x:c r="B7" t="n">
        <x:v>43</x:v>
      </x:c>
      <x:c r="C7" t="n">
        <x:v>187</x:v>
      </x:c>
      <x:c r="D7" t="n">
        <x:v>146</x:v>
      </x:c>
      <x:c r="E7" t="n">
        <x:v>30</x:v>
      </x:c>
      <x:c r="F7" t="n">
        <x:v>11</x:v>
      </x:c>
      <x:c r="G7" t="n">
        <x:v>41</x:v>
      </x:c>
      <x:c r="H7" t="n">
        <x:v>351</x:v>
      </x:c>
      <x:c r="I7" t="n">
        <x:v>3912055822.21</x:v>
      </x:c>
      <x:c r="J7" t="n">
        <x:v>163343300</x:v>
      </x:c>
      <x:c r="K7" t="n">
        <x:v>34</x:v>
      </x:c>
      <x:c r="L7" t="n">
        <x:v>3</x:v>
      </x:c>
      <x:c r="M7" t="n">
        <x:v>2093000</x:v>
      </x:c>
      <x:c r="N7" t="n">
        <x:v>1507085</x:v>
      </x:c>
      <x:c r="O7" t="n">
        <x:v>19</x:v>
      </x:c>
      <x:c r="P7" t="n">
        <x:v>2</x:v>
      </x:c>
      <x:c r="Q7" t="n">
        <x:v>563</x:v>
      </x:c>
      <x:c r="R7" t="n">
        <x:v>1044</x:v>
      </x:c>
      <x:c r="S7" t="n">
        <x:v>347</x:v>
      </x:c>
    </x:row>
    <x:row r="8">
      <x:c r="A8" t="str">
        <x:v>2025-07</x:v>
      </x:c>
      <x:c r="B8" t="n">
        <x:v>37</x:v>
      </x:c>
      <x:c r="C8" t="n">
        <x:v>223</x:v>
      </x:c>
      <x:c r="D8" t="n">
        <x:v>164</x:v>
      </x:c>
      <x:c r="E8" t="n">
        <x:v>43</x:v>
      </x:c>
      <x:c r="F8" t="n">
        <x:v>16</x:v>
      </x:c>
      <x:c r="G8" t="n">
        <x:v>59</x:v>
      </x:c>
      <x:c r="H8" t="n">
        <x:v>423</x:v>
      </x:c>
      <x:c r="I8" t="n">
        <x:v>4707033962.65</x:v>
      </x:c>
      <x:c r="J8" t="n">
        <x:v>196885400</x:v>
      </x:c>
      <x:c r="K8" t="n">
        <x:v>48</x:v>
      </x:c>
      <x:c r="L8" t="n">
        <x:v>10</x:v>
      </x:c>
      <x:c r="M8" t="n">
        <x:v>2780700</x:v>
      </x:c>
      <x:c r="N8" t="n">
        <x:v>1219668</x:v>
      </x:c>
      <x:c r="O8" t="n">
        <x:v>22</x:v>
      </x:c>
      <x:c r="P8" t="n">
        <x:v>3</x:v>
      </x:c>
      <x:c r="Q8" t="n">
        <x:v>655</x:v>
      </x:c>
      <x:c r="R8" t="n">
        <x:v>1154</x:v>
      </x:c>
      <x:c r="S8" t="n">
        <x:v>278</x:v>
      </x:c>
    </x:row>
    <x:row r="9">
      <x:c r="A9" t="str">
        <x:v>2025-08</x:v>
      </x:c>
      <x:c r="B9" t="n">
        <x:v>39</x:v>
      </x:c>
      <x:c r="C9" t="n">
        <x:v>262</x:v>
      </x:c>
      <x:c r="D9" t="n">
        <x:v>191</x:v>
      </x:c>
      <x:c r="E9" t="n">
        <x:v>50</x:v>
      </x:c>
      <x:c r="F9" t="n">
        <x:v>21</x:v>
      </x:c>
      <x:c r="G9" t="n">
        <x:v>71</x:v>
      </x:c>
      <x:c r="H9" t="n">
        <x:v>496</x:v>
      </x:c>
      <x:c r="I9" t="n">
        <x:v>5458407868.12</x:v>
      </x:c>
      <x:c r="J9" t="n">
        <x:v>210899200</x:v>
      </x:c>
      <x:c r="K9" t="n">
        <x:v>55</x:v>
      </x:c>
      <x:c r="L9" t="n">
        <x:v>3</x:v>
      </x:c>
      <x:c r="M9" t="n">
        <x:v>2990000</x:v>
      </x:c>
      <x:c r="N9" t="n">
        <x:v>1794226</x:v>
      </x:c>
      <x:c r="O9" t="n">
        <x:v>18</x:v>
      </x:c>
      <x:c r="P9" t="n">
        <x:v>6</x:v>
      </x:c>
      <x:c r="Q9" t="n">
        <x:v>805</x:v>
      </x:c>
      <x:c r="R9" t="n">
        <x:v>1478</x:v>
      </x:c>
      <x:c r="S9" t="n">
        <x:v>350</x:v>
      </x:c>
    </x:row>
    <x:row r="10">
      <x:c r="A10" t="str">
        <x:v>2025-09</x:v>
      </x:c>
      <x:c r="B10" t="n">
        <x:v>37</x:v>
      </x:c>
      <x:c r="C10" t="n">
        <x:v>299</x:v>
      </x:c>
      <x:c r="D10" t="n">
        <x:v>212</x:v>
      </x:c>
      <x:c r="E10" t="n">
        <x:v>58</x:v>
      </x:c>
      <x:c r="F10" t="n">
        <x:v>29</x:v>
      </x:c>
      <x:c r="G10" t="n">
        <x:v>87</x:v>
      </x:c>
      <x:c r="H10" t="n">
        <x:v>563</x:v>
      </x:c>
      <x:c r="I10" t="n">
        <x:v>6197796735.21</x:v>
      </x:c>
      <x:c r="J10" t="n">
        <x:v>240163900</x:v>
      </x:c>
      <x:c r="K10" t="n">
        <x:v>66</x:v>
      </x:c>
      <x:c r="L10" t="n">
        <x:v>4</x:v>
      </x:c>
      <x:c r="M10" t="n">
        <x:v>4126200</x:v>
      </x:c>
      <x:c r="N10" t="n">
        <x:v>1372777</x:v>
      </x:c>
      <x:c r="O10" t="n">
        <x:v>20</x:v>
      </x:c>
      <x:c r="P10" t="n">
        <x:v>4</x:v>
      </x:c>
      <x:c r="Q10" t="n">
        <x:v>933</x:v>
      </x:c>
      <x:c r="R10" t="n">
        <x:v>1659</x:v>
      </x:c>
      <x:c r="S10" t="n">
        <x:v>391</x:v>
      </x:c>
    </x:row>
    <x:row r="11">
      <x:c r="A11" t="str">
        <x:v>2025-10</x:v>
      </x:c>
      <x:c r="B11" t="n">
        <x:v>55</x:v>
      </x:c>
      <x:c r="C11" t="n">
        <x:v>353</x:v>
      </x:c>
      <x:c r="D11" t="n">
        <x:v>248</x:v>
      </x:c>
      <x:c r="E11" t="n">
        <x:v>70</x:v>
      </x:c>
      <x:c r="F11" t="n">
        <x:v>35</x:v>
      </x:c>
      <x:c r="G11" t="n">
        <x:v>105</x:v>
      </x:c>
      <x:c r="H11" t="n">
        <x:v>673</x:v>
      </x:c>
      <x:c r="I11" t="n">
        <x:v>7190926665.31</x:v>
      </x:c>
      <x:c r="J11" t="n">
        <x:v>292737200</x:v>
      </x:c>
      <x:c r="K11" t="n">
        <x:v>76</x:v>
      </x:c>
      <x:c r="L11" t="n">
        <x:v>5</x:v>
      </x:c>
      <x:c r="M11" t="n">
        <x:v>3887000</x:v>
      </x:c>
      <x:c r="N11" t="n">
        <x:v>1274305</x:v>
      </x:c>
      <x:c r="O11" t="n">
        <x:v>22</x:v>
      </x:c>
      <x:c r="P11" t="n">
        <x:v>4</x:v>
      </x:c>
      <x:c r="Q11" t="n">
        <x:v>1053</x:v>
      </x:c>
      <x:c r="R11" t="n">
        <x:v>1975</x:v>
      </x:c>
      <x:c r="S11" t="n">
        <x:v>532</x:v>
      </x:c>
    </x:row>
    <x:row r="12">
      <x:c r="A12" t="str">
        <x:v>2025-11</x:v>
      </x:c>
      <x:c r="B12" t="n">
        <x:v>50</x:v>
      </x:c>
      <x:c r="C12" t="n">
        <x:v>398</x:v>
      </x:c>
      <x:c r="D12" t="n">
        <x:v>280</x:v>
      </x:c>
      <x:c r="E12" t="n">
        <x:v>78</x:v>
      </x:c>
      <x:c r="F12" t="n">
        <x:v>40</x:v>
      </x:c>
      <x:c r="G12" t="n">
        <x:v>118</x:v>
      </x:c>
      <x:c r="H12" t="n">
        <x:v>748</x:v>
      </x:c>
      <x:c r="I12" t="n">
        <x:v>7933384949.11</x:v>
      </x:c>
      <x:c r="J12" t="n">
        <x:v>334013500</x:v>
      </x:c>
      <x:c r="K12" t="n">
        <x:v>83</x:v>
      </x:c>
      <x:c r="L12" t="n">
        <x:v>2</x:v>
      </x:c>
      <x:c r="M12" t="n">
        <x:v>3827200</x:v>
      </x:c>
      <x:c r="N12" t="n">
        <x:v>1457755</x:v>
      </x:c>
      <x:c r="O12" t="n">
        <x:v>18</x:v>
      </x:c>
      <x:c r="P12" t="n">
        <x:v>4</x:v>
      </x:c>
      <x:c r="Q12" t="n">
        <x:v>1186</x:v>
      </x:c>
      <x:c r="R12" t="n">
        <x:v>2093</x:v>
      </x:c>
      <x:c r="S12" t="n">
        <x:v>366</x:v>
      </x:c>
    </x:row>
    <x:row r="13">
      <x:c r="A13" t="str">
        <x:v>2025-12</x:v>
      </x:c>
      <x:c r="B13" t="n">
        <x:v>64</x:v>
      </x:c>
      <x:c r="C13" t="n">
        <x:v>459</x:v>
      </x:c>
      <x:c r="D13" t="n">
        <x:v>319</x:v>
      </x:c>
      <x:c r="E13" t="n">
        <x:v>91</x:v>
      </x:c>
      <x:c r="F13" t="n">
        <x:v>49</x:v>
      </x:c>
      <x:c r="G13" t="n">
        <x:v>140</x:v>
      </x:c>
      <x:c r="H13" t="n">
        <x:v>870</x:v>
      </x:c>
      <x:c r="I13" t="n">
        <x:v>9470777079.99</x:v>
      </x:c>
      <x:c r="J13" t="n">
        <x:v>420658700</x:v>
      </x:c>
      <x:c r="K13" t="n">
        <x:v>100</x:v>
      </x:c>
      <x:c r="L13" t="n">
        <x:v>10</x:v>
      </x:c>
      <x:c r="M13" t="n">
        <x:v>5411900</x:v>
      </x:c>
      <x:c r="N13" t="n">
        <x:v>1987112</x:v>
      </x:c>
      <x:c r="O13" t="n">
        <x:v>31</x:v>
      </x:c>
      <x:c r="P13" t="n">
        <x:v>8</x:v>
      </x:c>
      <x:c r="Q13" t="n">
        <x:v>1372</x:v>
      </x:c>
      <x:c r="R13" t="n">
        <x:v>2553</x:v>
      </x:c>
      <x:c r="S13" t="n">
        <x:v>470</x:v>
      </x:c>
    </x:row>
    <x:row r="14">
      <x:c r="A14" t="str">
        <x:v>2026-01</x:v>
      </x:c>
      <x:c r="B14" t="n">
        <x:v>85</x:v>
      </x:c>
      <x:c r="C14" t="n">
        <x:v>542</x:v>
      </x:c>
      <x:c r="D14" t="n">
        <x:v>370</x:v>
      </x:c>
      <x:c r="E14" t="n">
        <x:v>110</x:v>
      </x:c>
      <x:c r="F14" t="n">
        <x:v>62</x:v>
      </x:c>
      <x:c r="G14" t="n">
        <x:v>172</x:v>
      </x:c>
      <x:c r="H14" t="n">
        <x:v>1033</x:v>
      </x:c>
      <x:c r="I14" t="n">
        <x:v>11239403714.1</x:v>
      </x:c>
      <x:c r="J14" t="n">
        <x:v>483239000</x:v>
      </x:c>
      <x:c r="K14" t="n">
        <x:v>124</x:v>
      </x:c>
      <x:c r="L14" t="n">
        <x:v>12</x:v>
      </x:c>
      <x:c r="M14" t="n">
        <x:v>7475000</x:v>
      </x:c>
      <x:c r="N14" t="n">
        <x:v>1394852</x:v>
      </x:c>
      <x:c r="O14" t="n">
        <x:v>41</x:v>
      </x:c>
      <x:c r="P14" t="n">
        <x:v>9</x:v>
      </x:c>
      <x:c r="Q14" t="n">
        <x:v>1602</x:v>
      </x:c>
      <x:c r="R14" t="n">
        <x:v>3048</x:v>
      </x:c>
      <x:c r="S14" t="n">
        <x:v>660</x:v>
      </x:c>
    </x:row>
    <x:row r="15">
      <x:c r="A15" t="str">
        <x:v>2026-02</x:v>
      </x:c>
      <x:c r="B15" t="n">
        <x:v>67</x:v>
      </x:c>
      <x:c r="C15" t="n">
        <x:v>608</x:v>
      </x:c>
      <x:c r="D15" t="n">
        <x:v>406</x:v>
      </x:c>
      <x:c r="E15" t="n">
        <x:v>121</x:v>
      </x:c>
      <x:c r="F15" t="n">
        <x:v>81</x:v>
      </x:c>
      <x:c r="G15" t="n">
        <x:v>202</x:v>
      </x:c>
      <x:c r="H15" t="n">
        <x:v>1158</x:v>
      </x:c>
      <x:c r="I15" t="n">
        <x:v>12548164127.56</x:v>
      </x:c>
      <x:c r="J15" t="n">
        <x:v>545774088.36</x:v>
      </x:c>
      <x:c r="K15" t="n">
        <x:v>144</x:v>
      </x:c>
      <x:c r="L15" t="n">
        <x:v>9</x:v>
      </x:c>
      <x:c r="M15" t="n">
        <x:v>10494900</x:v>
      </x:c>
      <x:c r="N15" t="n">
        <x:v>1750615</x:v>
      </x:c>
      <x:c r="O15" t="n">
        <x:v>37</x:v>
      </x:c>
      <x:c r="P15" t="n">
        <x:v>7</x:v>
      </x:c>
      <x:c r="Q15" t="n">
        <x:v>1823</x:v>
      </x:c>
      <x:c r="R15" t="n">
        <x:v>3368</x:v>
      </x:c>
      <x:c r="S15" t="n">
        <x:v>504</x:v>
      </x:c>
    </x:row>
    <x:row r="16">
      <x:c r="A16" t="str">
        <x:v>2026-03</x:v>
      </x:c>
      <x:c r="B16" t="n">
        <x:v>74</x:v>
      </x:c>
      <x:c r="C16" t="n">
        <x:v>678</x:v>
      </x:c>
      <x:c r="D16" t="n">
        <x:v>445</x:v>
      </x:c>
      <x:c r="E16" t="n">
        <x:v>135</x:v>
      </x:c>
      <x:c r="F16" t="n">
        <x:v>98</x:v>
      </x:c>
      <x:c r="G16" t="n">
        <x:v>233</x:v>
      </x:c>
      <x:c r="H16" t="n">
        <x:v>1291</x:v>
      </x:c>
      <x:c r="I16" t="n">
        <x:v>13744690523.73</x:v>
      </x:c>
      <x:c r="J16" t="n">
        <x:v>615139931.41</x:v>
      </x:c>
      <x:c r="K16" t="n">
        <x:v>153</x:v>
      </x:c>
      <x:c r="L16" t="n">
        <x:v>13</x:v>
      </x:c>
      <x:c r="M16" t="n">
        <x:v>9418500</x:v>
      </x:c>
      <x:c r="N16" t="n">
        <x:v>1757172</x:v>
      </x:c>
      <x:c r="O16" t="n">
        <x:v>46</x:v>
      </x:c>
      <x:c r="P16" t="n">
        <x:v>12</x:v>
      </x:c>
      <x:c r="Q16" t="n">
        <x:v>2025</x:v>
      </x:c>
      <x:c r="R16" t="n">
        <x:v>3723</x:v>
      </x:c>
      <x:c r="S16" t="n">
        <x:v>627</x:v>
      </x:c>
    </x:row>
    <x:row r="17">
      <x:c r="A17" t="str">
        <x:v>2026-04</x:v>
      </x:c>
      <x:c r="B17" t="n">
        <x:v>89</x:v>
      </x:c>
      <x:c r="C17" t="n">
        <x:v>763</x:v>
      </x:c>
      <x:c r="D17" t="n">
        <x:v>492</x:v>
      </x:c>
      <x:c r="E17" t="n">
        <x:v>161</x:v>
      </x:c>
      <x:c r="F17" t="n">
        <x:v>110</x:v>
      </x:c>
      <x:c r="G17" t="n">
        <x:v>271</x:v>
      </x:c>
      <x:c r="H17" t="n">
        <x:v>1456</x:v>
      </x:c>
      <x:c r="I17" t="n">
        <x:v>15431186950.27</x:v>
      </x:c>
      <x:c r="J17" t="n">
        <x:v>675111831.98</x:v>
      </x:c>
      <x:c r="K17" t="n">
        <x:v>173</x:v>
      </x:c>
      <x:c r="L17" t="n">
        <x:v>20</x:v>
      </x:c>
      <x:c r="M17" t="n">
        <x:v>8401900</x:v>
      </x:c>
      <x:c r="N17" t="n">
        <x:v>1911596</x:v>
      </x:c>
      <x:c r="O17" t="n">
        <x:v>53</x:v>
      </x:c>
      <x:c r="P17" t="n">
        <x:v>15</x:v>
      </x:c>
      <x:c r="Q17" t="n">
        <x:v>2295</x:v>
      </x:c>
      <x:c r="R17" t="n">
        <x:v>4316</x:v>
      </x:c>
      <x:c r="S17" t="n">
        <x:v>680</x:v>
      </x:c>
    </x:row>
    <x:row r="18">
      <x:c r="A18" t="str">
        <x:v>2026-05</x:v>
      </x:c>
      <x:c r="B18" t="n">
        <x:v>106</x:v>
      </x:c>
      <x:c r="C18" t="n">
        <x:v>863</x:v>
      </x:c>
      <x:c r="D18" t="n">
        <x:v>547</x:v>
      </x:c>
      <x:c r="E18" t="n">
        <x:v>185</x:v>
      </x:c>
      <x:c r="F18" t="n">
        <x:v>131</x:v>
      </x:c>
      <x:c r="G18" t="n">
        <x:v>316</x:v>
      </x:c>
      <x:c r="H18" t="n">
        <x:v>1662</x:v>
      </x:c>
      <x:c r="I18" t="n">
        <x:v>17374280942.62</x:v>
      </x:c>
      <x:c r="J18" t="n">
        <x:v>765214183.02</x:v>
      </x:c>
      <x:c r="K18" t="n">
        <x:v>207</x:v>
      </x:c>
      <x:c r="L18" t="n">
        <x:v>23</x:v>
      </x:c>
      <x:c r="M18" t="n">
        <x:v>12109500</x:v>
      </x:c>
      <x:c r="N18" t="n">
        <x:v>1732028</x:v>
      </x:c>
      <x:c r="O18" t="n">
        <x:v>60</x:v>
      </x:c>
      <x:c r="P18" t="n">
        <x:v>12</x:v>
      </x:c>
      <x:c r="Q18" t="n">
        <x:v>2585</x:v>
      </x:c>
      <x:c r="R18" t="n">
        <x:v>4670</x:v>
      </x:c>
      <x:c r="S18" t="n">
        <x:v>989</x:v>
      </x:c>
    </x:row>
    <x:row r="19">
      <x:c r="A19" t="str">
        <x:v>2026-06</x:v>
      </x:c>
      <x:c r="B19" t="n">
        <x:v>89</x:v>
      </x:c>
      <x:c r="C19" t="n">
        <x:v>945</x:v>
      </x:c>
      <x:c r="D19" t="n">
        <x:v>597</x:v>
      </x:c>
      <x:c r="E19" t="n">
        <x:v>206</x:v>
      </x:c>
      <x:c r="F19" t="n">
        <x:v>142</x:v>
      </x:c>
      <x:c r="G19" t="n">
        <x:v>348</x:v>
      </x:c>
      <x:c r="H19" t="n">
        <x:v>1807</x:v>
      </x:c>
      <x:c r="I19" t="n">
        <x:v>18465831436.23</x:v>
      </x:c>
      <x:c r="J19" t="n">
        <x:v>817366059.94</x:v>
      </x:c>
      <x:c r="K19" t="n">
        <x:v>221</x:v>
      </x:c>
      <x:c r="L19" t="n">
        <x:v>20</x:v>
      </x:c>
      <x:c r="M19" t="n">
        <x:v>10644400</x:v>
      </x:c>
      <x:c r="N19" t="n">
        <x:v>1490998</x:v>
      </x:c>
      <x:c r="O19" t="n">
        <x:v>43</x:v>
      </x:c>
      <x:c r="P19" t="n">
        <x:v>9</x:v>
      </x:c>
      <x:c r="Q19" t="n">
        <x:v>2849</x:v>
      </x:c>
      <x:c r="R19" t="n">
        <x:v>5189</x:v>
      </x:c>
      <x:c r="S19" t="n">
        <x:v>740</x:v>
      </x:c>
    </x:row>
    <x:row r="20">
      <x:c r="A20" t="str">
        <x:v>2026-07</x:v>
      </x:c>
      <x:c r="B20" t="n">
        <x:v>80</x:v>
      </x:c>
      <x:c r="C20" t="n">
        <x:v>1021</x:v>
      </x:c>
      <x:c r="D20" t="n">
        <x:v>629</x:v>
      </x:c>
      <x:c r="E20" t="n">
        <x:v>228</x:v>
      </x:c>
      <x:c r="F20" t="n">
        <x:v>164</x:v>
      </x:c>
      <x:c r="G20" t="n">
        <x:v>392</x:v>
      </x:c>
      <x:c r="H20" t="n">
        <x:v>1944</x:v>
      </x:c>
      <x:c r="I20" t="n">
        <x:v>19640588310.43</x:v>
      </x:c>
      <x:c r="J20" t="n">
        <x:v>901096356.19</x:v>
      </x:c>
      <x:c r="K20" t="n">
        <x:v>255</x:v>
      </x:c>
      <x:c r="L20" t="n">
        <x:v>22</x:v>
      </x:c>
      <x:c r="M20" t="n">
        <x:v>14890200</x:v>
      </x:c>
      <x:c r="N20" t="n">
        <x:v>1854573</x:v>
      </x:c>
      <x:c r="O20" t="n">
        <x:v>65</x:v>
      </x:c>
      <x:c r="P20" t="n">
        <x:v>19</x:v>
      </x:c>
      <x:c r="Q20" t="n">
        <x:v>3089</x:v>
      </x:c>
      <x:c r="R20" t="n">
        <x:v>5694</x:v>
      </x:c>
      <x:c r="S20" t="n">
        <x:v>730</x:v>
      </x:c>
    </x:row>
    <x:row r="21">
      <x:c r="A21" t="str">
        <x:v>2026-08</x:v>
      </x:c>
      <x:c r="B21" t="n">
        <x:v>91</x:v>
      </x:c>
      <x:c r="C21" t="n">
        <x:v>1103</x:v>
      </x:c>
      <x:c r="D21" t="n">
        <x:v>670</x:v>
      </x:c>
      <x:c r="E21" t="n">
        <x:v>242</x:v>
      </x:c>
      <x:c r="F21" t="n">
        <x:v>191</x:v>
      </x:c>
      <x:c r="G21" t="n">
        <x:v>433</x:v>
      </x:c>
      <x:c r="H21" t="n">
        <x:v>2103</x:v>
      </x:c>
      <x:c r="I21" t="n">
        <x:v>21020376141.52</x:v>
      </x:c>
      <x:c r="J21" t="n">
        <x:v>954581375.58</x:v>
      </x:c>
      <x:c r="K21" t="n">
        <x:v>274</x:v>
      </x:c>
      <x:c r="L21" t="n">
        <x:v>16</x:v>
      </x:c>
      <x:c r="M21" t="n">
        <x:v>16803800</x:v>
      </x:c>
      <x:c r="N21" t="n">
        <x:v>2143653</x:v>
      </x:c>
      <x:c r="O21" t="n">
        <x:v>52</x:v>
      </x:c>
      <x:c r="P21" t="n">
        <x:v>9</x:v>
      </x:c>
      <x:c r="Q21" t="n">
        <x:v>3325</x:v>
      </x:c>
      <x:c r="R21" t="n">
        <x:v>6106</x:v>
      </x:c>
      <x:c r="S21" t="n">
        <x:v>564</x:v>
      </x:c>
    </x:row>
    <x:row r="22">
      <x:c r="A22" t="str">
        <x:v>2026-09</x:v>
      </x:c>
      <x:c r="B22" t="n">
        <x:v>99</x:v>
      </x:c>
      <x:c r="C22" t="n">
        <x:v>1194</x:v>
      </x:c>
      <x:c r="D22" t="n">
        <x:v>719</x:v>
      </x:c>
      <x:c r="E22" t="n">
        <x:v>267</x:v>
      </x:c>
      <x:c r="F22" t="n">
        <x:v>208</x:v>
      </x:c>
      <x:c r="G22" t="n">
        <x:v>475</x:v>
      </x:c>
      <x:c r="H22" t="n">
        <x:v>2277</x:v>
      </x:c>
      <x:c r="I22" t="n">
        <x:v>22567938836.18</x:v>
      </x:c>
      <x:c r="J22" t="n">
        <x:v>1018661806.39</x:v>
      </x:c>
      <x:c r="K22" t="n">
        <x:v>292</x:v>
      </x:c>
      <x:c r="L22" t="n">
        <x:v>29</x:v>
      </x:c>
      <x:c r="M22" t="n">
        <x:v>15458300</x:v>
      </x:c>
      <x:c r="N22" t="n">
        <x:v>2070864</x:v>
      </x:c>
      <x:c r="O22" t="n">
        <x:v>61</x:v>
      </x:c>
      <x:c r="P22" t="n">
        <x:v>16</x:v>
      </x:c>
      <x:c r="Q22" t="n">
        <x:v>3617</x:v>
      </x:c>
      <x:c r="R22" t="n">
        <x:v>6540</x:v>
      </x:c>
      <x:c r="S22" t="n">
        <x:v>827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24" hidden="0" customWidth="1"/>
    <x:col min="9" max="9" width="13" hidden="0" customWidth="1"/>
    <x:col min="10" max="10" width="13" hidden="0" customWidth="1"/>
    <x:col min="11" max="11" width="20" hidden="0" customWidth="1"/>
    <x:col min="12" max="12" width="19" hidden="0" customWidth="1"/>
    <x:col min="13" max="13" width="15" hidden="0" customWidth="1"/>
    <x:col min="14" max="14" width="18" hidden="0" customWidth="1"/>
    <x:col min="15" max="15" width="17" hidden="0" customWidth="1"/>
    <x:col min="16" max="16" width="19" hidden="0" customWidth="1"/>
    <x:col min="17" max="17" width="19" hidden="0" customWidth="1"/>
    <x:col min="18" max="18" width="16" hidden="0" customWidth="1"/>
    <x:col min="19" max="19" width="13" hidden="0" customWidth="1"/>
    <x:col min="20" max="20" width="15" hidden="0" customWidth="1"/>
    <x:col min="21" max="21" width="21" hidden="0" customWidth="1"/>
    <x:col min="22" max="22" width="16" hidden="0" customWidth="1"/>
    <x:col min="23" max="23" width="17" hidden="0" customWidth="1"/>
    <x:col min="24" max="24" width="26" hidden="0" customWidth="1"/>
    <x:col min="25" max="25" width="16" hidden="0" customWidth="1"/>
    <x:col min="26" max="26" width="24" hidden="0" customWidth="1"/>
    <x:col min="27" max="27" width="21" hidden="0" customWidth="1"/>
    <x:col min="28" max="28" width="17" hidden="0" customWidth="1"/>
  </x:cols>
  <x:sheetData>
    <x:row r="1" ht="34" customHeight="1">
      <x:c r="A1" s="36" t="str">
        <x:v>mes</x:v>
      </x:c>
      <x:c r="B1" s="36" t="str">
        <x:v>usuarios_gratis</x:v>
      </x:c>
      <x:c r="C1" s="36" t="str">
        <x:v>plus_mensual</x:v>
      </x:c>
      <x:c r="D1" s="36" t="str">
        <x:v>plus_anual</x:v>
      </x:c>
      <x:c r="E1" s="36" t="str">
        <x:v>plus_total</x:v>
      </x:c>
      <x:c r="F1" s="36" t="str">
        <x:v>mrr_cop</x:v>
      </x:c>
      <x:c r="G1" s="36" t="str">
        <x:v>recaudo_cop</x:v>
      </x:c>
      <x:c r="H1" s="36" t="str">
        <x:v>ingreso_devengado_cop</x:v>
      </x:c>
      <x:c r="I1" s="36" t="str">
        <x:v>aws_cop</x:v>
      </x:c>
      <x:c r="J1" s="36" t="str">
        <x:v>backup_cop</x:v>
      </x:c>
      <x:c r="K1" s="36" t="str">
        <x:v>costo_soporte_cop</x:v>
      </x:c>
      <x:c r="L1" s="36" t="str">
        <x:v>costo_deudas_cop</x:v>
      </x:c>
      <x:c r="M1" s="36" t="str">
        <x:v>telegram_cop</x:v>
      </x:c>
      <x:c r="N1" s="36" t="str">
        <x:v>comision_mp_cop</x:v>
      </x:c>
      <x:c r="O1" s="36" t="str">
        <x:v>cogs_total_cop</x:v>
      </x:c>
      <x:c r="P1" s="36" t="str">
        <x:v>margen_bruto_cop</x:v>
      </x:c>
      <x:c r="Q1" s="36" t="str">
        <x:v>margen_bruto_pct</x:v>
      </x:c>
      <x:c r="R1" s="36" t="str">
        <x:v>workspace_cop</x:v>
      </x:c>
      <x:c r="S1" s="36" t="str">
        <x:v>n8n_cop</x:v>
      </x:c>
      <x:c r="T1" s="36" t="str">
        <x:v>personal_cop</x:v>
      </x:c>
      <x:c r="U1" s="36" t="str">
        <x:v>administracion_cop</x:v>
      </x:c>
      <x:c r="V1" s="36" t="str">
        <x:v>marketing_cop</x:v>
      </x:c>
      <x:c r="W1" s="36" t="str">
        <x:v>opex_total_cop</x:v>
      </x:c>
      <x:c r="X1" s="36" t="str">
        <x:v>resultado_operativo_cop</x:v>
      </x:c>
      <x:c r="Y1" s="36" t="str">
        <x:v>arpu_plus_cop</x:v>
      </x:c>
      <x:c r="Z1" s="36" t="str">
        <x:v>conversion_a_plus_pct</x:v>
      </x:c>
      <x:c r="AA1" s="36" t="str">
        <x:v>cac_altas_plus_cop</x:v>
      </x:c>
      <x:c r="AB1" s="36" t="str">
        <x:v>churn_plus_pct</x:v>
      </x:c>
    </x:row>
    <x:row r="2">
      <x:c r="A2" t="str">
        <x:v>2025-01</x:v>
      </x:c>
      <x:c r="B2" s="48" t="n">
        <x:f>Actividad_Mensual!D2</x:f>
        <x:v>27</x:v>
      </x:c>
      <x:c r="C2" s="48" t="n">
        <x:f>Actividad_Mensual!E2</x:f>
        <x:v>3</x:v>
      </x:c>
      <x:c r="D2" s="48" t="n">
        <x:f>Actividad_Mensual!F2</x:f>
        <x:v>1</x:v>
      </x:c>
      <x:c r="E2" s="44" t="n">
        <x:f>C2+D2</x:f>
        <x:v>4</x:v>
      </x:c>
      <x:c r="F2" s="44" t="n">
        <x:f>C2*Tarifas!$D$5+D2*Tarifas!$D$6</x:f>
        <x:v>114616.66666666667</x:v>
      </x:c>
      <x:c r="G2" s="44" t="n">
        <x:f>Actividad_Mensual!M2</x:f>
        <x:v>388700</x:v>
      </x:c>
      <x:c r="H2" s="44" t="n">
        <x:f>F2</x:f>
        <x:v>114616.66666666667</x:v>
      </x:c>
      <x:c r="I2" s="44" t="n">
        <x:f>ROUNDUP(Actividad_Mensual!C2/Supuestos!$B$7,0)*Supuestos!$B$8*Supuestos!$B$6</x:f>
        <x:v>101250</x:v>
      </x:c>
      <x:c r="J2" s="44" t="n">
        <x:f>(Supuestos!$B$9+Actividad_Mensual!C2*Supuestos!$B$10)*Supuestos!$B$11*Supuestos!$B$6</x:f>
        <x:v>11344.6575</x:v>
      </x:c>
      <x:c r="K2" s="44" t="n">
        <x:f>B2*Supuestos!$B$19+E2*Supuestos!$B$20</x:f>
        <x:v>3090</x:v>
      </x:c>
      <x:c r="L2" s="44" t="n">
        <x:f>Actividad_Mensual!H2*Supuestos!$B$21</x:f>
        <x:v>1456</x:v>
      </x:c>
      <x:c r="M2" s="44" t="n">
        <x:f>Actividad_Mensual!Q2*Supuestos!$B$15</x:f>
        <x:v>0</x:v>
      </x:c>
      <x:c r="N2" s="44" t="n">
        <x:f>(G2*Supuestos!$B$16+Actividad_Mensual!K2*Supuestos!$B$17)*(1+Supuestos!$B$18)</x:f>
        <x:v>16984.037</x:v>
      </x:c>
      <x:c r="O2" s="52" t="n">
        <x:f>SUM(I2:N2)</x:f>
        <x:v>134124.6945</x:v>
      </x:c>
      <x:c r="P2" s="52" t="n">
        <x:f>H2-O2</x:f>
        <x:v>-19508.02783333334</x:v>
      </x:c>
      <x:c r="Q2" s="45" t="n">
        <x:f>IFERROR(P2/H2,0)</x:f>
        <x:v>-0.17020236585720525</x:v>
      </x:c>
      <x:c r="R2" s="44" t="n">
        <x:f>Supuestos!$B$12*Supuestos!$B$13*Supuestos!$B$6</x:f>
        <x:v>68850</x:v>
      </x:c>
      <x:c r="S2" s="44" t="n">
        <x:f>Supuestos!$B$14</x:f>
        <x:v>0</x:v>
      </x:c>
      <x:c r="T2" s="44" t="n">
        <x:f>Supuestos!$B$22</x:f>
        <x:v>2800000</x:v>
      </x:c>
      <x:c r="U2" s="44" t="n">
        <x:f>Supuestos!$B$23</x:f>
        <x:v>350000</x:v>
      </x:c>
      <x:c r="V2" s="44" t="n">
        <x:f>Actividad_Mensual!N2</x:f>
        <x:v>986909</x:v>
      </x:c>
      <x:c r="W2" s="52" t="n">
        <x:f>SUM(R2:V2)</x:f>
        <x:v>4205759</x:v>
      </x:c>
      <x:c r="X2" s="52" t="n">
        <x:f>P2-W2</x:f>
        <x:v>-4225267.027833333</x:v>
      </x:c>
      <x:c r="Y2" s="44" t="n">
        <x:f>IFERROR(F2/E2,0)</x:f>
        <x:v>28654.166666666668</x:v>
      </x:c>
      <x:c r="Z2" s="45" t="n">
        <x:f>IFERROR(E2/Actividad_Mensual!C2,0)</x:f>
        <x:v>0.12903225806451613</x:v>
      </x:c>
      <x:c r="AA2" s="44" t="n">
        <x:f>IFERROR(V2/Actividad_Mensual!O2,0)</x:f>
        <x:v>246727.25</x:v>
      </x:c>
      <x:c r="AB2" s="45" t="n">
        <x:f>IFERROR(Actividad_Mensual!P2/(E2-Actividad_Mensual!O2+Actividad_Mensual!P2),0)</x:f>
        <x:v>0</x:v>
      </x:c>
    </x:row>
    <x:row r="3">
      <x:c r="A3" t="str">
        <x:v>2025-02</x:v>
      </x:c>
      <x:c r="B3" s="48" t="n">
        <x:f>Actividad_Mensual!D3</x:f>
        <x:v>44</x:v>
      </x:c>
      <x:c r="C3" s="48" t="n">
        <x:f>Actividad_Mensual!E3</x:f>
        <x:v>6</x:v>
      </x:c>
      <x:c r="D3" s="48" t="n">
        <x:f>Actividad_Mensual!F3</x:f>
        <x:v>5</x:v>
      </x:c>
      <x:c r="E3" s="44" t="n">
        <x:f>C3+D3</x:f>
        <x:v>11</x:v>
      </x:c>
      <x:c r="F3" s="44" t="n">
        <x:f>C3*Tarifas!$D$5+D3*Tarifas!$D$6</x:f>
        <x:v>303983.3333333334</x:v>
      </x:c>
      <x:c r="G3" s="44" t="n">
        <x:f>Actividad_Mensual!M3</x:f>
        <x:v>1375400</x:v>
      </x:c>
      <x:c r="H3" s="44" t="n">
        <x:f>F3</x:f>
        <x:v>303983.3333333334</x:v>
      </x:c>
      <x:c r="I3" s="44" t="n">
        <x:f>ROUNDUP(Actividad_Mensual!C3/Supuestos!$B$7,0)*Supuestos!$B$8*Supuestos!$B$6</x:f>
        <x:v>101250</x:v>
      </x:c>
      <x:c r="J3" s="44" t="n">
        <x:f>(Supuestos!$B$9+Actividad_Mensual!C3*Supuestos!$B$10)*Supuestos!$B$11*Supuestos!$B$6</x:f>
        <x:v>11505.0375</x:v>
      </x:c>
      <x:c r="K3" s="44" t="n">
        <x:f>B3*Supuestos!$B$19+E3*Supuestos!$B$20</x:f>
        <x:v>5775</x:v>
      </x:c>
      <x:c r="L3" s="44" t="n">
        <x:f>Actividad_Mensual!H3*Supuestos!$B$21</x:f>
        <x:v>2828</x:v>
      </x:c>
      <x:c r="M3" s="44" t="n">
        <x:f>Actividad_Mensual!Q3*Supuestos!$B$15</x:f>
        <x:v>0</x:v>
      </x:c>
      <x:c r="N3" s="44" t="n">
        <x:f>(G3*Supuestos!$B$16+Actividad_Mensual!K3*Supuestos!$B$17)*(1+Supuestos!$B$18)</x:f>
        <x:v>56390.054</x:v>
      </x:c>
      <x:c r="O3" s="52" t="n">
        <x:f>SUM(I3:N3)</x:f>
        <x:v>177748.0915</x:v>
      </x:c>
      <x:c r="P3" s="52" t="n">
        <x:f>H3-O3</x:f>
        <x:v>126235.24183333336</x:v>
      </x:c>
      <x:c r="Q3" s="45" t="n">
        <x:f>IFERROR(P3/H3,0)</x:f>
        <x:v>0.4152702730412852</x:v>
      </x:c>
      <x:c r="R3" s="44" t="n">
        <x:f>Supuestos!$B$12*Supuestos!$B$13*Supuestos!$B$6</x:f>
        <x:v>68850</x:v>
      </x:c>
      <x:c r="S3" s="44" t="n">
        <x:f>Supuestos!$B$14</x:f>
        <x:v>0</x:v>
      </x:c>
      <x:c r="T3" s="44" t="n">
        <x:f>Supuestos!$B$22</x:f>
        <x:v>2800000</x:v>
      </x:c>
      <x:c r="U3" s="44" t="n">
        <x:f>Supuestos!$B$23</x:f>
        <x:v>350000</x:v>
      </x:c>
      <x:c r="V3" s="44" t="n">
        <x:f>Actividad_Mensual!N3</x:f>
        <x:v>1264107</x:v>
      </x:c>
      <x:c r="W3" s="52" t="n">
        <x:f>SUM(R3:V3)</x:f>
        <x:v>4482957</x:v>
      </x:c>
      <x:c r="X3" s="52" t="n">
        <x:f>P3-W3</x:f>
        <x:v>-4356721.758166667</x:v>
      </x:c>
      <x:c r="Y3" s="44" t="n">
        <x:f>IFERROR(F3/E3,0)</x:f>
        <x:v>27634.848484848488</x:v>
      </x:c>
      <x:c r="Z3" s="45" t="n">
        <x:f>IFERROR(E3/Actividad_Mensual!C3,0)</x:f>
        <x:v>0.2</x:v>
      </x:c>
      <x:c r="AA3" s="44" t="n">
        <x:f>IFERROR(V3/Actividad_Mensual!O3,0)</x:f>
        <x:v>180586.7142857143</x:v>
      </x:c>
      <x:c r="AB3" s="45" t="n">
        <x:f>IFERROR(Actividad_Mensual!P3/(E3-Actividad_Mensual!O3+Actividad_Mensual!P3),0)</x:f>
        <x:v>0</x:v>
      </x:c>
    </x:row>
    <x:row r="4">
      <x:c r="A4" t="str">
        <x:v>2025-03</x:v>
      </x:c>
      <x:c r="B4" s="48" t="n">
        <x:f>Actividad_Mensual!D4</x:f>
        <x:v>76</x:v>
      </x:c>
      <x:c r="C4" s="48" t="n">
        <x:f>Actividad_Mensual!E4</x:f>
        <x:v>11</x:v>
      </x:c>
      <x:c r="D4" s="48" t="n">
        <x:f>Actividad_Mensual!F4</x:f>
        <x:v>6</x:v>
      </x:c>
      <x:c r="E4" s="44" t="n">
        <x:f>C4+D4</x:f>
        <x:v>17</x:v>
      </x:c>
      <x:c r="F4" s="44" t="n">
        <x:f>C4*Tarifas!$D$5+D4*Tarifas!$D$6</x:f>
        <x:v>478400</x:v>
      </x:c>
      <x:c r="G4" s="44" t="n">
        <x:f>Actividad_Mensual!M4</x:f>
        <x:v>627900</x:v>
      </x:c>
      <x:c r="H4" s="44" t="n">
        <x:f>F4</x:f>
        <x:v>478400</x:v>
      </x:c>
      <x:c r="I4" s="44" t="n">
        <x:f>ROUNDUP(Actividad_Mensual!C4/Supuestos!$B$7,0)*Supuestos!$B$8*Supuestos!$B$6</x:f>
        <x:v>101250</x:v>
      </x:c>
      <x:c r="J4" s="44" t="n">
        <x:f>(Supuestos!$B$9+Actividad_Mensual!C4*Supuestos!$B$10)*Supuestos!$B$11*Supuestos!$B$6</x:f>
        <x:v>11758.9725</x:v>
      </x:c>
      <x:c r="K4" s="44" t="n">
        <x:f>B4*Supuestos!$B$19+E4*Supuestos!$B$20</x:f>
        <x:v>9645</x:v>
      </x:c>
      <x:c r="L4" s="44" t="n">
        <x:f>Actividad_Mensual!H4*Supuestos!$B$21</x:f>
        <x:v>4844</x:v>
      </x:c>
      <x:c r="M4" s="44" t="n">
        <x:f>Actividad_Mensual!Q4*Supuestos!$B$15</x:f>
        <x:v>0</x:v>
      </x:c>
      <x:c r="N4" s="44" t="n">
        <x:f>(G4*Supuestos!$B$16+Actividad_Mensual!K4*Supuestos!$B$17)*(1+Supuestos!$B$18)</x:f>
        <x:v>32378.829</x:v>
      </x:c>
      <x:c r="O4" s="52" t="n">
        <x:f>SUM(I4:N4)</x:f>
        <x:v>159876.8015</x:v>
      </x:c>
      <x:c r="P4" s="52" t="n">
        <x:f>H4-O4</x:f>
        <x:v>318523.1985</x:v>
      </x:c>
      <x:c r="Q4" s="45" t="n">
        <x:f>IFERROR(P4/H4,0)</x:f>
        <x:v>0.6658093614130435</x:v>
      </x:c>
      <x:c r="R4" s="44" t="n">
        <x:f>Supuestos!$B$12*Supuestos!$B$13*Supuestos!$B$6</x:f>
        <x:v>68850</x:v>
      </x:c>
      <x:c r="S4" s="44" t="n">
        <x:f>Supuestos!$B$14</x:f>
        <x:v>0</x:v>
      </x:c>
      <x:c r="T4" s="44" t="n">
        <x:f>Supuestos!$B$22</x:f>
        <x:v>2800000</x:v>
      </x:c>
      <x:c r="U4" s="44" t="n">
        <x:f>Supuestos!$B$23</x:f>
        <x:v>350000</x:v>
      </x:c>
      <x:c r="V4" s="44" t="n">
        <x:f>Actividad_Mensual!N4</x:f>
        <x:v>993228</x:v>
      </x:c>
      <x:c r="W4" s="52" t="n">
        <x:f>SUM(R4:V4)</x:f>
        <x:v>4212078</x:v>
      </x:c>
      <x:c r="X4" s="52" t="n">
        <x:f>P4-W4</x:f>
        <x:v>-3893554.8015</x:v>
      </x:c>
      <x:c r="Y4" s="44" t="n">
        <x:f>IFERROR(F4/E4,0)</x:f>
        <x:v>28141.176470588234</x:v>
      </x:c>
      <x:c r="Z4" s="45" t="n">
        <x:f>IFERROR(E4/Actividad_Mensual!C4,0)</x:f>
        <x:v>0.1827956989247312</x:v>
      </x:c>
      <x:c r="AA4" s="44" t="n">
        <x:f>IFERROR(V4/Actividad_Mensual!O4,0)</x:f>
        <x:v>124153.5</x:v>
      </x:c>
      <x:c r="AB4" s="45" t="n">
        <x:f>IFERROR(Actividad_Mensual!P4/(E4-Actividad_Mensual!O4+Actividad_Mensual!P4),0)</x:f>
        <x:v>0.1</x:v>
      </x:c>
    </x:row>
    <x:row r="5">
      <x:c r="A5" t="str">
        <x:v>2025-04</x:v>
      </x:c>
      <x:c r="B5" s="48" t="n">
        <x:f>Actividad_Mensual!D5</x:f>
        <x:v>101</x:v>
      </x:c>
      <x:c r="C5" s="48" t="n">
        <x:f>Actividad_Mensual!E5</x:f>
        <x:v>13</x:v>
      </x:c>
      <x:c r="D5" s="48" t="n">
        <x:f>Actividad_Mensual!F5</x:f>
        <x:v>6</x:v>
      </x:c>
      <x:c r="E5" s="44" t="n">
        <x:f>C5+D5</x:f>
        <x:v>19</x:v>
      </x:c>
      <x:c r="F5" s="44" t="n">
        <x:f>C5*Tarifas!$D$5+D5*Tarifas!$D$6</x:f>
        <x:v>538200</x:v>
      </x:c>
      <x:c r="G5" s="44" t="n">
        <x:f>Actividad_Mensual!M5</x:f>
        <x:v>388700</x:v>
      </x:c>
      <x:c r="H5" s="44" t="n">
        <x:f>F5</x:f>
        <x:v>538200</x:v>
      </x:c>
      <x:c r="I5" s="44" t="n">
        <x:f>ROUNDUP(Actividad_Mensual!C5/Supuestos!$B$7,0)*Supuestos!$B$8*Supuestos!$B$6</x:f>
        <x:v>101250</x:v>
      </x:c>
      <x:c r="J5" s="44" t="n">
        <x:f>(Supuestos!$B$9+Actividad_Mensual!C5*Supuestos!$B$10)*Supuestos!$B$11*Supuestos!$B$6</x:f>
        <x:v>11939.4</x:v>
      </x:c>
      <x:c r="K5" s="44" t="n">
        <x:f>B5*Supuestos!$B$19+E5*Supuestos!$B$20</x:f>
        <x:v>12225</x:v>
      </x:c>
      <x:c r="L5" s="44" t="n">
        <x:f>Actividad_Mensual!H5*Supuestos!$B$21</x:f>
        <x:v>6272</x:v>
      </x:c>
      <x:c r="M5" s="44" t="n">
        <x:f>Actividad_Mensual!Q5*Supuestos!$B$15</x:f>
        <x:v>0</x:v>
      </x:c>
      <x:c r="N5" s="44" t="n">
        <x:f>(G5*Supuestos!$B$16+Actividad_Mensual!K5*Supuestos!$B$17)*(1+Supuestos!$B$18)</x:f>
        <x:v>25016.537000000004</x:v>
      </x:c>
      <x:c r="O5" s="52" t="n">
        <x:f>SUM(I5:N5)</x:f>
        <x:v>156702.937</x:v>
      </x:c>
      <x:c r="P5" s="52" t="n">
        <x:f>H5-O5</x:f>
        <x:v>381497.06299999997</x:v>
      </x:c>
      <x:c r="Q5" s="45" t="n">
        <x:f>IFERROR(P5/H5,0)</x:f>
        <x:v>0.7088388387216648</x:v>
      </x:c>
      <x:c r="R5" s="44" t="n">
        <x:f>Supuestos!$B$12*Supuestos!$B$13*Supuestos!$B$6</x:f>
        <x:v>68850</x:v>
      </x:c>
      <x:c r="S5" s="44" t="n">
        <x:f>Supuestos!$B$14</x:f>
        <x:v>0</x:v>
      </x:c>
      <x:c r="T5" s="44" t="n">
        <x:f>Supuestos!$B$22</x:f>
        <x:v>2800000</x:v>
      </x:c>
      <x:c r="U5" s="44" t="n">
        <x:f>Supuestos!$B$23</x:f>
        <x:v>350000</x:v>
      </x:c>
      <x:c r="V5" s="44" t="n">
        <x:f>Actividad_Mensual!N5</x:f>
        <x:v>1508618</x:v>
      </x:c>
      <x:c r="W5" s="52" t="n">
        <x:f>SUM(R5:V5)</x:f>
        <x:v>4727468</x:v>
      </x:c>
      <x:c r="X5" s="52" t="n">
        <x:f>P5-W5</x:f>
        <x:v>-4345970.937</x:v>
      </x:c>
      <x:c r="Y5" s="44" t="n">
        <x:f>IFERROR(F5/E5,0)</x:f>
        <x:v>28326.315789473683</x:v>
      </x:c>
      <x:c r="Z5" s="45" t="n">
        <x:f>IFERROR(E5/Actividad_Mensual!C5,0)</x:f>
        <x:v>0.15833333333333333</x:v>
      </x:c>
      <x:c r="AA5" s="44" t="n">
        <x:f>IFERROR(V5/Actividad_Mensual!O5,0)</x:f>
        <x:v>377154.5</x:v>
      </x:c>
      <x:c r="AB5" s="45" t="n">
        <x:f>IFERROR(Actividad_Mensual!P5/(E5-Actividad_Mensual!O5+Actividad_Mensual!P5),0)</x:f>
        <x:v>0.11764705882352941</x:v>
      </x:c>
    </x:row>
    <x:row r="6">
      <x:c r="A6" t="str">
        <x:v>2025-05</x:v>
      </x:c>
      <x:c r="B6" s="48" t="n">
        <x:f>Actividad_Mensual!D6</x:f>
        <x:v>120</x:v>
      </x:c>
      <x:c r="C6" s="48" t="n">
        <x:f>Actividad_Mensual!E6</x:f>
        <x:v>17</x:v>
      </x:c>
      <x:c r="D6" s="48" t="n">
        <x:f>Actividad_Mensual!F6</x:f>
        <x:v>7</x:v>
      </x:c>
      <x:c r="E6" s="44" t="n">
        <x:f>C6+D6</x:f>
        <x:v>24</x:v>
      </x:c>
      <x:c r="F6" s="44" t="n">
        <x:f>C6*Tarifas!$D$5+D6*Tarifas!$D$6</x:f>
        <x:v>682716.6666666667</x:v>
      </x:c>
      <x:c r="G6" s="44" t="n">
        <x:f>Actividad_Mensual!M6</x:f>
        <x:v>807300</x:v>
      </x:c>
      <x:c r="H6" s="44" t="n">
        <x:f>F6</x:f>
        <x:v>682716.6666666667</x:v>
      </x:c>
      <x:c r="I6" s="44" t="n">
        <x:f>ROUNDUP(Actividad_Mensual!C6/Supuestos!$B$7,0)*Supuestos!$B$8*Supuestos!$B$6</x:f>
        <x:v>101250</x:v>
      </x:c>
      <x:c r="J6" s="44" t="n">
        <x:f>(Supuestos!$B$9+Actividad_Mensual!C6*Supuestos!$B$10)*Supuestos!$B$11*Supuestos!$B$6</x:f>
        <x:v>12099.78</x:v>
      </x:c>
      <x:c r="K6" s="44" t="n">
        <x:f>B6*Supuestos!$B$19+E6*Supuestos!$B$20</x:f>
        <x:v>14760</x:v>
      </x:c>
      <x:c r="L6" s="44" t="n">
        <x:f>Actividad_Mensual!H6*Supuestos!$B$21</x:f>
        <x:v>7588</x:v>
      </x:c>
      <x:c r="M6" s="44" t="n">
        <x:f>Actividad_Mensual!Q6*Supuestos!$B$15</x:f>
        <x:v>0</x:v>
      </x:c>
      <x:c r="N6" s="44" t="n">
        <x:f>(G6*Supuestos!$B$16+Actividad_Mensual!K6*Supuestos!$B$17)*(1+Supuestos!$B$18)</x:f>
        <x:v>43924.922999999995</x:v>
      </x:c>
      <x:c r="O6" s="52" t="n">
        <x:f>SUM(I6:N6)</x:f>
        <x:v>179622.70299999998</x:v>
      </x:c>
      <x:c r="P6" s="52" t="n">
        <x:f>H6-O6</x:f>
        <x:v>503093.96366666676</x:v>
      </x:c>
      <x:c r="Q6" s="45" t="n">
        <x:f>IFERROR(P6/H6,0)</x:f>
        <x:v>0.7369000761662965</x:v>
      </x:c>
      <x:c r="R6" s="44" t="n">
        <x:f>Supuestos!$B$12*Supuestos!$B$13*Supuestos!$B$6</x:f>
        <x:v>68850</x:v>
      </x:c>
      <x:c r="S6" s="44" t="n">
        <x:f>Supuestos!$B$14</x:f>
        <x:v>0</x:v>
      </x:c>
      <x:c r="T6" s="44" t="n">
        <x:f>Supuestos!$B$22</x:f>
        <x:v>2800000</x:v>
      </x:c>
      <x:c r="U6" s="44" t="n">
        <x:f>Supuestos!$B$23</x:f>
        <x:v>350000</x:v>
      </x:c>
      <x:c r="V6" s="44" t="n">
        <x:f>Actividad_Mensual!N6</x:f>
        <x:v>1129719</x:v>
      </x:c>
      <x:c r="W6" s="52" t="n">
        <x:f>SUM(R6:V6)</x:f>
        <x:v>4348569</x:v>
      </x:c>
      <x:c r="X6" s="52" t="n">
        <x:f>P6-W6</x:f>
        <x:v>-3845475.0363333332</x:v>
      </x:c>
      <x:c r="Y6" s="44" t="n">
        <x:f>IFERROR(F6/E6,0)</x:f>
        <x:v>28446.52777777778</x:v>
      </x:c>
      <x:c r="Z6" s="45" t="n">
        <x:f>IFERROR(E6/Actividad_Mensual!C6,0)</x:f>
        <x:v>0.16666666666666666</x:v>
      </x:c>
      <x:c r="AA6" s="44" t="n">
        <x:f>IFERROR(V6/Actividad_Mensual!O6,0)</x:f>
        <x:v>225943.8</x:v>
      </x:c>
      <x:c r="AB6" s="45" t="n">
        <x:f>IFERROR(Actividad_Mensual!P6/(E6-Actividad_Mensual!O6+Actividad_Mensual!P6),0)</x:f>
        <x:v>0</x:v>
      </x:c>
    </x:row>
    <x:row r="7">
      <x:c r="A7" t="str">
        <x:v>2025-06</x:v>
      </x:c>
      <x:c r="B7" s="48" t="n">
        <x:f>Actividad_Mensual!D7</x:f>
        <x:v>146</x:v>
      </x:c>
      <x:c r="C7" s="48" t="n">
        <x:f>Actividad_Mensual!E7</x:f>
        <x:v>30</x:v>
      </x:c>
      <x:c r="D7" s="48" t="n">
        <x:f>Actividad_Mensual!F7</x:f>
        <x:v>11</x:v>
      </x:c>
      <x:c r="E7" s="44" t="n">
        <x:f>C7+D7</x:f>
        <x:v>41</x:v>
      </x:c>
      <x:c r="F7" s="44" t="n">
        <x:f>C7*Tarifas!$D$5+D7*Tarifas!$D$6</x:f>
        <x:v>1171083.3333333335</x:v>
      </x:c>
      <x:c r="G7" s="44" t="n">
        <x:f>Actividad_Mensual!M7</x:f>
        <x:v>2093000</x:v>
      </x:c>
      <x:c r="H7" s="44" t="n">
        <x:f>F7</x:f>
        <x:v>1171083.3333333335</x:v>
      </x:c>
      <x:c r="I7" s="44" t="n">
        <x:f>ROUNDUP(Actividad_Mensual!C7/Supuestos!$B$7,0)*Supuestos!$B$8*Supuestos!$B$6</x:f>
        <x:v>101250</x:v>
      </x:c>
      <x:c r="J7" s="44" t="n">
        <x:f>(Supuestos!$B$9+Actividad_Mensual!C7*Supuestos!$B$10)*Supuestos!$B$11*Supuestos!$B$6</x:f>
        <x:v>12387.127499999999</x:v>
      </x:c>
      <x:c r="K7" s="44" t="n">
        <x:f>B7*Supuestos!$B$19+E7*Supuestos!$B$20</x:f>
        <x:v>19905</x:v>
      </x:c>
      <x:c r="L7" s="44" t="n">
        <x:f>Actividad_Mensual!H7*Supuestos!$B$21</x:f>
        <x:v>9828</x:v>
      </x:c>
      <x:c r="M7" s="44" t="n">
        <x:f>Actividad_Mensual!Q7*Supuestos!$B$15</x:f>
        <x:v>0</x:v>
      </x:c>
      <x:c r="N7" s="44" t="n">
        <x:f>(G7*Supuestos!$B$16+Actividad_Mensual!K7*Supuestos!$B$17)*(1+Supuestos!$B$18)</x:f>
        <x:v>102574.43</x:v>
      </x:c>
      <x:c r="O7" s="52" t="n">
        <x:f>SUM(I7:N7)</x:f>
        <x:v>245944.5575</x:v>
      </x:c>
      <x:c r="P7" s="52" t="n">
        <x:f>H7-O7</x:f>
        <x:v>925138.7758333335</x:v>
      </x:c>
      <x:c r="Q7" s="45" t="n">
        <x:f>IFERROR(P7/H7,0)</x:f>
        <x:v>0.7899854344268128</x:v>
      </x:c>
      <x:c r="R7" s="44" t="n">
        <x:f>Supuestos!$B$12*Supuestos!$B$13*Supuestos!$B$6</x:f>
        <x:v>68850</x:v>
      </x:c>
      <x:c r="S7" s="44" t="n">
        <x:f>Supuestos!$B$14</x:f>
        <x:v>0</x:v>
      </x:c>
      <x:c r="T7" s="44" t="n">
        <x:f>Supuestos!$B$22</x:f>
        <x:v>2800000</x:v>
      </x:c>
      <x:c r="U7" s="44" t="n">
        <x:f>Supuestos!$B$23</x:f>
        <x:v>350000</x:v>
      </x:c>
      <x:c r="V7" s="44" t="n">
        <x:f>Actividad_Mensual!N7</x:f>
        <x:v>1507085</x:v>
      </x:c>
      <x:c r="W7" s="52" t="n">
        <x:f>SUM(R7:V7)</x:f>
        <x:v>4725935</x:v>
      </x:c>
      <x:c r="X7" s="52" t="n">
        <x:f>P7-W7</x:f>
        <x:v>-3800796.2241666666</x:v>
      </x:c>
      <x:c r="Y7" s="44" t="n">
        <x:f>IFERROR(F7/E7,0)</x:f>
        <x:v>28563.008130081304</x:v>
      </x:c>
      <x:c r="Z7" s="45" t="n">
        <x:f>IFERROR(E7/Actividad_Mensual!C7,0)</x:f>
        <x:v>0.2192513368983957</x:v>
      </x:c>
      <x:c r="AA7" s="44" t="n">
        <x:f>IFERROR(V7/Actividad_Mensual!O7,0)</x:f>
        <x:v>79320.26315789473</x:v>
      </x:c>
      <x:c r="AB7" s="45" t="n">
        <x:f>IFERROR(Actividad_Mensual!P7/(E7-Actividad_Mensual!O7+Actividad_Mensual!P7),0)</x:f>
        <x:v>0.08333333333333333</x:v>
      </x:c>
    </x:row>
    <x:row r="8">
      <x:c r="A8" t="str">
        <x:v>2025-07</x:v>
      </x:c>
      <x:c r="B8" s="48" t="n">
        <x:f>Actividad_Mensual!D8</x:f>
        <x:v>164</x:v>
      </x:c>
      <x:c r="C8" s="48" t="n">
        <x:f>Actividad_Mensual!E8</x:f>
        <x:v>43</x:v>
      </x:c>
      <x:c r="D8" s="48" t="n">
        <x:f>Actividad_Mensual!F8</x:f>
        <x:v>16</x:v>
      </x:c>
      <x:c r="E8" s="44" t="n">
        <x:f>C8+D8</x:f>
        <x:v>59</x:v>
      </x:c>
      <x:c r="F8" s="44" t="n">
        <x:f>C8*Tarifas!$D$5+D8*Tarifas!$D$6</x:f>
        <x:v>1684366.6666666667</x:v>
      </x:c>
      <x:c r="G8" s="44" t="n">
        <x:f>Actividad_Mensual!M8</x:f>
        <x:v>2780700</x:v>
      </x:c>
      <x:c r="H8" s="44" t="n">
        <x:f>F8</x:f>
        <x:v>1684366.6666666667</x:v>
      </x:c>
      <x:c r="I8" s="44" t="n">
        <x:f>ROUNDUP(Actividad_Mensual!C8/Supuestos!$B$7,0)*Supuestos!$B$8*Supuestos!$B$6</x:f>
        <x:v>101250</x:v>
      </x:c>
      <x:c r="J8" s="44" t="n">
        <x:f>(Supuestos!$B$9+Actividad_Mensual!C8*Supuestos!$B$10)*Supuestos!$B$11*Supuestos!$B$6</x:f>
        <x:v>12627.6975</x:v>
      </x:c>
      <x:c r="K8" s="44" t="n">
        <x:f>B8*Supuestos!$B$19+E8*Supuestos!$B$20</x:f>
        <x:v>24495</x:v>
      </x:c>
      <x:c r="L8" s="44" t="n">
        <x:f>Actividad_Mensual!H8*Supuestos!$B$21</x:f>
        <x:v>11844</x:v>
      </x:c>
      <x:c r="M8" s="44" t="n">
        <x:f>Actividad_Mensual!Q8*Supuestos!$B$15</x:f>
        <x:v>0</x:v>
      </x:c>
      <x:c r="N8" s="44" t="n">
        <x:f>(G8*Supuestos!$B$16+Actividad_Mensual!K8*Supuestos!$B$17)*(1+Supuestos!$B$18)</x:f>
        <x:v>138801.957</x:v>
      </x:c>
      <x:c r="O8" s="52" t="n">
        <x:f>SUM(I8:N8)</x:f>
        <x:v>289018.6545</x:v>
      </x:c>
      <x:c r="P8" s="52" t="n">
        <x:f>H8-O8</x:f>
        <x:v>1395348.0121666668</x:v>
      </x:c>
      <x:c r="Q8" s="45" t="n">
        <x:f>IFERROR(P8/H8,0)</x:f>
        <x:v>0.8284110816132672</x:v>
      </x:c>
      <x:c r="R8" s="44" t="n">
        <x:f>Supuestos!$B$12*Supuestos!$B$13*Supuestos!$B$6</x:f>
        <x:v>68850</x:v>
      </x:c>
      <x:c r="S8" s="44" t="n">
        <x:f>Supuestos!$B$14</x:f>
        <x:v>0</x:v>
      </x:c>
      <x:c r="T8" s="44" t="n">
        <x:f>Supuestos!$B$22</x:f>
        <x:v>2800000</x:v>
      </x:c>
      <x:c r="U8" s="44" t="n">
        <x:f>Supuestos!$B$23</x:f>
        <x:v>350000</x:v>
      </x:c>
      <x:c r="V8" s="44" t="n">
        <x:f>Actividad_Mensual!N8</x:f>
        <x:v>1219668</x:v>
      </x:c>
      <x:c r="W8" s="52" t="n">
        <x:f>SUM(R8:V8)</x:f>
        <x:v>4438518</x:v>
      </x:c>
      <x:c r="X8" s="52" t="n">
        <x:f>P8-W8</x:f>
        <x:v>-3043169.987833333</x:v>
      </x:c>
      <x:c r="Y8" s="44" t="n">
        <x:f>IFERROR(F8/E8,0)</x:f>
        <x:v>28548.587570621472</x:v>
      </x:c>
      <x:c r="Z8" s="45" t="n">
        <x:f>IFERROR(E8/Actividad_Mensual!C8,0)</x:f>
        <x:v>0.2645739910313901</x:v>
      </x:c>
      <x:c r="AA8" s="44" t="n">
        <x:f>IFERROR(V8/Actividad_Mensual!O8,0)</x:f>
        <x:v>55439.454545454544</x:v>
      </x:c>
      <x:c r="AB8" s="45" t="n">
        <x:f>IFERROR(Actividad_Mensual!P8/(E8-Actividad_Mensual!O8+Actividad_Mensual!P8),0)</x:f>
        <x:v>0.075</x:v>
      </x:c>
    </x:row>
    <x:row r="9">
      <x:c r="A9" t="str">
        <x:v>2025-08</x:v>
      </x:c>
      <x:c r="B9" s="48" t="n">
        <x:f>Actividad_Mensual!D9</x:f>
        <x:v>191</x:v>
      </x:c>
      <x:c r="C9" s="48" t="n">
        <x:f>Actividad_Mensual!E9</x:f>
        <x:v>50</x:v>
      </x:c>
      <x:c r="D9" s="48" t="n">
        <x:f>Actividad_Mensual!F9</x:f>
        <x:v>21</x:v>
      </x:c>
      <x:c r="E9" s="44" t="n">
        <x:f>C9+D9</x:f>
        <x:v>71</x:v>
      </x:c>
      <x:c r="F9" s="44" t="n">
        <x:f>C9*Tarifas!$D$5+D9*Tarifas!$D$6</x:f>
        <x:v>2018250</x:v>
      </x:c>
      <x:c r="G9" s="44" t="n">
        <x:f>Actividad_Mensual!M9</x:f>
        <x:v>2990000</x:v>
      </x:c>
      <x:c r="H9" s="44" t="n">
        <x:f>F9</x:f>
        <x:v>2018250</x:v>
      </x:c>
      <x:c r="I9" s="44" t="n">
        <x:f>ROUNDUP(Actividad_Mensual!C9/Supuestos!$B$7,0)*Supuestos!$B$8*Supuestos!$B$6</x:f>
        <x:v>101250</x:v>
      </x:c>
      <x:c r="J9" s="44" t="n">
        <x:f>(Supuestos!$B$9+Actividad_Mensual!C9*Supuestos!$B$10)*Supuestos!$B$11*Supuestos!$B$6</x:f>
        <x:v>12888.315</x:v>
      </x:c>
      <x:c r="K9" s="44" t="n">
        <x:f>B9*Supuestos!$B$19+E9*Supuestos!$B$20</x:f>
        <x:v>28905</x:v>
      </x:c>
      <x:c r="L9" s="44" t="n">
        <x:f>Actividad_Mensual!H9*Supuestos!$B$21</x:f>
        <x:v>13888</x:v>
      </x:c>
      <x:c r="M9" s="44" t="n">
        <x:f>Actividad_Mensual!Q9*Supuestos!$B$15</x:f>
        <x:v>0</x:v>
      </x:c>
      <x:c r="N9" s="44" t="n">
        <x:f>(G9*Supuestos!$B$16+Actividad_Mensual!K9*Supuestos!$B$17)*(1+Supuestos!$B$18)</x:f>
        <x:v>152272.4</x:v>
      </x:c>
      <x:c r="O9" s="52" t="n">
        <x:f>SUM(I9:N9)</x:f>
        <x:v>309203.71499999997</x:v>
      </x:c>
      <x:c r="P9" s="52" t="n">
        <x:f>H9-O9</x:f>
        <x:v>1709046.2850000001</x:v>
      </x:c>
      <x:c r="Q9" s="45" t="n">
        <x:f>IFERROR(P9/H9,0)</x:f>
        <x:v>0.8467961278335192</x:v>
      </x:c>
      <x:c r="R9" s="44" t="n">
        <x:f>Supuestos!$B$12*Supuestos!$B$13*Supuestos!$B$6</x:f>
        <x:v>68850</x:v>
      </x:c>
      <x:c r="S9" s="44" t="n">
        <x:f>Supuestos!$B$14</x:f>
        <x:v>0</x:v>
      </x:c>
      <x:c r="T9" s="44" t="n">
        <x:f>Supuestos!$B$22</x:f>
        <x:v>2800000</x:v>
      </x:c>
      <x:c r="U9" s="44" t="n">
        <x:f>Supuestos!$B$23</x:f>
        <x:v>350000</x:v>
      </x:c>
      <x:c r="V9" s="44" t="n">
        <x:f>Actividad_Mensual!N9</x:f>
        <x:v>1794226</x:v>
      </x:c>
      <x:c r="W9" s="52" t="n">
        <x:f>SUM(R9:V9)</x:f>
        <x:v>5013076</x:v>
      </x:c>
      <x:c r="X9" s="52" t="n">
        <x:f>P9-W9</x:f>
        <x:v>-3304029.715</x:v>
      </x:c>
      <x:c r="Y9" s="44" t="n">
        <x:f>IFERROR(F9/E9,0)</x:f>
        <x:v>28426.056338028167</x:v>
      </x:c>
      <x:c r="Z9" s="45" t="n">
        <x:f>IFERROR(E9/Actividad_Mensual!C9,0)</x:f>
        <x:v>0.27099236641221375</x:v>
      </x:c>
      <x:c r="AA9" s="44" t="n">
        <x:f>IFERROR(V9/Actividad_Mensual!O9,0)</x:f>
        <x:v>99679.22222222222</x:v>
      </x:c>
      <x:c r="AB9" s="45" t="n">
        <x:f>IFERROR(Actividad_Mensual!P9/(E9-Actividad_Mensual!O9+Actividad_Mensual!P9),0)</x:f>
        <x:v>0.1016949152542373</x:v>
      </x:c>
    </x:row>
    <x:row r="10">
      <x:c r="A10" t="str">
        <x:v>2025-09</x:v>
      </x:c>
      <x:c r="B10" s="48" t="n">
        <x:f>Actividad_Mensual!D10</x:f>
        <x:v>212</x:v>
      </x:c>
      <x:c r="C10" s="48" t="n">
        <x:f>Actividad_Mensual!E10</x:f>
        <x:v>58</x:v>
      </x:c>
      <x:c r="D10" s="48" t="n">
        <x:f>Actividad_Mensual!F10</x:f>
        <x:v>29</x:v>
      </x:c>
      <x:c r="E10" s="44" t="n">
        <x:f>C10+D10</x:f>
        <x:v>87</x:v>
      </x:c>
      <x:c r="F10" s="44" t="n">
        <x:f>C10*Tarifas!$D$5+D10*Tarifas!$D$6</x:f>
        <x:v>2456783.3333333335</x:v>
      </x:c>
      <x:c r="G10" s="44" t="n">
        <x:f>Actividad_Mensual!M10</x:f>
        <x:v>4126200</x:v>
      </x:c>
      <x:c r="H10" s="44" t="n">
        <x:f>F10</x:f>
        <x:v>2456783.3333333335</x:v>
      </x:c>
      <x:c r="I10" s="44" t="n">
        <x:f>ROUNDUP(Actividad_Mensual!C10/Supuestos!$B$7,0)*Supuestos!$B$8*Supuestos!$B$6</x:f>
        <x:v>101250</x:v>
      </x:c>
      <x:c r="J10" s="44" t="n">
        <x:f>(Supuestos!$B$9+Actividad_Mensual!C10*Supuestos!$B$10)*Supuestos!$B$11*Supuestos!$B$6</x:f>
        <x:v>13135.5675</x:v>
      </x:c>
      <x:c r="K10" s="44" t="n">
        <x:f>B10*Supuestos!$B$19+E10*Supuestos!$B$20</x:f>
        <x:v>33435</x:v>
      </x:c>
      <x:c r="L10" s="44" t="n">
        <x:f>Actividad_Mensual!H10*Supuestos!$B$21</x:f>
        <x:v>15764</x:v>
      </x:c>
      <x:c r="M10" s="44" t="n">
        <x:f>Actividad_Mensual!Q10*Supuestos!$B$15</x:f>
        <x:v>0</x:v>
      </x:c>
      <x:c r="N10" s="44" t="n">
        <x:f>(G10*Supuestos!$B$16+Actividad_Mensual!K10*Supuestos!$B$17)*(1+Supuestos!$B$18)</x:f>
        <x:v>201300.16199999998</x:v>
      </x:c>
      <x:c r="O10" s="52" t="n">
        <x:f>SUM(I10:N10)</x:f>
        <x:v>364884.7295</x:v>
      </x:c>
      <x:c r="P10" s="52" t="n">
        <x:f>H10-O10</x:f>
        <x:v>2091898.6038333336</x:v>
      </x:c>
      <x:c r="Q10" s="45" t="n">
        <x:f>IFERROR(P10/H10,0)</x:f>
        <x:v>0.8514786694661719</x:v>
      </x:c>
      <x:c r="R10" s="44" t="n">
        <x:f>Supuestos!$B$12*Supuestos!$B$13*Supuestos!$B$6</x:f>
        <x:v>68850</x:v>
      </x:c>
      <x:c r="S10" s="44" t="n">
        <x:f>Supuestos!$B$14</x:f>
        <x:v>0</x:v>
      </x:c>
      <x:c r="T10" s="44" t="n">
        <x:f>Supuestos!$B$22</x:f>
        <x:v>2800000</x:v>
      </x:c>
      <x:c r="U10" s="44" t="n">
        <x:f>Supuestos!$B$23</x:f>
        <x:v>350000</x:v>
      </x:c>
      <x:c r="V10" s="44" t="n">
        <x:f>Actividad_Mensual!N10</x:f>
        <x:v>1372777</x:v>
      </x:c>
      <x:c r="W10" s="52" t="n">
        <x:f>SUM(R10:V10)</x:f>
        <x:v>4591627</x:v>
      </x:c>
      <x:c r="X10" s="52" t="n">
        <x:f>P10-W10</x:f>
        <x:v>-2499728.3961666664</x:v>
      </x:c>
      <x:c r="Y10" s="44" t="n">
        <x:f>IFERROR(F10/E10,0)</x:f>
        <x:v>28238.88888888889</x:v>
      </x:c>
      <x:c r="Z10" s="45" t="n">
        <x:f>IFERROR(E10/Actividad_Mensual!C10,0)</x:f>
        <x:v>0.2909698996655518</x:v>
      </x:c>
      <x:c r="AA10" s="44" t="n">
        <x:f>IFERROR(V10/Actividad_Mensual!O10,0)</x:f>
        <x:v>68638.85</x:v>
      </x:c>
      <x:c r="AB10" s="45" t="n">
        <x:f>IFERROR(Actividad_Mensual!P10/(E10-Actividad_Mensual!O10+Actividad_Mensual!P10),0)</x:f>
        <x:v>0.056338028169014086</x:v>
      </x:c>
    </x:row>
    <x:row r="11">
      <x:c r="A11" t="str">
        <x:v>2025-10</x:v>
      </x:c>
      <x:c r="B11" s="48" t="n">
        <x:f>Actividad_Mensual!D11</x:f>
        <x:v>248</x:v>
      </x:c>
      <x:c r="C11" s="48" t="n">
        <x:f>Actividad_Mensual!E11</x:f>
        <x:v>70</x:v>
      </x:c>
      <x:c r="D11" s="48" t="n">
        <x:f>Actividad_Mensual!F11</x:f>
        <x:v>35</x:v>
      </x:c>
      <x:c r="E11" s="44" t="n">
        <x:f>C11+D11</x:f>
        <x:v>105</x:v>
      </x:c>
      <x:c r="F11" s="44" t="n">
        <x:f>C11*Tarifas!$D$5+D11*Tarifas!$D$6</x:f>
        <x:v>2965083.3333333335</x:v>
      </x:c>
      <x:c r="G11" s="44" t="n">
        <x:f>Actividad_Mensual!M11</x:f>
        <x:v>3887000</x:v>
      </x:c>
      <x:c r="H11" s="44" t="n">
        <x:f>F11</x:f>
        <x:v>2965083.3333333335</x:v>
      </x:c>
      <x:c r="I11" s="44" t="n">
        <x:f>ROUNDUP(Actividad_Mensual!C11/Supuestos!$B$7,0)*Supuestos!$B$8*Supuestos!$B$6</x:f>
        <x:v>101250</x:v>
      </x:c>
      <x:c r="J11" s="44" t="n">
        <x:f>(Supuestos!$B$9+Actividad_Mensual!C11*Supuestos!$B$10)*Supuestos!$B$11*Supuestos!$B$6</x:f>
        <x:v>13496.4225</x:v>
      </x:c>
      <x:c r="K11" s="44" t="n">
        <x:f>B11*Supuestos!$B$19+E11*Supuestos!$B$20</x:f>
        <x:v>39645</x:v>
      </x:c>
      <x:c r="L11" s="44" t="n">
        <x:f>Actividad_Mensual!H11*Supuestos!$B$21</x:f>
        <x:v>18844</x:v>
      </x:c>
      <x:c r="M11" s="44" t="n">
        <x:f>Actividad_Mensual!Q11*Supuestos!$B$15</x:f>
        <x:v>0</x:v>
      </x:c>
      <x:c r="N11" s="44" t="n">
        <x:f>(G11*Supuestos!$B$16+Actividad_Mensual!K11*Supuestos!$B$17)*(1+Supuestos!$B$18)</x:f>
        <x:v>201970.37</x:v>
      </x:c>
      <x:c r="O11" s="52" t="n">
        <x:f>SUM(I11:N11)</x:f>
        <x:v>375205.7925</x:v>
      </x:c>
      <x:c r="P11" s="52" t="n">
        <x:f>H11-O11</x:f>
        <x:v>2589877.5408333335</x:v>
      </x:c>
      <x:c r="Q11" s="45" t="n">
        <x:f>IFERROR(P11/H11,0)</x:f>
        <x:v>0.8734586012197522</x:v>
      </x:c>
      <x:c r="R11" s="44" t="n">
        <x:f>Supuestos!$B$12*Supuestos!$B$13*Supuestos!$B$6</x:f>
        <x:v>68850</x:v>
      </x:c>
      <x:c r="S11" s="44" t="n">
        <x:f>Supuestos!$B$14</x:f>
        <x:v>0</x:v>
      </x:c>
      <x:c r="T11" s="44" t="n">
        <x:f>Supuestos!$B$22</x:f>
        <x:v>2800000</x:v>
      </x:c>
      <x:c r="U11" s="44" t="n">
        <x:f>Supuestos!$B$23</x:f>
        <x:v>350000</x:v>
      </x:c>
      <x:c r="V11" s="44" t="n">
        <x:f>Actividad_Mensual!N11</x:f>
        <x:v>1274305</x:v>
      </x:c>
      <x:c r="W11" s="52" t="n">
        <x:f>SUM(R11:V11)</x:f>
        <x:v>4493155</x:v>
      </x:c>
      <x:c r="X11" s="52" t="n">
        <x:f>P11-W11</x:f>
        <x:v>-1903277.4591666665</x:v>
      </x:c>
      <x:c r="Y11" s="44" t="n">
        <x:f>IFERROR(F11/E11,0)</x:f>
        <x:v>28238.88888888889</x:v>
      </x:c>
      <x:c r="Z11" s="45" t="n">
        <x:f>IFERROR(E11/Actividad_Mensual!C11,0)</x:f>
        <x:v>0.29745042492917845</x:v>
      </x:c>
      <x:c r="AA11" s="44" t="n">
        <x:f>IFERROR(V11/Actividad_Mensual!O11,0)</x:f>
        <x:v>57922.954545454544</x:v>
      </x:c>
      <x:c r="AB11" s="45" t="n">
        <x:f>IFERROR(Actividad_Mensual!P11/(E11-Actividad_Mensual!O11+Actividad_Mensual!P11),0)</x:f>
        <x:v>0.04597701149425287</x:v>
      </x:c>
    </x:row>
    <x:row r="12">
      <x:c r="A12" t="str">
        <x:v>2025-11</x:v>
      </x:c>
      <x:c r="B12" s="48" t="n">
        <x:f>Actividad_Mensual!D12</x:f>
        <x:v>280</x:v>
      </x:c>
      <x:c r="C12" s="48" t="n">
        <x:f>Actividad_Mensual!E12</x:f>
        <x:v>78</x:v>
      </x:c>
      <x:c r="D12" s="48" t="n">
        <x:f>Actividad_Mensual!F12</x:f>
        <x:v>40</x:v>
      </x:c>
      <x:c r="E12" s="44" t="n">
        <x:f>C12+D12</x:f>
        <x:v>118</x:v>
      </x:c>
      <x:c r="F12" s="44" t="n">
        <x:f>C12*Tarifas!$D$5+D12*Tarifas!$D$6</x:f>
        <x:v>3328866.666666667</x:v>
      </x:c>
      <x:c r="G12" s="44" t="n">
        <x:f>Actividad_Mensual!M12</x:f>
        <x:v>3827200</x:v>
      </x:c>
      <x:c r="H12" s="44" t="n">
        <x:f>F12</x:f>
        <x:v>3328866.666666667</x:v>
      </x:c>
      <x:c r="I12" s="44" t="n">
        <x:f>ROUNDUP(Actividad_Mensual!C12/Supuestos!$B$7,0)*Supuestos!$B$8*Supuestos!$B$6</x:f>
        <x:v>101250</x:v>
      </x:c>
      <x:c r="J12" s="44" t="n">
        <x:f>(Supuestos!$B$9+Actividad_Mensual!C12*Supuestos!$B$10)*Supuestos!$B$11*Supuestos!$B$6</x:f>
        <x:v>13797.135</x:v>
      </x:c>
      <x:c r="K12" s="44" t="n">
        <x:f>B12*Supuestos!$B$19+E12*Supuestos!$B$20</x:f>
        <x:v>44670</x:v>
      </x:c>
      <x:c r="L12" s="44" t="n">
        <x:f>Actividad_Mensual!H12*Supuestos!$B$21</x:f>
        <x:v>20944</x:v>
      </x:c>
      <x:c r="M12" s="44" t="n">
        <x:f>Actividad_Mensual!Q12*Supuestos!$B$15</x:f>
        <x:v>0</x:v>
      </x:c>
      <x:c r="N12" s="44" t="n">
        <x:f>(G12*Supuestos!$B$16+Actividad_Mensual!K12*Supuestos!$B$17)*(1+Supuestos!$B$18)</x:f>
        <x:v>206154.172</x:v>
      </x:c>
      <x:c r="O12" s="52" t="n">
        <x:f>SUM(I12:N12)</x:f>
        <x:v>386815.30700000003</x:v>
      </x:c>
      <x:c r="P12" s="52" t="n">
        <x:f>H12-O12</x:f>
        <x:v>2942051.359666667</x:v>
      </x:c>
      <x:c r="Q12" s="45" t="n">
        <x:f>IFERROR(P12/H12,0)</x:f>
        <x:v>0.8837996994973264</x:v>
      </x:c>
      <x:c r="R12" s="44" t="n">
        <x:f>Supuestos!$B$12*Supuestos!$B$13*Supuestos!$B$6</x:f>
        <x:v>68850</x:v>
      </x:c>
      <x:c r="S12" s="44" t="n">
        <x:f>Supuestos!$B$14</x:f>
        <x:v>0</x:v>
      </x:c>
      <x:c r="T12" s="44" t="n">
        <x:f>Supuestos!$B$22</x:f>
        <x:v>2800000</x:v>
      </x:c>
      <x:c r="U12" s="44" t="n">
        <x:f>Supuestos!$B$23</x:f>
        <x:v>350000</x:v>
      </x:c>
      <x:c r="V12" s="44" t="n">
        <x:f>Actividad_Mensual!N12</x:f>
        <x:v>1457755</x:v>
      </x:c>
      <x:c r="W12" s="52" t="n">
        <x:f>SUM(R12:V12)</x:f>
        <x:v>4676605</x:v>
      </x:c>
      <x:c r="X12" s="52" t="n">
        <x:f>P12-W12</x:f>
        <x:v>-1734553.640333333</x:v>
      </x:c>
      <x:c r="Y12" s="44" t="n">
        <x:f>IFERROR(F12/E12,0)</x:f>
        <x:v>28210.73446327684</x:v>
      </x:c>
      <x:c r="Z12" s="45" t="n">
        <x:f>IFERROR(E12/Actividad_Mensual!C12,0)</x:f>
        <x:v>0.2964824120603015</x:v>
      </x:c>
      <x:c r="AA12" s="44" t="n">
        <x:f>IFERROR(V12/Actividad_Mensual!O12,0)</x:f>
        <x:v>80986.38888888889</x:v>
      </x:c>
      <x:c r="AB12" s="45" t="n">
        <x:f>IFERROR(Actividad_Mensual!P12/(E12-Actividad_Mensual!O12+Actividad_Mensual!P12),0)</x:f>
        <x:v>0.038461538461538464</x:v>
      </x:c>
    </x:row>
    <x:row r="13">
      <x:c r="A13" t="str">
        <x:v>2025-12</x:v>
      </x:c>
      <x:c r="B13" s="48" t="n">
        <x:f>Actividad_Mensual!D13</x:f>
        <x:v>319</x:v>
      </x:c>
      <x:c r="C13" s="48" t="n">
        <x:f>Actividad_Mensual!E13</x:f>
        <x:v>91</x:v>
      </x:c>
      <x:c r="D13" s="48" t="n">
        <x:f>Actividad_Mensual!F13</x:f>
        <x:v>49</x:v>
      </x:c>
      <x:c r="E13" s="44" t="n">
        <x:f>C13+D13</x:f>
        <x:v>140</x:v>
      </x:c>
      <x:c r="F13" s="44" t="n">
        <x:f>C13*Tarifas!$D$5+D13*Tarifas!$D$6</x:f>
        <x:v>3941816.666666667</x:v>
      </x:c>
      <x:c r="G13" s="44" t="n">
        <x:f>Actividad_Mensual!M13</x:f>
        <x:v>5411900</x:v>
      </x:c>
      <x:c r="H13" s="44" t="n">
        <x:f>F13</x:f>
        <x:v>3941816.666666667</x:v>
      </x:c>
      <x:c r="I13" s="44" t="n">
        <x:f>ROUNDUP(Actividad_Mensual!C13/Supuestos!$B$7,0)*Supuestos!$B$8*Supuestos!$B$6</x:f>
        <x:v>101250</x:v>
      </x:c>
      <x:c r="J13" s="44" t="n">
        <x:f>(Supuestos!$B$9+Actividad_Mensual!C13*Supuestos!$B$10)*Supuestos!$B$11*Supuestos!$B$6</x:f>
        <x:v>14204.767499999998</x:v>
      </x:c>
      <x:c r="K13" s="44" t="n">
        <x:f>B13*Supuestos!$B$19+E13*Supuestos!$B$20</x:f>
        <x:v>51810</x:v>
      </x:c>
      <x:c r="L13" s="44" t="n">
        <x:f>Actividad_Mensual!H13*Supuestos!$B$21</x:f>
        <x:v>24360</x:v>
      </x:c>
      <x:c r="M13" s="44" t="n">
        <x:f>Actividad_Mensual!Q13*Supuestos!$B$15</x:f>
        <x:v>0</x:v>
      </x:c>
      <x:c r="N13" s="44" t="n">
        <x:f>(G13*Supuestos!$B$16+Actividad_Mensual!K13*Supuestos!$B$17)*(1+Supuestos!$B$18)</x:f>
        <x:v>276014.669</x:v>
      </x:c>
      <x:c r="O13" s="52" t="n">
        <x:f>SUM(I13:N13)</x:f>
        <x:v>467639.4365</x:v>
      </x:c>
      <x:c r="P13" s="52" t="n">
        <x:f>H13-O13</x:f>
        <x:v>3474177.230166667</x:v>
      </x:c>
      <x:c r="Q13" s="45" t="n">
        <x:f>IFERROR(P13/H13,0)</x:f>
        <x:v>0.8813644884972666</x:v>
      </x:c>
      <x:c r="R13" s="44" t="n">
        <x:f>Supuestos!$B$12*Supuestos!$B$13*Supuestos!$B$6</x:f>
        <x:v>68850</x:v>
      </x:c>
      <x:c r="S13" s="44" t="n">
        <x:f>Supuestos!$B$14</x:f>
        <x:v>0</x:v>
      </x:c>
      <x:c r="T13" s="44" t="n">
        <x:f>Supuestos!$B$22</x:f>
        <x:v>2800000</x:v>
      </x:c>
      <x:c r="U13" s="44" t="n">
        <x:f>Supuestos!$B$23</x:f>
        <x:v>350000</x:v>
      </x:c>
      <x:c r="V13" s="44" t="n">
        <x:f>Actividad_Mensual!N13</x:f>
        <x:v>1987112</x:v>
      </x:c>
      <x:c r="W13" s="52" t="n">
        <x:f>SUM(R13:V13)</x:f>
        <x:v>5205962</x:v>
      </x:c>
      <x:c r="X13" s="52" t="n">
        <x:f>P13-W13</x:f>
        <x:v>-1731784.7698333329</x:v>
      </x:c>
      <x:c r="Y13" s="44" t="n">
        <x:f>IFERROR(F13/E13,0)</x:f>
        <x:v>28155.833333333336</x:v>
      </x:c>
      <x:c r="Z13" s="45" t="n">
        <x:f>IFERROR(E13/Actividad_Mensual!C13,0)</x:f>
        <x:v>0.30501089324618735</x:v>
      </x:c>
      <x:c r="AA13" s="44" t="n">
        <x:f>IFERROR(V13/Actividad_Mensual!O13,0)</x:f>
        <x:v>64100.3870967742</x:v>
      </x:c>
      <x:c r="AB13" s="45" t="n">
        <x:f>IFERROR(Actividad_Mensual!P13/(E13-Actividad_Mensual!O13+Actividad_Mensual!P13),0)</x:f>
        <x:v>0.06837606837606838</x:v>
      </x:c>
    </x:row>
    <x:row r="14">
      <x:c r="A14" t="str">
        <x:v>2026-01</x:v>
      </x:c>
      <x:c r="B14" s="48" t="n">
        <x:f>Actividad_Mensual!D14</x:f>
        <x:v>370</x:v>
      </x:c>
      <x:c r="C14" s="48" t="n">
        <x:f>Actividad_Mensual!E14</x:f>
        <x:v>110</x:v>
      </x:c>
      <x:c r="D14" s="48" t="n">
        <x:f>Actividad_Mensual!F14</x:f>
        <x:v>62</x:v>
      </x:c>
      <x:c r="E14" s="44" t="n">
        <x:f>C14+D14</x:f>
        <x:v>172</x:v>
      </x:c>
      <x:c r="F14" s="44" t="n">
        <x:f>C14*Tarifas!$D$5+D14*Tarifas!$D$6</x:f>
        <x:v>4833833.333333334</x:v>
      </x:c>
      <x:c r="G14" s="44" t="n">
        <x:f>Actividad_Mensual!M14</x:f>
        <x:v>7475000</x:v>
      </x:c>
      <x:c r="H14" s="44" t="n">
        <x:f>F14</x:f>
        <x:v>4833833.333333334</x:v>
      </x:c>
      <x:c r="I14" s="44" t="n">
        <x:f>ROUNDUP(Actividad_Mensual!C14/Supuestos!$B$7,0)*Supuestos!$B$8*Supuestos!$B$6</x:f>
        <x:v>101250</x:v>
      </x:c>
      <x:c r="J14" s="44" t="n">
        <x:f>(Supuestos!$B$9+Actividad_Mensual!C14*Supuestos!$B$10)*Supuestos!$B$11*Supuestos!$B$6</x:f>
        <x:v>14759.414999999997</x:v>
      </x:c>
      <x:c r="K14" s="44" t="n">
        <x:f>B14*Supuestos!$B$19+E14*Supuestos!$B$20</x:f>
        <x:v>61680</x:v>
      </x:c>
      <x:c r="L14" s="44" t="n">
        <x:f>Actividad_Mensual!H14*Supuestos!$B$21</x:f>
        <x:v>28924</x:v>
      </x:c>
      <x:c r="M14" s="44" t="n">
        <x:f>Actividad_Mensual!Q14*Supuestos!$B$15</x:f>
        <x:v>0</x:v>
      </x:c>
      <x:c r="N14" s="44" t="n">
        <x:f>(G14*Supuestos!$B$16+Actividad_Mensual!K14*Supuestos!$B$17)*(1+Supuestos!$B$18)</x:f>
        <x:v>368632.25</x:v>
      </x:c>
      <x:c r="O14" s="52" t="n">
        <x:f>SUM(I14:N14)</x:f>
        <x:v>575245.665</x:v>
      </x:c>
      <x:c r="P14" s="52" t="n">
        <x:f>H14-O14</x:f>
        <x:v>4258587.668333334</x:v>
      </x:c>
      <x:c r="Q14" s="45" t="n">
        <x:f>IFERROR(P14/H14,0)</x:f>
        <x:v>0.8809959662793504</x:v>
      </x:c>
      <x:c r="R14" s="44" t="n">
        <x:f>Supuestos!$B$12*Supuestos!$B$13*Supuestos!$B$6</x:f>
        <x:v>68850</x:v>
      </x:c>
      <x:c r="S14" s="44" t="n">
        <x:f>Supuestos!$B$14</x:f>
        <x:v>0</x:v>
      </x:c>
      <x:c r="T14" s="44" t="n">
        <x:f>Supuestos!$B$22</x:f>
        <x:v>2800000</x:v>
      </x:c>
      <x:c r="U14" s="44" t="n">
        <x:f>Supuestos!$B$23</x:f>
        <x:v>350000</x:v>
      </x:c>
      <x:c r="V14" s="44" t="n">
        <x:f>Actividad_Mensual!N14</x:f>
        <x:v>1394852</x:v>
      </x:c>
      <x:c r="W14" s="52" t="n">
        <x:f>SUM(R14:V14)</x:f>
        <x:v>4613702</x:v>
      </x:c>
      <x:c r="X14" s="52" t="n">
        <x:f>P14-W14</x:f>
        <x:v>-355114.3316666661</x:v>
      </x:c>
      <x:c r="Y14" s="44" t="n">
        <x:f>IFERROR(F14/E14,0)</x:f>
        <x:v>28103.68217054264</x:v>
      </x:c>
      <x:c r="Z14" s="45" t="n">
        <x:f>IFERROR(E14/Actividad_Mensual!C14,0)</x:f>
        <x:v>0.3173431734317343</x:v>
      </x:c>
      <x:c r="AA14" s="44" t="n">
        <x:f>IFERROR(V14/Actividad_Mensual!O14,0)</x:f>
        <x:v>34020.78048780488</x:v>
      </x:c>
      <x:c r="AB14" s="45" t="n">
        <x:f>IFERROR(Actividad_Mensual!P14/(E14-Actividad_Mensual!O14+Actividad_Mensual!P14),0)</x:f>
        <x:v>0.06428571428571428</x:v>
      </x:c>
    </x:row>
    <x:row r="15">
      <x:c r="A15" t="str">
        <x:v>2026-02</x:v>
      </x:c>
      <x:c r="B15" s="48" t="n">
        <x:f>Actividad_Mensual!D15</x:f>
        <x:v>406</x:v>
      </x:c>
      <x:c r="C15" s="48" t="n">
        <x:f>Actividad_Mensual!E15</x:f>
        <x:v>121</x:v>
      </x:c>
      <x:c r="D15" s="48" t="n">
        <x:f>Actividad_Mensual!F15</x:f>
        <x:v>81</x:v>
      </x:c>
      <x:c r="E15" s="44" t="n">
        <x:f>C15+D15</x:f>
        <x:v>202</x:v>
      </x:c>
      <x:c r="F15" s="44" t="n">
        <x:f>C15*Tarifas!$D$5+D15*Tarifas!$D$6</x:f>
        <x:v>5636150</x:v>
      </x:c>
      <x:c r="G15" s="44" t="n">
        <x:f>Actividad_Mensual!M15</x:f>
        <x:v>10494900</x:v>
      </x:c>
      <x:c r="H15" s="44" t="n">
        <x:f>F15</x:f>
        <x:v>5636150</x:v>
      </x:c>
      <x:c r="I15" s="44" t="n">
        <x:f>ROUNDUP(Actividad_Mensual!C15/Supuestos!$B$7,0)*Supuestos!$B$8*Supuestos!$B$6</x:f>
        <x:v>101250</x:v>
      </x:c>
      <x:c r="J15" s="44" t="n">
        <x:f>(Supuestos!$B$9+Actividad_Mensual!C15*Supuestos!$B$10)*Supuestos!$B$11*Supuestos!$B$6</x:f>
        <x:v>15200.46</x:v>
      </x:c>
      <x:c r="K15" s="44" t="n">
        <x:f>B15*Supuestos!$B$19+E15*Supuestos!$B$20</x:f>
        <x:v>69870</x:v>
      </x:c>
      <x:c r="L15" s="44" t="n">
        <x:f>Actividad_Mensual!H15*Supuestos!$B$21</x:f>
        <x:v>32424</x:v>
      </x:c>
      <x:c r="M15" s="44" t="n">
        <x:f>Actividad_Mensual!Q15*Supuestos!$B$15</x:f>
        <x:v>0</x:v>
      </x:c>
      <x:c r="N15" s="44" t="n">
        <x:f>(G15*Supuestos!$B$16+Actividad_Mensual!K15*Supuestos!$B$17)*(1+Supuestos!$B$18)</x:f>
        <x:v>490698.999</x:v>
      </x:c>
      <x:c r="O15" s="52" t="n">
        <x:f>SUM(I15:N15)</x:f>
        <x:v>709443.459</x:v>
      </x:c>
      <x:c r="P15" s="52" t="n">
        <x:f>H15-O15</x:f>
        <x:v>4926706.541</x:v>
      </x:c>
      <x:c r="Q15" s="45" t="n">
        <x:f>IFERROR(P15/H15,0)</x:f>
        <x:v>0.8741262281876814</x:v>
      </x:c>
      <x:c r="R15" s="44" t="n">
        <x:f>Supuestos!$B$12*Supuestos!$B$13*Supuestos!$B$6</x:f>
        <x:v>68850</x:v>
      </x:c>
      <x:c r="S15" s="44" t="n">
        <x:f>Supuestos!$B$14</x:f>
        <x:v>0</x:v>
      </x:c>
      <x:c r="T15" s="44" t="n">
        <x:f>Supuestos!$B$22</x:f>
        <x:v>2800000</x:v>
      </x:c>
      <x:c r="U15" s="44" t="n">
        <x:f>Supuestos!$B$23</x:f>
        <x:v>350000</x:v>
      </x:c>
      <x:c r="V15" s="44" t="n">
        <x:f>Actividad_Mensual!N15</x:f>
        <x:v>1750615</x:v>
      </x:c>
      <x:c r="W15" s="52" t="n">
        <x:f>SUM(R15:V15)</x:f>
        <x:v>4969465</x:v>
      </x:c>
      <x:c r="X15" s="52" t="n">
        <x:f>P15-W15</x:f>
        <x:v>-42758.4589999998</x:v>
      </x:c>
      <x:c r="Y15" s="44" t="n">
        <x:f>IFERROR(F15/E15,0)</x:f>
        <x:v>27901.73267326733</x:v>
      </x:c>
      <x:c r="Z15" s="45" t="n">
        <x:f>IFERROR(E15/Actividad_Mensual!C15,0)</x:f>
        <x:v>0.33223684210526316</x:v>
      </x:c>
      <x:c r="AA15" s="44" t="n">
        <x:f>IFERROR(V15/Actividad_Mensual!O15,0)</x:f>
        <x:v>47313.91891891892</x:v>
      </x:c>
      <x:c r="AB15" s="45" t="n">
        <x:f>IFERROR(Actividad_Mensual!P15/(E15-Actividad_Mensual!O15+Actividad_Mensual!P15),0)</x:f>
        <x:v>0.040697674418604654</x:v>
      </x:c>
    </x:row>
    <x:row r="16">
      <x:c r="A16" t="str">
        <x:v>2026-03</x:v>
      </x:c>
      <x:c r="B16" s="48" t="n">
        <x:f>Actividad_Mensual!D16</x:f>
        <x:v>445</x:v>
      </x:c>
      <x:c r="C16" s="48" t="n">
        <x:f>Actividad_Mensual!E16</x:f>
        <x:v>135</x:v>
      </x:c>
      <x:c r="D16" s="48" t="n">
        <x:f>Actividad_Mensual!F16</x:f>
        <x:v>98</x:v>
      </x:c>
      <x:c r="E16" s="44" t="n">
        <x:f>C16+D16</x:f>
        <x:v>233</x:v>
      </x:c>
      <x:c r="F16" s="44" t="n">
        <x:f>C16*Tarifas!$D$5+D16*Tarifas!$D$6</x:f>
        <x:v>6478333.333333334</x:v>
      </x:c>
      <x:c r="G16" s="44" t="n">
        <x:f>Actividad_Mensual!M16</x:f>
        <x:v>9418500</x:v>
      </x:c>
      <x:c r="H16" s="44" t="n">
        <x:f>F16</x:f>
        <x:v>6478333.333333334</x:v>
      </x:c>
      <x:c r="I16" s="44" t="n">
        <x:f>ROUNDUP(Actividad_Mensual!C16/Supuestos!$B$7,0)*Supuestos!$B$8*Supuestos!$B$6</x:f>
        <x:v>101250</x:v>
      </x:c>
      <x:c r="J16" s="44" t="n">
        <x:f>(Supuestos!$B$9+Actividad_Mensual!C16*Supuestos!$B$10)*Supuestos!$B$11*Supuestos!$B$6</x:f>
        <x:v>15668.235</x:v>
      </x:c>
      <x:c r="K16" s="44" t="n">
        <x:f>B16*Supuestos!$B$19+E16*Supuestos!$B$20</x:f>
        <x:v>78495</x:v>
      </x:c>
      <x:c r="L16" s="44" t="n">
        <x:f>Actividad_Mensual!H16*Supuestos!$B$21</x:f>
        <x:v>36148</x:v>
      </x:c>
      <x:c r="M16" s="44" t="n">
        <x:f>Actividad_Mensual!Q16*Supuestos!$B$15</x:f>
        <x:v>0</x:v>
      </x:c>
      <x:c r="N16" s="44" t="n">
        <x:f>(G16*Supuestos!$B$16+Actividad_Mensual!K16*Supuestos!$B$17)*(1+Supuestos!$B$18)</x:f>
        <x:v>461584.935</x:v>
      </x:c>
      <x:c r="O16" s="52" t="n">
        <x:f>SUM(I16:N16)</x:f>
        <x:v>693146.1699999999</x:v>
      </x:c>
      <x:c r="P16" s="52" t="n">
        <x:f>H16-O16</x:f>
        <x:v>5785187.163333334</x:v>
      </x:c>
      <x:c r="Q16" s="45" t="n">
        <x:f>IFERROR(P16/H16,0)</x:f>
        <x:v>0.8930054792899409</x:v>
      </x:c>
      <x:c r="R16" s="44" t="n">
        <x:f>Supuestos!$B$12*Supuestos!$B$13*Supuestos!$B$6</x:f>
        <x:v>68850</x:v>
      </x:c>
      <x:c r="S16" s="44" t="n">
        <x:f>Supuestos!$B$14</x:f>
        <x:v>0</x:v>
      </x:c>
      <x:c r="T16" s="44" t="n">
        <x:f>Supuestos!$B$22</x:f>
        <x:v>2800000</x:v>
      </x:c>
      <x:c r="U16" s="44" t="n">
        <x:f>Supuestos!$B$23</x:f>
        <x:v>350000</x:v>
      </x:c>
      <x:c r="V16" s="44" t="n">
        <x:f>Actividad_Mensual!N16</x:f>
        <x:v>1757172</x:v>
      </x:c>
      <x:c r="W16" s="52" t="n">
        <x:f>SUM(R16:V16)</x:f>
        <x:v>4976022</x:v>
      </x:c>
      <x:c r="X16" s="52" t="n">
        <x:f>P16-W16</x:f>
        <x:v>809165.163333334</x:v>
      </x:c>
      <x:c r="Y16" s="44" t="n">
        <x:f>IFERROR(F16/E16,0)</x:f>
        <x:v>27804.00572246066</x:v>
      </x:c>
      <x:c r="Z16" s="45" t="n">
        <x:f>IFERROR(E16/Actividad_Mensual!C16,0)</x:f>
        <x:v>0.34365781710914456</x:v>
      </x:c>
      <x:c r="AA16" s="44" t="n">
        <x:f>IFERROR(V16/Actividad_Mensual!O16,0)</x:f>
        <x:v>38199.391304347824</x:v>
      </x:c>
      <x:c r="AB16" s="45" t="n">
        <x:f>IFERROR(Actividad_Mensual!P16/(E16-Actividad_Mensual!O16+Actividad_Mensual!P16),0)</x:f>
        <x:v>0.06030150753768844</x:v>
      </x:c>
    </x:row>
    <x:row r="17">
      <x:c r="A17" t="str">
        <x:v>2026-04</x:v>
      </x:c>
      <x:c r="B17" s="48" t="n">
        <x:f>Actividad_Mensual!D17</x:f>
        <x:v>492</x:v>
      </x:c>
      <x:c r="C17" s="48" t="n">
        <x:f>Actividad_Mensual!E17</x:f>
        <x:v>161</x:v>
      </x:c>
      <x:c r="D17" s="48" t="n">
        <x:f>Actividad_Mensual!F17</x:f>
        <x:v>110</x:v>
      </x:c>
      <x:c r="E17" s="44" t="n">
        <x:f>C17+D17</x:f>
        <x:v>271</x:v>
      </x:c>
      <x:c r="F17" s="44" t="n">
        <x:f>C17*Tarifas!$D$5+D17*Tarifas!$D$6</x:f>
        <x:v>7554733.333333334</x:v>
      </x:c>
      <x:c r="G17" s="44" t="n">
        <x:f>Actividad_Mensual!M17</x:f>
        <x:v>8401900</x:v>
      </x:c>
      <x:c r="H17" s="44" t="n">
        <x:f>F17</x:f>
        <x:v>7554733.333333334</x:v>
      </x:c>
      <x:c r="I17" s="44" t="n">
        <x:f>ROUNDUP(Actividad_Mensual!C17/Supuestos!$B$7,0)*Supuestos!$B$8*Supuestos!$B$6</x:f>
        <x:v>101250</x:v>
      </x:c>
      <x:c r="J17" s="44" t="n">
        <x:f>(Supuestos!$B$9+Actividad_Mensual!C17*Supuestos!$B$10)*Supuestos!$B$11*Supuestos!$B$6</x:f>
        <x:v>16236.247500000001</x:v>
      </x:c>
      <x:c r="K17" s="44" t="n">
        <x:f>B17*Supuestos!$B$19+E17*Supuestos!$B$20</x:f>
        <x:v>88995</x:v>
      </x:c>
      <x:c r="L17" s="44" t="n">
        <x:f>Actividad_Mensual!H17*Supuestos!$B$21</x:f>
        <x:v>40768</x:v>
      </x:c>
      <x:c r="M17" s="44" t="n">
        <x:f>Actividad_Mensual!Q17*Supuestos!$B$15</x:f>
        <x:v>0</x:v>
      </x:c>
      <x:c r="N17" s="44" t="n">
        <x:f>(G17*Supuestos!$B$16+Actividad_Mensual!K17*Supuestos!$B$17)*(1+Supuestos!$B$18)</x:f>
        <x:v>444352.06899999996</x:v>
      </x:c>
      <x:c r="O17" s="52" t="n">
        <x:f>SUM(I17:N17)</x:f>
        <x:v>691601.3165</x:v>
      </x:c>
      <x:c r="P17" s="52" t="n">
        <x:f>H17-O17</x:f>
        <x:v>6863132.016833334</x:v>
      </x:c>
      <x:c r="Q17" s="45" t="n">
        <x:f>IFERROR(P17/H17,0)</x:f>
        <x:v>0.9084545693428403</x:v>
      </x:c>
      <x:c r="R17" s="44" t="n">
        <x:f>Supuestos!$B$12*Supuestos!$B$13*Supuestos!$B$6</x:f>
        <x:v>68850</x:v>
      </x:c>
      <x:c r="S17" s="44" t="n">
        <x:f>Supuestos!$B$14</x:f>
        <x:v>0</x:v>
      </x:c>
      <x:c r="T17" s="44" t="n">
        <x:f>Supuestos!$B$22</x:f>
        <x:v>2800000</x:v>
      </x:c>
      <x:c r="U17" s="44" t="n">
        <x:f>Supuestos!$B$23</x:f>
        <x:v>350000</x:v>
      </x:c>
      <x:c r="V17" s="44" t="n">
        <x:f>Actividad_Mensual!N17</x:f>
        <x:v>1911596</x:v>
      </x:c>
      <x:c r="W17" s="52" t="n">
        <x:f>SUM(R17:V17)</x:f>
        <x:v>5130446</x:v>
      </x:c>
      <x:c r="X17" s="52" t="n">
        <x:f>P17-W17</x:f>
        <x:v>1732686.0168333342</x:v>
      </x:c>
      <x:c r="Y17" s="44" t="n">
        <x:f>IFERROR(F17/E17,0)</x:f>
        <x:v>27877.244772447728</x:v>
      </x:c>
      <x:c r="Z17" s="45" t="n">
        <x:f>IFERROR(E17/Actividad_Mensual!C17,0)</x:f>
        <x:v>0.35517693315858456</x:v>
      </x:c>
      <x:c r="AA17" s="44" t="n">
        <x:f>IFERROR(V17/Actividad_Mensual!O17,0)</x:f>
        <x:v>36067.84905660377</x:v>
      </x:c>
      <x:c r="AB17" s="45" t="n">
        <x:f>IFERROR(Actividad_Mensual!P17/(E17-Actividad_Mensual!O17+Actividad_Mensual!P17),0)</x:f>
        <x:v>0.06437768240343347</x:v>
      </x:c>
    </x:row>
    <x:row r="18">
      <x:c r="A18" t="str">
        <x:v>2026-05</x:v>
      </x:c>
      <x:c r="B18" s="48" t="n">
        <x:f>Actividad_Mensual!D18</x:f>
        <x:v>547</x:v>
      </x:c>
      <x:c r="C18" s="48" t="n">
        <x:f>Actividad_Mensual!E18</x:f>
        <x:v>185</x:v>
      </x:c>
      <x:c r="D18" s="48" t="n">
        <x:f>Actividad_Mensual!F18</x:f>
        <x:v>131</x:v>
      </x:c>
      <x:c r="E18" s="44" t="n">
        <x:f>C18+D18</x:f>
        <x:v>316</x:v>
      </x:c>
      <x:c r="F18" s="44" t="n">
        <x:f>C18*Tarifas!$D$5+D18*Tarifas!$D$6</x:f>
        <x:v>8795583.333333334</x:v>
      </x:c>
      <x:c r="G18" s="44" t="n">
        <x:f>Actividad_Mensual!M18</x:f>
        <x:v>12109500</x:v>
      </x:c>
      <x:c r="H18" s="44" t="n">
        <x:f>F18</x:f>
        <x:v>8795583.333333334</x:v>
      </x:c>
      <x:c r="I18" s="44" t="n">
        <x:f>ROUNDUP(Actividad_Mensual!C18/Supuestos!$B$7,0)*Supuestos!$B$8*Supuestos!$B$6</x:f>
        <x:v>101250</x:v>
      </x:c>
      <x:c r="J18" s="44" t="n">
        <x:f>(Supuestos!$B$9+Actividad_Mensual!C18*Supuestos!$B$10)*Supuestos!$B$11*Supuestos!$B$6</x:f>
        <x:v>16904.4975</x:v>
      </x:c>
      <x:c r="K18" s="44" t="n">
        <x:f>B18*Supuestos!$B$19+E18*Supuestos!$B$20</x:f>
        <x:v>101370</x:v>
      </x:c>
      <x:c r="L18" s="44" t="n">
        <x:f>Actividad_Mensual!H18*Supuestos!$B$21</x:f>
        <x:v>46536</x:v>
      </x:c>
      <x:c r="M18" s="44" t="n">
        <x:f>Actividad_Mensual!Q18*Supuestos!$B$15</x:f>
        <x:v>0</x:v>
      </x:c>
      <x:c r="N18" s="44" t="n">
        <x:f>(G18*Supuestos!$B$16+Actividad_Mensual!K18*Supuestos!$B$17)*(1+Supuestos!$B$18)</x:f>
        <x:v>602646.345</x:v>
      </x:c>
      <x:c r="O18" s="52" t="n">
        <x:f>SUM(I18:N18)</x:f>
        <x:v>868706.8425</x:v>
      </x:c>
      <x:c r="P18" s="52" t="n">
        <x:f>H18-O18</x:f>
        <x:v>7926876.490833334</x:v>
      </x:c>
      <x:c r="Q18" s="45" t="n">
        <x:f>IFERROR(P18/H18,0)</x:f>
        <x:v>0.9012337431665514</x:v>
      </x:c>
      <x:c r="R18" s="44" t="n">
        <x:f>Supuestos!$B$12*Supuestos!$B$13*Supuestos!$B$6</x:f>
        <x:v>68850</x:v>
      </x:c>
      <x:c r="S18" s="44" t="n">
        <x:f>Supuestos!$B$14</x:f>
        <x:v>0</x:v>
      </x:c>
      <x:c r="T18" s="44" t="n">
        <x:f>Supuestos!$B$22</x:f>
        <x:v>2800000</x:v>
      </x:c>
      <x:c r="U18" s="44" t="n">
        <x:f>Supuestos!$B$23</x:f>
        <x:v>350000</x:v>
      </x:c>
      <x:c r="V18" s="44" t="n">
        <x:f>Actividad_Mensual!N18</x:f>
        <x:v>1732028</x:v>
      </x:c>
      <x:c r="W18" s="52" t="n">
        <x:f>SUM(R18:V18)</x:f>
        <x:v>4950878</x:v>
      </x:c>
      <x:c r="X18" s="52" t="n">
        <x:f>P18-W18</x:f>
        <x:v>2975998.4908333337</x:v>
      </x:c>
      <x:c r="Y18" s="44" t="n">
        <x:f>IFERROR(F18/E18,0)</x:f>
        <x:v>27834.124472573843</x:v>
      </x:c>
      <x:c r="Z18" s="45" t="n">
        <x:f>IFERROR(E18/Actividad_Mensual!C18,0)</x:f>
        <x:v>0.36616454229432216</x:v>
      </x:c>
      <x:c r="AA18" s="44" t="n">
        <x:f>IFERROR(V18/Actividad_Mensual!O18,0)</x:f>
        <x:v>28867.133333333335</x:v>
      </x:c>
      <x:c r="AB18" s="45" t="n">
        <x:f>IFERROR(Actividad_Mensual!P18/(E18-Actividad_Mensual!O18+Actividad_Mensual!P18),0)</x:f>
        <x:v>0.04477611940298507</x:v>
      </x:c>
    </x:row>
    <x:row r="19">
      <x:c r="A19" t="str">
        <x:v>2026-06</x:v>
      </x:c>
      <x:c r="B19" s="48" t="n">
        <x:f>Actividad_Mensual!D19</x:f>
        <x:v>597</x:v>
      </x:c>
      <x:c r="C19" s="48" t="n">
        <x:f>Actividad_Mensual!E19</x:f>
        <x:v>206</x:v>
      </x:c>
      <x:c r="D19" s="48" t="n">
        <x:f>Actividad_Mensual!F19</x:f>
        <x:v>142</x:v>
      </x:c>
      <x:c r="E19" s="44" t="n">
        <x:f>C19+D19</x:f>
        <x:v>348</x:v>
      </x:c>
      <x:c r="F19" s="44" t="n">
        <x:f>C19*Tarifas!$D$5+D19*Tarifas!$D$6</x:f>
        <x:v>9697566.666666668</x:v>
      </x:c>
      <x:c r="G19" s="44" t="n">
        <x:f>Actividad_Mensual!M19</x:f>
        <x:v>10644400</x:v>
      </x:c>
      <x:c r="H19" s="44" t="n">
        <x:f>F19</x:f>
        <x:v>9697566.666666668</x:v>
      </x:c>
      <x:c r="I19" s="44" t="n">
        <x:f>ROUNDUP(Actividad_Mensual!C19/Supuestos!$B$7,0)*Supuestos!$B$8*Supuestos!$B$6</x:f>
        <x:v>101250</x:v>
      </x:c>
      <x:c r="J19" s="44" t="n">
        <x:f>(Supuestos!$B$9+Actividad_Mensual!C19*Supuestos!$B$10)*Supuestos!$B$11*Supuestos!$B$6</x:f>
        <x:v>17452.462499999998</x:v>
      </x:c>
      <x:c r="K19" s="44" t="n">
        <x:f>B19*Supuestos!$B$19+E19*Supuestos!$B$20</x:f>
        <x:v>111150</x:v>
      </x:c>
      <x:c r="L19" s="44" t="n">
        <x:f>Actividad_Mensual!H19*Supuestos!$B$21</x:f>
        <x:v>50596</x:v>
      </x:c>
      <x:c r="M19" s="44" t="n">
        <x:f>Actividad_Mensual!Q19*Supuestos!$B$15</x:f>
        <x:v>0</x:v>
      </x:c>
      <x:c r="N19" s="44" t="n">
        <x:f>(G19*Supuestos!$B$16+Actividad_Mensual!K19*Supuestos!$B$17)*(1+Supuestos!$B$18)</x:f>
        <x:v>564580.7440000001</x:v>
      </x:c>
      <x:c r="O19" s="52" t="n">
        <x:f>SUM(I19:N19)</x:f>
        <x:v>845029.2065000001</x:v>
      </x:c>
      <x:c r="P19" s="52" t="n">
        <x:f>H19-O19</x:f>
        <x:v>8852537.460166669</x:v>
      </x:c>
      <x:c r="Q19" s="45" t="n">
        <x:f>IFERROR(P19/H19,0)</x:f>
        <x:v>0.9128617275295865</x:v>
      </x:c>
      <x:c r="R19" s="44" t="n">
        <x:f>Supuestos!$B$12*Supuestos!$B$13*Supuestos!$B$6</x:f>
        <x:v>68850</x:v>
      </x:c>
      <x:c r="S19" s="44" t="n">
        <x:f>Supuestos!$B$14</x:f>
        <x:v>0</x:v>
      </x:c>
      <x:c r="T19" s="44" t="n">
        <x:f>Supuestos!$B$22</x:f>
        <x:v>2800000</x:v>
      </x:c>
      <x:c r="U19" s="44" t="n">
        <x:f>Supuestos!$B$23</x:f>
        <x:v>350000</x:v>
      </x:c>
      <x:c r="V19" s="44" t="n">
        <x:f>Actividad_Mensual!N19</x:f>
        <x:v>1490998</x:v>
      </x:c>
      <x:c r="W19" s="52" t="n">
        <x:f>SUM(R19:V19)</x:f>
        <x:v>4709848</x:v>
      </x:c>
      <x:c r="X19" s="52" t="n">
        <x:f>P19-W19</x:f>
        <x:v>4142689.4601666685</x:v>
      </x:c>
      <x:c r="Y19" s="44" t="n">
        <x:f>IFERROR(F19/E19,0)</x:f>
        <x:v>27866.570881226056</x:v>
      </x:c>
      <x:c r="Z19" s="45" t="n">
        <x:f>IFERROR(E19/Actividad_Mensual!C19,0)</x:f>
        <x:v>0.3682539682539683</x:v>
      </x:c>
      <x:c r="AA19" s="44" t="n">
        <x:f>IFERROR(V19/Actividad_Mensual!O19,0)</x:f>
        <x:v>34674.37209302326</x:v>
      </x:c>
      <x:c r="AB19" s="45" t="n">
        <x:f>IFERROR(Actividad_Mensual!P19/(E19-Actividad_Mensual!O19+Actividad_Mensual!P19),0)</x:f>
        <x:v>0.028662420382165606</x:v>
      </x:c>
    </x:row>
    <x:row r="20">
      <x:c r="A20" t="str">
        <x:v>2026-07</x:v>
      </x:c>
      <x:c r="B20" s="48" t="n">
        <x:f>Actividad_Mensual!D20</x:f>
        <x:v>629</x:v>
      </x:c>
      <x:c r="C20" s="48" t="n">
        <x:f>Actividad_Mensual!E20</x:f>
        <x:v>228</x:v>
      </x:c>
      <x:c r="D20" s="48" t="n">
        <x:f>Actividad_Mensual!F20</x:f>
        <x:v>164</x:v>
      </x:c>
      <x:c r="E20" s="44" t="n">
        <x:f>C20+D20</x:f>
        <x:v>392</x:v>
      </x:c>
      <x:c r="F20" s="44" t="n">
        <x:f>C20*Tarifas!$D$5+D20*Tarifas!$D$6</x:f>
        <x:v>10903533.333333334</x:v>
      </x:c>
      <x:c r="G20" s="44" t="n">
        <x:f>Actividad_Mensual!M20</x:f>
        <x:v>14890200</x:v>
      </x:c>
      <x:c r="H20" s="44" t="n">
        <x:f>F20</x:f>
        <x:v>10903533.333333334</x:v>
      </x:c>
      <x:c r="I20" s="44" t="n">
        <x:f>ROUNDUP(Actividad_Mensual!C20/Supuestos!$B$7,0)*Supuestos!$B$8*Supuestos!$B$6</x:f>
        <x:v>202500</x:v>
      </x:c>
      <x:c r="J20" s="44" t="n">
        <x:f>(Supuestos!$B$9+Actividad_Mensual!C20*Supuestos!$B$10)*Supuestos!$B$11*Supuestos!$B$6</x:f>
        <x:v>17960.332499999997</x:v>
      </x:c>
      <x:c r="K20" s="44" t="n">
        <x:f>B20*Supuestos!$B$19+E20*Supuestos!$B$20</x:f>
        <x:v>121290</x:v>
      </x:c>
      <x:c r="L20" s="44" t="n">
        <x:f>Actividad_Mensual!H20*Supuestos!$B$21</x:f>
        <x:v>54432</x:v>
      </x:c>
      <x:c r="M20" s="44" t="n">
        <x:f>Actividad_Mensual!Q20*Supuestos!$B$15</x:f>
        <x:v>0</x:v>
      </x:c>
      <x:c r="N20" s="44" t="n">
        <x:f>(G20*Supuestos!$B$16+Actividad_Mensual!K20*Supuestos!$B$17)*(1+Supuestos!$B$18)</x:f>
        <x:v>741448.302</x:v>
      </x:c>
      <x:c r="O20" s="52" t="n">
        <x:f>SUM(I20:N20)</x:f>
        <x:v>1137630.6345000002</x:v>
      </x:c>
      <x:c r="P20" s="52" t="n">
        <x:f>H20-O20</x:f>
        <x:v>9765902.698833333</x:v>
      </x:c>
      <x:c r="Q20" s="45" t="n">
        <x:f>IFERROR(P20/H20,0)</x:f>
        <x:v>0.8956640384615384</x:v>
      </x:c>
      <x:c r="R20" s="44" t="n">
        <x:f>Supuestos!$B$12*Supuestos!$B$13*Supuestos!$B$6</x:f>
        <x:v>68850</x:v>
      </x:c>
      <x:c r="S20" s="44" t="n">
        <x:f>Supuestos!$B$14</x:f>
        <x:v>0</x:v>
      </x:c>
      <x:c r="T20" s="44" t="n">
        <x:f>Supuestos!$B$22</x:f>
        <x:v>2800000</x:v>
      </x:c>
      <x:c r="U20" s="44" t="n">
        <x:f>Supuestos!$B$23</x:f>
        <x:v>350000</x:v>
      </x:c>
      <x:c r="V20" s="44" t="n">
        <x:f>Actividad_Mensual!N20</x:f>
        <x:v>1854573</x:v>
      </x:c>
      <x:c r="W20" s="52" t="n">
        <x:f>SUM(R20:V20)</x:f>
        <x:v>5073423</x:v>
      </x:c>
      <x:c r="X20" s="52" t="n">
        <x:f>P20-W20</x:f>
        <x:v>4692479.698833333</x:v>
      </x:c>
      <x:c r="Y20" s="44" t="n">
        <x:f>IFERROR(F20/E20,0)</x:f>
        <x:v>27815.13605442177</x:v>
      </x:c>
      <x:c r="Z20" s="45" t="n">
        <x:f>IFERROR(E20/Actividad_Mensual!C20,0)</x:f>
        <x:v>0.38393731635651324</x:v>
      </x:c>
      <x:c r="AA20" s="44" t="n">
        <x:f>IFERROR(V20/Actividad_Mensual!O20,0)</x:f>
        <x:v>28531.89230769231</x:v>
      </x:c>
      <x:c r="AB20" s="45" t="n">
        <x:f>IFERROR(Actividad_Mensual!P20/(E20-Actividad_Mensual!O20+Actividad_Mensual!P20),0)</x:f>
        <x:v>0.05491329479768786</x:v>
      </x:c>
    </x:row>
    <x:row r="21">
      <x:c r="A21" t="str">
        <x:v>2026-08</x:v>
      </x:c>
      <x:c r="B21" s="48" t="n">
        <x:f>Actividad_Mensual!D21</x:f>
        <x:v>670</x:v>
      </x:c>
      <x:c r="C21" s="48" t="n">
        <x:f>Actividad_Mensual!E21</x:f>
        <x:v>242</x:v>
      </x:c>
      <x:c r="D21" s="48" t="n">
        <x:f>Actividad_Mensual!F21</x:f>
        <x:v>191</x:v>
      </x:c>
      <x:c r="E21" s="44" t="n">
        <x:f>C21+D21</x:f>
        <x:v>433</x:v>
      </x:c>
      <x:c r="F21" s="44" t="n">
        <x:f>C21*Tarifas!$D$5+D21*Tarifas!$D$6</x:f>
        <x:v>11994883.333333334</x:v>
      </x:c>
      <x:c r="G21" s="44" t="n">
        <x:f>Actividad_Mensual!M21</x:f>
        <x:v>16803800</x:v>
      </x:c>
      <x:c r="H21" s="44" t="n">
        <x:f>F21</x:f>
        <x:v>11994883.333333334</x:v>
      </x:c>
      <x:c r="I21" s="44" t="n">
        <x:f>ROUNDUP(Actividad_Mensual!C21/Supuestos!$B$7,0)*Supuestos!$B$8*Supuestos!$B$6</x:f>
        <x:v>202500</x:v>
      </x:c>
      <x:c r="J21" s="44" t="n">
        <x:f>(Supuestos!$B$9+Actividad_Mensual!C21*Supuestos!$B$10)*Supuestos!$B$11*Supuestos!$B$6</x:f>
        <x:v>18508.2975</x:v>
      </x:c>
      <x:c r="K21" s="44" t="n">
        <x:f>B21*Supuestos!$B$19+E21*Supuestos!$B$20</x:f>
        <x:v>131745</x:v>
      </x:c>
      <x:c r="L21" s="44" t="n">
        <x:f>Actividad_Mensual!H21*Supuestos!$B$21</x:f>
        <x:v>58884</x:v>
      </x:c>
      <x:c r="M21" s="44" t="n">
        <x:f>Actividad_Mensual!Q21*Supuestos!$B$15</x:f>
        <x:v>0</x:v>
      </x:c>
      <x:c r="N21" s="44" t="n">
        <x:f>(G21*Supuestos!$B$16+Actividad_Mensual!K21*Supuestos!$B$17)*(1+Supuestos!$B$18)</x:f>
        <x:v>824444.1379999999</x:v>
      </x:c>
      <x:c r="O21" s="52" t="n">
        <x:f>SUM(I21:N21)</x:f>
        <x:v>1236081.4355</x:v>
      </x:c>
      <x:c r="P21" s="52" t="n">
        <x:f>H21-O21</x:f>
        <x:v>10758801.897833334</x:v>
      </x:c>
      <x:c r="Q21" s="45" t="n">
        <x:f>IFERROR(P21/H21,0)</x:f>
        <x:v>0.8969492740237852</x:v>
      </x:c>
      <x:c r="R21" s="44" t="n">
        <x:f>Supuestos!$B$12*Supuestos!$B$13*Supuestos!$B$6</x:f>
        <x:v>68850</x:v>
      </x:c>
      <x:c r="S21" s="44" t="n">
        <x:f>Supuestos!$B$14</x:f>
        <x:v>0</x:v>
      </x:c>
      <x:c r="T21" s="44" t="n">
        <x:f>Supuestos!$B$22</x:f>
        <x:v>2800000</x:v>
      </x:c>
      <x:c r="U21" s="44" t="n">
        <x:f>Supuestos!$B$23</x:f>
        <x:v>350000</x:v>
      </x:c>
      <x:c r="V21" s="44" t="n">
        <x:f>Actividad_Mensual!N21</x:f>
        <x:v>2143653</x:v>
      </x:c>
      <x:c r="W21" s="52" t="n">
        <x:f>SUM(R21:V21)</x:f>
        <x:v>5362503</x:v>
      </x:c>
      <x:c r="X21" s="52" t="n">
        <x:f>P21-W21</x:f>
        <x:v>5396298.897833334</x:v>
      </x:c>
      <x:c r="Y21" s="44" t="n">
        <x:f>IFERROR(F21/E21,0)</x:f>
        <x:v>27701.809083910703</x:v>
      </x:c>
      <x:c r="Z21" s="45" t="n">
        <x:f>IFERROR(E21/Actividad_Mensual!C21,0)</x:f>
        <x:v>0.3925657298277425</x:v>
      </x:c>
      <x:c r="AA21" s="44" t="n">
        <x:f>IFERROR(V21/Actividad_Mensual!O21,0)</x:f>
        <x:v>41224.096153846156</x:v>
      </x:c>
      <x:c r="AB21" s="45" t="n">
        <x:f>IFERROR(Actividad_Mensual!P21/(E21-Actividad_Mensual!O21+Actividad_Mensual!P21),0)</x:f>
        <x:v>0.023076923076923078</x:v>
      </x:c>
    </x:row>
    <x:row r="22">
      <x:c r="A22" t="str">
        <x:v>2026-09</x:v>
      </x:c>
      <x:c r="B22" s="48" t="n">
        <x:f>Actividad_Mensual!D22</x:f>
        <x:v>719</x:v>
      </x:c>
      <x:c r="C22" s="48" t="n">
        <x:f>Actividad_Mensual!E22</x:f>
        <x:v>267</x:v>
      </x:c>
      <x:c r="D22" s="48" t="n">
        <x:f>Actividad_Mensual!F22</x:f>
        <x:v>208</x:v>
      </x:c>
      <x:c r="E22" s="44" t="n">
        <x:f>C22+D22</x:f>
        <x:v>475</x:v>
      </x:c>
      <x:c r="F22" s="44" t="n">
        <x:f>C22*Tarifas!$D$5+D22*Tarifas!$D$6</x:f>
        <x:v>13165966.666666668</x:v>
      </x:c>
      <x:c r="G22" s="44" t="n">
        <x:f>Actividad_Mensual!M22</x:f>
        <x:v>15458300</x:v>
      </x:c>
      <x:c r="H22" s="44" t="n">
        <x:f>F22</x:f>
        <x:v>13165966.666666668</x:v>
      </x:c>
      <x:c r="I22" s="44" t="n">
        <x:f>ROUNDUP(Actividad_Mensual!C22/Supuestos!$B$7,0)*Supuestos!$B$8*Supuestos!$B$6</x:f>
        <x:v>202500</x:v>
      </x:c>
      <x:c r="J22" s="44" t="n">
        <x:f>(Supuestos!$B$9+Actividad_Mensual!C22*Supuestos!$B$10)*Supuestos!$B$11*Supuestos!$B$6</x:f>
        <x:v>19116.405</x:v>
      </x:c>
      <x:c r="K22" s="44" t="n">
        <x:f>B22*Supuestos!$B$19+E22*Supuestos!$B$20</x:f>
        <x:v>143085</x:v>
      </x:c>
      <x:c r="L22" s="44" t="n">
        <x:f>Actividad_Mensual!H22*Supuestos!$B$21</x:f>
        <x:v>63756</x:v>
      </x:c>
      <x:c r="M22" s="44" t="n">
        <x:f>Actividad_Mensual!Q22*Supuestos!$B$15</x:f>
        <x:v>0</x:v>
      </x:c>
      <x:c r="N22" s="44" t="n">
        <x:f>(G22*Supuestos!$B$16+Actividad_Mensual!K22*Supuestos!$B$17)*(1+Supuestos!$B$18)</x:f>
        <x:v>794075.933</x:v>
      </x:c>
      <x:c r="O22" s="52" t="n">
        <x:f>SUM(I22:N22)</x:f>
        <x:v>1222533.338</x:v>
      </x:c>
      <x:c r="P22" s="52" t="n">
        <x:f>H22-O22</x:f>
        <x:v>11943433.328666668</x:v>
      </x:c>
      <x:c r="Q22" s="45" t="n">
        <x:f>IFERROR(P22/H22,0)</x:f>
        <x:v>0.9071444301089425</x:v>
      </x:c>
      <x:c r="R22" s="44" t="n">
        <x:f>Supuestos!$B$12*Supuestos!$B$13*Supuestos!$B$6</x:f>
        <x:v>68850</x:v>
      </x:c>
      <x:c r="S22" s="44" t="n">
        <x:f>Supuestos!$B$14</x:f>
        <x:v>0</x:v>
      </x:c>
      <x:c r="T22" s="44" t="n">
        <x:f>Supuestos!$B$22</x:f>
        <x:v>2800000</x:v>
      </x:c>
      <x:c r="U22" s="44" t="n">
        <x:f>Supuestos!$B$23</x:f>
        <x:v>350000</x:v>
      </x:c>
      <x:c r="V22" s="44" t="n">
        <x:f>Actividad_Mensual!N22</x:f>
        <x:v>2070864</x:v>
      </x:c>
      <x:c r="W22" s="52" t="n">
        <x:f>SUM(R22:V22)</x:f>
        <x:v>5289714</x:v>
      </x:c>
      <x:c r="X22" s="52" t="n">
        <x:f>P22-W22</x:f>
        <x:v>6653719.328666668</x:v>
      </x:c>
      <x:c r="Y22" s="44" t="n">
        <x:f>IFERROR(F22/E22,0)</x:f>
        <x:v>27717.82456140351</x:v>
      </x:c>
      <x:c r="Z22" s="45" t="n">
        <x:f>IFERROR(E22/Actividad_Mensual!C22,0)</x:f>
        <x:v>0.39782244556113905</x:v>
      </x:c>
      <x:c r="AA22" s="44" t="n">
        <x:f>IFERROR(V22/Actividad_Mensual!O22,0)</x:f>
        <x:v>33948.59016393442</x:v>
      </x:c>
      <x:c r="AB22" s="45" t="n">
        <x:f>IFERROR(Actividad_Mensual!P22/(E22-Actividad_Mensual!O22+Actividad_Mensual!P22),0)</x:f>
        <x:v>0.037209302325581395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5" hidden="0" customWidth="1"/>
    <x:col min="3" max="3" width="23" hidden="0" customWidth="1"/>
    <x:col min="4" max="4" width="90" hidden="0" customWidth="1"/>
  </x:cols>
  <x:sheetData>
    <x:row r="1" ht="34" customHeight="1">
      <x:c r="A1" s="36" t="str">
        <x:v>tabla</x:v>
      </x:c>
      <x:c r="B1" s="36" t="str">
        <x:v>variable</x:v>
      </x:c>
      <x:c r="C1" s="36" t="str">
        <x:v>origen</x:v>
      </x:c>
      <x:c r="D1" s="36" t="str">
        <x:v>definicion_y_regla</x:v>
      </x:c>
    </x:row>
    <x:row r="2">
      <x:c r="A2" t="str">
        <x:v>Usuarios</x:v>
      </x:c>
      <x:c r="B2" t="str">
        <x:v>usuario_id</x:v>
      </x:c>
      <x:c r="C2" t="str">
        <x:v>Registro simulado</x:v>
      </x:c>
      <x:c r="D2" t="str">
        <x:v>1 fila por persona sintética registrada; sin datos personales reales</x:v>
      </x:c>
    </x:row>
    <x:row r="3">
      <x:c r="A3" t="str">
        <x:v>Usuarios</x:v>
      </x:c>
      <x:c r="B3" t="str">
        <x:v>fecha_registro</x:v>
      </x:c>
      <x:c r="C3" t="str">
        <x:v>Registro simulado</x:v>
      </x:c>
      <x:c r="D3" t="str">
        <x:v>1 fila por persona sintética registrada; sin datos personales reales</x:v>
      </x:c>
    </x:row>
    <x:row r="4">
      <x:c r="A4" t="str">
        <x:v>Usuarios</x:v>
      </x:c>
      <x:c r="B4" t="str">
        <x:v>edad</x:v>
      </x:c>
      <x:c r="C4" t="str">
        <x:v>Registro simulado</x:v>
      </x:c>
      <x:c r="D4" t="str">
        <x:v>1 fila por persona sintética registrada; sin datos personales reales</x:v>
      </x:c>
    </x:row>
    <x:row r="5">
      <x:c r="A5" t="str">
        <x:v>Usuarios</x:v>
      </x:c>
      <x:c r="B5" t="str">
        <x:v>ciudad</x:v>
      </x:c>
      <x:c r="C5" t="str">
        <x:v>Registro simulado</x:v>
      </x:c>
      <x:c r="D5" t="str">
        <x:v>1 fila por persona sintética registrada; sin datos personales reales</x:v>
      </x:c>
    </x:row>
    <x:row r="6">
      <x:c r="A6" t="str">
        <x:v>Usuarios</x:v>
      </x:c>
      <x:c r="B6" t="str">
        <x:v>departamento</x:v>
      </x:c>
      <x:c r="C6" t="str">
        <x:v>Registro simulado</x:v>
      </x:c>
      <x:c r="D6" t="str">
        <x:v>1 fila por persona sintética registrada; sin datos personales reales</x:v>
      </x:c>
    </x:row>
    <x:row r="7">
      <x:c r="A7" t="str">
        <x:v>Usuarios</x:v>
      </x:c>
      <x:c r="B7" t="str">
        <x:v>rango_ingresos</x:v>
      </x:c>
      <x:c r="C7" t="str">
        <x:v>Registro simulado</x:v>
      </x:c>
      <x:c r="D7" t="str">
        <x:v>1 fila por persona sintética registrada; sin datos personales reales</x:v>
      </x:c>
    </x:row>
    <x:row r="8">
      <x:c r="A8" t="str">
        <x:v>Usuarios</x:v>
      </x:c>
      <x:c r="B8" t="str">
        <x:v>canal_adquisicion</x:v>
      </x:c>
      <x:c r="C8" t="str">
        <x:v>Registro simulado</x:v>
      </x:c>
      <x:c r="D8" t="str">
        <x:v>1 fila por persona sintética registrada; sin datos personales reales</x:v>
      </x:c>
    </x:row>
    <x:row r="9">
      <x:c r="A9" t="str">
        <x:v>Usuarios</x:v>
      </x:c>
      <x:c r="B9" t="str">
        <x:v>ingreso_mensual_estimado_cop</x:v>
      </x:c>
      <x:c r="C9" t="str">
        <x:v>Registro simulado</x:v>
      </x:c>
      <x:c r="D9" t="str">
        <x:v>1 fila por persona sintética registrada; sin datos personales reales</x:v>
      </x:c>
    </x:row>
    <x:row r="10">
      <x:c r="A10" t="str">
        <x:v>Usuarios</x:v>
      </x:c>
      <x:c r="B10" t="str">
        <x:v>motivacion</x:v>
      </x:c>
      <x:c r="C10" t="str">
        <x:v>Registro simulado</x:v>
      </x:c>
      <x:c r="D10" t="str">
        <x:v>1 fila por persona sintética registrada; sin datos personales reales</x:v>
      </x:c>
    </x:row>
    <x:row r="11">
      <x:c r="A11" t="str">
        <x:v>Usuarios</x:v>
      </x:c>
      <x:c r="B11" t="str">
        <x:v>estado_final</x:v>
      </x:c>
      <x:c r="C11" t="str">
        <x:v>Registro simulado</x:v>
      </x:c>
      <x:c r="D11" t="str">
        <x:v>1 fila por persona sintética registrada; sin datos personales reales</x:v>
      </x:c>
    </x:row>
    <x:row r="12">
      <x:c r="A12" t="str">
        <x:v>Suscripciones</x:v>
      </x:c>
      <x:c r="B12" t="str">
        <x:v>suscripcion_id</x:v>
      </x:c>
      <x:c r="C12" t="str">
        <x:v>Registro simulado</x:v>
      </x:c>
      <x:c r="D12" t="str">
        <x:v>1 fila por tramo continuo de permanencia en un plan; gratuita también cuenta como suscripción</x:v>
      </x:c>
    </x:row>
    <x:row r="13">
      <x:c r="A13" t="str">
        <x:v>Suscripciones</x:v>
      </x:c>
      <x:c r="B13" t="str">
        <x:v>usuario_id</x:v>
      </x:c>
      <x:c r="C13" t="str">
        <x:v>Registro simulado</x:v>
      </x:c>
      <x:c r="D13" t="str">
        <x:v>1 fila por tramo continuo de permanencia en un plan; gratuita también cuenta como suscripción</x:v>
      </x:c>
    </x:row>
    <x:row r="14">
      <x:c r="A14" t="str">
        <x:v>Suscripciones</x:v>
      </x:c>
      <x:c r="B14" t="str">
        <x:v>plan</x:v>
      </x:c>
      <x:c r="C14" t="str">
        <x:v>Registro simulado</x:v>
      </x:c>
      <x:c r="D14" t="str">
        <x:v>1 fila por tramo continuo de permanencia en un plan; gratuita también cuenta como suscripción</x:v>
      </x:c>
    </x:row>
    <x:row r="15">
      <x:c r="A15" t="str">
        <x:v>Suscripciones</x:v>
      </x:c>
      <x:c r="B15" t="str">
        <x:v>fecha_inicio</x:v>
      </x:c>
      <x:c r="C15" t="str">
        <x:v>Registro simulado</x:v>
      </x:c>
      <x:c r="D15" t="str">
        <x:v>1 fila por tramo continuo de permanencia en un plan; gratuita también cuenta como suscripción</x:v>
      </x:c>
    </x:row>
    <x:row r="16">
      <x:c r="A16" t="str">
        <x:v>Suscripciones</x:v>
      </x:c>
      <x:c r="B16" t="str">
        <x:v>ultimo_mes_en_plan</x:v>
      </x:c>
      <x:c r="C16" t="str">
        <x:v>Registro simulado</x:v>
      </x:c>
      <x:c r="D16" t="str">
        <x:v>1 fila por tramo continuo de permanencia en un plan; gratuita también cuenta como suscripción</x:v>
      </x:c>
    </x:row>
    <x:row r="17">
      <x:c r="A17" t="str">
        <x:v>Suscripciones</x:v>
      </x:c>
      <x:c r="B17" t="str">
        <x:v>estado_final</x:v>
      </x:c>
      <x:c r="C17" t="str">
        <x:v>Registro simulado</x:v>
      </x:c>
      <x:c r="D17" t="str">
        <x:v>1 fila por tramo continuo de permanencia en un plan; gratuita también cuenta como suscripción</x:v>
      </x:c>
    </x:row>
    <x:row r="18">
      <x:c r="A18" t="str">
        <x:v>Suscripciones</x:v>
      </x:c>
      <x:c r="B18" t="str">
        <x:v>periodicidad</x:v>
      </x:c>
      <x:c r="C18" t="str">
        <x:v>Registro simulado</x:v>
      </x:c>
      <x:c r="D18" t="str">
        <x:v>1 fila por tramo continuo de permanencia en un plan; gratuita también cuenta como suscripción</x:v>
      </x:c>
    </x:row>
    <x:row r="19">
      <x:c r="A19" t="str">
        <x:v>Suscripciones</x:v>
      </x:c>
      <x:c r="B19" t="str">
        <x:v>meses_en_plan</x:v>
      </x:c>
      <x:c r="C19" t="str">
        <x:v>Registro simulado</x:v>
      </x:c>
      <x:c r="D19" t="str">
        <x:v>1 fila por tramo continuo de permanencia en un plan; gratuita también cuenta como suscripción</x:v>
      </x:c>
    </x:row>
    <x:row r="20">
      <x:c r="A20" t="str">
        <x:v>Usuarios_Mes</x:v>
      </x:c>
      <x:c r="B20" t="str">
        <x:v>mes</x:v>
      </x:c>
      <x:c r="C20" t="str">
        <x:v>Registro simulado</x:v>
      </x:c>
      <x:c r="D20" t="str">
        <x:v>1 fila por usuario ACTIVO en cada mes, grano para seguimiento de suscripción y cartera; nunca sumar saldos entre meses</x:v>
      </x:c>
    </x:row>
    <x:row r="21">
      <x:c r="A21" t="str">
        <x:v>Usuarios_Mes</x:v>
      </x:c>
      <x:c r="B21" t="str">
        <x:v>usuario_id</x:v>
      </x:c>
      <x:c r="C21" t="str">
        <x:v>Registro simulado</x:v>
      </x:c>
      <x:c r="D21" t="str">
        <x:v>1 fila por usuario ACTIVO en cada mes, grano para seguimiento de suscripción y cartera; nunca sumar saldos entre meses</x:v>
      </x:c>
    </x:row>
    <x:row r="22">
      <x:c r="A22" t="str">
        <x:v>Usuarios_Mes</x:v>
      </x:c>
      <x:c r="B22" t="str">
        <x:v>plan</x:v>
      </x:c>
      <x:c r="C22" t="str">
        <x:v>Registro simulado</x:v>
      </x:c>
      <x:c r="D22" t="str">
        <x:v>1 fila por usuario ACTIVO en cada mes, grano para seguimiento de suscripción y cartera; nunca sumar saldos entre meses</x:v>
      </x:c>
    </x:row>
    <x:row r="23">
      <x:c r="A23" t="str">
        <x:v>Usuarios_Mes</x:v>
      </x:c>
      <x:c r="B23" t="str">
        <x:v>tipo_plan</x:v>
      </x:c>
      <x:c r="C23" t="str">
        <x:v>Registro simulado</x:v>
      </x:c>
      <x:c r="D23" t="str">
        <x:v>1 fila por usuario ACTIVO en cada mes, grano para seguimiento de suscripción y cartera; nunca sumar saldos entre meses</x:v>
      </x:c>
    </x:row>
    <x:row r="24">
      <x:c r="A24" t="str">
        <x:v>Usuarios_Mes</x:v>
      </x:c>
      <x:c r="B24" t="str">
        <x:v>ciudad</x:v>
      </x:c>
      <x:c r="C24" t="str">
        <x:v>Registro simulado</x:v>
      </x:c>
      <x:c r="D24" t="str">
        <x:v>1 fila por usuario ACTIVO en cada mes, grano para seguimiento de suscripción y cartera; nunca sumar saldos entre meses</x:v>
      </x:c>
    </x:row>
    <x:row r="25">
      <x:c r="A25" t="str">
        <x:v>Usuarios_Mes</x:v>
      </x:c>
      <x:c r="B25" t="str">
        <x:v>departamento</x:v>
      </x:c>
      <x:c r="C25" t="str">
        <x:v>Registro simulado</x:v>
      </x:c>
      <x:c r="D25" t="str">
        <x:v>1 fila por usuario ACTIVO en cada mes, grano para seguimiento de suscripción y cartera; nunca sumar saldos entre meses</x:v>
      </x:c>
    </x:row>
    <x:row r="26">
      <x:c r="A26" t="str">
        <x:v>Usuarios_Mes</x:v>
      </x:c>
      <x:c r="B26" t="str">
        <x:v>edad</x:v>
      </x:c>
      <x:c r="C26" t="str">
        <x:v>Registro simulado</x:v>
      </x:c>
      <x:c r="D26" t="str">
        <x:v>1 fila por usuario ACTIVO en cada mes, grano para seguimiento de suscripción y cartera; nunca sumar saldos entre meses</x:v>
      </x:c>
    </x:row>
    <x:row r="27">
      <x:c r="A27" t="str">
        <x:v>Usuarios_Mes</x:v>
      </x:c>
      <x:c r="B27" t="str">
        <x:v>rango_ingresos</x:v>
      </x:c>
      <x:c r="C27" t="str">
        <x:v>Registro simulado</x:v>
      </x:c>
      <x:c r="D27" t="str">
        <x:v>1 fila por usuario ACTIVO en cada mes, grano para seguimiento de suscripción y cartera; nunca sumar saldos entre meses</x:v>
      </x:c>
    </x:row>
    <x:row r="28">
      <x:c r="A28" t="str">
        <x:v>Usuarios_Mes</x:v>
      </x:c>
      <x:c r="B28" t="str">
        <x:v>canal_adquisicion</x:v>
      </x:c>
      <x:c r="C28" t="str">
        <x:v>Registro simulado</x:v>
      </x:c>
      <x:c r="D28" t="str">
        <x:v>1 fila por usuario ACTIVO en cada mes, grano para seguimiento de suscripción y cartera; nunca sumar saldos entre meses</x:v>
      </x:c>
    </x:row>
    <x:row r="29">
      <x:c r="A29" t="str">
        <x:v>Usuarios_Mes</x:v>
      </x:c>
      <x:c r="B29" t="str">
        <x:v>deudas_activas</x:v>
      </x:c>
      <x:c r="C29" t="str">
        <x:v>Registro simulado</x:v>
      </x:c>
      <x:c r="D29" t="str">
        <x:v>1 fila por usuario ACTIVO en cada mes, grano para seguimiento de suscripción y cartera; nunca sumar saldos entre meses</x:v>
      </x:c>
    </x:row>
    <x:row r="30">
      <x:c r="A30" t="str">
        <x:v>Usuarios_Mes</x:v>
      </x:c>
      <x:c r="B30" t="str">
        <x:v>deudas_pagadas_acumuladas</x:v>
      </x:c>
      <x:c r="C30" t="str">
        <x:v>Registro simulado</x:v>
      </x:c>
      <x:c r="D30" t="str">
        <x:v>1 fila por usuario ACTIVO en cada mes, grano para seguimiento de suscripción y cartera; nunca sumar saldos entre meses</x:v>
      </x:c>
    </x:row>
    <x:row r="31">
      <x:c r="A31" t="str">
        <x:v>Usuarios_Mes</x:v>
      </x:c>
      <x:c r="B31" t="str">
        <x:v>saldo_deudas_fin_mes_cop</x:v>
      </x:c>
      <x:c r="C31" t="str">
        <x:v>Registro simulado</x:v>
      </x:c>
      <x:c r="D31" t="str">
        <x:v>Foto a fin de mes; NUNCA sumar saldos entre meses, usar último saldo de período</x:v>
      </x:c>
    </x:row>
    <x:row r="32">
      <x:c r="A32" t="str">
        <x:v>Usuarios_Mes</x:v>
      </x:c>
      <x:c r="B32" t="str">
        <x:v>abonos_deudas_mes_cop</x:v>
      </x:c>
      <x:c r="C32" t="str">
        <x:v>Registro simulado</x:v>
      </x:c>
      <x:c r="D32" t="str">
        <x:v>1 fila por usuario ACTIVO en cada mes, grano para seguimiento de suscripción y cartera; nunca sumar saldos entre meses</x:v>
      </x:c>
    </x:row>
    <x:row r="33">
      <x:c r="A33" t="str">
        <x:v>Usuarios_Mes</x:v>
      </x:c>
      <x:c r="B33" t="str">
        <x:v>cantidad_abonos_mes</x:v>
      </x:c>
      <x:c r="C33" t="str">
        <x:v>Registro simulado</x:v>
      </x:c>
      <x:c r="D33" t="str">
        <x:v>1 fila por usuario ACTIVO en cada mes, grano para seguimiento de suscripción y cartera; nunca sumar saldos entre meses</x:v>
      </x:c>
    </x:row>
    <x:row r="34">
      <x:c r="A34" t="str">
        <x:v>Usuarios_Mes</x:v>
      </x:c>
      <x:c r="B34" t="str">
        <x:v>mrr_equivalente_cop</x:v>
      </x:c>
      <x:c r="C34" t="str">
        <x:v>Registro simulado</x:v>
      </x:c>
      <x:c r="D34" t="str">
        <x:v>Precio Plus mensual o precio Plus anual dividido entre 12; por usuario/mes, sin cobrar de nuevo anualidad</x:v>
      </x:c>
    </x:row>
    <x:row r="35">
      <x:c r="A35" t="str">
        <x:v>Usuarios_Mes</x:v>
      </x:c>
      <x:c r="B35" t="str">
        <x:v>antiguedad_meses</x:v>
      </x:c>
      <x:c r="C35" t="str">
        <x:v>Registro simulado</x:v>
      </x:c>
      <x:c r="D35" t="str">
        <x:v>1 fila por usuario ACTIVO en cada mes, grano para seguimiento de suscripción y cartera; nunca sumar saldos entre meses</x:v>
      </x:c>
    </x:row>
    <x:row r="36">
      <x:c r="A36" t="str">
        <x:v>Deudas</x:v>
      </x:c>
      <x:c r="B36" t="str">
        <x:v>deuda_id</x:v>
      </x:c>
      <x:c r="C36" t="str">
        <x:v>Registro simulado</x:v>
      </x:c>
      <x:c r="D36" t="str">
        <x:v>1 fila por obligación externa; capital no es ingreso Ceroa</x:v>
      </x:c>
    </x:row>
    <x:row r="37">
      <x:c r="A37" t="str">
        <x:v>Deudas</x:v>
      </x:c>
      <x:c r="B37" t="str">
        <x:v>usuario_id</x:v>
      </x:c>
      <x:c r="C37" t="str">
        <x:v>Registro simulado</x:v>
      </x:c>
      <x:c r="D37" t="str">
        <x:v>1 fila por obligación externa; capital no es ingreso Ceroa</x:v>
      </x:c>
    </x:row>
    <x:row r="38">
      <x:c r="A38" t="str">
        <x:v>Deudas</x:v>
      </x:c>
      <x:c r="B38" t="str">
        <x:v>fecha_apertura</x:v>
      </x:c>
      <x:c r="C38" t="str">
        <x:v>Registro simulado</x:v>
      </x:c>
      <x:c r="D38" t="str">
        <x:v>1 fila por obligación externa; capital no es ingreso Ceroa</x:v>
      </x:c>
    </x:row>
    <x:row r="39">
      <x:c r="A39" t="str">
        <x:v>Deudas</x:v>
      </x:c>
      <x:c r="B39" t="str">
        <x:v>acreedor_ficticio</x:v>
      </x:c>
      <x:c r="C39" t="str">
        <x:v>Registro simulado</x:v>
      </x:c>
      <x:c r="D39" t="str">
        <x:v>1 fila por obligación externa; capital no es ingreso Ceroa</x:v>
      </x:c>
    </x:row>
    <x:row r="40">
      <x:c r="A40" t="str">
        <x:v>Deudas</x:v>
      </x:c>
      <x:c r="B40" t="str">
        <x:v>tipo_credito</x:v>
      </x:c>
      <x:c r="C40" t="str">
        <x:v>Registro simulado</x:v>
      </x:c>
      <x:c r="D40" t="str">
        <x:v>1 fila por obligación externa; capital no es ingreso Ceroa</x:v>
      </x:c>
    </x:row>
    <x:row r="41">
      <x:c r="A41" t="str">
        <x:v>Deudas</x:v>
      </x:c>
      <x:c r="B41" t="str">
        <x:v>capital_inicial_cop</x:v>
      </x:c>
      <x:c r="C41" t="str">
        <x:v>Registro simulado</x:v>
      </x:c>
      <x:c r="D41" t="str">
        <x:v>1 fila por obligación externa; capital no es ingreso Ceroa</x:v>
      </x:c>
    </x:row>
    <x:row r="42">
      <x:c r="A42" t="str">
        <x:v>Deudas</x:v>
      </x:c>
      <x:c r="B42" t="str">
        <x:v>tasa_efectiva_anual</x:v>
      </x:c>
      <x:c r="C42" t="str">
        <x:v>Registro simulado</x:v>
      </x:c>
      <x:c r="D42" t="str">
        <x:v>1 fila por obligación externa; capital no es ingreso Ceroa</x:v>
      </x:c>
    </x:row>
    <x:row r="43">
      <x:c r="A43" t="str">
        <x:v>Deudas</x:v>
      </x:c>
      <x:c r="B43" t="str">
        <x:v>tasa_mensual_efectiva</x:v>
      </x:c>
      <x:c r="C43" t="str">
        <x:v>Registro simulado</x:v>
      </x:c>
      <x:c r="D43" t="str">
        <x:v>1 fila por obligación externa; capital no es ingreso Ceroa</x:v>
      </x:c>
    </x:row>
    <x:row r="44">
      <x:c r="A44" t="str">
        <x:v>Deudas</x:v>
      </x:c>
      <x:c r="B44" t="str">
        <x:v>plazo_estimado_meses</x:v>
      </x:c>
      <x:c r="C44" t="str">
        <x:v>Registro simulado</x:v>
      </x:c>
      <x:c r="D44" t="str">
        <x:v>1 fila por obligación externa; capital no es ingreso Ceroa</x:v>
      </x:c>
    </x:row>
    <x:row r="45">
      <x:c r="A45" t="str">
        <x:v>Deudas</x:v>
      </x:c>
      <x:c r="B45" t="str">
        <x:v>cuota_referencia_cop</x:v>
      </x:c>
      <x:c r="C45" t="str">
        <x:v>Registro simulado</x:v>
      </x:c>
      <x:c r="D45" t="str">
        <x:v>1 fila por obligación externa; capital no es ingreso Ceroa</x:v>
      </x:c>
    </x:row>
    <x:row r="46">
      <x:c r="A46" t="str">
        <x:v>Deudas</x:v>
      </x:c>
      <x:c r="B46" t="str">
        <x:v>estrategia</x:v>
      </x:c>
      <x:c r="C46" t="str">
        <x:v>Registro simulado</x:v>
      </x:c>
      <x:c r="D46" t="str">
        <x:v>1 fila por obligación externa; capital no es ingreso Ceroa</x:v>
      </x:c>
    </x:row>
    <x:row r="47">
      <x:c r="A47" t="str">
        <x:v>Deudas</x:v>
      </x:c>
      <x:c r="B47" t="str">
        <x:v>estado_final</x:v>
      </x:c>
      <x:c r="C47" t="str">
        <x:v>Registro simulado</x:v>
      </x:c>
      <x:c r="D47" t="str">
        <x:v>1 fila por obligación externa; capital no es ingreso Ceroa</x:v>
      </x:c>
    </x:row>
    <x:row r="48">
      <x:c r="A48" t="str">
        <x:v>Deudas</x:v>
      </x:c>
      <x:c r="B48" t="str">
        <x:v>saldo_final_cop</x:v>
      </x:c>
      <x:c r="C48" t="str">
        <x:v>Registro simulado</x:v>
      </x:c>
      <x:c r="D48" t="str">
        <x:v>Foto a fin de mes; NUNCA sumar saldos entre meses, usar último saldo de período</x:v>
      </x:c>
    </x:row>
    <x:row r="49">
      <x:c r="A49" t="str">
        <x:v>Deudas</x:v>
      </x:c>
      <x:c r="B49" t="str">
        <x:v>fecha_cierre</x:v>
      </x:c>
      <x:c r="C49" t="str">
        <x:v>Registro simulado</x:v>
      </x:c>
      <x:c r="D49" t="str">
        <x:v>1 fila por obligación externa; capital no es ingreso Ceroa</x:v>
      </x:c>
    </x:row>
    <x:row r="50">
      <x:c r="A50" t="str">
        <x:v>Abonos_Deuda</x:v>
      </x:c>
      <x:c r="B50" t="str">
        <x:v>abono_id</x:v>
      </x:c>
      <x:c r="C50" t="str">
        <x:v>Registro simulado</x:v>
      </x:c>
      <x:c r="D50" t="str">
        <x:v>1 fila por pago del usuario a acreedor; no entra en ingresos de Ceroa</x:v>
      </x:c>
    </x:row>
    <x:row r="51">
      <x:c r="A51" t="str">
        <x:v>Abonos_Deuda</x:v>
      </x:c>
      <x:c r="B51" t="str">
        <x:v>mes</x:v>
      </x:c>
      <x:c r="C51" t="str">
        <x:v>Registro simulado</x:v>
      </x:c>
      <x:c r="D51" t="str">
        <x:v>1 fila por pago del usuario a acreedor; no entra en ingresos de Ceroa</x:v>
      </x:c>
    </x:row>
    <x:row r="52">
      <x:c r="A52" t="str">
        <x:v>Abonos_Deuda</x:v>
      </x:c>
      <x:c r="B52" t="str">
        <x:v>fecha_abono</x:v>
      </x:c>
      <x:c r="C52" t="str">
        <x:v>Registro simulado</x:v>
      </x:c>
      <x:c r="D52" t="str">
        <x:v>1 fila por pago del usuario a acreedor; no entra en ingresos de Ceroa</x:v>
      </x:c>
    </x:row>
    <x:row r="53">
      <x:c r="A53" t="str">
        <x:v>Abonos_Deuda</x:v>
      </x:c>
      <x:c r="B53" t="str">
        <x:v>usuario_id</x:v>
      </x:c>
      <x:c r="C53" t="str">
        <x:v>Registro simulado</x:v>
      </x:c>
      <x:c r="D53" t="str">
        <x:v>1 fila por pago del usuario a acreedor; no entra en ingresos de Ceroa</x:v>
      </x:c>
    </x:row>
    <x:row r="54">
      <x:c r="A54" t="str">
        <x:v>Abonos_Deuda</x:v>
      </x:c>
      <x:c r="B54" t="str">
        <x:v>deuda_id</x:v>
      </x:c>
      <x:c r="C54" t="str">
        <x:v>Registro simulado</x:v>
      </x:c>
      <x:c r="D54" t="str">
        <x:v>1 fila por pago del usuario a acreedor; no entra en ingresos de Ceroa</x:v>
      </x:c>
    </x:row>
    <x:row r="55">
      <x:c r="A55" t="str">
        <x:v>Abonos_Deuda</x:v>
      </x:c>
      <x:c r="B55" t="str">
        <x:v>pago_credito_cop</x:v>
      </x:c>
      <x:c r="C55" t="str">
        <x:v>Registro simulado</x:v>
      </x:c>
      <x:c r="D55" t="str">
        <x:v>1 fila por pago del usuario a acreedor; no entra en ingresos de Ceroa</x:v>
      </x:c>
    </x:row>
    <x:row r="56">
      <x:c r="A56" t="str">
        <x:v>Abonos_Deuda</x:v>
      </x:c>
      <x:c r="B56" t="str">
        <x:v>intereses_pagados_cop</x:v>
      </x:c>
      <x:c r="C56" t="str">
        <x:v>Registro simulado</x:v>
      </x:c>
      <x:c r="D56" t="str">
        <x:v>1 fila por pago del usuario a acreedor; no entra en ingresos de Ceroa</x:v>
      </x:c>
    </x:row>
    <x:row r="57">
      <x:c r="A57" t="str">
        <x:v>Abonos_Deuda</x:v>
      </x:c>
      <x:c r="B57" t="str">
        <x:v>abono_capital_cop</x:v>
      </x:c>
      <x:c r="C57" t="str">
        <x:v>Registro simulado</x:v>
      </x:c>
      <x:c r="D57" t="str">
        <x:v>1 fila por pago del usuario a acreedor; no entra en ingresos de Ceroa</x:v>
      </x:c>
    </x:row>
    <x:row r="58">
      <x:c r="A58" t="str">
        <x:v>Abonos_Deuda</x:v>
      </x:c>
      <x:c r="B58" t="str">
        <x:v>saldo_credito_pospago_cop</x:v>
      </x:c>
      <x:c r="C58" t="str">
        <x:v>Registro simulado</x:v>
      </x:c>
      <x:c r="D58" t="str">
        <x:v>Foto a fin de mes; NUNCA sumar saldos entre meses, usar último saldo de período</x:v>
      </x:c>
    </x:row>
    <x:row r="59">
      <x:c r="A59" t="str">
        <x:v>Abonos_Deuda</x:v>
      </x:c>
      <x:c r="B59" t="str">
        <x:v>regularidad</x:v>
      </x:c>
      <x:c r="C59" t="str">
        <x:v>Registro simulado</x:v>
      </x:c>
      <x:c r="D59" t="str">
        <x:v>1 fila por pago del usuario a acreedor; no entra en ingresos de Ceroa</x:v>
      </x:c>
    </x:row>
    <x:row r="60">
      <x:c r="A60" t="str">
        <x:v>Cobros</x:v>
      </x:c>
      <x:c r="B60" t="str">
        <x:v>transaccion_id</x:v>
      </x:c>
      <x:c r="C60" t="str">
        <x:v>Registro simulado</x:v>
      </x:c>
      <x:c r="D60" t="str">
        <x:v>1 fila por intento de pago de suscripción; solo Aprobado es efectivo; reintentos no duplican cobro</x:v>
      </x:c>
    </x:row>
    <x:row r="61">
      <x:c r="A61" t="str">
        <x:v>Cobros</x:v>
      </x:c>
      <x:c r="B61" t="str">
        <x:v>mes</x:v>
      </x:c>
      <x:c r="C61" t="str">
        <x:v>Registro simulado</x:v>
      </x:c>
      <x:c r="D61" t="str">
        <x:v>1 fila por intento de pago de suscripción; solo Aprobado es efectivo; reintentos no duplican cobro</x:v>
      </x:c>
    </x:row>
    <x:row r="62">
      <x:c r="A62" t="str">
        <x:v>Cobros</x:v>
      </x:c>
      <x:c r="B62" t="str">
        <x:v>fecha_transaccion</x:v>
      </x:c>
      <x:c r="C62" t="str">
        <x:v>Registro simulado</x:v>
      </x:c>
      <x:c r="D62" t="str">
        <x:v>1 fila por intento de pago de suscripción; solo Aprobado es efectivo; reintentos no duplican cobro</x:v>
      </x:c>
    </x:row>
    <x:row r="63">
      <x:c r="A63" t="str">
        <x:v>Cobros</x:v>
      </x:c>
      <x:c r="B63" t="str">
        <x:v>usuario_id</x:v>
      </x:c>
      <x:c r="C63" t="str">
        <x:v>Registro simulado</x:v>
      </x:c>
      <x:c r="D63" t="str">
        <x:v>1 fila por intento de pago de suscripción; solo Aprobado es efectivo; reintentos no duplican cobro</x:v>
      </x:c>
    </x:row>
    <x:row r="64">
      <x:c r="A64" t="str">
        <x:v>Cobros</x:v>
      </x:c>
      <x:c r="B64" t="str">
        <x:v>suscripcion_id</x:v>
      </x:c>
      <x:c r="C64" t="str">
        <x:v>Registro simulado</x:v>
      </x:c>
      <x:c r="D64" t="str">
        <x:v>1 fila por intento de pago de suscripción; solo Aprobado es efectivo; reintentos no duplican cobro</x:v>
      </x:c>
    </x:row>
    <x:row r="65">
      <x:c r="A65" t="str">
        <x:v>Cobros</x:v>
      </x:c>
      <x:c r="B65" t="str">
        <x:v>plan_solicitado</x:v>
      </x:c>
      <x:c r="C65" t="str">
        <x:v>Registro simulado</x:v>
      </x:c>
      <x:c r="D65" t="str">
        <x:v>1 fila por intento de pago de suscripción; solo Aprobado es efectivo; reintentos no duplican cobro</x:v>
      </x:c>
    </x:row>
    <x:row r="66">
      <x:c r="A66" t="str">
        <x:v>Cobros</x:v>
      </x:c>
      <x:c r="B66" t="str">
        <x:v>periodo_facturacion</x:v>
      </x:c>
      <x:c r="C66" t="str">
        <x:v>Registro simulado</x:v>
      </x:c>
      <x:c r="D66" t="str">
        <x:v>1 fila por intento de pago de suscripción; solo Aprobado es efectivo; reintentos no duplican cobro</x:v>
      </x:c>
    </x:row>
    <x:row r="67">
      <x:c r="A67" t="str">
        <x:v>Cobros</x:v>
      </x:c>
      <x:c r="B67" t="str">
        <x:v>intento</x:v>
      </x:c>
      <x:c r="C67" t="str">
        <x:v>Registro simulado</x:v>
      </x:c>
      <x:c r="D67" t="str">
        <x:v>1 fila por intento de pago de suscripción; solo Aprobado es efectivo; reintentos no duplican cobro</x:v>
      </x:c>
    </x:row>
    <x:row r="68">
      <x:c r="A68" t="str">
        <x:v>Cobros</x:v>
      </x:c>
      <x:c r="B68" t="str">
        <x:v>estado</x:v>
      </x:c>
      <x:c r="C68" t="str">
        <x:v>Registro simulado</x:v>
      </x:c>
      <x:c r="D68" t="str">
        <x:v>1 fila por intento de pago de suscripción; solo Aprobado es efectivo; reintentos no duplican cobro</x:v>
      </x:c>
    </x:row>
    <x:row r="69">
      <x:c r="A69" t="str">
        <x:v>Cobros</x:v>
      </x:c>
      <x:c r="B69" t="str">
        <x:v>importe_cop</x:v>
      </x:c>
      <x:c r="C69" t="str">
        <x:v>Registro simulado</x:v>
      </x:c>
      <x:c r="D69" t="str">
        <x:v>Monto solicitado del intento: filtrar estado Aprobado para efectivo</x:v>
      </x:c>
    </x:row>
    <x:row r="70">
      <x:c r="A70" t="str">
        <x:v>Cobros</x:v>
      </x:c>
      <x:c r="B70" t="str">
        <x:v>metodo_pago</x:v>
      </x:c>
      <x:c r="C70" t="str">
        <x:v>Registro simulado</x:v>
      </x:c>
      <x:c r="D70" t="str">
        <x:v>1 fila por intento de pago de suscripción; solo Aprobado es efectivo; reintentos no duplican cobro</x:v>
      </x:c>
    </x:row>
    <x:row r="71">
      <x:c r="A71" t="str">
        <x:v>Cobros</x:v>
      </x:c>
      <x:c r="B71" t="str">
        <x:v>motivo</x:v>
      </x:c>
      <x:c r="C71" t="str">
        <x:v>Registro simulado</x:v>
      </x:c>
      <x:c r="D71" t="str">
        <x:v>1 fila por intento de pago de suscripción; solo Aprobado es efectivo; reintentos no duplican cobro</x:v>
      </x:c>
    </x:row>
    <x:row r="72">
      <x:c r="A72" t="str">
        <x:v>Adquisicion</x:v>
      </x:c>
      <x:c r="B72" t="str">
        <x:v>mes</x:v>
      </x:c>
      <x:c r="C72" t="str">
        <x:v>Registro simulado</x:v>
      </x:c>
      <x:c r="D72" t="str">
        <x:v>1 fila por mes y canal de adquisición; inversión en marketing sintética</x:v>
      </x:c>
    </x:row>
    <x:row r="73">
      <x:c r="A73" t="str">
        <x:v>Adquisicion</x:v>
      </x:c>
      <x:c r="B73" t="str">
        <x:v>canal_adquisicion</x:v>
      </x:c>
      <x:c r="C73" t="str">
        <x:v>Registro simulado</x:v>
      </x:c>
      <x:c r="D73" t="str">
        <x:v>1 fila por mes y canal de adquisición; inversión en marketing sintética</x:v>
      </x:c>
    </x:row>
    <x:row r="74">
      <x:c r="A74" t="str">
        <x:v>Adquisicion</x:v>
      </x:c>
      <x:c r="B74" t="str">
        <x:v>usuarios_nuevos</x:v>
      </x:c>
      <x:c r="C74" t="str">
        <x:v>Registro simulado</x:v>
      </x:c>
      <x:c r="D74" t="str">
        <x:v>1 fila por mes y canal de adquisición; inversión en marketing sintética</x:v>
      </x:c>
    </x:row>
    <x:row r="75">
      <x:c r="A75" t="str">
        <x:v>Adquisicion</x:v>
      </x:c>
      <x:c r="B75" t="str">
        <x:v>inversion_marketing_cop</x:v>
      </x:c>
      <x:c r="C75" t="str">
        <x:v>Registro simulado</x:v>
      </x:c>
      <x:c r="D75" t="str">
        <x:v>1 fila por mes y canal de adquisición; inversión en marketing sintética</x:v>
      </x:c>
    </x:row>
    <x:row r="76">
      <x:c r="A76" t="str">
        <x:v>Adquisicion</x:v>
      </x:c>
      <x:c r="B76" t="str">
        <x:v>impresiones</x:v>
      </x:c>
      <x:c r="C76" t="str">
        <x:v>Registro simulado</x:v>
      </x:c>
      <x:c r="D76" t="str">
        <x:v>1 fila por mes y canal de adquisición; inversión en marketing sintética</x:v>
      </x:c>
    </x:row>
    <x:row r="77">
      <x:c r="A77" t="str">
        <x:v>Adquisicion</x:v>
      </x:c>
      <x:c r="B77" t="str">
        <x:v>visitas</x:v>
      </x:c>
      <x:c r="C77" t="str">
        <x:v>Registro simulado</x:v>
      </x:c>
      <x:c r="D77" t="str">
        <x:v>1 fila por mes y canal de adquisición; inversión en marketing sintética</x:v>
      </x:c>
    </x:row>
    <x:row r="78">
      <x:c r="A78" t="str">
        <x:v>Actividad_Mensual</x:v>
      </x:c>
      <x:c r="B78" t="str">
        <x:v>mes</x:v>
      </x:c>
      <x:c r="C78" t="str">
        <x:v>Registro simulado</x:v>
      </x:c>
      <x:c r="D78" t="str">
        <x:v>1 fila por mes, métricas auditables derivadas de las fuentes</x:v>
      </x:c>
    </x:row>
    <x:row r="79">
      <x:c r="A79" t="str">
        <x:v>Actividad_Mensual</x:v>
      </x:c>
      <x:c r="B79" t="str">
        <x:v>usuarios_nuevos</x:v>
      </x:c>
      <x:c r="C79" t="str">
        <x:v>Registro simulado</x:v>
      </x:c>
      <x:c r="D79" t="str">
        <x:v>1 fila por mes, métricas auditables derivadas de las fuentes</x:v>
      </x:c>
    </x:row>
    <x:row r="80">
      <x:c r="A80" t="str">
        <x:v>Actividad_Mensual</x:v>
      </x:c>
      <x:c r="B80" t="str">
        <x:v>usuarios_activos</x:v>
      </x:c>
      <x:c r="C80" t="str">
        <x:v>Registro simulado</x:v>
      </x:c>
      <x:c r="D80" t="str">
        <x:v>1 fila por mes, métricas auditables derivadas de las fuentes</x:v>
      </x:c>
    </x:row>
    <x:row r="81">
      <x:c r="A81" t="str">
        <x:v>Actividad_Mensual</x:v>
      </x:c>
      <x:c r="B81" t="str">
        <x:v>usuarios_gratis</x:v>
      </x:c>
      <x:c r="C81" t="str">
        <x:v>Registro simulado</x:v>
      </x:c>
      <x:c r="D81" t="str">
        <x:v>1 fila por mes, métricas auditables derivadas de las fuentes</x:v>
      </x:c>
    </x:row>
    <x:row r="82">
      <x:c r="A82" t="str">
        <x:v>Actividad_Mensual</x:v>
      </x:c>
      <x:c r="B82" t="str">
        <x:v>plus_mensual_activos</x:v>
      </x:c>
      <x:c r="C82" t="str">
        <x:v>Registro simulado</x:v>
      </x:c>
      <x:c r="D82" t="str">
        <x:v>1 fila por mes, métricas auditables derivadas de las fuentes</x:v>
      </x:c>
    </x:row>
    <x:row r="83">
      <x:c r="A83" t="str">
        <x:v>Actividad_Mensual</x:v>
      </x:c>
      <x:c r="B83" t="str">
        <x:v>plus_anual_activos</x:v>
      </x:c>
      <x:c r="C83" t="str">
        <x:v>Registro simulado</x:v>
      </x:c>
      <x:c r="D83" t="str">
        <x:v>1 fila por mes, métricas auditables derivadas de las fuentes</x:v>
      </x:c>
    </x:row>
    <x:row r="84">
      <x:c r="A84" t="str">
        <x:v>Actividad_Mensual</x:v>
      </x:c>
      <x:c r="B84" t="str">
        <x:v>usuarios_plus</x:v>
      </x:c>
      <x:c r="C84" t="str">
        <x:v>Registro simulado</x:v>
      </x:c>
      <x:c r="D84" t="str">
        <x:v>1 fila por mes, métricas auditables derivadas de las fuentes</x:v>
      </x:c>
    </x:row>
    <x:row r="85">
      <x:c r="A85" t="str">
        <x:v>Actividad_Mensual</x:v>
      </x:c>
      <x:c r="B85" t="str">
        <x:v>deudas_activas</x:v>
      </x:c>
      <x:c r="C85" t="str">
        <x:v>Registro simulado</x:v>
      </x:c>
      <x:c r="D85" t="str">
        <x:v>1 fila por mes, métricas auditables derivadas de las fuentes</x:v>
      </x:c>
    </x:row>
    <x:row r="86">
      <x:c r="A86" t="str">
        <x:v>Actividad_Mensual</x:v>
      </x:c>
      <x:c r="B86" t="str">
        <x:v>saldo_deudas_administradas_cop</x:v>
      </x:c>
      <x:c r="C86" t="str">
        <x:v>Registro simulado</x:v>
      </x:c>
      <x:c r="D86" t="str">
        <x:v>Foto a fin de mes; NUNCA sumar saldos entre meses, usar último saldo de período</x:v>
      </x:c>
    </x:row>
    <x:row r="87">
      <x:c r="A87" t="str">
        <x:v>Actividad_Mensual</x:v>
      </x:c>
      <x:c r="B87" t="str">
        <x:v>abonos_a_acreedores_cop</x:v>
      </x:c>
      <x:c r="C87" t="str">
        <x:v>Registro simulado</x:v>
      </x:c>
      <x:c r="D87" t="str">
        <x:v>1 fila por mes, métricas auditables derivadas de las fuentes</x:v>
      </x:c>
    </x:row>
    <x:row r="88">
      <x:c r="A88" t="str">
        <x:v>Actividad_Mensual</x:v>
      </x:c>
      <x:c r="B88" t="str">
        <x:v>cobros_aprobados</x:v>
      </x:c>
      <x:c r="C88" t="str">
        <x:v>Registro simulado</x:v>
      </x:c>
      <x:c r="D88" t="str">
        <x:v>1 fila por mes, métricas auditables derivadas de las fuentes</x:v>
      </x:c>
    </x:row>
    <x:row r="89">
      <x:c r="A89" t="str">
        <x:v>Actividad_Mensual</x:v>
      </x:c>
      <x:c r="B89" t="str">
        <x:v>cobros_rechazados</x:v>
      </x:c>
      <x:c r="C89" t="str">
        <x:v>Registro simulado</x:v>
      </x:c>
      <x:c r="D89" t="str">
        <x:v>1 fila por mes, métricas auditables derivadas de las fuentes</x:v>
      </x:c>
    </x:row>
    <x:row r="90">
      <x:c r="A90" t="str">
        <x:v>Actividad_Mensual</x:v>
      </x:c>
      <x:c r="B90" t="str">
        <x:v>recaudo_ceroa_cop</x:v>
      </x:c>
      <x:c r="C90" t="str">
        <x:v>Registro simulado</x:v>
      </x:c>
      <x:c r="D90" t="str">
        <x:v>Suma de importe de cobros solo en estado Aprobado</x:v>
      </x:c>
    </x:row>
    <x:row r="91">
      <x:c r="A91" t="str">
        <x:v>Actividad_Mensual</x:v>
      </x:c>
      <x:c r="B91" t="str">
        <x:v>inversion_marketing_cop</x:v>
      </x:c>
      <x:c r="C91" t="str">
        <x:v>Registro simulado</x:v>
      </x:c>
      <x:c r="D91" t="str">
        <x:v>1 fila por mes, métricas auditables derivadas de las fuentes</x:v>
      </x:c>
    </x:row>
    <x:row r="92">
      <x:c r="A92" t="str">
        <x:v>Actividad_Mensual</x:v>
      </x:c>
      <x:c r="B92" t="str">
        <x:v>altas_plus</x:v>
      </x:c>
      <x:c r="C92" t="str">
        <x:v>Registro simulado</x:v>
      </x:c>
      <x:c r="D92" t="str">
        <x:v>1 fila por mes, métricas auditables derivadas de las fuentes</x:v>
      </x:c>
    </x:row>
    <x:row r="93">
      <x:c r="A93" t="str">
        <x:v>Actividad_Mensual</x:v>
      </x:c>
      <x:c r="B93" t="str">
        <x:v>bajas_plus</x:v>
      </x:c>
      <x:c r="C93" t="str">
        <x:v>Registro simulado</x:v>
      </x:c>
      <x:c r="D93" t="str">
        <x:v>1 fila por mes, métricas auditables derivadas de las fuentes</x:v>
      </x:c>
    </x:row>
    <x:row r="94">
      <x:c r="A94" t="str">
        <x:v>Actividad_Mensual</x:v>
      </x:c>
      <x:c r="B94" t="str">
        <x:v>mensajes_estimados</x:v>
      </x:c>
      <x:c r="C94" t="str">
        <x:v>Registro simulado</x:v>
      </x:c>
      <x:c r="D94" t="str">
        <x:v>1 fila por mes, métricas auditables derivadas de las fuentes</x:v>
      </x:c>
    </x:row>
    <x:row r="95">
      <x:c r="A95" t="str">
        <x:v>Actividad_Mensual</x:v>
      </x:c>
      <x:c r="B95" t="str">
        <x:v>sesiones_estimadas</x:v>
      </x:c>
      <x:c r="C95" t="str">
        <x:v>Registro simulado</x:v>
      </x:c>
      <x:c r="D95" t="str">
        <x:v>1 fila por mes, métricas auditables derivadas de las fuentes</x:v>
      </x:c>
    </x:row>
    <x:row r="96">
      <x:c r="A96" t="str">
        <x:v>Actividad_Mensual</x:v>
      </x:c>
      <x:c r="B96" t="str">
        <x:v>visitas_estimadas</x:v>
      </x:c>
      <x:c r="C96" t="str">
        <x:v>Registro simulado</x:v>
      </x:c>
      <x:c r="D96" t="str">
        <x:v>1 fila por mes, métricas auditables derivadas de las fuentes</x:v>
      </x:c>
    </x:row>
    <x:row r="97">
      <x:c r="A97" t="str">
        <x:v>Finanzas_Mes</x:v>
      </x:c>
      <x:c r="B97" t="str">
        <x:v>mes</x:v>
      </x:c>
      <x:c r="C97" t="str">
        <x:v>Fórmula nueva</x:v>
      </x:c>
      <x:c r="D97" t="str">
        <x:v>Costos de insumos por consumos y supuestos; precios reales únicos de Airtable</x:v>
      </x:c>
    </x:row>
    <x:row r="98">
      <x:c r="A98" t="str">
        <x:v>Finanzas_Mes</x:v>
      </x:c>
      <x:c r="B98" t="str">
        <x:v>usuarios_gratis</x:v>
      </x:c>
      <x:c r="C98" t="str">
        <x:v>Fórmula nueva</x:v>
      </x:c>
      <x:c r="D98" t="str">
        <x:v>Costos de insumos por consumos y supuestos; precios reales únicos de Airtable</x:v>
      </x:c>
    </x:row>
    <x:row r="99">
      <x:c r="A99" t="str">
        <x:v>Finanzas_Mes</x:v>
      </x:c>
      <x:c r="B99" t="str">
        <x:v>plus_mensual</x:v>
      </x:c>
      <x:c r="C99" t="str">
        <x:v>Fórmula nueva</x:v>
      </x:c>
      <x:c r="D99" t="str">
        <x:v>Costos de insumos por consumos y supuestos; precios reales únicos de Airtable</x:v>
      </x:c>
    </x:row>
    <x:row r="100">
      <x:c r="A100" t="str">
        <x:v>Finanzas_Mes</x:v>
      </x:c>
      <x:c r="B100" t="str">
        <x:v>plus_anual</x:v>
      </x:c>
      <x:c r="C100" t="str">
        <x:v>Fórmula nueva</x:v>
      </x:c>
      <x:c r="D100" t="str">
        <x:v>Costos de insumos por consumos y supuestos; precios reales únicos de Airtable</x:v>
      </x:c>
    </x:row>
    <x:row r="101">
      <x:c r="A101" t="str">
        <x:v>Finanzas_Mes</x:v>
      </x:c>
      <x:c r="B101" t="str">
        <x:v>plus_total</x:v>
      </x:c>
      <x:c r="C101" t="str">
        <x:v>Fórmula nueva</x:v>
      </x:c>
      <x:c r="D101" t="str">
        <x:v>Costos de insumos por consumos y supuestos; precios reales únicos de Airtable</x:v>
      </x:c>
    </x:row>
    <x:row r="102">
      <x:c r="A102" t="str">
        <x:v>Finanzas_Mes</x:v>
      </x:c>
      <x:c r="B102" t="str">
        <x:v>mrr_cop</x:v>
      </x:c>
      <x:c r="C102" t="str">
        <x:v>Fórmula nueva</x:v>
      </x:c>
      <x:c r="D102" t="str">
        <x:v>Costos de insumos por consumos y supuestos; precios reales únicos de Airtable</x:v>
      </x:c>
    </x:row>
    <x:row r="103">
      <x:c r="A103" t="str">
        <x:v>Finanzas_Mes</x:v>
      </x:c>
      <x:c r="B103" t="str">
        <x:v>recaudo_cop</x:v>
      </x:c>
      <x:c r="C103" t="str">
        <x:v>Fórmula nueva</x:v>
      </x:c>
      <x:c r="D103" t="str">
        <x:v>Costos de insumos por consumos y supuestos; precios reales únicos de Airtable</x:v>
      </x:c>
    </x:row>
    <x:row r="104">
      <x:c r="A104" t="str">
        <x:v>Finanzas_Mes</x:v>
      </x:c>
      <x:c r="B104" t="str">
        <x:v>ingreso_devengado_cop</x:v>
      </x:c>
      <x:c r="C104" t="str">
        <x:v>Fórmula nueva</x:v>
      </x:c>
      <x:c r="D104" t="str">
        <x:v>Costos de insumos por consumos y supuestos; precios reales únicos de Airtable</x:v>
      </x:c>
    </x:row>
    <x:row r="105">
      <x:c r="A105" t="str">
        <x:v>Finanzas_Mes</x:v>
      </x:c>
      <x:c r="B105" t="str">
        <x:v>aws_cop</x:v>
      </x:c>
      <x:c r="C105" t="str">
        <x:v>Fórmula nueva</x:v>
      </x:c>
      <x:c r="D105" t="str">
        <x:v>Costos de insumos por consumos y supuestos; precios reales únicos de Airtable</x:v>
      </x:c>
    </x:row>
    <x:row r="106">
      <x:c r="A106" t="str">
        <x:v>Finanzas_Mes</x:v>
      </x:c>
      <x:c r="B106" t="str">
        <x:v>backup_cop</x:v>
      </x:c>
      <x:c r="C106" t="str">
        <x:v>Fórmula nueva</x:v>
      </x:c>
      <x:c r="D106" t="str">
        <x:v>Costos de insumos por consumos y supuestos; precios reales únicos de Airtable</x:v>
      </x:c>
    </x:row>
    <x:row r="107">
      <x:c r="A107" t="str">
        <x:v>Finanzas_Mes</x:v>
      </x:c>
      <x:c r="B107" t="str">
        <x:v>costo_soporte_cop</x:v>
      </x:c>
      <x:c r="C107" t="str">
        <x:v>Fórmula nueva</x:v>
      </x:c>
      <x:c r="D107" t="str">
        <x:v>Costos de insumos por consumos y supuestos; precios reales únicos de Airtable</x:v>
      </x:c>
    </x:row>
    <x:row r="108">
      <x:c r="A108" t="str">
        <x:v>Finanzas_Mes</x:v>
      </x:c>
      <x:c r="B108" t="str">
        <x:v>costo_deudas_cop</x:v>
      </x:c>
      <x:c r="C108" t="str">
        <x:v>Fórmula nueva</x:v>
      </x:c>
      <x:c r="D108" t="str">
        <x:v>Costos de insumos por consumos y supuestos; precios reales únicos de Airtable</x:v>
      </x:c>
    </x:row>
    <x:row r="109">
      <x:c r="A109" t="str">
        <x:v>Finanzas_Mes</x:v>
      </x:c>
      <x:c r="B109" t="str">
        <x:v>telegram_cop</x:v>
      </x:c>
      <x:c r="C109" t="str">
        <x:v>Fórmula nueva</x:v>
      </x:c>
      <x:c r="D109" t="str">
        <x:v>Costos de insumos por consumos y supuestos; precios reales únicos de Airtable</x:v>
      </x:c>
    </x:row>
    <x:row r="110">
      <x:c r="A110" t="str">
        <x:v>Finanzas_Mes</x:v>
      </x:c>
      <x:c r="B110" t="str">
        <x:v>comision_mp_cop</x:v>
      </x:c>
      <x:c r="C110" t="str">
        <x:v>Fórmula nueva</x:v>
      </x:c>
      <x:c r="D110" t="str">
        <x:v>Costos de insumos por consumos y supuestos; precios reales únicos de Airtable</x:v>
      </x:c>
    </x:row>
    <x:row r="111">
      <x:c r="A111" t="str">
        <x:v>Finanzas_Mes</x:v>
      </x:c>
      <x:c r="B111" t="str">
        <x:v>cogs_total_cop</x:v>
      </x:c>
      <x:c r="C111" t="str">
        <x:v>Fórmula nueva</x:v>
      </x:c>
      <x:c r="D111" t="str">
        <x:v>Costos de insumos por consumos y supuestos; precios reales únicos de Airtable</x:v>
      </x:c>
    </x:row>
    <x:row r="112">
      <x:c r="A112" t="str">
        <x:v>Finanzas_Mes</x:v>
      </x:c>
      <x:c r="B112" t="str">
        <x:v>margen_bruto_cop</x:v>
      </x:c>
      <x:c r="C112" t="str">
        <x:v>Fórmula nueva</x:v>
      </x:c>
      <x:c r="D112" t="str">
        <x:v>Costos de insumos por consumos y supuestos; precios reales únicos de Airtable</x:v>
      </x:c>
    </x:row>
    <x:row r="113">
      <x:c r="A113" t="str">
        <x:v>Finanzas_Mes</x:v>
      </x:c>
      <x:c r="B113" t="str">
        <x:v>margen_bruto_pct</x:v>
      </x:c>
      <x:c r="C113" t="str">
        <x:v>Fórmula nueva</x:v>
      </x:c>
      <x:c r="D113" t="str">
        <x:v>Costos de insumos por consumos y supuestos; precios reales únicos de Airtable</x:v>
      </x:c>
    </x:row>
    <x:row r="114">
      <x:c r="A114" t="str">
        <x:v>Finanzas_Mes</x:v>
      </x:c>
      <x:c r="B114" t="str">
        <x:v>workspace_cop</x:v>
      </x:c>
      <x:c r="C114" t="str">
        <x:v>Fórmula nueva</x:v>
      </x:c>
      <x:c r="D114" t="str">
        <x:v>Costos de insumos por consumos y supuestos; precios reales únicos de Airtable</x:v>
      </x:c>
    </x:row>
    <x:row r="115">
      <x:c r="A115" t="str">
        <x:v>Finanzas_Mes</x:v>
      </x:c>
      <x:c r="B115" t="str">
        <x:v>n8n_cop</x:v>
      </x:c>
      <x:c r="C115" t="str">
        <x:v>Fórmula nueva</x:v>
      </x:c>
      <x:c r="D115" t="str">
        <x:v>Costos de insumos por consumos y supuestos; precios reales únicos de Airtable</x:v>
      </x:c>
    </x:row>
    <x:row r="116">
      <x:c r="A116" t="str">
        <x:v>Finanzas_Mes</x:v>
      </x:c>
      <x:c r="B116" t="str">
        <x:v>personal_cop</x:v>
      </x:c>
      <x:c r="C116" t="str">
        <x:v>Fórmula nueva</x:v>
      </x:c>
      <x:c r="D116" t="str">
        <x:v>Costos de insumos por consumos y supuestos; precios reales únicos de Airtable</x:v>
      </x:c>
    </x:row>
    <x:row r="117">
      <x:c r="A117" t="str">
        <x:v>Finanzas_Mes</x:v>
      </x:c>
      <x:c r="B117" t="str">
        <x:v>administracion_cop</x:v>
      </x:c>
      <x:c r="C117" t="str">
        <x:v>Fórmula nueva</x:v>
      </x:c>
      <x:c r="D117" t="str">
        <x:v>Costos de insumos por consumos y supuestos; precios reales únicos de Airtable</x:v>
      </x:c>
    </x:row>
    <x:row r="118">
      <x:c r="A118" t="str">
        <x:v>Finanzas_Mes</x:v>
      </x:c>
      <x:c r="B118" t="str">
        <x:v>marketing_cop</x:v>
      </x:c>
      <x:c r="C118" t="str">
        <x:v>Fórmula nueva</x:v>
      </x:c>
      <x:c r="D118" t="str">
        <x:v>Costos de insumos por consumos y supuestos; precios reales únicos de Airtable</x:v>
      </x:c>
    </x:row>
    <x:row r="119">
      <x:c r="A119" t="str">
        <x:v>Finanzas_Mes</x:v>
      </x:c>
      <x:c r="B119" t="str">
        <x:v>opex_total_cop</x:v>
      </x:c>
      <x:c r="C119" t="str">
        <x:v>Fórmula nueva</x:v>
      </x:c>
      <x:c r="D119" t="str">
        <x:v>Costos de insumos por consumos y supuestos; precios reales únicos de Airtable</x:v>
      </x:c>
    </x:row>
    <x:row r="120">
      <x:c r="A120" t="str">
        <x:v>Finanzas_Mes</x:v>
      </x:c>
      <x:c r="B120" t="str">
        <x:v>resultado_operativo_cop</x:v>
      </x:c>
      <x:c r="C120" t="str">
        <x:v>Fórmula nueva</x:v>
      </x:c>
      <x:c r="D120" t="str">
        <x:v>Costos de insumos por consumos y supuestos; precios reales únicos de Airtable</x:v>
      </x:c>
    </x:row>
    <x:row r="121">
      <x:c r="A121" t="str">
        <x:v>Finanzas_Mes</x:v>
      </x:c>
      <x:c r="B121" t="str">
        <x:v>arpu_plus_cop</x:v>
      </x:c>
      <x:c r="C121" t="str">
        <x:v>Fórmula nueva</x:v>
      </x:c>
      <x:c r="D121" t="str">
        <x:v>Costos de insumos por consumos y supuestos; precios reales únicos de Airtable</x:v>
      </x:c>
    </x:row>
    <x:row r="122">
      <x:c r="A122" t="str">
        <x:v>Finanzas_Mes</x:v>
      </x:c>
      <x:c r="B122" t="str">
        <x:v>conversion_a_plus_pct</x:v>
      </x:c>
      <x:c r="C122" t="str">
        <x:v>Fórmula nueva</x:v>
      </x:c>
      <x:c r="D122" t="str">
        <x:v>Costos de insumos por consumos y supuestos; precios reales únicos de Airtable</x:v>
      </x:c>
    </x:row>
    <x:row r="123">
      <x:c r="A123" t="str">
        <x:v>Finanzas_Mes</x:v>
      </x:c>
      <x:c r="B123" t="str">
        <x:v>cac_altas_plus_cop</x:v>
      </x:c>
      <x:c r="C123" t="str">
        <x:v>Fórmula nueva</x:v>
      </x:c>
      <x:c r="D123" t="str">
        <x:v>Costos de insumos por consumos y supuestos; precios reales únicos de Airtable</x:v>
      </x:c>
    </x:row>
    <x:row r="124">
      <x:c r="A124" t="str">
        <x:v>Finanzas_Mes</x:v>
      </x:c>
      <x:c r="B124" t="str">
        <x:v>churn_plus_pct</x:v>
      </x:c>
      <x:c r="C124" t="str">
        <x:v>Fórmula nueva</x:v>
      </x:c>
      <x:c r="D124" t="str">
        <x:v>Costos de insumos por consumos y supuestos; precios reales únicos de Airtable</x:v>
      </x:c>
    </x:row>
    <x:row r="125">
      <x:c r="A125" t="str">
        <x:v>Proveedores</x:v>
      </x:c>
      <x:c r="B125" t="str">
        <x:v>proveedor_id</x:v>
      </x:c>
      <x:c r="C125" t="str">
        <x:v>Catálogo Airtable</x:v>
      </x:c>
      <x:c r="D125" t="str">
        <x:v>No incluye tarifas comerciales de proveedores</x:v>
      </x:c>
    </x:row>
    <x:row r="126">
      <x:c r="A126" t="str">
        <x:v>Proveedores</x:v>
      </x:c>
      <x:c r="B126" t="str">
        <x:v>nombre_proveedor</x:v>
      </x:c>
      <x:c r="C126" t="str">
        <x:v>Catálogo Airtable</x:v>
      </x:c>
      <x:c r="D126" t="str">
        <x:v>No incluye tarifas comerciales de proveedores</x:v>
      </x:c>
    </x:row>
    <x:row r="127">
      <x:c r="A127" t="str">
        <x:v>Proveedores</x:v>
      </x:c>
      <x:c r="B127" t="str">
        <x:v>categoria</x:v>
      </x:c>
      <x:c r="C127" t="str">
        <x:v>Catálogo Airtable</x:v>
      </x:c>
      <x:c r="D127" t="str">
        <x:v>No incluye tarifas comerciales de proveedores</x:v>
      </x:c>
    </x:row>
    <x:row r="128">
      <x:c r="A128" t="str">
        <x:v>Proveedores</x:v>
      </x:c>
      <x:c r="B128" t="str">
        <x:v>funcion</x:v>
      </x:c>
      <x:c r="C128" t="str">
        <x:v>Catálogo Airtable</x:v>
      </x:c>
      <x:c r="D128" t="str">
        <x:v>No incluye tarifas comerciales de proveedores</x:v>
      </x:c>
    </x:row>
    <x:row r="129">
      <x:c r="A129" t="str">
        <x:v>Insumos</x:v>
      </x:c>
      <x:c r="B129" t="str">
        <x:v>insumo_id</x:v>
      </x:c>
      <x:c r="C129" t="str">
        <x:v>Catálogo Airtable + modelación</x:v>
      </x:c>
      <x:c r="D129" t="str">
        <x:v>Tarifas/costos simulados nuevos</x:v>
      </x:c>
    </x:row>
    <x:row r="130">
      <x:c r="A130" t="str">
        <x:v>Insumos</x:v>
      </x:c>
      <x:c r="B130" t="str">
        <x:v>proveedor_id</x:v>
      </x:c>
      <x:c r="C130" t="str">
        <x:v>Catálogo Airtable + modelación</x:v>
      </x:c>
      <x:c r="D130" t="str">
        <x:v>Tarifas/costos simulados nuevos</x:v>
      </x:c>
    </x:row>
    <x:row r="131">
      <x:c r="A131" t="str">
        <x:v>Insumos</x:v>
      </x:c>
      <x:c r="B131" t="str">
        <x:v>nombre_insumo</x:v>
      </x:c>
      <x:c r="C131" t="str">
        <x:v>Catálogo Airtable + modelación</x:v>
      </x:c>
      <x:c r="D131" t="str">
        <x:v>Tarifas/costos simulados nuevos</x:v>
      </x:c>
    </x:row>
    <x:row r="132">
      <x:c r="A132" t="str">
        <x:v>Insumos</x:v>
      </x:c>
      <x:c r="B132" t="str">
        <x:v>categoria</x:v>
      </x:c>
      <x:c r="C132" t="str">
        <x:v>Catálogo Airtable + modelación</x:v>
      </x:c>
      <x:c r="D132" t="str">
        <x:v>Tarifas/costos simulados nuevos</x:v>
      </x:c>
    </x:row>
    <x:row r="133">
      <x:c r="A133" t="str">
        <x:v>Insumos</x:v>
      </x:c>
      <x:c r="B133" t="str">
        <x:v>modelo_costo</x:v>
      </x:c>
      <x:c r="C133" t="str">
        <x:v>Catálogo Airtable + modelación</x:v>
      </x:c>
      <x:c r="D133" t="str">
        <x:v>Tarifas/costos simulados nuevos</x:v>
      </x:c>
    </x:row>
    <x:row r="134">
      <x:c r="A134" t="str">
        <x:v>Insumos</x:v>
      </x:c>
      <x:c r="B134" t="str">
        <x:v>unidad</x:v>
      </x:c>
      <x:c r="C134" t="str">
        <x:v>Catálogo Airtable + modelación</x:v>
      </x:c>
      <x:c r="D134" t="str">
        <x:v>Tarifas/costos simulados nuevos</x:v>
      </x:c>
    </x:row>
    <x:row r="135">
      <x:c r="A135" t="str">
        <x:v>Insumos</x:v>
      </x:c>
      <x:c r="B135" t="str">
        <x:v>parametros_de_modelo</x:v>
      </x:c>
      <x:c r="C135" t="str">
        <x:v>Catálogo Airtable + modelación</x:v>
      </x:c>
      <x:c r="D135" t="str">
        <x:v>Tarifas/costos simulados nuevos</x:v>
      </x:c>
    </x:row>
    <x:row r="136">
      <x:c r="A136" t="str">
        <x:v>Insumos</x:v>
      </x:c>
      <x:c r="B136" t="str">
        <x:v>clasificacion</x:v>
      </x:c>
      <x:c r="C136" t="str">
        <x:v>Catálogo Airtable + modelación</x:v>
      </x:c>
      <x:c r="D136" t="str">
        <x:v>Tarifas/costos simulados nuevos</x:v>
      </x:c>
    </x:row>
  </x:sheetData>
  <x:pageMargins left="0.7" right="0.7" top="0.75" bottom="0.75" header="0.3" footer="0.3"/>
</x:worksheet>
</file>